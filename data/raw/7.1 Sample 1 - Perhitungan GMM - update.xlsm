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Kerjaan Arya\KKA VAB\Aplikasi\psak-117-app\data\raw\"/>
    </mc:Choice>
  </mc:AlternateContent>
  <xr:revisionPtr revIDLastSave="0" documentId="13_ncr:1_{66EF4616-A3D1-416C-89C6-32B13ABE7C4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DATA INPUT - HEADER" sheetId="16" r:id="rId1"/>
    <sheet name="DATA INPUT - DETAIL" sheetId="15" r:id="rId2"/>
    <sheet name="ASUMSI" sheetId="4" r:id="rId3"/>
    <sheet name="BEL" sheetId="5" r:id="rId4"/>
    <sheet name="RA CSM" sheetId="12" r:id="rId5"/>
    <sheet name="MOVEMENT" sheetId="21" r:id="rId6"/>
    <sheet name="OUTPUT CARE" sheetId="31" r:id="rId7"/>
  </sheets>
  <definedNames>
    <definedName name="_xlnm._FilterDatabase" localSheetId="0" hidden="1">'DATA INPUT - HEADER'!$A$4:$AL$4</definedName>
    <definedName name="BEL">BEL!$C$11:$CN$99769</definedName>
    <definedName name="COMM">ASUMSI!$BY$5:$CI$21</definedName>
    <definedName name="CV_0">#REF!</definedName>
    <definedName name="CV_1">#REF!</definedName>
    <definedName name="CV_10">#REF!</definedName>
    <definedName name="CV_11">#REF!</definedName>
    <definedName name="CV_12">#REF!</definedName>
    <definedName name="CV_13">#REF!</definedName>
    <definedName name="CV_14">#REF!</definedName>
    <definedName name="CV_15">#REF!</definedName>
    <definedName name="CV_2">#REF!</definedName>
    <definedName name="CV_3">#REF!</definedName>
    <definedName name="CV_4">#REF!</definedName>
    <definedName name="CV_5">#REF!</definedName>
    <definedName name="CV_6">#REF!</definedName>
    <definedName name="CV_7">#REF!</definedName>
    <definedName name="CV_8">#REF!</definedName>
    <definedName name="CV_9">#REF!</definedName>
    <definedName name="DATA">#REF!</definedName>
    <definedName name="GAE">ASUMSI!#REF!</definedName>
    <definedName name="LAPSE">ASUMSI!$BM$5:$BW$17</definedName>
    <definedName name="Lapse_1">#REF!</definedName>
    <definedName name="Mortality">ASUMSI!$E$6:$W$117</definedName>
    <definedName name="Mortality_1">#REF!</definedName>
    <definedName name="MPP" localSheetId="4">'RA CSM'!$J$2</definedName>
    <definedName name="MPP">BEL!$J$2</definedName>
    <definedName name="RA" localSheetId="4">'RA CSM'!$C$11:$CD$99769</definedName>
    <definedName name="Tabel_Prem">ASUMSI!#REF!</definedName>
    <definedName name="TAHAPAN">ASUMSI!#REF!</definedName>
    <definedName name="VAL_DATE">#REF!</definedName>
  </definedNames>
  <calcPr calcId="191029"/>
</workbook>
</file>

<file path=xl/calcChain.xml><?xml version="1.0" encoding="utf-8"?>
<calcChain xmlns="http://schemas.openxmlformats.org/spreadsheetml/2006/main">
  <c r="L192" i="5" l="1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M13" i="5"/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AC3" i="31"/>
  <c r="AB3" i="31"/>
  <c r="AA3" i="31"/>
  <c r="Z3" i="31"/>
  <c r="Y3" i="31"/>
  <c r="X3" i="31"/>
  <c r="W3" i="31"/>
  <c r="V3" i="31"/>
  <c r="AT5" i="16" l="1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AN4" i="4" l="1"/>
  <c r="AO4" i="4" s="1"/>
  <c r="AP4" i="4" s="1"/>
  <c r="AQ4" i="4" s="1"/>
  <c r="AR4" i="4" s="1"/>
  <c r="AS4" i="4" s="1"/>
  <c r="AT4" i="4" s="1"/>
  <c r="AU4" i="4" s="1"/>
  <c r="AV4" i="4" s="1"/>
  <c r="AW4" i="4" s="1"/>
  <c r="AX4" i="4" s="1"/>
  <c r="AY4" i="4" s="1"/>
  <c r="AZ4" i="4" s="1"/>
  <c r="BA4" i="4" s="1"/>
  <c r="BB4" i="4" s="1"/>
  <c r="BC4" i="4" s="1"/>
  <c r="BD4" i="4" s="1"/>
  <c r="BE4" i="4" s="1"/>
  <c r="BF4" i="4" s="1"/>
  <c r="BG4" i="4" s="1"/>
  <c r="BJ20" i="4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CS5" i="4" l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BP43" i="4"/>
  <c r="BQ43" i="4"/>
  <c r="BR43" i="4" s="1"/>
  <c r="BS43" i="4" s="1"/>
  <c r="BT43" i="4" s="1"/>
  <c r="BU43" i="4" s="1"/>
  <c r="BV43" i="4" s="1"/>
  <c r="BW43" i="4" s="1"/>
  <c r="BX43" i="4" s="1"/>
  <c r="BY43" i="4" s="1"/>
  <c r="BZ43" i="4" s="1"/>
  <c r="CA43" i="4" s="1"/>
  <c r="CB43" i="4" s="1"/>
  <c r="CC43" i="4" s="1"/>
  <c r="CD43" i="4" s="1"/>
  <c r="CE43" i="4" s="1"/>
  <c r="CF43" i="4" s="1"/>
  <c r="CG43" i="4" s="1"/>
  <c r="CH43" i="4" s="1"/>
  <c r="CI43" i="4" s="1"/>
  <c r="CJ43" i="4" s="1"/>
  <c r="CK43" i="4" s="1"/>
  <c r="CL43" i="4" s="1"/>
  <c r="CM43" i="4" s="1"/>
  <c r="CN43" i="4" s="1"/>
  <c r="CO43" i="4" s="1"/>
  <c r="CP43" i="4" s="1"/>
  <c r="CQ43" i="4" s="1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AB4" i="4" l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I5" i="16" l="1"/>
  <c r="J5" i="16"/>
  <c r="K5" i="16"/>
  <c r="A5" i="16"/>
  <c r="B5" i="16"/>
  <c r="C5" i="16"/>
  <c r="D5" i="16"/>
  <c r="E5" i="16"/>
  <c r="F5" i="16"/>
  <c r="G5" i="16"/>
  <c r="H5" i="16"/>
  <c r="FY297" i="21" l="1"/>
  <c r="FY295" i="21"/>
  <c r="FY278" i="21"/>
  <c r="FY276" i="21"/>
  <c r="FY274" i="21"/>
  <c r="B308" i="21" a="1"/>
  <c r="B308" i="21" s="1"/>
  <c r="FY296" i="21" l="1"/>
  <c r="FL308" i="21"/>
  <c r="ES308" i="21"/>
  <c r="DZ308" i="21"/>
  <c r="DG308" i="21"/>
  <c r="CM308" i="21"/>
  <c r="BT308" i="21"/>
  <c r="BA308" i="21"/>
  <c r="AH308" i="21"/>
  <c r="O308" i="21"/>
  <c r="FU308" i="21"/>
  <c r="FA308" i="21"/>
  <c r="EH308" i="21"/>
  <c r="DO308" i="21"/>
  <c r="CV308" i="21"/>
  <c r="CC308" i="21"/>
  <c r="BI308" i="21"/>
  <c r="AP308" i="21"/>
  <c r="W308" i="21"/>
  <c r="D308" i="21"/>
  <c r="FS308" i="21"/>
  <c r="EZ308" i="21"/>
  <c r="EG308" i="21"/>
  <c r="DN308" i="21"/>
  <c r="CU308" i="21"/>
  <c r="CA308" i="21"/>
  <c r="BH308" i="21"/>
  <c r="AO308" i="21"/>
  <c r="V308" i="21"/>
  <c r="C308" i="21"/>
  <c r="FR308" i="21"/>
  <c r="EY308" i="21"/>
  <c r="EF308" i="21"/>
  <c r="DM308" i="21"/>
  <c r="CS308" i="21"/>
  <c r="BZ308" i="21"/>
  <c r="BG308" i="21"/>
  <c r="AN308" i="21"/>
  <c r="U308" i="21"/>
  <c r="FK308" i="21"/>
  <c r="ER308" i="21"/>
  <c r="DY308" i="21"/>
  <c r="DE308" i="21"/>
  <c r="CL308" i="21"/>
  <c r="BS308" i="21"/>
  <c r="AZ308" i="21"/>
  <c r="AG308" i="21"/>
  <c r="M308" i="21"/>
  <c r="FJ308" i="21"/>
  <c r="EQ308" i="21"/>
  <c r="DW308" i="21"/>
  <c r="DD308" i="21"/>
  <c r="CK308" i="21"/>
  <c r="BR308" i="21"/>
  <c r="AY308" i="21"/>
  <c r="AE308" i="21"/>
  <c r="L308" i="21"/>
  <c r="FI308" i="21"/>
  <c r="EO308" i="21"/>
  <c r="DV308" i="21"/>
  <c r="DC308" i="21"/>
  <c r="CJ308" i="21"/>
  <c r="BQ308" i="21"/>
  <c r="AW308" i="21"/>
  <c r="AD308" i="21"/>
  <c r="K308" i="21"/>
  <c r="FV308" i="21"/>
  <c r="FC308" i="21"/>
  <c r="EI308" i="21"/>
  <c r="DP308" i="21"/>
  <c r="CW308" i="21"/>
  <c r="CD308" i="21"/>
  <c r="BK308" i="21"/>
  <c r="AQ308" i="21"/>
  <c r="X308" i="21"/>
  <c r="E308" i="21"/>
  <c r="FQ308" i="21"/>
  <c r="FG308" i="21"/>
  <c r="EX308" i="21"/>
  <c r="EN308" i="21"/>
  <c r="EE308" i="21"/>
  <c r="DU308" i="21"/>
  <c r="DK308" i="21"/>
  <c r="DB308" i="21"/>
  <c r="CR308" i="21"/>
  <c r="CI308" i="21"/>
  <c r="BY308" i="21"/>
  <c r="BO308" i="21"/>
  <c r="BF308" i="21"/>
  <c r="AV308" i="21"/>
  <c r="AM308" i="21"/>
  <c r="AC308" i="21"/>
  <c r="S308" i="21"/>
  <c r="J308" i="21"/>
  <c r="FY308" i="21"/>
  <c r="FP308" i="21"/>
  <c r="FF308" i="21"/>
  <c r="EW308" i="21"/>
  <c r="EM308" i="21"/>
  <c r="EC308" i="21"/>
  <c r="DT308" i="21"/>
  <c r="DJ308" i="21"/>
  <c r="DA308" i="21"/>
  <c r="CQ308" i="21"/>
  <c r="CG308" i="21"/>
  <c r="BX308" i="21"/>
  <c r="BN308" i="21"/>
  <c r="BE308" i="21"/>
  <c r="AU308" i="21"/>
  <c r="AK308" i="21"/>
  <c r="AB308" i="21"/>
  <c r="R308" i="21"/>
  <c r="I308" i="21"/>
  <c r="FX308" i="21"/>
  <c r="FO308" i="21"/>
  <c r="FE308" i="21"/>
  <c r="EU308" i="21"/>
  <c r="EL308" i="21"/>
  <c r="EB308" i="21"/>
  <c r="DS308" i="21"/>
  <c r="DI308" i="21"/>
  <c r="CY308" i="21"/>
  <c r="CP308" i="21"/>
  <c r="CF308" i="21"/>
  <c r="BW308" i="21"/>
  <c r="BM308" i="21"/>
  <c r="BC308" i="21"/>
  <c r="AT308" i="21"/>
  <c r="AJ308" i="21"/>
  <c r="AA308" i="21"/>
  <c r="Q308" i="21"/>
  <c r="G308" i="21"/>
  <c r="FW308" i="21"/>
  <c r="FM308" i="21"/>
  <c r="FD308" i="21"/>
  <c r="ET308" i="21"/>
  <c r="EK308" i="21"/>
  <c r="EA308" i="21"/>
  <c r="DQ308" i="21"/>
  <c r="DH308" i="21"/>
  <c r="CX308" i="21"/>
  <c r="CO308" i="21"/>
  <c r="CE308" i="21"/>
  <c r="BU308" i="21"/>
  <c r="BL308" i="21"/>
  <c r="BB308" i="21"/>
  <c r="AS308" i="21"/>
  <c r="AI308" i="21"/>
  <c r="Y308" i="21"/>
  <c r="P308" i="21"/>
  <c r="F308" i="21"/>
  <c r="FY277" i="21"/>
  <c r="FT308" i="21"/>
  <c r="FH308" i="21"/>
  <c r="EV308" i="21"/>
  <c r="EJ308" i="21"/>
  <c r="DX308" i="21"/>
  <c r="DL308" i="21"/>
  <c r="CZ308" i="21"/>
  <c r="CN308" i="21"/>
  <c r="CB308" i="21"/>
  <c r="BP308" i="21"/>
  <c r="BD308" i="21"/>
  <c r="AR308" i="21"/>
  <c r="AF308" i="21"/>
  <c r="T308" i="21"/>
  <c r="H308" i="21"/>
  <c r="FN308" i="21"/>
  <c r="FB308" i="21"/>
  <c r="EP308" i="21"/>
  <c r="ED308" i="21"/>
  <c r="DR308" i="21"/>
  <c r="DF308" i="21"/>
  <c r="CT308" i="21"/>
  <c r="CH308" i="21"/>
  <c r="BV308" i="21"/>
  <c r="BJ308" i="21"/>
  <c r="AX308" i="21"/>
  <c r="AL308" i="21"/>
  <c r="Z308" i="21"/>
  <c r="N308" i="21"/>
  <c r="CM192" i="5" l="1"/>
  <c r="CR14" i="12"/>
  <c r="CR15" i="12" s="1"/>
  <c r="CR16" i="12" s="1"/>
  <c r="CR17" i="12" s="1"/>
  <c r="CR18" i="12" s="1"/>
  <c r="CR19" i="12" s="1"/>
  <c r="CR20" i="12" s="1"/>
  <c r="CR21" i="12" s="1"/>
  <c r="CR22" i="12" s="1"/>
  <c r="CR23" i="12" s="1"/>
  <c r="CR24" i="12" s="1"/>
  <c r="CR25" i="12" s="1"/>
  <c r="CR26" i="12" s="1"/>
  <c r="CR27" i="12" s="1"/>
  <c r="CR28" i="12" s="1"/>
  <c r="CR29" i="12" s="1"/>
  <c r="CR30" i="12" s="1"/>
  <c r="CR31" i="12" s="1"/>
  <c r="CR32" i="12" s="1"/>
  <c r="CR33" i="12" s="1"/>
  <c r="CR34" i="12" s="1"/>
  <c r="CR35" i="12" s="1"/>
  <c r="CR36" i="12" s="1"/>
  <c r="CR37" i="12" s="1"/>
  <c r="CR38" i="12" s="1"/>
  <c r="CR39" i="12" s="1"/>
  <c r="CR40" i="12" s="1"/>
  <c r="CR41" i="12" s="1"/>
  <c r="CR42" i="12" s="1"/>
  <c r="CR43" i="12" s="1"/>
  <c r="CR44" i="12" s="1"/>
  <c r="CR45" i="12" s="1"/>
  <c r="CR46" i="12" s="1"/>
  <c r="CR47" i="12" s="1"/>
  <c r="CR48" i="12" s="1"/>
  <c r="CR49" i="12" s="1"/>
  <c r="CR50" i="12" s="1"/>
  <c r="CR51" i="12" s="1"/>
  <c r="CR52" i="12" s="1"/>
  <c r="CR53" i="12" s="1"/>
  <c r="CR54" i="12" s="1"/>
  <c r="CR55" i="12" s="1"/>
  <c r="CR56" i="12" s="1"/>
  <c r="CR57" i="12" s="1"/>
  <c r="CR58" i="12" s="1"/>
  <c r="CR59" i="12" s="1"/>
  <c r="CR60" i="12" s="1"/>
  <c r="CR61" i="12" s="1"/>
  <c r="CR62" i="12" s="1"/>
  <c r="CR63" i="12" s="1"/>
  <c r="CR64" i="12" s="1"/>
  <c r="CR65" i="12" s="1"/>
  <c r="CR66" i="12" s="1"/>
  <c r="CR67" i="12" s="1"/>
  <c r="CR68" i="12" s="1"/>
  <c r="CR69" i="12" s="1"/>
  <c r="CR70" i="12" s="1"/>
  <c r="CR71" i="12" s="1"/>
  <c r="CR72" i="12" s="1"/>
  <c r="CR73" i="12" s="1"/>
  <c r="CR74" i="12" s="1"/>
  <c r="CR75" i="12" s="1"/>
  <c r="CR76" i="12" s="1"/>
  <c r="CR77" i="12" s="1"/>
  <c r="CR78" i="12" s="1"/>
  <c r="CR79" i="12" s="1"/>
  <c r="CR80" i="12" s="1"/>
  <c r="CR81" i="12" s="1"/>
  <c r="CR82" i="12" s="1"/>
  <c r="CR83" i="12" s="1"/>
  <c r="CR84" i="12" s="1"/>
  <c r="CR85" i="12" s="1"/>
  <c r="CR86" i="12" s="1"/>
  <c r="CR87" i="12" s="1"/>
  <c r="CR88" i="12" s="1"/>
  <c r="CR89" i="12" s="1"/>
  <c r="CR90" i="12" s="1"/>
  <c r="CR91" i="12" s="1"/>
  <c r="CR92" i="12" s="1"/>
  <c r="CR93" i="12" s="1"/>
  <c r="CR94" i="12" s="1"/>
  <c r="CR95" i="12" s="1"/>
  <c r="CR96" i="12" s="1"/>
  <c r="CR97" i="12" s="1"/>
  <c r="CR98" i="12" s="1"/>
  <c r="CR99" i="12" s="1"/>
  <c r="CR100" i="12" s="1"/>
  <c r="CR101" i="12" s="1"/>
  <c r="CR102" i="12" s="1"/>
  <c r="CR103" i="12" s="1"/>
  <c r="CR104" i="12" s="1"/>
  <c r="CR105" i="12" s="1"/>
  <c r="CR106" i="12" s="1"/>
  <c r="CR107" i="12" s="1"/>
  <c r="CR108" i="12" s="1"/>
  <c r="CR109" i="12" s="1"/>
  <c r="CR110" i="12" s="1"/>
  <c r="CR111" i="12" s="1"/>
  <c r="CR112" i="12" s="1"/>
  <c r="CR113" i="12" s="1"/>
  <c r="CR114" i="12" s="1"/>
  <c r="CR115" i="12" s="1"/>
  <c r="CR116" i="12" s="1"/>
  <c r="CR117" i="12" s="1"/>
  <c r="CR118" i="12" s="1"/>
  <c r="CR119" i="12" s="1"/>
  <c r="CR120" i="12" s="1"/>
  <c r="CR121" i="12" s="1"/>
  <c r="CR122" i="12" s="1"/>
  <c r="CR123" i="12" s="1"/>
  <c r="CR124" i="12" s="1"/>
  <c r="CR125" i="12" s="1"/>
  <c r="CR126" i="12" s="1"/>
  <c r="CR127" i="12" s="1"/>
  <c r="CR128" i="12" s="1"/>
  <c r="CR129" i="12" s="1"/>
  <c r="CR130" i="12" s="1"/>
  <c r="CR131" i="12" s="1"/>
  <c r="CR132" i="12" s="1"/>
  <c r="CR133" i="12" s="1"/>
  <c r="CR134" i="12" s="1"/>
  <c r="CR135" i="12" s="1"/>
  <c r="CR136" i="12" s="1"/>
  <c r="CR137" i="12" s="1"/>
  <c r="CR138" i="12" s="1"/>
  <c r="CR139" i="12" s="1"/>
  <c r="CR140" i="12" s="1"/>
  <c r="CR141" i="12" s="1"/>
  <c r="CR142" i="12" s="1"/>
  <c r="CR143" i="12" s="1"/>
  <c r="CR144" i="12" s="1"/>
  <c r="CR145" i="12" s="1"/>
  <c r="CR146" i="12" s="1"/>
  <c r="CR147" i="12" s="1"/>
  <c r="CR148" i="12" s="1"/>
  <c r="CR149" i="12" s="1"/>
  <c r="CR150" i="12" s="1"/>
  <c r="CR151" i="12" s="1"/>
  <c r="CR152" i="12" s="1"/>
  <c r="CR153" i="12" s="1"/>
  <c r="CR154" i="12" s="1"/>
  <c r="CR155" i="12" s="1"/>
  <c r="CR156" i="12" s="1"/>
  <c r="CR157" i="12" s="1"/>
  <c r="CR158" i="12" s="1"/>
  <c r="CR159" i="12" s="1"/>
  <c r="CR160" i="12" s="1"/>
  <c r="CR161" i="12" s="1"/>
  <c r="CR162" i="12" s="1"/>
  <c r="CR163" i="12" s="1"/>
  <c r="CR164" i="12" s="1"/>
  <c r="CR165" i="12" s="1"/>
  <c r="CR166" i="12" s="1"/>
  <c r="CR167" i="12" s="1"/>
  <c r="CR168" i="12" s="1"/>
  <c r="CR169" i="12" s="1"/>
  <c r="CR170" i="12" s="1"/>
  <c r="CR171" i="12" s="1"/>
  <c r="CR172" i="12" s="1"/>
  <c r="CR173" i="12" s="1"/>
  <c r="CR174" i="12" s="1"/>
  <c r="CR175" i="12" s="1"/>
  <c r="CR176" i="12" s="1"/>
  <c r="CR177" i="12" s="1"/>
  <c r="CR178" i="12" s="1"/>
  <c r="CR179" i="12" s="1"/>
  <c r="CR180" i="12" s="1"/>
  <c r="CR181" i="12" s="1"/>
  <c r="CR182" i="12" s="1"/>
  <c r="CR183" i="12" s="1"/>
  <c r="CR184" i="12" s="1"/>
  <c r="CR185" i="12" s="1"/>
  <c r="CR186" i="12" s="1"/>
  <c r="CR187" i="12" s="1"/>
  <c r="CR188" i="12" s="1"/>
  <c r="CR189" i="12" s="1"/>
  <c r="CR190" i="12" s="1"/>
  <c r="CR191" i="12" s="1"/>
  <c r="CR192" i="12" s="1"/>
  <c r="CS7" i="12"/>
  <c r="CT7" i="12" s="1"/>
  <c r="CU7" i="12" s="1"/>
  <c r="CV7" i="12" s="1"/>
  <c r="CW7" i="12" s="1"/>
  <c r="CX7" i="12" s="1"/>
  <c r="CY7" i="12" s="1"/>
  <c r="CZ7" i="12" s="1"/>
  <c r="DA7" i="12" s="1"/>
  <c r="CN192" i="12" l="1"/>
  <c r="CH192" i="12"/>
  <c r="CN191" i="12"/>
  <c r="CH191" i="12"/>
  <c r="CN190" i="12"/>
  <c r="CH190" i="12"/>
  <c r="CN189" i="12"/>
  <c r="CH189" i="12"/>
  <c r="CN188" i="12"/>
  <c r="CH188" i="12"/>
  <c r="CN187" i="12"/>
  <c r="CH187" i="12"/>
  <c r="CN186" i="12"/>
  <c r="CH186" i="12"/>
  <c r="CN185" i="12"/>
  <c r="CH185" i="12"/>
  <c r="CN184" i="12"/>
  <c r="CH184" i="12"/>
  <c r="CN183" i="12"/>
  <c r="CH183" i="12"/>
  <c r="CN182" i="12"/>
  <c r="CH182" i="12"/>
  <c r="CN181" i="12"/>
  <c r="CH181" i="12"/>
  <c r="CN180" i="12"/>
  <c r="CH180" i="12"/>
  <c r="CN179" i="12"/>
  <c r="CH179" i="12"/>
  <c r="CN178" i="12"/>
  <c r="CH178" i="12"/>
  <c r="CN177" i="12"/>
  <c r="CH177" i="12"/>
  <c r="CN176" i="12"/>
  <c r="CH176" i="12"/>
  <c r="CN175" i="12"/>
  <c r="CH175" i="12"/>
  <c r="CN174" i="12"/>
  <c r="CH174" i="12"/>
  <c r="CN173" i="12"/>
  <c r="CH173" i="12"/>
  <c r="CN172" i="12"/>
  <c r="CH172" i="12"/>
  <c r="CN171" i="12"/>
  <c r="CH171" i="12"/>
  <c r="CN170" i="12"/>
  <c r="CH170" i="12"/>
  <c r="CN169" i="12"/>
  <c r="CH169" i="12"/>
  <c r="CN168" i="12"/>
  <c r="CH168" i="12"/>
  <c r="CN167" i="12"/>
  <c r="CH167" i="12"/>
  <c r="CN166" i="12"/>
  <c r="CH166" i="12"/>
  <c r="CN165" i="12"/>
  <c r="CH165" i="12"/>
  <c r="CN164" i="12"/>
  <c r="CH164" i="12"/>
  <c r="CN163" i="12"/>
  <c r="CH163" i="12"/>
  <c r="CN162" i="12"/>
  <c r="CH162" i="12"/>
  <c r="CN161" i="12"/>
  <c r="CH161" i="12"/>
  <c r="CN160" i="12"/>
  <c r="CH160" i="12"/>
  <c r="CN159" i="12"/>
  <c r="CH159" i="12"/>
  <c r="CN158" i="12"/>
  <c r="CH158" i="12"/>
  <c r="CN157" i="12"/>
  <c r="CH157" i="12"/>
  <c r="CN156" i="12"/>
  <c r="CH156" i="12"/>
  <c r="CN155" i="12"/>
  <c r="CH155" i="12"/>
  <c r="CN154" i="12"/>
  <c r="CH154" i="12"/>
  <c r="CN153" i="12"/>
  <c r="CH153" i="12"/>
  <c r="CN152" i="12"/>
  <c r="CH152" i="12"/>
  <c r="CN151" i="12"/>
  <c r="CH151" i="12"/>
  <c r="CN150" i="12"/>
  <c r="CH150" i="12"/>
  <c r="CN149" i="12"/>
  <c r="CH149" i="12"/>
  <c r="CN148" i="12"/>
  <c r="CH148" i="12"/>
  <c r="CN147" i="12"/>
  <c r="CH147" i="12"/>
  <c r="CN146" i="12"/>
  <c r="CH146" i="12"/>
  <c r="CN145" i="12"/>
  <c r="CH145" i="12"/>
  <c r="CN144" i="12"/>
  <c r="CH144" i="12"/>
  <c r="CN143" i="12"/>
  <c r="CH143" i="12"/>
  <c r="CN142" i="12"/>
  <c r="CH142" i="12"/>
  <c r="CN141" i="12"/>
  <c r="CH141" i="12"/>
  <c r="CN140" i="12"/>
  <c r="CH140" i="12"/>
  <c r="CN139" i="12"/>
  <c r="CH139" i="12"/>
  <c r="CN138" i="12"/>
  <c r="CH138" i="12"/>
  <c r="CN137" i="12"/>
  <c r="CH137" i="12"/>
  <c r="CN136" i="12"/>
  <c r="CH136" i="12"/>
  <c r="CN135" i="12"/>
  <c r="CH135" i="12"/>
  <c r="CN134" i="12"/>
  <c r="CH134" i="12"/>
  <c r="CN133" i="12"/>
  <c r="CH133" i="12"/>
  <c r="CN132" i="12"/>
  <c r="CH132" i="12"/>
  <c r="CN131" i="12"/>
  <c r="CH131" i="12"/>
  <c r="CN130" i="12"/>
  <c r="CH130" i="12"/>
  <c r="CN129" i="12"/>
  <c r="CH129" i="12"/>
  <c r="CN128" i="12"/>
  <c r="CH128" i="12"/>
  <c r="AW192" i="5"/>
  <c r="AW192" i="12" s="1"/>
  <c r="AV192" i="5"/>
  <c r="AV192" i="12" s="1"/>
  <c r="AU192" i="5"/>
  <c r="AU192" i="12" s="1"/>
  <c r="AS192" i="5"/>
  <c r="AS192" i="12" s="1"/>
  <c r="AR192" i="5"/>
  <c r="AR192" i="12" s="1"/>
  <c r="AQ192" i="5"/>
  <c r="AQ192" i="12" s="1"/>
  <c r="AP192" i="5"/>
  <c r="AP192" i="12" s="1"/>
  <c r="AN192" i="5"/>
  <c r="AN192" i="12" s="1"/>
  <c r="AM192" i="5"/>
  <c r="AM192" i="12" s="1"/>
  <c r="AL192" i="5"/>
  <c r="AL192" i="12" s="1"/>
  <c r="AK192" i="5"/>
  <c r="AK192" i="12" s="1"/>
  <c r="AJ192" i="5"/>
  <c r="AJ192" i="12" s="1"/>
  <c r="AY192" i="12" s="1"/>
  <c r="AI192" i="5"/>
  <c r="AI192" i="12" s="1"/>
  <c r="L192" i="12"/>
  <c r="K192" i="5"/>
  <c r="K192" i="12" s="1"/>
  <c r="J192" i="5"/>
  <c r="J192" i="12" s="1"/>
  <c r="H192" i="5"/>
  <c r="G192" i="5"/>
  <c r="F192" i="5"/>
  <c r="E192" i="5"/>
  <c r="D192" i="5"/>
  <c r="C192" i="5"/>
  <c r="B192" i="5"/>
  <c r="B192" i="12" s="1"/>
  <c r="AW191" i="5"/>
  <c r="AW191" i="12" s="1"/>
  <c r="AV191" i="5"/>
  <c r="AV191" i="12" s="1"/>
  <c r="AU191" i="5"/>
  <c r="AU191" i="12" s="1"/>
  <c r="AS191" i="5"/>
  <c r="AS191" i="12" s="1"/>
  <c r="AR191" i="5"/>
  <c r="AR191" i="12" s="1"/>
  <c r="AQ191" i="5"/>
  <c r="AQ191" i="12" s="1"/>
  <c r="AP191" i="5"/>
  <c r="AP191" i="12" s="1"/>
  <c r="AN191" i="5"/>
  <c r="AN191" i="12" s="1"/>
  <c r="AM191" i="5"/>
  <c r="AM191" i="12" s="1"/>
  <c r="AL191" i="5"/>
  <c r="AL191" i="12" s="1"/>
  <c r="AK191" i="5"/>
  <c r="AK191" i="12" s="1"/>
  <c r="AJ191" i="5"/>
  <c r="AI191" i="5"/>
  <c r="AI191" i="12" s="1"/>
  <c r="L191" i="12"/>
  <c r="K191" i="5"/>
  <c r="K191" i="12" s="1"/>
  <c r="J191" i="5"/>
  <c r="J191" i="12" s="1"/>
  <c r="H191" i="5"/>
  <c r="G191" i="5"/>
  <c r="F191" i="5"/>
  <c r="E191" i="5"/>
  <c r="D191" i="5"/>
  <c r="C191" i="5"/>
  <c r="B191" i="5"/>
  <c r="B191" i="12" s="1"/>
  <c r="AW190" i="5"/>
  <c r="AW190" i="12" s="1"/>
  <c r="AV190" i="5"/>
  <c r="AV190" i="12" s="1"/>
  <c r="AU190" i="5"/>
  <c r="AU190" i="12" s="1"/>
  <c r="AS190" i="5"/>
  <c r="AS190" i="12" s="1"/>
  <c r="AR190" i="5"/>
  <c r="AR190" i="12" s="1"/>
  <c r="AQ190" i="5"/>
  <c r="AQ190" i="12" s="1"/>
  <c r="AP190" i="5"/>
  <c r="AP190" i="12" s="1"/>
  <c r="AN190" i="5"/>
  <c r="AN190" i="12" s="1"/>
  <c r="AM190" i="5"/>
  <c r="AM190" i="12" s="1"/>
  <c r="AL190" i="5"/>
  <c r="AL190" i="12" s="1"/>
  <c r="AK190" i="5"/>
  <c r="AK190" i="12" s="1"/>
  <c r="AJ190" i="5"/>
  <c r="AI190" i="5"/>
  <c r="AI190" i="12" s="1"/>
  <c r="L190" i="12"/>
  <c r="K190" i="5"/>
  <c r="K190" i="12" s="1"/>
  <c r="J190" i="5"/>
  <c r="J190" i="12" s="1"/>
  <c r="H190" i="5"/>
  <c r="G190" i="5"/>
  <c r="F190" i="5"/>
  <c r="E190" i="5"/>
  <c r="D190" i="5"/>
  <c r="C190" i="5"/>
  <c r="B190" i="5"/>
  <c r="B190" i="12" s="1"/>
  <c r="AW189" i="5"/>
  <c r="AW189" i="12" s="1"/>
  <c r="AV189" i="5"/>
  <c r="AV189" i="12" s="1"/>
  <c r="AU189" i="5"/>
  <c r="AU189" i="12" s="1"/>
  <c r="AS189" i="5"/>
  <c r="AS189" i="12" s="1"/>
  <c r="AR189" i="5"/>
  <c r="AR189" i="12" s="1"/>
  <c r="AQ189" i="5"/>
  <c r="AQ189" i="12" s="1"/>
  <c r="AP189" i="5"/>
  <c r="AP189" i="12" s="1"/>
  <c r="AN189" i="5"/>
  <c r="AN189" i="12" s="1"/>
  <c r="AM189" i="5"/>
  <c r="AM189" i="12" s="1"/>
  <c r="AL189" i="5"/>
  <c r="AL189" i="12" s="1"/>
  <c r="AK189" i="5"/>
  <c r="AK189" i="12" s="1"/>
  <c r="AJ189" i="5"/>
  <c r="AJ189" i="12" s="1"/>
  <c r="AY189" i="12" s="1"/>
  <c r="AI189" i="5"/>
  <c r="AI189" i="12" s="1"/>
  <c r="L189" i="12"/>
  <c r="K189" i="5"/>
  <c r="K189" i="12" s="1"/>
  <c r="J189" i="5"/>
  <c r="J189" i="12" s="1"/>
  <c r="H189" i="5"/>
  <c r="G189" i="5"/>
  <c r="F189" i="5"/>
  <c r="E189" i="5"/>
  <c r="D189" i="5"/>
  <c r="C189" i="5"/>
  <c r="B189" i="5"/>
  <c r="B189" i="12" s="1"/>
  <c r="AW188" i="5"/>
  <c r="AW188" i="12" s="1"/>
  <c r="AV188" i="5"/>
  <c r="AV188" i="12" s="1"/>
  <c r="AU188" i="5"/>
  <c r="AU188" i="12" s="1"/>
  <c r="AS188" i="5"/>
  <c r="AS188" i="12" s="1"/>
  <c r="AR188" i="5"/>
  <c r="AR188" i="12" s="1"/>
  <c r="AQ188" i="5"/>
  <c r="AQ188" i="12" s="1"/>
  <c r="AP188" i="5"/>
  <c r="AP188" i="12" s="1"/>
  <c r="AN188" i="5"/>
  <c r="AN188" i="12" s="1"/>
  <c r="AM188" i="5"/>
  <c r="AM188" i="12" s="1"/>
  <c r="AL188" i="5"/>
  <c r="AL188" i="12" s="1"/>
  <c r="AK188" i="5"/>
  <c r="AK188" i="12" s="1"/>
  <c r="AJ188" i="5"/>
  <c r="AJ188" i="12" s="1"/>
  <c r="AY188" i="12" s="1"/>
  <c r="AI188" i="5"/>
  <c r="AI188" i="12" s="1"/>
  <c r="L188" i="12"/>
  <c r="K188" i="5"/>
  <c r="K188" i="12" s="1"/>
  <c r="J188" i="5"/>
  <c r="J188" i="12" s="1"/>
  <c r="H188" i="5"/>
  <c r="G188" i="5"/>
  <c r="F188" i="5"/>
  <c r="E188" i="5"/>
  <c r="D188" i="5"/>
  <c r="C188" i="5"/>
  <c r="B188" i="5"/>
  <c r="B188" i="12" s="1"/>
  <c r="AW187" i="5"/>
  <c r="AW187" i="12" s="1"/>
  <c r="AV187" i="5"/>
  <c r="AV187" i="12" s="1"/>
  <c r="AU187" i="5"/>
  <c r="AU187" i="12" s="1"/>
  <c r="AS187" i="5"/>
  <c r="AS187" i="12" s="1"/>
  <c r="AR187" i="5"/>
  <c r="AR187" i="12" s="1"/>
  <c r="AQ187" i="5"/>
  <c r="AQ187" i="12" s="1"/>
  <c r="AP187" i="5"/>
  <c r="AP187" i="12" s="1"/>
  <c r="AN187" i="5"/>
  <c r="AN187" i="12" s="1"/>
  <c r="AM187" i="5"/>
  <c r="AM187" i="12" s="1"/>
  <c r="AL187" i="5"/>
  <c r="AL187" i="12" s="1"/>
  <c r="AK187" i="5"/>
  <c r="AK187" i="12" s="1"/>
  <c r="AJ187" i="5"/>
  <c r="AY187" i="5" s="1"/>
  <c r="AI187" i="5"/>
  <c r="AI187" i="12" s="1"/>
  <c r="L187" i="12"/>
  <c r="K187" i="5"/>
  <c r="K187" i="12" s="1"/>
  <c r="J187" i="5"/>
  <c r="J187" i="12" s="1"/>
  <c r="H187" i="5"/>
  <c r="G187" i="5"/>
  <c r="F187" i="5"/>
  <c r="E187" i="5"/>
  <c r="D187" i="5"/>
  <c r="C187" i="5"/>
  <c r="B187" i="5"/>
  <c r="B187" i="12" s="1"/>
  <c r="AW186" i="5"/>
  <c r="AW186" i="12" s="1"/>
  <c r="AV186" i="5"/>
  <c r="AV186" i="12" s="1"/>
  <c r="AU186" i="5"/>
  <c r="AU186" i="12" s="1"/>
  <c r="AS186" i="5"/>
  <c r="AS186" i="12" s="1"/>
  <c r="AR186" i="5"/>
  <c r="AR186" i="12" s="1"/>
  <c r="AQ186" i="5"/>
  <c r="AQ186" i="12" s="1"/>
  <c r="AP186" i="5"/>
  <c r="AP186" i="12" s="1"/>
  <c r="AN186" i="5"/>
  <c r="AN186" i="12" s="1"/>
  <c r="AM186" i="5"/>
  <c r="AM186" i="12" s="1"/>
  <c r="AL186" i="5"/>
  <c r="AL186" i="12" s="1"/>
  <c r="AK186" i="5"/>
  <c r="AK186" i="12" s="1"/>
  <c r="AJ186" i="5"/>
  <c r="AI186" i="5"/>
  <c r="AI186" i="12" s="1"/>
  <c r="L186" i="12"/>
  <c r="K186" i="5"/>
  <c r="K186" i="12" s="1"/>
  <c r="J186" i="5"/>
  <c r="J186" i="12" s="1"/>
  <c r="H186" i="5"/>
  <c r="G186" i="5"/>
  <c r="F186" i="5"/>
  <c r="E186" i="5"/>
  <c r="D186" i="5"/>
  <c r="C186" i="5"/>
  <c r="B186" i="5"/>
  <c r="B186" i="12" s="1"/>
  <c r="AW185" i="5"/>
  <c r="AW185" i="12" s="1"/>
  <c r="AV185" i="5"/>
  <c r="AV185" i="12" s="1"/>
  <c r="AU185" i="5"/>
  <c r="AU185" i="12" s="1"/>
  <c r="AS185" i="5"/>
  <c r="AS185" i="12" s="1"/>
  <c r="AR185" i="5"/>
  <c r="AR185" i="12" s="1"/>
  <c r="AQ185" i="5"/>
  <c r="AQ185" i="12" s="1"/>
  <c r="AP185" i="5"/>
  <c r="AP185" i="12" s="1"/>
  <c r="AN185" i="5"/>
  <c r="AN185" i="12" s="1"/>
  <c r="AM185" i="5"/>
  <c r="AM185" i="12" s="1"/>
  <c r="AL185" i="5"/>
  <c r="AL185" i="12" s="1"/>
  <c r="AK185" i="5"/>
  <c r="AK185" i="12" s="1"/>
  <c r="AJ185" i="5"/>
  <c r="AI185" i="5"/>
  <c r="AI185" i="12" s="1"/>
  <c r="L185" i="12"/>
  <c r="K185" i="5"/>
  <c r="K185" i="12" s="1"/>
  <c r="J185" i="5"/>
  <c r="J185" i="12" s="1"/>
  <c r="H185" i="5"/>
  <c r="G185" i="5"/>
  <c r="F185" i="5"/>
  <c r="E185" i="5"/>
  <c r="D185" i="5"/>
  <c r="C185" i="5"/>
  <c r="B185" i="5"/>
  <c r="B185" i="12" s="1"/>
  <c r="AW184" i="5"/>
  <c r="AW184" i="12" s="1"/>
  <c r="AV184" i="5"/>
  <c r="AV184" i="12" s="1"/>
  <c r="AU184" i="5"/>
  <c r="AU184" i="12" s="1"/>
  <c r="AS184" i="5"/>
  <c r="AS184" i="12" s="1"/>
  <c r="AR184" i="5"/>
  <c r="AR184" i="12" s="1"/>
  <c r="AQ184" i="5"/>
  <c r="AQ184" i="12" s="1"/>
  <c r="AP184" i="5"/>
  <c r="AP184" i="12" s="1"/>
  <c r="AN184" i="5"/>
  <c r="AN184" i="12" s="1"/>
  <c r="AM184" i="5"/>
  <c r="AM184" i="12" s="1"/>
  <c r="AL184" i="5"/>
  <c r="AL184" i="12" s="1"/>
  <c r="AK184" i="5"/>
  <c r="AK184" i="12" s="1"/>
  <c r="AJ184" i="5"/>
  <c r="AY184" i="5" s="1"/>
  <c r="AI184" i="5"/>
  <c r="AI184" i="12" s="1"/>
  <c r="L184" i="12"/>
  <c r="K184" i="5"/>
  <c r="K184" i="12" s="1"/>
  <c r="J184" i="5"/>
  <c r="J184" i="12" s="1"/>
  <c r="H184" i="5"/>
  <c r="G184" i="5"/>
  <c r="F184" i="5"/>
  <c r="E184" i="5"/>
  <c r="D184" i="5"/>
  <c r="C184" i="5"/>
  <c r="B184" i="5"/>
  <c r="B184" i="12" s="1"/>
  <c r="AW183" i="5"/>
  <c r="AW183" i="12" s="1"/>
  <c r="AV183" i="5"/>
  <c r="AV183" i="12" s="1"/>
  <c r="AU183" i="5"/>
  <c r="AU183" i="12" s="1"/>
  <c r="AS183" i="5"/>
  <c r="AS183" i="12" s="1"/>
  <c r="AR183" i="5"/>
  <c r="AR183" i="12" s="1"/>
  <c r="AQ183" i="5"/>
  <c r="AQ183" i="12" s="1"/>
  <c r="AP183" i="5"/>
  <c r="AP183" i="12" s="1"/>
  <c r="AN183" i="5"/>
  <c r="AN183" i="12" s="1"/>
  <c r="AM183" i="5"/>
  <c r="AM183" i="12" s="1"/>
  <c r="AL183" i="5"/>
  <c r="AL183" i="12" s="1"/>
  <c r="AK183" i="5"/>
  <c r="AK183" i="12" s="1"/>
  <c r="AJ183" i="5"/>
  <c r="AI183" i="5"/>
  <c r="AI183" i="12" s="1"/>
  <c r="L183" i="12"/>
  <c r="K183" i="5"/>
  <c r="K183" i="12" s="1"/>
  <c r="J183" i="5"/>
  <c r="J183" i="12" s="1"/>
  <c r="H183" i="5"/>
  <c r="G183" i="5"/>
  <c r="F183" i="5"/>
  <c r="E183" i="5"/>
  <c r="D183" i="5"/>
  <c r="C183" i="5"/>
  <c r="B183" i="5"/>
  <c r="B183" i="12" s="1"/>
  <c r="AW182" i="5"/>
  <c r="AW182" i="12" s="1"/>
  <c r="AV182" i="5"/>
  <c r="AV182" i="12" s="1"/>
  <c r="AU182" i="5"/>
  <c r="AU182" i="12" s="1"/>
  <c r="AS182" i="5"/>
  <c r="AS182" i="12" s="1"/>
  <c r="AR182" i="5"/>
  <c r="AR182" i="12" s="1"/>
  <c r="AQ182" i="5"/>
  <c r="AQ182" i="12" s="1"/>
  <c r="AP182" i="5"/>
  <c r="AP182" i="12" s="1"/>
  <c r="AN182" i="5"/>
  <c r="AN182" i="12" s="1"/>
  <c r="AM182" i="5"/>
  <c r="AM182" i="12" s="1"/>
  <c r="AL182" i="5"/>
  <c r="AL182" i="12" s="1"/>
  <c r="AK182" i="5"/>
  <c r="AK182" i="12" s="1"/>
  <c r="AJ182" i="5"/>
  <c r="AJ182" i="12" s="1"/>
  <c r="AY182" i="12" s="1"/>
  <c r="AI182" i="5"/>
  <c r="AI182" i="12" s="1"/>
  <c r="L182" i="12"/>
  <c r="K182" i="5"/>
  <c r="K182" i="12" s="1"/>
  <c r="J182" i="5"/>
  <c r="J182" i="12" s="1"/>
  <c r="H182" i="5"/>
  <c r="G182" i="5"/>
  <c r="F182" i="5"/>
  <c r="E182" i="5"/>
  <c r="D182" i="5"/>
  <c r="C182" i="5"/>
  <c r="B182" i="5"/>
  <c r="B182" i="12" s="1"/>
  <c r="AW181" i="5"/>
  <c r="AW181" i="12" s="1"/>
  <c r="AV181" i="5"/>
  <c r="AV181" i="12" s="1"/>
  <c r="AU181" i="5"/>
  <c r="AU181" i="12" s="1"/>
  <c r="AS181" i="5"/>
  <c r="AS181" i="12" s="1"/>
  <c r="AR181" i="5"/>
  <c r="AR181" i="12" s="1"/>
  <c r="AQ181" i="5"/>
  <c r="AQ181" i="12" s="1"/>
  <c r="AP181" i="5"/>
  <c r="AP181" i="12" s="1"/>
  <c r="AN181" i="5"/>
  <c r="AN181" i="12" s="1"/>
  <c r="AM181" i="5"/>
  <c r="AM181" i="12" s="1"/>
  <c r="AL181" i="5"/>
  <c r="AL181" i="12" s="1"/>
  <c r="AK181" i="5"/>
  <c r="AK181" i="12" s="1"/>
  <c r="AJ181" i="5"/>
  <c r="AJ181" i="12" s="1"/>
  <c r="AY181" i="12" s="1"/>
  <c r="AI181" i="5"/>
  <c r="AI181" i="12" s="1"/>
  <c r="L181" i="12"/>
  <c r="K181" i="5"/>
  <c r="K181" i="12" s="1"/>
  <c r="J181" i="5"/>
  <c r="J181" i="12" s="1"/>
  <c r="H181" i="5"/>
  <c r="G181" i="5"/>
  <c r="F181" i="5"/>
  <c r="E181" i="5"/>
  <c r="D181" i="5"/>
  <c r="C181" i="5"/>
  <c r="B181" i="5"/>
  <c r="B181" i="12" s="1"/>
  <c r="AW180" i="5"/>
  <c r="AW180" i="12" s="1"/>
  <c r="AV180" i="5"/>
  <c r="AV180" i="12" s="1"/>
  <c r="AU180" i="5"/>
  <c r="AU180" i="12" s="1"/>
  <c r="AS180" i="5"/>
  <c r="AS180" i="12" s="1"/>
  <c r="AR180" i="5"/>
  <c r="AR180" i="12" s="1"/>
  <c r="AQ180" i="5"/>
  <c r="AQ180" i="12" s="1"/>
  <c r="AP180" i="5"/>
  <c r="AP180" i="12" s="1"/>
  <c r="AN180" i="5"/>
  <c r="AN180" i="12" s="1"/>
  <c r="AM180" i="5"/>
  <c r="AM180" i="12" s="1"/>
  <c r="AL180" i="5"/>
  <c r="AL180" i="12" s="1"/>
  <c r="AK180" i="5"/>
  <c r="AK180" i="12" s="1"/>
  <c r="AJ180" i="5"/>
  <c r="AY180" i="5" s="1"/>
  <c r="AI180" i="5"/>
  <c r="AI180" i="12" s="1"/>
  <c r="L180" i="12"/>
  <c r="K180" i="5"/>
  <c r="K180" i="12" s="1"/>
  <c r="J180" i="5"/>
  <c r="J180" i="12" s="1"/>
  <c r="H180" i="5"/>
  <c r="G180" i="5"/>
  <c r="F180" i="5"/>
  <c r="E180" i="5"/>
  <c r="D180" i="5"/>
  <c r="C180" i="5"/>
  <c r="B180" i="5"/>
  <c r="B180" i="12" s="1"/>
  <c r="AW179" i="5"/>
  <c r="AW179" i="12" s="1"/>
  <c r="AV179" i="5"/>
  <c r="AV179" i="12" s="1"/>
  <c r="AU179" i="5"/>
  <c r="AU179" i="12" s="1"/>
  <c r="AS179" i="5"/>
  <c r="AS179" i="12" s="1"/>
  <c r="AR179" i="5"/>
  <c r="AR179" i="12" s="1"/>
  <c r="AQ179" i="5"/>
  <c r="AQ179" i="12" s="1"/>
  <c r="AP179" i="5"/>
  <c r="AP179" i="12" s="1"/>
  <c r="AN179" i="5"/>
  <c r="AN179" i="12" s="1"/>
  <c r="AM179" i="5"/>
  <c r="AM179" i="12" s="1"/>
  <c r="AL179" i="5"/>
  <c r="AL179" i="12" s="1"/>
  <c r="AK179" i="5"/>
  <c r="AK179" i="12" s="1"/>
  <c r="AJ179" i="5"/>
  <c r="AI179" i="5"/>
  <c r="AI179" i="12" s="1"/>
  <c r="L179" i="12"/>
  <c r="K179" i="5"/>
  <c r="K179" i="12" s="1"/>
  <c r="J179" i="5"/>
  <c r="J179" i="12" s="1"/>
  <c r="H179" i="5"/>
  <c r="G179" i="5"/>
  <c r="F179" i="5"/>
  <c r="E179" i="5"/>
  <c r="D179" i="5"/>
  <c r="C179" i="5"/>
  <c r="B179" i="5"/>
  <c r="B179" i="12" s="1"/>
  <c r="AW178" i="5"/>
  <c r="AW178" i="12" s="1"/>
  <c r="AV178" i="5"/>
  <c r="AV178" i="12" s="1"/>
  <c r="AU178" i="5"/>
  <c r="AU178" i="12" s="1"/>
  <c r="AS178" i="5"/>
  <c r="AS178" i="12" s="1"/>
  <c r="AR178" i="5"/>
  <c r="AR178" i="12" s="1"/>
  <c r="AQ178" i="5"/>
  <c r="AQ178" i="12" s="1"/>
  <c r="AP178" i="5"/>
  <c r="AP178" i="12" s="1"/>
  <c r="AN178" i="5"/>
  <c r="AN178" i="12" s="1"/>
  <c r="AM178" i="5"/>
  <c r="AM178" i="12" s="1"/>
  <c r="AL178" i="5"/>
  <c r="AL178" i="12" s="1"/>
  <c r="AK178" i="5"/>
  <c r="AK178" i="12" s="1"/>
  <c r="AJ178" i="5"/>
  <c r="AI178" i="5"/>
  <c r="AI178" i="12" s="1"/>
  <c r="L178" i="12"/>
  <c r="K178" i="5"/>
  <c r="K178" i="12" s="1"/>
  <c r="J178" i="5"/>
  <c r="J178" i="12" s="1"/>
  <c r="H178" i="5"/>
  <c r="G178" i="5"/>
  <c r="F178" i="5"/>
  <c r="E178" i="5"/>
  <c r="D178" i="5"/>
  <c r="C178" i="5"/>
  <c r="B178" i="5"/>
  <c r="B178" i="12" s="1"/>
  <c r="AW177" i="5"/>
  <c r="AW177" i="12" s="1"/>
  <c r="AV177" i="5"/>
  <c r="AV177" i="12" s="1"/>
  <c r="AU177" i="5"/>
  <c r="AU177" i="12" s="1"/>
  <c r="AS177" i="5"/>
  <c r="AS177" i="12" s="1"/>
  <c r="AR177" i="5"/>
  <c r="AR177" i="12" s="1"/>
  <c r="AQ177" i="5"/>
  <c r="AQ177" i="12" s="1"/>
  <c r="AP177" i="5"/>
  <c r="AP177" i="12" s="1"/>
  <c r="AN177" i="5"/>
  <c r="AN177" i="12" s="1"/>
  <c r="AM177" i="5"/>
  <c r="AM177" i="12" s="1"/>
  <c r="AL177" i="5"/>
  <c r="AL177" i="12" s="1"/>
  <c r="AK177" i="5"/>
  <c r="AK177" i="12" s="1"/>
  <c r="AJ177" i="5"/>
  <c r="AJ177" i="12" s="1"/>
  <c r="AY177" i="12" s="1"/>
  <c r="AI177" i="5"/>
  <c r="AI177" i="12" s="1"/>
  <c r="L177" i="12"/>
  <c r="K177" i="5"/>
  <c r="K177" i="12" s="1"/>
  <c r="J177" i="5"/>
  <c r="J177" i="12" s="1"/>
  <c r="H177" i="5"/>
  <c r="G177" i="5"/>
  <c r="F177" i="5"/>
  <c r="E177" i="5"/>
  <c r="D177" i="5"/>
  <c r="C177" i="5"/>
  <c r="B177" i="5"/>
  <c r="B177" i="12" s="1"/>
  <c r="AW176" i="5"/>
  <c r="AW176" i="12" s="1"/>
  <c r="AV176" i="5"/>
  <c r="AV176" i="12" s="1"/>
  <c r="AU176" i="5"/>
  <c r="AU176" i="12" s="1"/>
  <c r="AS176" i="5"/>
  <c r="AS176" i="12" s="1"/>
  <c r="AR176" i="5"/>
  <c r="AR176" i="12" s="1"/>
  <c r="AQ176" i="5"/>
  <c r="AQ176" i="12" s="1"/>
  <c r="AP176" i="5"/>
  <c r="AP176" i="12" s="1"/>
  <c r="AN176" i="5"/>
  <c r="AN176" i="12" s="1"/>
  <c r="AM176" i="5"/>
  <c r="AM176" i="12" s="1"/>
  <c r="AL176" i="5"/>
  <c r="AL176" i="12" s="1"/>
  <c r="AK176" i="5"/>
  <c r="AK176" i="12" s="1"/>
  <c r="AJ176" i="5"/>
  <c r="AY176" i="5" s="1"/>
  <c r="AI176" i="5"/>
  <c r="AI176" i="12" s="1"/>
  <c r="L176" i="12"/>
  <c r="K176" i="5"/>
  <c r="K176" i="12" s="1"/>
  <c r="J176" i="5"/>
  <c r="J176" i="12" s="1"/>
  <c r="H176" i="5"/>
  <c r="G176" i="5"/>
  <c r="F176" i="5"/>
  <c r="E176" i="5"/>
  <c r="D176" i="5"/>
  <c r="C176" i="5"/>
  <c r="B176" i="5"/>
  <c r="B176" i="12" s="1"/>
  <c r="AW175" i="5"/>
  <c r="AW175" i="12" s="1"/>
  <c r="AV175" i="5"/>
  <c r="AV175" i="12" s="1"/>
  <c r="AU175" i="5"/>
  <c r="AU175" i="12" s="1"/>
  <c r="AS175" i="5"/>
  <c r="AS175" i="12" s="1"/>
  <c r="AR175" i="5"/>
  <c r="AR175" i="12" s="1"/>
  <c r="AQ175" i="5"/>
  <c r="AQ175" i="12" s="1"/>
  <c r="AP175" i="5"/>
  <c r="AP175" i="12" s="1"/>
  <c r="AN175" i="5"/>
  <c r="AN175" i="12" s="1"/>
  <c r="AM175" i="5"/>
  <c r="AM175" i="12" s="1"/>
  <c r="AL175" i="5"/>
  <c r="AL175" i="12" s="1"/>
  <c r="AK175" i="5"/>
  <c r="AK175" i="12" s="1"/>
  <c r="AJ175" i="5"/>
  <c r="AI175" i="5"/>
  <c r="AI175" i="12" s="1"/>
  <c r="L175" i="12"/>
  <c r="K175" i="5"/>
  <c r="K175" i="12" s="1"/>
  <c r="J175" i="5"/>
  <c r="J175" i="12" s="1"/>
  <c r="H175" i="5"/>
  <c r="G175" i="5"/>
  <c r="F175" i="5"/>
  <c r="E175" i="5"/>
  <c r="D175" i="5"/>
  <c r="C175" i="5"/>
  <c r="B175" i="5"/>
  <c r="B175" i="12" s="1"/>
  <c r="AW174" i="5"/>
  <c r="AW174" i="12" s="1"/>
  <c r="AV174" i="5"/>
  <c r="AV174" i="12" s="1"/>
  <c r="AU174" i="5"/>
  <c r="AU174" i="12" s="1"/>
  <c r="AS174" i="5"/>
  <c r="AS174" i="12" s="1"/>
  <c r="AR174" i="5"/>
  <c r="AR174" i="12" s="1"/>
  <c r="AQ174" i="5"/>
  <c r="AQ174" i="12" s="1"/>
  <c r="AP174" i="5"/>
  <c r="AP174" i="12" s="1"/>
  <c r="AN174" i="5"/>
  <c r="AN174" i="12" s="1"/>
  <c r="AM174" i="5"/>
  <c r="AM174" i="12" s="1"/>
  <c r="AL174" i="5"/>
  <c r="AL174" i="12" s="1"/>
  <c r="AK174" i="5"/>
  <c r="AK174" i="12" s="1"/>
  <c r="AJ174" i="5"/>
  <c r="AI174" i="5"/>
  <c r="AI174" i="12" s="1"/>
  <c r="L174" i="12"/>
  <c r="K174" i="5"/>
  <c r="K174" i="12" s="1"/>
  <c r="J174" i="5"/>
  <c r="J174" i="12" s="1"/>
  <c r="H174" i="5"/>
  <c r="G174" i="5"/>
  <c r="F174" i="5"/>
  <c r="E174" i="5"/>
  <c r="D174" i="5"/>
  <c r="C174" i="5"/>
  <c r="B174" i="5"/>
  <c r="B174" i="12" s="1"/>
  <c r="AW173" i="5"/>
  <c r="AW173" i="12" s="1"/>
  <c r="AV173" i="5"/>
  <c r="AV173" i="12" s="1"/>
  <c r="AU173" i="5"/>
  <c r="AU173" i="12" s="1"/>
  <c r="AS173" i="5"/>
  <c r="AS173" i="12" s="1"/>
  <c r="AR173" i="5"/>
  <c r="AR173" i="12" s="1"/>
  <c r="AQ173" i="5"/>
  <c r="AQ173" i="12" s="1"/>
  <c r="AP173" i="5"/>
  <c r="AP173" i="12" s="1"/>
  <c r="AN173" i="5"/>
  <c r="AN173" i="12" s="1"/>
  <c r="AM173" i="5"/>
  <c r="AM173" i="12" s="1"/>
  <c r="AL173" i="5"/>
  <c r="AL173" i="12" s="1"/>
  <c r="AK173" i="5"/>
  <c r="AK173" i="12" s="1"/>
  <c r="AJ173" i="5"/>
  <c r="AJ173" i="12" s="1"/>
  <c r="AY173" i="12" s="1"/>
  <c r="AI173" i="5"/>
  <c r="AI173" i="12" s="1"/>
  <c r="L173" i="12"/>
  <c r="K173" i="5"/>
  <c r="K173" i="12" s="1"/>
  <c r="J173" i="5"/>
  <c r="J173" i="12" s="1"/>
  <c r="H173" i="5"/>
  <c r="G173" i="5"/>
  <c r="F173" i="5"/>
  <c r="E173" i="5"/>
  <c r="D173" i="5"/>
  <c r="C173" i="5"/>
  <c r="B173" i="5"/>
  <c r="B173" i="12" s="1"/>
  <c r="AW172" i="5"/>
  <c r="AW172" i="12" s="1"/>
  <c r="AV172" i="5"/>
  <c r="AV172" i="12" s="1"/>
  <c r="AU172" i="5"/>
  <c r="AU172" i="12" s="1"/>
  <c r="AS172" i="5"/>
  <c r="AS172" i="12" s="1"/>
  <c r="AR172" i="5"/>
  <c r="AR172" i="12" s="1"/>
  <c r="AQ172" i="5"/>
  <c r="AQ172" i="12" s="1"/>
  <c r="AP172" i="5"/>
  <c r="AP172" i="12" s="1"/>
  <c r="AN172" i="5"/>
  <c r="AN172" i="12" s="1"/>
  <c r="AM172" i="5"/>
  <c r="AM172" i="12" s="1"/>
  <c r="AL172" i="5"/>
  <c r="AL172" i="12" s="1"/>
  <c r="AK172" i="5"/>
  <c r="AK172" i="12" s="1"/>
  <c r="AJ172" i="5"/>
  <c r="AY172" i="5" s="1"/>
  <c r="AI172" i="5"/>
  <c r="AI172" i="12" s="1"/>
  <c r="L172" i="12"/>
  <c r="K172" i="5"/>
  <c r="K172" i="12" s="1"/>
  <c r="J172" i="5"/>
  <c r="J172" i="12" s="1"/>
  <c r="H172" i="5"/>
  <c r="G172" i="5"/>
  <c r="F172" i="5"/>
  <c r="E172" i="5"/>
  <c r="D172" i="5"/>
  <c r="C172" i="5"/>
  <c r="B172" i="5"/>
  <c r="B172" i="12" s="1"/>
  <c r="AW171" i="5"/>
  <c r="AW171" i="12" s="1"/>
  <c r="AV171" i="5"/>
  <c r="AV171" i="12" s="1"/>
  <c r="AU171" i="5"/>
  <c r="AU171" i="12" s="1"/>
  <c r="AS171" i="5"/>
  <c r="AS171" i="12" s="1"/>
  <c r="AR171" i="5"/>
  <c r="AR171" i="12" s="1"/>
  <c r="AQ171" i="5"/>
  <c r="AQ171" i="12" s="1"/>
  <c r="AP171" i="5"/>
  <c r="AP171" i="12" s="1"/>
  <c r="AN171" i="5"/>
  <c r="AN171" i="12" s="1"/>
  <c r="AM171" i="5"/>
  <c r="AM171" i="12" s="1"/>
  <c r="AL171" i="5"/>
  <c r="AL171" i="12" s="1"/>
  <c r="AK171" i="5"/>
  <c r="AK171" i="12" s="1"/>
  <c r="AJ171" i="5"/>
  <c r="AI171" i="5"/>
  <c r="AI171" i="12" s="1"/>
  <c r="L171" i="12"/>
  <c r="K171" i="5"/>
  <c r="K171" i="12" s="1"/>
  <c r="J171" i="5"/>
  <c r="J171" i="12" s="1"/>
  <c r="H171" i="5"/>
  <c r="G171" i="5"/>
  <c r="F171" i="5"/>
  <c r="E171" i="5"/>
  <c r="D171" i="5"/>
  <c r="C171" i="5"/>
  <c r="B171" i="5"/>
  <c r="B171" i="12" s="1"/>
  <c r="AW170" i="5"/>
  <c r="AW170" i="12" s="1"/>
  <c r="AV170" i="5"/>
  <c r="AV170" i="12" s="1"/>
  <c r="AU170" i="5"/>
  <c r="AU170" i="12" s="1"/>
  <c r="AS170" i="5"/>
  <c r="AS170" i="12" s="1"/>
  <c r="AR170" i="5"/>
  <c r="AR170" i="12" s="1"/>
  <c r="AQ170" i="5"/>
  <c r="AQ170" i="12" s="1"/>
  <c r="AP170" i="5"/>
  <c r="AP170" i="12" s="1"/>
  <c r="AN170" i="5"/>
  <c r="AN170" i="12" s="1"/>
  <c r="AM170" i="5"/>
  <c r="AM170" i="12" s="1"/>
  <c r="AL170" i="5"/>
  <c r="AL170" i="12" s="1"/>
  <c r="AK170" i="5"/>
  <c r="AK170" i="12" s="1"/>
  <c r="AJ170" i="5"/>
  <c r="AI170" i="5"/>
  <c r="AI170" i="12" s="1"/>
  <c r="L170" i="12"/>
  <c r="K170" i="5"/>
  <c r="K170" i="12" s="1"/>
  <c r="J170" i="5"/>
  <c r="J170" i="12" s="1"/>
  <c r="H170" i="5"/>
  <c r="G170" i="5"/>
  <c r="F170" i="5"/>
  <c r="E170" i="5"/>
  <c r="D170" i="5"/>
  <c r="C170" i="5"/>
  <c r="B170" i="5"/>
  <c r="B170" i="12" s="1"/>
  <c r="AW169" i="5"/>
  <c r="AW169" i="12" s="1"/>
  <c r="AV169" i="5"/>
  <c r="AV169" i="12" s="1"/>
  <c r="AU169" i="5"/>
  <c r="AU169" i="12" s="1"/>
  <c r="AS169" i="5"/>
  <c r="AS169" i="12" s="1"/>
  <c r="AR169" i="5"/>
  <c r="AR169" i="12" s="1"/>
  <c r="AQ169" i="5"/>
  <c r="AQ169" i="12" s="1"/>
  <c r="AP169" i="5"/>
  <c r="AP169" i="12" s="1"/>
  <c r="AN169" i="5"/>
  <c r="AN169" i="12" s="1"/>
  <c r="AM169" i="5"/>
  <c r="AM169" i="12" s="1"/>
  <c r="AL169" i="5"/>
  <c r="AL169" i="12" s="1"/>
  <c r="AK169" i="5"/>
  <c r="AK169" i="12" s="1"/>
  <c r="AJ169" i="5"/>
  <c r="AI169" i="5"/>
  <c r="AI169" i="12" s="1"/>
  <c r="L169" i="12"/>
  <c r="K169" i="5"/>
  <c r="K169" i="12" s="1"/>
  <c r="J169" i="5"/>
  <c r="J169" i="12" s="1"/>
  <c r="H169" i="5"/>
  <c r="G169" i="5"/>
  <c r="F169" i="5"/>
  <c r="E169" i="5"/>
  <c r="D169" i="5"/>
  <c r="C169" i="5"/>
  <c r="B169" i="5"/>
  <c r="B169" i="12" s="1"/>
  <c r="AW168" i="5"/>
  <c r="AW168" i="12" s="1"/>
  <c r="AV168" i="5"/>
  <c r="AV168" i="12" s="1"/>
  <c r="AU168" i="5"/>
  <c r="AU168" i="12" s="1"/>
  <c r="AS168" i="5"/>
  <c r="AS168" i="12" s="1"/>
  <c r="AR168" i="5"/>
  <c r="AR168" i="12" s="1"/>
  <c r="AQ168" i="5"/>
  <c r="AQ168" i="12" s="1"/>
  <c r="AP168" i="5"/>
  <c r="AP168" i="12" s="1"/>
  <c r="AN168" i="5"/>
  <c r="AN168" i="12" s="1"/>
  <c r="AM168" i="5"/>
  <c r="AM168" i="12" s="1"/>
  <c r="AL168" i="5"/>
  <c r="AL168" i="12" s="1"/>
  <c r="AK168" i="5"/>
  <c r="AK168" i="12" s="1"/>
  <c r="AJ168" i="5"/>
  <c r="AY168" i="5" s="1"/>
  <c r="AI168" i="5"/>
  <c r="AI168" i="12" s="1"/>
  <c r="L168" i="12"/>
  <c r="K168" i="5"/>
  <c r="K168" i="12" s="1"/>
  <c r="J168" i="5"/>
  <c r="J168" i="12" s="1"/>
  <c r="H168" i="5"/>
  <c r="G168" i="5"/>
  <c r="F168" i="5"/>
  <c r="E168" i="5"/>
  <c r="D168" i="5"/>
  <c r="C168" i="5"/>
  <c r="B168" i="5"/>
  <c r="B168" i="12" s="1"/>
  <c r="AW167" i="5"/>
  <c r="AW167" i="12" s="1"/>
  <c r="AV167" i="5"/>
  <c r="AV167" i="12" s="1"/>
  <c r="AU167" i="5"/>
  <c r="AU167" i="12" s="1"/>
  <c r="AS167" i="5"/>
  <c r="AS167" i="12" s="1"/>
  <c r="AR167" i="5"/>
  <c r="AR167" i="12" s="1"/>
  <c r="AQ167" i="5"/>
  <c r="AQ167" i="12" s="1"/>
  <c r="AP167" i="5"/>
  <c r="AP167" i="12" s="1"/>
  <c r="AN167" i="5"/>
  <c r="AN167" i="12" s="1"/>
  <c r="AM167" i="5"/>
  <c r="AM167" i="12" s="1"/>
  <c r="AL167" i="5"/>
  <c r="AL167" i="12" s="1"/>
  <c r="AK167" i="5"/>
  <c r="AK167" i="12" s="1"/>
  <c r="AJ167" i="5"/>
  <c r="AI167" i="5"/>
  <c r="AI167" i="12" s="1"/>
  <c r="L167" i="12"/>
  <c r="K167" i="5"/>
  <c r="K167" i="12" s="1"/>
  <c r="J167" i="5"/>
  <c r="J167" i="12" s="1"/>
  <c r="H167" i="5"/>
  <c r="G167" i="5"/>
  <c r="F167" i="5"/>
  <c r="E167" i="5"/>
  <c r="D167" i="5"/>
  <c r="C167" i="5"/>
  <c r="B167" i="5"/>
  <c r="B167" i="12" s="1"/>
  <c r="AW166" i="5"/>
  <c r="AW166" i="12" s="1"/>
  <c r="AV166" i="5"/>
  <c r="AV166" i="12" s="1"/>
  <c r="AU166" i="5"/>
  <c r="AU166" i="12" s="1"/>
  <c r="AS166" i="5"/>
  <c r="AS166" i="12" s="1"/>
  <c r="AR166" i="5"/>
  <c r="AR166" i="12" s="1"/>
  <c r="AQ166" i="5"/>
  <c r="AQ166" i="12" s="1"/>
  <c r="AP166" i="5"/>
  <c r="AP166" i="12" s="1"/>
  <c r="AN166" i="5"/>
  <c r="AN166" i="12" s="1"/>
  <c r="AM166" i="5"/>
  <c r="AM166" i="12" s="1"/>
  <c r="AL166" i="5"/>
  <c r="AL166" i="12" s="1"/>
  <c r="AK166" i="5"/>
  <c r="AK166" i="12" s="1"/>
  <c r="AJ166" i="5"/>
  <c r="AY166" i="5" s="1"/>
  <c r="AI166" i="5"/>
  <c r="AI166" i="12" s="1"/>
  <c r="L166" i="12"/>
  <c r="K166" i="5"/>
  <c r="K166" i="12" s="1"/>
  <c r="J166" i="5"/>
  <c r="J166" i="12" s="1"/>
  <c r="H166" i="5"/>
  <c r="G166" i="5"/>
  <c r="F166" i="5"/>
  <c r="E166" i="5"/>
  <c r="D166" i="5"/>
  <c r="C166" i="5"/>
  <c r="B166" i="5"/>
  <c r="B166" i="12" s="1"/>
  <c r="AW165" i="5"/>
  <c r="AW165" i="12" s="1"/>
  <c r="AV165" i="5"/>
  <c r="AV165" i="12" s="1"/>
  <c r="AU165" i="5"/>
  <c r="AU165" i="12" s="1"/>
  <c r="AS165" i="5"/>
  <c r="AS165" i="12" s="1"/>
  <c r="AR165" i="5"/>
  <c r="AR165" i="12" s="1"/>
  <c r="AQ165" i="5"/>
  <c r="AQ165" i="12" s="1"/>
  <c r="AP165" i="5"/>
  <c r="AP165" i="12" s="1"/>
  <c r="AN165" i="5"/>
  <c r="AN165" i="12" s="1"/>
  <c r="AM165" i="5"/>
  <c r="AM165" i="12" s="1"/>
  <c r="AL165" i="5"/>
  <c r="AL165" i="12" s="1"/>
  <c r="AK165" i="5"/>
  <c r="AK165" i="12" s="1"/>
  <c r="AJ165" i="5"/>
  <c r="AI165" i="5"/>
  <c r="AI165" i="12" s="1"/>
  <c r="L165" i="12"/>
  <c r="K165" i="5"/>
  <c r="K165" i="12" s="1"/>
  <c r="J165" i="5"/>
  <c r="J165" i="12" s="1"/>
  <c r="H165" i="5"/>
  <c r="G165" i="5"/>
  <c r="F165" i="5"/>
  <c r="E165" i="5"/>
  <c r="D165" i="5"/>
  <c r="C165" i="5"/>
  <c r="B165" i="5"/>
  <c r="B165" i="12" s="1"/>
  <c r="AW164" i="5"/>
  <c r="AW164" i="12" s="1"/>
  <c r="AV164" i="5"/>
  <c r="AV164" i="12" s="1"/>
  <c r="AU164" i="5"/>
  <c r="AU164" i="12" s="1"/>
  <c r="AS164" i="5"/>
  <c r="AS164" i="12" s="1"/>
  <c r="AR164" i="5"/>
  <c r="AR164" i="12" s="1"/>
  <c r="AQ164" i="5"/>
  <c r="AQ164" i="12" s="1"/>
  <c r="AP164" i="5"/>
  <c r="AP164" i="12" s="1"/>
  <c r="AN164" i="5"/>
  <c r="AN164" i="12" s="1"/>
  <c r="AM164" i="5"/>
  <c r="AM164" i="12" s="1"/>
  <c r="AL164" i="5"/>
  <c r="AL164" i="12" s="1"/>
  <c r="AK164" i="5"/>
  <c r="AK164" i="12" s="1"/>
  <c r="AJ164" i="5"/>
  <c r="AI164" i="5"/>
  <c r="AI164" i="12" s="1"/>
  <c r="L164" i="12"/>
  <c r="K164" i="5"/>
  <c r="K164" i="12" s="1"/>
  <c r="J164" i="5"/>
  <c r="J164" i="12" s="1"/>
  <c r="H164" i="5"/>
  <c r="G164" i="5"/>
  <c r="F164" i="5"/>
  <c r="E164" i="5"/>
  <c r="D164" i="5"/>
  <c r="C164" i="5"/>
  <c r="B164" i="5"/>
  <c r="B164" i="12" s="1"/>
  <c r="AW163" i="5"/>
  <c r="AW163" i="12" s="1"/>
  <c r="AV163" i="5"/>
  <c r="AV163" i="12" s="1"/>
  <c r="AU163" i="5"/>
  <c r="AU163" i="12" s="1"/>
  <c r="AS163" i="5"/>
  <c r="AS163" i="12" s="1"/>
  <c r="AR163" i="5"/>
  <c r="AR163" i="12" s="1"/>
  <c r="AQ163" i="5"/>
  <c r="AQ163" i="12" s="1"/>
  <c r="AP163" i="5"/>
  <c r="AP163" i="12" s="1"/>
  <c r="AN163" i="5"/>
  <c r="AN163" i="12" s="1"/>
  <c r="AM163" i="5"/>
  <c r="AM163" i="12" s="1"/>
  <c r="AL163" i="5"/>
  <c r="AL163" i="12" s="1"/>
  <c r="AK163" i="5"/>
  <c r="AK163" i="12" s="1"/>
  <c r="AJ163" i="5"/>
  <c r="AI163" i="5"/>
  <c r="AI163" i="12" s="1"/>
  <c r="L163" i="12"/>
  <c r="K163" i="5"/>
  <c r="K163" i="12" s="1"/>
  <c r="J163" i="5"/>
  <c r="J163" i="12" s="1"/>
  <c r="H163" i="5"/>
  <c r="G163" i="5"/>
  <c r="F163" i="5"/>
  <c r="E163" i="5"/>
  <c r="D163" i="5"/>
  <c r="C163" i="5"/>
  <c r="B163" i="5"/>
  <c r="B163" i="12" s="1"/>
  <c r="AW162" i="5"/>
  <c r="AW162" i="12" s="1"/>
  <c r="AV162" i="5"/>
  <c r="AV162" i="12" s="1"/>
  <c r="AU162" i="5"/>
  <c r="AU162" i="12" s="1"/>
  <c r="AS162" i="5"/>
  <c r="AS162" i="12" s="1"/>
  <c r="AR162" i="5"/>
  <c r="AR162" i="12" s="1"/>
  <c r="AQ162" i="5"/>
  <c r="AQ162" i="12" s="1"/>
  <c r="AP162" i="5"/>
  <c r="AP162" i="12" s="1"/>
  <c r="AN162" i="5"/>
  <c r="AN162" i="12" s="1"/>
  <c r="AM162" i="5"/>
  <c r="AM162" i="12" s="1"/>
  <c r="AL162" i="5"/>
  <c r="AL162" i="12" s="1"/>
  <c r="AK162" i="5"/>
  <c r="AK162" i="12" s="1"/>
  <c r="AJ162" i="5"/>
  <c r="AY162" i="5" s="1"/>
  <c r="AI162" i="5"/>
  <c r="AI162" i="12" s="1"/>
  <c r="L162" i="12"/>
  <c r="K162" i="5"/>
  <c r="K162" i="12" s="1"/>
  <c r="J162" i="5"/>
  <c r="J162" i="12" s="1"/>
  <c r="H162" i="5"/>
  <c r="G162" i="5"/>
  <c r="F162" i="5"/>
  <c r="E162" i="5"/>
  <c r="D162" i="5"/>
  <c r="C162" i="5"/>
  <c r="B162" i="5"/>
  <c r="B162" i="12" s="1"/>
  <c r="AW161" i="5"/>
  <c r="AW161" i="12" s="1"/>
  <c r="AV161" i="5"/>
  <c r="AV161" i="12" s="1"/>
  <c r="AU161" i="5"/>
  <c r="AU161" i="12" s="1"/>
  <c r="AS161" i="5"/>
  <c r="AS161" i="12" s="1"/>
  <c r="AR161" i="5"/>
  <c r="AR161" i="12" s="1"/>
  <c r="AQ161" i="5"/>
  <c r="AQ161" i="12" s="1"/>
  <c r="AP161" i="5"/>
  <c r="AP161" i="12" s="1"/>
  <c r="AN161" i="5"/>
  <c r="AN161" i="12" s="1"/>
  <c r="AM161" i="5"/>
  <c r="AM161" i="12" s="1"/>
  <c r="AL161" i="5"/>
  <c r="AL161" i="12" s="1"/>
  <c r="AK161" i="5"/>
  <c r="AK161" i="12" s="1"/>
  <c r="AJ161" i="5"/>
  <c r="AI161" i="5"/>
  <c r="AI161" i="12" s="1"/>
  <c r="L161" i="12"/>
  <c r="K161" i="5"/>
  <c r="K161" i="12" s="1"/>
  <c r="J161" i="5"/>
  <c r="J161" i="12" s="1"/>
  <c r="H161" i="5"/>
  <c r="G161" i="5"/>
  <c r="F161" i="5"/>
  <c r="E161" i="5"/>
  <c r="D161" i="5"/>
  <c r="C161" i="5"/>
  <c r="B161" i="5"/>
  <c r="B161" i="12" s="1"/>
  <c r="AW160" i="5"/>
  <c r="AW160" i="12" s="1"/>
  <c r="AV160" i="5"/>
  <c r="AV160" i="12" s="1"/>
  <c r="AU160" i="5"/>
  <c r="AU160" i="12" s="1"/>
  <c r="AS160" i="5"/>
  <c r="AS160" i="12" s="1"/>
  <c r="AR160" i="5"/>
  <c r="AR160" i="12" s="1"/>
  <c r="AQ160" i="5"/>
  <c r="AQ160" i="12" s="1"/>
  <c r="AP160" i="5"/>
  <c r="AP160" i="12" s="1"/>
  <c r="AN160" i="5"/>
  <c r="AN160" i="12" s="1"/>
  <c r="AM160" i="5"/>
  <c r="AM160" i="12" s="1"/>
  <c r="AL160" i="5"/>
  <c r="AL160" i="12" s="1"/>
  <c r="AK160" i="5"/>
  <c r="AK160" i="12" s="1"/>
  <c r="AJ160" i="5"/>
  <c r="AY160" i="5" s="1"/>
  <c r="AI160" i="5"/>
  <c r="AI160" i="12" s="1"/>
  <c r="L160" i="12"/>
  <c r="K160" i="5"/>
  <c r="K160" i="12" s="1"/>
  <c r="J160" i="5"/>
  <c r="J160" i="12" s="1"/>
  <c r="H160" i="5"/>
  <c r="G160" i="5"/>
  <c r="F160" i="5"/>
  <c r="E160" i="5"/>
  <c r="D160" i="5"/>
  <c r="C160" i="5"/>
  <c r="B160" i="5"/>
  <c r="B160" i="12" s="1"/>
  <c r="AW159" i="5"/>
  <c r="AW159" i="12" s="1"/>
  <c r="AV159" i="5"/>
  <c r="AV159" i="12" s="1"/>
  <c r="AU159" i="5"/>
  <c r="AU159" i="12" s="1"/>
  <c r="AS159" i="5"/>
  <c r="AS159" i="12" s="1"/>
  <c r="AR159" i="5"/>
  <c r="AR159" i="12" s="1"/>
  <c r="AQ159" i="5"/>
  <c r="AQ159" i="12" s="1"/>
  <c r="AP159" i="5"/>
  <c r="AP159" i="12" s="1"/>
  <c r="AN159" i="5"/>
  <c r="AN159" i="12" s="1"/>
  <c r="AM159" i="5"/>
  <c r="AM159" i="12" s="1"/>
  <c r="AL159" i="5"/>
  <c r="AL159" i="12" s="1"/>
  <c r="AK159" i="5"/>
  <c r="AK159" i="12" s="1"/>
  <c r="AJ159" i="5"/>
  <c r="AJ159" i="12" s="1"/>
  <c r="AY159" i="12" s="1"/>
  <c r="AI159" i="5"/>
  <c r="AI159" i="12" s="1"/>
  <c r="L159" i="12"/>
  <c r="K159" i="5"/>
  <c r="K159" i="12" s="1"/>
  <c r="J159" i="5"/>
  <c r="J159" i="12" s="1"/>
  <c r="H159" i="5"/>
  <c r="G159" i="5"/>
  <c r="F159" i="5"/>
  <c r="E159" i="5"/>
  <c r="D159" i="5"/>
  <c r="C159" i="5"/>
  <c r="B159" i="5"/>
  <c r="B159" i="12" s="1"/>
  <c r="AW158" i="5"/>
  <c r="AW158" i="12" s="1"/>
  <c r="AV158" i="5"/>
  <c r="AV158" i="12" s="1"/>
  <c r="AU158" i="5"/>
  <c r="AU158" i="12" s="1"/>
  <c r="AS158" i="5"/>
  <c r="AS158" i="12" s="1"/>
  <c r="AR158" i="5"/>
  <c r="AR158" i="12" s="1"/>
  <c r="AQ158" i="5"/>
  <c r="AQ158" i="12" s="1"/>
  <c r="AP158" i="5"/>
  <c r="AP158" i="12" s="1"/>
  <c r="AN158" i="5"/>
  <c r="AN158" i="12" s="1"/>
  <c r="AM158" i="5"/>
  <c r="AM158" i="12" s="1"/>
  <c r="AL158" i="5"/>
  <c r="AL158" i="12" s="1"/>
  <c r="AK158" i="5"/>
  <c r="AK158" i="12" s="1"/>
  <c r="AJ158" i="5"/>
  <c r="AY158" i="5" s="1"/>
  <c r="AI158" i="5"/>
  <c r="AI158" i="12" s="1"/>
  <c r="L158" i="12"/>
  <c r="K158" i="5"/>
  <c r="K158" i="12" s="1"/>
  <c r="J158" i="5"/>
  <c r="J158" i="12" s="1"/>
  <c r="H158" i="5"/>
  <c r="G158" i="5"/>
  <c r="F158" i="5"/>
  <c r="E158" i="5"/>
  <c r="D158" i="5"/>
  <c r="C158" i="5"/>
  <c r="B158" i="5"/>
  <c r="B158" i="12" s="1"/>
  <c r="AW157" i="5"/>
  <c r="AW157" i="12" s="1"/>
  <c r="AV157" i="5"/>
  <c r="AV157" i="12" s="1"/>
  <c r="AU157" i="5"/>
  <c r="AU157" i="12" s="1"/>
  <c r="AS157" i="5"/>
  <c r="AS157" i="12" s="1"/>
  <c r="AR157" i="5"/>
  <c r="AR157" i="12" s="1"/>
  <c r="AQ157" i="5"/>
  <c r="AQ157" i="12" s="1"/>
  <c r="AP157" i="5"/>
  <c r="AP157" i="12" s="1"/>
  <c r="AN157" i="5"/>
  <c r="AN157" i="12" s="1"/>
  <c r="AM157" i="5"/>
  <c r="AM157" i="12" s="1"/>
  <c r="AL157" i="5"/>
  <c r="AL157" i="12" s="1"/>
  <c r="AK157" i="5"/>
  <c r="AK157" i="12" s="1"/>
  <c r="AJ157" i="5"/>
  <c r="AY157" i="5" s="1"/>
  <c r="AI157" i="5"/>
  <c r="AI157" i="12" s="1"/>
  <c r="L157" i="12"/>
  <c r="K157" i="5"/>
  <c r="K157" i="12" s="1"/>
  <c r="J157" i="5"/>
  <c r="J157" i="12" s="1"/>
  <c r="H157" i="5"/>
  <c r="G157" i="5"/>
  <c r="F157" i="5"/>
  <c r="E157" i="5"/>
  <c r="D157" i="5"/>
  <c r="C157" i="5"/>
  <c r="B157" i="5"/>
  <c r="B157" i="12" s="1"/>
  <c r="AW156" i="5"/>
  <c r="AW156" i="12" s="1"/>
  <c r="AV156" i="5"/>
  <c r="AV156" i="12" s="1"/>
  <c r="AU156" i="5"/>
  <c r="AU156" i="12" s="1"/>
  <c r="AS156" i="5"/>
  <c r="AS156" i="12" s="1"/>
  <c r="AR156" i="5"/>
  <c r="AR156" i="12" s="1"/>
  <c r="AQ156" i="5"/>
  <c r="AQ156" i="12" s="1"/>
  <c r="AP156" i="5"/>
  <c r="AP156" i="12" s="1"/>
  <c r="AN156" i="5"/>
  <c r="AN156" i="12" s="1"/>
  <c r="AM156" i="5"/>
  <c r="AM156" i="12" s="1"/>
  <c r="AL156" i="5"/>
  <c r="AL156" i="12" s="1"/>
  <c r="AK156" i="5"/>
  <c r="AK156" i="12" s="1"/>
  <c r="AJ156" i="5"/>
  <c r="AI156" i="5"/>
  <c r="AI156" i="12" s="1"/>
  <c r="L156" i="12"/>
  <c r="K156" i="5"/>
  <c r="K156" i="12" s="1"/>
  <c r="J156" i="5"/>
  <c r="J156" i="12" s="1"/>
  <c r="H156" i="5"/>
  <c r="G156" i="5"/>
  <c r="F156" i="5"/>
  <c r="E156" i="5"/>
  <c r="D156" i="5"/>
  <c r="C156" i="5"/>
  <c r="B156" i="5"/>
  <c r="B156" i="12" s="1"/>
  <c r="AW155" i="5"/>
  <c r="AW155" i="12" s="1"/>
  <c r="AV155" i="5"/>
  <c r="AV155" i="12" s="1"/>
  <c r="AU155" i="5"/>
  <c r="AU155" i="12" s="1"/>
  <c r="AS155" i="5"/>
  <c r="AS155" i="12" s="1"/>
  <c r="AR155" i="5"/>
  <c r="AR155" i="12" s="1"/>
  <c r="AQ155" i="5"/>
  <c r="AQ155" i="12" s="1"/>
  <c r="AP155" i="5"/>
  <c r="AP155" i="12" s="1"/>
  <c r="AN155" i="5"/>
  <c r="AN155" i="12" s="1"/>
  <c r="AM155" i="5"/>
  <c r="AM155" i="12" s="1"/>
  <c r="AL155" i="5"/>
  <c r="AL155" i="12" s="1"/>
  <c r="AK155" i="5"/>
  <c r="AK155" i="12" s="1"/>
  <c r="AJ155" i="5"/>
  <c r="AI155" i="5"/>
  <c r="AI155" i="12" s="1"/>
  <c r="L155" i="12"/>
  <c r="K155" i="5"/>
  <c r="K155" i="12" s="1"/>
  <c r="J155" i="5"/>
  <c r="J155" i="12" s="1"/>
  <c r="H155" i="5"/>
  <c r="G155" i="5"/>
  <c r="F155" i="5"/>
  <c r="E155" i="5"/>
  <c r="D155" i="5"/>
  <c r="C155" i="5"/>
  <c r="B155" i="5"/>
  <c r="B155" i="12" s="1"/>
  <c r="AW154" i="5"/>
  <c r="AW154" i="12" s="1"/>
  <c r="AV154" i="5"/>
  <c r="AV154" i="12" s="1"/>
  <c r="AU154" i="5"/>
  <c r="AU154" i="12" s="1"/>
  <c r="AS154" i="5"/>
  <c r="AS154" i="12" s="1"/>
  <c r="AR154" i="5"/>
  <c r="AR154" i="12" s="1"/>
  <c r="AQ154" i="5"/>
  <c r="AQ154" i="12" s="1"/>
  <c r="AP154" i="5"/>
  <c r="AP154" i="12" s="1"/>
  <c r="AN154" i="5"/>
  <c r="AN154" i="12" s="1"/>
  <c r="AM154" i="5"/>
  <c r="AM154" i="12" s="1"/>
  <c r="AL154" i="5"/>
  <c r="AL154" i="12" s="1"/>
  <c r="AK154" i="5"/>
  <c r="AK154" i="12" s="1"/>
  <c r="AJ154" i="5"/>
  <c r="AJ154" i="12" s="1"/>
  <c r="AY154" i="12" s="1"/>
  <c r="AI154" i="5"/>
  <c r="AI154" i="12" s="1"/>
  <c r="L154" i="12"/>
  <c r="K154" i="5"/>
  <c r="K154" i="12" s="1"/>
  <c r="J154" i="5"/>
  <c r="J154" i="12" s="1"/>
  <c r="H154" i="5"/>
  <c r="G154" i="5"/>
  <c r="F154" i="5"/>
  <c r="E154" i="5"/>
  <c r="D154" i="5"/>
  <c r="C154" i="5"/>
  <c r="B154" i="5"/>
  <c r="B154" i="12" s="1"/>
  <c r="AW153" i="5"/>
  <c r="AW153" i="12" s="1"/>
  <c r="AV153" i="5"/>
  <c r="AV153" i="12" s="1"/>
  <c r="AU153" i="5"/>
  <c r="AU153" i="12" s="1"/>
  <c r="AS153" i="5"/>
  <c r="AS153" i="12" s="1"/>
  <c r="AR153" i="5"/>
  <c r="AR153" i="12" s="1"/>
  <c r="AQ153" i="5"/>
  <c r="AQ153" i="12" s="1"/>
  <c r="AP153" i="5"/>
  <c r="AP153" i="12" s="1"/>
  <c r="AN153" i="5"/>
  <c r="AN153" i="12" s="1"/>
  <c r="AM153" i="5"/>
  <c r="AM153" i="12" s="1"/>
  <c r="AL153" i="5"/>
  <c r="AL153" i="12" s="1"/>
  <c r="AK153" i="5"/>
  <c r="AK153" i="12" s="1"/>
  <c r="AJ153" i="5"/>
  <c r="AJ153" i="12" s="1"/>
  <c r="AY153" i="12" s="1"/>
  <c r="AI153" i="5"/>
  <c r="AI153" i="12" s="1"/>
  <c r="L153" i="12"/>
  <c r="K153" i="5"/>
  <c r="K153" i="12" s="1"/>
  <c r="J153" i="5"/>
  <c r="J153" i="12" s="1"/>
  <c r="H153" i="5"/>
  <c r="G153" i="5"/>
  <c r="F153" i="5"/>
  <c r="E153" i="5"/>
  <c r="D153" i="5"/>
  <c r="C153" i="5"/>
  <c r="B153" i="5"/>
  <c r="B153" i="12" s="1"/>
  <c r="AW152" i="5"/>
  <c r="AW152" i="12" s="1"/>
  <c r="AV152" i="5"/>
  <c r="AV152" i="12" s="1"/>
  <c r="AU152" i="5"/>
  <c r="AU152" i="12" s="1"/>
  <c r="AS152" i="5"/>
  <c r="AS152" i="12" s="1"/>
  <c r="AR152" i="5"/>
  <c r="AR152" i="12" s="1"/>
  <c r="AQ152" i="5"/>
  <c r="AQ152" i="12" s="1"/>
  <c r="AP152" i="5"/>
  <c r="AP152" i="12" s="1"/>
  <c r="AN152" i="5"/>
  <c r="AN152" i="12" s="1"/>
  <c r="AM152" i="5"/>
  <c r="AM152" i="12" s="1"/>
  <c r="AL152" i="5"/>
  <c r="AL152" i="12" s="1"/>
  <c r="AK152" i="5"/>
  <c r="AK152" i="12" s="1"/>
  <c r="AJ152" i="5"/>
  <c r="AJ152" i="12" s="1"/>
  <c r="AY152" i="12" s="1"/>
  <c r="AI152" i="5"/>
  <c r="AI152" i="12" s="1"/>
  <c r="L152" i="12"/>
  <c r="K152" i="5"/>
  <c r="K152" i="12" s="1"/>
  <c r="J152" i="5"/>
  <c r="J152" i="12" s="1"/>
  <c r="H152" i="5"/>
  <c r="G152" i="5"/>
  <c r="F152" i="5"/>
  <c r="E152" i="5"/>
  <c r="D152" i="5"/>
  <c r="C152" i="5"/>
  <c r="B152" i="5"/>
  <c r="B152" i="12" s="1"/>
  <c r="AW151" i="5"/>
  <c r="AW151" i="12" s="1"/>
  <c r="AV151" i="5"/>
  <c r="AV151" i="12" s="1"/>
  <c r="AU151" i="5"/>
  <c r="AU151" i="12" s="1"/>
  <c r="AS151" i="5"/>
  <c r="AS151" i="12" s="1"/>
  <c r="AR151" i="5"/>
  <c r="AR151" i="12" s="1"/>
  <c r="AQ151" i="5"/>
  <c r="AQ151" i="12" s="1"/>
  <c r="AP151" i="5"/>
  <c r="AP151" i="12" s="1"/>
  <c r="AN151" i="5"/>
  <c r="AN151" i="12" s="1"/>
  <c r="AM151" i="5"/>
  <c r="AM151" i="12" s="1"/>
  <c r="AL151" i="5"/>
  <c r="AL151" i="12" s="1"/>
  <c r="AK151" i="5"/>
  <c r="AK151" i="12" s="1"/>
  <c r="AJ151" i="5"/>
  <c r="AY151" i="5" s="1"/>
  <c r="AI151" i="5"/>
  <c r="AI151" i="12" s="1"/>
  <c r="L151" i="12"/>
  <c r="K151" i="5"/>
  <c r="K151" i="12" s="1"/>
  <c r="J151" i="5"/>
  <c r="J151" i="12" s="1"/>
  <c r="H151" i="5"/>
  <c r="G151" i="5"/>
  <c r="F151" i="5"/>
  <c r="E151" i="5"/>
  <c r="D151" i="5"/>
  <c r="C151" i="5"/>
  <c r="B151" i="5"/>
  <c r="B151" i="12" s="1"/>
  <c r="AW150" i="5"/>
  <c r="AW150" i="12" s="1"/>
  <c r="AV150" i="5"/>
  <c r="AV150" i="12" s="1"/>
  <c r="AU150" i="5"/>
  <c r="AU150" i="12" s="1"/>
  <c r="AS150" i="5"/>
  <c r="AS150" i="12" s="1"/>
  <c r="AR150" i="5"/>
  <c r="AR150" i="12" s="1"/>
  <c r="AQ150" i="5"/>
  <c r="AQ150" i="12" s="1"/>
  <c r="AP150" i="5"/>
  <c r="AP150" i="12" s="1"/>
  <c r="AN150" i="5"/>
  <c r="AN150" i="12" s="1"/>
  <c r="AM150" i="5"/>
  <c r="AM150" i="12" s="1"/>
  <c r="AL150" i="5"/>
  <c r="AL150" i="12" s="1"/>
  <c r="AK150" i="5"/>
  <c r="AK150" i="12" s="1"/>
  <c r="AJ150" i="5"/>
  <c r="AJ150" i="12" s="1"/>
  <c r="AY150" i="12" s="1"/>
  <c r="AI150" i="5"/>
  <c r="AI150" i="12" s="1"/>
  <c r="L150" i="12"/>
  <c r="K150" i="5"/>
  <c r="K150" i="12" s="1"/>
  <c r="J150" i="5"/>
  <c r="J150" i="12" s="1"/>
  <c r="H150" i="5"/>
  <c r="G150" i="5"/>
  <c r="F150" i="5"/>
  <c r="E150" i="5"/>
  <c r="D150" i="5"/>
  <c r="C150" i="5"/>
  <c r="B150" i="5"/>
  <c r="B150" i="12" s="1"/>
  <c r="AW149" i="5"/>
  <c r="AW149" i="12" s="1"/>
  <c r="AV149" i="5"/>
  <c r="AV149" i="12" s="1"/>
  <c r="AU149" i="5"/>
  <c r="AU149" i="12" s="1"/>
  <c r="AS149" i="5"/>
  <c r="AS149" i="12" s="1"/>
  <c r="AR149" i="5"/>
  <c r="AR149" i="12" s="1"/>
  <c r="AQ149" i="5"/>
  <c r="AQ149" i="12" s="1"/>
  <c r="AP149" i="5"/>
  <c r="AP149" i="12" s="1"/>
  <c r="AN149" i="5"/>
  <c r="AN149" i="12" s="1"/>
  <c r="AM149" i="5"/>
  <c r="AM149" i="12" s="1"/>
  <c r="AL149" i="5"/>
  <c r="AL149" i="12" s="1"/>
  <c r="AK149" i="5"/>
  <c r="AK149" i="12" s="1"/>
  <c r="AJ149" i="5"/>
  <c r="AI149" i="5"/>
  <c r="AI149" i="12" s="1"/>
  <c r="L149" i="12"/>
  <c r="K149" i="5"/>
  <c r="K149" i="12" s="1"/>
  <c r="J149" i="5"/>
  <c r="J149" i="12" s="1"/>
  <c r="H149" i="5"/>
  <c r="G149" i="5"/>
  <c r="F149" i="5"/>
  <c r="E149" i="5"/>
  <c r="D149" i="5"/>
  <c r="C149" i="5"/>
  <c r="B149" i="5"/>
  <c r="B149" i="12" s="1"/>
  <c r="AW148" i="5"/>
  <c r="AW148" i="12" s="1"/>
  <c r="AV148" i="5"/>
  <c r="AV148" i="12" s="1"/>
  <c r="AU148" i="5"/>
  <c r="AU148" i="12" s="1"/>
  <c r="AS148" i="5"/>
  <c r="AS148" i="12" s="1"/>
  <c r="AR148" i="5"/>
  <c r="AR148" i="12" s="1"/>
  <c r="AQ148" i="5"/>
  <c r="AQ148" i="12" s="1"/>
  <c r="AP148" i="5"/>
  <c r="AP148" i="12" s="1"/>
  <c r="AN148" i="5"/>
  <c r="AN148" i="12" s="1"/>
  <c r="AM148" i="5"/>
  <c r="AM148" i="12" s="1"/>
  <c r="AL148" i="5"/>
  <c r="AL148" i="12" s="1"/>
  <c r="AK148" i="5"/>
  <c r="AK148" i="12" s="1"/>
  <c r="AJ148" i="5"/>
  <c r="AY148" i="5" s="1"/>
  <c r="AI148" i="5"/>
  <c r="AI148" i="12" s="1"/>
  <c r="L148" i="12"/>
  <c r="K148" i="5"/>
  <c r="K148" i="12" s="1"/>
  <c r="J148" i="5"/>
  <c r="J148" i="12" s="1"/>
  <c r="H148" i="5"/>
  <c r="G148" i="5"/>
  <c r="F148" i="5"/>
  <c r="E148" i="5"/>
  <c r="D148" i="5"/>
  <c r="C148" i="5"/>
  <c r="B148" i="5"/>
  <c r="B148" i="12" s="1"/>
  <c r="AW147" i="5"/>
  <c r="AW147" i="12" s="1"/>
  <c r="AV147" i="5"/>
  <c r="AV147" i="12" s="1"/>
  <c r="AU147" i="5"/>
  <c r="AU147" i="12" s="1"/>
  <c r="AS147" i="5"/>
  <c r="AS147" i="12" s="1"/>
  <c r="AR147" i="5"/>
  <c r="AR147" i="12" s="1"/>
  <c r="AQ147" i="5"/>
  <c r="AQ147" i="12" s="1"/>
  <c r="AP147" i="5"/>
  <c r="AP147" i="12" s="1"/>
  <c r="AN147" i="5"/>
  <c r="AN147" i="12" s="1"/>
  <c r="AM147" i="5"/>
  <c r="AM147" i="12" s="1"/>
  <c r="AL147" i="5"/>
  <c r="AL147" i="12" s="1"/>
  <c r="AK147" i="5"/>
  <c r="AK147" i="12" s="1"/>
  <c r="AJ147" i="5"/>
  <c r="AI147" i="5"/>
  <c r="AI147" i="12" s="1"/>
  <c r="L147" i="12"/>
  <c r="K147" i="5"/>
  <c r="K147" i="12" s="1"/>
  <c r="J147" i="5"/>
  <c r="J147" i="12" s="1"/>
  <c r="H147" i="5"/>
  <c r="G147" i="5"/>
  <c r="F147" i="5"/>
  <c r="E147" i="5"/>
  <c r="D147" i="5"/>
  <c r="C147" i="5"/>
  <c r="B147" i="5"/>
  <c r="B147" i="12" s="1"/>
  <c r="AW146" i="5"/>
  <c r="AW146" i="12" s="1"/>
  <c r="AV146" i="5"/>
  <c r="AV146" i="12" s="1"/>
  <c r="AU146" i="5"/>
  <c r="AU146" i="12" s="1"/>
  <c r="AS146" i="5"/>
  <c r="AS146" i="12" s="1"/>
  <c r="AR146" i="5"/>
  <c r="AR146" i="12" s="1"/>
  <c r="AQ146" i="5"/>
  <c r="AQ146" i="12" s="1"/>
  <c r="AP146" i="5"/>
  <c r="AP146" i="12" s="1"/>
  <c r="AN146" i="5"/>
  <c r="AN146" i="12" s="1"/>
  <c r="AM146" i="5"/>
  <c r="AM146" i="12" s="1"/>
  <c r="AL146" i="5"/>
  <c r="AL146" i="12" s="1"/>
  <c r="AK146" i="5"/>
  <c r="AK146" i="12" s="1"/>
  <c r="AJ146" i="5"/>
  <c r="AI146" i="5"/>
  <c r="AI146" i="12" s="1"/>
  <c r="L146" i="12"/>
  <c r="K146" i="5"/>
  <c r="K146" i="12" s="1"/>
  <c r="J146" i="5"/>
  <c r="J146" i="12" s="1"/>
  <c r="H146" i="5"/>
  <c r="G146" i="5"/>
  <c r="F146" i="5"/>
  <c r="E146" i="5"/>
  <c r="D146" i="5"/>
  <c r="C146" i="5"/>
  <c r="B146" i="5"/>
  <c r="B146" i="12" s="1"/>
  <c r="AW145" i="5"/>
  <c r="AW145" i="12" s="1"/>
  <c r="AV145" i="5"/>
  <c r="AV145" i="12" s="1"/>
  <c r="AU145" i="5"/>
  <c r="AU145" i="12" s="1"/>
  <c r="AS145" i="5"/>
  <c r="AS145" i="12" s="1"/>
  <c r="AR145" i="5"/>
  <c r="AR145" i="12" s="1"/>
  <c r="AQ145" i="5"/>
  <c r="AQ145" i="12" s="1"/>
  <c r="AP145" i="5"/>
  <c r="AP145" i="12" s="1"/>
  <c r="AN145" i="5"/>
  <c r="AN145" i="12" s="1"/>
  <c r="AM145" i="5"/>
  <c r="AM145" i="12" s="1"/>
  <c r="AL145" i="5"/>
  <c r="AL145" i="12" s="1"/>
  <c r="AK145" i="5"/>
  <c r="AK145" i="12" s="1"/>
  <c r="AJ145" i="5"/>
  <c r="AJ145" i="12" s="1"/>
  <c r="AY145" i="12" s="1"/>
  <c r="AI145" i="5"/>
  <c r="AI145" i="12" s="1"/>
  <c r="L145" i="12"/>
  <c r="K145" i="5"/>
  <c r="K145" i="12" s="1"/>
  <c r="J145" i="5"/>
  <c r="J145" i="12" s="1"/>
  <c r="H145" i="5"/>
  <c r="G145" i="5"/>
  <c r="F145" i="5"/>
  <c r="E145" i="5"/>
  <c r="D145" i="5"/>
  <c r="C145" i="5"/>
  <c r="B145" i="5"/>
  <c r="B145" i="12" s="1"/>
  <c r="AW144" i="5"/>
  <c r="AW144" i="12" s="1"/>
  <c r="AV144" i="5"/>
  <c r="AV144" i="12" s="1"/>
  <c r="AU144" i="5"/>
  <c r="AU144" i="12" s="1"/>
  <c r="AS144" i="5"/>
  <c r="AS144" i="12" s="1"/>
  <c r="AR144" i="5"/>
  <c r="AR144" i="12" s="1"/>
  <c r="AQ144" i="5"/>
  <c r="AQ144" i="12" s="1"/>
  <c r="AP144" i="5"/>
  <c r="AP144" i="12" s="1"/>
  <c r="AN144" i="5"/>
  <c r="AN144" i="12" s="1"/>
  <c r="AM144" i="5"/>
  <c r="AM144" i="12" s="1"/>
  <c r="AL144" i="5"/>
  <c r="AL144" i="12" s="1"/>
  <c r="AK144" i="5"/>
  <c r="AK144" i="12" s="1"/>
  <c r="AJ144" i="5"/>
  <c r="AY144" i="5" s="1"/>
  <c r="AI144" i="5"/>
  <c r="AI144" i="12" s="1"/>
  <c r="L144" i="12"/>
  <c r="K144" i="5"/>
  <c r="K144" i="12" s="1"/>
  <c r="J144" i="5"/>
  <c r="J144" i="12" s="1"/>
  <c r="H144" i="5"/>
  <c r="G144" i="5"/>
  <c r="F144" i="5"/>
  <c r="E144" i="5"/>
  <c r="D144" i="5"/>
  <c r="C144" i="5"/>
  <c r="B144" i="5"/>
  <c r="B144" i="12" s="1"/>
  <c r="AW143" i="5"/>
  <c r="AW143" i="12" s="1"/>
  <c r="AV143" i="5"/>
  <c r="AV143" i="12" s="1"/>
  <c r="AU143" i="5"/>
  <c r="AU143" i="12" s="1"/>
  <c r="AS143" i="5"/>
  <c r="AS143" i="12" s="1"/>
  <c r="AR143" i="5"/>
  <c r="AR143" i="12" s="1"/>
  <c r="AQ143" i="5"/>
  <c r="AQ143" i="12" s="1"/>
  <c r="AP143" i="5"/>
  <c r="AP143" i="12" s="1"/>
  <c r="AN143" i="5"/>
  <c r="AN143" i="12" s="1"/>
  <c r="AM143" i="5"/>
  <c r="AM143" i="12" s="1"/>
  <c r="AL143" i="5"/>
  <c r="AL143" i="12" s="1"/>
  <c r="AK143" i="5"/>
  <c r="AK143" i="12" s="1"/>
  <c r="AJ143" i="5"/>
  <c r="AI143" i="5"/>
  <c r="AI143" i="12" s="1"/>
  <c r="L143" i="12"/>
  <c r="K143" i="5"/>
  <c r="K143" i="12" s="1"/>
  <c r="J143" i="5"/>
  <c r="J143" i="12" s="1"/>
  <c r="H143" i="5"/>
  <c r="G143" i="5"/>
  <c r="F143" i="5"/>
  <c r="E143" i="5"/>
  <c r="D143" i="5"/>
  <c r="C143" i="5"/>
  <c r="B143" i="5"/>
  <c r="B143" i="12" s="1"/>
  <c r="AW142" i="5"/>
  <c r="AW142" i="12" s="1"/>
  <c r="AV142" i="5"/>
  <c r="AV142" i="12" s="1"/>
  <c r="AU142" i="5"/>
  <c r="AU142" i="12" s="1"/>
  <c r="AS142" i="5"/>
  <c r="AS142" i="12" s="1"/>
  <c r="AR142" i="5"/>
  <c r="AR142" i="12" s="1"/>
  <c r="AQ142" i="5"/>
  <c r="AQ142" i="12" s="1"/>
  <c r="AP142" i="5"/>
  <c r="AP142" i="12" s="1"/>
  <c r="AN142" i="5"/>
  <c r="AN142" i="12" s="1"/>
  <c r="AM142" i="5"/>
  <c r="AM142" i="12" s="1"/>
  <c r="AL142" i="5"/>
  <c r="AL142" i="12" s="1"/>
  <c r="AK142" i="5"/>
  <c r="AK142" i="12" s="1"/>
  <c r="AJ142" i="5"/>
  <c r="AI142" i="5"/>
  <c r="AI142" i="12" s="1"/>
  <c r="L142" i="12"/>
  <c r="K142" i="5"/>
  <c r="K142" i="12" s="1"/>
  <c r="J142" i="5"/>
  <c r="J142" i="12" s="1"/>
  <c r="H142" i="5"/>
  <c r="G142" i="5"/>
  <c r="F142" i="5"/>
  <c r="E142" i="5"/>
  <c r="D142" i="5"/>
  <c r="C142" i="5"/>
  <c r="B142" i="5"/>
  <c r="B142" i="12" s="1"/>
  <c r="AW141" i="5"/>
  <c r="AW141" i="12" s="1"/>
  <c r="AV141" i="5"/>
  <c r="AV141" i="12" s="1"/>
  <c r="AU141" i="5"/>
  <c r="AU141" i="12" s="1"/>
  <c r="AS141" i="5"/>
  <c r="AS141" i="12" s="1"/>
  <c r="AR141" i="5"/>
  <c r="AR141" i="12" s="1"/>
  <c r="AQ141" i="5"/>
  <c r="AQ141" i="12" s="1"/>
  <c r="AP141" i="5"/>
  <c r="AP141" i="12" s="1"/>
  <c r="AN141" i="5"/>
  <c r="AN141" i="12" s="1"/>
  <c r="AM141" i="5"/>
  <c r="AM141" i="12" s="1"/>
  <c r="AL141" i="5"/>
  <c r="AL141" i="12" s="1"/>
  <c r="AK141" i="5"/>
  <c r="AK141" i="12" s="1"/>
  <c r="AJ141" i="5"/>
  <c r="AI141" i="5"/>
  <c r="AI141" i="12" s="1"/>
  <c r="L141" i="12"/>
  <c r="K141" i="5"/>
  <c r="K141" i="12" s="1"/>
  <c r="J141" i="5"/>
  <c r="J141" i="12" s="1"/>
  <c r="H141" i="5"/>
  <c r="G141" i="5"/>
  <c r="F141" i="5"/>
  <c r="E141" i="5"/>
  <c r="D141" i="5"/>
  <c r="C141" i="5"/>
  <c r="B141" i="5"/>
  <c r="B141" i="12" s="1"/>
  <c r="AW140" i="5"/>
  <c r="AW140" i="12" s="1"/>
  <c r="AV140" i="5"/>
  <c r="AV140" i="12" s="1"/>
  <c r="AU140" i="5"/>
  <c r="AU140" i="12" s="1"/>
  <c r="AS140" i="5"/>
  <c r="AS140" i="12" s="1"/>
  <c r="AR140" i="5"/>
  <c r="AR140" i="12" s="1"/>
  <c r="AQ140" i="5"/>
  <c r="AQ140" i="12" s="1"/>
  <c r="AP140" i="5"/>
  <c r="AP140" i="12" s="1"/>
  <c r="AN140" i="5"/>
  <c r="AN140" i="12" s="1"/>
  <c r="AM140" i="5"/>
  <c r="AM140" i="12" s="1"/>
  <c r="AL140" i="5"/>
  <c r="AL140" i="12" s="1"/>
  <c r="AK140" i="5"/>
  <c r="AK140" i="12" s="1"/>
  <c r="AJ140" i="5"/>
  <c r="AJ140" i="12" s="1"/>
  <c r="AY140" i="12" s="1"/>
  <c r="AI140" i="5"/>
  <c r="AI140" i="12" s="1"/>
  <c r="L140" i="12"/>
  <c r="K140" i="5"/>
  <c r="K140" i="12" s="1"/>
  <c r="J140" i="5"/>
  <c r="J140" i="12" s="1"/>
  <c r="H140" i="5"/>
  <c r="G140" i="5"/>
  <c r="F140" i="5"/>
  <c r="E140" i="5"/>
  <c r="D140" i="5"/>
  <c r="C140" i="5"/>
  <c r="B140" i="5"/>
  <c r="B140" i="12" s="1"/>
  <c r="AW139" i="5"/>
  <c r="AW139" i="12" s="1"/>
  <c r="AV139" i="5"/>
  <c r="AV139" i="12" s="1"/>
  <c r="AU139" i="5"/>
  <c r="AU139" i="12" s="1"/>
  <c r="AS139" i="5"/>
  <c r="AS139" i="12" s="1"/>
  <c r="AR139" i="5"/>
  <c r="AR139" i="12" s="1"/>
  <c r="AQ139" i="5"/>
  <c r="AQ139" i="12" s="1"/>
  <c r="AP139" i="5"/>
  <c r="AP139" i="12" s="1"/>
  <c r="AN139" i="5"/>
  <c r="AN139" i="12" s="1"/>
  <c r="AM139" i="5"/>
  <c r="AM139" i="12" s="1"/>
  <c r="AL139" i="5"/>
  <c r="AL139" i="12" s="1"/>
  <c r="AK139" i="5"/>
  <c r="AK139" i="12" s="1"/>
  <c r="AJ139" i="5"/>
  <c r="AI139" i="5"/>
  <c r="AI139" i="12" s="1"/>
  <c r="L139" i="12"/>
  <c r="K139" i="5"/>
  <c r="K139" i="12" s="1"/>
  <c r="J139" i="5"/>
  <c r="J139" i="12" s="1"/>
  <c r="H139" i="5"/>
  <c r="G139" i="5"/>
  <c r="F139" i="5"/>
  <c r="E139" i="5"/>
  <c r="D139" i="5"/>
  <c r="C139" i="5"/>
  <c r="B139" i="5"/>
  <c r="B139" i="12" s="1"/>
  <c r="AW138" i="5"/>
  <c r="AW138" i="12" s="1"/>
  <c r="AV138" i="5"/>
  <c r="AV138" i="12" s="1"/>
  <c r="AU138" i="5"/>
  <c r="AU138" i="12" s="1"/>
  <c r="AS138" i="5"/>
  <c r="AS138" i="12" s="1"/>
  <c r="AR138" i="5"/>
  <c r="AR138" i="12" s="1"/>
  <c r="AQ138" i="5"/>
  <c r="AQ138" i="12" s="1"/>
  <c r="AP138" i="5"/>
  <c r="AP138" i="12" s="1"/>
  <c r="AN138" i="5"/>
  <c r="AN138" i="12" s="1"/>
  <c r="AM138" i="5"/>
  <c r="AM138" i="12" s="1"/>
  <c r="AL138" i="5"/>
  <c r="AL138" i="12" s="1"/>
  <c r="AK138" i="5"/>
  <c r="AK138" i="12" s="1"/>
  <c r="AJ138" i="5"/>
  <c r="AY138" i="5" s="1"/>
  <c r="AI138" i="5"/>
  <c r="AI138" i="12" s="1"/>
  <c r="L138" i="12"/>
  <c r="K138" i="5"/>
  <c r="K138" i="12" s="1"/>
  <c r="J138" i="5"/>
  <c r="J138" i="12" s="1"/>
  <c r="H138" i="5"/>
  <c r="G138" i="5"/>
  <c r="F138" i="5"/>
  <c r="E138" i="5"/>
  <c r="D138" i="5"/>
  <c r="C138" i="5"/>
  <c r="B138" i="5"/>
  <c r="B138" i="12" s="1"/>
  <c r="AW137" i="5"/>
  <c r="AW137" i="12" s="1"/>
  <c r="AV137" i="5"/>
  <c r="AV137" i="12" s="1"/>
  <c r="AU137" i="5"/>
  <c r="AU137" i="12" s="1"/>
  <c r="AS137" i="5"/>
  <c r="AS137" i="12" s="1"/>
  <c r="AR137" i="5"/>
  <c r="AR137" i="12" s="1"/>
  <c r="AQ137" i="5"/>
  <c r="AQ137" i="12" s="1"/>
  <c r="AP137" i="5"/>
  <c r="AP137" i="12" s="1"/>
  <c r="AN137" i="5"/>
  <c r="AN137" i="12" s="1"/>
  <c r="AM137" i="5"/>
  <c r="AM137" i="12" s="1"/>
  <c r="AL137" i="5"/>
  <c r="AL137" i="12" s="1"/>
  <c r="AK137" i="5"/>
  <c r="AK137" i="12" s="1"/>
  <c r="AJ137" i="5"/>
  <c r="AI137" i="5"/>
  <c r="AI137" i="12" s="1"/>
  <c r="L137" i="12"/>
  <c r="K137" i="5"/>
  <c r="K137" i="12" s="1"/>
  <c r="J137" i="5"/>
  <c r="J137" i="12" s="1"/>
  <c r="H137" i="5"/>
  <c r="G137" i="5"/>
  <c r="F137" i="5"/>
  <c r="E137" i="5"/>
  <c r="D137" i="5"/>
  <c r="C137" i="5"/>
  <c r="B137" i="5"/>
  <c r="B137" i="12" s="1"/>
  <c r="AW136" i="5"/>
  <c r="AW136" i="12" s="1"/>
  <c r="AV136" i="5"/>
  <c r="AV136" i="12" s="1"/>
  <c r="AU136" i="5"/>
  <c r="AU136" i="12" s="1"/>
  <c r="AS136" i="5"/>
  <c r="AS136" i="12" s="1"/>
  <c r="AR136" i="5"/>
  <c r="AR136" i="12" s="1"/>
  <c r="AQ136" i="5"/>
  <c r="AQ136" i="12" s="1"/>
  <c r="AP136" i="5"/>
  <c r="AP136" i="12" s="1"/>
  <c r="AN136" i="5"/>
  <c r="AN136" i="12" s="1"/>
  <c r="AM136" i="5"/>
  <c r="AM136" i="12" s="1"/>
  <c r="AL136" i="5"/>
  <c r="AL136" i="12" s="1"/>
  <c r="AK136" i="5"/>
  <c r="AK136" i="12" s="1"/>
  <c r="AJ136" i="5"/>
  <c r="AI136" i="5"/>
  <c r="AI136" i="12" s="1"/>
  <c r="L136" i="12"/>
  <c r="K136" i="5"/>
  <c r="K136" i="12" s="1"/>
  <c r="J136" i="5"/>
  <c r="J136" i="12" s="1"/>
  <c r="H136" i="5"/>
  <c r="G136" i="5"/>
  <c r="F136" i="5"/>
  <c r="E136" i="5"/>
  <c r="D136" i="5"/>
  <c r="C136" i="5"/>
  <c r="B136" i="5"/>
  <c r="B136" i="12" s="1"/>
  <c r="AW135" i="5"/>
  <c r="AW135" i="12" s="1"/>
  <c r="AV135" i="5"/>
  <c r="AV135" i="12" s="1"/>
  <c r="AU135" i="5"/>
  <c r="AU135" i="12" s="1"/>
  <c r="AS135" i="5"/>
  <c r="AS135" i="12" s="1"/>
  <c r="AR135" i="5"/>
  <c r="AR135" i="12" s="1"/>
  <c r="AQ135" i="5"/>
  <c r="AQ135" i="12" s="1"/>
  <c r="AP135" i="5"/>
  <c r="AP135" i="12" s="1"/>
  <c r="AN135" i="5"/>
  <c r="AN135" i="12" s="1"/>
  <c r="AM135" i="5"/>
  <c r="AM135" i="12" s="1"/>
  <c r="AL135" i="5"/>
  <c r="AL135" i="12" s="1"/>
  <c r="AK135" i="5"/>
  <c r="AK135" i="12" s="1"/>
  <c r="AJ135" i="5"/>
  <c r="AY135" i="5" s="1"/>
  <c r="AI135" i="5"/>
  <c r="AI135" i="12" s="1"/>
  <c r="L135" i="12"/>
  <c r="K135" i="5"/>
  <c r="K135" i="12" s="1"/>
  <c r="J135" i="5"/>
  <c r="J135" i="12" s="1"/>
  <c r="H135" i="5"/>
  <c r="G135" i="5"/>
  <c r="F135" i="5"/>
  <c r="E135" i="5"/>
  <c r="D135" i="5"/>
  <c r="C135" i="5"/>
  <c r="B135" i="5"/>
  <c r="B135" i="12" s="1"/>
  <c r="AW134" i="5"/>
  <c r="AW134" i="12" s="1"/>
  <c r="AV134" i="5"/>
  <c r="AV134" i="12" s="1"/>
  <c r="AU134" i="5"/>
  <c r="AU134" i="12" s="1"/>
  <c r="AS134" i="5"/>
  <c r="AS134" i="12" s="1"/>
  <c r="AR134" i="5"/>
  <c r="AR134" i="12" s="1"/>
  <c r="AQ134" i="5"/>
  <c r="AQ134" i="12" s="1"/>
  <c r="AP134" i="5"/>
  <c r="AP134" i="12" s="1"/>
  <c r="AN134" i="5"/>
  <c r="AN134" i="12" s="1"/>
  <c r="AM134" i="5"/>
  <c r="AM134" i="12" s="1"/>
  <c r="AL134" i="5"/>
  <c r="AL134" i="12" s="1"/>
  <c r="AK134" i="5"/>
  <c r="AK134" i="12" s="1"/>
  <c r="AJ134" i="5"/>
  <c r="AI134" i="5"/>
  <c r="AI134" i="12" s="1"/>
  <c r="L134" i="12"/>
  <c r="K134" i="5"/>
  <c r="K134" i="12" s="1"/>
  <c r="J134" i="5"/>
  <c r="J134" i="12" s="1"/>
  <c r="H134" i="5"/>
  <c r="G134" i="5"/>
  <c r="F134" i="5"/>
  <c r="E134" i="5"/>
  <c r="D134" i="5"/>
  <c r="C134" i="5"/>
  <c r="B134" i="5"/>
  <c r="B134" i="12" s="1"/>
  <c r="AW133" i="5"/>
  <c r="AW133" i="12" s="1"/>
  <c r="AV133" i="5"/>
  <c r="AV133" i="12" s="1"/>
  <c r="AU133" i="5"/>
  <c r="AU133" i="12" s="1"/>
  <c r="AS133" i="5"/>
  <c r="AS133" i="12" s="1"/>
  <c r="AR133" i="5"/>
  <c r="AR133" i="12" s="1"/>
  <c r="AQ133" i="5"/>
  <c r="AQ133" i="12" s="1"/>
  <c r="AP133" i="5"/>
  <c r="AP133" i="12" s="1"/>
  <c r="AN133" i="5"/>
  <c r="AN133" i="12" s="1"/>
  <c r="AM133" i="5"/>
  <c r="AM133" i="12" s="1"/>
  <c r="AL133" i="5"/>
  <c r="AL133" i="12" s="1"/>
  <c r="AK133" i="5"/>
  <c r="AK133" i="12" s="1"/>
  <c r="AJ133" i="5"/>
  <c r="AJ133" i="12" s="1"/>
  <c r="AY133" i="12" s="1"/>
  <c r="AI133" i="5"/>
  <c r="AI133" i="12" s="1"/>
  <c r="L133" i="12"/>
  <c r="K133" i="5"/>
  <c r="K133" i="12" s="1"/>
  <c r="J133" i="5"/>
  <c r="J133" i="12" s="1"/>
  <c r="H133" i="5"/>
  <c r="G133" i="5"/>
  <c r="F133" i="5"/>
  <c r="E133" i="5"/>
  <c r="D133" i="5"/>
  <c r="C133" i="5"/>
  <c r="B133" i="5"/>
  <c r="B133" i="12" s="1"/>
  <c r="AW132" i="5"/>
  <c r="AW132" i="12" s="1"/>
  <c r="AV132" i="5"/>
  <c r="AV132" i="12" s="1"/>
  <c r="AU132" i="5"/>
  <c r="AU132" i="12" s="1"/>
  <c r="AS132" i="5"/>
  <c r="AS132" i="12" s="1"/>
  <c r="AR132" i="5"/>
  <c r="AR132" i="12" s="1"/>
  <c r="AQ132" i="5"/>
  <c r="AQ132" i="12" s="1"/>
  <c r="AP132" i="5"/>
  <c r="AP132" i="12" s="1"/>
  <c r="AN132" i="5"/>
  <c r="AN132" i="12" s="1"/>
  <c r="AM132" i="5"/>
  <c r="AM132" i="12" s="1"/>
  <c r="AL132" i="5"/>
  <c r="AL132" i="12" s="1"/>
  <c r="AK132" i="5"/>
  <c r="AK132" i="12" s="1"/>
  <c r="AJ132" i="5"/>
  <c r="AI132" i="5"/>
  <c r="AI132" i="12" s="1"/>
  <c r="L132" i="12"/>
  <c r="K132" i="5"/>
  <c r="K132" i="12" s="1"/>
  <c r="J132" i="5"/>
  <c r="J132" i="12" s="1"/>
  <c r="H132" i="5"/>
  <c r="G132" i="5"/>
  <c r="F132" i="5"/>
  <c r="F132" i="12" s="1"/>
  <c r="E132" i="5"/>
  <c r="E132" i="12" s="1"/>
  <c r="D132" i="5"/>
  <c r="D132" i="12" s="1"/>
  <c r="C132" i="5"/>
  <c r="B132" i="5"/>
  <c r="B132" i="12" s="1"/>
  <c r="AW131" i="5"/>
  <c r="AW131" i="12" s="1"/>
  <c r="AV131" i="5"/>
  <c r="AV131" i="12" s="1"/>
  <c r="AU131" i="5"/>
  <c r="AU131" i="12" s="1"/>
  <c r="AS131" i="5"/>
  <c r="AS131" i="12" s="1"/>
  <c r="AR131" i="5"/>
  <c r="AR131" i="12" s="1"/>
  <c r="AQ131" i="5"/>
  <c r="AQ131" i="12" s="1"/>
  <c r="AP131" i="5"/>
  <c r="AP131" i="12" s="1"/>
  <c r="AN131" i="5"/>
  <c r="AN131" i="12" s="1"/>
  <c r="AM131" i="5"/>
  <c r="AM131" i="12" s="1"/>
  <c r="AL131" i="5"/>
  <c r="AL131" i="12" s="1"/>
  <c r="AK131" i="5"/>
  <c r="AK131" i="12" s="1"/>
  <c r="AJ131" i="5"/>
  <c r="AJ131" i="12" s="1"/>
  <c r="AY131" i="12" s="1"/>
  <c r="AI131" i="5"/>
  <c r="AI131" i="12" s="1"/>
  <c r="L131" i="12"/>
  <c r="K131" i="5"/>
  <c r="K131" i="12" s="1"/>
  <c r="J131" i="5"/>
  <c r="J131" i="12" s="1"/>
  <c r="H131" i="5"/>
  <c r="G131" i="5"/>
  <c r="F131" i="5"/>
  <c r="F131" i="12" s="1"/>
  <c r="E131" i="5"/>
  <c r="E131" i="12" s="1"/>
  <c r="D131" i="5"/>
  <c r="D131" i="12" s="1"/>
  <c r="C131" i="5"/>
  <c r="B131" i="5"/>
  <c r="B131" i="12" s="1"/>
  <c r="AW130" i="5"/>
  <c r="AW130" i="12" s="1"/>
  <c r="AV130" i="5"/>
  <c r="AV130" i="12" s="1"/>
  <c r="AU130" i="5"/>
  <c r="AU130" i="12" s="1"/>
  <c r="AS130" i="5"/>
  <c r="AS130" i="12" s="1"/>
  <c r="AR130" i="5"/>
  <c r="AR130" i="12" s="1"/>
  <c r="AQ130" i="5"/>
  <c r="AQ130" i="12" s="1"/>
  <c r="AP130" i="5"/>
  <c r="AP130" i="12" s="1"/>
  <c r="AN130" i="5"/>
  <c r="AN130" i="12" s="1"/>
  <c r="AM130" i="5"/>
  <c r="AM130" i="12" s="1"/>
  <c r="AL130" i="5"/>
  <c r="AL130" i="12" s="1"/>
  <c r="AK130" i="5"/>
  <c r="AK130" i="12" s="1"/>
  <c r="AJ130" i="5"/>
  <c r="AI130" i="5"/>
  <c r="AI130" i="12" s="1"/>
  <c r="L130" i="12"/>
  <c r="K130" i="5"/>
  <c r="K130" i="12" s="1"/>
  <c r="J130" i="5"/>
  <c r="J130" i="12" s="1"/>
  <c r="H130" i="5"/>
  <c r="G130" i="5"/>
  <c r="F130" i="5"/>
  <c r="F130" i="12" s="1"/>
  <c r="E130" i="5"/>
  <c r="E130" i="12" s="1"/>
  <c r="D130" i="5"/>
  <c r="D130" i="12" s="1"/>
  <c r="C130" i="5"/>
  <c r="B130" i="5"/>
  <c r="B130" i="12" s="1"/>
  <c r="AW129" i="5"/>
  <c r="AW129" i="12" s="1"/>
  <c r="AV129" i="5"/>
  <c r="AV129" i="12" s="1"/>
  <c r="AU129" i="5"/>
  <c r="AU129" i="12" s="1"/>
  <c r="AS129" i="5"/>
  <c r="AS129" i="12" s="1"/>
  <c r="AR129" i="5"/>
  <c r="AR129" i="12" s="1"/>
  <c r="AQ129" i="5"/>
  <c r="AQ129" i="12" s="1"/>
  <c r="AP129" i="5"/>
  <c r="AP129" i="12" s="1"/>
  <c r="AN129" i="5"/>
  <c r="AN129" i="12" s="1"/>
  <c r="AM129" i="5"/>
  <c r="AM129" i="12" s="1"/>
  <c r="AL129" i="5"/>
  <c r="AL129" i="12" s="1"/>
  <c r="AK129" i="5"/>
  <c r="AK129" i="12" s="1"/>
  <c r="AJ129" i="5"/>
  <c r="AY129" i="5" s="1"/>
  <c r="AI129" i="5"/>
  <c r="AI129" i="12" s="1"/>
  <c r="L129" i="12"/>
  <c r="K129" i="5"/>
  <c r="K129" i="12" s="1"/>
  <c r="J129" i="5"/>
  <c r="J129" i="12" s="1"/>
  <c r="H129" i="5"/>
  <c r="G129" i="5"/>
  <c r="F129" i="5"/>
  <c r="F129" i="12" s="1"/>
  <c r="E129" i="5"/>
  <c r="E129" i="12" s="1"/>
  <c r="D129" i="5"/>
  <c r="D129" i="12" s="1"/>
  <c r="C129" i="5"/>
  <c r="B129" i="5"/>
  <c r="B129" i="12" s="1"/>
  <c r="AW128" i="5"/>
  <c r="AW128" i="12" s="1"/>
  <c r="AV128" i="5"/>
  <c r="AV128" i="12" s="1"/>
  <c r="AU128" i="5"/>
  <c r="AU128" i="12" s="1"/>
  <c r="AS128" i="5"/>
  <c r="AS128" i="12" s="1"/>
  <c r="AR128" i="5"/>
  <c r="AR128" i="12" s="1"/>
  <c r="AQ128" i="5"/>
  <c r="AQ128" i="12" s="1"/>
  <c r="AP128" i="5"/>
  <c r="AP128" i="12" s="1"/>
  <c r="AN128" i="5"/>
  <c r="AN128" i="12" s="1"/>
  <c r="AM128" i="5"/>
  <c r="AM128" i="12" s="1"/>
  <c r="AL128" i="5"/>
  <c r="AL128" i="12" s="1"/>
  <c r="AK128" i="5"/>
  <c r="AK128" i="12" s="1"/>
  <c r="AJ128" i="5"/>
  <c r="AJ128" i="12" s="1"/>
  <c r="AY128" i="12" s="1"/>
  <c r="AI128" i="5"/>
  <c r="AI128" i="12" s="1"/>
  <c r="L128" i="12"/>
  <c r="K128" i="5"/>
  <c r="K128" i="12" s="1"/>
  <c r="J128" i="5"/>
  <c r="J128" i="12" s="1"/>
  <c r="H128" i="5"/>
  <c r="G128" i="5"/>
  <c r="F128" i="5"/>
  <c r="F128" i="12" s="1"/>
  <c r="E128" i="5"/>
  <c r="E128" i="12" s="1"/>
  <c r="D128" i="5"/>
  <c r="D128" i="12" s="1"/>
  <c r="C128" i="5"/>
  <c r="B128" i="5"/>
  <c r="B128" i="12" s="1"/>
  <c r="C132" i="12" l="1"/>
  <c r="C130" i="12"/>
  <c r="C131" i="12"/>
  <c r="C129" i="12"/>
  <c r="C157" i="12"/>
  <c r="D157" i="12"/>
  <c r="F143" i="12"/>
  <c r="AJ151" i="12"/>
  <c r="AY151" i="12" s="1"/>
  <c r="F135" i="12"/>
  <c r="D189" i="12"/>
  <c r="E183" i="12"/>
  <c r="F140" i="12"/>
  <c r="E143" i="12"/>
  <c r="E140" i="12"/>
  <c r="F136" i="12"/>
  <c r="C165" i="12"/>
  <c r="E149" i="12"/>
  <c r="F149" i="12"/>
  <c r="D137" i="12"/>
  <c r="D139" i="12"/>
  <c r="E136" i="12"/>
  <c r="E139" i="12"/>
  <c r="C144" i="12"/>
  <c r="C153" i="12"/>
  <c r="D165" i="12"/>
  <c r="AJ176" i="12"/>
  <c r="AY176" i="12" s="1"/>
  <c r="AJ184" i="12"/>
  <c r="AY184" i="12" s="1"/>
  <c r="C189" i="12"/>
  <c r="C147" i="12"/>
  <c r="F139" i="12"/>
  <c r="E150" i="12"/>
  <c r="C158" i="12"/>
  <c r="AJ187" i="12"/>
  <c r="AY187" i="12" s="1"/>
  <c r="E189" i="12"/>
  <c r="F142" i="12"/>
  <c r="D153" i="12"/>
  <c r="D143" i="12"/>
  <c r="F150" i="12"/>
  <c r="AJ166" i="12"/>
  <c r="AY166" i="12" s="1"/>
  <c r="E137" i="12"/>
  <c r="F138" i="12"/>
  <c r="C143" i="12"/>
  <c r="D144" i="12"/>
  <c r="E145" i="12"/>
  <c r="F146" i="12"/>
  <c r="D152" i="12"/>
  <c r="E153" i="12"/>
  <c r="C159" i="12"/>
  <c r="F162" i="12"/>
  <c r="F178" i="12"/>
  <c r="C135" i="12"/>
  <c r="D136" i="12"/>
  <c r="AY137" i="5"/>
  <c r="AJ137" i="12"/>
  <c r="AY137" i="12" s="1"/>
  <c r="C151" i="12"/>
  <c r="F154" i="12"/>
  <c r="D160" i="12"/>
  <c r="E161" i="12"/>
  <c r="C167" i="12"/>
  <c r="D168" i="12"/>
  <c r="E169" i="12"/>
  <c r="AY169" i="5"/>
  <c r="AJ169" i="12"/>
  <c r="AY169" i="12" s="1"/>
  <c r="F170" i="12"/>
  <c r="C175" i="12"/>
  <c r="D176" i="12"/>
  <c r="E177" i="12"/>
  <c r="D184" i="12"/>
  <c r="E185" i="12"/>
  <c r="F186" i="12"/>
  <c r="C191" i="12"/>
  <c r="D192" i="12"/>
  <c r="F133" i="12"/>
  <c r="C138" i="12"/>
  <c r="F141" i="12"/>
  <c r="C146" i="12"/>
  <c r="D147" i="12"/>
  <c r="E148" i="12"/>
  <c r="C154" i="12"/>
  <c r="D155" i="12"/>
  <c r="E156" i="12"/>
  <c r="F157" i="12"/>
  <c r="C162" i="12"/>
  <c r="D163" i="12"/>
  <c r="E164" i="12"/>
  <c r="F165" i="12"/>
  <c r="C170" i="12"/>
  <c r="D171" i="12"/>
  <c r="F173" i="12"/>
  <c r="C178" i="12"/>
  <c r="D179" i="12"/>
  <c r="E180" i="12"/>
  <c r="F181" i="12"/>
  <c r="C186" i="12"/>
  <c r="D187" i="12"/>
  <c r="E188" i="12"/>
  <c r="F189" i="12"/>
  <c r="D138" i="12"/>
  <c r="D146" i="12"/>
  <c r="E147" i="12"/>
  <c r="F148" i="12"/>
  <c r="D154" i="12"/>
  <c r="E155" i="12"/>
  <c r="AY155" i="5"/>
  <c r="AJ155" i="12"/>
  <c r="AY155" i="12" s="1"/>
  <c r="F156" i="12"/>
  <c r="D162" i="12"/>
  <c r="E163" i="12"/>
  <c r="F164" i="12"/>
  <c r="C169" i="12"/>
  <c r="D170" i="12"/>
  <c r="E171" i="12"/>
  <c r="F172" i="12"/>
  <c r="C177" i="12"/>
  <c r="D178" i="12"/>
  <c r="E179" i="12"/>
  <c r="F180" i="12"/>
  <c r="C185" i="12"/>
  <c r="D186" i="12"/>
  <c r="E187" i="12"/>
  <c r="F188" i="12"/>
  <c r="E172" i="12"/>
  <c r="C136" i="12"/>
  <c r="E138" i="12"/>
  <c r="D145" i="12"/>
  <c r="E146" i="12"/>
  <c r="AY146" i="5"/>
  <c r="AJ146" i="12"/>
  <c r="AY146" i="12" s="1"/>
  <c r="F147" i="12"/>
  <c r="C152" i="12"/>
  <c r="E154" i="12"/>
  <c r="F155" i="12"/>
  <c r="D161" i="12"/>
  <c r="E162" i="12"/>
  <c r="F163" i="12"/>
  <c r="C168" i="12"/>
  <c r="D169" i="12"/>
  <c r="E170" i="12"/>
  <c r="AY170" i="5"/>
  <c r="AJ170" i="12"/>
  <c r="AY170" i="12" s="1"/>
  <c r="F171" i="12"/>
  <c r="C176" i="12"/>
  <c r="D177" i="12"/>
  <c r="E178" i="12"/>
  <c r="F179" i="12"/>
  <c r="C184" i="12"/>
  <c r="D185" i="12"/>
  <c r="E186" i="12"/>
  <c r="F187" i="12"/>
  <c r="AJ172" i="12"/>
  <c r="AY172" i="12" s="1"/>
  <c r="C134" i="12"/>
  <c r="D135" i="12"/>
  <c r="C142" i="12"/>
  <c r="E144" i="12"/>
  <c r="F145" i="12"/>
  <c r="C150" i="12"/>
  <c r="D151" i="12"/>
  <c r="E152" i="12"/>
  <c r="D159" i="12"/>
  <c r="E160" i="12"/>
  <c r="F161" i="12"/>
  <c r="C166" i="12"/>
  <c r="D167" i="12"/>
  <c r="E168" i="12"/>
  <c r="F169" i="12"/>
  <c r="C174" i="12"/>
  <c r="D175" i="12"/>
  <c r="E176" i="12"/>
  <c r="F177" i="12"/>
  <c r="D183" i="12"/>
  <c r="E184" i="12"/>
  <c r="F185" i="12"/>
  <c r="D191" i="12"/>
  <c r="E192" i="12"/>
  <c r="F153" i="12"/>
  <c r="C133" i="12"/>
  <c r="D134" i="12"/>
  <c r="E135" i="12"/>
  <c r="C141" i="12"/>
  <c r="D142" i="12"/>
  <c r="F144" i="12"/>
  <c r="C149" i="12"/>
  <c r="E151" i="12"/>
  <c r="D158" i="12"/>
  <c r="E159" i="12"/>
  <c r="F160" i="12"/>
  <c r="D166" i="12"/>
  <c r="E167" i="12"/>
  <c r="F168" i="12"/>
  <c r="D174" i="12"/>
  <c r="E175" i="12"/>
  <c r="F176" i="12"/>
  <c r="D182" i="12"/>
  <c r="F184" i="12"/>
  <c r="D190" i="12"/>
  <c r="E191" i="12"/>
  <c r="F192" i="12"/>
  <c r="F137" i="12"/>
  <c r="C173" i="12"/>
  <c r="D133" i="12"/>
  <c r="E134" i="12"/>
  <c r="C140" i="12"/>
  <c r="D141" i="12"/>
  <c r="C148" i="12"/>
  <c r="F151" i="12"/>
  <c r="E158" i="12"/>
  <c r="F159" i="12"/>
  <c r="C164" i="12"/>
  <c r="E166" i="12"/>
  <c r="F167" i="12"/>
  <c r="D173" i="12"/>
  <c r="E174" i="12"/>
  <c r="F175" i="12"/>
  <c r="C180" i="12"/>
  <c r="D181" i="12"/>
  <c r="E182" i="12"/>
  <c r="F183" i="12"/>
  <c r="E190" i="12"/>
  <c r="F191" i="12"/>
  <c r="AJ135" i="12"/>
  <c r="AY135" i="12" s="1"/>
  <c r="AJ160" i="12"/>
  <c r="AY160" i="12" s="1"/>
  <c r="C172" i="12"/>
  <c r="C188" i="12"/>
  <c r="E133" i="12"/>
  <c r="F134" i="12"/>
  <c r="C139" i="12"/>
  <c r="D140" i="12"/>
  <c r="E141" i="12"/>
  <c r="D148" i="12"/>
  <c r="C155" i="12"/>
  <c r="D156" i="12"/>
  <c r="E157" i="12"/>
  <c r="F158" i="12"/>
  <c r="D164" i="12"/>
  <c r="E165" i="12"/>
  <c r="F166" i="12"/>
  <c r="E173" i="12"/>
  <c r="F174" i="12"/>
  <c r="C179" i="12"/>
  <c r="D180" i="12"/>
  <c r="E181" i="12"/>
  <c r="F182" i="12"/>
  <c r="C187" i="12"/>
  <c r="D188" i="12"/>
  <c r="F190" i="12"/>
  <c r="E142" i="12"/>
  <c r="D149" i="12"/>
  <c r="D150" i="12"/>
  <c r="F152" i="12"/>
  <c r="D172" i="12"/>
  <c r="AJ180" i="12"/>
  <c r="AY180" i="12" s="1"/>
  <c r="AY143" i="5"/>
  <c r="AJ143" i="12"/>
  <c r="AY143" i="12" s="1"/>
  <c r="AY164" i="5"/>
  <c r="AJ164" i="12"/>
  <c r="AY164" i="12" s="1"/>
  <c r="AJ129" i="12"/>
  <c r="AY129" i="12" s="1"/>
  <c r="AY161" i="5"/>
  <c r="AJ161" i="12"/>
  <c r="AY161" i="12" s="1"/>
  <c r="AY186" i="5"/>
  <c r="AJ186" i="12"/>
  <c r="AY186" i="12" s="1"/>
  <c r="AJ138" i="12"/>
  <c r="AY138" i="12" s="1"/>
  <c r="AY179" i="5"/>
  <c r="AJ179" i="12"/>
  <c r="AY179" i="12" s="1"/>
  <c r="AY141" i="5"/>
  <c r="AJ141" i="12"/>
  <c r="AY141" i="12" s="1"/>
  <c r="AY165" i="5"/>
  <c r="AJ165" i="12"/>
  <c r="AY165" i="12" s="1"/>
  <c r="AY177" i="5"/>
  <c r="AY175" i="5"/>
  <c r="AJ175" i="12"/>
  <c r="AY175" i="12" s="1"/>
  <c r="AJ157" i="12"/>
  <c r="AY157" i="12" s="1"/>
  <c r="AY133" i="5"/>
  <c r="AJ168" i="12"/>
  <c r="AY168" i="12" s="1"/>
  <c r="AY182" i="5"/>
  <c r="AY131" i="5"/>
  <c r="AY147" i="5"/>
  <c r="AJ147" i="12"/>
  <c r="AY147" i="12" s="1"/>
  <c r="C182" i="12"/>
  <c r="C183" i="12"/>
  <c r="AY132" i="5"/>
  <c r="AJ132" i="12"/>
  <c r="AY132" i="12" s="1"/>
  <c r="AY140" i="5"/>
  <c r="C145" i="12"/>
  <c r="AY152" i="5"/>
  <c r="AY192" i="5"/>
  <c r="AY142" i="5"/>
  <c r="AJ142" i="12"/>
  <c r="AY142" i="12" s="1"/>
  <c r="AY153" i="5"/>
  <c r="C137" i="12"/>
  <c r="AJ144" i="12"/>
  <c r="AY144" i="12" s="1"/>
  <c r="AY183" i="5"/>
  <c r="AJ183" i="12"/>
  <c r="AY183" i="12" s="1"/>
  <c r="AY145" i="5"/>
  <c r="AY173" i="5"/>
  <c r="AY149" i="5"/>
  <c r="AJ149" i="12"/>
  <c r="AY149" i="12" s="1"/>
  <c r="AY150" i="5"/>
  <c r="AY130" i="5"/>
  <c r="AJ130" i="12"/>
  <c r="AY130" i="12" s="1"/>
  <c r="AY139" i="5"/>
  <c r="AJ139" i="12"/>
  <c r="AY139" i="12" s="1"/>
  <c r="AY136" i="5"/>
  <c r="AJ136" i="12"/>
  <c r="AY136" i="12" s="1"/>
  <c r="AY191" i="5"/>
  <c r="AJ191" i="12"/>
  <c r="AY191" i="12" s="1"/>
  <c r="C156" i="12"/>
  <c r="AJ148" i="12"/>
  <c r="AY148" i="12" s="1"/>
  <c r="AY128" i="5"/>
  <c r="C160" i="12"/>
  <c r="C181" i="12"/>
  <c r="C128" i="12"/>
  <c r="AY134" i="5"/>
  <c r="AJ134" i="12"/>
  <c r="AY134" i="12" s="1"/>
  <c r="C161" i="12"/>
  <c r="AY188" i="5"/>
  <c r="AY189" i="5"/>
  <c r="AY190" i="5"/>
  <c r="AJ190" i="12"/>
  <c r="AY190" i="12" s="1"/>
  <c r="C192" i="12"/>
  <c r="C190" i="12"/>
  <c r="AY185" i="5"/>
  <c r="AJ185" i="12"/>
  <c r="AY185" i="12" s="1"/>
  <c r="C163" i="12"/>
  <c r="AY154" i="5"/>
  <c r="AY178" i="5"/>
  <c r="AJ178" i="12"/>
  <c r="AY178" i="12" s="1"/>
  <c r="AY159" i="5"/>
  <c r="AY163" i="5"/>
  <c r="AJ163" i="12"/>
  <c r="AY163" i="12" s="1"/>
  <c r="C171" i="12"/>
  <c r="AJ158" i="12"/>
  <c r="AY158" i="12" s="1"/>
  <c r="AY171" i="5"/>
  <c r="AJ171" i="12"/>
  <c r="AY171" i="12" s="1"/>
  <c r="AY174" i="5"/>
  <c r="AJ174" i="12"/>
  <c r="AY174" i="12" s="1"/>
  <c r="AY156" i="5"/>
  <c r="AJ156" i="12"/>
  <c r="AY156" i="12" s="1"/>
  <c r="AY167" i="5"/>
  <c r="AJ167" i="12"/>
  <c r="AY167" i="12" s="1"/>
  <c r="AY181" i="5"/>
  <c r="AJ162" i="12"/>
  <c r="AY162" i="12" s="1"/>
  <c r="H13" i="5" l="1"/>
  <c r="H127" i="5" l="1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G13" i="5"/>
  <c r="BN13" i="5" s="1"/>
  <c r="BP77" i="4"/>
  <c r="BQ77" i="4" s="1"/>
  <c r="BR77" i="4" s="1"/>
  <c r="BS77" i="4" s="1"/>
  <c r="BT77" i="4" s="1"/>
  <c r="BU77" i="4" s="1"/>
  <c r="BV77" i="4" s="1"/>
  <c r="BW77" i="4" s="1"/>
  <c r="BX77" i="4" s="1"/>
  <c r="BY77" i="4" s="1"/>
  <c r="BZ77" i="4" s="1"/>
  <c r="CA77" i="4" s="1"/>
  <c r="CB77" i="4" s="1"/>
  <c r="CC77" i="4" s="1"/>
  <c r="CD77" i="4" s="1"/>
  <c r="CE77" i="4" s="1"/>
  <c r="CF77" i="4" s="1"/>
  <c r="CG77" i="4" s="1"/>
  <c r="CH77" i="4" s="1"/>
  <c r="CI77" i="4" s="1"/>
  <c r="CJ77" i="4" s="1"/>
  <c r="CK77" i="4" s="1"/>
  <c r="CL77" i="4" s="1"/>
  <c r="CM77" i="4" s="1"/>
  <c r="CN77" i="4" s="1"/>
  <c r="CO77" i="4" s="1"/>
  <c r="CP77" i="4" s="1"/>
  <c r="CQ77" i="4" s="1"/>
  <c r="CR77" i="4" s="1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CN127" i="12" l="1"/>
  <c r="CH127" i="12"/>
  <c r="CN126" i="12"/>
  <c r="CH126" i="12"/>
  <c r="CN125" i="12"/>
  <c r="CH125" i="12"/>
  <c r="CN124" i="12"/>
  <c r="CH124" i="12"/>
  <c r="CN123" i="12"/>
  <c r="CH123" i="12"/>
  <c r="CN122" i="12"/>
  <c r="CH122" i="12"/>
  <c r="CN121" i="12"/>
  <c r="CH121" i="12"/>
  <c r="CN120" i="12"/>
  <c r="CH120" i="12"/>
  <c r="CN119" i="12"/>
  <c r="CH119" i="12"/>
  <c r="CN118" i="12"/>
  <c r="CH118" i="12"/>
  <c r="CN117" i="12"/>
  <c r="CH117" i="12"/>
  <c r="CN116" i="12"/>
  <c r="CH116" i="12"/>
  <c r="CN115" i="12"/>
  <c r="CH115" i="12"/>
  <c r="CN114" i="12"/>
  <c r="CH114" i="12"/>
  <c r="CN113" i="12"/>
  <c r="CH113" i="12"/>
  <c r="CN112" i="12"/>
  <c r="CH112" i="12"/>
  <c r="CN111" i="12"/>
  <c r="CH111" i="12"/>
  <c r="CN110" i="12"/>
  <c r="CH110" i="12"/>
  <c r="CN109" i="12"/>
  <c r="CH109" i="12"/>
  <c r="CN108" i="12"/>
  <c r="CH108" i="12"/>
  <c r="CN107" i="12"/>
  <c r="CH107" i="12"/>
  <c r="CN106" i="12"/>
  <c r="CH106" i="12"/>
  <c r="CN105" i="12"/>
  <c r="CH105" i="12"/>
  <c r="CN104" i="12"/>
  <c r="CH104" i="12"/>
  <c r="CN103" i="12"/>
  <c r="CH103" i="12"/>
  <c r="CN102" i="12"/>
  <c r="CH102" i="12"/>
  <c r="CN101" i="12"/>
  <c r="CH101" i="12"/>
  <c r="CN100" i="12"/>
  <c r="CH100" i="12"/>
  <c r="CN99" i="12"/>
  <c r="CH99" i="12"/>
  <c r="CN98" i="12"/>
  <c r="CH98" i="12"/>
  <c r="CN97" i="12"/>
  <c r="CH97" i="12"/>
  <c r="CN96" i="12"/>
  <c r="CH96" i="12"/>
  <c r="CN95" i="12"/>
  <c r="CH95" i="12"/>
  <c r="CN94" i="12"/>
  <c r="CH94" i="12"/>
  <c r="CN93" i="12"/>
  <c r="CH93" i="12"/>
  <c r="CN92" i="12"/>
  <c r="CH92" i="12"/>
  <c r="CN91" i="12"/>
  <c r="CH91" i="12"/>
  <c r="CN90" i="12"/>
  <c r="CH90" i="12"/>
  <c r="CN89" i="12"/>
  <c r="CH89" i="12"/>
  <c r="CN88" i="12"/>
  <c r="CH88" i="12"/>
  <c r="CN87" i="12"/>
  <c r="CH87" i="12"/>
  <c r="CN86" i="12"/>
  <c r="CH86" i="12"/>
  <c r="CN85" i="12"/>
  <c r="CH85" i="12"/>
  <c r="CN84" i="12"/>
  <c r="CH84" i="12"/>
  <c r="CN83" i="12"/>
  <c r="CH83" i="12"/>
  <c r="CN82" i="12"/>
  <c r="CH82" i="12"/>
  <c r="CN81" i="12"/>
  <c r="CH81" i="12"/>
  <c r="CN80" i="12"/>
  <c r="CH80" i="12"/>
  <c r="CN79" i="12"/>
  <c r="CH79" i="12"/>
  <c r="CN78" i="12"/>
  <c r="CH78" i="12"/>
  <c r="CN77" i="12"/>
  <c r="CH77" i="12"/>
  <c r="CN76" i="12"/>
  <c r="CH76" i="12"/>
  <c r="CN75" i="12"/>
  <c r="CH75" i="12"/>
  <c r="CN74" i="12"/>
  <c r="CH74" i="12"/>
  <c r="CN73" i="12"/>
  <c r="CH73" i="12"/>
  <c r="AW127" i="5"/>
  <c r="AW127" i="12" s="1"/>
  <c r="AV127" i="5"/>
  <c r="AV127" i="12" s="1"/>
  <c r="AU127" i="5"/>
  <c r="AU127" i="12" s="1"/>
  <c r="AS127" i="5"/>
  <c r="AS127" i="12" s="1"/>
  <c r="AR127" i="5"/>
  <c r="AR127" i="12" s="1"/>
  <c r="AQ127" i="5"/>
  <c r="AQ127" i="12" s="1"/>
  <c r="AP127" i="5"/>
  <c r="AP127" i="12" s="1"/>
  <c r="AN127" i="5"/>
  <c r="AN127" i="12" s="1"/>
  <c r="AM127" i="5"/>
  <c r="AM127" i="12" s="1"/>
  <c r="AL127" i="5"/>
  <c r="AK127" i="5"/>
  <c r="AK127" i="12" s="1"/>
  <c r="AJ127" i="5"/>
  <c r="AJ127" i="12" s="1"/>
  <c r="AY127" i="12" s="1"/>
  <c r="AI127" i="5"/>
  <c r="AI127" i="12" s="1"/>
  <c r="L127" i="12"/>
  <c r="K127" i="5"/>
  <c r="K127" i="12" s="1"/>
  <c r="J127" i="5"/>
  <c r="J127" i="12" s="1"/>
  <c r="F127" i="5"/>
  <c r="E127" i="5"/>
  <c r="D127" i="5"/>
  <c r="C127" i="5"/>
  <c r="B127" i="5"/>
  <c r="B127" i="12" s="1"/>
  <c r="AW126" i="5"/>
  <c r="AW126" i="12" s="1"/>
  <c r="AV126" i="5"/>
  <c r="AV126" i="12" s="1"/>
  <c r="AU126" i="5"/>
  <c r="AU126" i="12" s="1"/>
  <c r="AS126" i="5"/>
  <c r="AS126" i="12" s="1"/>
  <c r="AR126" i="5"/>
  <c r="AR126" i="12" s="1"/>
  <c r="AQ126" i="5"/>
  <c r="AQ126" i="12" s="1"/>
  <c r="AP126" i="5"/>
  <c r="AP126" i="12" s="1"/>
  <c r="AN126" i="5"/>
  <c r="AN126" i="12" s="1"/>
  <c r="AM126" i="5"/>
  <c r="AM126" i="12" s="1"/>
  <c r="AL126" i="5"/>
  <c r="AL126" i="12" s="1"/>
  <c r="AK126" i="5"/>
  <c r="AK126" i="12" s="1"/>
  <c r="AJ126" i="5"/>
  <c r="AI126" i="5"/>
  <c r="AI126" i="12" s="1"/>
  <c r="L126" i="12"/>
  <c r="K126" i="5"/>
  <c r="K126" i="12" s="1"/>
  <c r="J126" i="5"/>
  <c r="J126" i="12" s="1"/>
  <c r="F126" i="5"/>
  <c r="E126" i="5"/>
  <c r="D126" i="5"/>
  <c r="C126" i="5"/>
  <c r="B126" i="5"/>
  <c r="B126" i="12" s="1"/>
  <c r="AW125" i="5"/>
  <c r="AW125" i="12" s="1"/>
  <c r="AV125" i="5"/>
  <c r="AV125" i="12" s="1"/>
  <c r="AU125" i="5"/>
  <c r="AU125" i="12" s="1"/>
  <c r="AS125" i="5"/>
  <c r="AS125" i="12" s="1"/>
  <c r="AR125" i="5"/>
  <c r="AR125" i="12" s="1"/>
  <c r="AQ125" i="5"/>
  <c r="AQ125" i="12" s="1"/>
  <c r="AP125" i="5"/>
  <c r="AP125" i="12" s="1"/>
  <c r="AN125" i="5"/>
  <c r="AN125" i="12" s="1"/>
  <c r="AM125" i="5"/>
  <c r="AM125" i="12" s="1"/>
  <c r="AL125" i="5"/>
  <c r="AK125" i="5"/>
  <c r="AK125" i="12" s="1"/>
  <c r="AJ125" i="5"/>
  <c r="AY125" i="5" s="1"/>
  <c r="AI125" i="5"/>
  <c r="AI125" i="12" s="1"/>
  <c r="L125" i="12"/>
  <c r="K125" i="5"/>
  <c r="K125" i="12" s="1"/>
  <c r="J125" i="5"/>
  <c r="J125" i="12" s="1"/>
  <c r="F125" i="5"/>
  <c r="E125" i="5"/>
  <c r="D125" i="5"/>
  <c r="C125" i="5"/>
  <c r="B125" i="5"/>
  <c r="B125" i="12" s="1"/>
  <c r="AW124" i="5"/>
  <c r="AW124" i="12" s="1"/>
  <c r="AV124" i="5"/>
  <c r="AV124" i="12" s="1"/>
  <c r="AU124" i="5"/>
  <c r="AU124" i="12" s="1"/>
  <c r="AS124" i="5"/>
  <c r="AS124" i="12" s="1"/>
  <c r="AR124" i="5"/>
  <c r="AR124" i="12" s="1"/>
  <c r="AQ124" i="5"/>
  <c r="AQ124" i="12" s="1"/>
  <c r="AP124" i="5"/>
  <c r="AP124" i="12" s="1"/>
  <c r="AN124" i="5"/>
  <c r="AN124" i="12" s="1"/>
  <c r="AM124" i="5"/>
  <c r="AM124" i="12" s="1"/>
  <c r="AL124" i="5"/>
  <c r="AK124" i="5"/>
  <c r="AK124" i="12" s="1"/>
  <c r="AJ124" i="5"/>
  <c r="AI124" i="5"/>
  <c r="AI124" i="12" s="1"/>
  <c r="L124" i="12"/>
  <c r="K124" i="5"/>
  <c r="K124" i="12" s="1"/>
  <c r="J124" i="5"/>
  <c r="J124" i="12" s="1"/>
  <c r="F124" i="5"/>
  <c r="E124" i="5"/>
  <c r="D124" i="5"/>
  <c r="C124" i="5"/>
  <c r="B124" i="5"/>
  <c r="B124" i="12" s="1"/>
  <c r="AW123" i="5"/>
  <c r="AW123" i="12" s="1"/>
  <c r="AV123" i="5"/>
  <c r="AV123" i="12" s="1"/>
  <c r="AU123" i="5"/>
  <c r="AU123" i="12" s="1"/>
  <c r="AS123" i="5"/>
  <c r="AS123" i="12" s="1"/>
  <c r="AR123" i="5"/>
  <c r="AR123" i="12" s="1"/>
  <c r="AQ123" i="5"/>
  <c r="AQ123" i="12" s="1"/>
  <c r="AP123" i="5"/>
  <c r="AP123" i="12" s="1"/>
  <c r="AN123" i="5"/>
  <c r="AN123" i="12" s="1"/>
  <c r="AM123" i="5"/>
  <c r="AM123" i="12" s="1"/>
  <c r="AL123" i="5"/>
  <c r="AK123" i="5"/>
  <c r="AK123" i="12" s="1"/>
  <c r="AJ123" i="5"/>
  <c r="AI123" i="5"/>
  <c r="AI123" i="12" s="1"/>
  <c r="L123" i="12"/>
  <c r="K123" i="5"/>
  <c r="K123" i="12" s="1"/>
  <c r="J123" i="5"/>
  <c r="J123" i="12" s="1"/>
  <c r="F123" i="5"/>
  <c r="E123" i="5"/>
  <c r="D123" i="5"/>
  <c r="C123" i="5"/>
  <c r="B123" i="5"/>
  <c r="B123" i="12" s="1"/>
  <c r="AW122" i="5"/>
  <c r="AW122" i="12" s="1"/>
  <c r="AV122" i="5"/>
  <c r="AV122" i="12" s="1"/>
  <c r="AU122" i="5"/>
  <c r="AU122" i="12" s="1"/>
  <c r="AS122" i="5"/>
  <c r="AS122" i="12" s="1"/>
  <c r="AR122" i="5"/>
  <c r="AR122" i="12" s="1"/>
  <c r="AQ122" i="5"/>
  <c r="AQ122" i="12" s="1"/>
  <c r="AP122" i="5"/>
  <c r="AP122" i="12" s="1"/>
  <c r="AN122" i="5"/>
  <c r="AN122" i="12" s="1"/>
  <c r="AM122" i="5"/>
  <c r="AM122" i="12" s="1"/>
  <c r="AL122" i="5"/>
  <c r="AK122" i="5"/>
  <c r="AK122" i="12" s="1"/>
  <c r="AJ122" i="5"/>
  <c r="AI122" i="5"/>
  <c r="AI122" i="12" s="1"/>
  <c r="L122" i="12"/>
  <c r="K122" i="5"/>
  <c r="K122" i="12" s="1"/>
  <c r="J122" i="5"/>
  <c r="J122" i="12" s="1"/>
  <c r="F122" i="5"/>
  <c r="E122" i="5"/>
  <c r="D122" i="5"/>
  <c r="C122" i="5"/>
  <c r="B122" i="5"/>
  <c r="B122" i="12" s="1"/>
  <c r="AW121" i="5"/>
  <c r="AW121" i="12" s="1"/>
  <c r="AV121" i="5"/>
  <c r="AV121" i="12" s="1"/>
  <c r="AU121" i="5"/>
  <c r="AU121" i="12" s="1"/>
  <c r="AS121" i="5"/>
  <c r="AS121" i="12" s="1"/>
  <c r="AR121" i="5"/>
  <c r="AR121" i="12" s="1"/>
  <c r="AQ121" i="5"/>
  <c r="AQ121" i="12" s="1"/>
  <c r="AP121" i="5"/>
  <c r="AP121" i="12" s="1"/>
  <c r="AN121" i="5"/>
  <c r="AN121" i="12" s="1"/>
  <c r="AM121" i="5"/>
  <c r="AM121" i="12" s="1"/>
  <c r="AL121" i="5"/>
  <c r="AK121" i="5"/>
  <c r="AK121" i="12" s="1"/>
  <c r="AJ121" i="5"/>
  <c r="AI121" i="5"/>
  <c r="AI121" i="12" s="1"/>
  <c r="L121" i="12"/>
  <c r="K121" i="5"/>
  <c r="K121" i="12" s="1"/>
  <c r="J121" i="5"/>
  <c r="J121" i="12" s="1"/>
  <c r="F121" i="5"/>
  <c r="E121" i="5"/>
  <c r="D121" i="5"/>
  <c r="C121" i="5"/>
  <c r="B121" i="5"/>
  <c r="B121" i="12" s="1"/>
  <c r="AW120" i="5"/>
  <c r="AW120" i="12" s="1"/>
  <c r="AV120" i="5"/>
  <c r="AV120" i="12" s="1"/>
  <c r="AU120" i="5"/>
  <c r="AU120" i="12" s="1"/>
  <c r="AS120" i="5"/>
  <c r="AS120" i="12" s="1"/>
  <c r="AR120" i="5"/>
  <c r="AR120" i="12" s="1"/>
  <c r="AQ120" i="5"/>
  <c r="AQ120" i="12" s="1"/>
  <c r="AP120" i="5"/>
  <c r="AP120" i="12" s="1"/>
  <c r="AN120" i="5"/>
  <c r="AN120" i="12" s="1"/>
  <c r="AM120" i="5"/>
  <c r="AM120" i="12" s="1"/>
  <c r="AL120" i="5"/>
  <c r="AK120" i="5"/>
  <c r="AK120" i="12" s="1"/>
  <c r="AJ120" i="5"/>
  <c r="AI120" i="5"/>
  <c r="AI120" i="12" s="1"/>
  <c r="L120" i="12"/>
  <c r="K120" i="5"/>
  <c r="K120" i="12" s="1"/>
  <c r="J120" i="5"/>
  <c r="J120" i="12" s="1"/>
  <c r="F120" i="5"/>
  <c r="E120" i="5"/>
  <c r="D120" i="5"/>
  <c r="C120" i="5"/>
  <c r="B120" i="5"/>
  <c r="B120" i="12" s="1"/>
  <c r="AW119" i="5"/>
  <c r="AW119" i="12" s="1"/>
  <c r="AV119" i="5"/>
  <c r="AV119" i="12" s="1"/>
  <c r="AU119" i="5"/>
  <c r="AU119" i="12" s="1"/>
  <c r="AS119" i="5"/>
  <c r="AS119" i="12" s="1"/>
  <c r="AR119" i="5"/>
  <c r="AR119" i="12" s="1"/>
  <c r="AQ119" i="5"/>
  <c r="AQ119" i="12" s="1"/>
  <c r="AP119" i="5"/>
  <c r="AP119" i="12" s="1"/>
  <c r="AN119" i="5"/>
  <c r="AN119" i="12" s="1"/>
  <c r="AM119" i="5"/>
  <c r="AM119" i="12" s="1"/>
  <c r="AL119" i="5"/>
  <c r="AK119" i="5"/>
  <c r="AK119" i="12" s="1"/>
  <c r="AJ119" i="5"/>
  <c r="AY119" i="5" s="1"/>
  <c r="AI119" i="5"/>
  <c r="AI119" i="12" s="1"/>
  <c r="L119" i="12"/>
  <c r="K119" i="5"/>
  <c r="K119" i="12" s="1"/>
  <c r="J119" i="5"/>
  <c r="J119" i="12" s="1"/>
  <c r="F119" i="5"/>
  <c r="E119" i="5"/>
  <c r="D119" i="5"/>
  <c r="C119" i="5"/>
  <c r="B119" i="5"/>
  <c r="B119" i="12" s="1"/>
  <c r="AW118" i="5"/>
  <c r="AW118" i="12" s="1"/>
  <c r="AV118" i="5"/>
  <c r="AV118" i="12" s="1"/>
  <c r="AU118" i="5"/>
  <c r="AU118" i="12" s="1"/>
  <c r="AS118" i="5"/>
  <c r="AS118" i="12" s="1"/>
  <c r="AR118" i="5"/>
  <c r="AR118" i="12" s="1"/>
  <c r="AQ118" i="5"/>
  <c r="AQ118" i="12" s="1"/>
  <c r="AP118" i="5"/>
  <c r="AP118" i="12" s="1"/>
  <c r="AN118" i="5"/>
  <c r="AN118" i="12" s="1"/>
  <c r="AM118" i="5"/>
  <c r="AM118" i="12" s="1"/>
  <c r="AL118" i="5"/>
  <c r="AK118" i="5"/>
  <c r="AK118" i="12" s="1"/>
  <c r="AJ118" i="5"/>
  <c r="AI118" i="5"/>
  <c r="AI118" i="12" s="1"/>
  <c r="L118" i="12"/>
  <c r="K118" i="5"/>
  <c r="K118" i="12" s="1"/>
  <c r="J118" i="5"/>
  <c r="J118" i="12" s="1"/>
  <c r="F118" i="5"/>
  <c r="E118" i="5"/>
  <c r="D118" i="5"/>
  <c r="C118" i="5"/>
  <c r="B118" i="5"/>
  <c r="B118" i="12" s="1"/>
  <c r="AW117" i="5"/>
  <c r="AW117" i="12" s="1"/>
  <c r="AV117" i="5"/>
  <c r="AV117" i="12" s="1"/>
  <c r="AU117" i="5"/>
  <c r="AU117" i="12" s="1"/>
  <c r="AS117" i="5"/>
  <c r="AS117" i="12" s="1"/>
  <c r="AR117" i="5"/>
  <c r="AR117" i="12" s="1"/>
  <c r="AQ117" i="5"/>
  <c r="AQ117" i="12" s="1"/>
  <c r="AP117" i="5"/>
  <c r="AP117" i="12" s="1"/>
  <c r="AN117" i="5"/>
  <c r="AN117" i="12" s="1"/>
  <c r="AM117" i="5"/>
  <c r="AM117" i="12" s="1"/>
  <c r="AL117" i="5"/>
  <c r="AK117" i="5"/>
  <c r="AK117" i="12" s="1"/>
  <c r="AJ117" i="5"/>
  <c r="AY117" i="5" s="1"/>
  <c r="AI117" i="5"/>
  <c r="AI117" i="12" s="1"/>
  <c r="L117" i="12"/>
  <c r="K117" i="5"/>
  <c r="K117" i="12" s="1"/>
  <c r="J117" i="5"/>
  <c r="J117" i="12" s="1"/>
  <c r="F117" i="5"/>
  <c r="E117" i="5"/>
  <c r="D117" i="5"/>
  <c r="C117" i="5"/>
  <c r="B117" i="5"/>
  <c r="B117" i="12" s="1"/>
  <c r="AW116" i="5"/>
  <c r="AW116" i="12" s="1"/>
  <c r="AV116" i="5"/>
  <c r="AV116" i="12" s="1"/>
  <c r="AU116" i="5"/>
  <c r="AU116" i="12" s="1"/>
  <c r="AS116" i="5"/>
  <c r="AS116" i="12" s="1"/>
  <c r="AR116" i="5"/>
  <c r="AR116" i="12" s="1"/>
  <c r="AQ116" i="5"/>
  <c r="AQ116" i="12" s="1"/>
  <c r="AP116" i="5"/>
  <c r="AP116" i="12" s="1"/>
  <c r="AN116" i="5"/>
  <c r="AN116" i="12" s="1"/>
  <c r="AM116" i="5"/>
  <c r="AM116" i="12" s="1"/>
  <c r="AL116" i="5"/>
  <c r="AK116" i="5"/>
  <c r="AK116" i="12" s="1"/>
  <c r="AJ116" i="5"/>
  <c r="AY116" i="5" s="1"/>
  <c r="AI116" i="5"/>
  <c r="AI116" i="12" s="1"/>
  <c r="L116" i="12"/>
  <c r="K116" i="5"/>
  <c r="K116" i="12" s="1"/>
  <c r="J116" i="5"/>
  <c r="J116" i="12" s="1"/>
  <c r="F116" i="5"/>
  <c r="E116" i="5"/>
  <c r="D116" i="5"/>
  <c r="C116" i="5"/>
  <c r="B116" i="5"/>
  <c r="B116" i="12" s="1"/>
  <c r="AW115" i="5"/>
  <c r="AW115" i="12" s="1"/>
  <c r="AV115" i="5"/>
  <c r="AV115" i="12" s="1"/>
  <c r="AU115" i="5"/>
  <c r="AU115" i="12" s="1"/>
  <c r="AS115" i="5"/>
  <c r="AS115" i="12" s="1"/>
  <c r="AR115" i="5"/>
  <c r="AR115" i="12" s="1"/>
  <c r="AQ115" i="5"/>
  <c r="AQ115" i="12" s="1"/>
  <c r="AP115" i="5"/>
  <c r="AP115" i="12" s="1"/>
  <c r="AN115" i="5"/>
  <c r="AN115" i="12" s="1"/>
  <c r="AM115" i="5"/>
  <c r="AM115" i="12" s="1"/>
  <c r="AL115" i="5"/>
  <c r="AL115" i="12" s="1"/>
  <c r="AK115" i="5"/>
  <c r="AK115" i="12" s="1"/>
  <c r="AJ115" i="5"/>
  <c r="AJ115" i="12" s="1"/>
  <c r="AY115" i="12" s="1"/>
  <c r="AI115" i="5"/>
  <c r="AI115" i="12" s="1"/>
  <c r="L115" i="12"/>
  <c r="K115" i="5"/>
  <c r="K115" i="12" s="1"/>
  <c r="J115" i="5"/>
  <c r="J115" i="12" s="1"/>
  <c r="F115" i="5"/>
  <c r="E115" i="5"/>
  <c r="D115" i="5"/>
  <c r="C115" i="5"/>
  <c r="B115" i="5"/>
  <c r="B115" i="12" s="1"/>
  <c r="AW114" i="5"/>
  <c r="AW114" i="12" s="1"/>
  <c r="AV114" i="5"/>
  <c r="AV114" i="12" s="1"/>
  <c r="AU114" i="5"/>
  <c r="AU114" i="12" s="1"/>
  <c r="AS114" i="5"/>
  <c r="AS114" i="12" s="1"/>
  <c r="AR114" i="5"/>
  <c r="AR114" i="12" s="1"/>
  <c r="AQ114" i="5"/>
  <c r="AQ114" i="12" s="1"/>
  <c r="AP114" i="5"/>
  <c r="AP114" i="12" s="1"/>
  <c r="AN114" i="5"/>
  <c r="AN114" i="12" s="1"/>
  <c r="AM114" i="5"/>
  <c r="AM114" i="12" s="1"/>
  <c r="AL114" i="5"/>
  <c r="AK114" i="5"/>
  <c r="AK114" i="12" s="1"/>
  <c r="AJ114" i="5"/>
  <c r="AY114" i="5" s="1"/>
  <c r="AI114" i="5"/>
  <c r="AI114" i="12" s="1"/>
  <c r="L114" i="12"/>
  <c r="K114" i="5"/>
  <c r="K114" i="12" s="1"/>
  <c r="J114" i="5"/>
  <c r="J114" i="12" s="1"/>
  <c r="F114" i="5"/>
  <c r="E114" i="5"/>
  <c r="D114" i="5"/>
  <c r="C114" i="5"/>
  <c r="B114" i="5"/>
  <c r="B114" i="12" s="1"/>
  <c r="AW113" i="5"/>
  <c r="AW113" i="12" s="1"/>
  <c r="AV113" i="5"/>
  <c r="AV113" i="12" s="1"/>
  <c r="AU113" i="5"/>
  <c r="AU113" i="12" s="1"/>
  <c r="AS113" i="5"/>
  <c r="AS113" i="12" s="1"/>
  <c r="AR113" i="5"/>
  <c r="AR113" i="12" s="1"/>
  <c r="AQ113" i="5"/>
  <c r="AQ113" i="12" s="1"/>
  <c r="AP113" i="5"/>
  <c r="AP113" i="12" s="1"/>
  <c r="AN113" i="5"/>
  <c r="AN113" i="12" s="1"/>
  <c r="AM113" i="5"/>
  <c r="AM113" i="12" s="1"/>
  <c r="AL113" i="5"/>
  <c r="AK113" i="5"/>
  <c r="AK113" i="12" s="1"/>
  <c r="AJ113" i="5"/>
  <c r="AJ113" i="12" s="1"/>
  <c r="AY113" i="12" s="1"/>
  <c r="AI113" i="5"/>
  <c r="AI113" i="12" s="1"/>
  <c r="L113" i="12"/>
  <c r="K113" i="5"/>
  <c r="K113" i="12" s="1"/>
  <c r="J113" i="5"/>
  <c r="J113" i="12" s="1"/>
  <c r="F113" i="5"/>
  <c r="E113" i="5"/>
  <c r="D113" i="5"/>
  <c r="C113" i="5"/>
  <c r="B113" i="5"/>
  <c r="B113" i="12" s="1"/>
  <c r="AW112" i="5"/>
  <c r="AW112" i="12" s="1"/>
  <c r="AV112" i="5"/>
  <c r="AV112" i="12" s="1"/>
  <c r="AU112" i="5"/>
  <c r="AU112" i="12" s="1"/>
  <c r="AS112" i="5"/>
  <c r="AS112" i="12" s="1"/>
  <c r="AR112" i="5"/>
  <c r="AR112" i="12" s="1"/>
  <c r="AQ112" i="5"/>
  <c r="AQ112" i="12" s="1"/>
  <c r="AP112" i="5"/>
  <c r="AP112" i="12" s="1"/>
  <c r="AN112" i="5"/>
  <c r="AN112" i="12" s="1"/>
  <c r="AM112" i="5"/>
  <c r="AM112" i="12" s="1"/>
  <c r="AL112" i="5"/>
  <c r="AK112" i="5"/>
  <c r="AK112" i="12" s="1"/>
  <c r="AJ112" i="5"/>
  <c r="AI112" i="5"/>
  <c r="AI112" i="12" s="1"/>
  <c r="L112" i="12"/>
  <c r="K112" i="5"/>
  <c r="K112" i="12" s="1"/>
  <c r="J112" i="5"/>
  <c r="J112" i="12" s="1"/>
  <c r="F112" i="5"/>
  <c r="E112" i="5"/>
  <c r="D112" i="5"/>
  <c r="C112" i="5"/>
  <c r="B112" i="5"/>
  <c r="B112" i="12" s="1"/>
  <c r="AW111" i="5"/>
  <c r="AW111" i="12" s="1"/>
  <c r="AV111" i="5"/>
  <c r="AV111" i="12" s="1"/>
  <c r="AU111" i="5"/>
  <c r="AU111" i="12" s="1"/>
  <c r="AS111" i="5"/>
  <c r="AS111" i="12" s="1"/>
  <c r="AR111" i="5"/>
  <c r="AR111" i="12" s="1"/>
  <c r="AQ111" i="5"/>
  <c r="AQ111" i="12" s="1"/>
  <c r="AP111" i="5"/>
  <c r="AP111" i="12" s="1"/>
  <c r="AN111" i="5"/>
  <c r="AN111" i="12" s="1"/>
  <c r="AM111" i="5"/>
  <c r="AM111" i="12" s="1"/>
  <c r="AL111" i="5"/>
  <c r="AK111" i="5"/>
  <c r="AK111" i="12" s="1"/>
  <c r="AJ111" i="5"/>
  <c r="AY111" i="5" s="1"/>
  <c r="AI111" i="5"/>
  <c r="AI111" i="12" s="1"/>
  <c r="L111" i="12"/>
  <c r="K111" i="5"/>
  <c r="K111" i="12" s="1"/>
  <c r="J111" i="5"/>
  <c r="J111" i="12" s="1"/>
  <c r="F111" i="5"/>
  <c r="E111" i="5"/>
  <c r="D111" i="5"/>
  <c r="C111" i="5"/>
  <c r="B111" i="5"/>
  <c r="B111" i="12" s="1"/>
  <c r="AW110" i="5"/>
  <c r="AW110" i="12" s="1"/>
  <c r="AV110" i="5"/>
  <c r="AV110" i="12" s="1"/>
  <c r="AU110" i="5"/>
  <c r="AU110" i="12" s="1"/>
  <c r="AS110" i="5"/>
  <c r="AS110" i="12" s="1"/>
  <c r="AR110" i="5"/>
  <c r="AR110" i="12" s="1"/>
  <c r="AQ110" i="5"/>
  <c r="AQ110" i="12" s="1"/>
  <c r="AP110" i="5"/>
  <c r="AP110" i="12" s="1"/>
  <c r="AN110" i="5"/>
  <c r="AN110" i="12" s="1"/>
  <c r="AM110" i="5"/>
  <c r="AM110" i="12" s="1"/>
  <c r="AL110" i="5"/>
  <c r="AK110" i="5"/>
  <c r="AK110" i="12" s="1"/>
  <c r="AJ110" i="5"/>
  <c r="AI110" i="5"/>
  <c r="AI110" i="12" s="1"/>
  <c r="L110" i="12"/>
  <c r="K110" i="5"/>
  <c r="K110" i="12" s="1"/>
  <c r="J110" i="5"/>
  <c r="J110" i="12" s="1"/>
  <c r="F110" i="5"/>
  <c r="E110" i="5"/>
  <c r="D110" i="5"/>
  <c r="C110" i="5"/>
  <c r="B110" i="5"/>
  <c r="B110" i="12" s="1"/>
  <c r="AW109" i="5"/>
  <c r="AW109" i="12" s="1"/>
  <c r="AV109" i="5"/>
  <c r="AV109" i="12" s="1"/>
  <c r="AU109" i="5"/>
  <c r="AU109" i="12" s="1"/>
  <c r="AS109" i="5"/>
  <c r="AS109" i="12" s="1"/>
  <c r="AR109" i="5"/>
  <c r="AR109" i="12" s="1"/>
  <c r="AQ109" i="5"/>
  <c r="AQ109" i="12" s="1"/>
  <c r="AP109" i="5"/>
  <c r="AP109" i="12" s="1"/>
  <c r="AN109" i="5"/>
  <c r="AN109" i="12" s="1"/>
  <c r="AM109" i="5"/>
  <c r="AM109" i="12" s="1"/>
  <c r="AL109" i="5"/>
  <c r="AL109" i="12" s="1"/>
  <c r="AK109" i="5"/>
  <c r="AK109" i="12" s="1"/>
  <c r="AJ109" i="5"/>
  <c r="AY109" i="5" s="1"/>
  <c r="AI109" i="5"/>
  <c r="AI109" i="12" s="1"/>
  <c r="L109" i="12"/>
  <c r="K109" i="5"/>
  <c r="K109" i="12" s="1"/>
  <c r="J109" i="5"/>
  <c r="J109" i="12" s="1"/>
  <c r="F109" i="5"/>
  <c r="E109" i="5"/>
  <c r="D109" i="5"/>
  <c r="C109" i="5"/>
  <c r="B109" i="5"/>
  <c r="B109" i="12" s="1"/>
  <c r="AW108" i="5"/>
  <c r="AW108" i="12" s="1"/>
  <c r="AV108" i="5"/>
  <c r="AV108" i="12" s="1"/>
  <c r="AU108" i="5"/>
  <c r="AU108" i="12" s="1"/>
  <c r="AS108" i="5"/>
  <c r="AS108" i="12" s="1"/>
  <c r="AR108" i="5"/>
  <c r="AR108" i="12" s="1"/>
  <c r="AQ108" i="5"/>
  <c r="AQ108" i="12" s="1"/>
  <c r="AP108" i="5"/>
  <c r="AP108" i="12" s="1"/>
  <c r="AN108" i="5"/>
  <c r="AN108" i="12" s="1"/>
  <c r="AM108" i="5"/>
  <c r="AM108" i="12" s="1"/>
  <c r="AL108" i="5"/>
  <c r="AK108" i="5"/>
  <c r="AK108" i="12" s="1"/>
  <c r="AJ108" i="5"/>
  <c r="AY108" i="5" s="1"/>
  <c r="AI108" i="5"/>
  <c r="AI108" i="12" s="1"/>
  <c r="L108" i="12"/>
  <c r="K108" i="5"/>
  <c r="K108" i="12" s="1"/>
  <c r="J108" i="5"/>
  <c r="J108" i="12" s="1"/>
  <c r="F108" i="5"/>
  <c r="E108" i="5"/>
  <c r="D108" i="5"/>
  <c r="C108" i="5"/>
  <c r="B108" i="5"/>
  <c r="B108" i="12" s="1"/>
  <c r="AW107" i="5"/>
  <c r="AW107" i="12" s="1"/>
  <c r="AV107" i="5"/>
  <c r="AV107" i="12" s="1"/>
  <c r="AU107" i="5"/>
  <c r="AU107" i="12" s="1"/>
  <c r="AS107" i="5"/>
  <c r="AS107" i="12" s="1"/>
  <c r="AR107" i="5"/>
  <c r="AR107" i="12" s="1"/>
  <c r="AQ107" i="5"/>
  <c r="AQ107" i="12" s="1"/>
  <c r="AP107" i="5"/>
  <c r="AP107" i="12" s="1"/>
  <c r="AN107" i="5"/>
  <c r="AN107" i="12" s="1"/>
  <c r="AM107" i="5"/>
  <c r="AM107" i="12" s="1"/>
  <c r="AL107" i="5"/>
  <c r="AL107" i="12" s="1"/>
  <c r="AK107" i="5"/>
  <c r="AK107" i="12" s="1"/>
  <c r="AJ107" i="5"/>
  <c r="AI107" i="5"/>
  <c r="AI107" i="12" s="1"/>
  <c r="L107" i="12"/>
  <c r="K107" i="5"/>
  <c r="K107" i="12" s="1"/>
  <c r="J107" i="5"/>
  <c r="J107" i="12" s="1"/>
  <c r="F107" i="5"/>
  <c r="E107" i="5"/>
  <c r="D107" i="5"/>
  <c r="C107" i="5"/>
  <c r="B107" i="5"/>
  <c r="B107" i="12" s="1"/>
  <c r="AW106" i="5"/>
  <c r="AW106" i="12" s="1"/>
  <c r="AV106" i="5"/>
  <c r="AV106" i="12" s="1"/>
  <c r="AU106" i="5"/>
  <c r="AU106" i="12" s="1"/>
  <c r="AS106" i="5"/>
  <c r="AS106" i="12" s="1"/>
  <c r="AR106" i="5"/>
  <c r="AR106" i="12" s="1"/>
  <c r="AQ106" i="5"/>
  <c r="AQ106" i="12" s="1"/>
  <c r="AP106" i="5"/>
  <c r="AP106" i="12" s="1"/>
  <c r="AN106" i="5"/>
  <c r="AN106" i="12" s="1"/>
  <c r="AM106" i="5"/>
  <c r="AM106" i="12" s="1"/>
  <c r="AL106" i="5"/>
  <c r="AK106" i="5"/>
  <c r="AK106" i="12" s="1"/>
  <c r="AJ106" i="5"/>
  <c r="AI106" i="5"/>
  <c r="AI106" i="12" s="1"/>
  <c r="L106" i="12"/>
  <c r="K106" i="5"/>
  <c r="K106" i="12" s="1"/>
  <c r="J106" i="5"/>
  <c r="J106" i="12" s="1"/>
  <c r="F106" i="5"/>
  <c r="E106" i="5"/>
  <c r="D106" i="5"/>
  <c r="C106" i="5"/>
  <c r="B106" i="5"/>
  <c r="B106" i="12" s="1"/>
  <c r="AW105" i="5"/>
  <c r="AW105" i="12" s="1"/>
  <c r="AV105" i="5"/>
  <c r="AV105" i="12" s="1"/>
  <c r="AU105" i="5"/>
  <c r="AU105" i="12" s="1"/>
  <c r="AS105" i="5"/>
  <c r="AS105" i="12" s="1"/>
  <c r="AR105" i="5"/>
  <c r="AR105" i="12" s="1"/>
  <c r="AQ105" i="5"/>
  <c r="AQ105" i="12" s="1"/>
  <c r="AP105" i="5"/>
  <c r="AP105" i="12" s="1"/>
  <c r="AN105" i="5"/>
  <c r="AN105" i="12" s="1"/>
  <c r="AM105" i="5"/>
  <c r="AM105" i="12" s="1"/>
  <c r="AL105" i="5"/>
  <c r="AK105" i="5"/>
  <c r="AK105" i="12" s="1"/>
  <c r="AJ105" i="5"/>
  <c r="AY105" i="5" s="1"/>
  <c r="AI105" i="5"/>
  <c r="AI105" i="12" s="1"/>
  <c r="L105" i="12"/>
  <c r="K105" i="5"/>
  <c r="K105" i="12" s="1"/>
  <c r="J105" i="5"/>
  <c r="J105" i="12" s="1"/>
  <c r="F105" i="5"/>
  <c r="E105" i="5"/>
  <c r="D105" i="5"/>
  <c r="C105" i="5"/>
  <c r="B105" i="5"/>
  <c r="B105" i="12" s="1"/>
  <c r="AW104" i="5"/>
  <c r="AW104" i="12" s="1"/>
  <c r="AV104" i="5"/>
  <c r="AV104" i="12" s="1"/>
  <c r="AU104" i="5"/>
  <c r="AU104" i="12" s="1"/>
  <c r="AS104" i="5"/>
  <c r="AS104" i="12" s="1"/>
  <c r="AR104" i="5"/>
  <c r="AR104" i="12" s="1"/>
  <c r="AQ104" i="5"/>
  <c r="AQ104" i="12" s="1"/>
  <c r="AP104" i="5"/>
  <c r="AP104" i="12" s="1"/>
  <c r="AN104" i="5"/>
  <c r="AN104" i="12" s="1"/>
  <c r="AM104" i="5"/>
  <c r="AM104" i="12" s="1"/>
  <c r="AL104" i="5"/>
  <c r="AK104" i="5"/>
  <c r="AK104" i="12" s="1"/>
  <c r="AJ104" i="5"/>
  <c r="AY104" i="5" s="1"/>
  <c r="AI104" i="5"/>
  <c r="AI104" i="12" s="1"/>
  <c r="L104" i="12"/>
  <c r="K104" i="5"/>
  <c r="K104" i="12" s="1"/>
  <c r="J104" i="5"/>
  <c r="J104" i="12" s="1"/>
  <c r="F104" i="5"/>
  <c r="E104" i="5"/>
  <c r="D104" i="5"/>
  <c r="C104" i="5"/>
  <c r="B104" i="5"/>
  <c r="B104" i="12" s="1"/>
  <c r="AW103" i="5"/>
  <c r="AW103" i="12" s="1"/>
  <c r="AV103" i="5"/>
  <c r="AV103" i="12" s="1"/>
  <c r="AU103" i="5"/>
  <c r="AU103" i="12" s="1"/>
  <c r="AS103" i="5"/>
  <c r="AS103" i="12" s="1"/>
  <c r="AR103" i="5"/>
  <c r="AR103" i="12" s="1"/>
  <c r="AQ103" i="5"/>
  <c r="AQ103" i="12" s="1"/>
  <c r="AP103" i="5"/>
  <c r="AP103" i="12" s="1"/>
  <c r="AN103" i="5"/>
  <c r="AN103" i="12" s="1"/>
  <c r="AM103" i="5"/>
  <c r="AM103" i="12" s="1"/>
  <c r="AL103" i="5"/>
  <c r="AK103" i="5"/>
  <c r="AK103" i="12" s="1"/>
  <c r="AJ103" i="5"/>
  <c r="AJ103" i="12" s="1"/>
  <c r="AY103" i="12" s="1"/>
  <c r="AI103" i="5"/>
  <c r="AI103" i="12" s="1"/>
  <c r="L103" i="12"/>
  <c r="K103" i="5"/>
  <c r="K103" i="12" s="1"/>
  <c r="J103" i="5"/>
  <c r="J103" i="12" s="1"/>
  <c r="F103" i="5"/>
  <c r="E103" i="5"/>
  <c r="D103" i="5"/>
  <c r="C103" i="5"/>
  <c r="B103" i="5"/>
  <c r="B103" i="12" s="1"/>
  <c r="AW102" i="5"/>
  <c r="AW102" i="12" s="1"/>
  <c r="AV102" i="5"/>
  <c r="AV102" i="12" s="1"/>
  <c r="AU102" i="5"/>
  <c r="AU102" i="12" s="1"/>
  <c r="AS102" i="5"/>
  <c r="AS102" i="12" s="1"/>
  <c r="AR102" i="5"/>
  <c r="AR102" i="12" s="1"/>
  <c r="AQ102" i="5"/>
  <c r="AQ102" i="12" s="1"/>
  <c r="AP102" i="5"/>
  <c r="AP102" i="12" s="1"/>
  <c r="AN102" i="5"/>
  <c r="AN102" i="12" s="1"/>
  <c r="AM102" i="5"/>
  <c r="AM102" i="12" s="1"/>
  <c r="AL102" i="5"/>
  <c r="AL102" i="12" s="1"/>
  <c r="AK102" i="5"/>
  <c r="AK102" i="12" s="1"/>
  <c r="AJ102" i="5"/>
  <c r="AJ102" i="12" s="1"/>
  <c r="AY102" i="12" s="1"/>
  <c r="AI102" i="5"/>
  <c r="AI102" i="12" s="1"/>
  <c r="L102" i="12"/>
  <c r="K102" i="5"/>
  <c r="K102" i="12" s="1"/>
  <c r="J102" i="5"/>
  <c r="J102" i="12" s="1"/>
  <c r="F102" i="5"/>
  <c r="E102" i="5"/>
  <c r="D102" i="5"/>
  <c r="C102" i="5"/>
  <c r="B102" i="5"/>
  <c r="B102" i="12" s="1"/>
  <c r="AW101" i="5"/>
  <c r="AW101" i="12" s="1"/>
  <c r="AV101" i="5"/>
  <c r="AV101" i="12" s="1"/>
  <c r="AU101" i="5"/>
  <c r="AU101" i="12" s="1"/>
  <c r="AS101" i="5"/>
  <c r="AS101" i="12" s="1"/>
  <c r="AR101" i="5"/>
  <c r="AR101" i="12" s="1"/>
  <c r="AQ101" i="5"/>
  <c r="AQ101" i="12" s="1"/>
  <c r="AP101" i="5"/>
  <c r="AP101" i="12" s="1"/>
  <c r="AN101" i="5"/>
  <c r="AN101" i="12" s="1"/>
  <c r="AM101" i="5"/>
  <c r="AM101" i="12" s="1"/>
  <c r="AL101" i="5"/>
  <c r="AK101" i="5"/>
  <c r="AK101" i="12" s="1"/>
  <c r="AJ101" i="5"/>
  <c r="AJ101" i="12" s="1"/>
  <c r="AY101" i="12" s="1"/>
  <c r="AI101" i="5"/>
  <c r="AI101" i="12" s="1"/>
  <c r="L101" i="12"/>
  <c r="K101" i="5"/>
  <c r="K101" i="12" s="1"/>
  <c r="J101" i="5"/>
  <c r="J101" i="12" s="1"/>
  <c r="F101" i="5"/>
  <c r="E101" i="5"/>
  <c r="D101" i="5"/>
  <c r="C101" i="5"/>
  <c r="B101" i="5"/>
  <c r="B101" i="12" s="1"/>
  <c r="AW100" i="5"/>
  <c r="AW100" i="12" s="1"/>
  <c r="AV100" i="5"/>
  <c r="AV100" i="12" s="1"/>
  <c r="AU100" i="5"/>
  <c r="AU100" i="12" s="1"/>
  <c r="AS100" i="5"/>
  <c r="AS100" i="12" s="1"/>
  <c r="AR100" i="5"/>
  <c r="AR100" i="12" s="1"/>
  <c r="AQ100" i="5"/>
  <c r="AQ100" i="12" s="1"/>
  <c r="AP100" i="5"/>
  <c r="AP100" i="12" s="1"/>
  <c r="AN100" i="5"/>
  <c r="AN100" i="12" s="1"/>
  <c r="AM100" i="5"/>
  <c r="AM100" i="12" s="1"/>
  <c r="AL100" i="5"/>
  <c r="AK100" i="5"/>
  <c r="AK100" i="12" s="1"/>
  <c r="AJ100" i="5"/>
  <c r="AJ100" i="12" s="1"/>
  <c r="AY100" i="12" s="1"/>
  <c r="AI100" i="5"/>
  <c r="AI100" i="12" s="1"/>
  <c r="L100" i="12"/>
  <c r="K100" i="5"/>
  <c r="K100" i="12" s="1"/>
  <c r="J100" i="5"/>
  <c r="J100" i="12" s="1"/>
  <c r="F100" i="5"/>
  <c r="E100" i="5"/>
  <c r="D100" i="5"/>
  <c r="C100" i="5"/>
  <c r="B100" i="5"/>
  <c r="B100" i="12" s="1"/>
  <c r="AW99" i="5"/>
  <c r="AW99" i="12" s="1"/>
  <c r="AV99" i="5"/>
  <c r="AV99" i="12" s="1"/>
  <c r="AU99" i="5"/>
  <c r="AU99" i="12" s="1"/>
  <c r="AS99" i="5"/>
  <c r="AS99" i="12" s="1"/>
  <c r="AR99" i="5"/>
  <c r="AR99" i="12" s="1"/>
  <c r="AQ99" i="5"/>
  <c r="AQ99" i="12" s="1"/>
  <c r="AP99" i="5"/>
  <c r="AP99" i="12" s="1"/>
  <c r="AN99" i="5"/>
  <c r="AN99" i="12" s="1"/>
  <c r="AM99" i="5"/>
  <c r="AM99" i="12" s="1"/>
  <c r="AL99" i="5"/>
  <c r="AL99" i="12" s="1"/>
  <c r="AK99" i="5"/>
  <c r="AK99" i="12" s="1"/>
  <c r="AJ99" i="5"/>
  <c r="AJ99" i="12" s="1"/>
  <c r="AY99" i="12" s="1"/>
  <c r="AI99" i="5"/>
  <c r="AI99" i="12" s="1"/>
  <c r="L99" i="12"/>
  <c r="K99" i="5"/>
  <c r="K99" i="12" s="1"/>
  <c r="J99" i="5"/>
  <c r="J99" i="12" s="1"/>
  <c r="F99" i="5"/>
  <c r="E99" i="5"/>
  <c r="D99" i="5"/>
  <c r="C99" i="5"/>
  <c r="B99" i="5"/>
  <c r="B99" i="12" s="1"/>
  <c r="AW98" i="5"/>
  <c r="AW98" i="12" s="1"/>
  <c r="AV98" i="5"/>
  <c r="AV98" i="12" s="1"/>
  <c r="AU98" i="5"/>
  <c r="AU98" i="12" s="1"/>
  <c r="AS98" i="5"/>
  <c r="AS98" i="12" s="1"/>
  <c r="AR98" i="5"/>
  <c r="AR98" i="12" s="1"/>
  <c r="AQ98" i="5"/>
  <c r="AQ98" i="12" s="1"/>
  <c r="AP98" i="5"/>
  <c r="AP98" i="12" s="1"/>
  <c r="AN98" i="5"/>
  <c r="AN98" i="12" s="1"/>
  <c r="AM98" i="5"/>
  <c r="AM98" i="12" s="1"/>
  <c r="AL98" i="5"/>
  <c r="AK98" i="5"/>
  <c r="AK98" i="12" s="1"/>
  <c r="AJ98" i="5"/>
  <c r="AY98" i="5" s="1"/>
  <c r="AI98" i="5"/>
  <c r="AI98" i="12" s="1"/>
  <c r="L98" i="12"/>
  <c r="K98" i="5"/>
  <c r="K98" i="12" s="1"/>
  <c r="J98" i="5"/>
  <c r="J98" i="12" s="1"/>
  <c r="F98" i="5"/>
  <c r="E98" i="5"/>
  <c r="D98" i="5"/>
  <c r="C98" i="5"/>
  <c r="B98" i="5"/>
  <c r="B98" i="12" s="1"/>
  <c r="AW97" i="5"/>
  <c r="AW97" i="12" s="1"/>
  <c r="AV97" i="5"/>
  <c r="AV97" i="12" s="1"/>
  <c r="AU97" i="5"/>
  <c r="AU97" i="12" s="1"/>
  <c r="AS97" i="5"/>
  <c r="AS97" i="12" s="1"/>
  <c r="AR97" i="5"/>
  <c r="AR97" i="12" s="1"/>
  <c r="AQ97" i="5"/>
  <c r="AQ97" i="12" s="1"/>
  <c r="AP97" i="5"/>
  <c r="AP97" i="12" s="1"/>
  <c r="AN97" i="5"/>
  <c r="AN97" i="12" s="1"/>
  <c r="AM97" i="5"/>
  <c r="AM97" i="12" s="1"/>
  <c r="AL97" i="5"/>
  <c r="AL97" i="12" s="1"/>
  <c r="AK97" i="5"/>
  <c r="AK97" i="12" s="1"/>
  <c r="AJ97" i="5"/>
  <c r="AJ97" i="12" s="1"/>
  <c r="AY97" i="12" s="1"/>
  <c r="AI97" i="5"/>
  <c r="AI97" i="12" s="1"/>
  <c r="L97" i="12"/>
  <c r="K97" i="5"/>
  <c r="K97" i="12" s="1"/>
  <c r="J97" i="5"/>
  <c r="J97" i="12" s="1"/>
  <c r="F97" i="5"/>
  <c r="E97" i="5"/>
  <c r="D97" i="5"/>
  <c r="C97" i="5"/>
  <c r="B97" i="5"/>
  <c r="B97" i="12" s="1"/>
  <c r="AW96" i="5"/>
  <c r="AW96" i="12" s="1"/>
  <c r="AV96" i="5"/>
  <c r="AV96" i="12" s="1"/>
  <c r="AU96" i="5"/>
  <c r="AU96" i="12" s="1"/>
  <c r="AS96" i="5"/>
  <c r="AS96" i="12" s="1"/>
  <c r="AR96" i="5"/>
  <c r="AR96" i="12" s="1"/>
  <c r="AQ96" i="5"/>
  <c r="AQ96" i="12" s="1"/>
  <c r="AP96" i="5"/>
  <c r="AP96" i="12" s="1"/>
  <c r="AN96" i="5"/>
  <c r="AN96" i="12" s="1"/>
  <c r="AM96" i="5"/>
  <c r="AM96" i="12" s="1"/>
  <c r="AL96" i="5"/>
  <c r="AK96" i="5"/>
  <c r="AK96" i="12" s="1"/>
  <c r="AJ96" i="5"/>
  <c r="AJ96" i="12" s="1"/>
  <c r="AY96" i="12" s="1"/>
  <c r="AI96" i="5"/>
  <c r="AI96" i="12" s="1"/>
  <c r="L96" i="12"/>
  <c r="K96" i="5"/>
  <c r="K96" i="12" s="1"/>
  <c r="J96" i="5"/>
  <c r="J96" i="12" s="1"/>
  <c r="F96" i="5"/>
  <c r="E96" i="5"/>
  <c r="D96" i="5"/>
  <c r="C96" i="5"/>
  <c r="B96" i="5"/>
  <c r="B96" i="12" s="1"/>
  <c r="AW95" i="5"/>
  <c r="AW95" i="12" s="1"/>
  <c r="AV95" i="5"/>
  <c r="AV95" i="12" s="1"/>
  <c r="AU95" i="5"/>
  <c r="AU95" i="12" s="1"/>
  <c r="AS95" i="5"/>
  <c r="AS95" i="12" s="1"/>
  <c r="AR95" i="5"/>
  <c r="AR95" i="12" s="1"/>
  <c r="AQ95" i="5"/>
  <c r="AQ95" i="12" s="1"/>
  <c r="AP95" i="5"/>
  <c r="AP95" i="12" s="1"/>
  <c r="AN95" i="5"/>
  <c r="AN95" i="12" s="1"/>
  <c r="AM95" i="5"/>
  <c r="AM95" i="12" s="1"/>
  <c r="AL95" i="5"/>
  <c r="AK95" i="5"/>
  <c r="AK95" i="12" s="1"/>
  <c r="AJ95" i="5"/>
  <c r="AJ95" i="12" s="1"/>
  <c r="AY95" i="12" s="1"/>
  <c r="AI95" i="5"/>
  <c r="AI95" i="12" s="1"/>
  <c r="L95" i="12"/>
  <c r="K95" i="5"/>
  <c r="K95" i="12" s="1"/>
  <c r="J95" i="5"/>
  <c r="J95" i="12" s="1"/>
  <c r="F95" i="5"/>
  <c r="E95" i="5"/>
  <c r="D95" i="5"/>
  <c r="C95" i="5"/>
  <c r="B95" i="5"/>
  <c r="B95" i="12" s="1"/>
  <c r="AW94" i="5"/>
  <c r="AW94" i="12" s="1"/>
  <c r="AV94" i="5"/>
  <c r="AV94" i="12" s="1"/>
  <c r="AU94" i="5"/>
  <c r="AU94" i="12" s="1"/>
  <c r="AS94" i="5"/>
  <c r="AS94" i="12" s="1"/>
  <c r="AR94" i="5"/>
  <c r="AR94" i="12" s="1"/>
  <c r="AQ94" i="5"/>
  <c r="AQ94" i="12" s="1"/>
  <c r="AP94" i="5"/>
  <c r="AP94" i="12" s="1"/>
  <c r="AN94" i="5"/>
  <c r="AN94" i="12" s="1"/>
  <c r="AM94" i="5"/>
  <c r="AM94" i="12" s="1"/>
  <c r="AL94" i="5"/>
  <c r="AK94" i="5"/>
  <c r="AK94" i="12" s="1"/>
  <c r="AJ94" i="5"/>
  <c r="AY94" i="5" s="1"/>
  <c r="AI94" i="5"/>
  <c r="AI94" i="12" s="1"/>
  <c r="L94" i="12"/>
  <c r="K94" i="5"/>
  <c r="K94" i="12" s="1"/>
  <c r="J94" i="5"/>
  <c r="J94" i="12" s="1"/>
  <c r="F94" i="5"/>
  <c r="E94" i="5"/>
  <c r="D94" i="5"/>
  <c r="C94" i="5"/>
  <c r="B94" i="5"/>
  <c r="B94" i="12" s="1"/>
  <c r="AW93" i="5"/>
  <c r="AW93" i="12" s="1"/>
  <c r="AV93" i="5"/>
  <c r="AV93" i="12" s="1"/>
  <c r="AU93" i="5"/>
  <c r="AU93" i="12" s="1"/>
  <c r="AS93" i="5"/>
  <c r="AS93" i="12" s="1"/>
  <c r="AR93" i="5"/>
  <c r="AR93" i="12" s="1"/>
  <c r="AQ93" i="5"/>
  <c r="AQ93" i="12" s="1"/>
  <c r="AP93" i="5"/>
  <c r="AP93" i="12" s="1"/>
  <c r="AN93" i="5"/>
  <c r="AN93" i="12" s="1"/>
  <c r="AM93" i="5"/>
  <c r="AM93" i="12" s="1"/>
  <c r="AL93" i="5"/>
  <c r="AK93" i="5"/>
  <c r="AK93" i="12" s="1"/>
  <c r="AJ93" i="5"/>
  <c r="AI93" i="5"/>
  <c r="AI93" i="12" s="1"/>
  <c r="L93" i="12"/>
  <c r="K93" i="5"/>
  <c r="K93" i="12" s="1"/>
  <c r="J93" i="5"/>
  <c r="J93" i="12" s="1"/>
  <c r="F93" i="5"/>
  <c r="E93" i="5"/>
  <c r="D93" i="5"/>
  <c r="C93" i="5"/>
  <c r="B93" i="5"/>
  <c r="B93" i="12" s="1"/>
  <c r="AW92" i="5"/>
  <c r="AW92" i="12" s="1"/>
  <c r="AV92" i="5"/>
  <c r="AV92" i="12" s="1"/>
  <c r="AU92" i="5"/>
  <c r="AU92" i="12" s="1"/>
  <c r="AS92" i="5"/>
  <c r="AS92" i="12" s="1"/>
  <c r="AR92" i="5"/>
  <c r="AR92" i="12" s="1"/>
  <c r="AQ92" i="5"/>
  <c r="AQ92" i="12" s="1"/>
  <c r="AP92" i="5"/>
  <c r="AP92" i="12" s="1"/>
  <c r="AN92" i="5"/>
  <c r="AN92" i="12" s="1"/>
  <c r="AM92" i="5"/>
  <c r="AM92" i="12" s="1"/>
  <c r="AL92" i="5"/>
  <c r="AK92" i="5"/>
  <c r="AK92" i="12" s="1"/>
  <c r="AJ92" i="5"/>
  <c r="AI92" i="5"/>
  <c r="AI92" i="12" s="1"/>
  <c r="L92" i="12"/>
  <c r="K92" i="5"/>
  <c r="K92" i="12" s="1"/>
  <c r="J92" i="5"/>
  <c r="J92" i="12" s="1"/>
  <c r="F92" i="5"/>
  <c r="E92" i="5"/>
  <c r="D92" i="5"/>
  <c r="C92" i="5"/>
  <c r="B92" i="5"/>
  <c r="B92" i="12" s="1"/>
  <c r="AW91" i="5"/>
  <c r="AW91" i="12" s="1"/>
  <c r="AV91" i="5"/>
  <c r="AV91" i="12" s="1"/>
  <c r="AU91" i="5"/>
  <c r="AU91" i="12" s="1"/>
  <c r="AS91" i="5"/>
  <c r="AS91" i="12" s="1"/>
  <c r="AR91" i="5"/>
  <c r="AR91" i="12" s="1"/>
  <c r="AQ91" i="5"/>
  <c r="AQ91" i="12" s="1"/>
  <c r="AP91" i="5"/>
  <c r="AP91" i="12" s="1"/>
  <c r="AN91" i="5"/>
  <c r="AN91" i="12" s="1"/>
  <c r="AM91" i="5"/>
  <c r="AM91" i="12" s="1"/>
  <c r="AL91" i="5"/>
  <c r="AK91" i="5"/>
  <c r="AK91" i="12" s="1"/>
  <c r="AJ91" i="5"/>
  <c r="AY91" i="5" s="1"/>
  <c r="AI91" i="5"/>
  <c r="AI91" i="12" s="1"/>
  <c r="L91" i="12"/>
  <c r="K91" i="5"/>
  <c r="K91" i="12" s="1"/>
  <c r="J91" i="5"/>
  <c r="J91" i="12" s="1"/>
  <c r="F91" i="5"/>
  <c r="E91" i="5"/>
  <c r="D91" i="5"/>
  <c r="C91" i="5"/>
  <c r="B91" i="5"/>
  <c r="B91" i="12" s="1"/>
  <c r="AW90" i="5"/>
  <c r="AW90" i="12" s="1"/>
  <c r="AV90" i="5"/>
  <c r="AV90" i="12" s="1"/>
  <c r="AU90" i="5"/>
  <c r="AU90" i="12" s="1"/>
  <c r="AS90" i="5"/>
  <c r="AS90" i="12" s="1"/>
  <c r="AR90" i="5"/>
  <c r="AR90" i="12" s="1"/>
  <c r="AQ90" i="5"/>
  <c r="AQ90" i="12" s="1"/>
  <c r="AP90" i="5"/>
  <c r="AP90" i="12" s="1"/>
  <c r="AN90" i="5"/>
  <c r="AN90" i="12" s="1"/>
  <c r="AM90" i="5"/>
  <c r="AM90" i="12" s="1"/>
  <c r="AL90" i="5"/>
  <c r="AK90" i="5"/>
  <c r="AK90" i="12" s="1"/>
  <c r="AJ90" i="5"/>
  <c r="AY90" i="5" s="1"/>
  <c r="AI90" i="5"/>
  <c r="AI90" i="12" s="1"/>
  <c r="L90" i="12"/>
  <c r="K90" i="5"/>
  <c r="K90" i="12" s="1"/>
  <c r="J90" i="5"/>
  <c r="J90" i="12" s="1"/>
  <c r="F90" i="5"/>
  <c r="E90" i="5"/>
  <c r="D90" i="5"/>
  <c r="C90" i="5"/>
  <c r="B90" i="5"/>
  <c r="B90" i="12" s="1"/>
  <c r="AW89" i="5"/>
  <c r="AW89" i="12" s="1"/>
  <c r="AV89" i="5"/>
  <c r="AV89" i="12" s="1"/>
  <c r="AU89" i="5"/>
  <c r="AU89" i="12" s="1"/>
  <c r="AS89" i="5"/>
  <c r="AS89" i="12" s="1"/>
  <c r="AR89" i="5"/>
  <c r="AR89" i="12" s="1"/>
  <c r="AQ89" i="5"/>
  <c r="AQ89" i="12" s="1"/>
  <c r="AP89" i="5"/>
  <c r="AP89" i="12" s="1"/>
  <c r="AN89" i="5"/>
  <c r="AN89" i="12" s="1"/>
  <c r="AM89" i="5"/>
  <c r="AM89" i="12" s="1"/>
  <c r="AL89" i="5"/>
  <c r="AK89" i="5"/>
  <c r="AK89" i="12" s="1"/>
  <c r="AJ89" i="5"/>
  <c r="AY89" i="5" s="1"/>
  <c r="AI89" i="5"/>
  <c r="AI89" i="12" s="1"/>
  <c r="L89" i="12"/>
  <c r="K89" i="5"/>
  <c r="K89" i="12" s="1"/>
  <c r="J89" i="5"/>
  <c r="J89" i="12" s="1"/>
  <c r="F89" i="5"/>
  <c r="E89" i="5"/>
  <c r="D89" i="5"/>
  <c r="C89" i="5"/>
  <c r="B89" i="5"/>
  <c r="B89" i="12" s="1"/>
  <c r="AW88" i="5"/>
  <c r="AW88" i="12" s="1"/>
  <c r="AV88" i="5"/>
  <c r="AV88" i="12" s="1"/>
  <c r="AU88" i="5"/>
  <c r="AU88" i="12" s="1"/>
  <c r="AS88" i="5"/>
  <c r="AS88" i="12" s="1"/>
  <c r="AR88" i="5"/>
  <c r="AR88" i="12" s="1"/>
  <c r="AQ88" i="5"/>
  <c r="AQ88" i="12" s="1"/>
  <c r="AP88" i="5"/>
  <c r="AP88" i="12" s="1"/>
  <c r="AN88" i="5"/>
  <c r="AN88" i="12" s="1"/>
  <c r="AM88" i="5"/>
  <c r="AM88" i="12" s="1"/>
  <c r="AL88" i="5"/>
  <c r="AK88" i="5"/>
  <c r="AK88" i="12" s="1"/>
  <c r="AJ88" i="5"/>
  <c r="AI88" i="5"/>
  <c r="AI88" i="12" s="1"/>
  <c r="L88" i="12"/>
  <c r="K88" i="5"/>
  <c r="K88" i="12" s="1"/>
  <c r="J88" i="5"/>
  <c r="J88" i="12" s="1"/>
  <c r="F88" i="5"/>
  <c r="E88" i="5"/>
  <c r="D88" i="5"/>
  <c r="C88" i="5"/>
  <c r="B88" i="5"/>
  <c r="B88" i="12" s="1"/>
  <c r="AW87" i="5"/>
  <c r="AW87" i="12" s="1"/>
  <c r="AV87" i="5"/>
  <c r="AV87" i="12" s="1"/>
  <c r="AU87" i="5"/>
  <c r="AU87" i="12" s="1"/>
  <c r="AS87" i="5"/>
  <c r="AS87" i="12" s="1"/>
  <c r="AR87" i="5"/>
  <c r="AR87" i="12" s="1"/>
  <c r="AQ87" i="5"/>
  <c r="AQ87" i="12" s="1"/>
  <c r="AP87" i="5"/>
  <c r="AP87" i="12" s="1"/>
  <c r="AN87" i="5"/>
  <c r="AN87" i="12" s="1"/>
  <c r="AM87" i="5"/>
  <c r="AM87" i="12" s="1"/>
  <c r="AL87" i="5"/>
  <c r="AL87" i="12" s="1"/>
  <c r="AK87" i="5"/>
  <c r="AK87" i="12" s="1"/>
  <c r="AJ87" i="5"/>
  <c r="AJ87" i="12" s="1"/>
  <c r="AY87" i="12" s="1"/>
  <c r="AI87" i="5"/>
  <c r="AI87" i="12" s="1"/>
  <c r="L87" i="12"/>
  <c r="K87" i="5"/>
  <c r="K87" i="12" s="1"/>
  <c r="J87" i="5"/>
  <c r="J87" i="12" s="1"/>
  <c r="F87" i="5"/>
  <c r="E87" i="5"/>
  <c r="D87" i="5"/>
  <c r="C87" i="5"/>
  <c r="B87" i="5"/>
  <c r="B87" i="12" s="1"/>
  <c r="AW86" i="5"/>
  <c r="AW86" i="12" s="1"/>
  <c r="AV86" i="5"/>
  <c r="AV86" i="12" s="1"/>
  <c r="AU86" i="5"/>
  <c r="AU86" i="12" s="1"/>
  <c r="AS86" i="5"/>
  <c r="AS86" i="12" s="1"/>
  <c r="AR86" i="5"/>
  <c r="AR86" i="12" s="1"/>
  <c r="AQ86" i="5"/>
  <c r="AQ86" i="12" s="1"/>
  <c r="AP86" i="5"/>
  <c r="AP86" i="12" s="1"/>
  <c r="AN86" i="5"/>
  <c r="AN86" i="12" s="1"/>
  <c r="AM86" i="5"/>
  <c r="AM86" i="12" s="1"/>
  <c r="AL86" i="5"/>
  <c r="AL86" i="12" s="1"/>
  <c r="AK86" i="5"/>
  <c r="AK86" i="12" s="1"/>
  <c r="AJ86" i="5"/>
  <c r="AI86" i="5"/>
  <c r="AI86" i="12" s="1"/>
  <c r="L86" i="12"/>
  <c r="K86" i="5"/>
  <c r="K86" i="12" s="1"/>
  <c r="J86" i="5"/>
  <c r="J86" i="12" s="1"/>
  <c r="F86" i="5"/>
  <c r="E86" i="5"/>
  <c r="D86" i="5"/>
  <c r="C86" i="5"/>
  <c r="B86" i="5"/>
  <c r="B86" i="12" s="1"/>
  <c r="AW85" i="5"/>
  <c r="AW85" i="12" s="1"/>
  <c r="AV85" i="5"/>
  <c r="AV85" i="12" s="1"/>
  <c r="AU85" i="5"/>
  <c r="AU85" i="12" s="1"/>
  <c r="AS85" i="5"/>
  <c r="AS85" i="12" s="1"/>
  <c r="AR85" i="5"/>
  <c r="AR85" i="12" s="1"/>
  <c r="AQ85" i="5"/>
  <c r="AQ85" i="12" s="1"/>
  <c r="AP85" i="5"/>
  <c r="AP85" i="12" s="1"/>
  <c r="AN85" i="5"/>
  <c r="AN85" i="12" s="1"/>
  <c r="AM85" i="5"/>
  <c r="AM85" i="12" s="1"/>
  <c r="AL85" i="5"/>
  <c r="AK85" i="5"/>
  <c r="AK85" i="12" s="1"/>
  <c r="AJ85" i="5"/>
  <c r="AY85" i="5" s="1"/>
  <c r="AI85" i="5"/>
  <c r="AI85" i="12" s="1"/>
  <c r="L85" i="12"/>
  <c r="K85" i="5"/>
  <c r="K85" i="12" s="1"/>
  <c r="J85" i="5"/>
  <c r="J85" i="12" s="1"/>
  <c r="F85" i="5"/>
  <c r="E85" i="5"/>
  <c r="D85" i="5"/>
  <c r="C85" i="5"/>
  <c r="B85" i="5"/>
  <c r="B85" i="12" s="1"/>
  <c r="AW84" i="5"/>
  <c r="AW84" i="12" s="1"/>
  <c r="AV84" i="5"/>
  <c r="AV84" i="12" s="1"/>
  <c r="AU84" i="5"/>
  <c r="AU84" i="12" s="1"/>
  <c r="AS84" i="5"/>
  <c r="AS84" i="12" s="1"/>
  <c r="AR84" i="5"/>
  <c r="AR84" i="12" s="1"/>
  <c r="AQ84" i="5"/>
  <c r="AQ84" i="12" s="1"/>
  <c r="AP84" i="5"/>
  <c r="AP84" i="12" s="1"/>
  <c r="AN84" i="5"/>
  <c r="AN84" i="12" s="1"/>
  <c r="AM84" i="5"/>
  <c r="AM84" i="12" s="1"/>
  <c r="AL84" i="5"/>
  <c r="AK84" i="5"/>
  <c r="AK84" i="12" s="1"/>
  <c r="AJ84" i="5"/>
  <c r="AY84" i="5" s="1"/>
  <c r="AI84" i="5"/>
  <c r="AI84" i="12" s="1"/>
  <c r="L84" i="12"/>
  <c r="K84" i="5"/>
  <c r="K84" i="12" s="1"/>
  <c r="J84" i="5"/>
  <c r="J84" i="12" s="1"/>
  <c r="F84" i="5"/>
  <c r="E84" i="5"/>
  <c r="D84" i="5"/>
  <c r="C84" i="5"/>
  <c r="B84" i="5"/>
  <c r="B84" i="12" s="1"/>
  <c r="AW83" i="5"/>
  <c r="AW83" i="12" s="1"/>
  <c r="AV83" i="5"/>
  <c r="AV83" i="12" s="1"/>
  <c r="AU83" i="5"/>
  <c r="AU83" i="12" s="1"/>
  <c r="AS83" i="5"/>
  <c r="AS83" i="12" s="1"/>
  <c r="AR83" i="5"/>
  <c r="AR83" i="12" s="1"/>
  <c r="AQ83" i="5"/>
  <c r="AQ83" i="12" s="1"/>
  <c r="AP83" i="5"/>
  <c r="AP83" i="12" s="1"/>
  <c r="AN83" i="5"/>
  <c r="AN83" i="12" s="1"/>
  <c r="AM83" i="5"/>
  <c r="AM83" i="12" s="1"/>
  <c r="AL83" i="5"/>
  <c r="AK83" i="5"/>
  <c r="AK83" i="12" s="1"/>
  <c r="AJ83" i="5"/>
  <c r="AY83" i="5" s="1"/>
  <c r="AI83" i="5"/>
  <c r="AI83" i="12" s="1"/>
  <c r="L83" i="12"/>
  <c r="K83" i="5"/>
  <c r="K83" i="12" s="1"/>
  <c r="J83" i="5"/>
  <c r="J83" i="12" s="1"/>
  <c r="F83" i="5"/>
  <c r="E83" i="5"/>
  <c r="D83" i="5"/>
  <c r="C83" i="5"/>
  <c r="B83" i="5"/>
  <c r="B83" i="12" s="1"/>
  <c r="AW82" i="5"/>
  <c r="AW82" i="12" s="1"/>
  <c r="AV82" i="5"/>
  <c r="AV82" i="12" s="1"/>
  <c r="AU82" i="5"/>
  <c r="AU82" i="12" s="1"/>
  <c r="AS82" i="5"/>
  <c r="AS82" i="12" s="1"/>
  <c r="AR82" i="5"/>
  <c r="AR82" i="12" s="1"/>
  <c r="AQ82" i="5"/>
  <c r="AQ82" i="12" s="1"/>
  <c r="AP82" i="5"/>
  <c r="AP82" i="12" s="1"/>
  <c r="AN82" i="5"/>
  <c r="AN82" i="12" s="1"/>
  <c r="AM82" i="5"/>
  <c r="AM82" i="12" s="1"/>
  <c r="AL82" i="5"/>
  <c r="AL82" i="12" s="1"/>
  <c r="AK82" i="5"/>
  <c r="AK82" i="12" s="1"/>
  <c r="AJ82" i="5"/>
  <c r="AY82" i="5" s="1"/>
  <c r="AI82" i="5"/>
  <c r="AI82" i="12" s="1"/>
  <c r="L82" i="12"/>
  <c r="K82" i="5"/>
  <c r="K82" i="12" s="1"/>
  <c r="J82" i="5"/>
  <c r="J82" i="12" s="1"/>
  <c r="F82" i="5"/>
  <c r="E82" i="5"/>
  <c r="D82" i="5"/>
  <c r="C82" i="5"/>
  <c r="B82" i="5"/>
  <c r="B82" i="12" s="1"/>
  <c r="AW81" i="5"/>
  <c r="AW81" i="12" s="1"/>
  <c r="AV81" i="5"/>
  <c r="AV81" i="12" s="1"/>
  <c r="AU81" i="5"/>
  <c r="AU81" i="12" s="1"/>
  <c r="AS81" i="5"/>
  <c r="AS81" i="12" s="1"/>
  <c r="AR81" i="5"/>
  <c r="AR81" i="12" s="1"/>
  <c r="AQ81" i="5"/>
  <c r="AQ81" i="12" s="1"/>
  <c r="AP81" i="5"/>
  <c r="AP81" i="12" s="1"/>
  <c r="AN81" i="5"/>
  <c r="AN81" i="12" s="1"/>
  <c r="AM81" i="5"/>
  <c r="AM81" i="12" s="1"/>
  <c r="AL81" i="5"/>
  <c r="AL81" i="12" s="1"/>
  <c r="AK81" i="5"/>
  <c r="AK81" i="12" s="1"/>
  <c r="AJ81" i="5"/>
  <c r="AJ81" i="12" s="1"/>
  <c r="AY81" i="12" s="1"/>
  <c r="AI81" i="5"/>
  <c r="AI81" i="12" s="1"/>
  <c r="L81" i="12"/>
  <c r="K81" i="5"/>
  <c r="K81" i="12" s="1"/>
  <c r="J81" i="5"/>
  <c r="J81" i="12" s="1"/>
  <c r="F81" i="5"/>
  <c r="E81" i="5"/>
  <c r="D81" i="5"/>
  <c r="C81" i="5"/>
  <c r="B81" i="5"/>
  <c r="B81" i="12" s="1"/>
  <c r="AW80" i="5"/>
  <c r="AW80" i="12" s="1"/>
  <c r="AV80" i="5"/>
  <c r="AV80" i="12" s="1"/>
  <c r="AU80" i="5"/>
  <c r="AU80" i="12" s="1"/>
  <c r="AS80" i="5"/>
  <c r="AS80" i="12" s="1"/>
  <c r="AR80" i="5"/>
  <c r="AR80" i="12" s="1"/>
  <c r="AQ80" i="5"/>
  <c r="AQ80" i="12" s="1"/>
  <c r="AP80" i="5"/>
  <c r="AP80" i="12" s="1"/>
  <c r="AN80" i="5"/>
  <c r="AN80" i="12" s="1"/>
  <c r="AM80" i="5"/>
  <c r="AM80" i="12" s="1"/>
  <c r="AL80" i="5"/>
  <c r="AK80" i="5"/>
  <c r="AK80" i="12" s="1"/>
  <c r="AJ80" i="5"/>
  <c r="AY80" i="5" s="1"/>
  <c r="AI80" i="5"/>
  <c r="AI80" i="12" s="1"/>
  <c r="L80" i="12"/>
  <c r="K80" i="5"/>
  <c r="K80" i="12" s="1"/>
  <c r="J80" i="5"/>
  <c r="J80" i="12" s="1"/>
  <c r="F80" i="5"/>
  <c r="E80" i="5"/>
  <c r="D80" i="5"/>
  <c r="C80" i="5"/>
  <c r="B80" i="5"/>
  <c r="B80" i="12" s="1"/>
  <c r="AW79" i="5"/>
  <c r="AW79" i="12" s="1"/>
  <c r="AV79" i="5"/>
  <c r="AV79" i="12" s="1"/>
  <c r="AU79" i="5"/>
  <c r="AU79" i="12" s="1"/>
  <c r="AS79" i="5"/>
  <c r="AS79" i="12" s="1"/>
  <c r="AR79" i="5"/>
  <c r="AR79" i="12" s="1"/>
  <c r="AQ79" i="5"/>
  <c r="AQ79" i="12" s="1"/>
  <c r="AP79" i="5"/>
  <c r="AP79" i="12" s="1"/>
  <c r="AN79" i="5"/>
  <c r="AN79" i="12" s="1"/>
  <c r="AM79" i="5"/>
  <c r="AM79" i="12" s="1"/>
  <c r="AL79" i="5"/>
  <c r="AK79" i="5"/>
  <c r="AK79" i="12" s="1"/>
  <c r="AJ79" i="5"/>
  <c r="AI79" i="5"/>
  <c r="AI79" i="12" s="1"/>
  <c r="L79" i="12"/>
  <c r="K79" i="5"/>
  <c r="K79" i="12" s="1"/>
  <c r="J79" i="5"/>
  <c r="J79" i="12" s="1"/>
  <c r="F79" i="5"/>
  <c r="E79" i="5"/>
  <c r="D79" i="5"/>
  <c r="C79" i="5"/>
  <c r="B79" i="5"/>
  <c r="B79" i="12" s="1"/>
  <c r="AW78" i="5"/>
  <c r="AW78" i="12" s="1"/>
  <c r="AV78" i="5"/>
  <c r="AV78" i="12" s="1"/>
  <c r="AU78" i="5"/>
  <c r="AU78" i="12" s="1"/>
  <c r="AS78" i="5"/>
  <c r="AS78" i="12" s="1"/>
  <c r="AR78" i="5"/>
  <c r="AR78" i="12" s="1"/>
  <c r="AQ78" i="5"/>
  <c r="AQ78" i="12" s="1"/>
  <c r="AP78" i="5"/>
  <c r="AP78" i="12" s="1"/>
  <c r="AN78" i="5"/>
  <c r="AN78" i="12" s="1"/>
  <c r="AM78" i="5"/>
  <c r="AM78" i="12" s="1"/>
  <c r="AL78" i="5"/>
  <c r="AK78" i="5"/>
  <c r="AK78" i="12" s="1"/>
  <c r="AJ78" i="5"/>
  <c r="AI78" i="5"/>
  <c r="AI78" i="12" s="1"/>
  <c r="L78" i="12"/>
  <c r="K78" i="5"/>
  <c r="K78" i="12" s="1"/>
  <c r="J78" i="5"/>
  <c r="J78" i="12" s="1"/>
  <c r="F78" i="5"/>
  <c r="E78" i="5"/>
  <c r="D78" i="5"/>
  <c r="C78" i="5"/>
  <c r="B78" i="5"/>
  <c r="B78" i="12" s="1"/>
  <c r="AW77" i="5"/>
  <c r="AW77" i="12" s="1"/>
  <c r="AV77" i="5"/>
  <c r="AV77" i="12" s="1"/>
  <c r="AU77" i="5"/>
  <c r="AU77" i="12" s="1"/>
  <c r="AS77" i="5"/>
  <c r="AS77" i="12" s="1"/>
  <c r="AR77" i="5"/>
  <c r="AR77" i="12" s="1"/>
  <c r="AQ77" i="5"/>
  <c r="AQ77" i="12" s="1"/>
  <c r="AP77" i="5"/>
  <c r="AP77" i="12" s="1"/>
  <c r="AN77" i="5"/>
  <c r="AN77" i="12" s="1"/>
  <c r="AM77" i="5"/>
  <c r="AM77" i="12" s="1"/>
  <c r="AL77" i="5"/>
  <c r="AK77" i="5"/>
  <c r="AK77" i="12" s="1"/>
  <c r="AJ77" i="5"/>
  <c r="AY77" i="5" s="1"/>
  <c r="AI77" i="5"/>
  <c r="AI77" i="12" s="1"/>
  <c r="L77" i="12"/>
  <c r="K77" i="5"/>
  <c r="K77" i="12" s="1"/>
  <c r="J77" i="5"/>
  <c r="J77" i="12" s="1"/>
  <c r="F77" i="5"/>
  <c r="E77" i="5"/>
  <c r="D77" i="5"/>
  <c r="C77" i="5"/>
  <c r="B77" i="5"/>
  <c r="B77" i="12" s="1"/>
  <c r="AW76" i="5"/>
  <c r="AW76" i="12" s="1"/>
  <c r="AV76" i="5"/>
  <c r="AV76" i="12" s="1"/>
  <c r="AU76" i="5"/>
  <c r="AU76" i="12" s="1"/>
  <c r="AS76" i="5"/>
  <c r="AS76" i="12" s="1"/>
  <c r="AR76" i="5"/>
  <c r="AR76" i="12" s="1"/>
  <c r="AQ76" i="5"/>
  <c r="AQ76" i="12" s="1"/>
  <c r="AP76" i="5"/>
  <c r="AP76" i="12" s="1"/>
  <c r="AN76" i="5"/>
  <c r="AN76" i="12" s="1"/>
  <c r="AM76" i="5"/>
  <c r="AM76" i="12" s="1"/>
  <c r="AL76" i="5"/>
  <c r="AK76" i="5"/>
  <c r="AK76" i="12" s="1"/>
  <c r="AJ76" i="5"/>
  <c r="AI76" i="5"/>
  <c r="AI76" i="12" s="1"/>
  <c r="L76" i="12"/>
  <c r="K76" i="5"/>
  <c r="K76" i="12" s="1"/>
  <c r="J76" i="5"/>
  <c r="J76" i="12" s="1"/>
  <c r="F76" i="5"/>
  <c r="E76" i="5"/>
  <c r="D76" i="5"/>
  <c r="C76" i="5"/>
  <c r="B76" i="5"/>
  <c r="B76" i="12" s="1"/>
  <c r="AW75" i="5"/>
  <c r="AW75" i="12" s="1"/>
  <c r="AV75" i="5"/>
  <c r="AV75" i="12" s="1"/>
  <c r="AU75" i="5"/>
  <c r="AU75" i="12" s="1"/>
  <c r="AS75" i="5"/>
  <c r="AS75" i="12" s="1"/>
  <c r="AR75" i="5"/>
  <c r="AR75" i="12" s="1"/>
  <c r="AQ75" i="5"/>
  <c r="AQ75" i="12" s="1"/>
  <c r="AP75" i="5"/>
  <c r="AP75" i="12" s="1"/>
  <c r="AN75" i="5"/>
  <c r="AN75" i="12" s="1"/>
  <c r="AM75" i="5"/>
  <c r="AM75" i="12" s="1"/>
  <c r="AL75" i="5"/>
  <c r="AL75" i="12" s="1"/>
  <c r="AK75" i="5"/>
  <c r="AK75" i="12" s="1"/>
  <c r="AJ75" i="5"/>
  <c r="AY75" i="5" s="1"/>
  <c r="AI75" i="5"/>
  <c r="AI75" i="12" s="1"/>
  <c r="L75" i="12"/>
  <c r="K75" i="5"/>
  <c r="K75" i="12" s="1"/>
  <c r="J75" i="5"/>
  <c r="J75" i="12" s="1"/>
  <c r="F75" i="5"/>
  <c r="E75" i="5"/>
  <c r="D75" i="5"/>
  <c r="C75" i="5"/>
  <c r="B75" i="5"/>
  <c r="B75" i="12" s="1"/>
  <c r="AW74" i="5"/>
  <c r="AW74" i="12" s="1"/>
  <c r="AV74" i="5"/>
  <c r="AV74" i="12" s="1"/>
  <c r="AU74" i="5"/>
  <c r="AU74" i="12" s="1"/>
  <c r="AS74" i="5"/>
  <c r="AS74" i="12" s="1"/>
  <c r="AR74" i="5"/>
  <c r="AR74" i="12" s="1"/>
  <c r="AQ74" i="5"/>
  <c r="AQ74" i="12" s="1"/>
  <c r="AP74" i="5"/>
  <c r="AP74" i="12" s="1"/>
  <c r="AN74" i="5"/>
  <c r="AN74" i="12" s="1"/>
  <c r="AM74" i="5"/>
  <c r="AM74" i="12" s="1"/>
  <c r="AL74" i="5"/>
  <c r="AK74" i="5"/>
  <c r="AK74" i="12" s="1"/>
  <c r="AJ74" i="5"/>
  <c r="AI74" i="5"/>
  <c r="AI74" i="12" s="1"/>
  <c r="L74" i="12"/>
  <c r="K74" i="5"/>
  <c r="K74" i="12" s="1"/>
  <c r="J74" i="5"/>
  <c r="J74" i="12" s="1"/>
  <c r="F74" i="5"/>
  <c r="E74" i="5"/>
  <c r="D74" i="5"/>
  <c r="C74" i="5"/>
  <c r="B74" i="5"/>
  <c r="B74" i="12" s="1"/>
  <c r="AW73" i="5"/>
  <c r="AW73" i="12" s="1"/>
  <c r="AV73" i="5"/>
  <c r="AV73" i="12" s="1"/>
  <c r="AU73" i="5"/>
  <c r="AU73" i="12" s="1"/>
  <c r="AS73" i="5"/>
  <c r="AS73" i="12" s="1"/>
  <c r="AR73" i="5"/>
  <c r="AR73" i="12" s="1"/>
  <c r="AQ73" i="5"/>
  <c r="AQ73" i="12" s="1"/>
  <c r="AP73" i="5"/>
  <c r="AP73" i="12" s="1"/>
  <c r="AN73" i="5"/>
  <c r="AN73" i="12" s="1"/>
  <c r="AM73" i="5"/>
  <c r="AM73" i="12" s="1"/>
  <c r="AL73" i="5"/>
  <c r="AK73" i="5"/>
  <c r="AK73" i="12" s="1"/>
  <c r="AJ73" i="5"/>
  <c r="AJ73" i="12" s="1"/>
  <c r="AY73" i="12" s="1"/>
  <c r="AI73" i="5"/>
  <c r="AI73" i="12" s="1"/>
  <c r="L73" i="12"/>
  <c r="K73" i="5"/>
  <c r="K73" i="12" s="1"/>
  <c r="J73" i="5"/>
  <c r="J73" i="12" s="1"/>
  <c r="F73" i="5"/>
  <c r="E73" i="5"/>
  <c r="D73" i="5"/>
  <c r="C73" i="5"/>
  <c r="B73" i="5"/>
  <c r="B73" i="12" s="1"/>
  <c r="J7" i="5"/>
  <c r="J6" i="5"/>
  <c r="J5" i="5"/>
  <c r="J4" i="5"/>
  <c r="J3" i="5"/>
  <c r="J2" i="5"/>
  <c r="J1" i="5"/>
  <c r="E6" i="5"/>
  <c r="E5" i="5"/>
  <c r="E4" i="5"/>
  <c r="E3" i="5"/>
  <c r="E2" i="5"/>
  <c r="M75" i="5" l="1"/>
  <c r="M79" i="5"/>
  <c r="M83" i="5"/>
  <c r="M87" i="5"/>
  <c r="M91" i="5"/>
  <c r="M95" i="5"/>
  <c r="M99" i="5"/>
  <c r="M103" i="5"/>
  <c r="M107" i="5"/>
  <c r="M111" i="5"/>
  <c r="M115" i="5"/>
  <c r="M119" i="5"/>
  <c r="M123" i="5"/>
  <c r="M127" i="5"/>
  <c r="M74" i="5"/>
  <c r="M78" i="5"/>
  <c r="M82" i="5"/>
  <c r="M86" i="5"/>
  <c r="M90" i="5"/>
  <c r="M94" i="5"/>
  <c r="M98" i="5"/>
  <c r="M102" i="5"/>
  <c r="M106" i="5"/>
  <c r="M110" i="5"/>
  <c r="M114" i="5"/>
  <c r="M118" i="5"/>
  <c r="M122" i="5"/>
  <c r="M126" i="5"/>
  <c r="M85" i="5"/>
  <c r="M89" i="5"/>
  <c r="M93" i="5"/>
  <c r="M97" i="5"/>
  <c r="M101" i="5"/>
  <c r="M105" i="5"/>
  <c r="M109" i="5"/>
  <c r="M113" i="5"/>
  <c r="M117" i="5"/>
  <c r="M121" i="5"/>
  <c r="M125" i="5"/>
  <c r="B22" i="21"/>
  <c r="M180" i="5"/>
  <c r="M143" i="5"/>
  <c r="M136" i="5"/>
  <c r="M137" i="5"/>
  <c r="M154" i="5"/>
  <c r="M165" i="5"/>
  <c r="M176" i="5"/>
  <c r="M187" i="5"/>
  <c r="M173" i="5"/>
  <c r="M184" i="5"/>
  <c r="M138" i="5"/>
  <c r="M182" i="5"/>
  <c r="M192" i="5"/>
  <c r="M167" i="5"/>
  <c r="M133" i="5"/>
  <c r="M166" i="5"/>
  <c r="M177" i="5"/>
  <c r="M188" i="5"/>
  <c r="M162" i="5"/>
  <c r="M185" i="5"/>
  <c r="M135" i="5"/>
  <c r="M149" i="5"/>
  <c r="M132" i="5"/>
  <c r="M191" i="5"/>
  <c r="M179" i="5"/>
  <c r="M145" i="5"/>
  <c r="M178" i="5"/>
  <c r="M189" i="5"/>
  <c r="M139" i="5"/>
  <c r="M174" i="5"/>
  <c r="M128" i="5"/>
  <c r="M147" i="5"/>
  <c r="M134" i="5"/>
  <c r="M144" i="5"/>
  <c r="M155" i="5"/>
  <c r="M140" i="5"/>
  <c r="M157" i="5"/>
  <c r="M190" i="5"/>
  <c r="M129" i="5"/>
  <c r="M151" i="5"/>
  <c r="M186" i="5"/>
  <c r="M148" i="5"/>
  <c r="M159" i="5"/>
  <c r="M146" i="5"/>
  <c r="M156" i="5"/>
  <c r="M169" i="5"/>
  <c r="M130" i="5"/>
  <c r="M141" i="5"/>
  <c r="M152" i="5"/>
  <c r="M163" i="5"/>
  <c r="M150" i="5"/>
  <c r="M160" i="5"/>
  <c r="M171" i="5"/>
  <c r="M158" i="5"/>
  <c r="M168" i="5"/>
  <c r="M131" i="5"/>
  <c r="M181" i="5"/>
  <c r="M142" i="5"/>
  <c r="M153" i="5"/>
  <c r="M164" i="5"/>
  <c r="M175" i="5"/>
  <c r="M161" i="5"/>
  <c r="M172" i="5"/>
  <c r="M183" i="5"/>
  <c r="M170" i="5"/>
  <c r="M73" i="5"/>
  <c r="M77" i="5"/>
  <c r="M81" i="5"/>
  <c r="M76" i="5"/>
  <c r="M80" i="5"/>
  <c r="M84" i="5"/>
  <c r="M88" i="5"/>
  <c r="M92" i="5"/>
  <c r="M96" i="5"/>
  <c r="M100" i="5"/>
  <c r="M104" i="5"/>
  <c r="M108" i="5"/>
  <c r="M112" i="5"/>
  <c r="M116" i="5"/>
  <c r="M120" i="5"/>
  <c r="M124" i="5"/>
  <c r="M4" i="5"/>
  <c r="M4" i="12" s="1"/>
  <c r="BS4" i="5"/>
  <c r="BS4" i="12" s="1"/>
  <c r="BN21" i="4"/>
  <c r="V180" i="5"/>
  <c r="V165" i="5"/>
  <c r="V159" i="5"/>
  <c r="V170" i="5"/>
  <c r="V151" i="5"/>
  <c r="V140" i="5"/>
  <c r="V176" i="5"/>
  <c r="V149" i="5"/>
  <c r="V133" i="5"/>
  <c r="V132" i="5"/>
  <c r="V172" i="5"/>
  <c r="V148" i="5"/>
  <c r="V147" i="5"/>
  <c r="V146" i="5"/>
  <c r="V155" i="5"/>
  <c r="V154" i="5"/>
  <c r="V153" i="5"/>
  <c r="V142" i="5"/>
  <c r="V135" i="5"/>
  <c r="V134" i="5"/>
  <c r="V179" i="5"/>
  <c r="V178" i="5"/>
  <c r="V152" i="5"/>
  <c r="V130" i="5"/>
  <c r="V177" i="5"/>
  <c r="V174" i="5"/>
  <c r="V150" i="5"/>
  <c r="V145" i="5"/>
  <c r="V156" i="5"/>
  <c r="V181" i="5"/>
  <c r="V141" i="5"/>
  <c r="V128" i="5"/>
  <c r="V186" i="5"/>
  <c r="V168" i="5"/>
  <c r="V164" i="5"/>
  <c r="V161" i="5"/>
  <c r="V167" i="5"/>
  <c r="V166" i="5"/>
  <c r="V173" i="5"/>
  <c r="V137" i="5"/>
  <c r="V184" i="5"/>
  <c r="V136" i="5"/>
  <c r="V175" i="5"/>
  <c r="V182" i="5"/>
  <c r="V162" i="5"/>
  <c r="V158" i="5"/>
  <c r="V183" i="5"/>
  <c r="V138" i="5"/>
  <c r="V188" i="5"/>
  <c r="V143" i="5"/>
  <c r="V160" i="5"/>
  <c r="V129" i="5"/>
  <c r="V191" i="5"/>
  <c r="V131" i="5"/>
  <c r="V163" i="5"/>
  <c r="V157" i="5"/>
  <c r="V139" i="5"/>
  <c r="V144" i="5"/>
  <c r="V171" i="5"/>
  <c r="V192" i="5"/>
  <c r="V169" i="5"/>
  <c r="V190" i="5"/>
  <c r="V189" i="5"/>
  <c r="V187" i="5"/>
  <c r="V185" i="5"/>
  <c r="C74" i="12"/>
  <c r="F76" i="12"/>
  <c r="D83" i="12"/>
  <c r="D92" i="12"/>
  <c r="E93" i="12"/>
  <c r="F94" i="12"/>
  <c r="D73" i="12"/>
  <c r="E74" i="12"/>
  <c r="D81" i="12"/>
  <c r="E82" i="12"/>
  <c r="C90" i="12"/>
  <c r="F92" i="12"/>
  <c r="C108" i="12"/>
  <c r="D109" i="12"/>
  <c r="E118" i="12"/>
  <c r="E90" i="12"/>
  <c r="F91" i="12"/>
  <c r="E99" i="12"/>
  <c r="E108" i="12"/>
  <c r="F109" i="12"/>
  <c r="C115" i="12"/>
  <c r="F117" i="12"/>
  <c r="E80" i="12"/>
  <c r="C88" i="12"/>
  <c r="E89" i="12"/>
  <c r="F90" i="12"/>
  <c r="C97" i="12"/>
  <c r="D98" i="12"/>
  <c r="D115" i="12"/>
  <c r="E116" i="12"/>
  <c r="F126" i="12"/>
  <c r="D79" i="12"/>
  <c r="F80" i="12"/>
  <c r="C87" i="12"/>
  <c r="D97" i="12"/>
  <c r="E106" i="12"/>
  <c r="C114" i="12"/>
  <c r="F116" i="12"/>
  <c r="D123" i="12"/>
  <c r="F125" i="12"/>
  <c r="E79" i="12"/>
  <c r="D96" i="12"/>
  <c r="D114" i="12"/>
  <c r="F115" i="12"/>
  <c r="C77" i="12"/>
  <c r="C85" i="12"/>
  <c r="D86" i="12"/>
  <c r="E87" i="12"/>
  <c r="D95" i="12"/>
  <c r="E96" i="12"/>
  <c r="F97" i="12"/>
  <c r="C104" i="12"/>
  <c r="E105" i="12"/>
  <c r="C112" i="12"/>
  <c r="D113" i="12"/>
  <c r="E114" i="12"/>
  <c r="C121" i="12"/>
  <c r="D122" i="12"/>
  <c r="F123" i="12"/>
  <c r="E84" i="12"/>
  <c r="D74" i="12"/>
  <c r="F75" i="12"/>
  <c r="C81" i="12"/>
  <c r="F84" i="12"/>
  <c r="C100" i="12"/>
  <c r="D101" i="12"/>
  <c r="C109" i="12"/>
  <c r="E110" i="12"/>
  <c r="F111" i="12"/>
  <c r="E73" i="12"/>
  <c r="F74" i="12"/>
  <c r="E81" i="12"/>
  <c r="F82" i="12"/>
  <c r="D90" i="12"/>
  <c r="E91" i="12"/>
  <c r="D99" i="12"/>
  <c r="E100" i="12"/>
  <c r="F101" i="12"/>
  <c r="F118" i="12"/>
  <c r="C125" i="12"/>
  <c r="D126" i="12"/>
  <c r="D107" i="12"/>
  <c r="C124" i="12"/>
  <c r="D125" i="12"/>
  <c r="E126" i="12"/>
  <c r="F127" i="12"/>
  <c r="F99" i="12"/>
  <c r="F108" i="12"/>
  <c r="C105" i="12"/>
  <c r="F107" i="12"/>
  <c r="E115" i="12"/>
  <c r="E124" i="12"/>
  <c r="C86" i="12"/>
  <c r="D87" i="12"/>
  <c r="C95" i="12"/>
  <c r="F98" i="12"/>
  <c r="F124" i="12"/>
  <c r="D78" i="12"/>
  <c r="C76" i="12"/>
  <c r="D77" i="12"/>
  <c r="E78" i="12"/>
  <c r="D85" i="12"/>
  <c r="E86" i="12"/>
  <c r="F87" i="12"/>
  <c r="E95" i="12"/>
  <c r="F96" i="12"/>
  <c r="C103" i="12"/>
  <c r="D104" i="12"/>
  <c r="F105" i="12"/>
  <c r="D112" i="12"/>
  <c r="E113" i="12"/>
  <c r="F114" i="12"/>
  <c r="C120" i="12"/>
  <c r="D121" i="12"/>
  <c r="E122" i="12"/>
  <c r="E75" i="12"/>
  <c r="C82" i="12"/>
  <c r="E102" i="12"/>
  <c r="F103" i="12"/>
  <c r="D110" i="12"/>
  <c r="E119" i="12"/>
  <c r="F120" i="12"/>
  <c r="F83" i="12"/>
  <c r="D91" i="12"/>
  <c r="C99" i="12"/>
  <c r="D100" i="12"/>
  <c r="E101" i="12"/>
  <c r="F110" i="12"/>
  <c r="D117" i="12"/>
  <c r="C126" i="12"/>
  <c r="D127" i="12"/>
  <c r="F73" i="12"/>
  <c r="F81" i="12"/>
  <c r="D89" i="12"/>
  <c r="F100" i="12"/>
  <c r="D116" i="12"/>
  <c r="C79" i="12"/>
  <c r="D106" i="12"/>
  <c r="E107" i="12"/>
  <c r="D124" i="12"/>
  <c r="E125" i="12"/>
  <c r="F89" i="12"/>
  <c r="C96" i="12"/>
  <c r="F106" i="12"/>
  <c r="C122" i="12"/>
  <c r="E123" i="12"/>
  <c r="D76" i="12"/>
  <c r="E77" i="12"/>
  <c r="F78" i="12"/>
  <c r="C84" i="12"/>
  <c r="E85" i="12"/>
  <c r="F86" i="12"/>
  <c r="C93" i="12"/>
  <c r="D94" i="12"/>
  <c r="F95" i="12"/>
  <c r="C102" i="12"/>
  <c r="D103" i="12"/>
  <c r="E104" i="12"/>
  <c r="E112" i="12"/>
  <c r="F113" i="12"/>
  <c r="C119" i="12"/>
  <c r="D120" i="12"/>
  <c r="E121" i="12"/>
  <c r="F122" i="12"/>
  <c r="E111" i="12"/>
  <c r="D82" i="12"/>
  <c r="E83" i="12"/>
  <c r="E92" i="12"/>
  <c r="F93" i="12"/>
  <c r="F102" i="12"/>
  <c r="C117" i="12"/>
  <c r="D118" i="12"/>
  <c r="F119" i="12"/>
  <c r="C127" i="12"/>
  <c r="C89" i="12"/>
  <c r="C107" i="12"/>
  <c r="D108" i="12"/>
  <c r="E109" i="12"/>
  <c r="E117" i="12"/>
  <c r="E127" i="12"/>
  <c r="D80" i="12"/>
  <c r="C106" i="12"/>
  <c r="D88" i="12"/>
  <c r="E98" i="12"/>
  <c r="E88" i="12"/>
  <c r="E97" i="12"/>
  <c r="D105" i="12"/>
  <c r="F79" i="12"/>
  <c r="F88" i="12"/>
  <c r="D75" i="12"/>
  <c r="E76" i="12"/>
  <c r="F77" i="12"/>
  <c r="C83" i="12"/>
  <c r="D84" i="12"/>
  <c r="F85" i="12"/>
  <c r="C92" i="12"/>
  <c r="D93" i="12"/>
  <c r="E94" i="12"/>
  <c r="D102" i="12"/>
  <c r="E103" i="12"/>
  <c r="F104" i="12"/>
  <c r="D111" i="12"/>
  <c r="F112" i="12"/>
  <c r="D119" i="12"/>
  <c r="E120" i="12"/>
  <c r="F121" i="12"/>
  <c r="V80" i="5"/>
  <c r="V73" i="5"/>
  <c r="V98" i="5"/>
  <c r="V101" i="5"/>
  <c r="AY103" i="5"/>
  <c r="AJ80" i="12"/>
  <c r="AY80" i="12" s="1"/>
  <c r="AY113" i="5"/>
  <c r="AJ119" i="12"/>
  <c r="AY119" i="12" s="1"/>
  <c r="V110" i="5"/>
  <c r="V123" i="5"/>
  <c r="AJ105" i="12"/>
  <c r="AY105" i="12" s="1"/>
  <c r="AY127" i="5"/>
  <c r="V94" i="5"/>
  <c r="AY102" i="5"/>
  <c r="V118" i="5"/>
  <c r="C118" i="12"/>
  <c r="AJ90" i="12"/>
  <c r="AY90" i="12" s="1"/>
  <c r="C98" i="12"/>
  <c r="V114" i="5"/>
  <c r="AJ104" i="12"/>
  <c r="AY104" i="12" s="1"/>
  <c r="AJ91" i="12"/>
  <c r="AY91" i="12" s="1"/>
  <c r="AL95" i="12"/>
  <c r="AJ125" i="12"/>
  <c r="AY125" i="12" s="1"/>
  <c r="C75" i="12"/>
  <c r="V75" i="5"/>
  <c r="AL90" i="12"/>
  <c r="AL124" i="12"/>
  <c r="AL78" i="12"/>
  <c r="V85" i="5"/>
  <c r="AL89" i="12"/>
  <c r="AY110" i="5"/>
  <c r="AJ110" i="12"/>
  <c r="AY110" i="12" s="1"/>
  <c r="AY115" i="5"/>
  <c r="V82" i="5"/>
  <c r="AL88" i="12"/>
  <c r="AY107" i="5"/>
  <c r="AJ107" i="12"/>
  <c r="AY107" i="12" s="1"/>
  <c r="AJ108" i="12"/>
  <c r="AY108" i="12" s="1"/>
  <c r="V84" i="5"/>
  <c r="V119" i="5"/>
  <c r="AL123" i="12"/>
  <c r="AL93" i="12"/>
  <c r="AL77" i="12"/>
  <c r="AY120" i="5"/>
  <c r="AJ120" i="12"/>
  <c r="AY120" i="12" s="1"/>
  <c r="AL101" i="12"/>
  <c r="AL114" i="12"/>
  <c r="AY95" i="5"/>
  <c r="AY96" i="5"/>
  <c r="AL92" i="12"/>
  <c r="AY122" i="5"/>
  <c r="AJ122" i="12"/>
  <c r="AY122" i="12" s="1"/>
  <c r="V78" i="5"/>
  <c r="C78" i="12"/>
  <c r="AY97" i="5"/>
  <c r="AL118" i="12"/>
  <c r="AJ79" i="12"/>
  <c r="AY79" i="12" s="1"/>
  <c r="AY79" i="5"/>
  <c r="C73" i="12"/>
  <c r="AL74" i="12"/>
  <c r="C123" i="12"/>
  <c r="AJ94" i="12"/>
  <c r="AY94" i="12" s="1"/>
  <c r="AL113" i="12"/>
  <c r="AY81" i="5"/>
  <c r="AY100" i="5"/>
  <c r="AY101" i="5"/>
  <c r="V122" i="5"/>
  <c r="AL106" i="12"/>
  <c r="AJ84" i="12"/>
  <c r="AY84" i="12" s="1"/>
  <c r="AL127" i="12"/>
  <c r="V100" i="5"/>
  <c r="V126" i="5"/>
  <c r="C80" i="12"/>
  <c r="AL117" i="12"/>
  <c r="V95" i="5"/>
  <c r="V124" i="5"/>
  <c r="AL73" i="12"/>
  <c r="AY73" i="5"/>
  <c r="AL85" i="12"/>
  <c r="AY123" i="5"/>
  <c r="AJ123" i="12"/>
  <c r="AY123" i="12" s="1"/>
  <c r="AL80" i="12"/>
  <c r="AJ85" i="12"/>
  <c r="AY85" i="12" s="1"/>
  <c r="AL111" i="12"/>
  <c r="AJ116" i="12"/>
  <c r="AY116" i="12" s="1"/>
  <c r="AY78" i="5"/>
  <c r="AJ78" i="12"/>
  <c r="AY78" i="12" s="1"/>
  <c r="AY92" i="5"/>
  <c r="AJ92" i="12"/>
  <c r="AY92" i="12" s="1"/>
  <c r="AY93" i="5"/>
  <c r="AJ93" i="12"/>
  <c r="AY93" i="12" s="1"/>
  <c r="V96" i="5"/>
  <c r="AY99" i="5"/>
  <c r="V106" i="5"/>
  <c r="AJ121" i="12"/>
  <c r="AY121" i="12" s="1"/>
  <c r="AY121" i="5"/>
  <c r="AJ124" i="12"/>
  <c r="AY124" i="12" s="1"/>
  <c r="AY124" i="5"/>
  <c r="AJ75" i="12"/>
  <c r="AY75" i="12" s="1"/>
  <c r="AJ89" i="12"/>
  <c r="AY89" i="12" s="1"/>
  <c r="C94" i="12"/>
  <c r="C101" i="12"/>
  <c r="AL104" i="12"/>
  <c r="AJ109" i="12"/>
  <c r="AY109" i="12" s="1"/>
  <c r="AL110" i="12"/>
  <c r="AL116" i="12"/>
  <c r="AL120" i="12"/>
  <c r="V76" i="5"/>
  <c r="AL83" i="12"/>
  <c r="AY86" i="5"/>
  <c r="AJ86" i="12"/>
  <c r="AY86" i="12" s="1"/>
  <c r="V91" i="5"/>
  <c r="C91" i="12"/>
  <c r="AL112" i="12"/>
  <c r="V102" i="5"/>
  <c r="AL96" i="12"/>
  <c r="AJ82" i="12"/>
  <c r="AY82" i="12" s="1"/>
  <c r="AY87" i="5"/>
  <c r="AL91" i="12"/>
  <c r="AL100" i="12"/>
  <c r="V116" i="5"/>
  <c r="C116" i="12"/>
  <c r="AL125" i="12"/>
  <c r="AL76" i="12"/>
  <c r="AL79" i="12"/>
  <c r="AJ83" i="12"/>
  <c r="AY83" i="12" s="1"/>
  <c r="AL103" i="12"/>
  <c r="C110" i="12"/>
  <c r="AL108" i="12"/>
  <c r="AJ117" i="12"/>
  <c r="AY117" i="12" s="1"/>
  <c r="AY74" i="5"/>
  <c r="AJ74" i="12"/>
  <c r="AY74" i="12" s="1"/>
  <c r="AL119" i="12"/>
  <c r="AL84" i="12"/>
  <c r="V88" i="5"/>
  <c r="V92" i="5"/>
  <c r="AL98" i="12"/>
  <c r="AJ77" i="12"/>
  <c r="AY77" i="12" s="1"/>
  <c r="AY76" i="5"/>
  <c r="AJ76" i="12"/>
  <c r="AY76" i="12" s="1"/>
  <c r="AY88" i="5"/>
  <c r="AJ88" i="12"/>
  <c r="AY88" i="12" s="1"/>
  <c r="C113" i="12"/>
  <c r="V113" i="5"/>
  <c r="AY126" i="5"/>
  <c r="AJ126" i="12"/>
  <c r="AY126" i="12" s="1"/>
  <c r="V127" i="5"/>
  <c r="AL94" i="12"/>
  <c r="V74" i="5"/>
  <c r="V99" i="5"/>
  <c r="AL105" i="12"/>
  <c r="AY106" i="5"/>
  <c r="AJ106" i="12"/>
  <c r="AY106" i="12" s="1"/>
  <c r="AY112" i="5"/>
  <c r="AJ112" i="12"/>
  <c r="AY112" i="12" s="1"/>
  <c r="AY118" i="5"/>
  <c r="AJ118" i="12"/>
  <c r="AY118" i="12" s="1"/>
  <c r="AL121" i="12"/>
  <c r="AL122" i="12"/>
  <c r="AJ98" i="12"/>
  <c r="AY98" i="12" s="1"/>
  <c r="AJ114" i="12"/>
  <c r="AY114" i="12" s="1"/>
  <c r="V111" i="5"/>
  <c r="C111" i="12"/>
  <c r="AJ111" i="12"/>
  <c r="AY111" i="12" s="1"/>
  <c r="V107" i="5"/>
  <c r="V87" i="5"/>
  <c r="V77" i="5"/>
  <c r="V79" i="5"/>
  <c r="V83" i="5"/>
  <c r="V90" i="5"/>
  <c r="V97" i="5"/>
  <c r="V115" i="5"/>
  <c r="V93" i="5"/>
  <c r="V108" i="5"/>
  <c r="V81" i="5"/>
  <c r="V86" i="5"/>
  <c r="V89" i="5"/>
  <c r="V105" i="5"/>
  <c r="V103" i="5"/>
  <c r="V104" i="5"/>
  <c r="V117" i="5"/>
  <c r="V112" i="5"/>
  <c r="V121" i="5"/>
  <c r="V120" i="5"/>
  <c r="V109" i="5"/>
  <c r="V125" i="5"/>
  <c r="M5" i="5" l="1"/>
  <c r="CN72" i="12"/>
  <c r="CN71" i="12"/>
  <c r="CN70" i="12"/>
  <c r="CN69" i="12"/>
  <c r="CN68" i="12"/>
  <c r="CN67" i="12"/>
  <c r="CN66" i="12"/>
  <c r="CN65" i="12"/>
  <c r="CN64" i="12"/>
  <c r="CN63" i="12"/>
  <c r="CN62" i="12"/>
  <c r="CN61" i="12"/>
  <c r="CN60" i="12"/>
  <c r="CN59" i="12"/>
  <c r="CN58" i="12"/>
  <c r="CN57" i="12"/>
  <c r="CN56" i="12"/>
  <c r="CN55" i="12"/>
  <c r="CN54" i="12"/>
  <c r="CN53" i="12"/>
  <c r="CN52" i="12"/>
  <c r="CN51" i="12"/>
  <c r="CN50" i="12"/>
  <c r="CN49" i="12"/>
  <c r="CN48" i="12"/>
  <c r="CN47" i="12"/>
  <c r="CN46" i="12"/>
  <c r="CN45" i="12"/>
  <c r="CN44" i="12"/>
  <c r="CN43" i="12"/>
  <c r="CN42" i="12"/>
  <c r="CN41" i="12"/>
  <c r="CN40" i="12"/>
  <c r="CN39" i="12"/>
  <c r="CN38" i="12"/>
  <c r="CN37" i="12"/>
  <c r="CN36" i="12"/>
  <c r="CN35" i="12"/>
  <c r="CN34" i="12"/>
  <c r="CN33" i="12"/>
  <c r="CN32" i="12"/>
  <c r="CN31" i="12"/>
  <c r="CN30" i="12"/>
  <c r="CN29" i="12"/>
  <c r="CN28" i="12"/>
  <c r="CN27" i="12"/>
  <c r="CN26" i="12"/>
  <c r="CN25" i="12"/>
  <c r="CN24" i="12"/>
  <c r="CN23" i="12"/>
  <c r="CN22" i="12"/>
  <c r="CN21" i="12"/>
  <c r="CN20" i="12"/>
  <c r="CN19" i="12"/>
  <c r="CN18" i="12"/>
  <c r="CN17" i="12"/>
  <c r="CN16" i="12"/>
  <c r="CN15" i="12"/>
  <c r="CN14" i="12"/>
  <c r="CN13" i="12"/>
  <c r="CH72" i="12"/>
  <c r="CH71" i="12"/>
  <c r="CH70" i="12"/>
  <c r="CH69" i="12"/>
  <c r="CH68" i="12"/>
  <c r="CH67" i="12"/>
  <c r="CH66" i="12"/>
  <c r="CH65" i="12"/>
  <c r="CH64" i="12"/>
  <c r="CH63" i="12"/>
  <c r="CH62" i="12"/>
  <c r="CH61" i="12"/>
  <c r="CH60" i="12"/>
  <c r="CH59" i="12"/>
  <c r="CH58" i="12"/>
  <c r="CH57" i="12"/>
  <c r="CH56" i="12"/>
  <c r="CH55" i="12"/>
  <c r="CH54" i="12"/>
  <c r="CH53" i="12"/>
  <c r="CH52" i="12"/>
  <c r="CH51" i="12"/>
  <c r="CH50" i="12"/>
  <c r="CH49" i="12"/>
  <c r="CH48" i="12"/>
  <c r="CH47" i="12"/>
  <c r="CH46" i="12"/>
  <c r="CH45" i="12"/>
  <c r="CH44" i="12"/>
  <c r="CH43" i="12"/>
  <c r="CH42" i="12"/>
  <c r="CH41" i="12"/>
  <c r="CH40" i="12"/>
  <c r="CH39" i="12"/>
  <c r="CH38" i="12"/>
  <c r="CH37" i="12"/>
  <c r="CH36" i="12"/>
  <c r="CH35" i="12"/>
  <c r="CH34" i="12"/>
  <c r="CH33" i="12"/>
  <c r="CH32" i="12"/>
  <c r="CH31" i="12"/>
  <c r="CH30" i="12"/>
  <c r="CH29" i="12"/>
  <c r="CH28" i="12"/>
  <c r="CH27" i="12"/>
  <c r="CH26" i="12"/>
  <c r="CH25" i="12"/>
  <c r="CH24" i="12"/>
  <c r="CH23" i="12"/>
  <c r="CH22" i="12"/>
  <c r="CH21" i="12"/>
  <c r="CH20" i="12"/>
  <c r="CH19" i="12"/>
  <c r="CH18" i="12"/>
  <c r="CH17" i="12"/>
  <c r="CH16" i="12"/>
  <c r="CH15" i="12"/>
  <c r="CH14" i="12"/>
  <c r="CH13" i="12"/>
  <c r="BN46" i="4" l="1"/>
  <c r="BN47" i="4" s="1"/>
  <c r="BN48" i="4" s="1"/>
  <c r="BN49" i="4" s="1"/>
  <c r="BN50" i="4" l="1"/>
  <c r="BN51" i="4" l="1"/>
  <c r="BN52" i="4" l="1"/>
  <c r="BN53" i="4" l="1"/>
  <c r="BN54" i="4" l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80" i="4" l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l="1"/>
  <c r="U75" i="5"/>
  <c r="U99" i="5"/>
  <c r="U123" i="5"/>
  <c r="U90" i="5"/>
  <c r="U114" i="5"/>
  <c r="U93" i="5"/>
  <c r="U117" i="5"/>
  <c r="U165" i="5"/>
  <c r="U188" i="5"/>
  <c r="U128" i="5"/>
  <c r="U130" i="5"/>
  <c r="U164" i="5"/>
  <c r="U176" i="5"/>
  <c r="U162" i="5"/>
  <c r="U147" i="5"/>
  <c r="U157" i="5"/>
  <c r="U156" i="5"/>
  <c r="U141" i="5"/>
  <c r="U175" i="5"/>
  <c r="U80" i="5"/>
  <c r="U104" i="5"/>
  <c r="U79" i="5"/>
  <c r="U173" i="5"/>
  <c r="U135" i="5"/>
  <c r="U163" i="5"/>
  <c r="U172" i="5"/>
  <c r="U84" i="5"/>
  <c r="U108" i="5"/>
  <c r="U103" i="5"/>
  <c r="U83" i="5"/>
  <c r="U107" i="5"/>
  <c r="U74" i="5"/>
  <c r="U98" i="5"/>
  <c r="U122" i="5"/>
  <c r="U101" i="5"/>
  <c r="U125" i="5"/>
  <c r="U184" i="5"/>
  <c r="U149" i="5"/>
  <c r="U145" i="5"/>
  <c r="U144" i="5"/>
  <c r="U190" i="5"/>
  <c r="U140" i="5"/>
  <c r="U150" i="5"/>
  <c r="U183" i="5"/>
  <c r="U100" i="5"/>
  <c r="U138" i="5"/>
  <c r="U155" i="5"/>
  <c r="U129" i="5"/>
  <c r="U160" i="5"/>
  <c r="U170" i="5"/>
  <c r="U73" i="5"/>
  <c r="U88" i="5"/>
  <c r="U112" i="5"/>
  <c r="U76" i="5"/>
  <c r="U185" i="5"/>
  <c r="U87" i="5"/>
  <c r="U111" i="5"/>
  <c r="U78" i="5"/>
  <c r="U102" i="5"/>
  <c r="U126" i="5"/>
  <c r="U105" i="5"/>
  <c r="U182" i="5"/>
  <c r="U132" i="5"/>
  <c r="U171" i="5"/>
  <c r="U146" i="5"/>
  <c r="U127" i="5"/>
  <c r="U134" i="5"/>
  <c r="U136" i="5"/>
  <c r="U133" i="5"/>
  <c r="U191" i="5"/>
  <c r="U178" i="5"/>
  <c r="U151" i="5"/>
  <c r="U158" i="5"/>
  <c r="U181" i="5"/>
  <c r="U180" i="5"/>
  <c r="U77" i="5"/>
  <c r="U131" i="5"/>
  <c r="U97" i="5"/>
  <c r="U152" i="5"/>
  <c r="U91" i="5"/>
  <c r="U115" i="5"/>
  <c r="U82" i="5"/>
  <c r="U106" i="5"/>
  <c r="U85" i="5"/>
  <c r="U109" i="5"/>
  <c r="U137" i="5"/>
  <c r="U186" i="5"/>
  <c r="U92" i="5"/>
  <c r="U116" i="5"/>
  <c r="U94" i="5"/>
  <c r="U161" i="5"/>
  <c r="U192" i="5"/>
  <c r="U166" i="5"/>
  <c r="U179" i="5"/>
  <c r="U189" i="5"/>
  <c r="U148" i="5"/>
  <c r="U168" i="5"/>
  <c r="U142" i="5"/>
  <c r="U143" i="5"/>
  <c r="U81" i="5"/>
  <c r="U96" i="5"/>
  <c r="U120" i="5"/>
  <c r="U187" i="5"/>
  <c r="U95" i="5"/>
  <c r="U119" i="5"/>
  <c r="U86" i="5"/>
  <c r="U110" i="5"/>
  <c r="U89" i="5"/>
  <c r="U113" i="5"/>
  <c r="U154" i="5"/>
  <c r="U139" i="5"/>
  <c r="U159" i="5"/>
  <c r="U169" i="5"/>
  <c r="U177" i="5"/>
  <c r="U121" i="5"/>
  <c r="U167" i="5"/>
  <c r="U174" i="5"/>
  <c r="U153" i="5"/>
  <c r="U124" i="5"/>
  <c r="U118" i="5"/>
  <c r="BN94" i="4"/>
  <c r="BN95" i="4" s="1"/>
  <c r="BN96" i="4" s="1"/>
  <c r="BN97" i="4" s="1"/>
  <c r="BN98" i="4" s="1"/>
  <c r="BN99" i="4" s="1"/>
  <c r="BN100" i="4" s="1"/>
  <c r="BN101" i="4" s="1"/>
  <c r="BN102" i="4" s="1"/>
  <c r="BN103" i="4" s="1"/>
  <c r="BN104" i="4" s="1"/>
  <c r="BN105" i="4" s="1"/>
  <c r="BN106" i="4" s="1"/>
  <c r="BN107" i="4" s="1"/>
  <c r="BN108" i="4" s="1"/>
  <c r="AS72" i="5"/>
  <c r="AS71" i="5"/>
  <c r="AS70" i="5"/>
  <c r="AS69" i="5"/>
  <c r="AS68" i="5"/>
  <c r="AS67" i="5"/>
  <c r="AS66" i="5"/>
  <c r="AS65" i="5"/>
  <c r="AS64" i="5"/>
  <c r="AS63" i="5"/>
  <c r="AS62" i="5"/>
  <c r="AS61" i="5"/>
  <c r="AS60" i="5"/>
  <c r="AS59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C138" i="21" l="1"/>
  <c r="D138" i="21" s="1"/>
  <c r="E138" i="21" s="1"/>
  <c r="F138" i="21" s="1"/>
  <c r="G138" i="21" s="1"/>
  <c r="H138" i="21" s="1"/>
  <c r="I138" i="21" s="1"/>
  <c r="J138" i="21" s="1"/>
  <c r="K138" i="21" s="1"/>
  <c r="L138" i="21" s="1"/>
  <c r="M138" i="21" s="1"/>
  <c r="N138" i="21" s="1"/>
  <c r="O138" i="21" s="1"/>
  <c r="P138" i="21" s="1"/>
  <c r="Q138" i="21" s="1"/>
  <c r="R138" i="21" s="1"/>
  <c r="S138" i="21" s="1"/>
  <c r="T138" i="21" s="1"/>
  <c r="U138" i="21" s="1"/>
  <c r="V138" i="21" s="1"/>
  <c r="W138" i="21" s="1"/>
  <c r="X138" i="21" s="1"/>
  <c r="Y138" i="21" s="1"/>
  <c r="Z138" i="21" s="1"/>
  <c r="AA138" i="21" s="1"/>
  <c r="AB138" i="21" s="1"/>
  <c r="AC138" i="21" s="1"/>
  <c r="AD138" i="21" s="1"/>
  <c r="AE138" i="21" s="1"/>
  <c r="AF138" i="21" s="1"/>
  <c r="AG138" i="21" s="1"/>
  <c r="AH138" i="21" s="1"/>
  <c r="AI138" i="21" s="1"/>
  <c r="AJ138" i="21" s="1"/>
  <c r="AK138" i="21" s="1"/>
  <c r="AL138" i="21" s="1"/>
  <c r="AM138" i="21" s="1"/>
  <c r="AN138" i="21" s="1"/>
  <c r="AO138" i="21" s="1"/>
  <c r="AP138" i="21" s="1"/>
  <c r="AQ138" i="21" s="1"/>
  <c r="AR138" i="21" s="1"/>
  <c r="AS138" i="21" s="1"/>
  <c r="AT138" i="21" s="1"/>
  <c r="AU138" i="21" s="1"/>
  <c r="AV138" i="21" s="1"/>
  <c r="AW138" i="21" s="1"/>
  <c r="AX138" i="21" s="1"/>
  <c r="AY138" i="21" s="1"/>
  <c r="AZ138" i="21" s="1"/>
  <c r="BA138" i="21" s="1"/>
  <c r="BB138" i="21" s="1"/>
  <c r="BC138" i="21" s="1"/>
  <c r="BD138" i="21" s="1"/>
  <c r="BE138" i="21" s="1"/>
  <c r="BF138" i="21" s="1"/>
  <c r="BG138" i="21" s="1"/>
  <c r="BH138" i="21" s="1"/>
  <c r="BI138" i="21" s="1"/>
  <c r="BJ138" i="21" l="1"/>
  <c r="C98" i="21"/>
  <c r="D98" i="21" s="1"/>
  <c r="E98" i="21" s="1"/>
  <c r="F98" i="21" s="1"/>
  <c r="G98" i="21" s="1"/>
  <c r="H98" i="21" s="1"/>
  <c r="I98" i="21" s="1"/>
  <c r="J98" i="21" s="1"/>
  <c r="K98" i="21" s="1"/>
  <c r="L98" i="21" s="1"/>
  <c r="M98" i="21" s="1"/>
  <c r="N98" i="21" s="1"/>
  <c r="O98" i="21" s="1"/>
  <c r="P98" i="21" s="1"/>
  <c r="Q98" i="21" s="1"/>
  <c r="R98" i="21" s="1"/>
  <c r="S98" i="21" s="1"/>
  <c r="T98" i="21" s="1"/>
  <c r="U98" i="21" s="1"/>
  <c r="V98" i="21" s="1"/>
  <c r="W98" i="21" s="1"/>
  <c r="X98" i="21" s="1"/>
  <c r="Y98" i="21" s="1"/>
  <c r="Z98" i="21" s="1"/>
  <c r="AA98" i="21" s="1"/>
  <c r="AB98" i="21" s="1"/>
  <c r="AC98" i="21" s="1"/>
  <c r="AD98" i="21" s="1"/>
  <c r="AE98" i="21" s="1"/>
  <c r="AF98" i="21" s="1"/>
  <c r="AG98" i="21" s="1"/>
  <c r="AH98" i="21" s="1"/>
  <c r="AI98" i="21" s="1"/>
  <c r="AJ98" i="21" s="1"/>
  <c r="AK98" i="21" s="1"/>
  <c r="AL98" i="21" s="1"/>
  <c r="AM98" i="21" s="1"/>
  <c r="AN98" i="21" s="1"/>
  <c r="AO98" i="21" s="1"/>
  <c r="AP98" i="21" s="1"/>
  <c r="AQ98" i="21" s="1"/>
  <c r="AR98" i="21" s="1"/>
  <c r="AS98" i="21" s="1"/>
  <c r="AT98" i="21" s="1"/>
  <c r="AU98" i="21" s="1"/>
  <c r="AV98" i="21" s="1"/>
  <c r="AW98" i="21" s="1"/>
  <c r="AX98" i="21" s="1"/>
  <c r="AY98" i="21" s="1"/>
  <c r="AZ98" i="21" s="1"/>
  <c r="BA98" i="21" s="1"/>
  <c r="BB98" i="21" s="1"/>
  <c r="BC98" i="21" s="1"/>
  <c r="BD98" i="21" s="1"/>
  <c r="BE98" i="21" s="1"/>
  <c r="BF98" i="21" s="1"/>
  <c r="BG98" i="21" s="1"/>
  <c r="BH98" i="21" s="1"/>
  <c r="BI98" i="21" s="1"/>
  <c r="BK138" i="21" l="1"/>
  <c r="BJ98" i="21"/>
  <c r="BL138" i="21" l="1"/>
  <c r="BK98" i="21"/>
  <c r="BM138" i="21" l="1"/>
  <c r="BL98" i="21"/>
  <c r="BN138" i="21" l="1"/>
  <c r="BM98" i="21"/>
  <c r="BO138" i="21" l="1"/>
  <c r="BN98" i="21"/>
  <c r="BP138" i="21" l="1"/>
  <c r="BO98" i="21"/>
  <c r="BQ138" i="21" l="1"/>
  <c r="BP98" i="21"/>
  <c r="BR138" i="21" l="1"/>
  <c r="BQ98" i="21"/>
  <c r="BS138" i="21" l="1"/>
  <c r="BR98" i="21"/>
  <c r="BT138" i="21" l="1"/>
  <c r="BS98" i="21"/>
  <c r="BU138" i="21" l="1"/>
  <c r="BT98" i="21"/>
  <c r="BV138" i="21" l="1"/>
  <c r="BU98" i="21"/>
  <c r="BW138" i="21" l="1"/>
  <c r="BV98" i="21"/>
  <c r="BX138" i="21" l="1"/>
  <c r="BW98" i="21"/>
  <c r="BY138" i="21" l="1"/>
  <c r="BX98" i="21"/>
  <c r="BZ138" i="21" l="1"/>
  <c r="BY98" i="21"/>
  <c r="CA138" i="21" l="1"/>
  <c r="BZ98" i="21"/>
  <c r="CR43" i="4" l="1"/>
  <c r="CB138" i="21"/>
  <c r="CA98" i="21"/>
  <c r="CC138" i="21" l="1"/>
  <c r="CB98" i="21"/>
  <c r="CD138" i="21" l="1"/>
  <c r="CC98" i="21"/>
  <c r="CE138" i="21" l="1"/>
  <c r="CD98" i="21"/>
  <c r="CF138" i="21" l="1"/>
  <c r="CE98" i="21"/>
  <c r="CG138" i="21" l="1"/>
  <c r="CF98" i="21"/>
  <c r="CH138" i="21" l="1"/>
  <c r="CG98" i="21"/>
  <c r="CI138" i="21" l="1"/>
  <c r="CH98" i="21"/>
  <c r="CJ138" i="21" l="1"/>
  <c r="CI98" i="21"/>
  <c r="CK138" i="21" l="1"/>
  <c r="CJ98" i="21"/>
  <c r="CL138" i="21" l="1"/>
  <c r="CK98" i="21"/>
  <c r="CM138" i="21" l="1"/>
  <c r="CL98" i="21"/>
  <c r="CN138" i="21" l="1"/>
  <c r="CM98" i="21"/>
  <c r="CO138" i="21" l="1"/>
  <c r="CN98" i="21"/>
  <c r="CP138" i="21" l="1"/>
  <c r="CO98" i="21"/>
  <c r="CQ138" i="21" l="1"/>
  <c r="CP98" i="21"/>
  <c r="CR138" i="21" l="1"/>
  <c r="CQ98" i="21"/>
  <c r="CS138" i="21" l="1"/>
  <c r="CR98" i="21"/>
  <c r="CT138" i="21" l="1"/>
  <c r="CS98" i="21"/>
  <c r="CU138" i="21" l="1"/>
  <c r="CT98" i="21"/>
  <c r="CV138" i="21" l="1"/>
  <c r="CU98" i="21"/>
  <c r="CW138" i="21" l="1"/>
  <c r="CV98" i="21"/>
  <c r="CX138" i="21" l="1"/>
  <c r="CW98" i="21"/>
  <c r="CY138" i="21" l="1"/>
  <c r="CX98" i="21"/>
  <c r="CZ138" i="21" l="1"/>
  <c r="CY98" i="21"/>
  <c r="DA138" i="21" l="1"/>
  <c r="CZ98" i="21"/>
  <c r="DB138" i="21" l="1"/>
  <c r="DA98" i="21"/>
  <c r="DC138" i="21" l="1"/>
  <c r="DB98" i="21"/>
  <c r="DD138" i="21" l="1"/>
  <c r="DC98" i="21"/>
  <c r="DE138" i="21" l="1"/>
  <c r="DD98" i="21"/>
  <c r="DF138" i="21" l="1"/>
  <c r="DE98" i="21"/>
  <c r="DG138" i="21" l="1"/>
  <c r="DF98" i="21"/>
  <c r="DH138" i="21" l="1"/>
  <c r="DG98" i="21"/>
  <c r="DI138" i="21" l="1"/>
  <c r="DH98" i="21"/>
  <c r="DJ138" i="21" l="1"/>
  <c r="DI98" i="21"/>
  <c r="DK138" i="21" l="1"/>
  <c r="DJ98" i="21"/>
  <c r="DL138" i="21" l="1"/>
  <c r="DK98" i="21"/>
  <c r="DM138" i="21" l="1"/>
  <c r="DL98" i="21"/>
  <c r="DN138" i="21" l="1"/>
  <c r="DM98" i="21"/>
  <c r="DO138" i="21" l="1"/>
  <c r="DN98" i="21"/>
  <c r="DP138" i="21" l="1"/>
  <c r="DQ138" i="21" s="1"/>
  <c r="DR138" i="21" s="1"/>
  <c r="DS138" i="21" s="1"/>
  <c r="DT138" i="21" s="1"/>
  <c r="DU138" i="21" s="1"/>
  <c r="DV138" i="21" s="1"/>
  <c r="DW138" i="21" s="1"/>
  <c r="DX138" i="21" s="1"/>
  <c r="DY138" i="21" s="1"/>
  <c r="DZ138" i="21" s="1"/>
  <c r="EA138" i="21" s="1"/>
  <c r="EB138" i="21" s="1"/>
  <c r="EC138" i="21" s="1"/>
  <c r="ED138" i="21" s="1"/>
  <c r="EE138" i="21" s="1"/>
  <c r="EF138" i="21" s="1"/>
  <c r="EG138" i="21" s="1"/>
  <c r="EH138" i="21" s="1"/>
  <c r="EI138" i="21" s="1"/>
  <c r="EJ138" i="21" s="1"/>
  <c r="EK138" i="21" s="1"/>
  <c r="EL138" i="21" s="1"/>
  <c r="EM138" i="21" s="1"/>
  <c r="EN138" i="21" s="1"/>
  <c r="EO138" i="21" s="1"/>
  <c r="EP138" i="21" s="1"/>
  <c r="EQ138" i="21" s="1"/>
  <c r="ER138" i="21" s="1"/>
  <c r="ES138" i="21" s="1"/>
  <c r="ET138" i="21" s="1"/>
  <c r="EU138" i="21" s="1"/>
  <c r="EV138" i="21" s="1"/>
  <c r="EW138" i="21" s="1"/>
  <c r="EX138" i="21" s="1"/>
  <c r="EY138" i="21" s="1"/>
  <c r="EZ138" i="21" s="1"/>
  <c r="FA138" i="21" s="1"/>
  <c r="FB138" i="21" s="1"/>
  <c r="FC138" i="21" s="1"/>
  <c r="FD138" i="21" s="1"/>
  <c r="FE138" i="21" s="1"/>
  <c r="FF138" i="21" s="1"/>
  <c r="FG138" i="21" s="1"/>
  <c r="FH138" i="21" s="1"/>
  <c r="FI138" i="21" s="1"/>
  <c r="FJ138" i="21" s="1"/>
  <c r="FK138" i="21" s="1"/>
  <c r="FL138" i="21" s="1"/>
  <c r="FM138" i="21" s="1"/>
  <c r="FN138" i="21" s="1"/>
  <c r="FO138" i="21" s="1"/>
  <c r="FP138" i="21" s="1"/>
  <c r="FQ138" i="21" s="1"/>
  <c r="FR138" i="21" s="1"/>
  <c r="FS138" i="21" s="1"/>
  <c r="FT138" i="21" s="1"/>
  <c r="FU138" i="21" s="1"/>
  <c r="FV138" i="21" s="1"/>
  <c r="FW138" i="21" s="1"/>
  <c r="FX138" i="21" s="1"/>
  <c r="FY138" i="21" s="1"/>
  <c r="DO98" i="21"/>
  <c r="DP98" i="21" l="1"/>
  <c r="DQ98" i="21" s="1"/>
  <c r="DR98" i="21" s="1"/>
  <c r="DS98" i="21" s="1"/>
  <c r="DT98" i="21" s="1"/>
  <c r="DU98" i="21" s="1"/>
  <c r="DV98" i="21" s="1"/>
  <c r="DW98" i="21" s="1"/>
  <c r="DX98" i="21" s="1"/>
  <c r="DY98" i="21" s="1"/>
  <c r="DZ98" i="21" s="1"/>
  <c r="EA98" i="21" s="1"/>
  <c r="EB98" i="21" s="1"/>
  <c r="EC98" i="21" s="1"/>
  <c r="ED98" i="21" s="1"/>
  <c r="EE98" i="21" s="1"/>
  <c r="EF98" i="21" s="1"/>
  <c r="EG98" i="21" s="1"/>
  <c r="EH98" i="21" s="1"/>
  <c r="EI98" i="21" s="1"/>
  <c r="EJ98" i="21" s="1"/>
  <c r="EK98" i="21" s="1"/>
  <c r="EL98" i="21" s="1"/>
  <c r="EM98" i="21" s="1"/>
  <c r="EN98" i="21" s="1"/>
  <c r="EO98" i="21" s="1"/>
  <c r="EP98" i="21" s="1"/>
  <c r="EQ98" i="21" s="1"/>
  <c r="ER98" i="21" s="1"/>
  <c r="ES98" i="21" s="1"/>
  <c r="ET98" i="21" s="1"/>
  <c r="EU98" i="21" s="1"/>
  <c r="EV98" i="21" s="1"/>
  <c r="EW98" i="21" s="1"/>
  <c r="EX98" i="21" s="1"/>
  <c r="EY98" i="21" s="1"/>
  <c r="EZ98" i="21" s="1"/>
  <c r="FA98" i="21" s="1"/>
  <c r="FB98" i="21" s="1"/>
  <c r="FC98" i="21" s="1"/>
  <c r="FD98" i="21" s="1"/>
  <c r="FE98" i="21" s="1"/>
  <c r="FF98" i="21" s="1"/>
  <c r="FG98" i="21" s="1"/>
  <c r="FH98" i="21" s="1"/>
  <c r="FI98" i="21" s="1"/>
  <c r="FJ98" i="21" s="1"/>
  <c r="FK98" i="21" s="1"/>
  <c r="FL98" i="21" s="1"/>
  <c r="FM98" i="21" s="1"/>
  <c r="FN98" i="21" s="1"/>
  <c r="FO98" i="21" s="1"/>
  <c r="FP98" i="21" s="1"/>
  <c r="FQ98" i="21" s="1"/>
  <c r="FR98" i="21" s="1"/>
  <c r="FS98" i="21" s="1"/>
  <c r="FT98" i="21" s="1"/>
  <c r="FU98" i="21" s="1"/>
  <c r="FV98" i="21" s="1"/>
  <c r="FW98" i="21" s="1"/>
  <c r="FX98" i="21" s="1"/>
  <c r="FY98" i="21" s="1"/>
  <c r="C1" i="21" l="1"/>
  <c r="D1" i="21" l="1"/>
  <c r="E1" i="21" l="1"/>
  <c r="F1" i="21" l="1"/>
  <c r="B23" i="21"/>
  <c r="C22" i="21"/>
  <c r="D22" i="21" s="1"/>
  <c r="G1" i="21" l="1"/>
  <c r="H1" i="21" l="1"/>
  <c r="G23" i="21"/>
  <c r="F23" i="21"/>
  <c r="E23" i="21"/>
  <c r="D23" i="21"/>
  <c r="C23" i="21"/>
  <c r="AN71" i="5"/>
  <c r="AN68" i="5"/>
  <c r="AN68" i="12" s="1"/>
  <c r="AN66" i="5"/>
  <c r="AN66" i="12" s="1"/>
  <c r="AN63" i="5"/>
  <c r="AN63" i="12" s="1"/>
  <c r="AN60" i="5"/>
  <c r="AN60" i="12" s="1"/>
  <c r="AN58" i="5"/>
  <c r="AN58" i="12" s="1"/>
  <c r="AN54" i="5"/>
  <c r="AN54" i="12" s="1"/>
  <c r="AN48" i="5"/>
  <c r="AN48" i="12" s="1"/>
  <c r="AN43" i="5"/>
  <c r="AN43" i="12" s="1"/>
  <c r="AN42" i="5"/>
  <c r="AN42" i="12" s="1"/>
  <c r="AV72" i="5"/>
  <c r="AV72" i="12" s="1"/>
  <c r="AU72" i="5"/>
  <c r="AU72" i="12" s="1"/>
  <c r="AW71" i="5"/>
  <c r="AW71" i="12" s="1"/>
  <c r="AV71" i="5"/>
  <c r="AV71" i="12" s="1"/>
  <c r="AU71" i="5"/>
  <c r="AU71" i="12" s="1"/>
  <c r="AW70" i="5"/>
  <c r="AW70" i="12" s="1"/>
  <c r="AV70" i="5"/>
  <c r="AV70" i="12" s="1"/>
  <c r="AU70" i="5"/>
  <c r="AU70" i="12" s="1"/>
  <c r="AW69" i="5"/>
  <c r="AW69" i="12" s="1"/>
  <c r="AV69" i="5"/>
  <c r="AV69" i="12" s="1"/>
  <c r="AU69" i="5"/>
  <c r="AU69" i="12" s="1"/>
  <c r="AW68" i="5"/>
  <c r="AW68" i="12" s="1"/>
  <c r="AV68" i="5"/>
  <c r="AV68" i="12" s="1"/>
  <c r="AU68" i="5"/>
  <c r="AU68" i="12" s="1"/>
  <c r="AW67" i="5"/>
  <c r="AW67" i="12" s="1"/>
  <c r="AV67" i="5"/>
  <c r="AV67" i="12" s="1"/>
  <c r="AU67" i="5"/>
  <c r="AU67" i="12" s="1"/>
  <c r="AW66" i="5"/>
  <c r="AW66" i="12" s="1"/>
  <c r="AV66" i="5"/>
  <c r="AV66" i="12" s="1"/>
  <c r="AU66" i="5"/>
  <c r="AU66" i="12" s="1"/>
  <c r="AW65" i="5"/>
  <c r="AW65" i="12" s="1"/>
  <c r="AV65" i="5"/>
  <c r="AV65" i="12" s="1"/>
  <c r="AU65" i="5"/>
  <c r="AU65" i="12" s="1"/>
  <c r="AW64" i="5"/>
  <c r="AW64" i="12" s="1"/>
  <c r="AV64" i="5"/>
  <c r="AV64" i="12" s="1"/>
  <c r="AU64" i="5"/>
  <c r="AU64" i="12" s="1"/>
  <c r="AW63" i="5"/>
  <c r="AW63" i="12" s="1"/>
  <c r="AV63" i="5"/>
  <c r="AV63" i="12" s="1"/>
  <c r="AU63" i="5"/>
  <c r="AU63" i="12" s="1"/>
  <c r="AW62" i="5"/>
  <c r="AW62" i="12" s="1"/>
  <c r="AV62" i="5"/>
  <c r="AV62" i="12" s="1"/>
  <c r="AU62" i="5"/>
  <c r="AU62" i="12" s="1"/>
  <c r="AW61" i="5"/>
  <c r="AW61" i="12" s="1"/>
  <c r="AV61" i="5"/>
  <c r="AV61" i="12" s="1"/>
  <c r="AU61" i="5"/>
  <c r="AU61" i="12" s="1"/>
  <c r="AW60" i="5"/>
  <c r="AW60" i="12" s="1"/>
  <c r="AV60" i="5"/>
  <c r="AV60" i="12" s="1"/>
  <c r="AU60" i="5"/>
  <c r="AU60" i="12" s="1"/>
  <c r="AW59" i="5"/>
  <c r="AW59" i="12" s="1"/>
  <c r="AV59" i="5"/>
  <c r="AV59" i="12" s="1"/>
  <c r="AU59" i="5"/>
  <c r="AU59" i="12" s="1"/>
  <c r="AW58" i="5"/>
  <c r="AW58" i="12" s="1"/>
  <c r="AV58" i="5"/>
  <c r="AV58" i="12" s="1"/>
  <c r="AU58" i="5"/>
  <c r="AU58" i="12" s="1"/>
  <c r="AW57" i="5"/>
  <c r="AW57" i="12" s="1"/>
  <c r="AV57" i="5"/>
  <c r="AV57" i="12" s="1"/>
  <c r="AU57" i="5"/>
  <c r="AU57" i="12" s="1"/>
  <c r="AW56" i="5"/>
  <c r="AW56" i="12" s="1"/>
  <c r="AV56" i="5"/>
  <c r="AV56" i="12" s="1"/>
  <c r="AU56" i="5"/>
  <c r="AU56" i="12" s="1"/>
  <c r="AW55" i="5"/>
  <c r="AW55" i="12" s="1"/>
  <c r="AV55" i="5"/>
  <c r="AV55" i="12" s="1"/>
  <c r="AU55" i="5"/>
  <c r="AU55" i="12" s="1"/>
  <c r="AW54" i="5"/>
  <c r="AW54" i="12" s="1"/>
  <c r="AV54" i="5"/>
  <c r="AV54" i="12" s="1"/>
  <c r="AU54" i="5"/>
  <c r="AU54" i="12" s="1"/>
  <c r="AW53" i="5"/>
  <c r="AW53" i="12" s="1"/>
  <c r="AV53" i="5"/>
  <c r="AV53" i="12" s="1"/>
  <c r="AU53" i="5"/>
  <c r="AU53" i="12" s="1"/>
  <c r="AW52" i="5"/>
  <c r="AW52" i="12" s="1"/>
  <c r="AV52" i="5"/>
  <c r="AV52" i="12" s="1"/>
  <c r="AU52" i="5"/>
  <c r="AU52" i="12" s="1"/>
  <c r="AW51" i="5"/>
  <c r="AW51" i="12" s="1"/>
  <c r="AV51" i="5"/>
  <c r="AV51" i="12" s="1"/>
  <c r="AU51" i="5"/>
  <c r="AU51" i="12" s="1"/>
  <c r="AW50" i="5"/>
  <c r="AW50" i="12" s="1"/>
  <c r="AV50" i="5"/>
  <c r="AV50" i="12" s="1"/>
  <c r="AU50" i="5"/>
  <c r="AU50" i="12" s="1"/>
  <c r="AW49" i="5"/>
  <c r="AW49" i="12" s="1"/>
  <c r="AV49" i="5"/>
  <c r="AV49" i="12" s="1"/>
  <c r="AU49" i="5"/>
  <c r="AW48" i="5"/>
  <c r="AW48" i="12" s="1"/>
  <c r="AV48" i="5"/>
  <c r="AV48" i="12" s="1"/>
  <c r="AU48" i="5"/>
  <c r="AU48" i="12" s="1"/>
  <c r="AW47" i="5"/>
  <c r="AW47" i="12" s="1"/>
  <c r="AV47" i="5"/>
  <c r="AV47" i="12" s="1"/>
  <c r="AU47" i="5"/>
  <c r="AU47" i="12" s="1"/>
  <c r="AW46" i="5"/>
  <c r="AW46" i="12" s="1"/>
  <c r="AV46" i="5"/>
  <c r="AV46" i="12" s="1"/>
  <c r="AU46" i="5"/>
  <c r="AU46" i="12" s="1"/>
  <c r="AW45" i="5"/>
  <c r="AW45" i="12" s="1"/>
  <c r="AV45" i="5"/>
  <c r="AV45" i="12" s="1"/>
  <c r="AU45" i="5"/>
  <c r="AU45" i="12" s="1"/>
  <c r="AW44" i="5"/>
  <c r="AW44" i="12" s="1"/>
  <c r="AV44" i="5"/>
  <c r="AV44" i="12" s="1"/>
  <c r="AU44" i="5"/>
  <c r="AU44" i="12" s="1"/>
  <c r="AW43" i="5"/>
  <c r="AW43" i="12" s="1"/>
  <c r="AV43" i="5"/>
  <c r="AV43" i="12" s="1"/>
  <c r="AU43" i="5"/>
  <c r="AU43" i="12" s="1"/>
  <c r="AW42" i="5"/>
  <c r="AW42" i="12" s="1"/>
  <c r="AV42" i="5"/>
  <c r="AV42" i="12" s="1"/>
  <c r="AU42" i="5"/>
  <c r="AU42" i="12" s="1"/>
  <c r="AW41" i="5"/>
  <c r="AW41" i="12" s="1"/>
  <c r="AV41" i="5"/>
  <c r="AV41" i="12" s="1"/>
  <c r="AU41" i="5"/>
  <c r="AU41" i="12" s="1"/>
  <c r="AW40" i="5"/>
  <c r="AW40" i="12" s="1"/>
  <c r="AV40" i="5"/>
  <c r="AV40" i="12" s="1"/>
  <c r="AU40" i="5"/>
  <c r="AU40" i="12" s="1"/>
  <c r="AW39" i="5"/>
  <c r="AW39" i="12" s="1"/>
  <c r="AV39" i="5"/>
  <c r="AV39" i="12" s="1"/>
  <c r="AU39" i="5"/>
  <c r="AU39" i="12" s="1"/>
  <c r="AW38" i="5"/>
  <c r="AW38" i="12" s="1"/>
  <c r="AV38" i="5"/>
  <c r="AV38" i="12" s="1"/>
  <c r="AU38" i="5"/>
  <c r="AU38" i="12" s="1"/>
  <c r="AW37" i="5"/>
  <c r="AW37" i="12" s="1"/>
  <c r="AV37" i="5"/>
  <c r="AV37" i="12" s="1"/>
  <c r="AU37" i="5"/>
  <c r="AU37" i="12" s="1"/>
  <c r="AW36" i="5"/>
  <c r="AW36" i="12" s="1"/>
  <c r="AV36" i="5"/>
  <c r="AV36" i="12" s="1"/>
  <c r="AU36" i="5"/>
  <c r="AU36" i="12" s="1"/>
  <c r="AW35" i="5"/>
  <c r="AW35" i="12" s="1"/>
  <c r="AV35" i="5"/>
  <c r="AV35" i="12" s="1"/>
  <c r="AU35" i="5"/>
  <c r="AU35" i="12" s="1"/>
  <c r="AW34" i="5"/>
  <c r="AW34" i="12" s="1"/>
  <c r="AV34" i="5"/>
  <c r="AV34" i="12" s="1"/>
  <c r="AU34" i="5"/>
  <c r="AU34" i="12" s="1"/>
  <c r="AW33" i="5"/>
  <c r="AW33" i="12" s="1"/>
  <c r="AV33" i="5"/>
  <c r="AV33" i="12" s="1"/>
  <c r="AU33" i="5"/>
  <c r="AU33" i="12" s="1"/>
  <c r="AW32" i="5"/>
  <c r="AW32" i="12" s="1"/>
  <c r="AV32" i="5"/>
  <c r="AV32" i="12" s="1"/>
  <c r="AU32" i="5"/>
  <c r="AU32" i="12" s="1"/>
  <c r="AW31" i="5"/>
  <c r="AW31" i="12" s="1"/>
  <c r="AV31" i="5"/>
  <c r="AV31" i="12" s="1"/>
  <c r="AU31" i="5"/>
  <c r="AU31" i="12" s="1"/>
  <c r="AW30" i="5"/>
  <c r="AW30" i="12" s="1"/>
  <c r="AV30" i="5"/>
  <c r="AV30" i="12" s="1"/>
  <c r="AU30" i="5"/>
  <c r="AU30" i="12" s="1"/>
  <c r="AW29" i="5"/>
  <c r="AW29" i="12" s="1"/>
  <c r="AV29" i="5"/>
  <c r="AV29" i="12" s="1"/>
  <c r="AU29" i="5"/>
  <c r="AU29" i="12" s="1"/>
  <c r="AW28" i="5"/>
  <c r="AW28" i="12" s="1"/>
  <c r="AV28" i="5"/>
  <c r="AV28" i="12" s="1"/>
  <c r="AU28" i="5"/>
  <c r="AU28" i="12" s="1"/>
  <c r="AW27" i="5"/>
  <c r="AW27" i="12" s="1"/>
  <c r="AV27" i="5"/>
  <c r="AV27" i="12" s="1"/>
  <c r="AU27" i="5"/>
  <c r="AU27" i="12" s="1"/>
  <c r="AW26" i="5"/>
  <c r="AW26" i="12" s="1"/>
  <c r="AV26" i="5"/>
  <c r="AV26" i="12" s="1"/>
  <c r="AU26" i="5"/>
  <c r="AU26" i="12" s="1"/>
  <c r="AW25" i="5"/>
  <c r="AW25" i="12" s="1"/>
  <c r="AV25" i="5"/>
  <c r="AV25" i="12" s="1"/>
  <c r="AU25" i="5"/>
  <c r="AU25" i="12" s="1"/>
  <c r="AW24" i="5"/>
  <c r="AW24" i="12" s="1"/>
  <c r="AV24" i="5"/>
  <c r="AV24" i="12" s="1"/>
  <c r="AU24" i="5"/>
  <c r="AU24" i="12" s="1"/>
  <c r="AW23" i="5"/>
  <c r="AW23" i="12" s="1"/>
  <c r="AV23" i="5"/>
  <c r="AV23" i="12" s="1"/>
  <c r="AU23" i="5"/>
  <c r="AU23" i="12" s="1"/>
  <c r="AW22" i="5"/>
  <c r="AW22" i="12" s="1"/>
  <c r="AV22" i="5"/>
  <c r="AV22" i="12" s="1"/>
  <c r="AU22" i="5"/>
  <c r="AU22" i="12" s="1"/>
  <c r="AW21" i="5"/>
  <c r="AW21" i="12" s="1"/>
  <c r="AV21" i="5"/>
  <c r="AV21" i="12" s="1"/>
  <c r="AU21" i="5"/>
  <c r="AU21" i="12" s="1"/>
  <c r="AW20" i="5"/>
  <c r="AW20" i="12" s="1"/>
  <c r="AV20" i="5"/>
  <c r="AV20" i="12" s="1"/>
  <c r="AU20" i="5"/>
  <c r="AU20" i="12" s="1"/>
  <c r="AW19" i="5"/>
  <c r="AW19" i="12" s="1"/>
  <c r="AV19" i="5"/>
  <c r="AV19" i="12" s="1"/>
  <c r="AU19" i="5"/>
  <c r="AU19" i="12" s="1"/>
  <c r="AW18" i="5"/>
  <c r="AW18" i="12" s="1"/>
  <c r="AV18" i="5"/>
  <c r="AV18" i="12" s="1"/>
  <c r="AU18" i="5"/>
  <c r="AU18" i="12" s="1"/>
  <c r="AW17" i="5"/>
  <c r="AW17" i="12" s="1"/>
  <c r="AV17" i="5"/>
  <c r="AV17" i="12" s="1"/>
  <c r="AU17" i="5"/>
  <c r="AU17" i="12" s="1"/>
  <c r="AW16" i="5"/>
  <c r="AW16" i="12" s="1"/>
  <c r="AV16" i="5"/>
  <c r="AV16" i="12" s="1"/>
  <c r="AU16" i="5"/>
  <c r="AU16" i="12" s="1"/>
  <c r="AW15" i="5"/>
  <c r="AW15" i="12" s="1"/>
  <c r="AV15" i="5"/>
  <c r="AV15" i="12" s="1"/>
  <c r="AU15" i="5"/>
  <c r="AU15" i="12" s="1"/>
  <c r="AW14" i="5"/>
  <c r="AW14" i="12" s="1"/>
  <c r="AV14" i="5"/>
  <c r="AV14" i="12" s="1"/>
  <c r="AU14" i="5"/>
  <c r="AU14" i="12" s="1"/>
  <c r="AW13" i="5"/>
  <c r="AW13" i="12" s="1"/>
  <c r="AV13" i="5"/>
  <c r="AV13" i="12" s="1"/>
  <c r="AU13" i="5"/>
  <c r="AU13" i="12" s="1"/>
  <c r="AS72" i="12"/>
  <c r="AR72" i="5"/>
  <c r="AQ72" i="5"/>
  <c r="AQ72" i="12" s="1"/>
  <c r="AP72" i="5"/>
  <c r="AP72" i="12" s="1"/>
  <c r="AS71" i="12"/>
  <c r="AR71" i="5"/>
  <c r="AQ71" i="5"/>
  <c r="AQ71" i="12" s="1"/>
  <c r="AP71" i="5"/>
  <c r="AP71" i="12" s="1"/>
  <c r="AS70" i="12"/>
  <c r="AR70" i="5"/>
  <c r="AQ70" i="5"/>
  <c r="AQ70" i="12" s="1"/>
  <c r="AP70" i="5"/>
  <c r="AP70" i="12" s="1"/>
  <c r="AS69" i="12"/>
  <c r="AR69" i="5"/>
  <c r="AQ69" i="5"/>
  <c r="AQ69" i="12" s="1"/>
  <c r="AP69" i="5"/>
  <c r="AP69" i="12" s="1"/>
  <c r="AS68" i="12"/>
  <c r="AR68" i="5"/>
  <c r="AQ68" i="5"/>
  <c r="AQ68" i="12" s="1"/>
  <c r="AP68" i="5"/>
  <c r="AP68" i="12" s="1"/>
  <c r="AS67" i="12"/>
  <c r="AR67" i="5"/>
  <c r="AQ67" i="5"/>
  <c r="AQ67" i="12" s="1"/>
  <c r="AP67" i="5"/>
  <c r="AP67" i="12" s="1"/>
  <c r="AS66" i="12"/>
  <c r="AR66" i="5"/>
  <c r="AQ66" i="5"/>
  <c r="AQ66" i="12" s="1"/>
  <c r="AP66" i="5"/>
  <c r="AP66" i="12" s="1"/>
  <c r="AS65" i="12"/>
  <c r="AR65" i="5"/>
  <c r="AQ65" i="5"/>
  <c r="AQ65" i="12" s="1"/>
  <c r="AP65" i="5"/>
  <c r="AP65" i="12" s="1"/>
  <c r="AS64" i="12"/>
  <c r="AR64" i="5"/>
  <c r="AQ64" i="5"/>
  <c r="AQ64" i="12" s="1"/>
  <c r="AP64" i="5"/>
  <c r="AP64" i="12" s="1"/>
  <c r="AS63" i="12"/>
  <c r="AR63" i="5"/>
  <c r="AQ63" i="5"/>
  <c r="AQ63" i="12" s="1"/>
  <c r="AP63" i="5"/>
  <c r="AP63" i="12" s="1"/>
  <c r="AS62" i="12"/>
  <c r="AR62" i="5"/>
  <c r="AQ62" i="5"/>
  <c r="AQ62" i="12" s="1"/>
  <c r="AP62" i="5"/>
  <c r="AP62" i="12" s="1"/>
  <c r="AS61" i="12"/>
  <c r="AR61" i="5"/>
  <c r="AQ61" i="5"/>
  <c r="AQ61" i="12" s="1"/>
  <c r="AP61" i="5"/>
  <c r="AP61" i="12" s="1"/>
  <c r="AS60" i="12"/>
  <c r="AR60" i="5"/>
  <c r="AQ60" i="5"/>
  <c r="AQ60" i="12" s="1"/>
  <c r="AP60" i="5"/>
  <c r="AP60" i="12" s="1"/>
  <c r="AS59" i="12"/>
  <c r="AR59" i="5"/>
  <c r="AQ59" i="5"/>
  <c r="AQ59" i="12" s="1"/>
  <c r="AP59" i="5"/>
  <c r="AP59" i="12" s="1"/>
  <c r="AS58" i="12"/>
  <c r="AR58" i="5"/>
  <c r="AQ58" i="5"/>
  <c r="AQ58" i="12" s="1"/>
  <c r="AP58" i="5"/>
  <c r="AP58" i="12" s="1"/>
  <c r="AS57" i="12"/>
  <c r="AR57" i="5"/>
  <c r="AQ57" i="5"/>
  <c r="AQ57" i="12" s="1"/>
  <c r="AP57" i="5"/>
  <c r="AP57" i="12" s="1"/>
  <c r="AS56" i="12"/>
  <c r="AR56" i="5"/>
  <c r="AQ56" i="5"/>
  <c r="AQ56" i="12" s="1"/>
  <c r="AP56" i="5"/>
  <c r="AP56" i="12" s="1"/>
  <c r="AS55" i="12"/>
  <c r="AR55" i="5"/>
  <c r="AQ55" i="5"/>
  <c r="AQ55" i="12" s="1"/>
  <c r="AP55" i="5"/>
  <c r="AP55" i="12" s="1"/>
  <c r="AS54" i="12"/>
  <c r="AR54" i="5"/>
  <c r="AQ54" i="5"/>
  <c r="AQ54" i="12" s="1"/>
  <c r="AP54" i="5"/>
  <c r="AP54" i="12" s="1"/>
  <c r="AS53" i="12"/>
  <c r="AR53" i="5"/>
  <c r="AQ53" i="5"/>
  <c r="AQ53" i="12" s="1"/>
  <c r="AP53" i="5"/>
  <c r="AP53" i="12" s="1"/>
  <c r="AS52" i="12"/>
  <c r="AR52" i="5"/>
  <c r="AQ52" i="5"/>
  <c r="AQ52" i="12" s="1"/>
  <c r="AP52" i="5"/>
  <c r="AP52" i="12" s="1"/>
  <c r="AS51" i="12"/>
  <c r="AR51" i="5"/>
  <c r="AQ51" i="5"/>
  <c r="AQ51" i="12" s="1"/>
  <c r="AP51" i="5"/>
  <c r="AP51" i="12" s="1"/>
  <c r="AS50" i="12"/>
  <c r="AR50" i="5"/>
  <c r="AQ50" i="5"/>
  <c r="AQ50" i="12" s="1"/>
  <c r="AP50" i="5"/>
  <c r="AP50" i="12" s="1"/>
  <c r="AS49" i="12"/>
  <c r="AR49" i="5"/>
  <c r="AQ49" i="5"/>
  <c r="AQ49" i="12" s="1"/>
  <c r="AP49" i="5"/>
  <c r="AP49" i="12" s="1"/>
  <c r="AS48" i="12"/>
  <c r="AR48" i="5"/>
  <c r="AQ48" i="5"/>
  <c r="AQ48" i="12" s="1"/>
  <c r="AP48" i="5"/>
  <c r="AP48" i="12" s="1"/>
  <c r="AS47" i="12"/>
  <c r="AR47" i="5"/>
  <c r="AQ47" i="5"/>
  <c r="AQ47" i="12" s="1"/>
  <c r="AP47" i="5"/>
  <c r="AP47" i="12" s="1"/>
  <c r="AS46" i="12"/>
  <c r="AR46" i="5"/>
  <c r="AQ46" i="5"/>
  <c r="AQ46" i="12" s="1"/>
  <c r="AP46" i="5"/>
  <c r="AP46" i="12" s="1"/>
  <c r="AS45" i="12"/>
  <c r="AR45" i="5"/>
  <c r="AQ45" i="5"/>
  <c r="AQ45" i="12" s="1"/>
  <c r="AP45" i="5"/>
  <c r="AP45" i="12" s="1"/>
  <c r="AS44" i="12"/>
  <c r="AR44" i="5"/>
  <c r="AQ44" i="5"/>
  <c r="AQ44" i="12" s="1"/>
  <c r="AP44" i="5"/>
  <c r="AP44" i="12" s="1"/>
  <c r="AS43" i="12"/>
  <c r="AR43" i="5"/>
  <c r="AQ43" i="5"/>
  <c r="AQ43" i="12" s="1"/>
  <c r="AP43" i="5"/>
  <c r="AP43" i="12" s="1"/>
  <c r="AS42" i="12"/>
  <c r="AR42" i="5"/>
  <c r="AQ42" i="5"/>
  <c r="AQ42" i="12" s="1"/>
  <c r="AP42" i="5"/>
  <c r="AP42" i="12" s="1"/>
  <c r="AS41" i="12"/>
  <c r="AR41" i="5"/>
  <c r="AQ41" i="5"/>
  <c r="AQ41" i="12" s="1"/>
  <c r="AP41" i="5"/>
  <c r="AP41" i="12" s="1"/>
  <c r="AS40" i="12"/>
  <c r="AR40" i="5"/>
  <c r="AQ40" i="5"/>
  <c r="AQ40" i="12" s="1"/>
  <c r="AP40" i="5"/>
  <c r="AP40" i="12" s="1"/>
  <c r="AS39" i="12"/>
  <c r="AR39" i="5"/>
  <c r="AQ39" i="5"/>
  <c r="AQ39" i="12" s="1"/>
  <c r="AP39" i="5"/>
  <c r="AP39" i="12" s="1"/>
  <c r="AS38" i="12"/>
  <c r="AR38" i="5"/>
  <c r="AQ38" i="5"/>
  <c r="AQ38" i="12" s="1"/>
  <c r="AP38" i="5"/>
  <c r="AP38" i="12" s="1"/>
  <c r="AS37" i="12"/>
  <c r="AR37" i="5"/>
  <c r="AQ37" i="5"/>
  <c r="AQ37" i="12" s="1"/>
  <c r="AP37" i="5"/>
  <c r="AP37" i="12" s="1"/>
  <c r="AS36" i="12"/>
  <c r="AR36" i="5"/>
  <c r="AQ36" i="5"/>
  <c r="AQ36" i="12" s="1"/>
  <c r="AP36" i="5"/>
  <c r="AP36" i="12" s="1"/>
  <c r="AS35" i="12"/>
  <c r="AR35" i="5"/>
  <c r="AQ35" i="5"/>
  <c r="AQ35" i="12" s="1"/>
  <c r="AP35" i="5"/>
  <c r="AP35" i="12" s="1"/>
  <c r="AS34" i="12"/>
  <c r="AR34" i="5"/>
  <c r="AQ34" i="5"/>
  <c r="AQ34" i="12" s="1"/>
  <c r="AP34" i="5"/>
  <c r="AP34" i="12" s="1"/>
  <c r="AS33" i="12"/>
  <c r="AR33" i="5"/>
  <c r="AQ33" i="5"/>
  <c r="AQ33" i="12" s="1"/>
  <c r="AP33" i="5"/>
  <c r="AP33" i="12" s="1"/>
  <c r="AS32" i="12"/>
  <c r="AR32" i="5"/>
  <c r="AQ32" i="5"/>
  <c r="AQ32" i="12" s="1"/>
  <c r="AP32" i="5"/>
  <c r="AP32" i="12" s="1"/>
  <c r="AS31" i="12"/>
  <c r="AR31" i="5"/>
  <c r="AQ31" i="5"/>
  <c r="AQ31" i="12" s="1"/>
  <c r="AP31" i="5"/>
  <c r="AP31" i="12" s="1"/>
  <c r="AS30" i="12"/>
  <c r="AR30" i="5"/>
  <c r="AQ30" i="5"/>
  <c r="AQ30" i="12" s="1"/>
  <c r="AP30" i="5"/>
  <c r="AP30" i="12" s="1"/>
  <c r="AS29" i="12"/>
  <c r="AR29" i="5"/>
  <c r="AQ29" i="5"/>
  <c r="AQ29" i="12" s="1"/>
  <c r="AP29" i="5"/>
  <c r="AP29" i="12" s="1"/>
  <c r="AS28" i="12"/>
  <c r="AR28" i="5"/>
  <c r="AQ28" i="5"/>
  <c r="AQ28" i="12" s="1"/>
  <c r="AP28" i="5"/>
  <c r="AP28" i="12" s="1"/>
  <c r="AS27" i="12"/>
  <c r="AR27" i="5"/>
  <c r="AQ27" i="5"/>
  <c r="AQ27" i="12" s="1"/>
  <c r="AP27" i="5"/>
  <c r="AP27" i="12" s="1"/>
  <c r="AS26" i="12"/>
  <c r="AR26" i="5"/>
  <c r="AQ26" i="5"/>
  <c r="AQ26" i="12" s="1"/>
  <c r="AP26" i="5"/>
  <c r="AP26" i="12" s="1"/>
  <c r="AS25" i="12"/>
  <c r="AR25" i="5"/>
  <c r="AQ25" i="5"/>
  <c r="AQ25" i="12" s="1"/>
  <c r="AP25" i="5"/>
  <c r="AP25" i="12" s="1"/>
  <c r="AS24" i="12"/>
  <c r="AR24" i="5"/>
  <c r="AQ24" i="5"/>
  <c r="AQ24" i="12" s="1"/>
  <c r="AP24" i="5"/>
  <c r="AP24" i="12" s="1"/>
  <c r="AS23" i="12"/>
  <c r="AR23" i="5"/>
  <c r="AQ23" i="5"/>
  <c r="AQ23" i="12" s="1"/>
  <c r="AP23" i="5"/>
  <c r="AP23" i="12" s="1"/>
  <c r="AS22" i="12"/>
  <c r="AR22" i="5"/>
  <c r="AQ22" i="5"/>
  <c r="AQ22" i="12" s="1"/>
  <c r="AP22" i="5"/>
  <c r="AP22" i="12" s="1"/>
  <c r="AS21" i="12"/>
  <c r="AR21" i="5"/>
  <c r="AQ21" i="5"/>
  <c r="AQ21" i="12" s="1"/>
  <c r="AP21" i="5"/>
  <c r="AP21" i="12" s="1"/>
  <c r="AS20" i="12"/>
  <c r="AR20" i="5"/>
  <c r="AQ20" i="5"/>
  <c r="AQ20" i="12" s="1"/>
  <c r="AP20" i="5"/>
  <c r="AP20" i="12" s="1"/>
  <c r="AS19" i="12"/>
  <c r="AR19" i="5"/>
  <c r="AQ19" i="5"/>
  <c r="AQ19" i="12" s="1"/>
  <c r="AP19" i="5"/>
  <c r="AP19" i="12" s="1"/>
  <c r="AS18" i="12"/>
  <c r="AR18" i="5"/>
  <c r="AQ18" i="5"/>
  <c r="AQ18" i="12" s="1"/>
  <c r="AP18" i="5"/>
  <c r="AP18" i="12" s="1"/>
  <c r="AS17" i="12"/>
  <c r="AR17" i="5"/>
  <c r="AQ17" i="5"/>
  <c r="AQ17" i="12" s="1"/>
  <c r="AP17" i="5"/>
  <c r="AP17" i="12" s="1"/>
  <c r="AS16" i="12"/>
  <c r="AR16" i="5"/>
  <c r="AQ16" i="5"/>
  <c r="AQ16" i="12" s="1"/>
  <c r="AP16" i="5"/>
  <c r="AP16" i="12" s="1"/>
  <c r="AS15" i="12"/>
  <c r="AR15" i="5"/>
  <c r="AQ15" i="5"/>
  <c r="AQ15" i="12" s="1"/>
  <c r="AP15" i="5"/>
  <c r="AP15" i="12" s="1"/>
  <c r="AS14" i="12"/>
  <c r="AR14" i="5"/>
  <c r="AQ14" i="5"/>
  <c r="AQ14" i="12" s="1"/>
  <c r="AP14" i="5"/>
  <c r="AP14" i="12" s="1"/>
  <c r="AS13" i="12"/>
  <c r="AR13" i="5"/>
  <c r="AQ13" i="5"/>
  <c r="AQ13" i="12" s="1"/>
  <c r="AP13" i="5"/>
  <c r="AP13" i="12" s="1"/>
  <c r="AM72" i="5"/>
  <c r="AM72" i="12" s="1"/>
  <c r="AL72" i="5"/>
  <c r="AL72" i="12" s="1"/>
  <c r="AK72" i="5"/>
  <c r="AK72" i="12" s="1"/>
  <c r="AJ72" i="5"/>
  <c r="AI72" i="5"/>
  <c r="AI72" i="12" s="1"/>
  <c r="AM71" i="5"/>
  <c r="AM71" i="12" s="1"/>
  <c r="AL71" i="5"/>
  <c r="AL71" i="12" s="1"/>
  <c r="AK71" i="5"/>
  <c r="AK71" i="12" s="1"/>
  <c r="AJ71" i="5"/>
  <c r="AI71" i="5"/>
  <c r="AI71" i="12" s="1"/>
  <c r="AM70" i="5"/>
  <c r="AM70" i="12" s="1"/>
  <c r="AL70" i="5"/>
  <c r="AL70" i="12" s="1"/>
  <c r="AK70" i="5"/>
  <c r="AK70" i="12" s="1"/>
  <c r="AJ70" i="5"/>
  <c r="AI70" i="5"/>
  <c r="AI70" i="12" s="1"/>
  <c r="AM69" i="5"/>
  <c r="AM69" i="12" s="1"/>
  <c r="AL69" i="5"/>
  <c r="AL69" i="12" s="1"/>
  <c r="AK69" i="5"/>
  <c r="AK69" i="12" s="1"/>
  <c r="AJ69" i="5"/>
  <c r="AI69" i="5"/>
  <c r="AI69" i="12" s="1"/>
  <c r="AM68" i="5"/>
  <c r="AM68" i="12" s="1"/>
  <c r="AL68" i="5"/>
  <c r="AL68" i="12" s="1"/>
  <c r="AK68" i="5"/>
  <c r="AK68" i="12" s="1"/>
  <c r="AJ68" i="5"/>
  <c r="AI68" i="5"/>
  <c r="AI68" i="12" s="1"/>
  <c r="AM67" i="5"/>
  <c r="AM67" i="12" s="1"/>
  <c r="AL67" i="5"/>
  <c r="AL67" i="12" s="1"/>
  <c r="AK67" i="5"/>
  <c r="AK67" i="12" s="1"/>
  <c r="AJ67" i="5"/>
  <c r="AI67" i="5"/>
  <c r="AI67" i="12" s="1"/>
  <c r="AM66" i="5"/>
  <c r="AM66" i="12" s="1"/>
  <c r="AL66" i="5"/>
  <c r="AL66" i="12" s="1"/>
  <c r="AK66" i="5"/>
  <c r="AK66" i="12" s="1"/>
  <c r="AJ66" i="5"/>
  <c r="AI66" i="5"/>
  <c r="AI66" i="12" s="1"/>
  <c r="AM65" i="5"/>
  <c r="AM65" i="12" s="1"/>
  <c r="AL65" i="5"/>
  <c r="AL65" i="12" s="1"/>
  <c r="AK65" i="5"/>
  <c r="AK65" i="12" s="1"/>
  <c r="AJ65" i="5"/>
  <c r="AI65" i="5"/>
  <c r="AI65" i="12" s="1"/>
  <c r="AM64" i="5"/>
  <c r="AM64" i="12" s="1"/>
  <c r="AL64" i="5"/>
  <c r="AL64" i="12" s="1"/>
  <c r="AK64" i="5"/>
  <c r="AK64" i="12" s="1"/>
  <c r="AJ64" i="5"/>
  <c r="AI64" i="5"/>
  <c r="AI64" i="12" s="1"/>
  <c r="AM63" i="5"/>
  <c r="AM63" i="12" s="1"/>
  <c r="AL63" i="5"/>
  <c r="AL63" i="12" s="1"/>
  <c r="AK63" i="5"/>
  <c r="AK63" i="12" s="1"/>
  <c r="AJ63" i="5"/>
  <c r="AI63" i="5"/>
  <c r="AI63" i="12" s="1"/>
  <c r="AN62" i="5"/>
  <c r="AN62" i="12" s="1"/>
  <c r="AM62" i="5"/>
  <c r="AM62" i="12" s="1"/>
  <c r="AL62" i="5"/>
  <c r="AL62" i="12" s="1"/>
  <c r="AK62" i="5"/>
  <c r="AK62" i="12" s="1"/>
  <c r="AJ62" i="5"/>
  <c r="AI62" i="5"/>
  <c r="AI62" i="12" s="1"/>
  <c r="AM61" i="5"/>
  <c r="AM61" i="12" s="1"/>
  <c r="AL61" i="5"/>
  <c r="AL61" i="12" s="1"/>
  <c r="AK61" i="5"/>
  <c r="AK61" i="12" s="1"/>
  <c r="AJ61" i="5"/>
  <c r="AI61" i="5"/>
  <c r="AI61" i="12" s="1"/>
  <c r="AM60" i="5"/>
  <c r="AM60" i="12" s="1"/>
  <c r="AL60" i="5"/>
  <c r="AL60" i="12" s="1"/>
  <c r="AK60" i="5"/>
  <c r="AK60" i="12" s="1"/>
  <c r="AJ60" i="5"/>
  <c r="AI60" i="5"/>
  <c r="AI60" i="12" s="1"/>
  <c r="AM59" i="5"/>
  <c r="AM59" i="12" s="1"/>
  <c r="AL59" i="5"/>
  <c r="AL59" i="12" s="1"/>
  <c r="AK59" i="5"/>
  <c r="AK59" i="12" s="1"/>
  <c r="AJ59" i="5"/>
  <c r="AI59" i="5"/>
  <c r="AI59" i="12" s="1"/>
  <c r="AM58" i="5"/>
  <c r="AM58" i="12" s="1"/>
  <c r="AL58" i="5"/>
  <c r="AL58" i="12" s="1"/>
  <c r="AK58" i="5"/>
  <c r="AK58" i="12" s="1"/>
  <c r="AJ58" i="5"/>
  <c r="AI58" i="5"/>
  <c r="AI58" i="12" s="1"/>
  <c r="AM57" i="5"/>
  <c r="AM57" i="12" s="1"/>
  <c r="AL57" i="5"/>
  <c r="AL57" i="12" s="1"/>
  <c r="AK57" i="5"/>
  <c r="AK57" i="12" s="1"/>
  <c r="AJ57" i="5"/>
  <c r="AI57" i="5"/>
  <c r="AI57" i="12" s="1"/>
  <c r="AM56" i="5"/>
  <c r="AM56" i="12" s="1"/>
  <c r="AL56" i="5"/>
  <c r="AL56" i="12" s="1"/>
  <c r="AK56" i="5"/>
  <c r="AK56" i="12" s="1"/>
  <c r="AJ56" i="5"/>
  <c r="AI56" i="5"/>
  <c r="AI56" i="12" s="1"/>
  <c r="AM55" i="5"/>
  <c r="AM55" i="12" s="1"/>
  <c r="AL55" i="5"/>
  <c r="AL55" i="12" s="1"/>
  <c r="AK55" i="5"/>
  <c r="AK55" i="12" s="1"/>
  <c r="AJ55" i="5"/>
  <c r="AI55" i="5"/>
  <c r="AI55" i="12" s="1"/>
  <c r="AM54" i="5"/>
  <c r="AM54" i="12" s="1"/>
  <c r="AL54" i="5"/>
  <c r="AL54" i="12" s="1"/>
  <c r="AK54" i="5"/>
  <c r="AK54" i="12" s="1"/>
  <c r="AJ54" i="5"/>
  <c r="AI54" i="5"/>
  <c r="AI54" i="12" s="1"/>
  <c r="AM53" i="5"/>
  <c r="AM53" i="12" s="1"/>
  <c r="AL53" i="5"/>
  <c r="AL53" i="12" s="1"/>
  <c r="AK53" i="5"/>
  <c r="AK53" i="12" s="1"/>
  <c r="AJ53" i="5"/>
  <c r="AI53" i="5"/>
  <c r="AI53" i="12" s="1"/>
  <c r="AM52" i="5"/>
  <c r="AM52" i="12" s="1"/>
  <c r="AL52" i="5"/>
  <c r="AL52" i="12" s="1"/>
  <c r="AK52" i="5"/>
  <c r="AK52" i="12" s="1"/>
  <c r="AJ52" i="5"/>
  <c r="AI52" i="5"/>
  <c r="AI52" i="12" s="1"/>
  <c r="AM51" i="5"/>
  <c r="AM51" i="12" s="1"/>
  <c r="AL51" i="5"/>
  <c r="AL51" i="12" s="1"/>
  <c r="AK51" i="5"/>
  <c r="AK51" i="12" s="1"/>
  <c r="AJ51" i="5"/>
  <c r="AI51" i="5"/>
  <c r="AI51" i="12" s="1"/>
  <c r="AN50" i="5"/>
  <c r="AN50" i="12" s="1"/>
  <c r="AM50" i="5"/>
  <c r="AM50" i="12" s="1"/>
  <c r="AL50" i="5"/>
  <c r="AL50" i="12" s="1"/>
  <c r="AK50" i="5"/>
  <c r="AK50" i="12" s="1"/>
  <c r="AJ50" i="5"/>
  <c r="AI50" i="5"/>
  <c r="AI50" i="12" s="1"/>
  <c r="AM49" i="5"/>
  <c r="AM49" i="12" s="1"/>
  <c r="AL49" i="5"/>
  <c r="AL49" i="12" s="1"/>
  <c r="AK49" i="5"/>
  <c r="AK49" i="12" s="1"/>
  <c r="AJ49" i="5"/>
  <c r="AI49" i="5"/>
  <c r="AM48" i="5"/>
  <c r="AM48" i="12" s="1"/>
  <c r="AL48" i="5"/>
  <c r="AL48" i="12" s="1"/>
  <c r="AK48" i="5"/>
  <c r="AK48" i="12" s="1"/>
  <c r="AJ48" i="5"/>
  <c r="AI48" i="5"/>
  <c r="AI48" i="12" s="1"/>
  <c r="AM47" i="5"/>
  <c r="AM47" i="12" s="1"/>
  <c r="AL47" i="5"/>
  <c r="AL47" i="12" s="1"/>
  <c r="AK47" i="5"/>
  <c r="AK47" i="12" s="1"/>
  <c r="AJ47" i="5"/>
  <c r="AI47" i="5"/>
  <c r="AI47" i="12" s="1"/>
  <c r="AM46" i="5"/>
  <c r="AM46" i="12" s="1"/>
  <c r="AL46" i="5"/>
  <c r="AL46" i="12" s="1"/>
  <c r="AK46" i="5"/>
  <c r="AK46" i="12" s="1"/>
  <c r="AJ46" i="5"/>
  <c r="AI46" i="5"/>
  <c r="AI46" i="12" s="1"/>
  <c r="AM45" i="5"/>
  <c r="AM45" i="12" s="1"/>
  <c r="AL45" i="5"/>
  <c r="AL45" i="12" s="1"/>
  <c r="AK45" i="5"/>
  <c r="AK45" i="12" s="1"/>
  <c r="AJ45" i="5"/>
  <c r="AI45" i="5"/>
  <c r="AI45" i="12" s="1"/>
  <c r="AM44" i="5"/>
  <c r="AM44" i="12" s="1"/>
  <c r="AL44" i="5"/>
  <c r="AL44" i="12" s="1"/>
  <c r="AK44" i="5"/>
  <c r="AK44" i="12" s="1"/>
  <c r="AJ44" i="5"/>
  <c r="AI44" i="5"/>
  <c r="AI44" i="12" s="1"/>
  <c r="AM43" i="5"/>
  <c r="AM43" i="12" s="1"/>
  <c r="AL43" i="5"/>
  <c r="AL43" i="12" s="1"/>
  <c r="AK43" i="5"/>
  <c r="AK43" i="12" s="1"/>
  <c r="AJ43" i="5"/>
  <c r="AI43" i="5"/>
  <c r="AI43" i="12" s="1"/>
  <c r="AM42" i="5"/>
  <c r="AM42" i="12" s="1"/>
  <c r="AL42" i="5"/>
  <c r="AL42" i="12" s="1"/>
  <c r="AK42" i="5"/>
  <c r="AK42" i="12" s="1"/>
  <c r="AJ42" i="5"/>
  <c r="AI42" i="5"/>
  <c r="AI42" i="12" s="1"/>
  <c r="AM41" i="5"/>
  <c r="AM41" i="12" s="1"/>
  <c r="AL41" i="5"/>
  <c r="AL41" i="12" s="1"/>
  <c r="AK41" i="5"/>
  <c r="AK41" i="12" s="1"/>
  <c r="AJ41" i="5"/>
  <c r="AI41" i="5"/>
  <c r="AI41" i="12" s="1"/>
  <c r="AM40" i="5"/>
  <c r="AM40" i="12" s="1"/>
  <c r="AL40" i="5"/>
  <c r="AL40" i="12" s="1"/>
  <c r="AK40" i="5"/>
  <c r="AK40" i="12" s="1"/>
  <c r="AJ40" i="5"/>
  <c r="AI40" i="5"/>
  <c r="AI40" i="12" s="1"/>
  <c r="AM39" i="5"/>
  <c r="AM39" i="12" s="1"/>
  <c r="AL39" i="5"/>
  <c r="AL39" i="12" s="1"/>
  <c r="AK39" i="5"/>
  <c r="AK39" i="12" s="1"/>
  <c r="AJ39" i="5"/>
  <c r="AI39" i="5"/>
  <c r="AI39" i="12" s="1"/>
  <c r="AN38" i="5"/>
  <c r="AN38" i="12" s="1"/>
  <c r="AM38" i="5"/>
  <c r="AM38" i="12" s="1"/>
  <c r="AL38" i="5"/>
  <c r="AL38" i="12" s="1"/>
  <c r="AK38" i="5"/>
  <c r="AK38" i="12" s="1"/>
  <c r="AJ38" i="5"/>
  <c r="AI38" i="5"/>
  <c r="AI38" i="12" s="1"/>
  <c r="AM37" i="5"/>
  <c r="AM37" i="12" s="1"/>
  <c r="AL37" i="5"/>
  <c r="AL37" i="12" s="1"/>
  <c r="AK37" i="5"/>
  <c r="AK37" i="12" s="1"/>
  <c r="AJ37" i="5"/>
  <c r="AI37" i="5"/>
  <c r="AI37" i="12" s="1"/>
  <c r="AM36" i="5"/>
  <c r="AM36" i="12" s="1"/>
  <c r="AL36" i="5"/>
  <c r="AL36" i="12" s="1"/>
  <c r="AK36" i="5"/>
  <c r="AK36" i="12" s="1"/>
  <c r="AJ36" i="5"/>
  <c r="AI36" i="5"/>
  <c r="AI36" i="12" s="1"/>
  <c r="AN35" i="5"/>
  <c r="AN35" i="12" s="1"/>
  <c r="AM35" i="5"/>
  <c r="AM35" i="12" s="1"/>
  <c r="AL35" i="5"/>
  <c r="AL35" i="12" s="1"/>
  <c r="AK35" i="5"/>
  <c r="AK35" i="12" s="1"/>
  <c r="AJ35" i="5"/>
  <c r="AI35" i="5"/>
  <c r="AI35" i="12" s="1"/>
  <c r="AN34" i="5"/>
  <c r="AN34" i="12" s="1"/>
  <c r="AM34" i="5"/>
  <c r="AM34" i="12" s="1"/>
  <c r="AL34" i="5"/>
  <c r="AL34" i="12" s="1"/>
  <c r="AK34" i="5"/>
  <c r="AK34" i="12" s="1"/>
  <c r="AJ34" i="5"/>
  <c r="AI34" i="5"/>
  <c r="AI34" i="12" s="1"/>
  <c r="AN33" i="5"/>
  <c r="AN33" i="12" s="1"/>
  <c r="AM33" i="5"/>
  <c r="AM33" i="12" s="1"/>
  <c r="AL33" i="5"/>
  <c r="AL33" i="12" s="1"/>
  <c r="AK33" i="5"/>
  <c r="AK33" i="12" s="1"/>
  <c r="AJ33" i="5"/>
  <c r="AI33" i="5"/>
  <c r="AI33" i="12" s="1"/>
  <c r="AN32" i="5"/>
  <c r="AN32" i="12" s="1"/>
  <c r="AM32" i="5"/>
  <c r="AM32" i="12" s="1"/>
  <c r="AL32" i="5"/>
  <c r="AL32" i="12" s="1"/>
  <c r="AK32" i="5"/>
  <c r="AK32" i="12" s="1"/>
  <c r="AJ32" i="5"/>
  <c r="AI32" i="5"/>
  <c r="AI32" i="12" s="1"/>
  <c r="AN31" i="5"/>
  <c r="AN31" i="12" s="1"/>
  <c r="AM31" i="5"/>
  <c r="AM31" i="12" s="1"/>
  <c r="AL31" i="5"/>
  <c r="AL31" i="12" s="1"/>
  <c r="AK31" i="5"/>
  <c r="AK31" i="12" s="1"/>
  <c r="AJ31" i="5"/>
  <c r="AI31" i="5"/>
  <c r="AI31" i="12" s="1"/>
  <c r="AN30" i="5"/>
  <c r="AN30" i="12" s="1"/>
  <c r="AM30" i="5"/>
  <c r="AM30" i="12" s="1"/>
  <c r="AL30" i="5"/>
  <c r="AL30" i="12" s="1"/>
  <c r="AK30" i="5"/>
  <c r="AK30" i="12" s="1"/>
  <c r="AJ30" i="5"/>
  <c r="AI30" i="5"/>
  <c r="AI30" i="12" s="1"/>
  <c r="AN29" i="5"/>
  <c r="AN29" i="12" s="1"/>
  <c r="AM29" i="5"/>
  <c r="AM29" i="12" s="1"/>
  <c r="AL29" i="5"/>
  <c r="AL29" i="12" s="1"/>
  <c r="AK29" i="5"/>
  <c r="AK29" i="12" s="1"/>
  <c r="AJ29" i="5"/>
  <c r="AI29" i="5"/>
  <c r="AI29" i="12" s="1"/>
  <c r="AN28" i="5"/>
  <c r="AN28" i="12" s="1"/>
  <c r="AM28" i="5"/>
  <c r="AM28" i="12" s="1"/>
  <c r="AL28" i="5"/>
  <c r="AL28" i="12" s="1"/>
  <c r="AK28" i="5"/>
  <c r="AK28" i="12" s="1"/>
  <c r="AJ28" i="5"/>
  <c r="AI28" i="5"/>
  <c r="AI28" i="12" s="1"/>
  <c r="AN27" i="5"/>
  <c r="AN27" i="12" s="1"/>
  <c r="AM27" i="5"/>
  <c r="AM27" i="12" s="1"/>
  <c r="AL27" i="5"/>
  <c r="AL27" i="12" s="1"/>
  <c r="AK27" i="5"/>
  <c r="AK27" i="12" s="1"/>
  <c r="AJ27" i="5"/>
  <c r="AI27" i="5"/>
  <c r="AI27" i="12" s="1"/>
  <c r="AN26" i="5"/>
  <c r="AN26" i="12" s="1"/>
  <c r="AM26" i="5"/>
  <c r="AM26" i="12" s="1"/>
  <c r="AL26" i="5"/>
  <c r="AL26" i="12" s="1"/>
  <c r="AK26" i="5"/>
  <c r="AK26" i="12" s="1"/>
  <c r="AJ26" i="5"/>
  <c r="AI26" i="5"/>
  <c r="AI26" i="12" s="1"/>
  <c r="AN25" i="5"/>
  <c r="AN25" i="12" s="1"/>
  <c r="AM25" i="5"/>
  <c r="AM25" i="12" s="1"/>
  <c r="AL25" i="5"/>
  <c r="AL25" i="12" s="1"/>
  <c r="AK25" i="5"/>
  <c r="AK25" i="12" s="1"/>
  <c r="AJ25" i="5"/>
  <c r="AI25" i="5"/>
  <c r="AI25" i="12" s="1"/>
  <c r="AN24" i="5"/>
  <c r="AN24" i="12" s="1"/>
  <c r="AM24" i="5"/>
  <c r="AM24" i="12" s="1"/>
  <c r="AL24" i="5"/>
  <c r="AL24" i="12" s="1"/>
  <c r="AK24" i="5"/>
  <c r="AK24" i="12" s="1"/>
  <c r="AJ24" i="5"/>
  <c r="AI24" i="5"/>
  <c r="AI24" i="12" s="1"/>
  <c r="AN23" i="5"/>
  <c r="AN23" i="12" s="1"/>
  <c r="AM23" i="5"/>
  <c r="AM23" i="12" s="1"/>
  <c r="AL23" i="5"/>
  <c r="AL23" i="12" s="1"/>
  <c r="AK23" i="5"/>
  <c r="AK23" i="12" s="1"/>
  <c r="AJ23" i="5"/>
  <c r="AI23" i="5"/>
  <c r="AI23" i="12" s="1"/>
  <c r="AN22" i="5"/>
  <c r="AN22" i="12" s="1"/>
  <c r="AM22" i="5"/>
  <c r="AM22" i="12" s="1"/>
  <c r="AL22" i="5"/>
  <c r="AL22" i="12" s="1"/>
  <c r="AK22" i="5"/>
  <c r="AK22" i="12" s="1"/>
  <c r="AJ22" i="5"/>
  <c r="AI22" i="5"/>
  <c r="AI22" i="12" s="1"/>
  <c r="AN21" i="5"/>
  <c r="AN21" i="12" s="1"/>
  <c r="AM21" i="5"/>
  <c r="AM21" i="12" s="1"/>
  <c r="AL21" i="5"/>
  <c r="AL21" i="12" s="1"/>
  <c r="AK21" i="5"/>
  <c r="AK21" i="12" s="1"/>
  <c r="AJ21" i="5"/>
  <c r="AI21" i="5"/>
  <c r="AI21" i="12" s="1"/>
  <c r="AN20" i="5"/>
  <c r="AN20" i="12" s="1"/>
  <c r="AM20" i="5"/>
  <c r="AM20" i="12" s="1"/>
  <c r="AL20" i="5"/>
  <c r="AL20" i="12" s="1"/>
  <c r="AK20" i="5"/>
  <c r="AK20" i="12" s="1"/>
  <c r="AJ20" i="5"/>
  <c r="AI20" i="5"/>
  <c r="AI20" i="12" s="1"/>
  <c r="AN19" i="5"/>
  <c r="AN19" i="12" s="1"/>
  <c r="AM19" i="5"/>
  <c r="AM19" i="12" s="1"/>
  <c r="AL19" i="5"/>
  <c r="AL19" i="12" s="1"/>
  <c r="AK19" i="5"/>
  <c r="AK19" i="12" s="1"/>
  <c r="AJ19" i="5"/>
  <c r="AI19" i="5"/>
  <c r="AI19" i="12" s="1"/>
  <c r="AN18" i="5"/>
  <c r="AN18" i="12" s="1"/>
  <c r="AM18" i="5"/>
  <c r="AM18" i="12" s="1"/>
  <c r="AL18" i="5"/>
  <c r="AL18" i="12" s="1"/>
  <c r="AK18" i="5"/>
  <c r="AK18" i="12" s="1"/>
  <c r="AJ18" i="5"/>
  <c r="AI18" i="5"/>
  <c r="AI18" i="12" s="1"/>
  <c r="AN17" i="5"/>
  <c r="AN17" i="12" s="1"/>
  <c r="AM17" i="5"/>
  <c r="AM17" i="12" s="1"/>
  <c r="AL17" i="5"/>
  <c r="AL17" i="12" s="1"/>
  <c r="AK17" i="5"/>
  <c r="AK17" i="12" s="1"/>
  <c r="AJ17" i="5"/>
  <c r="AI17" i="5"/>
  <c r="AI17" i="12" s="1"/>
  <c r="AN16" i="5"/>
  <c r="AN16" i="12" s="1"/>
  <c r="AM16" i="5"/>
  <c r="AM16" i="12" s="1"/>
  <c r="AL16" i="5"/>
  <c r="AL16" i="12" s="1"/>
  <c r="AK16" i="5"/>
  <c r="AK16" i="12" s="1"/>
  <c r="AJ16" i="5"/>
  <c r="AI16" i="5"/>
  <c r="AI16" i="12" s="1"/>
  <c r="AN15" i="5"/>
  <c r="AN15" i="12" s="1"/>
  <c r="AM15" i="5"/>
  <c r="AM15" i="12" s="1"/>
  <c r="AL15" i="5"/>
  <c r="AL15" i="12" s="1"/>
  <c r="AK15" i="5"/>
  <c r="AK15" i="12" s="1"/>
  <c r="AJ15" i="5"/>
  <c r="AI15" i="5"/>
  <c r="AI15" i="12" s="1"/>
  <c r="AN14" i="5"/>
  <c r="AN14" i="12" s="1"/>
  <c r="AM14" i="5"/>
  <c r="AM14" i="12" s="1"/>
  <c r="AL14" i="5"/>
  <c r="AL14" i="12" s="1"/>
  <c r="AK14" i="5"/>
  <c r="AK14" i="12" s="1"/>
  <c r="AJ14" i="5"/>
  <c r="AI14" i="5"/>
  <c r="AI14" i="12" s="1"/>
  <c r="AN13" i="5"/>
  <c r="AN13" i="12" s="1"/>
  <c r="AM13" i="5"/>
  <c r="AM13" i="12" s="1"/>
  <c r="AL13" i="5"/>
  <c r="AL13" i="12" s="1"/>
  <c r="AK13" i="5"/>
  <c r="AJ13" i="5"/>
  <c r="AY13" i="5" s="1"/>
  <c r="AI13" i="5"/>
  <c r="AI13" i="12" s="1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K72" i="5"/>
  <c r="K72" i="12" s="1"/>
  <c r="J72" i="5"/>
  <c r="J72" i="12" s="1"/>
  <c r="K71" i="5"/>
  <c r="K71" i="12" s="1"/>
  <c r="J71" i="5"/>
  <c r="J71" i="12" s="1"/>
  <c r="K70" i="5"/>
  <c r="K70" i="12" s="1"/>
  <c r="J70" i="5"/>
  <c r="J70" i="12" s="1"/>
  <c r="K69" i="5"/>
  <c r="K69" i="12" s="1"/>
  <c r="J69" i="5"/>
  <c r="J69" i="12" s="1"/>
  <c r="K68" i="5"/>
  <c r="K68" i="12" s="1"/>
  <c r="J68" i="5"/>
  <c r="J68" i="12" s="1"/>
  <c r="K67" i="5"/>
  <c r="K67" i="12" s="1"/>
  <c r="J67" i="5"/>
  <c r="J67" i="12" s="1"/>
  <c r="K66" i="5"/>
  <c r="K66" i="12" s="1"/>
  <c r="J66" i="5"/>
  <c r="J66" i="12" s="1"/>
  <c r="K65" i="5"/>
  <c r="K65" i="12" s="1"/>
  <c r="J65" i="5"/>
  <c r="J65" i="12" s="1"/>
  <c r="K64" i="5"/>
  <c r="K64" i="12" s="1"/>
  <c r="J64" i="5"/>
  <c r="J64" i="12" s="1"/>
  <c r="K63" i="5"/>
  <c r="K63" i="12" s="1"/>
  <c r="J63" i="5"/>
  <c r="J63" i="12" s="1"/>
  <c r="K62" i="5"/>
  <c r="K62" i="12" s="1"/>
  <c r="J62" i="5"/>
  <c r="J62" i="12" s="1"/>
  <c r="K61" i="5"/>
  <c r="K61" i="12" s="1"/>
  <c r="J61" i="5"/>
  <c r="J61" i="12" s="1"/>
  <c r="K60" i="5"/>
  <c r="K60" i="12" s="1"/>
  <c r="J60" i="5"/>
  <c r="J60" i="12" s="1"/>
  <c r="K59" i="5"/>
  <c r="K59" i="12" s="1"/>
  <c r="J59" i="5"/>
  <c r="J59" i="12" s="1"/>
  <c r="K58" i="5"/>
  <c r="K58" i="12" s="1"/>
  <c r="J58" i="5"/>
  <c r="J58" i="12" s="1"/>
  <c r="K57" i="5"/>
  <c r="K57" i="12" s="1"/>
  <c r="J57" i="5"/>
  <c r="J57" i="12" s="1"/>
  <c r="K56" i="5"/>
  <c r="K56" i="12" s="1"/>
  <c r="J56" i="5"/>
  <c r="J56" i="12" s="1"/>
  <c r="K55" i="5"/>
  <c r="K55" i="12" s="1"/>
  <c r="J55" i="5"/>
  <c r="J55" i="12" s="1"/>
  <c r="K54" i="5"/>
  <c r="K54" i="12" s="1"/>
  <c r="J54" i="5"/>
  <c r="J54" i="12" s="1"/>
  <c r="K53" i="5"/>
  <c r="K53" i="12" s="1"/>
  <c r="J53" i="5"/>
  <c r="J53" i="12" s="1"/>
  <c r="K52" i="5"/>
  <c r="K52" i="12" s="1"/>
  <c r="J52" i="5"/>
  <c r="J52" i="12" s="1"/>
  <c r="K51" i="5"/>
  <c r="K51" i="12" s="1"/>
  <c r="J51" i="5"/>
  <c r="J51" i="12" s="1"/>
  <c r="K50" i="5"/>
  <c r="K50" i="12" s="1"/>
  <c r="J50" i="5"/>
  <c r="J50" i="12" s="1"/>
  <c r="K49" i="5"/>
  <c r="K49" i="12" s="1"/>
  <c r="J49" i="5"/>
  <c r="J49" i="12" s="1"/>
  <c r="K48" i="5"/>
  <c r="K48" i="12" s="1"/>
  <c r="J48" i="5"/>
  <c r="J48" i="12" s="1"/>
  <c r="K47" i="5"/>
  <c r="K47" i="12" s="1"/>
  <c r="J47" i="5"/>
  <c r="J47" i="12" s="1"/>
  <c r="K46" i="5"/>
  <c r="K46" i="12" s="1"/>
  <c r="J46" i="5"/>
  <c r="J46" i="12" s="1"/>
  <c r="K45" i="5"/>
  <c r="K45" i="12" s="1"/>
  <c r="J45" i="5"/>
  <c r="J45" i="12" s="1"/>
  <c r="K44" i="5"/>
  <c r="K44" i="12" s="1"/>
  <c r="J44" i="5"/>
  <c r="J44" i="12" s="1"/>
  <c r="K43" i="5"/>
  <c r="K43" i="12" s="1"/>
  <c r="J43" i="5"/>
  <c r="J43" i="12" s="1"/>
  <c r="K42" i="5"/>
  <c r="K42" i="12" s="1"/>
  <c r="J42" i="5"/>
  <c r="J42" i="12" s="1"/>
  <c r="K41" i="5"/>
  <c r="K41" i="12" s="1"/>
  <c r="J41" i="5"/>
  <c r="J41" i="12" s="1"/>
  <c r="K40" i="5"/>
  <c r="K40" i="12" s="1"/>
  <c r="J40" i="5"/>
  <c r="J40" i="12" s="1"/>
  <c r="K39" i="5"/>
  <c r="K39" i="12" s="1"/>
  <c r="J39" i="5"/>
  <c r="J39" i="12" s="1"/>
  <c r="K38" i="5"/>
  <c r="K38" i="12" s="1"/>
  <c r="J38" i="5"/>
  <c r="J38" i="12" s="1"/>
  <c r="K37" i="5"/>
  <c r="K37" i="12" s="1"/>
  <c r="J37" i="5"/>
  <c r="J37" i="12" s="1"/>
  <c r="K36" i="5"/>
  <c r="K36" i="12" s="1"/>
  <c r="J36" i="5"/>
  <c r="J36" i="12" s="1"/>
  <c r="K35" i="5"/>
  <c r="K35" i="12" s="1"/>
  <c r="J35" i="5"/>
  <c r="J35" i="12" s="1"/>
  <c r="K34" i="5"/>
  <c r="K34" i="12" s="1"/>
  <c r="J34" i="5"/>
  <c r="J34" i="12" s="1"/>
  <c r="K33" i="5"/>
  <c r="K33" i="12" s="1"/>
  <c r="J33" i="5"/>
  <c r="J33" i="12" s="1"/>
  <c r="K32" i="5"/>
  <c r="K32" i="12" s="1"/>
  <c r="J32" i="5"/>
  <c r="J32" i="12" s="1"/>
  <c r="K31" i="5"/>
  <c r="K31" i="12" s="1"/>
  <c r="J31" i="5"/>
  <c r="J31" i="12" s="1"/>
  <c r="K30" i="5"/>
  <c r="K30" i="12" s="1"/>
  <c r="J30" i="5"/>
  <c r="J30" i="12" s="1"/>
  <c r="K29" i="5"/>
  <c r="K29" i="12" s="1"/>
  <c r="J29" i="5"/>
  <c r="J29" i="12" s="1"/>
  <c r="K28" i="5"/>
  <c r="K28" i="12" s="1"/>
  <c r="J28" i="5"/>
  <c r="J28" i="12" s="1"/>
  <c r="K27" i="5"/>
  <c r="K27" i="12" s="1"/>
  <c r="J27" i="5"/>
  <c r="J27" i="12" s="1"/>
  <c r="K26" i="5"/>
  <c r="K26" i="12" s="1"/>
  <c r="J26" i="5"/>
  <c r="J26" i="12" s="1"/>
  <c r="K25" i="5"/>
  <c r="K25" i="12" s="1"/>
  <c r="J25" i="5"/>
  <c r="J25" i="12" s="1"/>
  <c r="K24" i="5"/>
  <c r="K24" i="12" s="1"/>
  <c r="J24" i="5"/>
  <c r="J24" i="12" s="1"/>
  <c r="K23" i="5"/>
  <c r="K23" i="12" s="1"/>
  <c r="J23" i="5"/>
  <c r="J23" i="12" s="1"/>
  <c r="K22" i="5"/>
  <c r="K22" i="12" s="1"/>
  <c r="J22" i="5"/>
  <c r="J22" i="12" s="1"/>
  <c r="K21" i="5"/>
  <c r="K21" i="12" s="1"/>
  <c r="J21" i="5"/>
  <c r="J21" i="12" s="1"/>
  <c r="K20" i="5"/>
  <c r="K20" i="12" s="1"/>
  <c r="J20" i="5"/>
  <c r="J20" i="12" s="1"/>
  <c r="K19" i="5"/>
  <c r="K19" i="12" s="1"/>
  <c r="J19" i="5"/>
  <c r="J19" i="12" s="1"/>
  <c r="K18" i="5"/>
  <c r="K18" i="12" s="1"/>
  <c r="J18" i="5"/>
  <c r="J18" i="12" s="1"/>
  <c r="K17" i="5"/>
  <c r="K17" i="12" s="1"/>
  <c r="J17" i="5"/>
  <c r="J17" i="12" s="1"/>
  <c r="K16" i="5"/>
  <c r="K16" i="12" s="1"/>
  <c r="J16" i="5"/>
  <c r="J16" i="12" s="1"/>
  <c r="K15" i="5"/>
  <c r="K15" i="12" s="1"/>
  <c r="J15" i="5"/>
  <c r="J15" i="12" s="1"/>
  <c r="K14" i="5"/>
  <c r="K14" i="12" s="1"/>
  <c r="J14" i="5"/>
  <c r="J14" i="12" s="1"/>
  <c r="K13" i="5"/>
  <c r="K13" i="12" s="1"/>
  <c r="J13" i="5"/>
  <c r="J13" i="12" s="1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B72" i="5"/>
  <c r="B72" i="12" s="1"/>
  <c r="B71" i="5"/>
  <c r="B71" i="12" s="1"/>
  <c r="B70" i="5"/>
  <c r="B70" i="12" s="1"/>
  <c r="B69" i="5"/>
  <c r="B69" i="12" s="1"/>
  <c r="B68" i="5"/>
  <c r="B68" i="12" s="1"/>
  <c r="B67" i="5"/>
  <c r="B67" i="12" s="1"/>
  <c r="B66" i="5"/>
  <c r="B66" i="12" s="1"/>
  <c r="B65" i="5"/>
  <c r="B65" i="12" s="1"/>
  <c r="B64" i="5"/>
  <c r="B64" i="12" s="1"/>
  <c r="B63" i="5"/>
  <c r="B63" i="12" s="1"/>
  <c r="B62" i="5"/>
  <c r="B62" i="12" s="1"/>
  <c r="B61" i="5"/>
  <c r="B61" i="12" s="1"/>
  <c r="B60" i="5"/>
  <c r="B60" i="12" s="1"/>
  <c r="B59" i="5"/>
  <c r="B59" i="12" s="1"/>
  <c r="B58" i="5"/>
  <c r="B58" i="12" s="1"/>
  <c r="B57" i="5"/>
  <c r="B57" i="12" s="1"/>
  <c r="B56" i="5"/>
  <c r="B56" i="12" s="1"/>
  <c r="B55" i="5"/>
  <c r="B55" i="12" s="1"/>
  <c r="B54" i="5"/>
  <c r="B54" i="12" s="1"/>
  <c r="B53" i="5"/>
  <c r="B53" i="12" s="1"/>
  <c r="B52" i="5"/>
  <c r="B52" i="12" s="1"/>
  <c r="B51" i="5"/>
  <c r="B51" i="12" s="1"/>
  <c r="B50" i="5"/>
  <c r="B50" i="12" s="1"/>
  <c r="B49" i="5"/>
  <c r="B49" i="12" s="1"/>
  <c r="B48" i="5"/>
  <c r="B48" i="12" s="1"/>
  <c r="B47" i="5"/>
  <c r="B47" i="12" s="1"/>
  <c r="B46" i="5"/>
  <c r="B46" i="12" s="1"/>
  <c r="B45" i="5"/>
  <c r="B45" i="12" s="1"/>
  <c r="B44" i="5"/>
  <c r="B44" i="12" s="1"/>
  <c r="B43" i="5"/>
  <c r="B43" i="12" s="1"/>
  <c r="B42" i="5"/>
  <c r="B42" i="12" s="1"/>
  <c r="B41" i="5"/>
  <c r="B41" i="12" s="1"/>
  <c r="B40" i="5"/>
  <c r="B40" i="12" s="1"/>
  <c r="B39" i="5"/>
  <c r="B39" i="12" s="1"/>
  <c r="B38" i="5"/>
  <c r="B38" i="12" s="1"/>
  <c r="B37" i="5"/>
  <c r="B37" i="12" s="1"/>
  <c r="B36" i="5"/>
  <c r="B36" i="12" s="1"/>
  <c r="B35" i="5"/>
  <c r="B35" i="12" s="1"/>
  <c r="B34" i="5"/>
  <c r="B34" i="12" s="1"/>
  <c r="B33" i="5"/>
  <c r="B33" i="12" s="1"/>
  <c r="B32" i="5"/>
  <c r="B32" i="12" s="1"/>
  <c r="B31" i="5"/>
  <c r="B31" i="12" s="1"/>
  <c r="B30" i="5"/>
  <c r="B30" i="12" s="1"/>
  <c r="B29" i="5"/>
  <c r="B29" i="12" s="1"/>
  <c r="B28" i="5"/>
  <c r="B28" i="12" s="1"/>
  <c r="B27" i="5"/>
  <c r="B27" i="12" s="1"/>
  <c r="B26" i="5"/>
  <c r="B26" i="12" s="1"/>
  <c r="B25" i="5"/>
  <c r="B25" i="12" s="1"/>
  <c r="B24" i="5"/>
  <c r="B24" i="12" s="1"/>
  <c r="B23" i="5"/>
  <c r="B23" i="12" s="1"/>
  <c r="B22" i="5"/>
  <c r="B22" i="12" s="1"/>
  <c r="B21" i="5"/>
  <c r="B21" i="12" s="1"/>
  <c r="B20" i="5"/>
  <c r="B20" i="12" s="1"/>
  <c r="B19" i="5"/>
  <c r="B19" i="12" s="1"/>
  <c r="B18" i="5"/>
  <c r="B18" i="12" s="1"/>
  <c r="B17" i="5"/>
  <c r="B17" i="12" s="1"/>
  <c r="B16" i="5"/>
  <c r="B16" i="12" s="1"/>
  <c r="B15" i="5"/>
  <c r="B15" i="12" s="1"/>
  <c r="B14" i="5"/>
  <c r="B14" i="12" s="1"/>
  <c r="B13" i="5"/>
  <c r="U54" i="5" l="1"/>
  <c r="M54" i="5"/>
  <c r="U66" i="5"/>
  <c r="M66" i="5"/>
  <c r="M68" i="5"/>
  <c r="U68" i="5"/>
  <c r="U56" i="5"/>
  <c r="M56" i="5"/>
  <c r="U57" i="5"/>
  <c r="M57" i="5"/>
  <c r="U58" i="5"/>
  <c r="M58" i="5"/>
  <c r="U59" i="5"/>
  <c r="M59" i="5"/>
  <c r="U71" i="5"/>
  <c r="M71" i="5"/>
  <c r="U70" i="5"/>
  <c r="M70" i="5"/>
  <c r="M48" i="5"/>
  <c r="U60" i="5"/>
  <c r="M60" i="5"/>
  <c r="U72" i="5"/>
  <c r="M72" i="5"/>
  <c r="U67" i="5"/>
  <c r="M67" i="5"/>
  <c r="U49" i="5"/>
  <c r="M49" i="5"/>
  <c r="U61" i="5"/>
  <c r="M61" i="5"/>
  <c r="U55" i="5"/>
  <c r="M55" i="5"/>
  <c r="U69" i="5"/>
  <c r="M69" i="5"/>
  <c r="U50" i="5"/>
  <c r="M50" i="5"/>
  <c r="U62" i="5"/>
  <c r="M62" i="5"/>
  <c r="U51" i="5"/>
  <c r="M51" i="5"/>
  <c r="U63" i="5"/>
  <c r="M63" i="5"/>
  <c r="U52" i="5"/>
  <c r="M52" i="5"/>
  <c r="U64" i="5"/>
  <c r="M64" i="5"/>
  <c r="U53" i="5"/>
  <c r="M53" i="5"/>
  <c r="U65" i="5"/>
  <c r="M65" i="5"/>
  <c r="B13" i="12"/>
  <c r="AU49" i="12"/>
  <c r="AI49" i="12"/>
  <c r="BR13" i="5"/>
  <c r="CF13" i="5" s="1"/>
  <c r="BL13" i="5"/>
  <c r="CG13" i="5" s="1"/>
  <c r="BM13" i="5"/>
  <c r="CI13" i="5" s="1"/>
  <c r="AK13" i="12"/>
  <c r="D22" i="12"/>
  <c r="D46" i="12"/>
  <c r="D70" i="12"/>
  <c r="D23" i="12"/>
  <c r="D55" i="12"/>
  <c r="D16" i="12"/>
  <c r="D40" i="12"/>
  <c r="D72" i="12"/>
  <c r="D65" i="12"/>
  <c r="D18" i="12"/>
  <c r="D26" i="12"/>
  <c r="D34" i="12"/>
  <c r="D42" i="12"/>
  <c r="D50" i="12"/>
  <c r="D58" i="12"/>
  <c r="D66" i="12"/>
  <c r="D14" i="12"/>
  <c r="D38" i="12"/>
  <c r="D62" i="12"/>
  <c r="D31" i="12"/>
  <c r="D47" i="12"/>
  <c r="D32" i="12"/>
  <c r="D64" i="12"/>
  <c r="D33" i="12"/>
  <c r="D49" i="12"/>
  <c r="D19" i="12"/>
  <c r="D35" i="12"/>
  <c r="D51" i="12"/>
  <c r="D20" i="12"/>
  <c r="D28" i="12"/>
  <c r="D36" i="12"/>
  <c r="D44" i="12"/>
  <c r="D52" i="12"/>
  <c r="D60" i="12"/>
  <c r="D68" i="12"/>
  <c r="D30" i="12"/>
  <c r="D54" i="12"/>
  <c r="D15" i="12"/>
  <c r="D39" i="12"/>
  <c r="D63" i="12"/>
  <c r="D71" i="12"/>
  <c r="D24" i="12"/>
  <c r="D48" i="12"/>
  <c r="D56" i="12"/>
  <c r="D17" i="12"/>
  <c r="D25" i="12"/>
  <c r="D41" i="12"/>
  <c r="D57" i="12"/>
  <c r="D27" i="12"/>
  <c r="D43" i="12"/>
  <c r="D59" i="12"/>
  <c r="D67" i="12"/>
  <c r="D21" i="12"/>
  <c r="D29" i="12"/>
  <c r="D37" i="12"/>
  <c r="D45" i="12"/>
  <c r="D53" i="12"/>
  <c r="D61" i="12"/>
  <c r="D69" i="12"/>
  <c r="C33" i="12"/>
  <c r="C41" i="12"/>
  <c r="C65" i="12"/>
  <c r="C18" i="12"/>
  <c r="C42" i="12"/>
  <c r="C66" i="12"/>
  <c r="C19" i="12"/>
  <c r="C27" i="12"/>
  <c r="C35" i="12"/>
  <c r="C43" i="12"/>
  <c r="C51" i="12"/>
  <c r="C59" i="12"/>
  <c r="C67" i="12"/>
  <c r="C20" i="12"/>
  <c r="C28" i="12"/>
  <c r="C36" i="12"/>
  <c r="C44" i="12"/>
  <c r="C52" i="12"/>
  <c r="C60" i="12"/>
  <c r="C68" i="12"/>
  <c r="C17" i="12"/>
  <c r="C49" i="12"/>
  <c r="C34" i="12"/>
  <c r="C58" i="12"/>
  <c r="C29" i="12"/>
  <c r="C53" i="12"/>
  <c r="C14" i="12"/>
  <c r="C22" i="12"/>
  <c r="C38" i="12"/>
  <c r="C46" i="12"/>
  <c r="C62" i="12"/>
  <c r="C70" i="12"/>
  <c r="C15" i="12"/>
  <c r="C23" i="12"/>
  <c r="C31" i="12"/>
  <c r="C39" i="12"/>
  <c r="C47" i="12"/>
  <c r="C55" i="12"/>
  <c r="C63" i="12"/>
  <c r="C71" i="12"/>
  <c r="C25" i="12"/>
  <c r="C57" i="12"/>
  <c r="C26" i="12"/>
  <c r="C50" i="12"/>
  <c r="C21" i="12"/>
  <c r="C37" i="12"/>
  <c r="C45" i="12"/>
  <c r="C61" i="12"/>
  <c r="C69" i="12"/>
  <c r="C30" i="12"/>
  <c r="C54" i="12"/>
  <c r="C16" i="12"/>
  <c r="C24" i="12"/>
  <c r="C32" i="12"/>
  <c r="C40" i="12"/>
  <c r="C48" i="12"/>
  <c r="C56" i="12"/>
  <c r="C64" i="12"/>
  <c r="D13" i="12"/>
  <c r="BR13" i="12" s="1"/>
  <c r="H23" i="21"/>
  <c r="AJ43" i="12"/>
  <c r="AY43" i="12" s="1"/>
  <c r="AY43" i="5"/>
  <c r="AJ50" i="12"/>
  <c r="AY50" i="12" s="1"/>
  <c r="AY50" i="5"/>
  <c r="AJ57" i="12"/>
  <c r="AY57" i="12" s="1"/>
  <c r="AY57" i="5"/>
  <c r="AJ66" i="12"/>
  <c r="AY66" i="12" s="1"/>
  <c r="AY66" i="5"/>
  <c r="AJ16" i="12"/>
  <c r="AY16" i="12" s="1"/>
  <c r="AY16" i="5"/>
  <c r="AJ32" i="12"/>
  <c r="AY32" i="12" s="1"/>
  <c r="AY32" i="5"/>
  <c r="AJ18" i="12"/>
  <c r="AY18" i="12" s="1"/>
  <c r="AY18" i="5"/>
  <c r="AJ36" i="12"/>
  <c r="AY36" i="12" s="1"/>
  <c r="AY36" i="5"/>
  <c r="AJ59" i="12"/>
  <c r="AY59" i="12" s="1"/>
  <c r="AY59" i="5"/>
  <c r="AJ71" i="12"/>
  <c r="AY71" i="12" s="1"/>
  <c r="AY71" i="5"/>
  <c r="AJ55" i="12"/>
  <c r="AY55" i="12" s="1"/>
  <c r="AY55" i="5"/>
  <c r="AJ64" i="12"/>
  <c r="AY64" i="12" s="1"/>
  <c r="AY64" i="5"/>
  <c r="AJ61" i="12"/>
  <c r="AY61" i="12" s="1"/>
  <c r="AY61" i="5"/>
  <c r="AJ68" i="12"/>
  <c r="AY68" i="12" s="1"/>
  <c r="AY68" i="5"/>
  <c r="AJ26" i="12"/>
  <c r="AY26" i="12" s="1"/>
  <c r="AY26" i="5"/>
  <c r="AJ34" i="12"/>
  <c r="AY34" i="12" s="1"/>
  <c r="AY34" i="5"/>
  <c r="AJ52" i="12"/>
  <c r="AY52" i="12" s="1"/>
  <c r="AY52" i="5"/>
  <c r="AJ48" i="12"/>
  <c r="AY48" i="12" s="1"/>
  <c r="AY48" i="5"/>
  <c r="AJ39" i="12"/>
  <c r="AY39" i="12" s="1"/>
  <c r="AY39" i="5"/>
  <c r="AJ46" i="12"/>
  <c r="AY46" i="12" s="1"/>
  <c r="AY46" i="5"/>
  <c r="AJ62" i="12"/>
  <c r="AY62" i="12" s="1"/>
  <c r="AY62" i="5"/>
  <c r="AJ69" i="12"/>
  <c r="AY69" i="12" s="1"/>
  <c r="AY69" i="5"/>
  <c r="AJ54" i="12"/>
  <c r="AY54" i="12" s="1"/>
  <c r="AY54" i="5"/>
  <c r="AJ63" i="12"/>
  <c r="AY63" i="12" s="1"/>
  <c r="AY63" i="5"/>
  <c r="AJ28" i="12"/>
  <c r="AY28" i="12" s="1"/>
  <c r="AY28" i="5"/>
  <c r="AJ41" i="12"/>
  <c r="AY41" i="12" s="1"/>
  <c r="AY41" i="5"/>
  <c r="AJ37" i="12"/>
  <c r="AY37" i="12" s="1"/>
  <c r="AY37" i="5"/>
  <c r="AJ53" i="12"/>
  <c r="AY53" i="12" s="1"/>
  <c r="AY53" i="5"/>
  <c r="AJ60" i="12"/>
  <c r="AY60" i="12" s="1"/>
  <c r="AY60" i="5"/>
  <c r="AJ38" i="12"/>
  <c r="AY38" i="12" s="1"/>
  <c r="AY38" i="5"/>
  <c r="AJ24" i="12"/>
  <c r="AY24" i="12" s="1"/>
  <c r="AY24" i="5"/>
  <c r="AJ15" i="12"/>
  <c r="AY15" i="12" s="1"/>
  <c r="AY15" i="5"/>
  <c r="AJ17" i="12"/>
  <c r="AY17" i="12" s="1"/>
  <c r="AY17" i="5"/>
  <c r="AJ19" i="12"/>
  <c r="AY19" i="12" s="1"/>
  <c r="AY19" i="5"/>
  <c r="AJ21" i="12"/>
  <c r="AY21" i="12" s="1"/>
  <c r="AY21" i="5"/>
  <c r="AJ23" i="12"/>
  <c r="AY23" i="12" s="1"/>
  <c r="AY23" i="5"/>
  <c r="AJ25" i="12"/>
  <c r="AY25" i="12" s="1"/>
  <c r="AY25" i="5"/>
  <c r="AJ27" i="12"/>
  <c r="AY27" i="12" s="1"/>
  <c r="AY27" i="5"/>
  <c r="AJ29" i="12"/>
  <c r="AY29" i="12" s="1"/>
  <c r="AY29" i="5"/>
  <c r="AJ31" i="12"/>
  <c r="AY31" i="12" s="1"/>
  <c r="AY31" i="5"/>
  <c r="AJ33" i="12"/>
  <c r="AY33" i="12" s="1"/>
  <c r="AY33" i="5"/>
  <c r="AJ35" i="12"/>
  <c r="AY35" i="12" s="1"/>
  <c r="AY35" i="5"/>
  <c r="AJ44" i="12"/>
  <c r="AY44" i="12" s="1"/>
  <c r="AY44" i="5"/>
  <c r="AJ58" i="12"/>
  <c r="AY58" i="12" s="1"/>
  <c r="AY58" i="5"/>
  <c r="AJ67" i="12"/>
  <c r="AY67" i="12" s="1"/>
  <c r="AY67" i="5"/>
  <c r="AJ14" i="12"/>
  <c r="AY14" i="12" s="1"/>
  <c r="AY14" i="5"/>
  <c r="AJ42" i="12"/>
  <c r="AY42" i="12" s="1"/>
  <c r="AY42" i="5"/>
  <c r="AJ51" i="12"/>
  <c r="AY51" i="12" s="1"/>
  <c r="AY51" i="5"/>
  <c r="AJ72" i="12"/>
  <c r="AY72" i="12" s="1"/>
  <c r="AY72" i="5"/>
  <c r="AJ22" i="12"/>
  <c r="AY22" i="12" s="1"/>
  <c r="AY22" i="5"/>
  <c r="AJ49" i="12"/>
  <c r="AY49" i="12" s="1"/>
  <c r="AY49" i="5"/>
  <c r="AJ56" i="12"/>
  <c r="AY56" i="12" s="1"/>
  <c r="AY56" i="5"/>
  <c r="AJ65" i="12"/>
  <c r="AY65" i="12" s="1"/>
  <c r="AY65" i="5"/>
  <c r="AJ45" i="12"/>
  <c r="AY45" i="12" s="1"/>
  <c r="AY45" i="5"/>
  <c r="AJ20" i="12"/>
  <c r="AY20" i="12" s="1"/>
  <c r="AY20" i="5"/>
  <c r="AJ30" i="12"/>
  <c r="AY30" i="12" s="1"/>
  <c r="AY30" i="5"/>
  <c r="AJ40" i="12"/>
  <c r="AY40" i="12" s="1"/>
  <c r="AY40" i="5"/>
  <c r="AJ47" i="12"/>
  <c r="AY47" i="12" s="1"/>
  <c r="AY47" i="5"/>
  <c r="AJ70" i="12"/>
  <c r="AY70" i="12" s="1"/>
  <c r="AY70" i="5"/>
  <c r="AR68" i="12"/>
  <c r="AR17" i="12"/>
  <c r="AR33" i="12"/>
  <c r="AR57" i="12"/>
  <c r="AR54" i="12"/>
  <c r="AR67" i="12"/>
  <c r="AR16" i="12"/>
  <c r="AR24" i="12"/>
  <c r="AR32" i="12"/>
  <c r="AR40" i="12"/>
  <c r="AR48" i="12"/>
  <c r="AR56" i="12"/>
  <c r="AR64" i="12"/>
  <c r="AR72" i="12"/>
  <c r="AR20" i="12"/>
  <c r="AR44" i="12"/>
  <c r="AR60" i="12"/>
  <c r="AR25" i="12"/>
  <c r="AR49" i="12"/>
  <c r="AR62" i="12"/>
  <c r="AR70" i="12"/>
  <c r="AR35" i="12"/>
  <c r="AR59" i="12"/>
  <c r="AR13" i="12"/>
  <c r="AR21" i="12"/>
  <c r="AR29" i="12"/>
  <c r="AR37" i="12"/>
  <c r="AR45" i="12"/>
  <c r="AR53" i="12"/>
  <c r="AR61" i="12"/>
  <c r="AR69" i="12"/>
  <c r="AR28" i="12"/>
  <c r="AR52" i="12"/>
  <c r="AR41" i="12"/>
  <c r="AR14" i="12"/>
  <c r="AR46" i="12"/>
  <c r="AR27" i="12"/>
  <c r="AR51" i="12"/>
  <c r="AR18" i="12"/>
  <c r="AR26" i="12"/>
  <c r="AR34" i="12"/>
  <c r="AR42" i="12"/>
  <c r="AR50" i="12"/>
  <c r="AR58" i="12"/>
  <c r="AR66" i="12"/>
  <c r="AR36" i="12"/>
  <c r="AR65" i="12"/>
  <c r="AR22" i="12"/>
  <c r="AR30" i="12"/>
  <c r="AR38" i="12"/>
  <c r="AR19" i="12"/>
  <c r="AR43" i="12"/>
  <c r="AR15" i="12"/>
  <c r="AR23" i="12"/>
  <c r="AR31" i="12"/>
  <c r="AR39" i="12"/>
  <c r="AR47" i="12"/>
  <c r="AR55" i="12"/>
  <c r="AR63" i="12"/>
  <c r="AR71" i="12"/>
  <c r="C72" i="12"/>
  <c r="C13" i="12"/>
  <c r="AN39" i="5"/>
  <c r="AN39" i="12" s="1"/>
  <c r="AN52" i="5"/>
  <c r="AN52" i="12" s="1"/>
  <c r="AN44" i="5"/>
  <c r="AN44" i="12" s="1"/>
  <c r="AN56" i="5"/>
  <c r="AN56" i="12" s="1"/>
  <c r="AN67" i="5"/>
  <c r="AN67" i="12" s="1"/>
  <c r="AN46" i="5"/>
  <c r="AN46" i="12" s="1"/>
  <c r="AN70" i="5"/>
  <c r="AN70" i="12" s="1"/>
  <c r="AN47" i="5"/>
  <c r="AN47" i="12" s="1"/>
  <c r="AN59" i="5"/>
  <c r="AN59" i="12" s="1"/>
  <c r="AN55" i="5"/>
  <c r="AN55" i="12" s="1"/>
  <c r="AN40" i="5"/>
  <c r="AN40" i="12" s="1"/>
  <c r="AN51" i="5"/>
  <c r="AN51" i="12" s="1"/>
  <c r="AN64" i="5"/>
  <c r="AN64" i="12" s="1"/>
  <c r="AN36" i="5"/>
  <c r="AN36" i="12" s="1"/>
  <c r="AN72" i="5"/>
  <c r="AN72" i="12" s="1"/>
  <c r="AN71" i="12"/>
  <c r="I1" i="21"/>
  <c r="F19" i="12"/>
  <c r="E44" i="12"/>
  <c r="F60" i="12"/>
  <c r="E26" i="12"/>
  <c r="F34" i="12"/>
  <c r="F66" i="12"/>
  <c r="F37" i="12"/>
  <c r="F53" i="12"/>
  <c r="E22" i="12"/>
  <c r="E38" i="12"/>
  <c r="E70" i="12"/>
  <c r="F30" i="12"/>
  <c r="F62" i="12"/>
  <c r="E33" i="12"/>
  <c r="E34" i="12"/>
  <c r="F18" i="12"/>
  <c r="E13" i="12"/>
  <c r="E15" i="12"/>
  <c r="E31" i="12"/>
  <c r="E47" i="12"/>
  <c r="F31" i="12"/>
  <c r="F63" i="12"/>
  <c r="E17" i="12"/>
  <c r="E49" i="12"/>
  <c r="F25" i="12"/>
  <c r="F41" i="12"/>
  <c r="F57" i="12"/>
  <c r="E42" i="12"/>
  <c r="E66" i="12"/>
  <c r="E16" i="12"/>
  <c r="E32" i="12"/>
  <c r="E64" i="12"/>
  <c r="F16" i="12"/>
  <c r="F24" i="12"/>
  <c r="F40" i="12"/>
  <c r="F56" i="12"/>
  <c r="AN37" i="5"/>
  <c r="AN37" i="12" s="1"/>
  <c r="AN41" i="5"/>
  <c r="AN41" i="12" s="1"/>
  <c r="AN45" i="5"/>
  <c r="AN45" i="12" s="1"/>
  <c r="AN49" i="5"/>
  <c r="AN49" i="12" s="1"/>
  <c r="AN53" i="5"/>
  <c r="AN53" i="12" s="1"/>
  <c r="AN57" i="5"/>
  <c r="AN57" i="12" s="1"/>
  <c r="AN61" i="5"/>
  <c r="AN61" i="12" s="1"/>
  <c r="AN65" i="5"/>
  <c r="AN65" i="12" s="1"/>
  <c r="AN69" i="5"/>
  <c r="C21" i="21"/>
  <c r="B24" i="21"/>
  <c r="E20" i="12"/>
  <c r="E28" i="12"/>
  <c r="E52" i="12"/>
  <c r="F44" i="12"/>
  <c r="F68" i="12"/>
  <c r="E19" i="12"/>
  <c r="E27" i="12"/>
  <c r="E35" i="12"/>
  <c r="E43" i="12"/>
  <c r="E51" i="12"/>
  <c r="E59" i="12"/>
  <c r="E67" i="12"/>
  <c r="F27" i="12"/>
  <c r="F35" i="12"/>
  <c r="F43" i="12"/>
  <c r="F51" i="12"/>
  <c r="F59" i="12"/>
  <c r="F67" i="12"/>
  <c r="E21" i="12"/>
  <c r="E37" i="12"/>
  <c r="E45" i="12"/>
  <c r="E61" i="12"/>
  <c r="E69" i="12"/>
  <c r="F13" i="12"/>
  <c r="BM13" i="12" s="1"/>
  <c r="F29" i="12"/>
  <c r="F69" i="12"/>
  <c r="E68" i="12"/>
  <c r="F20" i="12"/>
  <c r="F28" i="12"/>
  <c r="F36" i="12"/>
  <c r="F52" i="12"/>
  <c r="E29" i="12"/>
  <c r="E53" i="12"/>
  <c r="F21" i="12"/>
  <c r="F45" i="12"/>
  <c r="F61" i="12"/>
  <c r="E14" i="12"/>
  <c r="E30" i="12"/>
  <c r="E46" i="12"/>
  <c r="E54" i="12"/>
  <c r="F22" i="12"/>
  <c r="F38" i="12"/>
  <c r="F54" i="12"/>
  <c r="F39" i="12"/>
  <c r="F47" i="12"/>
  <c r="F71" i="12"/>
  <c r="E62" i="12"/>
  <c r="F14" i="12"/>
  <c r="F46" i="12"/>
  <c r="E63" i="12"/>
  <c r="F23" i="12"/>
  <c r="F55" i="12"/>
  <c r="F70" i="12"/>
  <c r="E23" i="12"/>
  <c r="E39" i="12"/>
  <c r="E55" i="12"/>
  <c r="E71" i="12"/>
  <c r="F15" i="12"/>
  <c r="E18" i="12"/>
  <c r="E50" i="12"/>
  <c r="E58" i="12"/>
  <c r="F26" i="12"/>
  <c r="F42" i="12"/>
  <c r="F50" i="12"/>
  <c r="F58" i="12"/>
  <c r="E24" i="12"/>
  <c r="E40" i="12"/>
  <c r="E56" i="12"/>
  <c r="E72" i="12"/>
  <c r="F32" i="12"/>
  <c r="F48" i="12"/>
  <c r="F64" i="12"/>
  <c r="E25" i="12"/>
  <c r="E41" i="12"/>
  <c r="E57" i="12"/>
  <c r="F17" i="12"/>
  <c r="F33" i="12"/>
  <c r="F49" i="12"/>
  <c r="F65" i="12"/>
  <c r="E65" i="12"/>
  <c r="F72" i="12"/>
  <c r="AJ13" i="12"/>
  <c r="AY13" i="12" s="1"/>
  <c r="E36" i="12"/>
  <c r="E60" i="12"/>
  <c r="E48" i="12"/>
  <c r="B120" i="21"/>
  <c r="E22" i="21"/>
  <c r="F22" i="21" s="1"/>
  <c r="G22" i="21" s="1"/>
  <c r="H22" i="21" s="1"/>
  <c r="I22" i="21" s="1"/>
  <c r="J22" i="21" s="1"/>
  <c r="K22" i="21" s="1"/>
  <c r="L22" i="21" s="1"/>
  <c r="M22" i="21" s="1"/>
  <c r="N22" i="21" s="1"/>
  <c r="O22" i="21" s="1"/>
  <c r="P22" i="21" s="1"/>
  <c r="Q22" i="21" s="1"/>
  <c r="R22" i="21" s="1"/>
  <c r="S22" i="21" s="1"/>
  <c r="T22" i="21" s="1"/>
  <c r="U22" i="21" s="1"/>
  <c r="V22" i="21" s="1"/>
  <c r="W22" i="21" s="1"/>
  <c r="X22" i="21" s="1"/>
  <c r="Y22" i="21" s="1"/>
  <c r="Z22" i="21" s="1"/>
  <c r="AA22" i="21" s="1"/>
  <c r="AB22" i="21" s="1"/>
  <c r="AC22" i="21" s="1"/>
  <c r="AD22" i="21" s="1"/>
  <c r="AE22" i="21" s="1"/>
  <c r="AF22" i="21" s="1"/>
  <c r="AG22" i="21" s="1"/>
  <c r="AH22" i="21" s="1"/>
  <c r="AI22" i="21" s="1"/>
  <c r="AJ22" i="21" s="1"/>
  <c r="AK22" i="21" s="1"/>
  <c r="AL22" i="21" s="1"/>
  <c r="AM22" i="21" s="1"/>
  <c r="AN22" i="21" s="1"/>
  <c r="AO22" i="21" s="1"/>
  <c r="AP22" i="21" s="1"/>
  <c r="AQ22" i="21" s="1"/>
  <c r="AR22" i="21" s="1"/>
  <c r="AS22" i="21" s="1"/>
  <c r="AT22" i="21" s="1"/>
  <c r="AU22" i="21" s="1"/>
  <c r="AV22" i="21" s="1"/>
  <c r="AW22" i="21" s="1"/>
  <c r="AX22" i="21" s="1"/>
  <c r="AY22" i="21" s="1"/>
  <c r="AZ22" i="21" s="1"/>
  <c r="BA22" i="21" s="1"/>
  <c r="BB22" i="21" s="1"/>
  <c r="BC22" i="21" s="1"/>
  <c r="BD22" i="21" s="1"/>
  <c r="BE22" i="21" s="1"/>
  <c r="BF22" i="21" s="1"/>
  <c r="BG22" i="21" s="1"/>
  <c r="BH22" i="21" s="1"/>
  <c r="BI22" i="21" s="1"/>
  <c r="BJ22" i="21" s="1"/>
  <c r="BK22" i="21" s="1"/>
  <c r="BL22" i="21" s="1"/>
  <c r="BM22" i="21" s="1"/>
  <c r="BN22" i="21" s="1"/>
  <c r="BO22" i="21" s="1"/>
  <c r="BP22" i="21" s="1"/>
  <c r="BQ22" i="21" s="1"/>
  <c r="BR22" i="21" s="1"/>
  <c r="BS22" i="21" s="1"/>
  <c r="BT22" i="21" s="1"/>
  <c r="BU22" i="21" s="1"/>
  <c r="BV22" i="21" s="1"/>
  <c r="BW22" i="21" s="1"/>
  <c r="BX22" i="21" s="1"/>
  <c r="BY22" i="21" s="1"/>
  <c r="BZ22" i="21" s="1"/>
  <c r="CA22" i="21" s="1"/>
  <c r="CB22" i="21" s="1"/>
  <c r="CC22" i="21" s="1"/>
  <c r="CD22" i="21" s="1"/>
  <c r="CE22" i="21" s="1"/>
  <c r="CF22" i="21" s="1"/>
  <c r="CG22" i="21" s="1"/>
  <c r="CH22" i="21" s="1"/>
  <c r="CI22" i="21" s="1"/>
  <c r="CJ22" i="21" s="1"/>
  <c r="CK22" i="21" s="1"/>
  <c r="CL22" i="21" s="1"/>
  <c r="CM22" i="21" s="1"/>
  <c r="CN22" i="21" s="1"/>
  <c r="CO22" i="21" s="1"/>
  <c r="CP22" i="21" s="1"/>
  <c r="CQ22" i="21" s="1"/>
  <c r="CR22" i="21" s="1"/>
  <c r="CS22" i="21" s="1"/>
  <c r="CT22" i="21" s="1"/>
  <c r="CU22" i="21" s="1"/>
  <c r="CV22" i="21" s="1"/>
  <c r="CW22" i="21" s="1"/>
  <c r="CX22" i="21" s="1"/>
  <c r="CY22" i="21" s="1"/>
  <c r="CZ22" i="21" s="1"/>
  <c r="DA22" i="21" s="1"/>
  <c r="DB22" i="21" s="1"/>
  <c r="DC22" i="21" s="1"/>
  <c r="DD22" i="21" s="1"/>
  <c r="DE22" i="21" s="1"/>
  <c r="DF22" i="21" s="1"/>
  <c r="DG22" i="21" s="1"/>
  <c r="DH22" i="21" s="1"/>
  <c r="DI22" i="21" s="1"/>
  <c r="DJ22" i="21" s="1"/>
  <c r="DK22" i="21" s="1"/>
  <c r="DL22" i="21" s="1"/>
  <c r="DM22" i="21" s="1"/>
  <c r="DN22" i="21" s="1"/>
  <c r="DO22" i="21" s="1"/>
  <c r="DP22" i="21" s="1"/>
  <c r="DQ22" i="21" s="1"/>
  <c r="B25" i="21"/>
  <c r="B174" i="21"/>
  <c r="B168" i="21"/>
  <c r="B161" i="21"/>
  <c r="B167" i="21"/>
  <c r="B153" i="21"/>
  <c r="B146" i="21"/>
  <c r="B134" i="21"/>
  <c r="B128" i="21"/>
  <c r="B121" i="21"/>
  <c r="B113" i="21"/>
  <c r="B106" i="21"/>
  <c r="B114" i="21"/>
  <c r="B107" i="21"/>
  <c r="B135" i="21"/>
  <c r="B127" i="21"/>
  <c r="B175" i="21"/>
  <c r="B160" i="21"/>
  <c r="B154" i="21"/>
  <c r="B147" i="21"/>
  <c r="DR22" i="21" l="1"/>
  <c r="BL13" i="12"/>
  <c r="AN69" i="12"/>
  <c r="J1" i="21"/>
  <c r="I23" i="21"/>
  <c r="D21" i="21"/>
  <c r="C25" i="21"/>
  <c r="C167" i="21"/>
  <c r="C153" i="21"/>
  <c r="C146" i="21"/>
  <c r="C134" i="21"/>
  <c r="C128" i="21"/>
  <c r="C121" i="21"/>
  <c r="C113" i="21"/>
  <c r="C106" i="21"/>
  <c r="C174" i="21"/>
  <c r="C161" i="21"/>
  <c r="C135" i="21"/>
  <c r="C127" i="21"/>
  <c r="C168" i="21"/>
  <c r="C114" i="21"/>
  <c r="C120" i="21"/>
  <c r="C154" i="21"/>
  <c r="C147" i="21"/>
  <c r="C175" i="21"/>
  <c r="C24" i="21"/>
  <c r="C160" i="21"/>
  <c r="C107" i="21"/>
  <c r="DS22" i="21" l="1"/>
  <c r="K1" i="21"/>
  <c r="J23" i="21"/>
  <c r="E21" i="21"/>
  <c r="D175" i="21"/>
  <c r="D167" i="21"/>
  <c r="D160" i="21"/>
  <c r="D154" i="21"/>
  <c r="D174" i="21"/>
  <c r="D161" i="21"/>
  <c r="D127" i="21"/>
  <c r="D121" i="21"/>
  <c r="D147" i="21"/>
  <c r="D146" i="21"/>
  <c r="D120" i="21"/>
  <c r="D134" i="21"/>
  <c r="D113" i="21"/>
  <c r="D106" i="21"/>
  <c r="D135" i="21"/>
  <c r="D107" i="21"/>
  <c r="D24" i="21"/>
  <c r="D153" i="21"/>
  <c r="D168" i="21"/>
  <c r="D128" i="21"/>
  <c r="D114" i="21"/>
  <c r="D25" i="21"/>
  <c r="DT22" i="21" l="1"/>
  <c r="L1" i="21"/>
  <c r="K23" i="21"/>
  <c r="F21" i="21"/>
  <c r="E175" i="21"/>
  <c r="E174" i="21"/>
  <c r="E161" i="21"/>
  <c r="E168" i="21"/>
  <c r="E147" i="21"/>
  <c r="E135" i="21"/>
  <c r="E127" i="21"/>
  <c r="E120" i="21"/>
  <c r="E114" i="21"/>
  <c r="E107" i="21"/>
  <c r="E121" i="21"/>
  <c r="E167" i="21"/>
  <c r="E146" i="21"/>
  <c r="E160" i="21"/>
  <c r="E154" i="21"/>
  <c r="E153" i="21"/>
  <c r="E24" i="21"/>
  <c r="E128" i="21"/>
  <c r="E113" i="21"/>
  <c r="E134" i="21"/>
  <c r="E106" i="21"/>
  <c r="E25" i="21"/>
  <c r="DU22" i="21" l="1"/>
  <c r="M1" i="21"/>
  <c r="L23" i="21"/>
  <c r="G21" i="21"/>
  <c r="F175" i="21"/>
  <c r="F167" i="21"/>
  <c r="F160" i="21"/>
  <c r="F154" i="21"/>
  <c r="F168" i="21"/>
  <c r="F147" i="21"/>
  <c r="F135" i="21"/>
  <c r="F127" i="21"/>
  <c r="F120" i="21"/>
  <c r="F114" i="21"/>
  <c r="F107" i="21"/>
  <c r="F161" i="21"/>
  <c r="F146" i="21"/>
  <c r="F128" i="21"/>
  <c r="F113" i="21"/>
  <c r="F174" i="21"/>
  <c r="F134" i="21"/>
  <c r="F106" i="21"/>
  <c r="F153" i="21"/>
  <c r="F121" i="21"/>
  <c r="F24" i="21"/>
  <c r="F25" i="21"/>
  <c r="DV22" i="21" l="1"/>
  <c r="N1" i="21"/>
  <c r="M23" i="21"/>
  <c r="H21" i="21"/>
  <c r="G168" i="21"/>
  <c r="G147" i="21"/>
  <c r="G135" i="21"/>
  <c r="G127" i="21"/>
  <c r="G120" i="21"/>
  <c r="G114" i="21"/>
  <c r="G107" i="21"/>
  <c r="G175" i="21"/>
  <c r="G154" i="21"/>
  <c r="G161" i="21"/>
  <c r="G146" i="21"/>
  <c r="G167" i="21"/>
  <c r="G128" i="21"/>
  <c r="G153" i="21"/>
  <c r="G113" i="21"/>
  <c r="G106" i="21"/>
  <c r="G160" i="21"/>
  <c r="G121" i="21"/>
  <c r="G174" i="21"/>
  <c r="G134" i="21"/>
  <c r="G24" i="21"/>
  <c r="G25" i="21"/>
  <c r="DW22" i="21" l="1"/>
  <c r="O1" i="21"/>
  <c r="N23" i="21"/>
  <c r="I21" i="21"/>
  <c r="H174" i="21"/>
  <c r="H168" i="21"/>
  <c r="H161" i="21"/>
  <c r="H153" i="21"/>
  <c r="H175" i="21"/>
  <c r="H154" i="21"/>
  <c r="H167" i="21"/>
  <c r="H128" i="21"/>
  <c r="H113" i="21"/>
  <c r="H106" i="21"/>
  <c r="H134" i="21"/>
  <c r="H120" i="21"/>
  <c r="H160" i="21"/>
  <c r="H114" i="21"/>
  <c r="H127" i="21"/>
  <c r="H121" i="21"/>
  <c r="H146" i="21"/>
  <c r="H135" i="21"/>
  <c r="H107" i="21"/>
  <c r="H147" i="21"/>
  <c r="H25" i="21"/>
  <c r="H24" i="21"/>
  <c r="DX22" i="21" l="1"/>
  <c r="P1" i="21"/>
  <c r="O23" i="21"/>
  <c r="J21" i="21"/>
  <c r="I174" i="21"/>
  <c r="I175" i="21"/>
  <c r="I154" i="21"/>
  <c r="I160" i="21"/>
  <c r="I146" i="21"/>
  <c r="I134" i="21"/>
  <c r="I128" i="21"/>
  <c r="I121" i="21"/>
  <c r="I113" i="21"/>
  <c r="I106" i="21"/>
  <c r="I153" i="21"/>
  <c r="I147" i="21"/>
  <c r="I168" i="21"/>
  <c r="I167" i="21"/>
  <c r="I127" i="21"/>
  <c r="I114" i="21"/>
  <c r="I135" i="21"/>
  <c r="I107" i="21"/>
  <c r="I161" i="21"/>
  <c r="I120" i="21"/>
  <c r="I25" i="21"/>
  <c r="I24" i="21"/>
  <c r="DY22" i="21" l="1"/>
  <c r="Q1" i="21"/>
  <c r="P23" i="21"/>
  <c r="K21" i="21"/>
  <c r="J174" i="21"/>
  <c r="J168" i="21"/>
  <c r="J161" i="21"/>
  <c r="J160" i="21"/>
  <c r="J146" i="21"/>
  <c r="J134" i="21"/>
  <c r="J128" i="21"/>
  <c r="J121" i="21"/>
  <c r="J113" i="21"/>
  <c r="J106" i="21"/>
  <c r="J153" i="21"/>
  <c r="J147" i="21"/>
  <c r="J154" i="21"/>
  <c r="J120" i="21"/>
  <c r="J175" i="21"/>
  <c r="J114" i="21"/>
  <c r="J167" i="21"/>
  <c r="J135" i="21"/>
  <c r="J107" i="21"/>
  <c r="J127" i="21"/>
  <c r="J25" i="21"/>
  <c r="J24" i="21"/>
  <c r="DZ22" i="21" l="1"/>
  <c r="R1" i="21"/>
  <c r="Q23" i="21"/>
  <c r="L21" i="21"/>
  <c r="K160" i="21"/>
  <c r="K146" i="21"/>
  <c r="K134" i="21"/>
  <c r="K128" i="21"/>
  <c r="K121" i="21"/>
  <c r="K113" i="21"/>
  <c r="K106" i="21"/>
  <c r="K153" i="21"/>
  <c r="K167" i="21"/>
  <c r="K147" i="21"/>
  <c r="K154" i="21"/>
  <c r="K120" i="21"/>
  <c r="K114" i="21"/>
  <c r="K107" i="21"/>
  <c r="K168" i="21"/>
  <c r="K161" i="21"/>
  <c r="K175" i="21"/>
  <c r="K127" i="21"/>
  <c r="K135" i="21"/>
  <c r="K24" i="21"/>
  <c r="K174" i="21"/>
  <c r="K25" i="21"/>
  <c r="EA22" i="21" l="1"/>
  <c r="S1" i="21"/>
  <c r="R23" i="21"/>
  <c r="M21" i="21"/>
  <c r="L175" i="21"/>
  <c r="L167" i="21"/>
  <c r="L160" i="21"/>
  <c r="L154" i="21"/>
  <c r="L147" i="21"/>
  <c r="L153" i="21"/>
  <c r="L120" i="21"/>
  <c r="L113" i="21"/>
  <c r="L106" i="21"/>
  <c r="L134" i="21"/>
  <c r="L114" i="21"/>
  <c r="L107" i="21"/>
  <c r="L174" i="21"/>
  <c r="L168" i="21"/>
  <c r="L135" i="21"/>
  <c r="L128" i="21"/>
  <c r="L161" i="21"/>
  <c r="L146" i="21"/>
  <c r="L127" i="21"/>
  <c r="L121" i="21"/>
  <c r="L24" i="21"/>
  <c r="L25" i="21"/>
  <c r="EB22" i="21" l="1"/>
  <c r="T1" i="21"/>
  <c r="S23" i="21"/>
  <c r="N21" i="21"/>
  <c r="M175" i="21"/>
  <c r="M167" i="21"/>
  <c r="M161" i="21"/>
  <c r="M135" i="21"/>
  <c r="M127" i="21"/>
  <c r="M120" i="21"/>
  <c r="M114" i="21"/>
  <c r="M107" i="21"/>
  <c r="M154" i="21"/>
  <c r="M153" i="21"/>
  <c r="M134" i="21"/>
  <c r="M174" i="21"/>
  <c r="M168" i="21"/>
  <c r="M160" i="21"/>
  <c r="M146" i="21"/>
  <c r="M121" i="21"/>
  <c r="M24" i="21"/>
  <c r="M128" i="21"/>
  <c r="M106" i="21"/>
  <c r="M147" i="21"/>
  <c r="M113" i="21"/>
  <c r="M25" i="21"/>
  <c r="EC22" i="21" l="1"/>
  <c r="U1" i="21"/>
  <c r="T23" i="21"/>
  <c r="O21" i="21"/>
  <c r="N175" i="21"/>
  <c r="N167" i="21"/>
  <c r="N160" i="21"/>
  <c r="N154" i="21"/>
  <c r="N161" i="21"/>
  <c r="N135" i="21"/>
  <c r="N127" i="21"/>
  <c r="N120" i="21"/>
  <c r="N114" i="21"/>
  <c r="N107" i="21"/>
  <c r="N174" i="21"/>
  <c r="N147" i="21"/>
  <c r="N168" i="21"/>
  <c r="N121" i="21"/>
  <c r="N113" i="21"/>
  <c r="N25" i="21"/>
  <c r="N153" i="21"/>
  <c r="N146" i="21"/>
  <c r="N128" i="21"/>
  <c r="N134" i="21"/>
  <c r="N106" i="21"/>
  <c r="N24" i="21"/>
  <c r="ED22" i="21" l="1"/>
  <c r="V1" i="21"/>
  <c r="U23" i="21"/>
  <c r="P21" i="21"/>
  <c r="O167" i="21"/>
  <c r="O161" i="21"/>
  <c r="O135" i="21"/>
  <c r="O127" i="21"/>
  <c r="O120" i="21"/>
  <c r="O114" i="21"/>
  <c r="O107" i="21"/>
  <c r="O174" i="21"/>
  <c r="O147" i="21"/>
  <c r="O168" i="21"/>
  <c r="O160" i="21"/>
  <c r="O121" i="21"/>
  <c r="O175" i="21"/>
  <c r="O154" i="21"/>
  <c r="O153" i="21"/>
  <c r="O134" i="21"/>
  <c r="O106" i="21"/>
  <c r="O146" i="21"/>
  <c r="O113" i="21"/>
  <c r="O128" i="21"/>
  <c r="O25" i="21"/>
  <c r="O24" i="21"/>
  <c r="EE22" i="21" l="1"/>
  <c r="W1" i="21"/>
  <c r="V23" i="21"/>
  <c r="Q21" i="21"/>
  <c r="P174" i="21"/>
  <c r="P168" i="21"/>
  <c r="P161" i="21"/>
  <c r="P153" i="21"/>
  <c r="P147" i="21"/>
  <c r="P160" i="21"/>
  <c r="P121" i="21"/>
  <c r="P114" i="21"/>
  <c r="P107" i="21"/>
  <c r="P175" i="21"/>
  <c r="P135" i="21"/>
  <c r="P146" i="21"/>
  <c r="P127" i="21"/>
  <c r="P167" i="21"/>
  <c r="P25" i="21"/>
  <c r="P128" i="21"/>
  <c r="P120" i="21"/>
  <c r="P113" i="21"/>
  <c r="P134" i="21"/>
  <c r="P106" i="21"/>
  <c r="P154" i="21"/>
  <c r="P24" i="21"/>
  <c r="EF22" i="21" l="1"/>
  <c r="X1" i="21"/>
  <c r="W23" i="21"/>
  <c r="R21" i="21"/>
  <c r="Q174" i="21"/>
  <c r="Q168" i="21"/>
  <c r="Q154" i="21"/>
  <c r="Q146" i="21"/>
  <c r="Q134" i="21"/>
  <c r="Q128" i="21"/>
  <c r="Q121" i="21"/>
  <c r="Q113" i="21"/>
  <c r="Q106" i="21"/>
  <c r="Q175" i="21"/>
  <c r="Q135" i="21"/>
  <c r="Q127" i="21"/>
  <c r="Q167" i="21"/>
  <c r="Q147" i="21"/>
  <c r="Q160" i="21"/>
  <c r="Q153" i="21"/>
  <c r="Q25" i="21"/>
  <c r="Q120" i="21"/>
  <c r="Q161" i="21"/>
  <c r="Q114" i="21"/>
  <c r="Q107" i="21"/>
  <c r="Q24" i="21"/>
  <c r="EG22" i="21" l="1"/>
  <c r="Y1" i="21"/>
  <c r="X23" i="21"/>
  <c r="S21" i="21"/>
  <c r="R174" i="21"/>
  <c r="R168" i="21"/>
  <c r="R161" i="21"/>
  <c r="R154" i="21"/>
  <c r="R146" i="21"/>
  <c r="R134" i="21"/>
  <c r="R128" i="21"/>
  <c r="R121" i="21"/>
  <c r="R113" i="21"/>
  <c r="R106" i="21"/>
  <c r="R175" i="21"/>
  <c r="R127" i="21"/>
  <c r="R135" i="21"/>
  <c r="R107" i="21"/>
  <c r="R120" i="21"/>
  <c r="R147" i="21"/>
  <c r="R167" i="21"/>
  <c r="R153" i="21"/>
  <c r="R114" i="21"/>
  <c r="R160" i="21"/>
  <c r="R24" i="21"/>
  <c r="R25" i="21"/>
  <c r="EH22" i="21" l="1"/>
  <c r="Z1" i="21"/>
  <c r="Y23" i="21"/>
  <c r="T21" i="21"/>
  <c r="S174" i="21"/>
  <c r="S168" i="21"/>
  <c r="S154" i="21"/>
  <c r="S146" i="21"/>
  <c r="S134" i="21"/>
  <c r="S128" i="21"/>
  <c r="S121" i="21"/>
  <c r="S113" i="21"/>
  <c r="S106" i="21"/>
  <c r="S175" i="21"/>
  <c r="S160" i="21"/>
  <c r="S153" i="21"/>
  <c r="S167" i="21"/>
  <c r="S161" i="21"/>
  <c r="S147" i="21"/>
  <c r="S120" i="21"/>
  <c r="S24" i="21"/>
  <c r="S114" i="21"/>
  <c r="S135" i="21"/>
  <c r="S107" i="21"/>
  <c r="S127" i="21"/>
  <c r="S25" i="21"/>
  <c r="EI22" i="21" l="1"/>
  <c r="AA1" i="21"/>
  <c r="Z23" i="21"/>
  <c r="U21" i="21"/>
  <c r="T175" i="21"/>
  <c r="T167" i="21"/>
  <c r="T160" i="21"/>
  <c r="T154" i="21"/>
  <c r="T147" i="21"/>
  <c r="T153" i="21"/>
  <c r="T174" i="21"/>
  <c r="T146" i="21"/>
  <c r="T161" i="21"/>
  <c r="T128" i="21"/>
  <c r="T127" i="21"/>
  <c r="T114" i="21"/>
  <c r="T113" i="21"/>
  <c r="T24" i="21"/>
  <c r="T135" i="21"/>
  <c r="T107" i="21"/>
  <c r="T134" i="21"/>
  <c r="T106" i="21"/>
  <c r="T168" i="21"/>
  <c r="T121" i="21"/>
  <c r="T120" i="21"/>
  <c r="T25" i="21"/>
  <c r="EJ22" i="21" l="1"/>
  <c r="AB1" i="21"/>
  <c r="AA23" i="21"/>
  <c r="V21" i="21"/>
  <c r="U175" i="21"/>
  <c r="U153" i="21"/>
  <c r="U160" i="21"/>
  <c r="U135" i="21"/>
  <c r="U127" i="21"/>
  <c r="U120" i="21"/>
  <c r="U114" i="21"/>
  <c r="U107" i="21"/>
  <c r="U146" i="21"/>
  <c r="U167" i="21"/>
  <c r="U161" i="21"/>
  <c r="U128" i="21"/>
  <c r="U113" i="21"/>
  <c r="U106" i="21"/>
  <c r="U174" i="21"/>
  <c r="U168" i="21"/>
  <c r="U154" i="21"/>
  <c r="U121" i="21"/>
  <c r="U24" i="21"/>
  <c r="U134" i="21"/>
  <c r="U147" i="21"/>
  <c r="U25" i="21"/>
  <c r="EK22" i="21" l="1"/>
  <c r="AC1" i="21"/>
  <c r="AB23" i="21"/>
  <c r="W21" i="21"/>
  <c r="V175" i="21"/>
  <c r="V167" i="21"/>
  <c r="V160" i="21"/>
  <c r="V154" i="21"/>
  <c r="V135" i="21"/>
  <c r="V127" i="21"/>
  <c r="V120" i="21"/>
  <c r="V114" i="21"/>
  <c r="V107" i="21"/>
  <c r="V161" i="21"/>
  <c r="V128" i="21"/>
  <c r="V113" i="21"/>
  <c r="V106" i="21"/>
  <c r="V147" i="21"/>
  <c r="V134" i="21"/>
  <c r="V153" i="21"/>
  <c r="V121" i="21"/>
  <c r="V146" i="21"/>
  <c r="V168" i="21"/>
  <c r="V24" i="21"/>
  <c r="V174" i="21"/>
  <c r="V25" i="21"/>
  <c r="EL22" i="21" l="1"/>
  <c r="AD1" i="21"/>
  <c r="AC23" i="21"/>
  <c r="X21" i="21"/>
  <c r="W175" i="21"/>
  <c r="W160" i="21"/>
  <c r="W135" i="21"/>
  <c r="W127" i="21"/>
  <c r="W120" i="21"/>
  <c r="W114" i="21"/>
  <c r="W107" i="21"/>
  <c r="W167" i="21"/>
  <c r="W161" i="21"/>
  <c r="W147" i="21"/>
  <c r="W113" i="21"/>
  <c r="W106" i="21"/>
  <c r="W134" i="21"/>
  <c r="W153" i="21"/>
  <c r="W174" i="21"/>
  <c r="W128" i="21"/>
  <c r="W25" i="21"/>
  <c r="W154" i="21"/>
  <c r="W146" i="21"/>
  <c r="W168" i="21"/>
  <c r="W121" i="21"/>
  <c r="W24" i="21"/>
  <c r="EM22" i="21" l="1"/>
  <c r="AE1" i="21"/>
  <c r="AD23" i="21"/>
  <c r="Y21" i="21"/>
  <c r="X174" i="21"/>
  <c r="X168" i="21"/>
  <c r="X161" i="21"/>
  <c r="X153" i="21"/>
  <c r="X167" i="21"/>
  <c r="X147" i="21"/>
  <c r="X134" i="21"/>
  <c r="X120" i="21"/>
  <c r="X146" i="21"/>
  <c r="X121" i="21"/>
  <c r="X135" i="21"/>
  <c r="X128" i="21"/>
  <c r="X114" i="21"/>
  <c r="X107" i="21"/>
  <c r="X175" i="21"/>
  <c r="X127" i="21"/>
  <c r="X113" i="21"/>
  <c r="X106" i="21"/>
  <c r="X160" i="21"/>
  <c r="X154" i="21"/>
  <c r="X25" i="21"/>
  <c r="X24" i="21"/>
  <c r="EN22" i="21" l="1"/>
  <c r="AF1" i="21"/>
  <c r="AE23" i="21"/>
  <c r="Z21" i="21"/>
  <c r="Y174" i="21"/>
  <c r="Y167" i="21"/>
  <c r="Y147" i="21"/>
  <c r="Y161" i="21"/>
  <c r="Y146" i="21"/>
  <c r="Y134" i="21"/>
  <c r="Y128" i="21"/>
  <c r="Y121" i="21"/>
  <c r="Y113" i="21"/>
  <c r="Y106" i="21"/>
  <c r="Y153" i="21"/>
  <c r="Y120" i="21"/>
  <c r="Y154" i="21"/>
  <c r="Y114" i="21"/>
  <c r="Y107" i="21"/>
  <c r="Y175" i="21"/>
  <c r="Y168" i="21"/>
  <c r="Y160" i="21"/>
  <c r="Y25" i="21"/>
  <c r="Y135" i="21"/>
  <c r="Y127" i="21"/>
  <c r="Y24" i="21"/>
  <c r="EO22" i="21" l="1"/>
  <c r="AG1" i="21"/>
  <c r="AF23" i="21"/>
  <c r="AA21" i="21"/>
  <c r="Z174" i="21"/>
  <c r="Z168" i="21"/>
  <c r="Z161" i="21"/>
  <c r="Z146" i="21"/>
  <c r="Z134" i="21"/>
  <c r="Z128" i="21"/>
  <c r="Z121" i="21"/>
  <c r="Z113" i="21"/>
  <c r="Z106" i="21"/>
  <c r="Z167" i="21"/>
  <c r="Z153" i="21"/>
  <c r="Z120" i="21"/>
  <c r="Z154" i="21"/>
  <c r="Z147" i="21"/>
  <c r="Z114" i="21"/>
  <c r="Z107" i="21"/>
  <c r="Z135" i="21"/>
  <c r="Z127" i="21"/>
  <c r="Z175" i="21"/>
  <c r="Z160" i="21"/>
  <c r="Z24" i="21"/>
  <c r="Z25" i="21"/>
  <c r="EP22" i="21" l="1"/>
  <c r="AH1" i="21"/>
  <c r="AG23" i="21"/>
  <c r="AB21" i="21"/>
  <c r="AA161" i="21"/>
  <c r="AA146" i="21"/>
  <c r="AA134" i="21"/>
  <c r="AA128" i="21"/>
  <c r="AA121" i="21"/>
  <c r="AA113" i="21"/>
  <c r="AA106" i="21"/>
  <c r="AA168" i="21"/>
  <c r="AA154" i="21"/>
  <c r="AA147" i="21"/>
  <c r="AA114" i="21"/>
  <c r="AA107" i="21"/>
  <c r="AA135" i="21"/>
  <c r="AA160" i="21"/>
  <c r="AA127" i="21"/>
  <c r="AA174" i="21"/>
  <c r="AA175" i="21"/>
  <c r="AA120" i="21"/>
  <c r="AA167" i="21"/>
  <c r="AA24" i="21"/>
  <c r="AA153" i="21"/>
  <c r="AA25" i="21"/>
  <c r="EQ22" i="21" l="1"/>
  <c r="AI1" i="21"/>
  <c r="AH23" i="21"/>
  <c r="AC21" i="21"/>
  <c r="AB175" i="21"/>
  <c r="AB167" i="21"/>
  <c r="AB160" i="21"/>
  <c r="AB154" i="21"/>
  <c r="AB147" i="21"/>
  <c r="AB168" i="21"/>
  <c r="AB174" i="21"/>
  <c r="AB153" i="21"/>
  <c r="AB135" i="21"/>
  <c r="AB127" i="21"/>
  <c r="AB121" i="21"/>
  <c r="AB146" i="21"/>
  <c r="AB120" i="21"/>
  <c r="AB107" i="21"/>
  <c r="AB134" i="21"/>
  <c r="AB113" i="21"/>
  <c r="AB106" i="21"/>
  <c r="AB161" i="21"/>
  <c r="AB24" i="21"/>
  <c r="AB128" i="21"/>
  <c r="AB114" i="21"/>
  <c r="AB25" i="21"/>
  <c r="ER22" i="21" l="1"/>
  <c r="AJ1" i="21"/>
  <c r="AI23" i="21"/>
  <c r="AD21" i="21"/>
  <c r="AC175" i="21"/>
  <c r="AC168" i="21"/>
  <c r="AC174" i="21"/>
  <c r="AC154" i="21"/>
  <c r="AC153" i="21"/>
  <c r="AC135" i="21"/>
  <c r="AC127" i="21"/>
  <c r="AC120" i="21"/>
  <c r="AC114" i="21"/>
  <c r="AC107" i="21"/>
  <c r="AC160" i="21"/>
  <c r="AC121" i="21"/>
  <c r="AC161" i="21"/>
  <c r="AC128" i="21"/>
  <c r="AC113" i="21"/>
  <c r="AC134" i="21"/>
  <c r="AC106" i="21"/>
  <c r="AC167" i="21"/>
  <c r="AC24" i="21"/>
  <c r="AC147" i="21"/>
  <c r="AC146" i="21"/>
  <c r="AC25" i="21"/>
  <c r="ES22" i="21" l="1"/>
  <c r="AK1" i="21"/>
  <c r="AJ23" i="21"/>
  <c r="AE21" i="21"/>
  <c r="AD175" i="21"/>
  <c r="AD167" i="21"/>
  <c r="AD160" i="21"/>
  <c r="AD154" i="21"/>
  <c r="AD174" i="21"/>
  <c r="AD153" i="21"/>
  <c r="AD135" i="21"/>
  <c r="AD127" i="21"/>
  <c r="AD120" i="21"/>
  <c r="AD114" i="21"/>
  <c r="AD107" i="21"/>
  <c r="AD121" i="21"/>
  <c r="AD168" i="21"/>
  <c r="AD146" i="21"/>
  <c r="AD161" i="21"/>
  <c r="AD147" i="21"/>
  <c r="AD134" i="21"/>
  <c r="AD113" i="21"/>
  <c r="AD106" i="21"/>
  <c r="AD128" i="21"/>
  <c r="AD25" i="21"/>
  <c r="AD24" i="21"/>
  <c r="ET22" i="21" l="1"/>
  <c r="AL1" i="21"/>
  <c r="AK23" i="21"/>
  <c r="AF21" i="21"/>
  <c r="AE154" i="21"/>
  <c r="AE135" i="21"/>
  <c r="AE127" i="21"/>
  <c r="AE120" i="21"/>
  <c r="AE114" i="21"/>
  <c r="AE107" i="21"/>
  <c r="AE160" i="21"/>
  <c r="AE168" i="21"/>
  <c r="AE146" i="21"/>
  <c r="AE128" i="21"/>
  <c r="AE175" i="21"/>
  <c r="AE153" i="21"/>
  <c r="AE25" i="21"/>
  <c r="AE134" i="21"/>
  <c r="AE106" i="21"/>
  <c r="AE161" i="21"/>
  <c r="AE147" i="21"/>
  <c r="AE167" i="21"/>
  <c r="AE121" i="21"/>
  <c r="AE174" i="21"/>
  <c r="AE113" i="21"/>
  <c r="AE24" i="21"/>
  <c r="EU22" i="21" l="1"/>
  <c r="AM1" i="21"/>
  <c r="AL23" i="21"/>
  <c r="AG21" i="21"/>
  <c r="AF174" i="21"/>
  <c r="AF168" i="21"/>
  <c r="AF161" i="21"/>
  <c r="AF153" i="21"/>
  <c r="AF160" i="21"/>
  <c r="AF175" i="21"/>
  <c r="AF147" i="21"/>
  <c r="AF154" i="21"/>
  <c r="AF146" i="21"/>
  <c r="AF127" i="21"/>
  <c r="AF128" i="21"/>
  <c r="AF113" i="21"/>
  <c r="AF106" i="21"/>
  <c r="AF167" i="21"/>
  <c r="AF134" i="21"/>
  <c r="AF114" i="21"/>
  <c r="AF135" i="21"/>
  <c r="AF107" i="21"/>
  <c r="AF121" i="21"/>
  <c r="AF120" i="21"/>
  <c r="AF25" i="21"/>
  <c r="AF24" i="21"/>
  <c r="EV22" i="21" l="1"/>
  <c r="AN1" i="21"/>
  <c r="AM23" i="21"/>
  <c r="AH21" i="21"/>
  <c r="AG174" i="21"/>
  <c r="AG160" i="21"/>
  <c r="AG175" i="21"/>
  <c r="AG147" i="21"/>
  <c r="AG167" i="21"/>
  <c r="AG146" i="21"/>
  <c r="AG134" i="21"/>
  <c r="AG128" i="21"/>
  <c r="AG121" i="21"/>
  <c r="AG113" i="21"/>
  <c r="AG106" i="21"/>
  <c r="AG168" i="21"/>
  <c r="AG154" i="21"/>
  <c r="AG161" i="21"/>
  <c r="AG127" i="21"/>
  <c r="AG153" i="21"/>
  <c r="AG114" i="21"/>
  <c r="AG25" i="21"/>
  <c r="AG120" i="21"/>
  <c r="AG135" i="21"/>
  <c r="AG107" i="21"/>
  <c r="AG24" i="21"/>
  <c r="EW22" i="21" l="1"/>
  <c r="AO1" i="21"/>
  <c r="AN23" i="21"/>
  <c r="AI21" i="21"/>
  <c r="AH174" i="21"/>
  <c r="AH168" i="21"/>
  <c r="AH161" i="21"/>
  <c r="AH175" i="21"/>
  <c r="AH147" i="21"/>
  <c r="AH167" i="21"/>
  <c r="AH146" i="21"/>
  <c r="AH134" i="21"/>
  <c r="AH128" i="21"/>
  <c r="AH121" i="21"/>
  <c r="AH113" i="21"/>
  <c r="AH106" i="21"/>
  <c r="AH160" i="21"/>
  <c r="AH135" i="21"/>
  <c r="AH107" i="21"/>
  <c r="AH154" i="21"/>
  <c r="AH120" i="21"/>
  <c r="AH153" i="21"/>
  <c r="AH114" i="21"/>
  <c r="AH127" i="21"/>
  <c r="AH24" i="21"/>
  <c r="AH25" i="21"/>
  <c r="EX22" i="21" l="1"/>
  <c r="AP1" i="21"/>
  <c r="AO23" i="21"/>
  <c r="AJ21" i="21"/>
  <c r="AI167" i="21"/>
  <c r="AI146" i="21"/>
  <c r="AI134" i="21"/>
  <c r="AI128" i="21"/>
  <c r="AI121" i="21"/>
  <c r="AI113" i="21"/>
  <c r="AI106" i="21"/>
  <c r="AI161" i="21"/>
  <c r="AI175" i="21"/>
  <c r="AI174" i="21"/>
  <c r="AI120" i="21"/>
  <c r="AI160" i="21"/>
  <c r="AI154" i="21"/>
  <c r="AI153" i="21"/>
  <c r="AI135" i="21"/>
  <c r="AI107" i="21"/>
  <c r="AI147" i="21"/>
  <c r="AI127" i="21"/>
  <c r="AI168" i="21"/>
  <c r="AI114" i="21"/>
  <c r="AI24" i="21"/>
  <c r="AI25" i="21"/>
  <c r="EY22" i="21" l="1"/>
  <c r="AQ1" i="21"/>
  <c r="AP23" i="21"/>
  <c r="AK21" i="21"/>
  <c r="AJ175" i="21"/>
  <c r="AJ167" i="21"/>
  <c r="AJ160" i="21"/>
  <c r="AJ154" i="21"/>
  <c r="AJ147" i="21"/>
  <c r="AJ161" i="21"/>
  <c r="AJ128" i="21"/>
  <c r="AJ174" i="21"/>
  <c r="AJ120" i="21"/>
  <c r="AJ113" i="21"/>
  <c r="AJ106" i="21"/>
  <c r="AJ153" i="21"/>
  <c r="AJ134" i="21"/>
  <c r="AJ114" i="21"/>
  <c r="AJ107" i="21"/>
  <c r="AJ146" i="21"/>
  <c r="AJ168" i="21"/>
  <c r="AJ24" i="21"/>
  <c r="AJ121" i="21"/>
  <c r="AJ135" i="21"/>
  <c r="AJ127" i="21"/>
  <c r="AJ25" i="21"/>
  <c r="EZ22" i="21" l="1"/>
  <c r="AR1" i="21"/>
  <c r="AQ23" i="21"/>
  <c r="AL21" i="21"/>
  <c r="AK175" i="21"/>
  <c r="AK161" i="21"/>
  <c r="AK168" i="21"/>
  <c r="AK153" i="21"/>
  <c r="AK135" i="21"/>
  <c r="AK127" i="21"/>
  <c r="AK120" i="21"/>
  <c r="AK114" i="21"/>
  <c r="AK107" i="21"/>
  <c r="AK174" i="21"/>
  <c r="AK113" i="21"/>
  <c r="AK106" i="21"/>
  <c r="AK134" i="21"/>
  <c r="AK160" i="21"/>
  <c r="AK154" i="21"/>
  <c r="AK147" i="21"/>
  <c r="AK146" i="21"/>
  <c r="AK121" i="21"/>
  <c r="AK167" i="21"/>
  <c r="AK24" i="21"/>
  <c r="AK128" i="21"/>
  <c r="AK25" i="21"/>
  <c r="FA22" i="21" l="1"/>
  <c r="AS1" i="21"/>
  <c r="AR23" i="21"/>
  <c r="AM21" i="21"/>
  <c r="AL175" i="21"/>
  <c r="AL167" i="21"/>
  <c r="AL160" i="21"/>
  <c r="AL154" i="21"/>
  <c r="AL168" i="21"/>
  <c r="AL153" i="21"/>
  <c r="AL135" i="21"/>
  <c r="AL127" i="21"/>
  <c r="AL120" i="21"/>
  <c r="AL114" i="21"/>
  <c r="AL107" i="21"/>
  <c r="AL134" i="21"/>
  <c r="AL161" i="21"/>
  <c r="AL147" i="21"/>
  <c r="AL106" i="21"/>
  <c r="AL174" i="21"/>
  <c r="AL146" i="21"/>
  <c r="AL121" i="21"/>
  <c r="AL113" i="21"/>
  <c r="AL25" i="21"/>
  <c r="AL128" i="21"/>
  <c r="AL24" i="21"/>
  <c r="FB22" i="21" l="1"/>
  <c r="AT1" i="21"/>
  <c r="AS23" i="21"/>
  <c r="AN21" i="21"/>
  <c r="AM168" i="21"/>
  <c r="AM153" i="21"/>
  <c r="AM135" i="21"/>
  <c r="AM127" i="21"/>
  <c r="AM120" i="21"/>
  <c r="AM114" i="21"/>
  <c r="AM107" i="21"/>
  <c r="AM174" i="21"/>
  <c r="AM154" i="21"/>
  <c r="AM175" i="21"/>
  <c r="AM161" i="21"/>
  <c r="AM147" i="21"/>
  <c r="AM167" i="21"/>
  <c r="AM121" i="21"/>
  <c r="AM146" i="21"/>
  <c r="AM160" i="21"/>
  <c r="AM128" i="21"/>
  <c r="AM113" i="21"/>
  <c r="AM134" i="21"/>
  <c r="AM106" i="21"/>
  <c r="AM25" i="21"/>
  <c r="AM24" i="21"/>
  <c r="FC22" i="21" l="1"/>
  <c r="AU1" i="21"/>
  <c r="AT23" i="21"/>
  <c r="AO21" i="21"/>
  <c r="AN174" i="21"/>
  <c r="AN168" i="21"/>
  <c r="AN161" i="21"/>
  <c r="AN153" i="21"/>
  <c r="AN154" i="21"/>
  <c r="AN175" i="21"/>
  <c r="AN147" i="21"/>
  <c r="AN120" i="21"/>
  <c r="AN167" i="21"/>
  <c r="AN121" i="21"/>
  <c r="AN114" i="21"/>
  <c r="AN107" i="21"/>
  <c r="AN135" i="21"/>
  <c r="AN160" i="21"/>
  <c r="AN128" i="21"/>
  <c r="AN127" i="21"/>
  <c r="AN113" i="21"/>
  <c r="AN134" i="21"/>
  <c r="AN106" i="21"/>
  <c r="AN146" i="21"/>
  <c r="AN25" i="21"/>
  <c r="AN24" i="21"/>
  <c r="FD22" i="21" l="1"/>
  <c r="AV1" i="21"/>
  <c r="AU23" i="21"/>
  <c r="AP21" i="21"/>
  <c r="AO174" i="21"/>
  <c r="AO168" i="21"/>
  <c r="AO154" i="21"/>
  <c r="AO160" i="21"/>
  <c r="AO147" i="21"/>
  <c r="AO146" i="21"/>
  <c r="AO134" i="21"/>
  <c r="AO128" i="21"/>
  <c r="AO121" i="21"/>
  <c r="AO113" i="21"/>
  <c r="AO106" i="21"/>
  <c r="AO167" i="21"/>
  <c r="AO161" i="21"/>
  <c r="AO114" i="21"/>
  <c r="AO107" i="21"/>
  <c r="AO153" i="21"/>
  <c r="AO135" i="21"/>
  <c r="AO127" i="21"/>
  <c r="AO120" i="21"/>
  <c r="AO25" i="21"/>
  <c r="AO175" i="21"/>
  <c r="AO24" i="21"/>
  <c r="FE22" i="21" l="1"/>
  <c r="AW1" i="21"/>
  <c r="AV23" i="21"/>
  <c r="AQ21" i="21"/>
  <c r="AP174" i="21"/>
  <c r="AP168" i="21"/>
  <c r="AP161" i="21"/>
  <c r="AP160" i="21"/>
  <c r="AP147" i="21"/>
  <c r="AP146" i="21"/>
  <c r="AP134" i="21"/>
  <c r="AP128" i="21"/>
  <c r="AP121" i="21"/>
  <c r="AP113" i="21"/>
  <c r="AP106" i="21"/>
  <c r="AP153" i="21"/>
  <c r="AP135" i="21"/>
  <c r="AP127" i="21"/>
  <c r="AP167" i="21"/>
  <c r="AP175" i="21"/>
  <c r="AP107" i="21"/>
  <c r="AP154" i="21"/>
  <c r="AP120" i="21"/>
  <c r="AP114" i="21"/>
  <c r="AP25" i="21"/>
  <c r="AP24" i="21"/>
  <c r="FF22" i="21" l="1"/>
  <c r="AX1" i="21"/>
  <c r="AW23" i="21"/>
  <c r="AR21" i="21"/>
  <c r="AQ160" i="21"/>
  <c r="AQ147" i="21"/>
  <c r="AQ146" i="21"/>
  <c r="AQ134" i="21"/>
  <c r="AQ128" i="21"/>
  <c r="AQ121" i="21"/>
  <c r="AQ113" i="21"/>
  <c r="AQ106" i="21"/>
  <c r="AQ174" i="21"/>
  <c r="AQ175" i="21"/>
  <c r="AQ167" i="21"/>
  <c r="AQ127" i="21"/>
  <c r="AQ154" i="21"/>
  <c r="AQ168" i="21"/>
  <c r="AQ114" i="21"/>
  <c r="AQ161" i="21"/>
  <c r="AQ120" i="21"/>
  <c r="AQ24" i="21"/>
  <c r="AQ153" i="21"/>
  <c r="AQ135" i="21"/>
  <c r="AQ107" i="21"/>
  <c r="AQ25" i="21"/>
  <c r="FG22" i="21" l="1"/>
  <c r="AY1" i="21"/>
  <c r="AX23" i="21"/>
  <c r="AS21" i="21"/>
  <c r="AR175" i="21"/>
  <c r="AR167" i="21"/>
  <c r="AR160" i="21"/>
  <c r="AR154" i="21"/>
  <c r="AR147" i="21"/>
  <c r="AR174" i="21"/>
  <c r="AR121" i="21"/>
  <c r="AR146" i="21"/>
  <c r="AR120" i="21"/>
  <c r="AR24" i="21"/>
  <c r="AR134" i="21"/>
  <c r="AR106" i="21"/>
  <c r="AR161" i="21"/>
  <c r="AR168" i="21"/>
  <c r="AR153" i="21"/>
  <c r="AR135" i="21"/>
  <c r="AR128" i="21"/>
  <c r="AR114" i="21"/>
  <c r="AR107" i="21"/>
  <c r="AR127" i="21"/>
  <c r="AR113" i="21"/>
  <c r="AR25" i="21"/>
  <c r="FH22" i="21" l="1"/>
  <c r="AZ1" i="21"/>
  <c r="AY23" i="21"/>
  <c r="AT21" i="21"/>
  <c r="AS175" i="21"/>
  <c r="AS167" i="21"/>
  <c r="AS161" i="21"/>
  <c r="AS135" i="21"/>
  <c r="AS127" i="21"/>
  <c r="AS120" i="21"/>
  <c r="AS114" i="21"/>
  <c r="AS107" i="21"/>
  <c r="AS154" i="21"/>
  <c r="AS146" i="21"/>
  <c r="AS128" i="21"/>
  <c r="AS153" i="21"/>
  <c r="AS168" i="21"/>
  <c r="AS160" i="21"/>
  <c r="AS121" i="21"/>
  <c r="AS24" i="21"/>
  <c r="AS134" i="21"/>
  <c r="AS113" i="21"/>
  <c r="AS106" i="21"/>
  <c r="AS174" i="21"/>
  <c r="AS147" i="21"/>
  <c r="AS25" i="21"/>
  <c r="FI22" i="21" l="1"/>
  <c r="BA1" i="21"/>
  <c r="AZ23" i="21"/>
  <c r="AU21" i="21"/>
  <c r="AT175" i="21"/>
  <c r="AT167" i="21"/>
  <c r="AT160" i="21"/>
  <c r="AT154" i="21"/>
  <c r="AT161" i="21"/>
  <c r="AT135" i="21"/>
  <c r="AT127" i="21"/>
  <c r="AT120" i="21"/>
  <c r="AT114" i="21"/>
  <c r="AT107" i="21"/>
  <c r="AT153" i="21"/>
  <c r="AT146" i="21"/>
  <c r="AT128" i="21"/>
  <c r="AT168" i="21"/>
  <c r="AT113" i="21"/>
  <c r="AT106" i="21"/>
  <c r="AT147" i="21"/>
  <c r="AT134" i="21"/>
  <c r="AT24" i="21"/>
  <c r="AT121" i="21"/>
  <c r="AT174" i="21"/>
  <c r="AT25" i="21"/>
  <c r="FJ22" i="21" l="1"/>
  <c r="BB1" i="21"/>
  <c r="BA23" i="21"/>
  <c r="AV21" i="21"/>
  <c r="AU167" i="21"/>
  <c r="AU161" i="21"/>
  <c r="AU135" i="21"/>
  <c r="AU127" i="21"/>
  <c r="AU120" i="21"/>
  <c r="AU114" i="21"/>
  <c r="AU107" i="21"/>
  <c r="AU175" i="21"/>
  <c r="AU153" i="21"/>
  <c r="AU154" i="21"/>
  <c r="AU128" i="21"/>
  <c r="AU168" i="21"/>
  <c r="AU113" i="21"/>
  <c r="AU106" i="21"/>
  <c r="AU160" i="21"/>
  <c r="AU134" i="21"/>
  <c r="AU174" i="21"/>
  <c r="AU146" i="21"/>
  <c r="AU121" i="21"/>
  <c r="AU147" i="21"/>
  <c r="AU25" i="21"/>
  <c r="AU24" i="21"/>
  <c r="FK22" i="21" l="1"/>
  <c r="BC1" i="21"/>
  <c r="BB23" i="21"/>
  <c r="AW21" i="21"/>
  <c r="AV174" i="21"/>
  <c r="AV168" i="21"/>
  <c r="AV161" i="21"/>
  <c r="AV153" i="21"/>
  <c r="AV175" i="21"/>
  <c r="AV113" i="21"/>
  <c r="AV106" i="21"/>
  <c r="AV160" i="21"/>
  <c r="AV134" i="21"/>
  <c r="AV167" i="21"/>
  <c r="AV154" i="21"/>
  <c r="AV120" i="21"/>
  <c r="AV147" i="21"/>
  <c r="AV135" i="21"/>
  <c r="AV128" i="21"/>
  <c r="AV114" i="21"/>
  <c r="AV107" i="21"/>
  <c r="AV146" i="21"/>
  <c r="AV127" i="21"/>
  <c r="AV121" i="21"/>
  <c r="AV24" i="21"/>
  <c r="AV25" i="21"/>
  <c r="FL22" i="21" l="1"/>
  <c r="BD1" i="21"/>
  <c r="BC23" i="21"/>
  <c r="AX21" i="21"/>
  <c r="AW174" i="21"/>
  <c r="AW168" i="21"/>
  <c r="AW153" i="21"/>
  <c r="AW154" i="21"/>
  <c r="AW146" i="21"/>
  <c r="AW134" i="21"/>
  <c r="AW128" i="21"/>
  <c r="AW121" i="21"/>
  <c r="AW113" i="21"/>
  <c r="AW106" i="21"/>
  <c r="AW160" i="21"/>
  <c r="AW120" i="21"/>
  <c r="AW161" i="21"/>
  <c r="AW147" i="21"/>
  <c r="AW127" i="21"/>
  <c r="AW114" i="21"/>
  <c r="AW135" i="21"/>
  <c r="AW107" i="21"/>
  <c r="AW175" i="21"/>
  <c r="AW167" i="21"/>
  <c r="AW25" i="21"/>
  <c r="AW24" i="21"/>
  <c r="FM22" i="21" l="1"/>
  <c r="BE1" i="21"/>
  <c r="BD23" i="21"/>
  <c r="AY21" i="21"/>
  <c r="AX174" i="21"/>
  <c r="AX168" i="21"/>
  <c r="AX161" i="21"/>
  <c r="AX154" i="21"/>
  <c r="AX146" i="21"/>
  <c r="AX134" i="21"/>
  <c r="AX128" i="21"/>
  <c r="AX121" i="21"/>
  <c r="AX113" i="21"/>
  <c r="AX106" i="21"/>
  <c r="AX147" i="21"/>
  <c r="AX120" i="21"/>
  <c r="AX114" i="21"/>
  <c r="AX107" i="21"/>
  <c r="AX167" i="21"/>
  <c r="AX135" i="21"/>
  <c r="AX153" i="21"/>
  <c r="AX127" i="21"/>
  <c r="AX175" i="21"/>
  <c r="AX160" i="21"/>
  <c r="AX24" i="21"/>
  <c r="AX25" i="21"/>
  <c r="FN22" i="21" l="1"/>
  <c r="BF1" i="21"/>
  <c r="BE23" i="21"/>
  <c r="AZ21" i="21"/>
  <c r="AY154" i="21"/>
  <c r="AY146" i="21"/>
  <c r="AY134" i="21"/>
  <c r="AY128" i="21"/>
  <c r="AY121" i="21"/>
  <c r="AY113" i="21"/>
  <c r="AY106" i="21"/>
  <c r="AY147" i="21"/>
  <c r="AY168" i="21"/>
  <c r="AY160" i="21"/>
  <c r="AY120" i="21"/>
  <c r="AY114" i="21"/>
  <c r="AY107" i="21"/>
  <c r="AY135" i="21"/>
  <c r="AY175" i="21"/>
  <c r="AY153" i="21"/>
  <c r="AY167" i="21"/>
  <c r="AY24" i="21"/>
  <c r="AY127" i="21"/>
  <c r="AY174" i="21"/>
  <c r="AY161" i="21"/>
  <c r="AY25" i="21"/>
  <c r="FO22" i="21" l="1"/>
  <c r="BG1" i="21"/>
  <c r="BH1" i="21" s="1"/>
  <c r="BI1" i="21" s="1"/>
  <c r="BF23" i="21"/>
  <c r="BA21" i="21"/>
  <c r="AZ175" i="21"/>
  <c r="AZ167" i="21"/>
  <c r="AZ160" i="21"/>
  <c r="AZ154" i="21"/>
  <c r="AZ147" i="21"/>
  <c r="AZ168" i="21"/>
  <c r="AZ134" i="21"/>
  <c r="AZ114" i="21"/>
  <c r="AZ107" i="21"/>
  <c r="AZ135" i="21"/>
  <c r="AZ174" i="21"/>
  <c r="AZ153" i="21"/>
  <c r="AZ127" i="21"/>
  <c r="AZ161" i="21"/>
  <c r="AZ128" i="21"/>
  <c r="AZ113" i="21"/>
  <c r="AZ106" i="21"/>
  <c r="AZ24" i="21"/>
  <c r="AZ121" i="21"/>
  <c r="AZ120" i="21"/>
  <c r="AZ146" i="21"/>
  <c r="AZ25" i="21"/>
  <c r="FP22" i="21" l="1"/>
  <c r="BJ1" i="21"/>
  <c r="BI23" i="21"/>
  <c r="BG23" i="21"/>
  <c r="BB21" i="21"/>
  <c r="BA175" i="21"/>
  <c r="BA168" i="21"/>
  <c r="BA147" i="21"/>
  <c r="BA160" i="21"/>
  <c r="BA174" i="21"/>
  <c r="BA135" i="21"/>
  <c r="BA127" i="21"/>
  <c r="BA120" i="21"/>
  <c r="BA114" i="21"/>
  <c r="BA107" i="21"/>
  <c r="BA153" i="21"/>
  <c r="BA167" i="21"/>
  <c r="BA161" i="21"/>
  <c r="BA121" i="21"/>
  <c r="BA146" i="21"/>
  <c r="BA154" i="21"/>
  <c r="BA128" i="21"/>
  <c r="BA134" i="21"/>
  <c r="BA113" i="21"/>
  <c r="BA106" i="21"/>
  <c r="BA24" i="21"/>
  <c r="BA25" i="21"/>
  <c r="FQ22" i="21" l="1"/>
  <c r="BK1" i="21"/>
  <c r="BJ23" i="21"/>
  <c r="BH23" i="21"/>
  <c r="BC21" i="21"/>
  <c r="BB175" i="21"/>
  <c r="BB167" i="21"/>
  <c r="BB160" i="21"/>
  <c r="BB154" i="21"/>
  <c r="BB174" i="21"/>
  <c r="BB135" i="21"/>
  <c r="BB127" i="21"/>
  <c r="BB120" i="21"/>
  <c r="BB114" i="21"/>
  <c r="BB107" i="21"/>
  <c r="BB168" i="21"/>
  <c r="BB153" i="21"/>
  <c r="BB161" i="21"/>
  <c r="BB121" i="21"/>
  <c r="BB147" i="21"/>
  <c r="BB25" i="21"/>
  <c r="BB128" i="21"/>
  <c r="BB146" i="21"/>
  <c r="BB134" i="21"/>
  <c r="BB113" i="21"/>
  <c r="BB106" i="21"/>
  <c r="BB24" i="21"/>
  <c r="FR22" i="21" l="1"/>
  <c r="BL1" i="21"/>
  <c r="BK23" i="21"/>
  <c r="BD21" i="21"/>
  <c r="BC174" i="21"/>
  <c r="BC160" i="21"/>
  <c r="BC135" i="21"/>
  <c r="BC127" i="21"/>
  <c r="BC120" i="21"/>
  <c r="BC114" i="21"/>
  <c r="BC107" i="21"/>
  <c r="BC167" i="21"/>
  <c r="BC161" i="21"/>
  <c r="BC153" i="21"/>
  <c r="BC121" i="21"/>
  <c r="BC147" i="21"/>
  <c r="BC175" i="21"/>
  <c r="BC146" i="21"/>
  <c r="BC134" i="21"/>
  <c r="BC106" i="21"/>
  <c r="BC168" i="21"/>
  <c r="BC113" i="21"/>
  <c r="BC154" i="21"/>
  <c r="BC25" i="21"/>
  <c r="BC128" i="21"/>
  <c r="BC24" i="21"/>
  <c r="FS22" i="21" l="1"/>
  <c r="BM1" i="21"/>
  <c r="BL23" i="21"/>
  <c r="BE21" i="21"/>
  <c r="BD174" i="21"/>
  <c r="BD168" i="21"/>
  <c r="BD161" i="21"/>
  <c r="BD153" i="21"/>
  <c r="BD167" i="21"/>
  <c r="BD147" i="21"/>
  <c r="BD135" i="21"/>
  <c r="BD175" i="21"/>
  <c r="BD146" i="21"/>
  <c r="BD127" i="21"/>
  <c r="BD128" i="21"/>
  <c r="BD160" i="21"/>
  <c r="BD154" i="21"/>
  <c r="BD134" i="21"/>
  <c r="BD114" i="21"/>
  <c r="BD107" i="21"/>
  <c r="BD106" i="21"/>
  <c r="BD25" i="21"/>
  <c r="BD121" i="21"/>
  <c r="BD113" i="21"/>
  <c r="BD120" i="21"/>
  <c r="BD24" i="21"/>
  <c r="FT22" i="21" l="1"/>
  <c r="BN1" i="21"/>
  <c r="BM23" i="21"/>
  <c r="BF21" i="21"/>
  <c r="BE174" i="21"/>
  <c r="BE168" i="21"/>
  <c r="BE167" i="21"/>
  <c r="BE161" i="21"/>
  <c r="BE153" i="21"/>
  <c r="BE175" i="21"/>
  <c r="BE146" i="21"/>
  <c r="BE134" i="21"/>
  <c r="BE128" i="21"/>
  <c r="BE121" i="21"/>
  <c r="BE113" i="21"/>
  <c r="BE106" i="21"/>
  <c r="BE127" i="21"/>
  <c r="BE120" i="21"/>
  <c r="BE160" i="21"/>
  <c r="BE114" i="21"/>
  <c r="BE147" i="21"/>
  <c r="BE154" i="21"/>
  <c r="BE135" i="21"/>
  <c r="BE107" i="21"/>
  <c r="BE25" i="21"/>
  <c r="BE24" i="21"/>
  <c r="FU22" i="21" l="1"/>
  <c r="BO1" i="21"/>
  <c r="BN23" i="21"/>
  <c r="BG21" i="21"/>
  <c r="BF174" i="21"/>
  <c r="BF168" i="21"/>
  <c r="BF161" i="21"/>
  <c r="BF153" i="21"/>
  <c r="BF175" i="21"/>
  <c r="BF146" i="21"/>
  <c r="BF134" i="21"/>
  <c r="BF128" i="21"/>
  <c r="BF121" i="21"/>
  <c r="BF113" i="21"/>
  <c r="BF106" i="21"/>
  <c r="BF167" i="21"/>
  <c r="BF154" i="21"/>
  <c r="BF160" i="21"/>
  <c r="BF135" i="21"/>
  <c r="BF107" i="21"/>
  <c r="BF120" i="21"/>
  <c r="BF127" i="21"/>
  <c r="BF147" i="21"/>
  <c r="BF114" i="21"/>
  <c r="BF24" i="21"/>
  <c r="BF25" i="21"/>
  <c r="FV22" i="21" l="1"/>
  <c r="BP1" i="21"/>
  <c r="BO23" i="21"/>
  <c r="BH21" i="21"/>
  <c r="BG175" i="21"/>
  <c r="BG161" i="21"/>
  <c r="BG153" i="21"/>
  <c r="BG146" i="21"/>
  <c r="BG134" i="21"/>
  <c r="BG128" i="21"/>
  <c r="BG121" i="21"/>
  <c r="BG113" i="21"/>
  <c r="BG106" i="21"/>
  <c r="BG154" i="21"/>
  <c r="BG147" i="21"/>
  <c r="BG167" i="21"/>
  <c r="BG174" i="21"/>
  <c r="BG160" i="21"/>
  <c r="BG120" i="21"/>
  <c r="BG114" i="21"/>
  <c r="BG135" i="21"/>
  <c r="BG107" i="21"/>
  <c r="BG168" i="21"/>
  <c r="BG127" i="21"/>
  <c r="BG24" i="21"/>
  <c r="BG25" i="21"/>
  <c r="FW22" i="21" l="1"/>
  <c r="BI21" i="21"/>
  <c r="BQ1" i="21"/>
  <c r="BP23" i="21"/>
  <c r="BH175" i="21"/>
  <c r="BH167" i="21"/>
  <c r="BH160" i="21"/>
  <c r="BH154" i="21"/>
  <c r="BH147" i="21"/>
  <c r="BH174" i="21"/>
  <c r="BH161" i="21"/>
  <c r="BH146" i="21"/>
  <c r="BH128" i="21"/>
  <c r="BH120" i="21"/>
  <c r="BH113" i="21"/>
  <c r="BH106" i="21"/>
  <c r="BH168" i="21"/>
  <c r="BH127" i="21"/>
  <c r="BH114" i="21"/>
  <c r="BH153" i="21"/>
  <c r="BH121" i="21"/>
  <c r="BH135" i="21"/>
  <c r="BH107" i="21"/>
  <c r="BH24" i="21"/>
  <c r="BH134" i="21"/>
  <c r="BH25" i="21"/>
  <c r="FX22" i="21" l="1"/>
  <c r="BR1" i="21"/>
  <c r="BQ23" i="21"/>
  <c r="BI120" i="21"/>
  <c r="BI154" i="21"/>
  <c r="BI153" i="21"/>
  <c r="BI127" i="21"/>
  <c r="BI175" i="21"/>
  <c r="BI161" i="21"/>
  <c r="BI160" i="21"/>
  <c r="BI106" i="21"/>
  <c r="BI167" i="21"/>
  <c r="BI134" i="21"/>
  <c r="BI168" i="21"/>
  <c r="BI128" i="21"/>
  <c r="BI135" i="21"/>
  <c r="BI146" i="21"/>
  <c r="BI147" i="21"/>
  <c r="BI113" i="21"/>
  <c r="BI114" i="21"/>
  <c r="BI107" i="21"/>
  <c r="BI174" i="21"/>
  <c r="BJ21" i="21"/>
  <c r="BI121" i="21"/>
  <c r="BI24" i="21"/>
  <c r="BI25" i="21"/>
  <c r="AW72" i="5"/>
  <c r="FY22" i="21" l="1"/>
  <c r="BJ147" i="21"/>
  <c r="BJ114" i="21"/>
  <c r="BJ154" i="21"/>
  <c r="BJ146" i="21"/>
  <c r="BJ134" i="21"/>
  <c r="BJ153" i="21"/>
  <c r="BK21" i="21"/>
  <c r="BJ127" i="21"/>
  <c r="BJ113" i="21"/>
  <c r="BJ106" i="21"/>
  <c r="BJ167" i="21"/>
  <c r="BJ107" i="21"/>
  <c r="BJ160" i="21"/>
  <c r="BJ161" i="21"/>
  <c r="BJ174" i="21"/>
  <c r="BJ128" i="21"/>
  <c r="BJ120" i="21"/>
  <c r="BJ121" i="21"/>
  <c r="BJ168" i="21"/>
  <c r="BJ175" i="21"/>
  <c r="BJ135" i="21"/>
  <c r="BJ25" i="21"/>
  <c r="BJ24" i="21"/>
  <c r="BS1" i="21"/>
  <c r="BR23" i="21"/>
  <c r="AW72" i="12"/>
  <c r="M2" i="12"/>
  <c r="E1" i="12"/>
  <c r="J6" i="12"/>
  <c r="J5" i="12"/>
  <c r="J3" i="12"/>
  <c r="J1" i="12"/>
  <c r="E6" i="12"/>
  <c r="E4" i="12"/>
  <c r="E3" i="12"/>
  <c r="E2" i="12"/>
  <c r="BK113" i="21" l="1"/>
  <c r="BK135" i="21"/>
  <c r="BK127" i="21"/>
  <c r="BK114" i="21"/>
  <c r="BK134" i="21"/>
  <c r="BK128" i="21"/>
  <c r="BK120" i="21"/>
  <c r="BK174" i="21"/>
  <c r="BK147" i="21"/>
  <c r="BK153" i="21"/>
  <c r="BK161" i="21"/>
  <c r="BK168" i="21"/>
  <c r="BK106" i="21"/>
  <c r="BK160" i="21"/>
  <c r="BL21" i="21"/>
  <c r="BK154" i="21"/>
  <c r="BK167" i="21"/>
  <c r="BK146" i="21"/>
  <c r="BK175" i="21"/>
  <c r="BK121" i="21"/>
  <c r="BK107" i="21"/>
  <c r="BK24" i="21"/>
  <c r="BK25" i="21"/>
  <c r="BT1" i="21"/>
  <c r="BS23" i="21"/>
  <c r="CC4" i="5"/>
  <c r="AS2" i="5"/>
  <c r="J2" i="12"/>
  <c r="J7" i="12"/>
  <c r="J4" i="12"/>
  <c r="E5" i="12"/>
  <c r="M171" i="12" l="1"/>
  <c r="M143" i="12"/>
  <c r="M183" i="12"/>
  <c r="M187" i="12"/>
  <c r="M189" i="12"/>
  <c r="M170" i="12"/>
  <c r="M132" i="12"/>
  <c r="M182" i="12"/>
  <c r="M137" i="12"/>
  <c r="M141" i="12"/>
  <c r="M181" i="12"/>
  <c r="M152" i="12"/>
  <c r="M133" i="12"/>
  <c r="M145" i="12"/>
  <c r="M164" i="12"/>
  <c r="U187" i="12"/>
  <c r="M188" i="12"/>
  <c r="M175" i="12"/>
  <c r="M168" i="12"/>
  <c r="M172" i="12"/>
  <c r="M136" i="12"/>
  <c r="M128" i="12"/>
  <c r="M174" i="12"/>
  <c r="U192" i="12"/>
  <c r="M179" i="12"/>
  <c r="M146" i="12"/>
  <c r="U140" i="12"/>
  <c r="M151" i="12"/>
  <c r="M155" i="12"/>
  <c r="M148" i="12"/>
  <c r="M162" i="12"/>
  <c r="M139" i="12"/>
  <c r="M185" i="12"/>
  <c r="M158" i="12"/>
  <c r="M156" i="12"/>
  <c r="M157" i="12"/>
  <c r="M177" i="12"/>
  <c r="M176" i="12"/>
  <c r="M178" i="12"/>
  <c r="M190" i="12"/>
  <c r="U151" i="12"/>
  <c r="M142" i="12"/>
  <c r="M149" i="12"/>
  <c r="M150" i="12"/>
  <c r="M191" i="12"/>
  <c r="M180" i="12"/>
  <c r="M186" i="12"/>
  <c r="M129" i="12"/>
  <c r="M173" i="12"/>
  <c r="M147" i="12"/>
  <c r="M134" i="12"/>
  <c r="M160" i="12"/>
  <c r="M165" i="12"/>
  <c r="M192" i="12"/>
  <c r="M163" i="12"/>
  <c r="M153" i="12"/>
  <c r="M131" i="12"/>
  <c r="M184" i="12"/>
  <c r="M159" i="12"/>
  <c r="M167" i="12"/>
  <c r="M140" i="12"/>
  <c r="M130" i="12"/>
  <c r="M166" i="12"/>
  <c r="M144" i="12"/>
  <c r="M135" i="12"/>
  <c r="U163" i="12"/>
  <c r="M138" i="12"/>
  <c r="M169" i="12"/>
  <c r="M154" i="12"/>
  <c r="M161" i="12"/>
  <c r="U75" i="12"/>
  <c r="M104" i="12"/>
  <c r="M112" i="12"/>
  <c r="M118" i="12"/>
  <c r="M75" i="12"/>
  <c r="M122" i="12"/>
  <c r="M102" i="12"/>
  <c r="M90" i="12"/>
  <c r="M111" i="12"/>
  <c r="M115" i="12"/>
  <c r="M91" i="12"/>
  <c r="M99" i="12"/>
  <c r="M101" i="12"/>
  <c r="U88" i="12"/>
  <c r="M79" i="12"/>
  <c r="M127" i="12"/>
  <c r="M106" i="12"/>
  <c r="M114" i="12"/>
  <c r="M88" i="12"/>
  <c r="M110" i="12"/>
  <c r="M93" i="12"/>
  <c r="M78" i="12"/>
  <c r="M94" i="12"/>
  <c r="M120" i="12"/>
  <c r="M77" i="12"/>
  <c r="U89" i="12"/>
  <c r="M124" i="12"/>
  <c r="M123" i="12"/>
  <c r="M84" i="12"/>
  <c r="M108" i="12"/>
  <c r="M96" i="12"/>
  <c r="M126" i="12"/>
  <c r="M82" i="12"/>
  <c r="M98" i="12"/>
  <c r="M89" i="12"/>
  <c r="M105" i="12"/>
  <c r="U117" i="12"/>
  <c r="M97" i="12"/>
  <c r="M117" i="12"/>
  <c r="M113" i="12"/>
  <c r="M74" i="12"/>
  <c r="M103" i="12"/>
  <c r="M85" i="12"/>
  <c r="M86" i="12"/>
  <c r="M107" i="12"/>
  <c r="M109" i="12"/>
  <c r="M100" i="12"/>
  <c r="M76" i="12"/>
  <c r="U87" i="12"/>
  <c r="M116" i="12"/>
  <c r="M83" i="12"/>
  <c r="M81" i="12"/>
  <c r="M73" i="12"/>
  <c r="M80" i="12"/>
  <c r="M95" i="12"/>
  <c r="M87" i="12"/>
  <c r="M121" i="12"/>
  <c r="M125" i="12"/>
  <c r="M119" i="12"/>
  <c r="M92" i="12"/>
  <c r="U92" i="12"/>
  <c r="U62" i="12"/>
  <c r="M68" i="12"/>
  <c r="M71" i="12"/>
  <c r="M64" i="12"/>
  <c r="M58" i="12"/>
  <c r="M51" i="12"/>
  <c r="U56" i="12"/>
  <c r="M67" i="12"/>
  <c r="M56" i="12"/>
  <c r="M53" i="12"/>
  <c r="M50" i="12"/>
  <c r="M60" i="12"/>
  <c r="U68" i="12"/>
  <c r="M65" i="12"/>
  <c r="M59" i="12"/>
  <c r="M49" i="12"/>
  <c r="M48" i="12"/>
  <c r="U70" i="12"/>
  <c r="M66" i="12"/>
  <c r="U61" i="12"/>
  <c r="M63" i="12"/>
  <c r="M57" i="12"/>
  <c r="M61" i="12"/>
  <c r="M62" i="12"/>
  <c r="U52" i="12"/>
  <c r="U69" i="12"/>
  <c r="U72" i="12"/>
  <c r="M52" i="12"/>
  <c r="M54" i="12"/>
  <c r="M55" i="12"/>
  <c r="M69" i="12"/>
  <c r="M72" i="12"/>
  <c r="M70" i="12"/>
  <c r="U66" i="12"/>
  <c r="U63" i="12"/>
  <c r="U53" i="12"/>
  <c r="V5" i="12"/>
  <c r="V4" i="12"/>
  <c r="U182" i="12" s="1"/>
  <c r="V3" i="12"/>
  <c r="V167" i="12"/>
  <c r="V143" i="12"/>
  <c r="V134" i="12"/>
  <c r="V150" i="12"/>
  <c r="V159" i="12"/>
  <c r="V179" i="12"/>
  <c r="V184" i="12"/>
  <c r="V188" i="12"/>
  <c r="V135" i="12"/>
  <c r="V129" i="12"/>
  <c r="V178" i="12"/>
  <c r="V142" i="12"/>
  <c r="V165" i="12"/>
  <c r="V138" i="12"/>
  <c r="V132" i="12"/>
  <c r="V186" i="12"/>
  <c r="V140" i="12"/>
  <c r="V157" i="12"/>
  <c r="V144" i="12"/>
  <c r="V177" i="12"/>
  <c r="V175" i="12"/>
  <c r="V174" i="12"/>
  <c r="V152" i="12"/>
  <c r="V151" i="12"/>
  <c r="V164" i="12"/>
  <c r="V139" i="12"/>
  <c r="V169" i="12"/>
  <c r="V162" i="12"/>
  <c r="V166" i="12"/>
  <c r="V172" i="12"/>
  <c r="V168" i="12"/>
  <c r="V131" i="12"/>
  <c r="V173" i="12"/>
  <c r="V130" i="12"/>
  <c r="V149" i="12"/>
  <c r="V148" i="12"/>
  <c r="V136" i="12"/>
  <c r="V146" i="12"/>
  <c r="V154" i="12"/>
  <c r="V133" i="12"/>
  <c r="V191" i="12"/>
  <c r="V180" i="12"/>
  <c r="V155" i="12"/>
  <c r="V147" i="12"/>
  <c r="V187" i="12"/>
  <c r="V176" i="12"/>
  <c r="V128" i="12"/>
  <c r="V182" i="12"/>
  <c r="V170" i="12"/>
  <c r="V189" i="12"/>
  <c r="V185" i="12"/>
  <c r="V141" i="12"/>
  <c r="V158" i="12"/>
  <c r="V153" i="12"/>
  <c r="V145" i="12"/>
  <c r="V190" i="12"/>
  <c r="V192" i="12"/>
  <c r="V183" i="12"/>
  <c r="V161" i="12"/>
  <c r="V171" i="12"/>
  <c r="V181" i="12"/>
  <c r="V137" i="12"/>
  <c r="V160" i="12"/>
  <c r="V163" i="12"/>
  <c r="V156" i="12"/>
  <c r="BM44" i="4"/>
  <c r="BM78" i="4" s="1"/>
  <c r="BM45" i="4"/>
  <c r="V90" i="12"/>
  <c r="V74" i="12"/>
  <c r="V97" i="12"/>
  <c r="V81" i="12"/>
  <c r="V84" i="12"/>
  <c r="V119" i="12"/>
  <c r="V106" i="12"/>
  <c r="V127" i="12"/>
  <c r="V91" i="12"/>
  <c r="V104" i="12"/>
  <c r="V86" i="12"/>
  <c r="V83" i="12"/>
  <c r="V126" i="12"/>
  <c r="V121" i="12"/>
  <c r="V122" i="12"/>
  <c r="V118" i="12"/>
  <c r="V111" i="12"/>
  <c r="V89" i="12"/>
  <c r="V85" i="12"/>
  <c r="V112" i="12"/>
  <c r="V124" i="12"/>
  <c r="V87" i="12"/>
  <c r="V82" i="12"/>
  <c r="V93" i="12"/>
  <c r="V103" i="12"/>
  <c r="V114" i="12"/>
  <c r="V117" i="12"/>
  <c r="V79" i="12"/>
  <c r="V107" i="12"/>
  <c r="V88" i="12"/>
  <c r="V99" i="12"/>
  <c r="V102" i="12"/>
  <c r="V109" i="12"/>
  <c r="V120" i="12"/>
  <c r="V95" i="12"/>
  <c r="V76" i="12"/>
  <c r="V100" i="12"/>
  <c r="V115" i="12"/>
  <c r="V108" i="12"/>
  <c r="V96" i="12"/>
  <c r="V105" i="12"/>
  <c r="V92" i="12"/>
  <c r="V77" i="12"/>
  <c r="V125" i="12"/>
  <c r="V123" i="12"/>
  <c r="V116" i="12"/>
  <c r="V78" i="12"/>
  <c r="V113" i="12"/>
  <c r="V75" i="12"/>
  <c r="V73" i="12"/>
  <c r="V80" i="12"/>
  <c r="V98" i="12"/>
  <c r="V110" i="12"/>
  <c r="V94" i="12"/>
  <c r="V101" i="12"/>
  <c r="BU1" i="21"/>
  <c r="BT23" i="21"/>
  <c r="BL174" i="21"/>
  <c r="BL167" i="21"/>
  <c r="BL113" i="21"/>
  <c r="BL128" i="21"/>
  <c r="BL160" i="21"/>
  <c r="BL175" i="21"/>
  <c r="BL161" i="21"/>
  <c r="BM21" i="21"/>
  <c r="BL121" i="21"/>
  <c r="BL146" i="21"/>
  <c r="BL127" i="21"/>
  <c r="BL154" i="21"/>
  <c r="BL135" i="21"/>
  <c r="BL120" i="21"/>
  <c r="BL134" i="21"/>
  <c r="BL106" i="21"/>
  <c r="BL107" i="21"/>
  <c r="BL168" i="21"/>
  <c r="BL114" i="21"/>
  <c r="BL147" i="21"/>
  <c r="BL153" i="21"/>
  <c r="BL24" i="21"/>
  <c r="BL25" i="21"/>
  <c r="AP7" i="12"/>
  <c r="AS7" i="12"/>
  <c r="AU7" i="12"/>
  <c r="AI7" i="12"/>
  <c r="AK7" i="12"/>
  <c r="AM7" i="12"/>
  <c r="AN7" i="12"/>
  <c r="AQ7" i="12"/>
  <c r="AV7" i="12"/>
  <c r="AJ7" i="12"/>
  <c r="AL7" i="12"/>
  <c r="AR7" i="12"/>
  <c r="AW7" i="12"/>
  <c r="U49" i="12" l="1"/>
  <c r="U95" i="12"/>
  <c r="U98" i="12"/>
  <c r="U114" i="12"/>
  <c r="U118" i="12"/>
  <c r="U177" i="12"/>
  <c r="U170" i="12"/>
  <c r="U128" i="12"/>
  <c r="U183" i="12"/>
  <c r="CG74" i="4"/>
  <c r="BU74" i="4"/>
  <c r="CL73" i="4"/>
  <c r="BZ73" i="4"/>
  <c r="CQ72" i="4"/>
  <c r="CQ106" i="4" s="1"/>
  <c r="CE72" i="4"/>
  <c r="BS72" i="4"/>
  <c r="CJ71" i="4"/>
  <c r="BX71" i="4"/>
  <c r="CO70" i="4"/>
  <c r="CO104" i="4" s="1"/>
  <c r="CC70" i="4"/>
  <c r="BQ70" i="4"/>
  <c r="CH69" i="4"/>
  <c r="BV69" i="4"/>
  <c r="CM68" i="4"/>
  <c r="CM102" i="4" s="1"/>
  <c r="CA68" i="4"/>
  <c r="CR67" i="4"/>
  <c r="CR101" i="4" s="1"/>
  <c r="CF67" i="4"/>
  <c r="BT67" i="4"/>
  <c r="CK66" i="4"/>
  <c r="CK100" i="4" s="1"/>
  <c r="BY66" i="4"/>
  <c r="CP65" i="4"/>
  <c r="CP99" i="4" s="1"/>
  <c r="CD65" i="4"/>
  <c r="BR65" i="4"/>
  <c r="CI64" i="4"/>
  <c r="CI98" i="4" s="1"/>
  <c r="BW64" i="4"/>
  <c r="CN63" i="4"/>
  <c r="CN97" i="4" s="1"/>
  <c r="CB63" i="4"/>
  <c r="BP63" i="4"/>
  <c r="CG62" i="4"/>
  <c r="CG96" i="4" s="1"/>
  <c r="BU62" i="4"/>
  <c r="CL61" i="4"/>
  <c r="CL95" i="4" s="1"/>
  <c r="BZ61" i="4"/>
  <c r="CQ60" i="4"/>
  <c r="CQ94" i="4" s="1"/>
  <c r="CE60" i="4"/>
  <c r="CE94" i="4" s="1"/>
  <c r="BS60" i="4"/>
  <c r="CJ59" i="4"/>
  <c r="CJ93" i="4" s="1"/>
  <c r="BX59" i="4"/>
  <c r="CO58" i="4"/>
  <c r="CO92" i="4" s="1"/>
  <c r="CC58" i="4"/>
  <c r="CC92" i="4" s="1"/>
  <c r="BQ58" i="4"/>
  <c r="CH57" i="4"/>
  <c r="CH91" i="4" s="1"/>
  <c r="BV57" i="4"/>
  <c r="CM56" i="4"/>
  <c r="CM90" i="4" s="1"/>
  <c r="CA56" i="4"/>
  <c r="CA90" i="4" s="1"/>
  <c r="CR55" i="4"/>
  <c r="CR89" i="4" s="1"/>
  <c r="CF55" i="4"/>
  <c r="CF89" i="4" s="1"/>
  <c r="BT55" i="4"/>
  <c r="CK54" i="4"/>
  <c r="CK88" i="4" s="1"/>
  <c r="BY54" i="4"/>
  <c r="BY88" i="4" s="1"/>
  <c r="CP53" i="4"/>
  <c r="CP87" i="4" s="1"/>
  <c r="CD53" i="4"/>
  <c r="CD87" i="4" s="1"/>
  <c r="BR53" i="4"/>
  <c r="CI52" i="4"/>
  <c r="CI86" i="4" s="1"/>
  <c r="BW52" i="4"/>
  <c r="BW86" i="4" s="1"/>
  <c r="CN51" i="4"/>
  <c r="CN85" i="4" s="1"/>
  <c r="CB51" i="4"/>
  <c r="CB85" i="4" s="1"/>
  <c r="BP51" i="4"/>
  <c r="CG50" i="4"/>
  <c r="CG84" i="4" s="1"/>
  <c r="BU50" i="4"/>
  <c r="BU84" i="4" s="1"/>
  <c r="CL49" i="4"/>
  <c r="CL83" i="4" s="1"/>
  <c r="BZ49" i="4"/>
  <c r="BZ83" i="4" s="1"/>
  <c r="CQ48" i="4"/>
  <c r="CQ82" i="4" s="1"/>
  <c r="CE48" i="4"/>
  <c r="CE82" i="4" s="1"/>
  <c r="BS48" i="4"/>
  <c r="BS82" i="4" s="1"/>
  <c r="CJ47" i="4"/>
  <c r="CJ81" i="4" s="1"/>
  <c r="BX47" i="4"/>
  <c r="BX81" i="4" s="1"/>
  <c r="CO46" i="4"/>
  <c r="CO80" i="4" s="1"/>
  <c r="CC46" i="4"/>
  <c r="CC80" i="4" s="1"/>
  <c r="BQ46" i="4"/>
  <c r="BQ80" i="4" s="1"/>
  <c r="CG45" i="4"/>
  <c r="CG79" i="4" s="1"/>
  <c r="BU45" i="4"/>
  <c r="BU79" i="4" s="1"/>
  <c r="CL44" i="4"/>
  <c r="CL78" i="4" s="1"/>
  <c r="BZ44" i="4"/>
  <c r="CR74" i="4"/>
  <c r="CF74" i="4"/>
  <c r="BT74" i="4"/>
  <c r="CK73" i="4"/>
  <c r="BY73" i="4"/>
  <c r="CP72" i="4"/>
  <c r="CD72" i="4"/>
  <c r="BR72" i="4"/>
  <c r="CI71" i="4"/>
  <c r="BW71" i="4"/>
  <c r="CN70" i="4"/>
  <c r="CB70" i="4"/>
  <c r="BP70" i="4"/>
  <c r="CG69" i="4"/>
  <c r="BU69" i="4"/>
  <c r="CL68" i="4"/>
  <c r="BZ68" i="4"/>
  <c r="CQ67" i="4"/>
  <c r="CQ101" i="4" s="1"/>
  <c r="CE67" i="4"/>
  <c r="BS67" i="4"/>
  <c r="CJ66" i="4"/>
  <c r="BX66" i="4"/>
  <c r="CO65" i="4"/>
  <c r="CO99" i="4" s="1"/>
  <c r="CC65" i="4"/>
  <c r="BQ65" i="4"/>
  <c r="CH64" i="4"/>
  <c r="BV64" i="4"/>
  <c r="CM63" i="4"/>
  <c r="CM97" i="4" s="1"/>
  <c r="CA63" i="4"/>
  <c r="CR62" i="4"/>
  <c r="CR96" i="4" s="1"/>
  <c r="CF62" i="4"/>
  <c r="BT62" i="4"/>
  <c r="CK61" i="4"/>
  <c r="CK95" i="4" s="1"/>
  <c r="BY61" i="4"/>
  <c r="CP60" i="4"/>
  <c r="CP94" i="4" s="1"/>
  <c r="CD60" i="4"/>
  <c r="BR60" i="4"/>
  <c r="CI59" i="4"/>
  <c r="CI93" i="4" s="1"/>
  <c r="BW59" i="4"/>
  <c r="CN58" i="4"/>
  <c r="CN92" i="4" s="1"/>
  <c r="CB58" i="4"/>
  <c r="BP58" i="4"/>
  <c r="CG57" i="4"/>
  <c r="CG91" i="4" s="1"/>
  <c r="BU57" i="4"/>
  <c r="CL56" i="4"/>
  <c r="CL90" i="4" s="1"/>
  <c r="BZ56" i="4"/>
  <c r="CQ55" i="4"/>
  <c r="CQ89" i="4" s="1"/>
  <c r="CE55" i="4"/>
  <c r="CE89" i="4" s="1"/>
  <c r="BS55" i="4"/>
  <c r="CJ54" i="4"/>
  <c r="CJ88" i="4" s="1"/>
  <c r="BX54" i="4"/>
  <c r="CO53" i="4"/>
  <c r="CO87" i="4" s="1"/>
  <c r="CC53" i="4"/>
  <c r="CC87" i="4" s="1"/>
  <c r="BQ53" i="4"/>
  <c r="CH52" i="4"/>
  <c r="CH86" i="4" s="1"/>
  <c r="BV52" i="4"/>
  <c r="CM51" i="4"/>
  <c r="CM85" i="4" s="1"/>
  <c r="CA51" i="4"/>
  <c r="CA85" i="4" s="1"/>
  <c r="CR50" i="4"/>
  <c r="CR84" i="4" s="1"/>
  <c r="CF50" i="4"/>
  <c r="CF84" i="4" s="1"/>
  <c r="BT50" i="4"/>
  <c r="CK49" i="4"/>
  <c r="CK83" i="4" s="1"/>
  <c r="BY49" i="4"/>
  <c r="BY83" i="4" s="1"/>
  <c r="CP48" i="4"/>
  <c r="CP82" i="4" s="1"/>
  <c r="CD48" i="4"/>
  <c r="CD82" i="4" s="1"/>
  <c r="BR48" i="4"/>
  <c r="CI47" i="4"/>
  <c r="CI81" i="4" s="1"/>
  <c r="BW47" i="4"/>
  <c r="BW81" i="4" s="1"/>
  <c r="CN46" i="4"/>
  <c r="CN80" i="4" s="1"/>
  <c r="CB46" i="4"/>
  <c r="CB80" i="4" s="1"/>
  <c r="CR45" i="4"/>
  <c r="CR79" i="4" s="1"/>
  <c r="CF45" i="4"/>
  <c r="CF79" i="4" s="1"/>
  <c r="BT45" i="4"/>
  <c r="BT79" i="4" s="1"/>
  <c r="CK44" i="4"/>
  <c r="CK78" i="4" s="1"/>
  <c r="BY44" i="4"/>
  <c r="CQ74" i="4"/>
  <c r="CE74" i="4"/>
  <c r="BS74" i="4"/>
  <c r="CJ73" i="4"/>
  <c r="BX73" i="4"/>
  <c r="CO72" i="4"/>
  <c r="CC72" i="4"/>
  <c r="BQ72" i="4"/>
  <c r="CH71" i="4"/>
  <c r="BV71" i="4"/>
  <c r="CM70" i="4"/>
  <c r="CA70" i="4"/>
  <c r="CR69" i="4"/>
  <c r="CR103" i="4" s="1"/>
  <c r="CF69" i="4"/>
  <c r="BT69" i="4"/>
  <c r="CK68" i="4"/>
  <c r="BY68" i="4"/>
  <c r="CP67" i="4"/>
  <c r="CP101" i="4" s="1"/>
  <c r="CD67" i="4"/>
  <c r="BR67" i="4"/>
  <c r="CI66" i="4"/>
  <c r="BW66" i="4"/>
  <c r="CN65" i="4"/>
  <c r="CN99" i="4" s="1"/>
  <c r="CB65" i="4"/>
  <c r="BP65" i="4"/>
  <c r="CG64" i="4"/>
  <c r="BU64" i="4"/>
  <c r="CL63" i="4"/>
  <c r="CL97" i="4" s="1"/>
  <c r="BZ63" i="4"/>
  <c r="CQ62" i="4"/>
  <c r="CQ96" i="4" s="1"/>
  <c r="CE62" i="4"/>
  <c r="BS62" i="4"/>
  <c r="CJ61" i="4"/>
  <c r="CJ95" i="4" s="1"/>
  <c r="BX61" i="4"/>
  <c r="CO60" i="4"/>
  <c r="CO94" i="4" s="1"/>
  <c r="CC60" i="4"/>
  <c r="BQ60" i="4"/>
  <c r="CH59" i="4"/>
  <c r="CH93" i="4" s="1"/>
  <c r="BV59" i="4"/>
  <c r="CM58" i="4"/>
  <c r="CM92" i="4" s="1"/>
  <c r="CA58" i="4"/>
  <c r="CR57" i="4"/>
  <c r="CR91" i="4" s="1"/>
  <c r="CF57" i="4"/>
  <c r="CF91" i="4" s="1"/>
  <c r="BT57" i="4"/>
  <c r="CK56" i="4"/>
  <c r="CK90" i="4" s="1"/>
  <c r="BY56" i="4"/>
  <c r="CP55" i="4"/>
  <c r="CP89" i="4" s="1"/>
  <c r="CD55" i="4"/>
  <c r="CD89" i="4" s="1"/>
  <c r="BR55" i="4"/>
  <c r="CI54" i="4"/>
  <c r="CI88" i="4" s="1"/>
  <c r="BW54" i="4"/>
  <c r="CN53" i="4"/>
  <c r="CN87" i="4" s="1"/>
  <c r="CB53" i="4"/>
  <c r="CB87" i="4" s="1"/>
  <c r="BP53" i="4"/>
  <c r="CG52" i="4"/>
  <c r="CG86" i="4" s="1"/>
  <c r="BU52" i="4"/>
  <c r="CL51" i="4"/>
  <c r="CL85" i="4" s="1"/>
  <c r="BZ51" i="4"/>
  <c r="BZ85" i="4" s="1"/>
  <c r="CQ50" i="4"/>
  <c r="CQ84" i="4" s="1"/>
  <c r="CE50" i="4"/>
  <c r="CE84" i="4" s="1"/>
  <c r="BS50" i="4"/>
  <c r="CJ49" i="4"/>
  <c r="CJ83" i="4" s="1"/>
  <c r="BX49" i="4"/>
  <c r="BX83" i="4" s="1"/>
  <c r="CO48" i="4"/>
  <c r="CO82" i="4" s="1"/>
  <c r="CC48" i="4"/>
  <c r="CC82" i="4" s="1"/>
  <c r="BQ48" i="4"/>
  <c r="CH47" i="4"/>
  <c r="CH81" i="4" s="1"/>
  <c r="BV47" i="4"/>
  <c r="BV81" i="4" s="1"/>
  <c r="CM46" i="4"/>
  <c r="CM80" i="4" s="1"/>
  <c r="CA46" i="4"/>
  <c r="CA80" i="4" s="1"/>
  <c r="CQ45" i="4"/>
  <c r="CQ79" i="4" s="1"/>
  <c r="CE45" i="4"/>
  <c r="CE79" i="4" s="1"/>
  <c r="BS45" i="4"/>
  <c r="BS79" i="4" s="1"/>
  <c r="CJ44" i="4"/>
  <c r="CJ78" i="4" s="1"/>
  <c r="BX44" i="4"/>
  <c r="CP74" i="4"/>
  <c r="CD74" i="4"/>
  <c r="BR74" i="4"/>
  <c r="CI73" i="4"/>
  <c r="BW73" i="4"/>
  <c r="CN72" i="4"/>
  <c r="CB72" i="4"/>
  <c r="BP72" i="4"/>
  <c r="CG71" i="4"/>
  <c r="BU71" i="4"/>
  <c r="CL70" i="4"/>
  <c r="BZ70" i="4"/>
  <c r="CQ69" i="4"/>
  <c r="CQ103" i="4" s="1"/>
  <c r="CE69" i="4"/>
  <c r="BS69" i="4"/>
  <c r="CJ68" i="4"/>
  <c r="BX68" i="4"/>
  <c r="CO67" i="4"/>
  <c r="CO101" i="4" s="1"/>
  <c r="CC67" i="4"/>
  <c r="BQ67" i="4"/>
  <c r="CH66" i="4"/>
  <c r="BV66" i="4"/>
  <c r="CM65" i="4"/>
  <c r="CM99" i="4" s="1"/>
  <c r="CA65" i="4"/>
  <c r="CR64" i="4"/>
  <c r="CR98" i="4" s="1"/>
  <c r="CF64" i="4"/>
  <c r="BT64" i="4"/>
  <c r="CK63" i="4"/>
  <c r="CK97" i="4" s="1"/>
  <c r="BY63" i="4"/>
  <c r="CP62" i="4"/>
  <c r="CP96" i="4" s="1"/>
  <c r="CD62" i="4"/>
  <c r="BR62" i="4"/>
  <c r="CI61" i="4"/>
  <c r="CI95" i="4" s="1"/>
  <c r="BW61" i="4"/>
  <c r="CN60" i="4"/>
  <c r="CN94" i="4" s="1"/>
  <c r="CB60" i="4"/>
  <c r="BP60" i="4"/>
  <c r="CG59" i="4"/>
  <c r="CG93" i="4" s="1"/>
  <c r="BU59" i="4"/>
  <c r="CL58" i="4"/>
  <c r="CL92" i="4" s="1"/>
  <c r="BZ58" i="4"/>
  <c r="CQ57" i="4"/>
  <c r="CQ91" i="4" s="1"/>
  <c r="CE57" i="4"/>
  <c r="CE91" i="4" s="1"/>
  <c r="BS57" i="4"/>
  <c r="CJ56" i="4"/>
  <c r="CJ90" i="4" s="1"/>
  <c r="BX56" i="4"/>
  <c r="CO55" i="4"/>
  <c r="CO89" i="4" s="1"/>
  <c r="CC55" i="4"/>
  <c r="CC89" i="4" s="1"/>
  <c r="BQ55" i="4"/>
  <c r="CH54" i="4"/>
  <c r="CH88" i="4" s="1"/>
  <c r="BV54" i="4"/>
  <c r="CM53" i="4"/>
  <c r="CM87" i="4" s="1"/>
  <c r="CA53" i="4"/>
  <c r="CA87" i="4" s="1"/>
  <c r="CR52" i="4"/>
  <c r="CR86" i="4" s="1"/>
  <c r="CF52" i="4"/>
  <c r="CF86" i="4" s="1"/>
  <c r="BT52" i="4"/>
  <c r="CK51" i="4"/>
  <c r="CK85" i="4" s="1"/>
  <c r="BY51" i="4"/>
  <c r="BY85" i="4" s="1"/>
  <c r="CP50" i="4"/>
  <c r="CP84" i="4" s="1"/>
  <c r="CD50" i="4"/>
  <c r="CD84" i="4" s="1"/>
  <c r="BR50" i="4"/>
  <c r="CI49" i="4"/>
  <c r="CI83" i="4" s="1"/>
  <c r="BW49" i="4"/>
  <c r="BW83" i="4" s="1"/>
  <c r="CN48" i="4"/>
  <c r="CN82" i="4" s="1"/>
  <c r="CB48" i="4"/>
  <c r="CB82" i="4" s="1"/>
  <c r="BP48" i="4"/>
  <c r="CG47" i="4"/>
  <c r="CG81" i="4" s="1"/>
  <c r="BU47" i="4"/>
  <c r="BU81" i="4" s="1"/>
  <c r="CL46" i="4"/>
  <c r="CL80" i="4" s="1"/>
  <c r="BZ46" i="4"/>
  <c r="BZ80" i="4" s="1"/>
  <c r="CP45" i="4"/>
  <c r="CP79" i="4" s="1"/>
  <c r="CD45" i="4"/>
  <c r="CD79" i="4" s="1"/>
  <c r="BR45" i="4"/>
  <c r="BR79" i="4" s="1"/>
  <c r="CI44" i="4"/>
  <c r="CI78" i="4" s="1"/>
  <c r="BW44" i="4"/>
  <c r="CO74" i="4"/>
  <c r="CC74" i="4"/>
  <c r="BQ74" i="4"/>
  <c r="CH73" i="4"/>
  <c r="BV73" i="4"/>
  <c r="CM72" i="4"/>
  <c r="CA72" i="4"/>
  <c r="CR71" i="4"/>
  <c r="CR105" i="4" s="1"/>
  <c r="CF71" i="4"/>
  <c r="BT71" i="4"/>
  <c r="CK70" i="4"/>
  <c r="BY70" i="4"/>
  <c r="CP69" i="4"/>
  <c r="CP103" i="4" s="1"/>
  <c r="CD69" i="4"/>
  <c r="BR69" i="4"/>
  <c r="CI68" i="4"/>
  <c r="BW68" i="4"/>
  <c r="CN67" i="4"/>
  <c r="CN101" i="4" s="1"/>
  <c r="CB67" i="4"/>
  <c r="BP67" i="4"/>
  <c r="CG66" i="4"/>
  <c r="BU66" i="4"/>
  <c r="CL65" i="4"/>
  <c r="CL99" i="4" s="1"/>
  <c r="BZ65" i="4"/>
  <c r="CQ64" i="4"/>
  <c r="CQ98" i="4" s="1"/>
  <c r="CE64" i="4"/>
  <c r="BS64" i="4"/>
  <c r="CJ63" i="4"/>
  <c r="CJ97" i="4" s="1"/>
  <c r="BX63" i="4"/>
  <c r="CO62" i="4"/>
  <c r="CO96" i="4" s="1"/>
  <c r="CC62" i="4"/>
  <c r="BQ62" i="4"/>
  <c r="CH61" i="4"/>
  <c r="CH95" i="4" s="1"/>
  <c r="BV61" i="4"/>
  <c r="CM60" i="4"/>
  <c r="CM94" i="4" s="1"/>
  <c r="CA60" i="4"/>
  <c r="CR59" i="4"/>
  <c r="CR93" i="4" s="1"/>
  <c r="CF59" i="4"/>
  <c r="CF93" i="4" s="1"/>
  <c r="BT59" i="4"/>
  <c r="CK58" i="4"/>
  <c r="CK92" i="4" s="1"/>
  <c r="BY58" i="4"/>
  <c r="CP57" i="4"/>
  <c r="CP91" i="4" s="1"/>
  <c r="CD57" i="4"/>
  <c r="CD91" i="4" s="1"/>
  <c r="BR57" i="4"/>
  <c r="CI56" i="4"/>
  <c r="CI90" i="4" s="1"/>
  <c r="BW56" i="4"/>
  <c r="CN55" i="4"/>
  <c r="CN89" i="4" s="1"/>
  <c r="CB55" i="4"/>
  <c r="CB89" i="4" s="1"/>
  <c r="BP55" i="4"/>
  <c r="CG54" i="4"/>
  <c r="CG88" i="4" s="1"/>
  <c r="BU54" i="4"/>
  <c r="CL53" i="4"/>
  <c r="CL87" i="4" s="1"/>
  <c r="BZ53" i="4"/>
  <c r="BZ87" i="4" s="1"/>
  <c r="CQ52" i="4"/>
  <c r="CQ86" i="4" s="1"/>
  <c r="CE52" i="4"/>
  <c r="CE86" i="4" s="1"/>
  <c r="BS52" i="4"/>
  <c r="CJ51" i="4"/>
  <c r="CJ85" i="4" s="1"/>
  <c r="BX51" i="4"/>
  <c r="BX85" i="4" s="1"/>
  <c r="CO50" i="4"/>
  <c r="CO84" i="4" s="1"/>
  <c r="CC50" i="4"/>
  <c r="CC84" i="4" s="1"/>
  <c r="BQ50" i="4"/>
  <c r="CH49" i="4"/>
  <c r="CH83" i="4" s="1"/>
  <c r="BV49" i="4"/>
  <c r="BV83" i="4" s="1"/>
  <c r="CM48" i="4"/>
  <c r="CM82" i="4" s="1"/>
  <c r="CA48" i="4"/>
  <c r="CA82" i="4" s="1"/>
  <c r="CR47" i="4"/>
  <c r="CR81" i="4" s="1"/>
  <c r="CF47" i="4"/>
  <c r="CF81" i="4" s="1"/>
  <c r="BT47" i="4"/>
  <c r="BT81" i="4" s="1"/>
  <c r="CK46" i="4"/>
  <c r="CK80" i="4" s="1"/>
  <c r="BY46" i="4"/>
  <c r="BY80" i="4" s="1"/>
  <c r="CO45" i="4"/>
  <c r="CO79" i="4" s="1"/>
  <c r="CC45" i="4"/>
  <c r="CC79" i="4" s="1"/>
  <c r="BQ45" i="4"/>
  <c r="BQ79" i="4" s="1"/>
  <c r="CH44" i="4"/>
  <c r="CH78" i="4" s="1"/>
  <c r="BV44" i="4"/>
  <c r="CN74" i="4"/>
  <c r="CB74" i="4"/>
  <c r="BP74" i="4"/>
  <c r="CG73" i="4"/>
  <c r="BU73" i="4"/>
  <c r="CL72" i="4"/>
  <c r="BZ72" i="4"/>
  <c r="CQ71" i="4"/>
  <c r="CQ105" i="4" s="1"/>
  <c r="CE71" i="4"/>
  <c r="BS71" i="4"/>
  <c r="CJ70" i="4"/>
  <c r="BX70" i="4"/>
  <c r="CO69" i="4"/>
  <c r="CO103" i="4" s="1"/>
  <c r="CC69" i="4"/>
  <c r="BQ69" i="4"/>
  <c r="CH68" i="4"/>
  <c r="BV68" i="4"/>
  <c r="CM67" i="4"/>
  <c r="CM101" i="4" s="1"/>
  <c r="CA67" i="4"/>
  <c r="CR66" i="4"/>
  <c r="CR100" i="4" s="1"/>
  <c r="CF66" i="4"/>
  <c r="BT66" i="4"/>
  <c r="CK65" i="4"/>
  <c r="CK99" i="4" s="1"/>
  <c r="BY65" i="4"/>
  <c r="CP64" i="4"/>
  <c r="CP98" i="4" s="1"/>
  <c r="CD64" i="4"/>
  <c r="BR64" i="4"/>
  <c r="CI63" i="4"/>
  <c r="CI97" i="4" s="1"/>
  <c r="BW63" i="4"/>
  <c r="CN62" i="4"/>
  <c r="CN96" i="4" s="1"/>
  <c r="CB62" i="4"/>
  <c r="BP62" i="4"/>
  <c r="CG61" i="4"/>
  <c r="CG95" i="4" s="1"/>
  <c r="BU61" i="4"/>
  <c r="CL60" i="4"/>
  <c r="CL94" i="4" s="1"/>
  <c r="BZ60" i="4"/>
  <c r="CQ59" i="4"/>
  <c r="CQ93" i="4" s="1"/>
  <c r="CE59" i="4"/>
  <c r="CE93" i="4" s="1"/>
  <c r="BS59" i="4"/>
  <c r="CJ58" i="4"/>
  <c r="CJ92" i="4" s="1"/>
  <c r="BX58" i="4"/>
  <c r="CO57" i="4"/>
  <c r="CO91" i="4" s="1"/>
  <c r="CC57" i="4"/>
  <c r="CC91" i="4" s="1"/>
  <c r="BQ57" i="4"/>
  <c r="CH56" i="4"/>
  <c r="CH90" i="4" s="1"/>
  <c r="BV56" i="4"/>
  <c r="CM55" i="4"/>
  <c r="CM89" i="4" s="1"/>
  <c r="CA55" i="4"/>
  <c r="CA89" i="4" s="1"/>
  <c r="CR54" i="4"/>
  <c r="CR88" i="4" s="1"/>
  <c r="CF54" i="4"/>
  <c r="CF88" i="4" s="1"/>
  <c r="BT54" i="4"/>
  <c r="CK53" i="4"/>
  <c r="CK87" i="4" s="1"/>
  <c r="BY53" i="4"/>
  <c r="BY87" i="4" s="1"/>
  <c r="CP52" i="4"/>
  <c r="CP86" i="4" s="1"/>
  <c r="CD52" i="4"/>
  <c r="CD86" i="4" s="1"/>
  <c r="BR52" i="4"/>
  <c r="CI51" i="4"/>
  <c r="CI85" i="4" s="1"/>
  <c r="BW51" i="4"/>
  <c r="BW85" i="4" s="1"/>
  <c r="CN50" i="4"/>
  <c r="CN84" i="4" s="1"/>
  <c r="CB50" i="4"/>
  <c r="CB84" i="4" s="1"/>
  <c r="BP50" i="4"/>
  <c r="CG49" i="4"/>
  <c r="CG83" i="4" s="1"/>
  <c r="BU49" i="4"/>
  <c r="BU83" i="4" s="1"/>
  <c r="CL48" i="4"/>
  <c r="CL82" i="4" s="1"/>
  <c r="BZ48" i="4"/>
  <c r="BZ82" i="4" s="1"/>
  <c r="CQ47" i="4"/>
  <c r="CQ81" i="4" s="1"/>
  <c r="CE47" i="4"/>
  <c r="CE81" i="4" s="1"/>
  <c r="BS47" i="4"/>
  <c r="BS81" i="4" s="1"/>
  <c r="CJ46" i="4"/>
  <c r="CJ80" i="4" s="1"/>
  <c r="BX46" i="4"/>
  <c r="BX80" i="4" s="1"/>
  <c r="CN45" i="4"/>
  <c r="CN79" i="4" s="1"/>
  <c r="CB45" i="4"/>
  <c r="CB79" i="4" s="1"/>
  <c r="BP45" i="4"/>
  <c r="BP79" i="4" s="1"/>
  <c r="CG44" i="4"/>
  <c r="CG78" i="4" s="1"/>
  <c r="BU44" i="4"/>
  <c r="CM74" i="4"/>
  <c r="CA74" i="4"/>
  <c r="CR73" i="4"/>
  <c r="CR107" i="4" s="1"/>
  <c r="CF73" i="4"/>
  <c r="BT73" i="4"/>
  <c r="CK72" i="4"/>
  <c r="BY72" i="4"/>
  <c r="CP71" i="4"/>
  <c r="CP105" i="4" s="1"/>
  <c r="CD71" i="4"/>
  <c r="BR71" i="4"/>
  <c r="CI70" i="4"/>
  <c r="BW70" i="4"/>
  <c r="CN69" i="4"/>
  <c r="CN103" i="4" s="1"/>
  <c r="CB69" i="4"/>
  <c r="BP69" i="4"/>
  <c r="CG68" i="4"/>
  <c r="BU68" i="4"/>
  <c r="CL67" i="4"/>
  <c r="CL101" i="4" s="1"/>
  <c r="BZ67" i="4"/>
  <c r="CQ66" i="4"/>
  <c r="CQ100" i="4" s="1"/>
  <c r="CE66" i="4"/>
  <c r="BS66" i="4"/>
  <c r="CJ65" i="4"/>
  <c r="CJ99" i="4" s="1"/>
  <c r="BX65" i="4"/>
  <c r="CO64" i="4"/>
  <c r="CO98" i="4" s="1"/>
  <c r="CC64" i="4"/>
  <c r="BQ64" i="4"/>
  <c r="CH63" i="4"/>
  <c r="CH97" i="4" s="1"/>
  <c r="BV63" i="4"/>
  <c r="CM62" i="4"/>
  <c r="CM96" i="4" s="1"/>
  <c r="CA62" i="4"/>
  <c r="CR61" i="4"/>
  <c r="CR95" i="4" s="1"/>
  <c r="CF61" i="4"/>
  <c r="CF95" i="4" s="1"/>
  <c r="BT61" i="4"/>
  <c r="CK60" i="4"/>
  <c r="CK94" i="4" s="1"/>
  <c r="BY60" i="4"/>
  <c r="CP59" i="4"/>
  <c r="CP93" i="4" s="1"/>
  <c r="CD59" i="4"/>
  <c r="CD93" i="4" s="1"/>
  <c r="BR59" i="4"/>
  <c r="CI58" i="4"/>
  <c r="CI92" i="4" s="1"/>
  <c r="BW58" i="4"/>
  <c r="CN57" i="4"/>
  <c r="CN91" i="4" s="1"/>
  <c r="CB57" i="4"/>
  <c r="CB91" i="4" s="1"/>
  <c r="BP57" i="4"/>
  <c r="CG56" i="4"/>
  <c r="CG90" i="4" s="1"/>
  <c r="BU56" i="4"/>
  <c r="CL55" i="4"/>
  <c r="CL89" i="4" s="1"/>
  <c r="BZ55" i="4"/>
  <c r="BZ89" i="4" s="1"/>
  <c r="CQ54" i="4"/>
  <c r="CQ88" i="4" s="1"/>
  <c r="CE54" i="4"/>
  <c r="CE88" i="4" s="1"/>
  <c r="BS54" i="4"/>
  <c r="CJ53" i="4"/>
  <c r="CJ87" i="4" s="1"/>
  <c r="BX53" i="4"/>
  <c r="BX87" i="4" s="1"/>
  <c r="CO52" i="4"/>
  <c r="CO86" i="4" s="1"/>
  <c r="CC52" i="4"/>
  <c r="CC86" i="4" s="1"/>
  <c r="BQ52" i="4"/>
  <c r="CH51" i="4"/>
  <c r="CH85" i="4" s="1"/>
  <c r="BV51" i="4"/>
  <c r="BV85" i="4" s="1"/>
  <c r="CM50" i="4"/>
  <c r="CM84" i="4" s="1"/>
  <c r="CA50" i="4"/>
  <c r="CA84" i="4" s="1"/>
  <c r="CR49" i="4"/>
  <c r="CR83" i="4" s="1"/>
  <c r="CF49" i="4"/>
  <c r="CF83" i="4" s="1"/>
  <c r="BT49" i="4"/>
  <c r="BT83" i="4" s="1"/>
  <c r="CK48" i="4"/>
  <c r="CK82" i="4" s="1"/>
  <c r="BY48" i="4"/>
  <c r="BY82" i="4" s="1"/>
  <c r="CP47" i="4"/>
  <c r="CP81" i="4" s="1"/>
  <c r="CD47" i="4"/>
  <c r="CD81" i="4" s="1"/>
  <c r="BR47" i="4"/>
  <c r="BR81" i="4" s="1"/>
  <c r="CI46" i="4"/>
  <c r="CI80" i="4" s="1"/>
  <c r="BW46" i="4"/>
  <c r="BW80" i="4" s="1"/>
  <c r="CM45" i="4"/>
  <c r="CM79" i="4" s="1"/>
  <c r="CA45" i="4"/>
  <c r="CA79" i="4" s="1"/>
  <c r="CR44" i="4"/>
  <c r="CR78" i="4" s="1"/>
  <c r="CF44" i="4"/>
  <c r="CF78" i="4" s="1"/>
  <c r="BT44" i="4"/>
  <c r="CL74" i="4"/>
  <c r="BZ74" i="4"/>
  <c r="CQ73" i="4"/>
  <c r="CE73" i="4"/>
  <c r="BS73" i="4"/>
  <c r="CJ72" i="4"/>
  <c r="BX72" i="4"/>
  <c r="CO71" i="4"/>
  <c r="CC71" i="4"/>
  <c r="BQ71" i="4"/>
  <c r="CH70" i="4"/>
  <c r="BV70" i="4"/>
  <c r="CM69" i="4"/>
  <c r="CA69" i="4"/>
  <c r="CR68" i="4"/>
  <c r="CR102" i="4" s="1"/>
  <c r="CF68" i="4"/>
  <c r="BT68" i="4"/>
  <c r="CK67" i="4"/>
  <c r="BY67" i="4"/>
  <c r="CP66" i="4"/>
  <c r="CP100" i="4" s="1"/>
  <c r="CD66" i="4"/>
  <c r="BR66" i="4"/>
  <c r="CI65" i="4"/>
  <c r="BW65" i="4"/>
  <c r="CN64" i="4"/>
  <c r="CN98" i="4" s="1"/>
  <c r="CB64" i="4"/>
  <c r="BP64" i="4"/>
  <c r="CG63" i="4"/>
  <c r="BU63" i="4"/>
  <c r="CL62" i="4"/>
  <c r="CL96" i="4" s="1"/>
  <c r="BZ62" i="4"/>
  <c r="CQ61" i="4"/>
  <c r="CQ95" i="4" s="1"/>
  <c r="CE61" i="4"/>
  <c r="BS61" i="4"/>
  <c r="CJ60" i="4"/>
  <c r="CJ94" i="4" s="1"/>
  <c r="BX60" i="4"/>
  <c r="CO59" i="4"/>
  <c r="CO93" i="4" s="1"/>
  <c r="CC59" i="4"/>
  <c r="BQ59" i="4"/>
  <c r="CH58" i="4"/>
  <c r="CH92" i="4" s="1"/>
  <c r="BV58" i="4"/>
  <c r="CM57" i="4"/>
  <c r="CM91" i="4" s="1"/>
  <c r="CA57" i="4"/>
  <c r="CR56" i="4"/>
  <c r="CR90" i="4" s="1"/>
  <c r="CF56" i="4"/>
  <c r="CF90" i="4" s="1"/>
  <c r="BT56" i="4"/>
  <c r="CK55" i="4"/>
  <c r="CK89" i="4" s="1"/>
  <c r="BY55" i="4"/>
  <c r="CP54" i="4"/>
  <c r="CP88" i="4" s="1"/>
  <c r="CD54" i="4"/>
  <c r="CD88" i="4" s="1"/>
  <c r="BR54" i="4"/>
  <c r="CI53" i="4"/>
  <c r="CI87" i="4" s="1"/>
  <c r="BW53" i="4"/>
  <c r="CN52" i="4"/>
  <c r="CN86" i="4" s="1"/>
  <c r="CB52" i="4"/>
  <c r="CB86" i="4" s="1"/>
  <c r="BP52" i="4"/>
  <c r="CG51" i="4"/>
  <c r="CG85" i="4" s="1"/>
  <c r="BU51" i="4"/>
  <c r="CL50" i="4"/>
  <c r="CL84" i="4" s="1"/>
  <c r="BZ50" i="4"/>
  <c r="BZ84" i="4" s="1"/>
  <c r="CQ49" i="4"/>
  <c r="CQ83" i="4" s="1"/>
  <c r="CE49" i="4"/>
  <c r="CE83" i="4" s="1"/>
  <c r="BS49" i="4"/>
  <c r="CJ48" i="4"/>
  <c r="CJ82" i="4" s="1"/>
  <c r="BX48" i="4"/>
  <c r="BX82" i="4" s="1"/>
  <c r="CO47" i="4"/>
  <c r="CO81" i="4" s="1"/>
  <c r="CC47" i="4"/>
  <c r="CC81" i="4" s="1"/>
  <c r="BQ47" i="4"/>
  <c r="CH46" i="4"/>
  <c r="CH80" i="4" s="1"/>
  <c r="BV46" i="4"/>
  <c r="BV80" i="4" s="1"/>
  <c r="CL45" i="4"/>
  <c r="CL79" i="4" s="1"/>
  <c r="BZ45" i="4"/>
  <c r="BZ79" i="4" s="1"/>
  <c r="CQ44" i="4"/>
  <c r="CQ78" i="4" s="1"/>
  <c r="CE44" i="4"/>
  <c r="CE78" i="4" s="1"/>
  <c r="BS44" i="4"/>
  <c r="CK74" i="4"/>
  <c r="BY74" i="4"/>
  <c r="CP73" i="4"/>
  <c r="CD73" i="4"/>
  <c r="BR73" i="4"/>
  <c r="CI72" i="4"/>
  <c r="BW72" i="4"/>
  <c r="CN71" i="4"/>
  <c r="CB71" i="4"/>
  <c r="BP71" i="4"/>
  <c r="CG70" i="4"/>
  <c r="BU70" i="4"/>
  <c r="CL69" i="4"/>
  <c r="BZ69" i="4"/>
  <c r="CQ68" i="4"/>
  <c r="CQ102" i="4" s="1"/>
  <c r="CE68" i="4"/>
  <c r="BS68" i="4"/>
  <c r="CJ67" i="4"/>
  <c r="BX67" i="4"/>
  <c r="CO66" i="4"/>
  <c r="CO100" i="4" s="1"/>
  <c r="CC66" i="4"/>
  <c r="BQ66" i="4"/>
  <c r="CH65" i="4"/>
  <c r="BV65" i="4"/>
  <c r="CM64" i="4"/>
  <c r="CM98" i="4" s="1"/>
  <c r="CA64" i="4"/>
  <c r="CR63" i="4"/>
  <c r="CR97" i="4" s="1"/>
  <c r="CF63" i="4"/>
  <c r="BT63" i="4"/>
  <c r="CK62" i="4"/>
  <c r="CK96" i="4" s="1"/>
  <c r="BY62" i="4"/>
  <c r="CP61" i="4"/>
  <c r="CP95" i="4" s="1"/>
  <c r="CD61" i="4"/>
  <c r="BR61" i="4"/>
  <c r="CI60" i="4"/>
  <c r="CI94" i="4" s="1"/>
  <c r="BW60" i="4"/>
  <c r="CN59" i="4"/>
  <c r="CN93" i="4" s="1"/>
  <c r="CB59" i="4"/>
  <c r="BP59" i="4"/>
  <c r="CG58" i="4"/>
  <c r="CG92" i="4" s="1"/>
  <c r="BU58" i="4"/>
  <c r="CL57" i="4"/>
  <c r="CL91" i="4" s="1"/>
  <c r="BZ57" i="4"/>
  <c r="CQ56" i="4"/>
  <c r="CQ90" i="4" s="1"/>
  <c r="CE56" i="4"/>
  <c r="CE90" i="4" s="1"/>
  <c r="BS56" i="4"/>
  <c r="CJ55" i="4"/>
  <c r="CJ89" i="4" s="1"/>
  <c r="BX55" i="4"/>
  <c r="CO54" i="4"/>
  <c r="CO88" i="4" s="1"/>
  <c r="CC54" i="4"/>
  <c r="CC88" i="4" s="1"/>
  <c r="BQ54" i="4"/>
  <c r="CH53" i="4"/>
  <c r="CH87" i="4" s="1"/>
  <c r="BV53" i="4"/>
  <c r="CM52" i="4"/>
  <c r="CM86" i="4" s="1"/>
  <c r="CA52" i="4"/>
  <c r="CA86" i="4" s="1"/>
  <c r="CR51" i="4"/>
  <c r="CR85" i="4" s="1"/>
  <c r="CF51" i="4"/>
  <c r="CF85" i="4" s="1"/>
  <c r="BT51" i="4"/>
  <c r="CK50" i="4"/>
  <c r="CK84" i="4" s="1"/>
  <c r="BY50" i="4"/>
  <c r="BY84" i="4" s="1"/>
  <c r="CP49" i="4"/>
  <c r="CP83" i="4" s="1"/>
  <c r="CD49" i="4"/>
  <c r="CD83" i="4" s="1"/>
  <c r="BR49" i="4"/>
  <c r="CI48" i="4"/>
  <c r="CI82" i="4" s="1"/>
  <c r="BW48" i="4"/>
  <c r="BW82" i="4" s="1"/>
  <c r="CN47" i="4"/>
  <c r="CN81" i="4" s="1"/>
  <c r="CB47" i="4"/>
  <c r="CB81" i="4" s="1"/>
  <c r="BP47" i="4"/>
  <c r="CG46" i="4"/>
  <c r="CG80" i="4" s="1"/>
  <c r="BU46" i="4"/>
  <c r="BU80" i="4" s="1"/>
  <c r="CK45" i="4"/>
  <c r="CK79" i="4" s="1"/>
  <c r="BY45" i="4"/>
  <c r="BY79" i="4" s="1"/>
  <c r="CP44" i="4"/>
  <c r="CP78" i="4" s="1"/>
  <c r="CD44" i="4"/>
  <c r="CD78" i="4" s="1"/>
  <c r="BR44" i="4"/>
  <c r="CJ74" i="4"/>
  <c r="BX74" i="4"/>
  <c r="CO73" i="4"/>
  <c r="CC73" i="4"/>
  <c r="BQ73" i="4"/>
  <c r="CH72" i="4"/>
  <c r="BV72" i="4"/>
  <c r="CM71" i="4"/>
  <c r="CA71" i="4"/>
  <c r="CR70" i="4"/>
  <c r="CR104" i="4" s="1"/>
  <c r="CF70" i="4"/>
  <c r="BT70" i="4"/>
  <c r="CK69" i="4"/>
  <c r="BY69" i="4"/>
  <c r="CP68" i="4"/>
  <c r="CP102" i="4" s="1"/>
  <c r="CD68" i="4"/>
  <c r="BR68" i="4"/>
  <c r="CI67" i="4"/>
  <c r="BW67" i="4"/>
  <c r="CN66" i="4"/>
  <c r="CN100" i="4" s="1"/>
  <c r="CB66" i="4"/>
  <c r="BP66" i="4"/>
  <c r="CG65" i="4"/>
  <c r="BU65" i="4"/>
  <c r="CL64" i="4"/>
  <c r="CL98" i="4" s="1"/>
  <c r="BZ64" i="4"/>
  <c r="CQ63" i="4"/>
  <c r="CQ97" i="4" s="1"/>
  <c r="CE63" i="4"/>
  <c r="BS63" i="4"/>
  <c r="CJ62" i="4"/>
  <c r="CJ96" i="4" s="1"/>
  <c r="BX62" i="4"/>
  <c r="CO61" i="4"/>
  <c r="CO95" i="4" s="1"/>
  <c r="CC61" i="4"/>
  <c r="BQ61" i="4"/>
  <c r="CH60" i="4"/>
  <c r="CH94" i="4" s="1"/>
  <c r="BV60" i="4"/>
  <c r="CM59" i="4"/>
  <c r="CM93" i="4" s="1"/>
  <c r="CA59" i="4"/>
  <c r="CR58" i="4"/>
  <c r="CR92" i="4" s="1"/>
  <c r="CF58" i="4"/>
  <c r="CF92" i="4" s="1"/>
  <c r="BT58" i="4"/>
  <c r="CK57" i="4"/>
  <c r="CK91" i="4" s="1"/>
  <c r="BY57" i="4"/>
  <c r="CP56" i="4"/>
  <c r="CP90" i="4" s="1"/>
  <c r="CD56" i="4"/>
  <c r="CD90" i="4" s="1"/>
  <c r="BR56" i="4"/>
  <c r="CI55" i="4"/>
  <c r="CI89" i="4" s="1"/>
  <c r="BW55" i="4"/>
  <c r="CN54" i="4"/>
  <c r="CN88" i="4" s="1"/>
  <c r="CB54" i="4"/>
  <c r="CB88" i="4" s="1"/>
  <c r="BP54" i="4"/>
  <c r="CG53" i="4"/>
  <c r="CG87" i="4" s="1"/>
  <c r="BU53" i="4"/>
  <c r="CL52" i="4"/>
  <c r="CL86" i="4" s="1"/>
  <c r="BZ52" i="4"/>
  <c r="BZ86" i="4" s="1"/>
  <c r="CQ51" i="4"/>
  <c r="CQ85" i="4" s="1"/>
  <c r="CE51" i="4"/>
  <c r="CE85" i="4" s="1"/>
  <c r="BS51" i="4"/>
  <c r="CJ50" i="4"/>
  <c r="CJ84" i="4" s="1"/>
  <c r="BX50" i="4"/>
  <c r="BX84" i="4" s="1"/>
  <c r="CO49" i="4"/>
  <c r="CO83" i="4" s="1"/>
  <c r="CC49" i="4"/>
  <c r="CC83" i="4" s="1"/>
  <c r="BQ49" i="4"/>
  <c r="CH48" i="4"/>
  <c r="CH82" i="4" s="1"/>
  <c r="BV48" i="4"/>
  <c r="BV82" i="4" s="1"/>
  <c r="CM47" i="4"/>
  <c r="CM81" i="4" s="1"/>
  <c r="CA47" i="4"/>
  <c r="CA81" i="4" s="1"/>
  <c r="CR46" i="4"/>
  <c r="CR80" i="4" s="1"/>
  <c r="CF46" i="4"/>
  <c r="CF80" i="4" s="1"/>
  <c r="BT46" i="4"/>
  <c r="BT80" i="4" s="1"/>
  <c r="CJ45" i="4"/>
  <c r="CJ79" i="4" s="1"/>
  <c r="BX45" i="4"/>
  <c r="BX79" i="4" s="1"/>
  <c r="CO44" i="4"/>
  <c r="CO78" i="4" s="1"/>
  <c r="CC44" i="4"/>
  <c r="BQ44" i="4"/>
  <c r="CI74" i="4"/>
  <c r="BW74" i="4"/>
  <c r="CN73" i="4"/>
  <c r="CB73" i="4"/>
  <c r="BP73" i="4"/>
  <c r="CG72" i="4"/>
  <c r="BU72" i="4"/>
  <c r="CL71" i="4"/>
  <c r="BZ71" i="4"/>
  <c r="CQ70" i="4"/>
  <c r="CQ104" i="4" s="1"/>
  <c r="CE70" i="4"/>
  <c r="BS70" i="4"/>
  <c r="CJ69" i="4"/>
  <c r="BX69" i="4"/>
  <c r="CO68" i="4"/>
  <c r="CO102" i="4" s="1"/>
  <c r="CC68" i="4"/>
  <c r="BQ68" i="4"/>
  <c r="CH67" i="4"/>
  <c r="BV67" i="4"/>
  <c r="CM66" i="4"/>
  <c r="CM100" i="4" s="1"/>
  <c r="CA66" i="4"/>
  <c r="CR65" i="4"/>
  <c r="CR99" i="4" s="1"/>
  <c r="CF65" i="4"/>
  <c r="BT65" i="4"/>
  <c r="CK64" i="4"/>
  <c r="CK98" i="4" s="1"/>
  <c r="BY64" i="4"/>
  <c r="CP63" i="4"/>
  <c r="CP97" i="4" s="1"/>
  <c r="CD63" i="4"/>
  <c r="BR63" i="4"/>
  <c r="CI62" i="4"/>
  <c r="CI96" i="4" s="1"/>
  <c r="BW62" i="4"/>
  <c r="CN61" i="4"/>
  <c r="CN95" i="4" s="1"/>
  <c r="CB61" i="4"/>
  <c r="BP61" i="4"/>
  <c r="CG60" i="4"/>
  <c r="CG94" i="4" s="1"/>
  <c r="BU60" i="4"/>
  <c r="CL59" i="4"/>
  <c r="CL93" i="4" s="1"/>
  <c r="BZ59" i="4"/>
  <c r="CQ58" i="4"/>
  <c r="CQ92" i="4" s="1"/>
  <c r="CE58" i="4"/>
  <c r="CE92" i="4" s="1"/>
  <c r="BS58" i="4"/>
  <c r="CJ57" i="4"/>
  <c r="CJ91" i="4" s="1"/>
  <c r="BX57" i="4"/>
  <c r="CO56" i="4"/>
  <c r="CO90" i="4" s="1"/>
  <c r="CC56" i="4"/>
  <c r="CC90" i="4" s="1"/>
  <c r="BQ56" i="4"/>
  <c r="CH55" i="4"/>
  <c r="CH89" i="4" s="1"/>
  <c r="BV55" i="4"/>
  <c r="CM54" i="4"/>
  <c r="CM88" i="4" s="1"/>
  <c r="CA54" i="4"/>
  <c r="CA88" i="4" s="1"/>
  <c r="CR53" i="4"/>
  <c r="CR87" i="4" s="1"/>
  <c r="CF53" i="4"/>
  <c r="CF87" i="4" s="1"/>
  <c r="BT53" i="4"/>
  <c r="CK52" i="4"/>
  <c r="CK86" i="4" s="1"/>
  <c r="BY52" i="4"/>
  <c r="BY86" i="4" s="1"/>
  <c r="CP51" i="4"/>
  <c r="CP85" i="4" s="1"/>
  <c r="CD51" i="4"/>
  <c r="CD85" i="4" s="1"/>
  <c r="BR51" i="4"/>
  <c r="CI50" i="4"/>
  <c r="CI84" i="4" s="1"/>
  <c r="BW50" i="4"/>
  <c r="BW84" i="4" s="1"/>
  <c r="CN49" i="4"/>
  <c r="CN83" i="4" s="1"/>
  <c r="CB49" i="4"/>
  <c r="CB83" i="4" s="1"/>
  <c r="BP49" i="4"/>
  <c r="CG48" i="4"/>
  <c r="CG82" i="4" s="1"/>
  <c r="BU48" i="4"/>
  <c r="BU82" i="4" s="1"/>
  <c r="CL47" i="4"/>
  <c r="CL81" i="4" s="1"/>
  <c r="BZ47" i="4"/>
  <c r="BZ81" i="4" s="1"/>
  <c r="CQ46" i="4"/>
  <c r="CQ80" i="4" s="1"/>
  <c r="CE46" i="4"/>
  <c r="CE80" i="4" s="1"/>
  <c r="BS46" i="4"/>
  <c r="BS80" i="4" s="1"/>
  <c r="CI45" i="4"/>
  <c r="CI79" i="4" s="1"/>
  <c r="BW45" i="4"/>
  <c r="BW79" i="4" s="1"/>
  <c r="CN44" i="4"/>
  <c r="CN78" i="4" s="1"/>
  <c r="CB44" i="4"/>
  <c r="BP44" i="4"/>
  <c r="BV74" i="4"/>
  <c r="CR72" i="4"/>
  <c r="CR106" i="4" s="1"/>
  <c r="CF72" i="4"/>
  <c r="BT72" i="4"/>
  <c r="CK71" i="4"/>
  <c r="BY71" i="4"/>
  <c r="CP70" i="4"/>
  <c r="CP104" i="4" s="1"/>
  <c r="CD70" i="4"/>
  <c r="BR70" i="4"/>
  <c r="CI69" i="4"/>
  <c r="CH74" i="4"/>
  <c r="CE65" i="4"/>
  <c r="CF60" i="4"/>
  <c r="CF94" i="4" s="1"/>
  <c r="CG55" i="4"/>
  <c r="CG89" i="4" s="1"/>
  <c r="CH50" i="4"/>
  <c r="CH84" i="4" s="1"/>
  <c r="CH45" i="4"/>
  <c r="CH79" i="4" s="1"/>
  <c r="BU55" i="4"/>
  <c r="BV45" i="4"/>
  <c r="BV79" i="4" s="1"/>
  <c r="CL54" i="4"/>
  <c r="CL88" i="4" s="1"/>
  <c r="CM49" i="4"/>
  <c r="CM83" i="4" s="1"/>
  <c r="BY59" i="4"/>
  <c r="CA44" i="4"/>
  <c r="CO63" i="4"/>
  <c r="CO97" i="4" s="1"/>
  <c r="BS53" i="4"/>
  <c r="BV62" i="4"/>
  <c r="CN56" i="4"/>
  <c r="CN90" i="4" s="1"/>
  <c r="CD46" i="4"/>
  <c r="CD80" i="4" s="1"/>
  <c r="BQ51" i="4"/>
  <c r="CM73" i="4"/>
  <c r="BS65" i="4"/>
  <c r="BT60" i="4"/>
  <c r="BV50" i="4"/>
  <c r="BV84" i="4" s="1"/>
  <c r="CA49" i="4"/>
  <c r="CA83" i="4" s="1"/>
  <c r="CN68" i="4"/>
  <c r="CN102" i="4" s="1"/>
  <c r="CR48" i="4"/>
  <c r="CR82" i="4" s="1"/>
  <c r="CD58" i="4"/>
  <c r="CD92" i="4" s="1"/>
  <c r="CH62" i="4"/>
  <c r="CH96" i="4" s="1"/>
  <c r="BX52" i="4"/>
  <c r="BX86" i="4" s="1"/>
  <c r="CA73" i="4"/>
  <c r="CJ64" i="4"/>
  <c r="CJ98" i="4" s="1"/>
  <c r="CK59" i="4"/>
  <c r="CK93" i="4" s="1"/>
  <c r="CM44" i="4"/>
  <c r="CM78" i="4" s="1"/>
  <c r="CP58" i="4"/>
  <c r="CP92" i="4" s="1"/>
  <c r="CC63" i="4"/>
  <c r="BR58" i="4"/>
  <c r="CG67" i="4"/>
  <c r="BW57" i="4"/>
  <c r="CA61" i="4"/>
  <c r="BP56" i="4"/>
  <c r="BW69" i="4"/>
  <c r="BX64" i="4"/>
  <c r="BZ54" i="4"/>
  <c r="BZ88" i="4" s="1"/>
  <c r="CB68" i="4"/>
  <c r="CE53" i="4"/>
  <c r="CE87" i="4" s="1"/>
  <c r="CF48" i="4"/>
  <c r="CF82" i="4" s="1"/>
  <c r="BP68" i="4"/>
  <c r="BT48" i="4"/>
  <c r="BT82" i="4" s="1"/>
  <c r="CI57" i="4"/>
  <c r="CI91" i="4" s="1"/>
  <c r="CK47" i="4"/>
  <c r="CK81" i="4" s="1"/>
  <c r="BU67" i="4"/>
  <c r="BY47" i="4"/>
  <c r="BY81" i="4" s="1"/>
  <c r="CM61" i="4"/>
  <c r="CM95" i="4" s="1"/>
  <c r="CO51" i="4"/>
  <c r="CO85" i="4" s="1"/>
  <c r="BZ66" i="4"/>
  <c r="CR60" i="4"/>
  <c r="CR94" i="4" s="1"/>
  <c r="CQ53" i="4"/>
  <c r="CQ87" i="4" s="1"/>
  <c r="BQ63" i="4"/>
  <c r="CJ52" i="4"/>
  <c r="CJ86" i="4" s="1"/>
  <c r="CL66" i="4"/>
  <c r="CL100" i="4" s="1"/>
  <c r="CP46" i="4"/>
  <c r="CP80" i="4" s="1"/>
  <c r="CC51" i="4"/>
  <c r="CC85" i="4" s="1"/>
  <c r="BR46" i="4"/>
  <c r="BR80" i="4" s="1"/>
  <c r="CB56" i="4"/>
  <c r="CB90" i="4" s="1"/>
  <c r="CQ65" i="4"/>
  <c r="CQ99" i="4" s="1"/>
  <c r="U67" i="12"/>
  <c r="U79" i="12"/>
  <c r="U80" i="12"/>
  <c r="U82" i="12"/>
  <c r="U106" i="12"/>
  <c r="U138" i="12"/>
  <c r="U134" i="12"/>
  <c r="U166" i="12"/>
  <c r="U135" i="12"/>
  <c r="U146" i="12"/>
  <c r="U154" i="12"/>
  <c r="U189" i="12"/>
  <c r="U164" i="12"/>
  <c r="U59" i="12"/>
  <c r="U58" i="12"/>
  <c r="U101" i="12"/>
  <c r="U73" i="12"/>
  <c r="U126" i="12"/>
  <c r="U127" i="12"/>
  <c r="U132" i="12"/>
  <c r="U167" i="12"/>
  <c r="U173" i="12"/>
  <c r="U172" i="12"/>
  <c r="U130" i="12"/>
  <c r="U143" i="12"/>
  <c r="U57" i="12"/>
  <c r="U65" i="12"/>
  <c r="U77" i="12"/>
  <c r="U81" i="12"/>
  <c r="U100" i="12"/>
  <c r="U96" i="12"/>
  <c r="U159" i="12"/>
  <c r="U180" i="12"/>
  <c r="U168" i="12"/>
  <c r="U157" i="12"/>
  <c r="U136" i="12"/>
  <c r="U171" i="12"/>
  <c r="U64" i="12"/>
  <c r="U112" i="12"/>
  <c r="U109" i="12"/>
  <c r="U108" i="12"/>
  <c r="U104" i="12"/>
  <c r="U99" i="12"/>
  <c r="U184" i="12"/>
  <c r="U191" i="12"/>
  <c r="U188" i="12"/>
  <c r="U186" i="12"/>
  <c r="U145" i="12"/>
  <c r="U124" i="12"/>
  <c r="U107" i="12"/>
  <c r="U84" i="12"/>
  <c r="U91" i="12"/>
  <c r="U176" i="12"/>
  <c r="U150" i="12"/>
  <c r="U185" i="12"/>
  <c r="U133" i="12"/>
  <c r="U76" i="12"/>
  <c r="U86" i="12"/>
  <c r="U123" i="12"/>
  <c r="U120" i="12"/>
  <c r="U115" i="12"/>
  <c r="U161" i="12"/>
  <c r="U149" i="12"/>
  <c r="U139" i="12"/>
  <c r="U147" i="12"/>
  <c r="U175" i="12"/>
  <c r="U152" i="12"/>
  <c r="U83" i="12"/>
  <c r="U85" i="12"/>
  <c r="U94" i="12"/>
  <c r="U111" i="12"/>
  <c r="U165" i="12"/>
  <c r="U142" i="12"/>
  <c r="U162" i="12"/>
  <c r="U129" i="12"/>
  <c r="U156" i="12"/>
  <c r="U181" i="12"/>
  <c r="U55" i="12"/>
  <c r="U60" i="12"/>
  <c r="U71" i="12"/>
  <c r="U97" i="12"/>
  <c r="U119" i="12"/>
  <c r="U103" i="12"/>
  <c r="U78" i="12"/>
  <c r="U90" i="12"/>
  <c r="U153" i="12"/>
  <c r="U148" i="12"/>
  <c r="U131" i="12"/>
  <c r="U158" i="12"/>
  <c r="U141" i="12"/>
  <c r="U54" i="12"/>
  <c r="U51" i="12"/>
  <c r="U116" i="12"/>
  <c r="U125" i="12"/>
  <c r="U74" i="12"/>
  <c r="U93" i="12"/>
  <c r="U102" i="12"/>
  <c r="U169" i="12"/>
  <c r="U179" i="12"/>
  <c r="U155" i="12"/>
  <c r="U137" i="12"/>
  <c r="U50" i="12"/>
  <c r="U121" i="12"/>
  <c r="U113" i="12"/>
  <c r="U105" i="12"/>
  <c r="U110" i="12"/>
  <c r="U122" i="12"/>
  <c r="U178" i="12"/>
  <c r="U190" i="12"/>
  <c r="U160" i="12"/>
  <c r="U144" i="12"/>
  <c r="U174" i="12"/>
  <c r="G137" i="12"/>
  <c r="H159" i="12"/>
  <c r="H155" i="12"/>
  <c r="G135" i="12"/>
  <c r="H132" i="12"/>
  <c r="G165" i="12"/>
  <c r="H136" i="12"/>
  <c r="H182" i="12"/>
  <c r="H129" i="12"/>
  <c r="G139" i="12"/>
  <c r="G138" i="12"/>
  <c r="G169" i="12"/>
  <c r="H138" i="12"/>
  <c r="H133" i="12"/>
  <c r="G188" i="12"/>
  <c r="H128" i="12"/>
  <c r="G128" i="12"/>
  <c r="G149" i="12"/>
  <c r="H183" i="12"/>
  <c r="G166" i="12"/>
  <c r="H172" i="12"/>
  <c r="G143" i="12"/>
  <c r="H166" i="12"/>
  <c r="G147" i="12"/>
  <c r="G132" i="12"/>
  <c r="G140" i="12"/>
  <c r="G151" i="12"/>
  <c r="H139" i="12"/>
  <c r="H162" i="12"/>
  <c r="H134" i="12"/>
  <c r="H167" i="12"/>
  <c r="G134" i="12"/>
  <c r="G155" i="12"/>
  <c r="G177" i="12"/>
  <c r="H160" i="12"/>
  <c r="G168" i="12"/>
  <c r="H141" i="12"/>
  <c r="H152" i="12"/>
  <c r="G150" i="12"/>
  <c r="H191" i="12"/>
  <c r="G129" i="12"/>
  <c r="H150" i="12"/>
  <c r="G146" i="12"/>
  <c r="H144" i="12"/>
  <c r="H165" i="12"/>
  <c r="H176" i="12"/>
  <c r="G174" i="12"/>
  <c r="G172" i="12"/>
  <c r="G181" i="12"/>
  <c r="H130" i="12"/>
  <c r="G173" i="12"/>
  <c r="G158" i="12"/>
  <c r="H156" i="12"/>
  <c r="G176" i="12"/>
  <c r="G187" i="12"/>
  <c r="H175" i="12"/>
  <c r="H131" i="12"/>
  <c r="G141" i="12"/>
  <c r="G170" i="12"/>
  <c r="H177" i="12"/>
  <c r="G186" i="12"/>
  <c r="G142" i="12"/>
  <c r="H137" i="12"/>
  <c r="H142" i="12"/>
  <c r="G182" i="12"/>
  <c r="H187" i="12"/>
  <c r="G159" i="12"/>
  <c r="H157" i="12"/>
  <c r="H161" i="12"/>
  <c r="H192" i="12"/>
  <c r="G183" i="12"/>
  <c r="G184" i="12"/>
  <c r="G144" i="12"/>
  <c r="H173" i="12"/>
  <c r="H174" i="12"/>
  <c r="G145" i="12"/>
  <c r="G178" i="12"/>
  <c r="H147" i="12"/>
  <c r="H168" i="12"/>
  <c r="H178" i="12"/>
  <c r="G171" i="12"/>
  <c r="G180" i="12"/>
  <c r="G152" i="12"/>
  <c r="G163" i="12"/>
  <c r="H151" i="12"/>
  <c r="G160" i="12"/>
  <c r="G130" i="12"/>
  <c r="G161" i="12"/>
  <c r="H180" i="12"/>
  <c r="H181" i="12"/>
  <c r="H186" i="12"/>
  <c r="H158" i="12"/>
  <c r="H179" i="12"/>
  <c r="H171" i="12"/>
  <c r="G179" i="12"/>
  <c r="G189" i="12"/>
  <c r="H184" i="12"/>
  <c r="G192" i="12"/>
  <c r="H153" i="12"/>
  <c r="H164" i="12"/>
  <c r="G162" i="12"/>
  <c r="G136" i="12"/>
  <c r="H170" i="12"/>
  <c r="G190" i="12"/>
  <c r="G157" i="12"/>
  <c r="G191" i="12"/>
  <c r="H190" i="12"/>
  <c r="H135" i="12"/>
  <c r="G131" i="12"/>
  <c r="G164" i="12"/>
  <c r="G175" i="12"/>
  <c r="H163" i="12"/>
  <c r="G156" i="12"/>
  <c r="H185" i="12"/>
  <c r="G185" i="12"/>
  <c r="G167" i="12"/>
  <c r="H188" i="12"/>
  <c r="H148" i="12"/>
  <c r="H145" i="12"/>
  <c r="H149" i="12"/>
  <c r="H169" i="12"/>
  <c r="H143" i="12"/>
  <c r="G148" i="12"/>
  <c r="G153" i="12"/>
  <c r="G133" i="12"/>
  <c r="H189" i="12"/>
  <c r="G154" i="12"/>
  <c r="H154" i="12"/>
  <c r="H146" i="12"/>
  <c r="H140" i="12"/>
  <c r="H121" i="12"/>
  <c r="G120" i="12"/>
  <c r="H112" i="12"/>
  <c r="G103" i="12"/>
  <c r="G94" i="12"/>
  <c r="H85" i="12"/>
  <c r="H77" i="12"/>
  <c r="G76" i="12"/>
  <c r="G108" i="12"/>
  <c r="G109" i="12"/>
  <c r="H82" i="12"/>
  <c r="G73" i="12"/>
  <c r="H110" i="12"/>
  <c r="G101" i="12"/>
  <c r="H92" i="12"/>
  <c r="H93" i="12"/>
  <c r="G102" i="12"/>
  <c r="G75" i="12"/>
  <c r="G121" i="12"/>
  <c r="H113" i="12"/>
  <c r="G112" i="12"/>
  <c r="G104" i="12"/>
  <c r="H95" i="12"/>
  <c r="H86" i="12"/>
  <c r="G85" i="12"/>
  <c r="G77" i="12"/>
  <c r="H123" i="12"/>
  <c r="G105" i="12"/>
  <c r="H97" i="12"/>
  <c r="G87" i="12"/>
  <c r="G125" i="12"/>
  <c r="G116" i="12"/>
  <c r="G107" i="12"/>
  <c r="H90" i="12"/>
  <c r="H100" i="12"/>
  <c r="G90" i="12"/>
  <c r="G119" i="12"/>
  <c r="G93" i="12"/>
  <c r="G84" i="12"/>
  <c r="H76" i="12"/>
  <c r="G122" i="12"/>
  <c r="G113" i="12"/>
  <c r="H96" i="12"/>
  <c r="G95" i="12"/>
  <c r="H87" i="12"/>
  <c r="G86" i="12"/>
  <c r="G78" i="12"/>
  <c r="G114" i="12"/>
  <c r="G96" i="12"/>
  <c r="G98" i="12"/>
  <c r="H126" i="12"/>
  <c r="H108" i="12"/>
  <c r="G89" i="12"/>
  <c r="G80" i="12"/>
  <c r="H127" i="12"/>
  <c r="H117" i="12"/>
  <c r="H81" i="12"/>
  <c r="H73" i="12"/>
  <c r="G127" i="12"/>
  <c r="G91" i="12"/>
  <c r="G118" i="12"/>
  <c r="G82" i="12"/>
  <c r="G74" i="12"/>
  <c r="G110" i="12"/>
  <c r="G83" i="12"/>
  <c r="G111" i="12"/>
  <c r="H103" i="12"/>
  <c r="H124" i="12"/>
  <c r="G123" i="12"/>
  <c r="H115" i="12"/>
  <c r="H106" i="12"/>
  <c r="G97" i="12"/>
  <c r="G88" i="12"/>
  <c r="G79" i="12"/>
  <c r="H125" i="12"/>
  <c r="G124" i="12"/>
  <c r="G115" i="12"/>
  <c r="H107" i="12"/>
  <c r="G106" i="12"/>
  <c r="H89" i="12"/>
  <c r="H99" i="12"/>
  <c r="G126" i="12"/>
  <c r="G99" i="12"/>
  <c r="G117" i="12"/>
  <c r="G100" i="12"/>
  <c r="G81" i="12"/>
  <c r="H83" i="12"/>
  <c r="H119" i="12"/>
  <c r="H102" i="12"/>
  <c r="G92" i="12"/>
  <c r="H75" i="12"/>
  <c r="H120" i="12"/>
  <c r="H116" i="12"/>
  <c r="H114" i="12"/>
  <c r="H109" i="12"/>
  <c r="H74" i="12"/>
  <c r="H91" i="12"/>
  <c r="H118" i="12"/>
  <c r="H111" i="12"/>
  <c r="H78" i="12"/>
  <c r="H84" i="12"/>
  <c r="H88" i="12"/>
  <c r="H101" i="12"/>
  <c r="H104" i="12"/>
  <c r="H80" i="12"/>
  <c r="H79" i="12"/>
  <c r="H122" i="12"/>
  <c r="H94" i="12"/>
  <c r="H98" i="12"/>
  <c r="H105" i="12"/>
  <c r="H72" i="12"/>
  <c r="H60" i="12"/>
  <c r="H48" i="12"/>
  <c r="H36" i="12"/>
  <c r="H24" i="12"/>
  <c r="H55" i="12"/>
  <c r="H19" i="12"/>
  <c r="H66" i="12"/>
  <c r="H18" i="12"/>
  <c r="H41" i="12"/>
  <c r="H39" i="12"/>
  <c r="H50" i="12"/>
  <c r="H37" i="12"/>
  <c r="H71" i="12"/>
  <c r="H59" i="12"/>
  <c r="H47" i="12"/>
  <c r="H35" i="12"/>
  <c r="H23" i="12"/>
  <c r="H70" i="12"/>
  <c r="H58" i="12"/>
  <c r="H46" i="12"/>
  <c r="H34" i="12"/>
  <c r="H22" i="12"/>
  <c r="H67" i="12"/>
  <c r="H42" i="12"/>
  <c r="H65" i="12"/>
  <c r="H17" i="12"/>
  <c r="H51" i="12"/>
  <c r="H62" i="12"/>
  <c r="H26" i="12"/>
  <c r="H49" i="12"/>
  <c r="H69" i="12"/>
  <c r="H57" i="12"/>
  <c r="H45" i="12"/>
  <c r="H33" i="12"/>
  <c r="H21" i="12"/>
  <c r="H43" i="12"/>
  <c r="H54" i="12"/>
  <c r="H29" i="12"/>
  <c r="H38" i="12"/>
  <c r="H25" i="12"/>
  <c r="H68" i="12"/>
  <c r="H56" i="12"/>
  <c r="H44" i="12"/>
  <c r="H32" i="12"/>
  <c r="H20" i="12"/>
  <c r="H31" i="12"/>
  <c r="H30" i="12"/>
  <c r="H53" i="12"/>
  <c r="H61" i="12"/>
  <c r="H64" i="12"/>
  <c r="H52" i="12"/>
  <c r="H40" i="12"/>
  <c r="H28" i="12"/>
  <c r="H16" i="12"/>
  <c r="H63" i="12"/>
  <c r="H27" i="12"/>
  <c r="G28" i="12"/>
  <c r="G30" i="12"/>
  <c r="G53" i="12"/>
  <c r="G70" i="12"/>
  <c r="G47" i="12"/>
  <c r="G60" i="12"/>
  <c r="G27" i="12"/>
  <c r="G65" i="12"/>
  <c r="G14" i="12"/>
  <c r="G66" i="12"/>
  <c r="G38" i="12"/>
  <c r="G69" i="12"/>
  <c r="G34" i="12"/>
  <c r="G20" i="12"/>
  <c r="G44" i="12"/>
  <c r="G21" i="12"/>
  <c r="G45" i="12"/>
  <c r="G46" i="12"/>
  <c r="G19" i="12"/>
  <c r="G58" i="12"/>
  <c r="G36" i="12"/>
  <c r="G39" i="12"/>
  <c r="G40" i="12"/>
  <c r="G35" i="12"/>
  <c r="G63" i="12"/>
  <c r="G49" i="12"/>
  <c r="H14" i="12"/>
  <c r="G72" i="12"/>
  <c r="G61" i="12"/>
  <c r="G22" i="12"/>
  <c r="G18" i="12"/>
  <c r="G54" i="12"/>
  <c r="G51" i="12"/>
  <c r="G16" i="12"/>
  <c r="G52" i="12"/>
  <c r="G15" i="12"/>
  <c r="G17" i="12"/>
  <c r="G31" i="12"/>
  <c r="G41" i="12"/>
  <c r="G42" i="12"/>
  <c r="G50" i="12"/>
  <c r="G62" i="12"/>
  <c r="G24" i="12"/>
  <c r="G68" i="12"/>
  <c r="G23" i="12"/>
  <c r="G25" i="12"/>
  <c r="G32" i="12"/>
  <c r="G33" i="12"/>
  <c r="G55" i="12"/>
  <c r="G48" i="12"/>
  <c r="G71" i="12"/>
  <c r="G37" i="12"/>
  <c r="G29" i="12"/>
  <c r="G59" i="12"/>
  <c r="G56" i="12"/>
  <c r="G43" i="12"/>
  <c r="G57" i="12"/>
  <c r="H15" i="12"/>
  <c r="G26" i="12"/>
  <c r="G64" i="12"/>
  <c r="G67" i="12"/>
  <c r="BO44" i="4"/>
  <c r="CN107" i="4"/>
  <c r="CH104" i="4"/>
  <c r="CG103" i="4"/>
  <c r="CF103" i="4"/>
  <c r="CE104" i="4"/>
  <c r="CD106" i="4"/>
  <c r="CD94" i="4"/>
  <c r="CC97" i="4"/>
  <c r="CB101" i="4"/>
  <c r="CA106" i="4"/>
  <c r="BX103" i="4"/>
  <c r="BX91" i="4"/>
  <c r="BW100" i="4"/>
  <c r="BW88" i="4"/>
  <c r="BV98" i="4"/>
  <c r="BV86" i="4"/>
  <c r="BU97" i="4"/>
  <c r="BU85" i="4"/>
  <c r="BR100" i="4"/>
  <c r="BR88" i="4"/>
  <c r="BQ103" i="4"/>
  <c r="BQ91" i="4"/>
  <c r="BP107" i="4"/>
  <c r="BP95" i="4"/>
  <c r="BP83" i="4"/>
  <c r="BO66" i="4"/>
  <c r="BO100" i="4" s="1"/>
  <c r="BO54" i="4"/>
  <c r="CR108" i="4"/>
  <c r="CN106" i="4"/>
  <c r="CL105" i="4"/>
  <c r="CJ108" i="4"/>
  <c r="CI105" i="4"/>
  <c r="CH103" i="4"/>
  <c r="CG102" i="4"/>
  <c r="CF102" i="4"/>
  <c r="CE103" i="4"/>
  <c r="CB100" i="4"/>
  <c r="CA105" i="4"/>
  <c r="CA93" i="4"/>
  <c r="BZ99" i="4"/>
  <c r="BY106" i="4"/>
  <c r="BY94" i="4"/>
  <c r="BX102" i="4"/>
  <c r="BX90" i="4"/>
  <c r="BW99" i="4"/>
  <c r="BT108" i="4"/>
  <c r="BT96" i="4"/>
  <c r="BT84" i="4"/>
  <c r="BS97" i="4"/>
  <c r="BS85" i="4"/>
  <c r="BR99" i="4"/>
  <c r="BR87" i="4"/>
  <c r="BQ102" i="4"/>
  <c r="BP82" i="4"/>
  <c r="BO65" i="4"/>
  <c r="BO99" i="4" s="1"/>
  <c r="BO53" i="4"/>
  <c r="BO87" i="4" s="1"/>
  <c r="CQ108" i="4"/>
  <c r="CN105" i="4"/>
  <c r="CL104" i="4"/>
  <c r="CJ107" i="4"/>
  <c r="CI104" i="4"/>
  <c r="CH102" i="4"/>
  <c r="CD104" i="4"/>
  <c r="CC107" i="4"/>
  <c r="CC95" i="4"/>
  <c r="CB99" i="4"/>
  <c r="CA104" i="4"/>
  <c r="CA92" i="4"/>
  <c r="BZ98" i="4"/>
  <c r="BY105" i="4"/>
  <c r="BY93" i="4"/>
  <c r="BV96" i="4"/>
  <c r="BU107" i="4"/>
  <c r="BU95" i="4"/>
  <c r="BT107" i="4"/>
  <c r="BT95" i="4"/>
  <c r="BS108" i="4"/>
  <c r="BS96" i="4"/>
  <c r="BS84" i="4"/>
  <c r="BP105" i="4"/>
  <c r="BP93" i="4"/>
  <c r="BP81" i="4"/>
  <c r="BO64" i="4"/>
  <c r="BO98" i="4" s="1"/>
  <c r="BO52" i="4"/>
  <c r="BO86" i="4" s="1"/>
  <c r="CA103" i="4"/>
  <c r="BY92" i="4"/>
  <c r="BX88" i="4"/>
  <c r="BU94" i="4"/>
  <c r="CQ107" i="4"/>
  <c r="CN104" i="4"/>
  <c r="CL103" i="4"/>
  <c r="CJ106" i="4"/>
  <c r="CI103" i="4"/>
  <c r="CH101" i="4"/>
  <c r="CG100" i="4"/>
  <c r="CF100" i="4"/>
  <c r="CC94" i="4"/>
  <c r="CB98" i="4"/>
  <c r="CA91" i="4"/>
  <c r="BZ97" i="4"/>
  <c r="BY104" i="4"/>
  <c r="BX100" i="4"/>
  <c r="BU106" i="4"/>
  <c r="CP107" i="4"/>
  <c r="CM103" i="4"/>
  <c r="CE107" i="4"/>
  <c r="CD101" i="4"/>
  <c r="CC100" i="4"/>
  <c r="CB96" i="4"/>
  <c r="CA97" i="4"/>
  <c r="BZ95" i="4"/>
  <c r="BY98" i="4"/>
  <c r="BX98" i="4"/>
  <c r="BW103" i="4"/>
  <c r="BT100" i="4"/>
  <c r="BS106" i="4"/>
  <c r="BS91" i="4"/>
  <c r="BR102" i="4"/>
  <c r="BR84" i="4"/>
  <c r="BQ96" i="4"/>
  <c r="BQ81" i="4"/>
  <c r="BP91" i="4"/>
  <c r="BO71" i="4"/>
  <c r="BO105" i="4" s="1"/>
  <c r="BO56" i="4"/>
  <c r="CE106" i="4"/>
  <c r="CC99" i="4"/>
  <c r="CA96" i="4"/>
  <c r="BY97" i="4"/>
  <c r="BX97" i="4"/>
  <c r="BV104" i="4"/>
  <c r="BU91" i="4"/>
  <c r="BS105" i="4"/>
  <c r="BO55" i="4"/>
  <c r="BO89" i="4" s="1"/>
  <c r="CO108" i="4"/>
  <c r="CJ102" i="4"/>
  <c r="CH105" i="4"/>
  <c r="CE105" i="4"/>
  <c r="CD99" i="4"/>
  <c r="CB94" i="4"/>
  <c r="BZ93" i="4"/>
  <c r="BX96" i="4"/>
  <c r="BR82" i="4"/>
  <c r="BP104" i="4"/>
  <c r="BO69" i="4"/>
  <c r="BO103" i="4" s="1"/>
  <c r="CB92" i="4"/>
  <c r="BX94" i="4"/>
  <c r="BU104" i="4"/>
  <c r="BS87" i="4"/>
  <c r="BQ92" i="4"/>
  <c r="BP87" i="4"/>
  <c r="BX93" i="4"/>
  <c r="BU87" i="4"/>
  <c r="BS83" i="4"/>
  <c r="BQ106" i="4"/>
  <c r="BP86" i="4"/>
  <c r="CN108" i="4"/>
  <c r="CG108" i="4"/>
  <c r="CD95" i="4"/>
  <c r="BS100" i="4"/>
  <c r="BQ87" i="4"/>
  <c r="BP85" i="4"/>
  <c r="CI102" i="4"/>
  <c r="CF99" i="4"/>
  <c r="CB105" i="4"/>
  <c r="BY103" i="4"/>
  <c r="BW108" i="4"/>
  <c r="BU101" i="4"/>
  <c r="BO46" i="4"/>
  <c r="BO80" i="4" s="1"/>
  <c r="CI101" i="4"/>
  <c r="CA101" i="4"/>
  <c r="BX106" i="4"/>
  <c r="BU100" i="4"/>
  <c r="BT89" i="4"/>
  <c r="BR91" i="4"/>
  <c r="BP98" i="4"/>
  <c r="CA100" i="4"/>
  <c r="BX105" i="4"/>
  <c r="BV92" i="4"/>
  <c r="BT88" i="4"/>
  <c r="BQ99" i="4"/>
  <c r="BP97" i="4"/>
  <c r="CP106" i="4"/>
  <c r="CH106" i="4"/>
  <c r="CD100" i="4"/>
  <c r="BW102" i="4"/>
  <c r="BV88" i="4"/>
  <c r="BT99" i="4"/>
  <c r="BS90" i="4"/>
  <c r="BR83" i="4"/>
  <c r="BP108" i="4"/>
  <c r="BO70" i="4"/>
  <c r="BO104" i="4" s="1"/>
  <c r="CL107" i="4"/>
  <c r="CF108" i="4"/>
  <c r="CC98" i="4"/>
  <c r="CA95" i="4"/>
  <c r="BV87" i="4"/>
  <c r="BU90" i="4"/>
  <c r="BS104" i="4"/>
  <c r="BR97" i="4"/>
  <c r="BQ94" i="4"/>
  <c r="BP89" i="4"/>
  <c r="BO51" i="4"/>
  <c r="BO85" i="4" s="1"/>
  <c r="BZ91" i="4"/>
  <c r="BV101" i="4"/>
  <c r="BO49" i="4"/>
  <c r="BO83" i="4" s="1"/>
  <c r="CI108" i="4"/>
  <c r="CE98" i="4"/>
  <c r="CA108" i="4"/>
  <c r="BY89" i="4"/>
  <c r="BV100" i="4"/>
  <c r="BT92" i="4"/>
  <c r="BR94" i="4"/>
  <c r="BP101" i="4"/>
  <c r="BO48" i="4"/>
  <c r="CA107" i="4"/>
  <c r="BX108" i="4"/>
  <c r="BV99" i="4"/>
  <c r="BT91" i="4"/>
  <c r="BR93" i="4"/>
  <c r="BP100" i="4"/>
  <c r="BO47" i="4"/>
  <c r="BO81" i="4" s="1"/>
  <c r="CK105" i="4"/>
  <c r="CE96" i="4"/>
  <c r="BR107" i="4"/>
  <c r="BQ86" i="4"/>
  <c r="BO61" i="4"/>
  <c r="BO95" i="4" s="1"/>
  <c r="CK104" i="4"/>
  <c r="CF98" i="4"/>
  <c r="CB104" i="4"/>
  <c r="BY102" i="4"/>
  <c r="BW91" i="4"/>
  <c r="BO60" i="4"/>
  <c r="BO94" i="4" s="1"/>
  <c r="CM106" i="4"/>
  <c r="CF97" i="4"/>
  <c r="CB103" i="4"/>
  <c r="BY101" i="4"/>
  <c r="BW90" i="4"/>
  <c r="BT103" i="4"/>
  <c r="BR105" i="4"/>
  <c r="BQ84" i="4"/>
  <c r="BO59" i="4"/>
  <c r="CH100" i="4"/>
  <c r="CF107" i="4"/>
  <c r="CE100" i="4"/>
  <c r="CD98" i="4"/>
  <c r="CC93" i="4"/>
  <c r="CB93" i="4"/>
  <c r="BZ108" i="4"/>
  <c r="BZ92" i="4"/>
  <c r="BU105" i="4"/>
  <c r="BU89" i="4"/>
  <c r="BT94" i="4"/>
  <c r="BS103" i="4"/>
  <c r="BS88" i="4"/>
  <c r="BR96" i="4"/>
  <c r="BQ108" i="4"/>
  <c r="BQ93" i="4"/>
  <c r="BO68" i="4"/>
  <c r="BO50" i="4"/>
  <c r="BO84" i="4" s="1"/>
  <c r="CO106" i="4"/>
  <c r="CK108" i="4"/>
  <c r="CJ100" i="4"/>
  <c r="CH99" i="4"/>
  <c r="CF106" i="4"/>
  <c r="CE99" i="4"/>
  <c r="CD97" i="4"/>
  <c r="CB108" i="4"/>
  <c r="BU88" i="4"/>
  <c r="BS102" i="4"/>
  <c r="BQ107" i="4"/>
  <c r="BO67" i="4"/>
  <c r="BO101" i="4" s="1"/>
  <c r="CO105" i="4"/>
  <c r="CH98" i="4"/>
  <c r="CD96" i="4"/>
  <c r="BZ90" i="4"/>
  <c r="BW94" i="4"/>
  <c r="BO63" i="4"/>
  <c r="BO97" i="4" s="1"/>
  <c r="CK106" i="4"/>
  <c r="CF104" i="4"/>
  <c r="CB106" i="4"/>
  <c r="BZ105" i="4"/>
  <c r="BW93" i="4"/>
  <c r="BU86" i="4"/>
  <c r="BR108" i="4"/>
  <c r="BQ105" i="4"/>
  <c r="BO62" i="4"/>
  <c r="BZ104" i="4"/>
  <c r="BV94" i="4"/>
  <c r="BT90" i="4"/>
  <c r="BR92" i="4"/>
  <c r="BP99" i="4"/>
  <c r="CM107" i="4"/>
  <c r="CG106" i="4"/>
  <c r="CC104" i="4"/>
  <c r="BS95" i="4"/>
  <c r="BQ100" i="4"/>
  <c r="BP46" i="4"/>
  <c r="BP80" i="4" s="1"/>
  <c r="BO45" i="4"/>
  <c r="BO79" i="4" s="1"/>
  <c r="CI100" i="4"/>
  <c r="CD108" i="4"/>
  <c r="BZ102" i="4"/>
  <c r="BW106" i="4"/>
  <c r="BU99" i="4"/>
  <c r="CC102" i="4"/>
  <c r="BW105" i="4"/>
  <c r="BS93" i="4"/>
  <c r="BO74" i="4"/>
  <c r="BO108" i="4" s="1"/>
  <c r="CM104" i="4"/>
  <c r="CC101" i="4"/>
  <c r="BW104" i="4"/>
  <c r="BS92" i="4"/>
  <c r="BO73" i="4"/>
  <c r="BO107" i="4" s="1"/>
  <c r="BR104" i="4"/>
  <c r="BO72" i="4"/>
  <c r="BO106" i="4" s="1"/>
  <c r="CJ105" i="4"/>
  <c r="CB97" i="4"/>
  <c r="BV106" i="4"/>
  <c r="BR103" i="4"/>
  <c r="BO58" i="4"/>
  <c r="BO92" i="4" s="1"/>
  <c r="CI99" i="4"/>
  <c r="CA99" i="4"/>
  <c r="BV91" i="4"/>
  <c r="BO57" i="4"/>
  <c r="CH108" i="4"/>
  <c r="CA98" i="4"/>
  <c r="BV90" i="4"/>
  <c r="BR85" i="4"/>
  <c r="CG104" i="4"/>
  <c r="BU98" i="4"/>
  <c r="BQ98" i="4"/>
  <c r="CG99" i="4"/>
  <c r="BU93" i="4"/>
  <c r="BT101" i="4"/>
  <c r="BX104" i="4"/>
  <c r="BP96" i="4"/>
  <c r="CD102" i="4"/>
  <c r="BP92" i="4"/>
  <c r="BZ101" i="4"/>
  <c r="BZ96" i="4"/>
  <c r="BQ97" i="4"/>
  <c r="BY100" i="4"/>
  <c r="BQ82" i="4"/>
  <c r="CD107" i="4"/>
  <c r="BT87" i="4"/>
  <c r="CP108" i="4"/>
  <c r="BT86" i="4"/>
  <c r="BX99" i="4"/>
  <c r="CB78" i="4"/>
  <c r="BP78" i="4"/>
  <c r="CA78" i="4"/>
  <c r="BO78" i="4"/>
  <c r="U22" i="12" s="1"/>
  <c r="BZ78" i="4"/>
  <c r="BY78" i="4"/>
  <c r="BX78" i="4"/>
  <c r="BW78" i="4"/>
  <c r="BV78" i="4"/>
  <c r="BT78" i="4"/>
  <c r="BS78" i="4"/>
  <c r="CC78" i="4"/>
  <c r="BU78" i="4"/>
  <c r="BR78" i="4"/>
  <c r="BQ78" i="4"/>
  <c r="N186" i="12"/>
  <c r="N191" i="12"/>
  <c r="N179" i="12"/>
  <c r="N189" i="12"/>
  <c r="N180" i="12"/>
  <c r="N170" i="12"/>
  <c r="N153" i="12"/>
  <c r="N141" i="12"/>
  <c r="N129" i="12"/>
  <c r="N190" i="12"/>
  <c r="N182" i="12"/>
  <c r="N181" i="12"/>
  <c r="N169" i="12"/>
  <c r="N188" i="12"/>
  <c r="N178" i="12"/>
  <c r="N177" i="12"/>
  <c r="N167" i="12"/>
  <c r="N162" i="12"/>
  <c r="N159" i="12"/>
  <c r="N128" i="12"/>
  <c r="N187" i="12"/>
  <c r="N173" i="12"/>
  <c r="N151" i="12"/>
  <c r="N138" i="12"/>
  <c r="N134" i="12"/>
  <c r="N171" i="12"/>
  <c r="N165" i="12"/>
  <c r="N157" i="12"/>
  <c r="N154" i="12"/>
  <c r="N150" i="12"/>
  <c r="N148" i="12"/>
  <c r="N145" i="12"/>
  <c r="N144" i="12"/>
  <c r="N140" i="12"/>
  <c r="N175" i="12"/>
  <c r="N172" i="12"/>
  <c r="N156" i="12"/>
  <c r="N143" i="12"/>
  <c r="N131" i="12"/>
  <c r="N147" i="12"/>
  <c r="N174" i="12"/>
  <c r="N130" i="12"/>
  <c r="N176" i="12"/>
  <c r="N163" i="12"/>
  <c r="N160" i="12"/>
  <c r="N133" i="12"/>
  <c r="N192" i="12"/>
  <c r="N183" i="12"/>
  <c r="N166" i="12"/>
  <c r="N155" i="12"/>
  <c r="N152" i="12"/>
  <c r="N139" i="12"/>
  <c r="N136" i="12"/>
  <c r="N168" i="12"/>
  <c r="N158" i="12"/>
  <c r="N142" i="12"/>
  <c r="N184" i="12"/>
  <c r="N149" i="12"/>
  <c r="N146" i="12"/>
  <c r="N137" i="12"/>
  <c r="N161" i="12"/>
  <c r="N132" i="12"/>
  <c r="N185" i="12"/>
  <c r="N164" i="12"/>
  <c r="N135" i="12"/>
  <c r="O191" i="12"/>
  <c r="O179" i="12"/>
  <c r="O184" i="12"/>
  <c r="O176" i="12"/>
  <c r="O163" i="12"/>
  <c r="O177" i="12"/>
  <c r="O158" i="12"/>
  <c r="O146" i="12"/>
  <c r="O134" i="12"/>
  <c r="O188" i="12"/>
  <c r="O178" i="12"/>
  <c r="O167" i="12"/>
  <c r="O162" i="12"/>
  <c r="O159" i="12"/>
  <c r="O128" i="12"/>
  <c r="O160" i="12"/>
  <c r="O150" i="12"/>
  <c r="O143" i="12"/>
  <c r="O189" i="12"/>
  <c r="O174" i="12"/>
  <c r="O186" i="12"/>
  <c r="O171" i="12"/>
  <c r="O170" i="12"/>
  <c r="O169" i="12"/>
  <c r="O165" i="12"/>
  <c r="O157" i="12"/>
  <c r="O154" i="12"/>
  <c r="O148" i="12"/>
  <c r="O145" i="12"/>
  <c r="O144" i="12"/>
  <c r="O140" i="12"/>
  <c r="O175" i="12"/>
  <c r="O172" i="12"/>
  <c r="O156" i="12"/>
  <c r="O131" i="12"/>
  <c r="O147" i="12"/>
  <c r="O181" i="12"/>
  <c r="O149" i="12"/>
  <c r="O139" i="12"/>
  <c r="O137" i="12"/>
  <c r="O133" i="12"/>
  <c r="O182" i="12"/>
  <c r="O180" i="12"/>
  <c r="O192" i="12"/>
  <c r="O183" i="12"/>
  <c r="O166" i="12"/>
  <c r="O155" i="12"/>
  <c r="O152" i="12"/>
  <c r="O141" i="12"/>
  <c r="O138" i="12"/>
  <c r="O153" i="12"/>
  <c r="O190" i="12"/>
  <c r="O136" i="12"/>
  <c r="O168" i="12"/>
  <c r="O142" i="12"/>
  <c r="O161" i="12"/>
  <c r="O151" i="12"/>
  <c r="O132" i="12"/>
  <c r="O129" i="12"/>
  <c r="O185" i="12"/>
  <c r="O173" i="12"/>
  <c r="O164" i="12"/>
  <c r="O135" i="12"/>
  <c r="O187" i="12"/>
  <c r="O130" i="12"/>
  <c r="T192" i="12"/>
  <c r="T180" i="12"/>
  <c r="T185" i="12"/>
  <c r="T182" i="12"/>
  <c r="T164" i="12"/>
  <c r="T159" i="12"/>
  <c r="T147" i="12"/>
  <c r="T135" i="12"/>
  <c r="T189" i="12"/>
  <c r="T183" i="12"/>
  <c r="T171" i="12"/>
  <c r="T140" i="12"/>
  <c r="T133" i="12"/>
  <c r="T168" i="12"/>
  <c r="T155" i="12"/>
  <c r="T139" i="12"/>
  <c r="T132" i="12"/>
  <c r="T186" i="12"/>
  <c r="T184" i="12"/>
  <c r="T181" i="12"/>
  <c r="T156" i="12"/>
  <c r="T153" i="12"/>
  <c r="T137" i="12"/>
  <c r="T188" i="12"/>
  <c r="T149" i="12"/>
  <c r="T130" i="12"/>
  <c r="T174" i="12"/>
  <c r="T146" i="12"/>
  <c r="T142" i="12"/>
  <c r="T136" i="12"/>
  <c r="T177" i="12"/>
  <c r="T161" i="12"/>
  <c r="T160" i="12"/>
  <c r="T152" i="12"/>
  <c r="T190" i="12"/>
  <c r="T178" i="12"/>
  <c r="T176" i="12"/>
  <c r="T175" i="12"/>
  <c r="T148" i="12"/>
  <c r="T131" i="12"/>
  <c r="T158" i="12"/>
  <c r="T165" i="12"/>
  <c r="T151" i="12"/>
  <c r="T144" i="12"/>
  <c r="T134" i="12"/>
  <c r="T129" i="12"/>
  <c r="T179" i="12"/>
  <c r="T172" i="12"/>
  <c r="T173" i="12"/>
  <c r="T167" i="12"/>
  <c r="T154" i="12"/>
  <c r="T191" i="12"/>
  <c r="T187" i="12"/>
  <c r="T170" i="12"/>
  <c r="T157" i="12"/>
  <c r="T150" i="12"/>
  <c r="T138" i="12"/>
  <c r="T128" i="12"/>
  <c r="T145" i="12"/>
  <c r="T143" i="12"/>
  <c r="T169" i="12"/>
  <c r="T166" i="12"/>
  <c r="T163" i="12"/>
  <c r="T141" i="12"/>
  <c r="T162" i="12"/>
  <c r="P184" i="12"/>
  <c r="P189" i="12"/>
  <c r="P188" i="12"/>
  <c r="P182" i="12"/>
  <c r="P181" i="12"/>
  <c r="P183" i="12"/>
  <c r="P168" i="12"/>
  <c r="P167" i="12"/>
  <c r="P160" i="12"/>
  <c r="P151" i="12"/>
  <c r="P139" i="12"/>
  <c r="P177" i="12"/>
  <c r="P150" i="12"/>
  <c r="P143" i="12"/>
  <c r="P179" i="12"/>
  <c r="P174" i="12"/>
  <c r="P170" i="12"/>
  <c r="P158" i="12"/>
  <c r="P142" i="12"/>
  <c r="P136" i="12"/>
  <c r="P135" i="12"/>
  <c r="P192" i="12"/>
  <c r="P176" i="12"/>
  <c r="P144" i="12"/>
  <c r="P140" i="12"/>
  <c r="P191" i="12"/>
  <c r="P175" i="12"/>
  <c r="P172" i="12"/>
  <c r="P156" i="12"/>
  <c r="P131" i="12"/>
  <c r="P147" i="12"/>
  <c r="P149" i="12"/>
  <c r="P137" i="12"/>
  <c r="P133" i="12"/>
  <c r="P153" i="12"/>
  <c r="P166" i="12"/>
  <c r="P163" i="12"/>
  <c r="P155" i="12"/>
  <c r="P152" i="12"/>
  <c r="P141" i="12"/>
  <c r="P138" i="12"/>
  <c r="P128" i="12"/>
  <c r="P145" i="12"/>
  <c r="P190" i="12"/>
  <c r="P169" i="12"/>
  <c r="P162" i="12"/>
  <c r="P148" i="12"/>
  <c r="P134" i="12"/>
  <c r="P186" i="12"/>
  <c r="P161" i="12"/>
  <c r="P146" i="12"/>
  <c r="P171" i="12"/>
  <c r="P165" i="12"/>
  <c r="P132" i="12"/>
  <c r="P129" i="12"/>
  <c r="P185" i="12"/>
  <c r="P173" i="12"/>
  <c r="P164" i="12"/>
  <c r="P159" i="12"/>
  <c r="P154" i="12"/>
  <c r="P187" i="12"/>
  <c r="P178" i="12"/>
  <c r="P157" i="12"/>
  <c r="P130" i="12"/>
  <c r="P180" i="12"/>
  <c r="S187" i="12"/>
  <c r="S192" i="12"/>
  <c r="S180" i="12"/>
  <c r="S189" i="12"/>
  <c r="S179" i="12"/>
  <c r="S178" i="12"/>
  <c r="S186" i="12"/>
  <c r="S175" i="12"/>
  <c r="S171" i="12"/>
  <c r="S173" i="12"/>
  <c r="S166" i="12"/>
  <c r="S154" i="12"/>
  <c r="S142" i="12"/>
  <c r="S130" i="12"/>
  <c r="S176" i="12"/>
  <c r="S156" i="12"/>
  <c r="S149" i="12"/>
  <c r="S141" i="12"/>
  <c r="S134" i="12"/>
  <c r="S183" i="12"/>
  <c r="S164" i="12"/>
  <c r="S140" i="12"/>
  <c r="S133" i="12"/>
  <c r="S143" i="12"/>
  <c r="S181" i="12"/>
  <c r="S153" i="12"/>
  <c r="S139" i="12"/>
  <c r="S137" i="12"/>
  <c r="S188" i="12"/>
  <c r="S184" i="12"/>
  <c r="S185" i="12"/>
  <c r="S182" i="12"/>
  <c r="S174" i="12"/>
  <c r="S159" i="12"/>
  <c r="S155" i="12"/>
  <c r="S146" i="12"/>
  <c r="S136" i="12"/>
  <c r="S132" i="12"/>
  <c r="S177" i="12"/>
  <c r="S162" i="12"/>
  <c r="S168" i="12"/>
  <c r="S148" i="12"/>
  <c r="S131" i="12"/>
  <c r="S158" i="12"/>
  <c r="S165" i="12"/>
  <c r="S161" i="12"/>
  <c r="S151" i="12"/>
  <c r="S144" i="12"/>
  <c r="S129" i="12"/>
  <c r="S172" i="12"/>
  <c r="S167" i="12"/>
  <c r="S191" i="12"/>
  <c r="S147" i="12"/>
  <c r="S135" i="12"/>
  <c r="S170" i="12"/>
  <c r="S157" i="12"/>
  <c r="S152" i="12"/>
  <c r="S150" i="12"/>
  <c r="S138" i="12"/>
  <c r="S128" i="12"/>
  <c r="S145" i="12"/>
  <c r="S190" i="12"/>
  <c r="S169" i="12"/>
  <c r="S163" i="12"/>
  <c r="S160" i="12"/>
  <c r="Q189" i="12"/>
  <c r="Q182" i="12"/>
  <c r="Q191" i="12"/>
  <c r="Q185" i="12"/>
  <c r="Q192" i="12"/>
  <c r="Q173" i="12"/>
  <c r="Q161" i="12"/>
  <c r="Q156" i="12"/>
  <c r="Q144" i="12"/>
  <c r="Q132" i="12"/>
  <c r="Q179" i="12"/>
  <c r="Q174" i="12"/>
  <c r="Q170" i="12"/>
  <c r="Q160" i="12"/>
  <c r="Q158" i="12"/>
  <c r="Q142" i="12"/>
  <c r="Q136" i="12"/>
  <c r="Q135" i="12"/>
  <c r="Q176" i="12"/>
  <c r="Q163" i="12"/>
  <c r="Q157" i="12"/>
  <c r="Q149" i="12"/>
  <c r="Q175" i="12"/>
  <c r="Q172" i="12"/>
  <c r="Q150" i="12"/>
  <c r="Q131" i="12"/>
  <c r="Q147" i="12"/>
  <c r="Q143" i="12"/>
  <c r="Q137" i="12"/>
  <c r="Q133" i="12"/>
  <c r="Q181" i="12"/>
  <c r="Q153" i="12"/>
  <c r="Q139" i="12"/>
  <c r="Q188" i="12"/>
  <c r="Q130" i="12"/>
  <c r="Q184" i="12"/>
  <c r="Q183" i="12"/>
  <c r="Q145" i="12"/>
  <c r="Q190" i="12"/>
  <c r="Q169" i="12"/>
  <c r="Q162" i="12"/>
  <c r="Q168" i="12"/>
  <c r="Q148" i="12"/>
  <c r="Q177" i="12"/>
  <c r="Q134" i="12"/>
  <c r="Q186" i="12"/>
  <c r="Q146" i="12"/>
  <c r="Q171" i="12"/>
  <c r="Q165" i="12"/>
  <c r="Q151" i="12"/>
  <c r="Q129" i="12"/>
  <c r="Q140" i="12"/>
  <c r="Q164" i="12"/>
  <c r="Q159" i="12"/>
  <c r="Q154" i="12"/>
  <c r="Q187" i="12"/>
  <c r="Q178" i="12"/>
  <c r="Q167" i="12"/>
  <c r="Q180" i="12"/>
  <c r="Q166" i="12"/>
  <c r="Q155" i="12"/>
  <c r="Q152" i="12"/>
  <c r="Q141" i="12"/>
  <c r="Q138" i="12"/>
  <c r="Q128" i="12"/>
  <c r="R182" i="12"/>
  <c r="R187" i="12"/>
  <c r="R176" i="12"/>
  <c r="R179" i="12"/>
  <c r="R166" i="12"/>
  <c r="R174" i="12"/>
  <c r="R149" i="12"/>
  <c r="R137" i="12"/>
  <c r="R163" i="12"/>
  <c r="R157" i="12"/>
  <c r="R192" i="12"/>
  <c r="R189" i="12"/>
  <c r="R171" i="12"/>
  <c r="R156" i="12"/>
  <c r="R141" i="12"/>
  <c r="R134" i="12"/>
  <c r="R183" i="12"/>
  <c r="R180" i="12"/>
  <c r="R191" i="12"/>
  <c r="R147" i="12"/>
  <c r="R143" i="12"/>
  <c r="R133" i="12"/>
  <c r="R181" i="12"/>
  <c r="R153" i="12"/>
  <c r="R139" i="12"/>
  <c r="R188" i="12"/>
  <c r="R130" i="12"/>
  <c r="R184" i="12"/>
  <c r="R142" i="12"/>
  <c r="R185" i="12"/>
  <c r="R190" i="12"/>
  <c r="R169" i="12"/>
  <c r="R160" i="12"/>
  <c r="R175" i="12"/>
  <c r="R162" i="12"/>
  <c r="R168" i="12"/>
  <c r="R148" i="12"/>
  <c r="R136" i="12"/>
  <c r="R177" i="12"/>
  <c r="R131" i="12"/>
  <c r="R186" i="12"/>
  <c r="R158" i="12"/>
  <c r="R146" i="12"/>
  <c r="R165" i="12"/>
  <c r="R161" i="12"/>
  <c r="R151" i="12"/>
  <c r="R144" i="12"/>
  <c r="R129" i="12"/>
  <c r="R140" i="12"/>
  <c r="R132" i="12"/>
  <c r="R173" i="12"/>
  <c r="R172" i="12"/>
  <c r="R164" i="12"/>
  <c r="R159" i="12"/>
  <c r="R154" i="12"/>
  <c r="R178" i="12"/>
  <c r="R167" i="12"/>
  <c r="R135" i="12"/>
  <c r="R170" i="12"/>
  <c r="R155" i="12"/>
  <c r="R152" i="12"/>
  <c r="R150" i="12"/>
  <c r="R138" i="12"/>
  <c r="R128" i="12"/>
  <c r="R145" i="12"/>
  <c r="BM79" i="4"/>
  <c r="BM46" i="4"/>
  <c r="BO93" i="4"/>
  <c r="BO102" i="4"/>
  <c r="BO82" i="4"/>
  <c r="BO96" i="4"/>
  <c r="BO88" i="4"/>
  <c r="BO91" i="4"/>
  <c r="BO90" i="4"/>
  <c r="BP103" i="4"/>
  <c r="BP106" i="4"/>
  <c r="BP90" i="4"/>
  <c r="BP94" i="4"/>
  <c r="BP84" i="4"/>
  <c r="BP88" i="4"/>
  <c r="BP102" i="4"/>
  <c r="BQ95" i="4"/>
  <c r="BQ83" i="4"/>
  <c r="BQ104" i="4"/>
  <c r="BQ101" i="4"/>
  <c r="BQ90" i="4"/>
  <c r="BQ89" i="4"/>
  <c r="BQ85" i="4"/>
  <c r="BQ88" i="4"/>
  <c r="BR106" i="4"/>
  <c r="BR101" i="4"/>
  <c r="BR90" i="4"/>
  <c r="BR89" i="4"/>
  <c r="BR86" i="4"/>
  <c r="BR95" i="4"/>
  <c r="BR98" i="4"/>
  <c r="BS98" i="4"/>
  <c r="BS94" i="4"/>
  <c r="BS107" i="4"/>
  <c r="BS89" i="4"/>
  <c r="BS86" i="4"/>
  <c r="BS99" i="4"/>
  <c r="BS101" i="4"/>
  <c r="BT97" i="4"/>
  <c r="BT104" i="4"/>
  <c r="BT93" i="4"/>
  <c r="BT85" i="4"/>
  <c r="BT106" i="4"/>
  <c r="BT98" i="4"/>
  <c r="BT105" i="4"/>
  <c r="BT102" i="4"/>
  <c r="BU108" i="4"/>
  <c r="BU102" i="4"/>
  <c r="BU103" i="4"/>
  <c r="BU92" i="4"/>
  <c r="BU96" i="4"/>
  <c r="BV89" i="4"/>
  <c r="BV102" i="4"/>
  <c r="BV108" i="4"/>
  <c r="BV95" i="4"/>
  <c r="BV97" i="4"/>
  <c r="BV107" i="4"/>
  <c r="BV93" i="4"/>
  <c r="BV103" i="4"/>
  <c r="BV105" i="4"/>
  <c r="BW107" i="4"/>
  <c r="BW96" i="4"/>
  <c r="BW95" i="4"/>
  <c r="BW89" i="4"/>
  <c r="BW92" i="4"/>
  <c r="BW87" i="4"/>
  <c r="BW98" i="4"/>
  <c r="BW101" i="4"/>
  <c r="BW97" i="4"/>
  <c r="BX107" i="4"/>
  <c r="BX101" i="4"/>
  <c r="BX92" i="4"/>
  <c r="BX95" i="4"/>
  <c r="BX89" i="4"/>
  <c r="BY91" i="4"/>
  <c r="BY96" i="4"/>
  <c r="BY108" i="4"/>
  <c r="BY107" i="4"/>
  <c r="BY95" i="4"/>
  <c r="BY90" i="4"/>
  <c r="BY99" i="4"/>
  <c r="BZ107" i="4"/>
  <c r="BZ100" i="4"/>
  <c r="BZ94" i="4"/>
  <c r="BZ103" i="4"/>
  <c r="BZ106" i="4"/>
  <c r="CA102" i="4"/>
  <c r="CA94" i="4"/>
  <c r="CB107" i="4"/>
  <c r="CB102" i="4"/>
  <c r="CB95" i="4"/>
  <c r="CC105" i="4"/>
  <c r="CC96" i="4"/>
  <c r="CC106" i="4"/>
  <c r="CC108" i="4"/>
  <c r="CC103" i="4"/>
  <c r="CD103" i="4"/>
  <c r="CD105" i="4"/>
  <c r="CE108" i="4"/>
  <c r="CE101" i="4"/>
  <c r="CE97" i="4"/>
  <c r="CE95" i="4"/>
  <c r="CE102" i="4"/>
  <c r="CF105" i="4"/>
  <c r="CF96" i="4"/>
  <c r="CF101" i="4"/>
  <c r="CG107" i="4"/>
  <c r="CG98" i="4"/>
  <c r="CG105" i="4"/>
  <c r="CG101" i="4"/>
  <c r="CG97" i="4"/>
  <c r="CH107" i="4"/>
  <c r="CI107" i="4"/>
  <c r="CI106" i="4"/>
  <c r="CJ101" i="4"/>
  <c r="CJ103" i="4"/>
  <c r="CJ104" i="4"/>
  <c r="CK107" i="4"/>
  <c r="CK103" i="4"/>
  <c r="CK101" i="4"/>
  <c r="CK102" i="4"/>
  <c r="CL102" i="4"/>
  <c r="CL106" i="4"/>
  <c r="CL108" i="4"/>
  <c r="CM108" i="4"/>
  <c r="CM105" i="4"/>
  <c r="CO107" i="4"/>
  <c r="BM160" i="21"/>
  <c r="BM128" i="21"/>
  <c r="BM114" i="21"/>
  <c r="BM147" i="21"/>
  <c r="BM167" i="21"/>
  <c r="BM135" i="21"/>
  <c r="BM106" i="21"/>
  <c r="BM127" i="21"/>
  <c r="BM146" i="21"/>
  <c r="BM161" i="21"/>
  <c r="BM154" i="21"/>
  <c r="BM175" i="21"/>
  <c r="BM174" i="21"/>
  <c r="BM113" i="21"/>
  <c r="BM107" i="21"/>
  <c r="BM168" i="21"/>
  <c r="BM121" i="21"/>
  <c r="BM120" i="21"/>
  <c r="BM153" i="21"/>
  <c r="BM134" i="21"/>
  <c r="BN21" i="21"/>
  <c r="BM25" i="21"/>
  <c r="BM24" i="21"/>
  <c r="BV1" i="21"/>
  <c r="BU23" i="21"/>
  <c r="R123" i="12"/>
  <c r="R124" i="12"/>
  <c r="R127" i="12"/>
  <c r="R126" i="12"/>
  <c r="R121" i="12"/>
  <c r="R118" i="12"/>
  <c r="R111" i="12"/>
  <c r="R110" i="12"/>
  <c r="R117" i="12"/>
  <c r="R125" i="12"/>
  <c r="R122" i="12"/>
  <c r="R120" i="12"/>
  <c r="R115" i="12"/>
  <c r="R113" i="12"/>
  <c r="R112" i="12"/>
  <c r="R109" i="12"/>
  <c r="R100" i="12"/>
  <c r="R107" i="12"/>
  <c r="R106" i="12"/>
  <c r="R105" i="12"/>
  <c r="R99" i="12"/>
  <c r="R119" i="12"/>
  <c r="R103" i="12"/>
  <c r="R104" i="12"/>
  <c r="R93" i="12"/>
  <c r="R85" i="12"/>
  <c r="R96" i="12"/>
  <c r="R91" i="12"/>
  <c r="R83" i="12"/>
  <c r="R102" i="12"/>
  <c r="R89" i="12"/>
  <c r="R86" i="12"/>
  <c r="R78" i="12"/>
  <c r="R101" i="12"/>
  <c r="R98" i="12"/>
  <c r="R97" i="12"/>
  <c r="R84" i="12"/>
  <c r="R77" i="12"/>
  <c r="R76" i="12"/>
  <c r="R90" i="12"/>
  <c r="R75" i="12"/>
  <c r="R73" i="12"/>
  <c r="R94" i="12"/>
  <c r="R82" i="12"/>
  <c r="R108" i="12"/>
  <c r="R92" i="12"/>
  <c r="R80" i="12"/>
  <c r="R79" i="12"/>
  <c r="R116" i="12"/>
  <c r="R114" i="12"/>
  <c r="R95" i="12"/>
  <c r="R87" i="12"/>
  <c r="R74" i="12"/>
  <c r="R81" i="12"/>
  <c r="R88" i="12"/>
  <c r="O127" i="12"/>
  <c r="O126" i="12"/>
  <c r="O125" i="12"/>
  <c r="O121" i="12"/>
  <c r="O118" i="12"/>
  <c r="O124" i="12"/>
  <c r="O114" i="12"/>
  <c r="O106" i="12"/>
  <c r="O113" i="12"/>
  <c r="O105" i="12"/>
  <c r="O119" i="12"/>
  <c r="O122" i="12"/>
  <c r="O117" i="12"/>
  <c r="O123" i="12"/>
  <c r="O116" i="12"/>
  <c r="O103" i="12"/>
  <c r="O112" i="12"/>
  <c r="O102" i="12"/>
  <c r="O115" i="12"/>
  <c r="O111" i="12"/>
  <c r="O104" i="12"/>
  <c r="O110" i="12"/>
  <c r="O97" i="12"/>
  <c r="O88" i="12"/>
  <c r="O108" i="12"/>
  <c r="O107" i="12"/>
  <c r="O94" i="12"/>
  <c r="O86" i="12"/>
  <c r="O101" i="12"/>
  <c r="O100" i="12"/>
  <c r="O96" i="12"/>
  <c r="O92" i="12"/>
  <c r="O84" i="12"/>
  <c r="O91" i="12"/>
  <c r="O82" i="12"/>
  <c r="O81" i="12"/>
  <c r="O73" i="12"/>
  <c r="O79" i="12"/>
  <c r="O87" i="12"/>
  <c r="O85" i="12"/>
  <c r="O80" i="12"/>
  <c r="O109" i="12"/>
  <c r="O98" i="12"/>
  <c r="O83" i="12"/>
  <c r="O78" i="12"/>
  <c r="O120" i="12"/>
  <c r="O99" i="12"/>
  <c r="O95" i="12"/>
  <c r="O90" i="12"/>
  <c r="O93" i="12"/>
  <c r="O74" i="12"/>
  <c r="O77" i="12"/>
  <c r="O89" i="12"/>
  <c r="O76" i="12"/>
  <c r="O75" i="12"/>
  <c r="N127" i="12"/>
  <c r="N126" i="12"/>
  <c r="N122" i="12"/>
  <c r="N125" i="12"/>
  <c r="N123" i="12"/>
  <c r="N119" i="12"/>
  <c r="N118" i="12"/>
  <c r="N120" i="12"/>
  <c r="N115" i="12"/>
  <c r="N107" i="12"/>
  <c r="N121" i="12"/>
  <c r="N114" i="12"/>
  <c r="N106" i="12"/>
  <c r="N113" i="12"/>
  <c r="N110" i="12"/>
  <c r="N116" i="12"/>
  <c r="N96" i="12"/>
  <c r="N103" i="12"/>
  <c r="N124" i="12"/>
  <c r="N117" i="12"/>
  <c r="N105" i="12"/>
  <c r="N111" i="12"/>
  <c r="N104" i="12"/>
  <c r="N112" i="12"/>
  <c r="N108" i="12"/>
  <c r="N100" i="12"/>
  <c r="N102" i="12"/>
  <c r="N98" i="12"/>
  <c r="N97" i="12"/>
  <c r="N89" i="12"/>
  <c r="N95" i="12"/>
  <c r="N87" i="12"/>
  <c r="N93" i="12"/>
  <c r="N85" i="12"/>
  <c r="N99" i="12"/>
  <c r="N92" i="12"/>
  <c r="N88" i="12"/>
  <c r="N74" i="12"/>
  <c r="N91" i="12"/>
  <c r="N82" i="12"/>
  <c r="N81" i="12"/>
  <c r="N73" i="12"/>
  <c r="N101" i="12"/>
  <c r="N86" i="12"/>
  <c r="N80" i="12"/>
  <c r="N109" i="12"/>
  <c r="N84" i="12"/>
  <c r="N79" i="12"/>
  <c r="N90" i="12"/>
  <c r="N76" i="12"/>
  <c r="N78" i="12"/>
  <c r="N94" i="12"/>
  <c r="N83" i="12"/>
  <c r="N75" i="12"/>
  <c r="N77" i="12"/>
  <c r="S125" i="12"/>
  <c r="S126" i="12"/>
  <c r="S124" i="12"/>
  <c r="S120" i="12"/>
  <c r="S127" i="12"/>
  <c r="S121" i="12"/>
  <c r="S110" i="12"/>
  <c r="S117" i="12"/>
  <c r="S109" i="12"/>
  <c r="S116" i="12"/>
  <c r="S108" i="12"/>
  <c r="S114" i="12"/>
  <c r="S113" i="12"/>
  <c r="S107" i="12"/>
  <c r="S106" i="12"/>
  <c r="S105" i="12"/>
  <c r="S99" i="12"/>
  <c r="S104" i="12"/>
  <c r="S98" i="12"/>
  <c r="S123" i="12"/>
  <c r="S119" i="12"/>
  <c r="S122" i="12"/>
  <c r="S101" i="12"/>
  <c r="S97" i="12"/>
  <c r="S96" i="12"/>
  <c r="S92" i="12"/>
  <c r="S84" i="12"/>
  <c r="S112" i="12"/>
  <c r="S100" i="12"/>
  <c r="S90" i="12"/>
  <c r="S82" i="12"/>
  <c r="S118" i="12"/>
  <c r="S88" i="12"/>
  <c r="S77" i="12"/>
  <c r="S103" i="12"/>
  <c r="S83" i="12"/>
  <c r="S76" i="12"/>
  <c r="S89" i="12"/>
  <c r="S111" i="12"/>
  <c r="S95" i="12"/>
  <c r="S74" i="12"/>
  <c r="S94" i="12"/>
  <c r="S93" i="12"/>
  <c r="S80" i="12"/>
  <c r="S85" i="12"/>
  <c r="S81" i="12"/>
  <c r="S78" i="12"/>
  <c r="S91" i="12"/>
  <c r="S79" i="12"/>
  <c r="S75" i="12"/>
  <c r="S115" i="12"/>
  <c r="S102" i="12"/>
  <c r="S86" i="12"/>
  <c r="S73" i="12"/>
  <c r="S87" i="12"/>
  <c r="T124" i="12"/>
  <c r="T123" i="12"/>
  <c r="T126" i="12"/>
  <c r="T120" i="12"/>
  <c r="T127" i="12"/>
  <c r="T119" i="12"/>
  <c r="T117" i="12"/>
  <c r="T109" i="12"/>
  <c r="T116" i="12"/>
  <c r="T108" i="12"/>
  <c r="T115" i="12"/>
  <c r="T112" i="12"/>
  <c r="T111" i="12"/>
  <c r="T121" i="12"/>
  <c r="T104" i="12"/>
  <c r="T98" i="12"/>
  <c r="T97" i="12"/>
  <c r="T114" i="12"/>
  <c r="T118" i="12"/>
  <c r="T113" i="12"/>
  <c r="T106" i="12"/>
  <c r="T107" i="12"/>
  <c r="T102" i="12"/>
  <c r="T101" i="12"/>
  <c r="T105" i="12"/>
  <c r="T100" i="12"/>
  <c r="T91" i="12"/>
  <c r="T83" i="12"/>
  <c r="T89" i="12"/>
  <c r="T103" i="12"/>
  <c r="T95" i="12"/>
  <c r="T87" i="12"/>
  <c r="T84" i="12"/>
  <c r="T76" i="12"/>
  <c r="T90" i="12"/>
  <c r="T75" i="12"/>
  <c r="T122" i="12"/>
  <c r="T94" i="12"/>
  <c r="T93" i="12"/>
  <c r="T81" i="12"/>
  <c r="T73" i="12"/>
  <c r="T85" i="12"/>
  <c r="T82" i="12"/>
  <c r="T78" i="12"/>
  <c r="T80" i="12"/>
  <c r="T79" i="12"/>
  <c r="T125" i="12"/>
  <c r="T86" i="12"/>
  <c r="T77" i="12"/>
  <c r="T99" i="12"/>
  <c r="T96" i="12"/>
  <c r="T110" i="12"/>
  <c r="T92" i="12"/>
  <c r="T74" i="12"/>
  <c r="T88" i="12"/>
  <c r="P126" i="12"/>
  <c r="P125" i="12"/>
  <c r="P124" i="12"/>
  <c r="P127" i="12"/>
  <c r="P123" i="12"/>
  <c r="P122" i="12"/>
  <c r="P121" i="12"/>
  <c r="P113" i="12"/>
  <c r="P105" i="12"/>
  <c r="P119" i="12"/>
  <c r="P112" i="12"/>
  <c r="P104" i="12"/>
  <c r="P118" i="12"/>
  <c r="P120" i="12"/>
  <c r="P115" i="12"/>
  <c r="P109" i="12"/>
  <c r="P102" i="12"/>
  <c r="P101" i="12"/>
  <c r="P108" i="12"/>
  <c r="P110" i="12"/>
  <c r="P107" i="12"/>
  <c r="P106" i="12"/>
  <c r="P99" i="12"/>
  <c r="P116" i="12"/>
  <c r="P98" i="12"/>
  <c r="P114" i="12"/>
  <c r="P95" i="12"/>
  <c r="P87" i="12"/>
  <c r="P93" i="12"/>
  <c r="P85" i="12"/>
  <c r="P91" i="12"/>
  <c r="P83" i="12"/>
  <c r="P96" i="12"/>
  <c r="P80" i="12"/>
  <c r="P86" i="12"/>
  <c r="P79" i="12"/>
  <c r="P78" i="12"/>
  <c r="P84" i="12"/>
  <c r="P103" i="12"/>
  <c r="P100" i="12"/>
  <c r="P97" i="12"/>
  <c r="P90" i="12"/>
  <c r="P77" i="12"/>
  <c r="P88" i="12"/>
  <c r="P74" i="12"/>
  <c r="P111" i="12"/>
  <c r="P82" i="12"/>
  <c r="P92" i="12"/>
  <c r="P81" i="12"/>
  <c r="P117" i="12"/>
  <c r="P76" i="12"/>
  <c r="P94" i="12"/>
  <c r="P73" i="12"/>
  <c r="P75" i="12"/>
  <c r="P89" i="12"/>
  <c r="T71" i="12"/>
  <c r="T63" i="12"/>
  <c r="T55" i="12"/>
  <c r="T47" i="12"/>
  <c r="T39" i="12"/>
  <c r="T31" i="12"/>
  <c r="T23" i="12"/>
  <c r="T15" i="12"/>
  <c r="T70" i="12"/>
  <c r="T62" i="12"/>
  <c r="T54" i="12"/>
  <c r="T46" i="12"/>
  <c r="T38" i="12"/>
  <c r="T30" i="12"/>
  <c r="T22" i="12"/>
  <c r="T14" i="12"/>
  <c r="T69" i="12"/>
  <c r="T61" i="12"/>
  <c r="T53" i="12"/>
  <c r="T45" i="12"/>
  <c r="T37" i="12"/>
  <c r="T29" i="12"/>
  <c r="T21" i="12"/>
  <c r="T13" i="12"/>
  <c r="T68" i="12"/>
  <c r="T60" i="12"/>
  <c r="T52" i="12"/>
  <c r="T44" i="12"/>
  <c r="T36" i="12"/>
  <c r="T28" i="12"/>
  <c r="T20" i="12"/>
  <c r="T72" i="12"/>
  <c r="T56" i="12"/>
  <c r="T40" i="12"/>
  <c r="T24" i="12"/>
  <c r="T66" i="12"/>
  <c r="T49" i="12"/>
  <c r="T32" i="12"/>
  <c r="T65" i="12"/>
  <c r="T48" i="12"/>
  <c r="T27" i="12"/>
  <c r="T64" i="12"/>
  <c r="T43" i="12"/>
  <c r="T26" i="12"/>
  <c r="T59" i="12"/>
  <c r="T42" i="12"/>
  <c r="T25" i="12"/>
  <c r="T50" i="12"/>
  <c r="T16" i="12"/>
  <c r="T19" i="12"/>
  <c r="T41" i="12"/>
  <c r="T35" i="12"/>
  <c r="T67" i="12"/>
  <c r="T34" i="12"/>
  <c r="T33" i="12"/>
  <c r="T58" i="12"/>
  <c r="T57" i="12"/>
  <c r="T51" i="12"/>
  <c r="T18" i="12"/>
  <c r="T17" i="12"/>
  <c r="N72" i="12"/>
  <c r="S66" i="12"/>
  <c r="S58" i="12"/>
  <c r="S50" i="12"/>
  <c r="S42" i="12"/>
  <c r="S34" i="12"/>
  <c r="S26" i="12"/>
  <c r="S18" i="12"/>
  <c r="S65" i="12"/>
  <c r="S57" i="12"/>
  <c r="S49" i="12"/>
  <c r="S41" i="12"/>
  <c r="S33" i="12"/>
  <c r="S25" i="12"/>
  <c r="S17" i="12"/>
  <c r="S72" i="12"/>
  <c r="S64" i="12"/>
  <c r="S56" i="12"/>
  <c r="S48" i="12"/>
  <c r="S40" i="12"/>
  <c r="S32" i="12"/>
  <c r="S24" i="12"/>
  <c r="S16" i="12"/>
  <c r="S71" i="12"/>
  <c r="S63" i="12"/>
  <c r="S55" i="12"/>
  <c r="S47" i="12"/>
  <c r="S39" i="12"/>
  <c r="S31" i="12"/>
  <c r="S23" i="12"/>
  <c r="S15" i="12"/>
  <c r="S59" i="12"/>
  <c r="S43" i="12"/>
  <c r="S27" i="12"/>
  <c r="S30" i="12"/>
  <c r="S70" i="12"/>
  <c r="S54" i="12"/>
  <c r="S38" i="12"/>
  <c r="S22" i="12"/>
  <c r="S69" i="12"/>
  <c r="S53" i="12"/>
  <c r="S37" i="12"/>
  <c r="S21" i="12"/>
  <c r="S51" i="12"/>
  <c r="S19" i="12"/>
  <c r="S62" i="12"/>
  <c r="S14" i="12"/>
  <c r="S68" i="12"/>
  <c r="S52" i="12"/>
  <c r="S36" i="12"/>
  <c r="S20" i="12"/>
  <c r="S67" i="12"/>
  <c r="S35" i="12"/>
  <c r="S46" i="12"/>
  <c r="S45" i="12"/>
  <c r="S44" i="12"/>
  <c r="S61" i="12"/>
  <c r="S60" i="12"/>
  <c r="S29" i="12"/>
  <c r="S28" i="12"/>
  <c r="S13" i="12"/>
  <c r="R70" i="12"/>
  <c r="R62" i="12"/>
  <c r="R54" i="12"/>
  <c r="R46" i="12"/>
  <c r="R38" i="12"/>
  <c r="R30" i="12"/>
  <c r="R22" i="12"/>
  <c r="R14" i="12"/>
  <c r="R69" i="12"/>
  <c r="R61" i="12"/>
  <c r="R53" i="12"/>
  <c r="R45" i="12"/>
  <c r="R37" i="12"/>
  <c r="R29" i="12"/>
  <c r="R21" i="12"/>
  <c r="R13" i="12"/>
  <c r="R68" i="12"/>
  <c r="R60" i="12"/>
  <c r="R52" i="12"/>
  <c r="R44" i="12"/>
  <c r="R36" i="12"/>
  <c r="R28" i="12"/>
  <c r="R20" i="12"/>
  <c r="R67" i="12"/>
  <c r="R59" i="12"/>
  <c r="R51" i="12"/>
  <c r="R43" i="12"/>
  <c r="R35" i="12"/>
  <c r="R27" i="12"/>
  <c r="R19" i="12"/>
  <c r="R63" i="12"/>
  <c r="R47" i="12"/>
  <c r="R31" i="12"/>
  <c r="R15" i="12"/>
  <c r="R34" i="12"/>
  <c r="R58" i="12"/>
  <c r="R42" i="12"/>
  <c r="R26" i="12"/>
  <c r="R57" i="12"/>
  <c r="R41" i="12"/>
  <c r="R25" i="12"/>
  <c r="R71" i="12"/>
  <c r="R39" i="12"/>
  <c r="R66" i="12"/>
  <c r="R18" i="12"/>
  <c r="R72" i="12"/>
  <c r="R56" i="12"/>
  <c r="R40" i="12"/>
  <c r="R24" i="12"/>
  <c r="R55" i="12"/>
  <c r="R23" i="12"/>
  <c r="R50" i="12"/>
  <c r="R65" i="12"/>
  <c r="R64" i="12"/>
  <c r="R16" i="12"/>
  <c r="R49" i="12"/>
  <c r="R48" i="12"/>
  <c r="R33" i="12"/>
  <c r="R32" i="12"/>
  <c r="R17" i="12"/>
  <c r="P66" i="12"/>
  <c r="P58" i="12"/>
  <c r="P50" i="12"/>
  <c r="P42" i="12"/>
  <c r="P34" i="12"/>
  <c r="P26" i="12"/>
  <c r="P18" i="12"/>
  <c r="P53" i="12"/>
  <c r="P29" i="12"/>
  <c r="P65" i="12"/>
  <c r="P57" i="12"/>
  <c r="P49" i="12"/>
  <c r="P41" i="12"/>
  <c r="P33" i="12"/>
  <c r="P25" i="12"/>
  <c r="P17" i="12"/>
  <c r="P72" i="12"/>
  <c r="P64" i="12"/>
  <c r="P56" i="12"/>
  <c r="P48" i="12"/>
  <c r="P40" i="12"/>
  <c r="P32" i="12"/>
  <c r="P24" i="12"/>
  <c r="P16" i="12"/>
  <c r="P70" i="12"/>
  <c r="P54" i="12"/>
  <c r="P38" i="12"/>
  <c r="P22" i="12"/>
  <c r="P61" i="12"/>
  <c r="P37" i="12"/>
  <c r="P13" i="12"/>
  <c r="AD13" i="12" s="1"/>
  <c r="P71" i="12"/>
  <c r="P63" i="12"/>
  <c r="P55" i="12"/>
  <c r="P47" i="12"/>
  <c r="P39" i="12"/>
  <c r="P31" i="12"/>
  <c r="P23" i="12"/>
  <c r="P15" i="12"/>
  <c r="P62" i="12"/>
  <c r="P46" i="12"/>
  <c r="P30" i="12"/>
  <c r="P14" i="12"/>
  <c r="P69" i="12"/>
  <c r="P45" i="12"/>
  <c r="P21" i="12"/>
  <c r="P52" i="12"/>
  <c r="P20" i="12"/>
  <c r="P51" i="12"/>
  <c r="P19" i="12"/>
  <c r="P67" i="12"/>
  <c r="P60" i="12"/>
  <c r="P44" i="12"/>
  <c r="P35" i="12"/>
  <c r="P59" i="12"/>
  <c r="P43" i="12"/>
  <c r="P68" i="12"/>
  <c r="P36" i="12"/>
  <c r="P28" i="12"/>
  <c r="P27" i="12"/>
  <c r="O66" i="12"/>
  <c r="O58" i="12"/>
  <c r="O50" i="12"/>
  <c r="O42" i="12"/>
  <c r="O34" i="12"/>
  <c r="O26" i="12"/>
  <c r="O18" i="12"/>
  <c r="O69" i="12"/>
  <c r="O45" i="12"/>
  <c r="O21" i="12"/>
  <c r="O65" i="12"/>
  <c r="O57" i="12"/>
  <c r="O49" i="12"/>
  <c r="O41" i="12"/>
  <c r="O33" i="12"/>
  <c r="O25" i="12"/>
  <c r="O17" i="12"/>
  <c r="O72" i="12"/>
  <c r="O64" i="12"/>
  <c r="O56" i="12"/>
  <c r="O48" i="12"/>
  <c r="O40" i="12"/>
  <c r="O32" i="12"/>
  <c r="O24" i="12"/>
  <c r="O16" i="12"/>
  <c r="O62" i="12"/>
  <c r="O46" i="12"/>
  <c r="O30" i="12"/>
  <c r="O14" i="12"/>
  <c r="O53" i="12"/>
  <c r="O29" i="12"/>
  <c r="O71" i="12"/>
  <c r="O63" i="12"/>
  <c r="O55" i="12"/>
  <c r="O47" i="12"/>
  <c r="O39" i="12"/>
  <c r="O31" i="12"/>
  <c r="O23" i="12"/>
  <c r="O15" i="12"/>
  <c r="O70" i="12"/>
  <c r="O54" i="12"/>
  <c r="O38" i="12"/>
  <c r="O22" i="12"/>
  <c r="O61" i="12"/>
  <c r="O37" i="12"/>
  <c r="O13" i="12"/>
  <c r="O52" i="12"/>
  <c r="O20" i="12"/>
  <c r="O51" i="12"/>
  <c r="O19" i="12"/>
  <c r="O60" i="12"/>
  <c r="O27" i="12"/>
  <c r="O44" i="12"/>
  <c r="O28" i="12"/>
  <c r="O35" i="12"/>
  <c r="O43" i="12"/>
  <c r="O68" i="12"/>
  <c r="O36" i="12"/>
  <c r="O67" i="12"/>
  <c r="O59" i="12"/>
  <c r="U38" i="5" l="1"/>
  <c r="U39" i="5"/>
  <c r="U43" i="5"/>
  <c r="U48" i="5"/>
  <c r="U44" i="5"/>
  <c r="U41" i="5"/>
  <c r="U47" i="5"/>
  <c r="U46" i="5"/>
  <c r="U37" i="5"/>
  <c r="U40" i="5"/>
  <c r="U42" i="5"/>
  <c r="U45" i="5"/>
  <c r="U45" i="12"/>
  <c r="U38" i="12"/>
  <c r="U47" i="12"/>
  <c r="U30" i="5"/>
  <c r="U34" i="5"/>
  <c r="U31" i="5"/>
  <c r="U36" i="5"/>
  <c r="U29" i="5"/>
  <c r="U35" i="5"/>
  <c r="U25" i="5"/>
  <c r="U27" i="5"/>
  <c r="U28" i="5"/>
  <c r="U33" i="5"/>
  <c r="U26" i="5"/>
  <c r="U32" i="5"/>
  <c r="U25" i="12"/>
  <c r="U35" i="12"/>
  <c r="U33" i="12"/>
  <c r="U31" i="12"/>
  <c r="U13" i="12"/>
  <c r="U24" i="12"/>
  <c r="U27" i="12"/>
  <c r="U48" i="12"/>
  <c r="U42" i="12"/>
  <c r="U40" i="12"/>
  <c r="U30" i="12"/>
  <c r="U26" i="12"/>
  <c r="U34" i="12"/>
  <c r="U29" i="12"/>
  <c r="U20" i="12"/>
  <c r="U44" i="12"/>
  <c r="U14" i="12"/>
  <c r="U36" i="12"/>
  <c r="U23" i="12"/>
  <c r="U43" i="12"/>
  <c r="U39" i="12"/>
  <c r="U18" i="12"/>
  <c r="U28" i="12"/>
  <c r="U32" i="12"/>
  <c r="U37" i="12"/>
  <c r="U20" i="5"/>
  <c r="U24" i="5"/>
  <c r="U18" i="5"/>
  <c r="U17" i="5"/>
  <c r="U13" i="5"/>
  <c r="U23" i="5"/>
  <c r="U22" i="5"/>
  <c r="U21" i="5"/>
  <c r="U14" i="5"/>
  <c r="U19" i="5"/>
  <c r="U15" i="5"/>
  <c r="U16" i="5"/>
  <c r="U21" i="12"/>
  <c r="U16" i="12"/>
  <c r="U15" i="12"/>
  <c r="U17" i="12"/>
  <c r="U19" i="12"/>
  <c r="U46" i="12"/>
  <c r="U41" i="12"/>
  <c r="BM80" i="4"/>
  <c r="BM47" i="4"/>
  <c r="BN153" i="21"/>
  <c r="BN113" i="21"/>
  <c r="BN120" i="21"/>
  <c r="BN168" i="21"/>
  <c r="BN107" i="21"/>
  <c r="BN167" i="21"/>
  <c r="BO21" i="21"/>
  <c r="BN121" i="21"/>
  <c r="BN154" i="21"/>
  <c r="BN135" i="21"/>
  <c r="BN174" i="21"/>
  <c r="BN114" i="21"/>
  <c r="BN128" i="21"/>
  <c r="BN127" i="21"/>
  <c r="BN147" i="21"/>
  <c r="BN134" i="21"/>
  <c r="BN160" i="21"/>
  <c r="BN146" i="21"/>
  <c r="BN175" i="21"/>
  <c r="BN161" i="21"/>
  <c r="BN106" i="21"/>
  <c r="BN25" i="21"/>
  <c r="BN24" i="21"/>
  <c r="BW1" i="21"/>
  <c r="BV23" i="21"/>
  <c r="W9" i="4"/>
  <c r="W8" i="4"/>
  <c r="W7" i="4"/>
  <c r="W6" i="4"/>
  <c r="F3" i="4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BM48" i="4" l="1"/>
  <c r="BM81" i="4"/>
  <c r="BO154" i="21"/>
  <c r="BO120" i="21"/>
  <c r="BO175" i="21"/>
  <c r="BO135" i="21"/>
  <c r="BO160" i="21"/>
  <c r="BO147" i="21"/>
  <c r="BO114" i="21"/>
  <c r="BO107" i="21"/>
  <c r="BO128" i="21"/>
  <c r="BO106" i="21"/>
  <c r="BO153" i="21"/>
  <c r="BO161" i="21"/>
  <c r="BO168" i="21"/>
  <c r="BO121" i="21"/>
  <c r="BO134" i="21"/>
  <c r="BO127" i="21"/>
  <c r="BP21" i="21"/>
  <c r="BO146" i="21"/>
  <c r="BO113" i="21"/>
  <c r="BO174" i="21"/>
  <c r="BO167" i="21"/>
  <c r="BO25" i="21"/>
  <c r="BO24" i="21"/>
  <c r="BX1" i="21"/>
  <c r="BW23" i="21"/>
  <c r="AM7" i="5"/>
  <c r="Q185" i="5" l="1"/>
  <c r="Q192" i="5"/>
  <c r="Q187" i="5"/>
  <c r="Q188" i="5"/>
  <c r="Q186" i="5"/>
  <c r="Q172" i="5"/>
  <c r="Q183" i="5"/>
  <c r="Q182" i="5"/>
  <c r="Q169" i="5"/>
  <c r="Q166" i="5"/>
  <c r="Q165" i="5"/>
  <c r="Q184" i="5"/>
  <c r="Q177" i="5"/>
  <c r="Q191" i="5"/>
  <c r="Q180" i="5"/>
  <c r="Q170" i="5"/>
  <c r="Q163" i="5"/>
  <c r="Q171" i="5"/>
  <c r="Q154" i="5"/>
  <c r="Q152" i="5"/>
  <c r="Q176" i="5"/>
  <c r="Q158" i="5"/>
  <c r="Q155" i="5"/>
  <c r="Q160" i="5"/>
  <c r="Q157" i="5"/>
  <c r="Q156" i="5"/>
  <c r="Q144" i="5"/>
  <c r="Q132" i="5"/>
  <c r="Q190" i="5"/>
  <c r="Q153" i="5"/>
  <c r="Q148" i="5"/>
  <c r="Q150" i="5"/>
  <c r="Q149" i="5"/>
  <c r="Q189" i="5"/>
  <c r="Q173" i="5"/>
  <c r="Q131" i="5"/>
  <c r="Q130" i="5"/>
  <c r="Q128" i="5"/>
  <c r="Q135" i="5"/>
  <c r="Q178" i="5"/>
  <c r="Q162" i="5"/>
  <c r="Q147" i="5"/>
  <c r="Q137" i="5"/>
  <c r="Q168" i="5"/>
  <c r="Q140" i="5"/>
  <c r="Q133" i="5"/>
  <c r="Q159" i="5"/>
  <c r="Q134" i="5"/>
  <c r="Q174" i="5"/>
  <c r="Q167" i="5"/>
  <c r="Q161" i="5"/>
  <c r="Q151" i="5"/>
  <c r="Q175" i="5"/>
  <c r="Q145" i="5"/>
  <c r="Q179" i="5"/>
  <c r="Q141" i="5"/>
  <c r="Q181" i="5"/>
  <c r="Q136" i="5"/>
  <c r="Q138" i="5"/>
  <c r="Q143" i="5"/>
  <c r="Q164" i="5"/>
  <c r="Q146" i="5"/>
  <c r="Q142" i="5"/>
  <c r="Q139" i="5"/>
  <c r="Q129" i="5"/>
  <c r="BM49" i="4"/>
  <c r="BM82" i="4"/>
  <c r="BP174" i="21"/>
  <c r="BP147" i="21"/>
  <c r="BP120" i="21"/>
  <c r="BP153" i="21"/>
  <c r="BP160" i="21"/>
  <c r="BP175" i="21"/>
  <c r="BP168" i="21"/>
  <c r="BP154" i="21"/>
  <c r="BP114" i="21"/>
  <c r="BP135" i="21"/>
  <c r="BP113" i="21"/>
  <c r="BP107" i="21"/>
  <c r="BP106" i="21"/>
  <c r="BP161" i="21"/>
  <c r="BP146" i="21"/>
  <c r="BP128" i="21"/>
  <c r="BP121" i="21"/>
  <c r="BQ21" i="21"/>
  <c r="BP134" i="21"/>
  <c r="BP167" i="21"/>
  <c r="BP127" i="21"/>
  <c r="BP24" i="21"/>
  <c r="BP25" i="21"/>
  <c r="BY1" i="21"/>
  <c r="BX23" i="21"/>
  <c r="AK7" i="5"/>
  <c r="AJ7" i="5"/>
  <c r="AP7" i="5"/>
  <c r="AN7" i="5"/>
  <c r="AL7" i="5"/>
  <c r="AS7" i="5"/>
  <c r="AU7" i="5"/>
  <c r="AQ7" i="5"/>
  <c r="AR7" i="5"/>
  <c r="AW7" i="5"/>
  <c r="AI7" i="5"/>
  <c r="AV7" i="5"/>
  <c r="O183" i="5" l="1"/>
  <c r="O190" i="5"/>
  <c r="O185" i="5"/>
  <c r="O179" i="5"/>
  <c r="O170" i="5"/>
  <c r="O184" i="5"/>
  <c r="O188" i="5"/>
  <c r="O186" i="5"/>
  <c r="O180" i="5"/>
  <c r="O178" i="5"/>
  <c r="O182" i="5"/>
  <c r="O192" i="5"/>
  <c r="O161" i="5"/>
  <c r="O177" i="5"/>
  <c r="O191" i="5"/>
  <c r="O172" i="5"/>
  <c r="O166" i="5"/>
  <c r="O153" i="5"/>
  <c r="O171" i="5"/>
  <c r="O154" i="5"/>
  <c r="O152" i="5"/>
  <c r="O142" i="5"/>
  <c r="O130" i="5"/>
  <c r="O187" i="5"/>
  <c r="O175" i="5"/>
  <c r="O156" i="5"/>
  <c r="O146" i="5"/>
  <c r="O181" i="5"/>
  <c r="O163" i="5"/>
  <c r="O160" i="5"/>
  <c r="O147" i="5"/>
  <c r="O145" i="5"/>
  <c r="O149" i="5"/>
  <c r="O148" i="5"/>
  <c r="O164" i="5"/>
  <c r="O151" i="5"/>
  <c r="O128" i="5"/>
  <c r="O157" i="5"/>
  <c r="O169" i="5"/>
  <c r="O144" i="5"/>
  <c r="O150" i="5"/>
  <c r="O137" i="5"/>
  <c r="O162" i="5"/>
  <c r="O135" i="5"/>
  <c r="O165" i="5"/>
  <c r="O140" i="5"/>
  <c r="O138" i="5"/>
  <c r="O131" i="5"/>
  <c r="O129" i="5"/>
  <c r="O189" i="5"/>
  <c r="O143" i="5"/>
  <c r="O141" i="5"/>
  <c r="O139" i="5"/>
  <c r="O136" i="5"/>
  <c r="O133" i="5"/>
  <c r="O173" i="5"/>
  <c r="O158" i="5"/>
  <c r="O167" i="5"/>
  <c r="O159" i="5"/>
  <c r="O134" i="5"/>
  <c r="O132" i="5"/>
  <c r="O174" i="5"/>
  <c r="O168" i="5"/>
  <c r="O155" i="5"/>
  <c r="O176" i="5"/>
  <c r="S187" i="5"/>
  <c r="S182" i="5"/>
  <c r="S189" i="5"/>
  <c r="S174" i="5"/>
  <c r="S181" i="5"/>
  <c r="S180" i="5"/>
  <c r="S176" i="5"/>
  <c r="S184" i="5"/>
  <c r="S177" i="5"/>
  <c r="S183" i="5"/>
  <c r="S172" i="5"/>
  <c r="S175" i="5"/>
  <c r="S192" i="5"/>
  <c r="S191" i="5"/>
  <c r="S190" i="5"/>
  <c r="S173" i="5"/>
  <c r="S153" i="5"/>
  <c r="S186" i="5"/>
  <c r="S160" i="5"/>
  <c r="S158" i="5"/>
  <c r="S157" i="5"/>
  <c r="S156" i="5"/>
  <c r="S185" i="5"/>
  <c r="S178" i="5"/>
  <c r="S165" i="5"/>
  <c r="S162" i="5"/>
  <c r="S161" i="5"/>
  <c r="S159" i="5"/>
  <c r="S151" i="5"/>
  <c r="S188" i="5"/>
  <c r="S170" i="5"/>
  <c r="S146" i="5"/>
  <c r="S134" i="5"/>
  <c r="S171" i="5"/>
  <c r="S132" i="5"/>
  <c r="S131" i="5"/>
  <c r="S129" i="5"/>
  <c r="S152" i="5"/>
  <c r="S150" i="5"/>
  <c r="S140" i="5"/>
  <c r="S133" i="5"/>
  <c r="S168" i="5"/>
  <c r="S145" i="5"/>
  <c r="S138" i="5"/>
  <c r="S167" i="5"/>
  <c r="S128" i="5"/>
  <c r="S154" i="5"/>
  <c r="S179" i="5"/>
  <c r="S163" i="5"/>
  <c r="S147" i="5"/>
  <c r="S164" i="5"/>
  <c r="S143" i="5"/>
  <c r="S148" i="5"/>
  <c r="S166" i="5"/>
  <c r="S137" i="5"/>
  <c r="S149" i="5"/>
  <c r="S142" i="5"/>
  <c r="S155" i="5"/>
  <c r="S139" i="5"/>
  <c r="S169" i="5"/>
  <c r="S130" i="5"/>
  <c r="S135" i="5"/>
  <c r="S141" i="5"/>
  <c r="S144" i="5"/>
  <c r="S136" i="5"/>
  <c r="N188" i="5"/>
  <c r="N183" i="5"/>
  <c r="N190" i="5"/>
  <c r="N191" i="5"/>
  <c r="N189" i="5"/>
  <c r="N187" i="5"/>
  <c r="N178" i="5"/>
  <c r="N175" i="5"/>
  <c r="N185" i="5"/>
  <c r="N184" i="5"/>
  <c r="N182" i="5"/>
  <c r="N177" i="5"/>
  <c r="N179" i="5"/>
  <c r="N180" i="5"/>
  <c r="N186" i="5"/>
  <c r="N192" i="5"/>
  <c r="N165" i="5"/>
  <c r="N154" i="5"/>
  <c r="N172" i="5"/>
  <c r="N166" i="5"/>
  <c r="N153" i="5"/>
  <c r="N147" i="5"/>
  <c r="N135" i="5"/>
  <c r="N159" i="5"/>
  <c r="N144" i="5"/>
  <c r="N156" i="5"/>
  <c r="N146" i="5"/>
  <c r="N181" i="5"/>
  <c r="N171" i="5"/>
  <c r="N163" i="5"/>
  <c r="N160" i="5"/>
  <c r="N145" i="5"/>
  <c r="N139" i="5"/>
  <c r="N137" i="5"/>
  <c r="N164" i="5"/>
  <c r="N161" i="5"/>
  <c r="N151" i="5"/>
  <c r="N142" i="5"/>
  <c r="N152" i="5"/>
  <c r="N150" i="5"/>
  <c r="N169" i="5"/>
  <c r="N128" i="5"/>
  <c r="N168" i="5"/>
  <c r="N162" i="5"/>
  <c r="N148" i="5"/>
  <c r="N140" i="5"/>
  <c r="N138" i="5"/>
  <c r="N131" i="5"/>
  <c r="N129" i="5"/>
  <c r="N132" i="5"/>
  <c r="N174" i="5"/>
  <c r="N170" i="5"/>
  <c r="N143" i="5"/>
  <c r="N141" i="5"/>
  <c r="N136" i="5"/>
  <c r="N133" i="5"/>
  <c r="N130" i="5"/>
  <c r="N167" i="5"/>
  <c r="N134" i="5"/>
  <c r="N176" i="5"/>
  <c r="N158" i="5"/>
  <c r="N157" i="5"/>
  <c r="N149" i="5"/>
  <c r="N173" i="5"/>
  <c r="N155" i="5"/>
  <c r="T182" i="5"/>
  <c r="T189" i="5"/>
  <c r="T184" i="5"/>
  <c r="T169" i="5"/>
  <c r="T183" i="5"/>
  <c r="T172" i="5"/>
  <c r="T175" i="5"/>
  <c r="T174" i="5"/>
  <c r="T173" i="5"/>
  <c r="T186" i="5"/>
  <c r="T185" i="5"/>
  <c r="T190" i="5"/>
  <c r="T168" i="5"/>
  <c r="T160" i="5"/>
  <c r="T178" i="5"/>
  <c r="T176" i="5"/>
  <c r="T165" i="5"/>
  <c r="T162" i="5"/>
  <c r="T161" i="5"/>
  <c r="T159" i="5"/>
  <c r="T151" i="5"/>
  <c r="T188" i="5"/>
  <c r="T170" i="5"/>
  <c r="T187" i="5"/>
  <c r="T163" i="5"/>
  <c r="T141" i="5"/>
  <c r="T129" i="5"/>
  <c r="T192" i="5"/>
  <c r="T177" i="5"/>
  <c r="T171" i="5"/>
  <c r="T191" i="5"/>
  <c r="T164" i="5"/>
  <c r="T157" i="5"/>
  <c r="T154" i="5"/>
  <c r="T135" i="5"/>
  <c r="T134" i="5"/>
  <c r="T133" i="5"/>
  <c r="T152" i="5"/>
  <c r="T150" i="5"/>
  <c r="T140" i="5"/>
  <c r="T131" i="5"/>
  <c r="T180" i="5"/>
  <c r="T158" i="5"/>
  <c r="T143" i="5"/>
  <c r="T167" i="5"/>
  <c r="T156" i="5"/>
  <c r="T145" i="5"/>
  <c r="T138" i="5"/>
  <c r="T148" i="5"/>
  <c r="T155" i="5"/>
  <c r="T149" i="5"/>
  <c r="T146" i="5"/>
  <c r="T147" i="5"/>
  <c r="T179" i="5"/>
  <c r="T153" i="5"/>
  <c r="T181" i="5"/>
  <c r="T130" i="5"/>
  <c r="T132" i="5"/>
  <c r="T142" i="5"/>
  <c r="T139" i="5"/>
  <c r="T136" i="5"/>
  <c r="T166" i="5"/>
  <c r="T137" i="5"/>
  <c r="T128" i="5"/>
  <c r="T144" i="5"/>
  <c r="R192" i="5"/>
  <c r="R180" i="5"/>
  <c r="R187" i="5"/>
  <c r="R182" i="5"/>
  <c r="R185" i="5"/>
  <c r="R183" i="5"/>
  <c r="R167" i="5"/>
  <c r="R171" i="5"/>
  <c r="R170" i="5"/>
  <c r="R168" i="5"/>
  <c r="R184" i="5"/>
  <c r="R177" i="5"/>
  <c r="R174" i="5"/>
  <c r="R191" i="5"/>
  <c r="R176" i="5"/>
  <c r="R172" i="5"/>
  <c r="R158" i="5"/>
  <c r="R155" i="5"/>
  <c r="R186" i="5"/>
  <c r="R160" i="5"/>
  <c r="R157" i="5"/>
  <c r="R156" i="5"/>
  <c r="R178" i="5"/>
  <c r="R165" i="5"/>
  <c r="R162" i="5"/>
  <c r="R161" i="5"/>
  <c r="R159" i="5"/>
  <c r="R151" i="5"/>
  <c r="R139" i="5"/>
  <c r="R188" i="5"/>
  <c r="R150" i="5"/>
  <c r="R149" i="5"/>
  <c r="R189" i="5"/>
  <c r="R173" i="5"/>
  <c r="R190" i="5"/>
  <c r="R147" i="5"/>
  <c r="R137" i="5"/>
  <c r="R135" i="5"/>
  <c r="R145" i="5"/>
  <c r="R152" i="5"/>
  <c r="R140" i="5"/>
  <c r="R133" i="5"/>
  <c r="R131" i="5"/>
  <c r="R129" i="5"/>
  <c r="R132" i="5"/>
  <c r="R130" i="5"/>
  <c r="R128" i="5"/>
  <c r="R175" i="5"/>
  <c r="R163" i="5"/>
  <c r="R181" i="5"/>
  <c r="R154" i="5"/>
  <c r="R153" i="5"/>
  <c r="R179" i="5"/>
  <c r="R144" i="5"/>
  <c r="R136" i="5"/>
  <c r="R138" i="5"/>
  <c r="R148" i="5"/>
  <c r="R164" i="5"/>
  <c r="R146" i="5"/>
  <c r="R134" i="5"/>
  <c r="R169" i="5"/>
  <c r="R143" i="5"/>
  <c r="R142" i="5"/>
  <c r="R166" i="5"/>
  <c r="R141" i="5"/>
  <c r="P190" i="5"/>
  <c r="P178" i="5"/>
  <c r="P185" i="5"/>
  <c r="P192" i="5"/>
  <c r="P180" i="5"/>
  <c r="P184" i="5"/>
  <c r="P182" i="5"/>
  <c r="P177" i="5"/>
  <c r="P165" i="5"/>
  <c r="P188" i="5"/>
  <c r="P186" i="5"/>
  <c r="P183" i="5"/>
  <c r="P167" i="5"/>
  <c r="P156" i="5"/>
  <c r="P191" i="5"/>
  <c r="P172" i="5"/>
  <c r="P166" i="5"/>
  <c r="P153" i="5"/>
  <c r="P171" i="5"/>
  <c r="P154" i="5"/>
  <c r="P152" i="5"/>
  <c r="P176" i="5"/>
  <c r="P158" i="5"/>
  <c r="P155" i="5"/>
  <c r="P149" i="5"/>
  <c r="P137" i="5"/>
  <c r="P181" i="5"/>
  <c r="P163" i="5"/>
  <c r="P160" i="5"/>
  <c r="P147" i="5"/>
  <c r="P145" i="5"/>
  <c r="P148" i="5"/>
  <c r="P150" i="5"/>
  <c r="P129" i="5"/>
  <c r="P169" i="5"/>
  <c r="P161" i="5"/>
  <c r="P144" i="5"/>
  <c r="P142" i="5"/>
  <c r="P128" i="5"/>
  <c r="P131" i="5"/>
  <c r="P168" i="5"/>
  <c r="P187" i="5"/>
  <c r="P162" i="5"/>
  <c r="P157" i="5"/>
  <c r="P135" i="5"/>
  <c r="P143" i="5"/>
  <c r="P141" i="5"/>
  <c r="P139" i="5"/>
  <c r="P136" i="5"/>
  <c r="P133" i="5"/>
  <c r="P173" i="5"/>
  <c r="P179" i="5"/>
  <c r="P159" i="5"/>
  <c r="P134" i="5"/>
  <c r="P132" i="5"/>
  <c r="P130" i="5"/>
  <c r="P174" i="5"/>
  <c r="P151" i="5"/>
  <c r="P175" i="5"/>
  <c r="P170" i="5"/>
  <c r="P189" i="5"/>
  <c r="P164" i="5"/>
  <c r="P146" i="5"/>
  <c r="P140" i="5"/>
  <c r="P138" i="5"/>
  <c r="BM50" i="4"/>
  <c r="BM83" i="4"/>
  <c r="BZ1" i="21"/>
  <c r="BY23" i="21"/>
  <c r="BQ174" i="21"/>
  <c r="BQ127" i="21"/>
  <c r="BQ113" i="21"/>
  <c r="BQ107" i="21"/>
  <c r="BQ154" i="21"/>
  <c r="BQ161" i="21"/>
  <c r="BQ146" i="21"/>
  <c r="BQ114" i="21"/>
  <c r="BQ134" i="21"/>
  <c r="BQ160" i="21"/>
  <c r="BQ121" i="21"/>
  <c r="BQ135" i="21"/>
  <c r="BQ175" i="21"/>
  <c r="BQ168" i="21"/>
  <c r="BQ167" i="21"/>
  <c r="BQ153" i="21"/>
  <c r="BQ147" i="21"/>
  <c r="BQ120" i="21"/>
  <c r="BQ106" i="21"/>
  <c r="BQ128" i="21"/>
  <c r="BR21" i="21"/>
  <c r="BQ25" i="21"/>
  <c r="BQ24" i="21"/>
  <c r="S127" i="5"/>
  <c r="S126" i="5"/>
  <c r="S122" i="5"/>
  <c r="S113" i="5"/>
  <c r="S121" i="5"/>
  <c r="S120" i="5"/>
  <c r="S114" i="5"/>
  <c r="S125" i="5"/>
  <c r="S116" i="5"/>
  <c r="S123" i="5"/>
  <c r="S106" i="5"/>
  <c r="S111" i="5"/>
  <c r="S101" i="5"/>
  <c r="S115" i="5"/>
  <c r="S112" i="5"/>
  <c r="S108" i="5"/>
  <c r="S124" i="5"/>
  <c r="S118" i="5"/>
  <c r="S105" i="5"/>
  <c r="S96" i="5"/>
  <c r="S117" i="5"/>
  <c r="S110" i="5"/>
  <c r="S109" i="5"/>
  <c r="S102" i="5"/>
  <c r="S91" i="5"/>
  <c r="S119" i="5"/>
  <c r="S103" i="5"/>
  <c r="S100" i="5"/>
  <c r="S99" i="5"/>
  <c r="S85" i="5"/>
  <c r="S88" i="5"/>
  <c r="S80" i="5"/>
  <c r="S104" i="5"/>
  <c r="S93" i="5"/>
  <c r="S90" i="5"/>
  <c r="S84" i="5"/>
  <c r="S86" i="5"/>
  <c r="S98" i="5"/>
  <c r="S87" i="5"/>
  <c r="S78" i="5"/>
  <c r="S89" i="5"/>
  <c r="S79" i="5"/>
  <c r="S77" i="5"/>
  <c r="S73" i="5"/>
  <c r="S74" i="5"/>
  <c r="S97" i="5"/>
  <c r="S94" i="5"/>
  <c r="S83" i="5"/>
  <c r="S82" i="5"/>
  <c r="S92" i="5"/>
  <c r="S75" i="5"/>
  <c r="S81" i="5"/>
  <c r="S76" i="5"/>
  <c r="S107" i="5"/>
  <c r="S95" i="5"/>
  <c r="R127" i="5"/>
  <c r="R121" i="5"/>
  <c r="R124" i="5"/>
  <c r="R123" i="5"/>
  <c r="R119" i="5"/>
  <c r="R112" i="5"/>
  <c r="R113" i="5"/>
  <c r="R115" i="5"/>
  <c r="R117" i="5"/>
  <c r="R116" i="5"/>
  <c r="R110" i="5"/>
  <c r="R105" i="5"/>
  <c r="R126" i="5"/>
  <c r="R120" i="5"/>
  <c r="R122" i="5"/>
  <c r="R107" i="5"/>
  <c r="R100" i="5"/>
  <c r="R114" i="5"/>
  <c r="R125" i="5"/>
  <c r="R99" i="5"/>
  <c r="R109" i="5"/>
  <c r="R111" i="5"/>
  <c r="R97" i="5"/>
  <c r="R95" i="5"/>
  <c r="R118" i="5"/>
  <c r="R104" i="5"/>
  <c r="R103" i="5"/>
  <c r="R98" i="5"/>
  <c r="R106" i="5"/>
  <c r="R102" i="5"/>
  <c r="R93" i="5"/>
  <c r="R90" i="5"/>
  <c r="R84" i="5"/>
  <c r="R108" i="5"/>
  <c r="R96" i="5"/>
  <c r="R94" i="5"/>
  <c r="R87" i="5"/>
  <c r="R88" i="5"/>
  <c r="R86" i="5"/>
  <c r="R81" i="5"/>
  <c r="R80" i="5"/>
  <c r="R77" i="5"/>
  <c r="R91" i="5"/>
  <c r="R82" i="5"/>
  <c r="R79" i="5"/>
  <c r="R73" i="5"/>
  <c r="R85" i="5"/>
  <c r="R83" i="5"/>
  <c r="R78" i="5"/>
  <c r="R74" i="5"/>
  <c r="R101" i="5"/>
  <c r="R92" i="5"/>
  <c r="R75" i="5"/>
  <c r="R89" i="5"/>
  <c r="R76" i="5"/>
  <c r="N123" i="5"/>
  <c r="N125" i="5"/>
  <c r="N121" i="5"/>
  <c r="N126" i="5"/>
  <c r="N122" i="5"/>
  <c r="N124" i="5"/>
  <c r="N118" i="5"/>
  <c r="N116" i="5"/>
  <c r="N108" i="5"/>
  <c r="N117" i="5"/>
  <c r="N109" i="5"/>
  <c r="N119" i="5"/>
  <c r="N112" i="5"/>
  <c r="N101" i="5"/>
  <c r="N115" i="5"/>
  <c r="N104" i="5"/>
  <c r="N111" i="5"/>
  <c r="N107" i="5"/>
  <c r="N100" i="5"/>
  <c r="N106" i="5"/>
  <c r="N91" i="5"/>
  <c r="N110" i="5"/>
  <c r="N105" i="5"/>
  <c r="N97" i="5"/>
  <c r="N94" i="5"/>
  <c r="N120" i="5"/>
  <c r="N92" i="5"/>
  <c r="N88" i="5"/>
  <c r="N113" i="5"/>
  <c r="N99" i="5"/>
  <c r="N93" i="5"/>
  <c r="N83" i="5"/>
  <c r="N127" i="5"/>
  <c r="N87" i="5"/>
  <c r="N95" i="5"/>
  <c r="N85" i="5"/>
  <c r="N84" i="5"/>
  <c r="N98" i="5"/>
  <c r="N89" i="5"/>
  <c r="N80" i="5"/>
  <c r="N76" i="5"/>
  <c r="N114" i="5"/>
  <c r="N103" i="5"/>
  <c r="N102" i="5"/>
  <c r="N90" i="5"/>
  <c r="N86" i="5"/>
  <c r="N77" i="5"/>
  <c r="N96" i="5"/>
  <c r="N79" i="5"/>
  <c r="N81" i="5"/>
  <c r="N82" i="5"/>
  <c r="N78" i="5"/>
  <c r="N75" i="5"/>
  <c r="N74" i="5"/>
  <c r="N73" i="5"/>
  <c r="T123" i="5"/>
  <c r="T127" i="5"/>
  <c r="T125" i="5"/>
  <c r="T124" i="5"/>
  <c r="T120" i="5"/>
  <c r="T122" i="5"/>
  <c r="T121" i="5"/>
  <c r="T114" i="5"/>
  <c r="T115" i="5"/>
  <c r="T107" i="5"/>
  <c r="T118" i="5"/>
  <c r="T117" i="5"/>
  <c r="T126" i="5"/>
  <c r="T113" i="5"/>
  <c r="T108" i="5"/>
  <c r="T102" i="5"/>
  <c r="T112" i="5"/>
  <c r="T116" i="5"/>
  <c r="T105" i="5"/>
  <c r="T104" i="5"/>
  <c r="T110" i="5"/>
  <c r="T109" i="5"/>
  <c r="T89" i="5"/>
  <c r="T103" i="5"/>
  <c r="T101" i="5"/>
  <c r="T92" i="5"/>
  <c r="T86" i="5"/>
  <c r="T81" i="5"/>
  <c r="T119" i="5"/>
  <c r="T106" i="5"/>
  <c r="T100" i="5"/>
  <c r="T99" i="5"/>
  <c r="T85" i="5"/>
  <c r="T98" i="5"/>
  <c r="T88" i="5"/>
  <c r="T87" i="5"/>
  <c r="T82" i="5"/>
  <c r="T79" i="5"/>
  <c r="T111" i="5"/>
  <c r="T97" i="5"/>
  <c r="T93" i="5"/>
  <c r="T94" i="5"/>
  <c r="T83" i="5"/>
  <c r="T74" i="5"/>
  <c r="T75" i="5"/>
  <c r="T90" i="5"/>
  <c r="T78" i="5"/>
  <c r="T84" i="5"/>
  <c r="T96" i="5"/>
  <c r="T76" i="5"/>
  <c r="T73" i="5"/>
  <c r="T80" i="5"/>
  <c r="T95" i="5"/>
  <c r="T91" i="5"/>
  <c r="T77" i="5"/>
  <c r="O124" i="5"/>
  <c r="O126" i="5"/>
  <c r="O125" i="5"/>
  <c r="O122" i="5"/>
  <c r="O121" i="5"/>
  <c r="O120" i="5"/>
  <c r="O117" i="5"/>
  <c r="O109" i="5"/>
  <c r="O123" i="5"/>
  <c r="O110" i="5"/>
  <c r="O108" i="5"/>
  <c r="O102" i="5"/>
  <c r="O127" i="5"/>
  <c r="O116" i="5"/>
  <c r="O105" i="5"/>
  <c r="O115" i="5"/>
  <c r="O119" i="5"/>
  <c r="O111" i="5"/>
  <c r="O112" i="5"/>
  <c r="O92" i="5"/>
  <c r="O118" i="5"/>
  <c r="O95" i="5"/>
  <c r="O91" i="5"/>
  <c r="O107" i="5"/>
  <c r="O90" i="5"/>
  <c r="O84" i="5"/>
  <c r="O88" i="5"/>
  <c r="O100" i="5"/>
  <c r="O94" i="5"/>
  <c r="O85" i="5"/>
  <c r="O96" i="5"/>
  <c r="O103" i="5"/>
  <c r="O86" i="5"/>
  <c r="O76" i="5"/>
  <c r="O114" i="5"/>
  <c r="O113" i="5"/>
  <c r="O97" i="5"/>
  <c r="O104" i="5"/>
  <c r="O99" i="5"/>
  <c r="O98" i="5"/>
  <c r="O77" i="5"/>
  <c r="O79" i="5"/>
  <c r="O101" i="5"/>
  <c r="O93" i="5"/>
  <c r="O83" i="5"/>
  <c r="O82" i="5"/>
  <c r="O78" i="5"/>
  <c r="O73" i="5"/>
  <c r="O89" i="5"/>
  <c r="O75" i="5"/>
  <c r="O74" i="5"/>
  <c r="O106" i="5"/>
  <c r="O87" i="5"/>
  <c r="O81" i="5"/>
  <c r="O80" i="5"/>
  <c r="P125" i="5"/>
  <c r="P127" i="5"/>
  <c r="P123" i="5"/>
  <c r="P118" i="5"/>
  <c r="P110" i="5"/>
  <c r="P119" i="5"/>
  <c r="P111" i="5"/>
  <c r="P121" i="5"/>
  <c r="P120" i="5"/>
  <c r="P124" i="5"/>
  <c r="P109" i="5"/>
  <c r="P103" i="5"/>
  <c r="P115" i="5"/>
  <c r="P106" i="5"/>
  <c r="P114" i="5"/>
  <c r="P97" i="5"/>
  <c r="P126" i="5"/>
  <c r="P107" i="5"/>
  <c r="P100" i="5"/>
  <c r="P93" i="5"/>
  <c r="P113" i="5"/>
  <c r="P96" i="5"/>
  <c r="P117" i="5"/>
  <c r="P105" i="5"/>
  <c r="P104" i="5"/>
  <c r="P89" i="5"/>
  <c r="P101" i="5"/>
  <c r="P98" i="5"/>
  <c r="P85" i="5"/>
  <c r="P112" i="5"/>
  <c r="P92" i="5"/>
  <c r="P91" i="5"/>
  <c r="P95" i="5"/>
  <c r="P84" i="5"/>
  <c r="P122" i="5"/>
  <c r="P102" i="5"/>
  <c r="P88" i="5"/>
  <c r="P87" i="5"/>
  <c r="P81" i="5"/>
  <c r="P80" i="5"/>
  <c r="P77" i="5"/>
  <c r="P99" i="5"/>
  <c r="P108" i="5"/>
  <c r="P94" i="5"/>
  <c r="P90" i="5"/>
  <c r="P86" i="5"/>
  <c r="P79" i="5"/>
  <c r="P83" i="5"/>
  <c r="P82" i="5"/>
  <c r="P78" i="5"/>
  <c r="P73" i="5"/>
  <c r="P74" i="5"/>
  <c r="P75" i="5"/>
  <c r="P116" i="5"/>
  <c r="P76" i="5"/>
  <c r="O28" i="5"/>
  <c r="O44" i="5"/>
  <c r="O43" i="5"/>
  <c r="O15" i="5"/>
  <c r="O27" i="5"/>
  <c r="O59" i="5"/>
  <c r="O60" i="5"/>
  <c r="O16" i="5"/>
  <c r="O37" i="5"/>
  <c r="O69" i="5"/>
  <c r="O14" i="5"/>
  <c r="O42" i="5"/>
  <c r="O53" i="5"/>
  <c r="O26" i="5"/>
  <c r="O58" i="5"/>
  <c r="O36" i="5"/>
  <c r="O52" i="5"/>
  <c r="O68" i="5"/>
  <c r="O29" i="5"/>
  <c r="O61" i="5"/>
  <c r="O22" i="5"/>
  <c r="O34" i="5"/>
  <c r="O50" i="5"/>
  <c r="O66" i="5"/>
  <c r="O17" i="5"/>
  <c r="O45" i="5"/>
  <c r="R37" i="5"/>
  <c r="O23" i="5"/>
  <c r="O35" i="5"/>
  <c r="O51" i="5"/>
  <c r="O67" i="5"/>
  <c r="O18" i="5"/>
  <c r="O30" i="5"/>
  <c r="O38" i="5"/>
  <c r="O46" i="5"/>
  <c r="O54" i="5"/>
  <c r="O62" i="5"/>
  <c r="O70" i="5"/>
  <c r="O20" i="5"/>
  <c r="O24" i="5"/>
  <c r="O32" i="5"/>
  <c r="O40" i="5"/>
  <c r="O48" i="5"/>
  <c r="O56" i="5"/>
  <c r="O64" i="5"/>
  <c r="O72" i="5"/>
  <c r="O19" i="5"/>
  <c r="O31" i="5"/>
  <c r="O39" i="5"/>
  <c r="O47" i="5"/>
  <c r="O55" i="5"/>
  <c r="O63" i="5"/>
  <c r="O71" i="5"/>
  <c r="O13" i="5"/>
  <c r="AC13" i="5" s="1"/>
  <c r="AZ13" i="5" s="1"/>
  <c r="O21" i="5"/>
  <c r="O25" i="5"/>
  <c r="O33" i="5"/>
  <c r="O41" i="5"/>
  <c r="O49" i="5"/>
  <c r="O57" i="5"/>
  <c r="O65" i="5"/>
  <c r="R15" i="5"/>
  <c r="P45" i="5"/>
  <c r="R64" i="5"/>
  <c r="R16" i="5"/>
  <c r="P17" i="5"/>
  <c r="P35" i="5"/>
  <c r="P61" i="5"/>
  <c r="P60" i="5"/>
  <c r="P30" i="5"/>
  <c r="P33" i="5"/>
  <c r="P38" i="5"/>
  <c r="P68" i="5"/>
  <c r="P28" i="5"/>
  <c r="P18" i="5"/>
  <c r="R29" i="5"/>
  <c r="R63" i="5"/>
  <c r="R17" i="5"/>
  <c r="R44" i="5"/>
  <c r="R25" i="5"/>
  <c r="R71" i="5"/>
  <c r="R60" i="5"/>
  <c r="R14" i="5"/>
  <c r="R39" i="5"/>
  <c r="R57" i="5"/>
  <c r="R61" i="5"/>
  <c r="R31" i="5"/>
  <c r="R30" i="5"/>
  <c r="R43" i="5"/>
  <c r="R50" i="5"/>
  <c r="R65" i="5"/>
  <c r="R34" i="5"/>
  <c r="R59" i="5"/>
  <c r="R28" i="5"/>
  <c r="R55" i="5"/>
  <c r="R53" i="5"/>
  <c r="R70" i="5"/>
  <c r="R68" i="5"/>
  <c r="R56" i="5"/>
  <c r="R49" i="5"/>
  <c r="R72" i="5"/>
  <c r="R35" i="5"/>
  <c r="R21" i="5"/>
  <c r="R45" i="5"/>
  <c r="R36" i="5"/>
  <c r="R47" i="5"/>
  <c r="R48" i="5"/>
  <c r="R41" i="5"/>
  <c r="R66" i="5"/>
  <c r="R27" i="5"/>
  <c r="R19" i="5"/>
  <c r="R38" i="5"/>
  <c r="R20" i="5"/>
  <c r="R33" i="5"/>
  <c r="R54" i="5"/>
  <c r="R23" i="5"/>
  <c r="R26" i="5"/>
  <c r="R42" i="5"/>
  <c r="R18" i="5"/>
  <c r="R52" i="5"/>
  <c r="R46" i="5"/>
  <c r="R51" i="5"/>
  <c r="R58" i="5"/>
  <c r="R24" i="5"/>
  <c r="R22" i="5"/>
  <c r="R69" i="5"/>
  <c r="R62" i="5"/>
  <c r="R67" i="5"/>
  <c r="R32" i="5"/>
  <c r="R13" i="5"/>
  <c r="AF13" i="5" s="1"/>
  <c r="R40" i="5"/>
  <c r="P44" i="5"/>
  <c r="P40" i="5"/>
  <c r="P67" i="5"/>
  <c r="P16" i="5"/>
  <c r="P70" i="5"/>
  <c r="P51" i="5"/>
  <c r="P37" i="5"/>
  <c r="P41" i="5"/>
  <c r="P22" i="5"/>
  <c r="P29" i="5"/>
  <c r="P49" i="5"/>
  <c r="P69" i="5"/>
  <c r="P26" i="5"/>
  <c r="P57" i="5"/>
  <c r="P31" i="5"/>
  <c r="P53" i="5"/>
  <c r="P23" i="5"/>
  <c r="P43" i="5"/>
  <c r="P42" i="5"/>
  <c r="P65" i="5"/>
  <c r="P24" i="5"/>
  <c r="P14" i="5"/>
  <c r="P39" i="5"/>
  <c r="P36" i="5"/>
  <c r="P58" i="5"/>
  <c r="P32" i="5"/>
  <c r="P15" i="5"/>
  <c r="P47" i="5"/>
  <c r="P52" i="5"/>
  <c r="P72" i="5"/>
  <c r="P48" i="5"/>
  <c r="P19" i="5"/>
  <c r="P55" i="5"/>
  <c r="P46" i="5"/>
  <c r="P59" i="5"/>
  <c r="P27" i="5"/>
  <c r="P56" i="5"/>
  <c r="P20" i="5"/>
  <c r="P63" i="5"/>
  <c r="P54" i="5"/>
  <c r="N72" i="5"/>
  <c r="P50" i="5"/>
  <c r="P66" i="5"/>
  <c r="P34" i="5"/>
  <c r="P25" i="5"/>
  <c r="P64" i="5"/>
  <c r="P13" i="5"/>
  <c r="AD13" i="5" s="1"/>
  <c r="P21" i="5"/>
  <c r="P71" i="5"/>
  <c r="P62" i="5"/>
  <c r="S65" i="5"/>
  <c r="S57" i="5"/>
  <c r="S49" i="5"/>
  <c r="S41" i="5"/>
  <c r="S33" i="5"/>
  <c r="S25" i="5"/>
  <c r="S72" i="5"/>
  <c r="S66" i="5"/>
  <c r="S58" i="5"/>
  <c r="S50" i="5"/>
  <c r="S42" i="5"/>
  <c r="S34" i="5"/>
  <c r="S26" i="5"/>
  <c r="S67" i="5"/>
  <c r="S59" i="5"/>
  <c r="S51" i="5"/>
  <c r="S43" i="5"/>
  <c r="S35" i="5"/>
  <c r="S27" i="5"/>
  <c r="S68" i="5"/>
  <c r="S60" i="5"/>
  <c r="S52" i="5"/>
  <c r="S44" i="5"/>
  <c r="S36" i="5"/>
  <c r="S28" i="5"/>
  <c r="S69" i="5"/>
  <c r="S53" i="5"/>
  <c r="S37" i="5"/>
  <c r="S55" i="5"/>
  <c r="S39" i="5"/>
  <c r="S23" i="5"/>
  <c r="S21" i="5"/>
  <c r="S19" i="5"/>
  <c r="S17" i="5"/>
  <c r="S15" i="5"/>
  <c r="S13" i="5"/>
  <c r="AG13" i="5" s="1"/>
  <c r="S71" i="5"/>
  <c r="S64" i="5"/>
  <c r="S48" i="5"/>
  <c r="S32" i="5"/>
  <c r="S45" i="5"/>
  <c r="S38" i="5"/>
  <c r="S31" i="5"/>
  <c r="S24" i="5"/>
  <c r="S14" i="5"/>
  <c r="S20" i="5"/>
  <c r="S70" i="5"/>
  <c r="S63" i="5"/>
  <c r="S56" i="5"/>
  <c r="S30" i="5"/>
  <c r="S29" i="5"/>
  <c r="S16" i="5"/>
  <c r="S62" i="5"/>
  <c r="S61" i="5"/>
  <c r="S54" i="5"/>
  <c r="S47" i="5"/>
  <c r="S40" i="5"/>
  <c r="S46" i="5"/>
  <c r="S22" i="5"/>
  <c r="S18" i="5"/>
  <c r="T72" i="5"/>
  <c r="T66" i="5"/>
  <c r="T58" i="5"/>
  <c r="T50" i="5"/>
  <c r="T42" i="5"/>
  <c r="T34" i="5"/>
  <c r="T26" i="5"/>
  <c r="T67" i="5"/>
  <c r="T59" i="5"/>
  <c r="T51" i="5"/>
  <c r="T43" i="5"/>
  <c r="T35" i="5"/>
  <c r="T27" i="5"/>
  <c r="T68" i="5"/>
  <c r="T60" i="5"/>
  <c r="T52" i="5"/>
  <c r="T44" i="5"/>
  <c r="T36" i="5"/>
  <c r="T28" i="5"/>
  <c r="T69" i="5"/>
  <c r="T61" i="5"/>
  <c r="T53" i="5"/>
  <c r="T45" i="5"/>
  <c r="T37" i="5"/>
  <c r="T29" i="5"/>
  <c r="T62" i="5"/>
  <c r="T46" i="5"/>
  <c r="T30" i="5"/>
  <c r="T71" i="5"/>
  <c r="T64" i="5"/>
  <c r="T48" i="5"/>
  <c r="T32" i="5"/>
  <c r="T57" i="5"/>
  <c r="T41" i="5"/>
  <c r="T25" i="5"/>
  <c r="T20" i="5"/>
  <c r="T17" i="5"/>
  <c r="T70" i="5"/>
  <c r="T63" i="5"/>
  <c r="T56" i="5"/>
  <c r="T49" i="5"/>
  <c r="T23" i="5"/>
  <c r="T16" i="5"/>
  <c r="T13" i="5"/>
  <c r="T55" i="5"/>
  <c r="T22" i="5"/>
  <c r="T19" i="5"/>
  <c r="T14" i="5"/>
  <c r="T54" i="5"/>
  <c r="T47" i="5"/>
  <c r="T40" i="5"/>
  <c r="T33" i="5"/>
  <c r="T18" i="5"/>
  <c r="T31" i="5"/>
  <c r="T39" i="5"/>
  <c r="T38" i="5"/>
  <c r="T24" i="5"/>
  <c r="T65" i="5"/>
  <c r="T21" i="5"/>
  <c r="T15" i="5"/>
  <c r="BM51" i="4" l="1"/>
  <c r="BM84" i="4"/>
  <c r="CA1" i="21"/>
  <c r="BZ23" i="21"/>
  <c r="BR160" i="21"/>
  <c r="BR120" i="21"/>
  <c r="BR106" i="21"/>
  <c r="BR113" i="21"/>
  <c r="BR128" i="21"/>
  <c r="BR127" i="21"/>
  <c r="BR168" i="21"/>
  <c r="BR153" i="21"/>
  <c r="BR114" i="21"/>
  <c r="BS21" i="21"/>
  <c r="BR154" i="21"/>
  <c r="BR167" i="21"/>
  <c r="BR135" i="21"/>
  <c r="BR146" i="21"/>
  <c r="BR134" i="21"/>
  <c r="BR174" i="21"/>
  <c r="BR107" i="21"/>
  <c r="BR147" i="21"/>
  <c r="BR161" i="21"/>
  <c r="BR121" i="21"/>
  <c r="BR175" i="21"/>
  <c r="BR25" i="21"/>
  <c r="BR24" i="21"/>
  <c r="U69" i="4"/>
  <c r="U68" i="4"/>
  <c r="U62" i="4"/>
  <c r="U61" i="4"/>
  <c r="U60" i="4"/>
  <c r="U55" i="4"/>
  <c r="U54" i="4"/>
  <c r="U53" i="4"/>
  <c r="U52" i="4"/>
  <c r="U45" i="4"/>
  <c r="U44" i="4"/>
  <c r="U37" i="4"/>
  <c r="U36" i="4"/>
  <c r="U30" i="4"/>
  <c r="U29" i="4"/>
  <c r="U28" i="4"/>
  <c r="U76" i="4"/>
  <c r="U75" i="4"/>
  <c r="U74" i="4"/>
  <c r="U73" i="4"/>
  <c r="U72" i="4"/>
  <c r="U71" i="4"/>
  <c r="U70" i="4"/>
  <c r="U67" i="4"/>
  <c r="U66" i="4"/>
  <c r="U65" i="4"/>
  <c r="U64" i="4"/>
  <c r="U63" i="4"/>
  <c r="U59" i="4"/>
  <c r="U58" i="4"/>
  <c r="U57" i="4"/>
  <c r="U56" i="4"/>
  <c r="U51" i="4"/>
  <c r="U50" i="4"/>
  <c r="U49" i="4"/>
  <c r="U48" i="4"/>
  <c r="U47" i="4"/>
  <c r="U46" i="4"/>
  <c r="U43" i="4"/>
  <c r="U42" i="4"/>
  <c r="U41" i="4"/>
  <c r="U40" i="4"/>
  <c r="U39" i="4"/>
  <c r="U38" i="4"/>
  <c r="U35" i="4"/>
  <c r="U34" i="4"/>
  <c r="U33" i="4"/>
  <c r="U32" i="4"/>
  <c r="U31" i="4"/>
  <c r="U27" i="4"/>
  <c r="U26" i="4"/>
  <c r="U25" i="4"/>
  <c r="BM52" i="4" l="1"/>
  <c r="BM85" i="4"/>
  <c r="BS135" i="21"/>
  <c r="BS120" i="21"/>
  <c r="BS146" i="21"/>
  <c r="BS128" i="21"/>
  <c r="BS168" i="21"/>
  <c r="BS113" i="21"/>
  <c r="BS127" i="21"/>
  <c r="BS175" i="21"/>
  <c r="BS114" i="21"/>
  <c r="BS160" i="21"/>
  <c r="BS106" i="21"/>
  <c r="BS121" i="21"/>
  <c r="BS161" i="21"/>
  <c r="BT21" i="21"/>
  <c r="BS107" i="21"/>
  <c r="BS167" i="21"/>
  <c r="BS154" i="21"/>
  <c r="BS174" i="21"/>
  <c r="BS134" i="21"/>
  <c r="BS147" i="21"/>
  <c r="BS153" i="21"/>
  <c r="BS25" i="21"/>
  <c r="BS24" i="21"/>
  <c r="CB1" i="21"/>
  <c r="CA23" i="21"/>
  <c r="U24" i="4"/>
  <c r="AS4" i="12"/>
  <c r="AS4" i="5"/>
  <c r="AT192" i="5" s="1"/>
  <c r="AT191" i="5" l="1"/>
  <c r="AT192" i="12"/>
  <c r="BM53" i="4"/>
  <c r="BM86" i="4"/>
  <c r="BT113" i="21"/>
  <c r="BT128" i="21"/>
  <c r="BU21" i="21"/>
  <c r="BT168" i="21"/>
  <c r="BT167" i="21"/>
  <c r="BT106" i="21"/>
  <c r="BT134" i="21"/>
  <c r="BT175" i="21"/>
  <c r="BT120" i="21"/>
  <c r="BT160" i="21"/>
  <c r="BT107" i="21"/>
  <c r="BT147" i="21"/>
  <c r="BT153" i="21"/>
  <c r="BT135" i="21"/>
  <c r="BT154" i="21"/>
  <c r="BT127" i="21"/>
  <c r="BT114" i="21"/>
  <c r="BT161" i="21"/>
  <c r="BT146" i="21"/>
  <c r="BT121" i="21"/>
  <c r="BT174" i="21"/>
  <c r="BT25" i="21"/>
  <c r="BT24" i="21"/>
  <c r="CC1" i="21"/>
  <c r="CB23" i="21"/>
  <c r="U23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BN6" i="4"/>
  <c r="BO6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AT190" i="5" l="1"/>
  <c r="AT191" i="12"/>
  <c r="BM54" i="4"/>
  <c r="BM87" i="4"/>
  <c r="Q79" i="12"/>
  <c r="Q73" i="12"/>
  <c r="Q84" i="12"/>
  <c r="Q83" i="12"/>
  <c r="Q80" i="12"/>
  <c r="Q78" i="12"/>
  <c r="Q75" i="12"/>
  <c r="Q74" i="12"/>
  <c r="Q77" i="12"/>
  <c r="Q81" i="12"/>
  <c r="Q76" i="12"/>
  <c r="Q82" i="12"/>
  <c r="Q81" i="5"/>
  <c r="Q79" i="5"/>
  <c r="Q77" i="5"/>
  <c r="Q84" i="5"/>
  <c r="Q78" i="5"/>
  <c r="Q83" i="5"/>
  <c r="Q82" i="5"/>
  <c r="Q80" i="5"/>
  <c r="Q75" i="5"/>
  <c r="Q73" i="5"/>
  <c r="Q76" i="5"/>
  <c r="Q74" i="5"/>
  <c r="Q121" i="12"/>
  <c r="Q126" i="12"/>
  <c r="Q124" i="12"/>
  <c r="Q123" i="12"/>
  <c r="Q125" i="12"/>
  <c r="Q127" i="12"/>
  <c r="Q122" i="12"/>
  <c r="Q123" i="5"/>
  <c r="Q122" i="5"/>
  <c r="Q125" i="5"/>
  <c r="Q126" i="5"/>
  <c r="Q127" i="5"/>
  <c r="Q124" i="5"/>
  <c r="Q121" i="5"/>
  <c r="BU135" i="21"/>
  <c r="BV21" i="21"/>
  <c r="BU160" i="21"/>
  <c r="BU147" i="21"/>
  <c r="BU146" i="21"/>
  <c r="BU175" i="21"/>
  <c r="BU128" i="21"/>
  <c r="BU153" i="21"/>
  <c r="BU127" i="21"/>
  <c r="BU134" i="21"/>
  <c r="BU120" i="21"/>
  <c r="BU114" i="21"/>
  <c r="BU107" i="21"/>
  <c r="BU106" i="21"/>
  <c r="BU121" i="21"/>
  <c r="BU161" i="21"/>
  <c r="BU113" i="21"/>
  <c r="BU168" i="21"/>
  <c r="BU174" i="21"/>
  <c r="BU167" i="21"/>
  <c r="BU154" i="21"/>
  <c r="BU25" i="21"/>
  <c r="BU24" i="21"/>
  <c r="Q88" i="12"/>
  <c r="Q95" i="12"/>
  <c r="Q85" i="12"/>
  <c r="Q89" i="12"/>
  <c r="Q93" i="12"/>
  <c r="Q94" i="12"/>
  <c r="Q91" i="12"/>
  <c r="Q96" i="12"/>
  <c r="Q87" i="12"/>
  <c r="Q86" i="12"/>
  <c r="Q92" i="12"/>
  <c r="Q90" i="12"/>
  <c r="Q93" i="5"/>
  <c r="Q87" i="5"/>
  <c r="Q95" i="5"/>
  <c r="Q89" i="5"/>
  <c r="Q85" i="5"/>
  <c r="Q86" i="5"/>
  <c r="Q91" i="5"/>
  <c r="Q90" i="5"/>
  <c r="Q88" i="5"/>
  <c r="Q94" i="5"/>
  <c r="Q96" i="5"/>
  <c r="Q92" i="5"/>
  <c r="Q119" i="12"/>
  <c r="Q112" i="12"/>
  <c r="Q111" i="12"/>
  <c r="Q116" i="12"/>
  <c r="Q114" i="12"/>
  <c r="Q110" i="12"/>
  <c r="Q109" i="12"/>
  <c r="Q115" i="12"/>
  <c r="Q113" i="12"/>
  <c r="Q117" i="12"/>
  <c r="Q120" i="12"/>
  <c r="Q118" i="12"/>
  <c r="Q113" i="5"/>
  <c r="Q120" i="5"/>
  <c r="Q119" i="5"/>
  <c r="Q111" i="5"/>
  <c r="Q110" i="5"/>
  <c r="Q115" i="5"/>
  <c r="Q112" i="5"/>
  <c r="Q117" i="5"/>
  <c r="Q109" i="5"/>
  <c r="Q118" i="5"/>
  <c r="Q116" i="5"/>
  <c r="Q114" i="5"/>
  <c r="Q108" i="12"/>
  <c r="Q103" i="12"/>
  <c r="Q98" i="12"/>
  <c r="Q99" i="12"/>
  <c r="Q106" i="12"/>
  <c r="Q105" i="12"/>
  <c r="Q107" i="12"/>
  <c r="Q101" i="12"/>
  <c r="Q100" i="12"/>
  <c r="Q104" i="12"/>
  <c r="Q102" i="12"/>
  <c r="Q97" i="12"/>
  <c r="Q97" i="5"/>
  <c r="Q100" i="5"/>
  <c r="Q107" i="5"/>
  <c r="Q99" i="5"/>
  <c r="Q103" i="5"/>
  <c r="Q105" i="5"/>
  <c r="Q98" i="5"/>
  <c r="Q106" i="5"/>
  <c r="Q101" i="5"/>
  <c r="Q104" i="5"/>
  <c r="Q108" i="5"/>
  <c r="Q102" i="5"/>
  <c r="CD1" i="21"/>
  <c r="CC23" i="21"/>
  <c r="Q72" i="12"/>
  <c r="Q72" i="5"/>
  <c r="Q63" i="12"/>
  <c r="Q66" i="12"/>
  <c r="Q65" i="12"/>
  <c r="Q70" i="12"/>
  <c r="Q69" i="12"/>
  <c r="Q68" i="12"/>
  <c r="Q71" i="12"/>
  <c r="Q62" i="12"/>
  <c r="Q61" i="12"/>
  <c r="Q60" i="12"/>
  <c r="Q67" i="12"/>
  <c r="Q64" i="12"/>
  <c r="Q63" i="5"/>
  <c r="Q62" i="5"/>
  <c r="Q60" i="5"/>
  <c r="Q68" i="5"/>
  <c r="Q71" i="5"/>
  <c r="Q61" i="5"/>
  <c r="Q64" i="5"/>
  <c r="Q66" i="5"/>
  <c r="Q69" i="5"/>
  <c r="Q70" i="5"/>
  <c r="Q65" i="5"/>
  <c r="Q67" i="5"/>
  <c r="Q27" i="12"/>
  <c r="Q34" i="12"/>
  <c r="Q25" i="12"/>
  <c r="Q31" i="12"/>
  <c r="Q33" i="12"/>
  <c r="Q32" i="12"/>
  <c r="Q30" i="12"/>
  <c r="Q29" i="12"/>
  <c r="Q28" i="12"/>
  <c r="Q35" i="12"/>
  <c r="Q26" i="12"/>
  <c r="Q24" i="12"/>
  <c r="Q31" i="5"/>
  <c r="Q25" i="5"/>
  <c r="Q29" i="5"/>
  <c r="Q35" i="5"/>
  <c r="Q27" i="5"/>
  <c r="Q32" i="5"/>
  <c r="Q34" i="5"/>
  <c r="Q30" i="5"/>
  <c r="Q28" i="5"/>
  <c r="Q24" i="5"/>
  <c r="Q33" i="5"/>
  <c r="Q26" i="5"/>
  <c r="Q22" i="12"/>
  <c r="Q21" i="12"/>
  <c r="Q20" i="12"/>
  <c r="Q16" i="12"/>
  <c r="Q14" i="12"/>
  <c r="Q13" i="12"/>
  <c r="Q19" i="12"/>
  <c r="Q18" i="12"/>
  <c r="Q15" i="12"/>
  <c r="Q23" i="12"/>
  <c r="Q17" i="12"/>
  <c r="Q20" i="5"/>
  <c r="Q16" i="5"/>
  <c r="Q23" i="5"/>
  <c r="Q19" i="5"/>
  <c r="Q15" i="5"/>
  <c r="Q22" i="5"/>
  <c r="Q18" i="5"/>
  <c r="Q14" i="5"/>
  <c r="Q21" i="5"/>
  <c r="Q17" i="5"/>
  <c r="Q13" i="5"/>
  <c r="AE13" i="5" s="1"/>
  <c r="Q41" i="12"/>
  <c r="Q46" i="12"/>
  <c r="Q45" i="12"/>
  <c r="Q44" i="12"/>
  <c r="Q47" i="12"/>
  <c r="Q38" i="12"/>
  <c r="Q37" i="12"/>
  <c r="Q36" i="12"/>
  <c r="Q43" i="12"/>
  <c r="Q42" i="12"/>
  <c r="Q40" i="12"/>
  <c r="Q39" i="12"/>
  <c r="Q37" i="5"/>
  <c r="Q45" i="5"/>
  <c r="Q40" i="5"/>
  <c r="Q42" i="5"/>
  <c r="Q46" i="5"/>
  <c r="Q38" i="5"/>
  <c r="Q43" i="5"/>
  <c r="Q44" i="5"/>
  <c r="Q47" i="5"/>
  <c r="Q41" i="5"/>
  <c r="Q36" i="5"/>
  <c r="Q39" i="5"/>
  <c r="Q54" i="12"/>
  <c r="Q53" i="12"/>
  <c r="Q52" i="12"/>
  <c r="Q59" i="12"/>
  <c r="Q51" i="12"/>
  <c r="Q58" i="12"/>
  <c r="Q56" i="12"/>
  <c r="Q50" i="12"/>
  <c r="Q55" i="12"/>
  <c r="Q48" i="12"/>
  <c r="Q49" i="12"/>
  <c r="Q57" i="12"/>
  <c r="Q48" i="5"/>
  <c r="Q57" i="5"/>
  <c r="Q50" i="5"/>
  <c r="Q51" i="5"/>
  <c r="Q55" i="5"/>
  <c r="Q49" i="5"/>
  <c r="Q54" i="5"/>
  <c r="Q59" i="5"/>
  <c r="Q53" i="5"/>
  <c r="Q56" i="5"/>
  <c r="Q58" i="5"/>
  <c r="Q52" i="5"/>
  <c r="U22" i="4"/>
  <c r="AT189" i="5" l="1"/>
  <c r="AT190" i="12"/>
  <c r="BM55" i="4"/>
  <c r="BM88" i="4"/>
  <c r="CE1" i="21"/>
  <c r="CD23" i="21"/>
  <c r="BV153" i="21"/>
  <c r="BW21" i="21"/>
  <c r="BV127" i="21"/>
  <c r="BV168" i="21"/>
  <c r="BV135" i="21"/>
  <c r="BV167" i="21"/>
  <c r="BV175" i="21"/>
  <c r="BV146" i="21"/>
  <c r="BV154" i="21"/>
  <c r="BV128" i="21"/>
  <c r="BV120" i="21"/>
  <c r="BV107" i="21"/>
  <c r="BV161" i="21"/>
  <c r="BV134" i="21"/>
  <c r="BV121" i="21"/>
  <c r="BV114" i="21"/>
  <c r="BV160" i="21"/>
  <c r="BV113" i="21"/>
  <c r="BV106" i="21"/>
  <c r="BV174" i="21"/>
  <c r="BV147" i="21"/>
  <c r="BV24" i="21"/>
  <c r="BV25" i="21"/>
  <c r="U21" i="4"/>
  <c r="AT188" i="5" l="1"/>
  <c r="AT189" i="12"/>
  <c r="BM56" i="4"/>
  <c r="BM89" i="4"/>
  <c r="BW128" i="21"/>
  <c r="BW167" i="21"/>
  <c r="BW127" i="21"/>
  <c r="BW114" i="21"/>
  <c r="BW174" i="21"/>
  <c r="BW106" i="21"/>
  <c r="BW154" i="21"/>
  <c r="BW120" i="21"/>
  <c r="BX21" i="21"/>
  <c r="BW147" i="21"/>
  <c r="BW146" i="21"/>
  <c r="BW135" i="21"/>
  <c r="BW107" i="21"/>
  <c r="BW134" i="21"/>
  <c r="BW175" i="21"/>
  <c r="BW121" i="21"/>
  <c r="BW113" i="21"/>
  <c r="BW161" i="21"/>
  <c r="BW153" i="21"/>
  <c r="BW160" i="21"/>
  <c r="BW168" i="21"/>
  <c r="BW25" i="21"/>
  <c r="BW24" i="21"/>
  <c r="CF1" i="21"/>
  <c r="CE23" i="21"/>
  <c r="U20" i="4"/>
  <c r="AT187" i="5" l="1"/>
  <c r="AT188" i="12"/>
  <c r="BM57" i="4"/>
  <c r="BM90" i="4"/>
  <c r="BX106" i="21"/>
  <c r="BX134" i="21"/>
  <c r="BX120" i="21"/>
  <c r="BX121" i="21"/>
  <c r="BX107" i="21"/>
  <c r="BX153" i="21"/>
  <c r="BX167" i="21"/>
  <c r="BX114" i="21"/>
  <c r="BX161" i="21"/>
  <c r="BX160" i="21"/>
  <c r="BX175" i="21"/>
  <c r="BX174" i="21"/>
  <c r="BX128" i="21"/>
  <c r="BX154" i="21"/>
  <c r="BX168" i="21"/>
  <c r="BX135" i="21"/>
  <c r="BX146" i="21"/>
  <c r="BX147" i="21"/>
  <c r="BX127" i="21"/>
  <c r="BX113" i="21"/>
  <c r="BY21" i="21"/>
  <c r="BX25" i="21"/>
  <c r="BX24" i="21"/>
  <c r="CG1" i="21"/>
  <c r="CF23" i="21"/>
  <c r="U19" i="4"/>
  <c r="AT186" i="5" l="1"/>
  <c r="AT187" i="12"/>
  <c r="BM58" i="4"/>
  <c r="BM91" i="4"/>
  <c r="BY175" i="21"/>
  <c r="BY114" i="21"/>
  <c r="BY174" i="21"/>
  <c r="BY106" i="21"/>
  <c r="BY107" i="21"/>
  <c r="BY167" i="21"/>
  <c r="BY168" i="21"/>
  <c r="BY128" i="21"/>
  <c r="BY127" i="21"/>
  <c r="BY161" i="21"/>
  <c r="BY135" i="21"/>
  <c r="BY153" i="21"/>
  <c r="BY134" i="21"/>
  <c r="BZ21" i="21"/>
  <c r="BY120" i="21"/>
  <c r="BY154" i="21"/>
  <c r="BY160" i="21"/>
  <c r="BY147" i="21"/>
  <c r="BY113" i="21"/>
  <c r="BY146" i="21"/>
  <c r="BY121" i="21"/>
  <c r="BY25" i="21"/>
  <c r="BY24" i="21"/>
  <c r="CH1" i="21"/>
  <c r="CG23" i="21"/>
  <c r="U18" i="4"/>
  <c r="AT185" i="5" l="1"/>
  <c r="AT186" i="12"/>
  <c r="BM59" i="4"/>
  <c r="BM92" i="4"/>
  <c r="BZ107" i="21"/>
  <c r="BZ135" i="21"/>
  <c r="BZ147" i="21"/>
  <c r="BZ113" i="21"/>
  <c r="BZ168" i="21"/>
  <c r="BZ153" i="21"/>
  <c r="BZ167" i="21"/>
  <c r="BZ114" i="21"/>
  <c r="BZ154" i="21"/>
  <c r="CA21" i="21"/>
  <c r="BZ146" i="21"/>
  <c r="BZ106" i="21"/>
  <c r="BZ134" i="21"/>
  <c r="BZ121" i="21"/>
  <c r="BZ174" i="21"/>
  <c r="BZ161" i="21"/>
  <c r="BZ160" i="21"/>
  <c r="BZ128" i="21"/>
  <c r="BZ127" i="21"/>
  <c r="BZ175" i="21"/>
  <c r="BZ120" i="21"/>
  <c r="BZ24" i="21"/>
  <c r="BZ25" i="21"/>
  <c r="CI1" i="21"/>
  <c r="CH23" i="21"/>
  <c r="U17" i="4"/>
  <c r="AT184" i="5" l="1"/>
  <c r="AT185" i="12"/>
  <c r="BM60" i="4"/>
  <c r="BM93" i="4"/>
  <c r="CJ1" i="21"/>
  <c r="CI23" i="21"/>
  <c r="CA128" i="21"/>
  <c r="CA106" i="21"/>
  <c r="CA120" i="21"/>
  <c r="CA174" i="21"/>
  <c r="CA114" i="21"/>
  <c r="CA168" i="21"/>
  <c r="CA154" i="21"/>
  <c r="CA107" i="21"/>
  <c r="CA127" i="21"/>
  <c r="CA135" i="21"/>
  <c r="CA175" i="21"/>
  <c r="CA146" i="21"/>
  <c r="CA160" i="21"/>
  <c r="CA167" i="21"/>
  <c r="CA121" i="21"/>
  <c r="CA161" i="21"/>
  <c r="CB21" i="21"/>
  <c r="CA134" i="21"/>
  <c r="CA113" i="21"/>
  <c r="CA147" i="21"/>
  <c r="CA153" i="21"/>
  <c r="CA25" i="21"/>
  <c r="CA24" i="21"/>
  <c r="U16" i="4"/>
  <c r="BP6" i="4"/>
  <c r="BQ6" i="4"/>
  <c r="BR6" i="4"/>
  <c r="BS6" i="4"/>
  <c r="BT6" i="4"/>
  <c r="BU6" i="4"/>
  <c r="BV6" i="4"/>
  <c r="BW6" i="4"/>
  <c r="AT183" i="5" l="1"/>
  <c r="AT184" i="12"/>
  <c r="BM61" i="4"/>
  <c r="BM94" i="4"/>
  <c r="CB135" i="21"/>
  <c r="CB153" i="21"/>
  <c r="CB114" i="21"/>
  <c r="CB168" i="21"/>
  <c r="CB121" i="21"/>
  <c r="CB106" i="21"/>
  <c r="CB161" i="21"/>
  <c r="CB167" i="21"/>
  <c r="CB120" i="21"/>
  <c r="CB154" i="21"/>
  <c r="CB147" i="21"/>
  <c r="CB146" i="21"/>
  <c r="CB113" i="21"/>
  <c r="CB134" i="21"/>
  <c r="CB107" i="21"/>
  <c r="CB174" i="21"/>
  <c r="CC21" i="21"/>
  <c r="CB160" i="21"/>
  <c r="CB128" i="21"/>
  <c r="CB127" i="21"/>
  <c r="CB175" i="21"/>
  <c r="CB25" i="21"/>
  <c r="CB24" i="21"/>
  <c r="CK1" i="21"/>
  <c r="CJ23" i="21"/>
  <c r="U15" i="4"/>
  <c r="AT182" i="5" l="1"/>
  <c r="AT183" i="12"/>
  <c r="BM62" i="4"/>
  <c r="BM95" i="4"/>
  <c r="CC121" i="21"/>
  <c r="CC120" i="21"/>
  <c r="CC127" i="21"/>
  <c r="CC114" i="21"/>
  <c r="CC113" i="21"/>
  <c r="CC107" i="21"/>
  <c r="CC168" i="21"/>
  <c r="CD21" i="21"/>
  <c r="CC160" i="21"/>
  <c r="CC128" i="21"/>
  <c r="CC147" i="21"/>
  <c r="CC106" i="21"/>
  <c r="CC135" i="21"/>
  <c r="CC174" i="21"/>
  <c r="CC175" i="21"/>
  <c r="CC154" i="21"/>
  <c r="CC153" i="21"/>
  <c r="CC146" i="21"/>
  <c r="CC167" i="21"/>
  <c r="CC161" i="21"/>
  <c r="CC134" i="21"/>
  <c r="CC24" i="21"/>
  <c r="CC25" i="21"/>
  <c r="CL1" i="21"/>
  <c r="CK23" i="21"/>
  <c r="U14" i="4"/>
  <c r="AT181" i="5" l="1"/>
  <c r="AT182" i="12"/>
  <c r="BM63" i="4"/>
  <c r="BM96" i="4"/>
  <c r="CD147" i="21"/>
  <c r="CD114" i="21"/>
  <c r="CD106" i="21"/>
  <c r="CD154" i="21"/>
  <c r="CD153" i="21"/>
  <c r="CD161" i="21"/>
  <c r="CD146" i="21"/>
  <c r="CD127" i="21"/>
  <c r="CD167" i="21"/>
  <c r="CD135" i="21"/>
  <c r="CD174" i="21"/>
  <c r="CD121" i="21"/>
  <c r="CD120" i="21"/>
  <c r="CD134" i="21"/>
  <c r="CD160" i="21"/>
  <c r="CD107" i="21"/>
  <c r="CE21" i="21"/>
  <c r="CD128" i="21"/>
  <c r="CD175" i="21"/>
  <c r="CD113" i="21"/>
  <c r="CD168" i="21"/>
  <c r="CD24" i="21"/>
  <c r="CD25" i="21"/>
  <c r="CM1" i="21"/>
  <c r="CL23" i="21"/>
  <c r="U13" i="4"/>
  <c r="BW17" i="4"/>
  <c r="BV17" i="4"/>
  <c r="BU17" i="4"/>
  <c r="BT17" i="4"/>
  <c r="BS17" i="4"/>
  <c r="BR17" i="4"/>
  <c r="BQ17" i="4"/>
  <c r="BP17" i="4"/>
  <c r="BO17" i="4"/>
  <c r="BN17" i="4"/>
  <c r="BW16" i="4"/>
  <c r="BV16" i="4"/>
  <c r="BU16" i="4"/>
  <c r="BT16" i="4"/>
  <c r="BS16" i="4"/>
  <c r="BR16" i="4"/>
  <c r="BQ16" i="4"/>
  <c r="BP16" i="4"/>
  <c r="BO16" i="4"/>
  <c r="BN16" i="4"/>
  <c r="BW15" i="4"/>
  <c r="BV15" i="4"/>
  <c r="BU15" i="4"/>
  <c r="BT15" i="4"/>
  <c r="BS15" i="4"/>
  <c r="BR15" i="4"/>
  <c r="BQ15" i="4"/>
  <c r="BP15" i="4"/>
  <c r="BO15" i="4"/>
  <c r="BN15" i="4"/>
  <c r="BW14" i="4"/>
  <c r="BV14" i="4"/>
  <c r="BU14" i="4"/>
  <c r="BT14" i="4"/>
  <c r="BS14" i="4"/>
  <c r="BR14" i="4"/>
  <c r="BQ14" i="4"/>
  <c r="BP14" i="4"/>
  <c r="BO14" i="4"/>
  <c r="BN14" i="4"/>
  <c r="BW13" i="4"/>
  <c r="BV13" i="4"/>
  <c r="BU13" i="4"/>
  <c r="BT13" i="4"/>
  <c r="BS13" i="4"/>
  <c r="BR13" i="4"/>
  <c r="BQ13" i="4"/>
  <c r="BP13" i="4"/>
  <c r="BO13" i="4"/>
  <c r="BN13" i="4"/>
  <c r="BW12" i="4"/>
  <c r="BV12" i="4"/>
  <c r="BU12" i="4"/>
  <c r="BT12" i="4"/>
  <c r="BS12" i="4"/>
  <c r="BR12" i="4"/>
  <c r="BQ12" i="4"/>
  <c r="BP12" i="4"/>
  <c r="BO12" i="4"/>
  <c r="BN12" i="4"/>
  <c r="BW11" i="4"/>
  <c r="BV11" i="4"/>
  <c r="BU11" i="4"/>
  <c r="BT11" i="4"/>
  <c r="BS11" i="4"/>
  <c r="BR11" i="4"/>
  <c r="BQ11" i="4"/>
  <c r="BP11" i="4"/>
  <c r="BO11" i="4"/>
  <c r="BN11" i="4"/>
  <c r="BW10" i="4"/>
  <c r="BV10" i="4"/>
  <c r="BU10" i="4"/>
  <c r="BT10" i="4"/>
  <c r="BS10" i="4"/>
  <c r="BR10" i="4"/>
  <c r="BQ10" i="4"/>
  <c r="BP10" i="4"/>
  <c r="BO10" i="4"/>
  <c r="BN10" i="4"/>
  <c r="BW9" i="4"/>
  <c r="BV9" i="4"/>
  <c r="BU9" i="4"/>
  <c r="BT9" i="4"/>
  <c r="BS9" i="4"/>
  <c r="BR9" i="4"/>
  <c r="BQ9" i="4"/>
  <c r="BP9" i="4"/>
  <c r="BO9" i="4"/>
  <c r="BN9" i="4"/>
  <c r="BW8" i="4"/>
  <c r="BV8" i="4"/>
  <c r="BU8" i="4"/>
  <c r="BT8" i="4"/>
  <c r="BS8" i="4"/>
  <c r="BR8" i="4"/>
  <c r="BQ8" i="4"/>
  <c r="BP8" i="4"/>
  <c r="BO8" i="4"/>
  <c r="BN8" i="4"/>
  <c r="BW7" i="4"/>
  <c r="BV7" i="4"/>
  <c r="BU7" i="4"/>
  <c r="BT7" i="4"/>
  <c r="BS7" i="4"/>
  <c r="BR7" i="4"/>
  <c r="BQ7" i="4"/>
  <c r="BP7" i="4"/>
  <c r="BO7" i="4"/>
  <c r="BN7" i="4"/>
  <c r="BW5" i="4"/>
  <c r="BV5" i="4"/>
  <c r="BU5" i="4"/>
  <c r="BT5" i="4"/>
  <c r="BS5" i="4"/>
  <c r="BR5" i="4"/>
  <c r="BQ5" i="4"/>
  <c r="BP5" i="4"/>
  <c r="BO5" i="4"/>
  <c r="BN5" i="4"/>
  <c r="BO24" i="4"/>
  <c r="BP24" i="4" s="1"/>
  <c r="BQ24" i="4" s="1"/>
  <c r="BR24" i="4" s="1"/>
  <c r="BS24" i="4" s="1"/>
  <c r="BT24" i="4" s="1"/>
  <c r="BU24" i="4" s="1"/>
  <c r="BV24" i="4" s="1"/>
  <c r="BW24" i="4" s="1"/>
  <c r="BX24" i="4" s="1"/>
  <c r="BY24" i="4" s="1"/>
  <c r="BZ24" i="4" s="1"/>
  <c r="CA24" i="4" s="1"/>
  <c r="CB24" i="4" s="1"/>
  <c r="CC24" i="4" s="1"/>
  <c r="CD24" i="4" s="1"/>
  <c r="CE24" i="4" s="1"/>
  <c r="CF24" i="4" s="1"/>
  <c r="CG24" i="4" s="1"/>
  <c r="CH24" i="4" s="1"/>
  <c r="CI24" i="4" s="1"/>
  <c r="CJ24" i="4" s="1"/>
  <c r="CK24" i="4" s="1"/>
  <c r="CL24" i="4" s="1"/>
  <c r="CM24" i="4" s="1"/>
  <c r="CN24" i="4" s="1"/>
  <c r="CO24" i="4" s="1"/>
  <c r="CP24" i="4" s="1"/>
  <c r="CQ24" i="4" s="1"/>
  <c r="BO4" i="4"/>
  <c r="BP4" i="4" s="1"/>
  <c r="BQ4" i="4" s="1"/>
  <c r="BR4" i="4" s="1"/>
  <c r="BS4" i="4" s="1"/>
  <c r="BT4" i="4" s="1"/>
  <c r="BU4" i="4" s="1"/>
  <c r="BV4" i="4" s="1"/>
  <c r="BW4" i="4" s="1"/>
  <c r="BX4" i="4" s="1"/>
  <c r="BY4" i="4" s="1"/>
  <c r="BZ4" i="4" s="1"/>
  <c r="CA4" i="4" s="1"/>
  <c r="CB4" i="4" s="1"/>
  <c r="CC4" i="4" s="1"/>
  <c r="CD4" i="4" s="1"/>
  <c r="CE4" i="4" s="1"/>
  <c r="CF4" i="4" s="1"/>
  <c r="CG4" i="4" s="1"/>
  <c r="CH4" i="4" s="1"/>
  <c r="CI4" i="4" s="1"/>
  <c r="CJ4" i="4" s="1"/>
  <c r="CK4" i="4" s="1"/>
  <c r="CL4" i="4" s="1"/>
  <c r="CM4" i="4" s="1"/>
  <c r="CN4" i="4" s="1"/>
  <c r="CO4" i="4" s="1"/>
  <c r="CP4" i="4" s="1"/>
  <c r="CQ4" i="4" s="1"/>
  <c r="AT180" i="5" l="1"/>
  <c r="AT181" i="12"/>
  <c r="BM64" i="4"/>
  <c r="BM97" i="4"/>
  <c r="CE161" i="21"/>
  <c r="CE147" i="21"/>
  <c r="CE135" i="21"/>
  <c r="CE106" i="21"/>
  <c r="CE153" i="21"/>
  <c r="CE127" i="21"/>
  <c r="CF21" i="21"/>
  <c r="CE174" i="21"/>
  <c r="CE128" i="21"/>
  <c r="CE121" i="21"/>
  <c r="CE120" i="21"/>
  <c r="CE146" i="21"/>
  <c r="CE167" i="21"/>
  <c r="CE107" i="21"/>
  <c r="CE134" i="21"/>
  <c r="CE168" i="21"/>
  <c r="CE114" i="21"/>
  <c r="CE113" i="21"/>
  <c r="CE154" i="21"/>
  <c r="CE160" i="21"/>
  <c r="CE175" i="21"/>
  <c r="CE24" i="21"/>
  <c r="CE25" i="21"/>
  <c r="CN1" i="21"/>
  <c r="CM23" i="21"/>
  <c r="U12" i="4"/>
  <c r="CD4" i="12"/>
  <c r="AT179" i="5" l="1"/>
  <c r="AT180" i="12"/>
  <c r="BM65" i="4"/>
  <c r="BM98" i="4"/>
  <c r="CF127" i="21"/>
  <c r="CF134" i="21"/>
  <c r="CF175" i="21"/>
  <c r="CF174" i="21"/>
  <c r="CF168" i="21"/>
  <c r="CF154" i="21"/>
  <c r="CF147" i="21"/>
  <c r="CF114" i="21"/>
  <c r="CF121" i="21"/>
  <c r="CF106" i="21"/>
  <c r="CF113" i="21"/>
  <c r="CF161" i="21"/>
  <c r="CF107" i="21"/>
  <c r="CF153" i="21"/>
  <c r="CF128" i="21"/>
  <c r="CF160" i="21"/>
  <c r="CG21" i="21"/>
  <c r="CF167" i="21"/>
  <c r="CF135" i="21"/>
  <c r="CF146" i="21"/>
  <c r="CF120" i="21"/>
  <c r="CF24" i="21"/>
  <c r="CF25" i="21"/>
  <c r="CO1" i="21"/>
  <c r="CN23" i="21"/>
  <c r="V40" i="12"/>
  <c r="AF13" i="12"/>
  <c r="BD13" i="12" s="1"/>
  <c r="V52" i="12"/>
  <c r="V49" i="12"/>
  <c r="V28" i="12"/>
  <c r="V70" i="12"/>
  <c r="V37" i="12"/>
  <c r="V32" i="12"/>
  <c r="V57" i="12"/>
  <c r="V16" i="12"/>
  <c r="V72" i="12"/>
  <c r="V66" i="12"/>
  <c r="V45" i="12"/>
  <c r="V36" i="12"/>
  <c r="V29" i="12"/>
  <c r="V50" i="12"/>
  <c r="V20" i="12"/>
  <c r="V62" i="12"/>
  <c r="V55" i="12"/>
  <c r="V14" i="12"/>
  <c r="V18" i="12"/>
  <c r="AG13" i="12"/>
  <c r="BE13" i="12" s="1"/>
  <c r="V41" i="12"/>
  <c r="V69" i="12"/>
  <c r="V51" i="12"/>
  <c r="V47" i="12"/>
  <c r="V54" i="12"/>
  <c r="V58" i="12"/>
  <c r="V42" i="12"/>
  <c r="V68" i="12"/>
  <c r="AE13" i="12"/>
  <c r="V33" i="12"/>
  <c r="V21" i="12"/>
  <c r="V44" i="12"/>
  <c r="V27" i="12"/>
  <c r="V15" i="12"/>
  <c r="V39" i="12"/>
  <c r="V22" i="12"/>
  <c r="V26" i="12"/>
  <c r="V67" i="12"/>
  <c r="V17" i="12"/>
  <c r="V31" i="12"/>
  <c r="V71" i="12"/>
  <c r="V38" i="12"/>
  <c r="V43" i="12"/>
  <c r="V63" i="12"/>
  <c r="V64" i="12"/>
  <c r="V35" i="12"/>
  <c r="AH13" i="12"/>
  <c r="BF13" i="12" s="1"/>
  <c r="V56" i="12"/>
  <c r="V61" i="12"/>
  <c r="V30" i="12"/>
  <c r="V46" i="12"/>
  <c r="V53" i="12"/>
  <c r="V65" i="12"/>
  <c r="V60" i="12"/>
  <c r="V23" i="12"/>
  <c r="V25" i="12"/>
  <c r="V48" i="12"/>
  <c r="V13" i="12"/>
  <c r="Z13" i="12" s="1"/>
  <c r="V19" i="12"/>
  <c r="V34" i="12"/>
  <c r="V59" i="12"/>
  <c r="V24" i="12"/>
  <c r="U11" i="4"/>
  <c r="BS5" i="12"/>
  <c r="M5" i="12"/>
  <c r="I136" i="12" l="1"/>
  <c r="I177" i="12"/>
  <c r="I140" i="12"/>
  <c r="I173" i="12"/>
  <c r="I180" i="12"/>
  <c r="I147" i="12"/>
  <c r="I171" i="12"/>
  <c r="I152" i="12"/>
  <c r="I131" i="12"/>
  <c r="I188" i="12"/>
  <c r="I133" i="12"/>
  <c r="I150" i="12"/>
  <c r="I187" i="12"/>
  <c r="I141" i="12"/>
  <c r="I178" i="12"/>
  <c r="I169" i="12"/>
  <c r="I163" i="12"/>
  <c r="I162" i="12"/>
  <c r="I184" i="12"/>
  <c r="I144" i="12"/>
  <c r="I153" i="12"/>
  <c r="I183" i="12"/>
  <c r="I134" i="12"/>
  <c r="I168" i="12"/>
  <c r="I130" i="12"/>
  <c r="I129" i="12"/>
  <c r="I186" i="12"/>
  <c r="I181" i="12"/>
  <c r="I145" i="12"/>
  <c r="I157" i="12"/>
  <c r="I175" i="12"/>
  <c r="I164" i="12"/>
  <c r="I174" i="12"/>
  <c r="I155" i="12"/>
  <c r="I182" i="12"/>
  <c r="I143" i="12"/>
  <c r="I132" i="12"/>
  <c r="I190" i="12"/>
  <c r="I172" i="12"/>
  <c r="I191" i="12"/>
  <c r="I192" i="12"/>
  <c r="I176" i="12"/>
  <c r="I156" i="12"/>
  <c r="I179" i="12"/>
  <c r="I135" i="12"/>
  <c r="I154" i="12"/>
  <c r="I185" i="12"/>
  <c r="I139" i="12"/>
  <c r="I149" i="12"/>
  <c r="I165" i="12"/>
  <c r="I166" i="12"/>
  <c r="I148" i="12"/>
  <c r="I158" i="12"/>
  <c r="I137" i="12"/>
  <c r="I159" i="12"/>
  <c r="I170" i="12"/>
  <c r="I161" i="12"/>
  <c r="I142" i="12"/>
  <c r="I146" i="12"/>
  <c r="I160" i="12"/>
  <c r="I167" i="12"/>
  <c r="I151" i="12"/>
  <c r="I138" i="12"/>
  <c r="I189" i="12"/>
  <c r="I128" i="12"/>
  <c r="AO192" i="12"/>
  <c r="AO191" i="12" s="1"/>
  <c r="AO190" i="12" s="1"/>
  <c r="AO189" i="12" s="1"/>
  <c r="AO188" i="12" s="1"/>
  <c r="AO187" i="12" s="1"/>
  <c r="AO186" i="12" s="1"/>
  <c r="AO185" i="12" s="1"/>
  <c r="AO184" i="12" s="1"/>
  <c r="AO183" i="12" s="1"/>
  <c r="AO182" i="12" s="1"/>
  <c r="AO181" i="12" s="1"/>
  <c r="AO180" i="12" s="1"/>
  <c r="AO179" i="12" s="1"/>
  <c r="AO178" i="12" s="1"/>
  <c r="AO177" i="12" s="1"/>
  <c r="AO176" i="12" s="1"/>
  <c r="AO175" i="12" s="1"/>
  <c r="AO174" i="12" s="1"/>
  <c r="AO173" i="12" s="1"/>
  <c r="AO172" i="12" s="1"/>
  <c r="AO171" i="12" s="1"/>
  <c r="AO170" i="12" s="1"/>
  <c r="AO169" i="12" s="1"/>
  <c r="AO168" i="12" s="1"/>
  <c r="AO167" i="12" s="1"/>
  <c r="AO166" i="12" s="1"/>
  <c r="AO165" i="12" s="1"/>
  <c r="AO164" i="12" s="1"/>
  <c r="AO163" i="12" s="1"/>
  <c r="AO162" i="12" s="1"/>
  <c r="AO161" i="12" s="1"/>
  <c r="AO160" i="12" s="1"/>
  <c r="AO159" i="12" s="1"/>
  <c r="AO158" i="12" s="1"/>
  <c r="AO157" i="12" s="1"/>
  <c r="AO156" i="12" s="1"/>
  <c r="AO155" i="12" s="1"/>
  <c r="AO154" i="12" s="1"/>
  <c r="AO153" i="12" s="1"/>
  <c r="AO152" i="12" s="1"/>
  <c r="AO151" i="12" s="1"/>
  <c r="AO150" i="12" s="1"/>
  <c r="AO149" i="12" s="1"/>
  <c r="AO148" i="12" s="1"/>
  <c r="AO147" i="12" s="1"/>
  <c r="AO146" i="12" s="1"/>
  <c r="AO145" i="12" s="1"/>
  <c r="AO144" i="12" s="1"/>
  <c r="AO143" i="12" s="1"/>
  <c r="AO142" i="12" s="1"/>
  <c r="AO141" i="12" s="1"/>
  <c r="AO140" i="12" s="1"/>
  <c r="AO139" i="12" s="1"/>
  <c r="AO138" i="12" s="1"/>
  <c r="AO137" i="12" s="1"/>
  <c r="AO136" i="12" s="1"/>
  <c r="AO135" i="12" s="1"/>
  <c r="AO134" i="12" s="1"/>
  <c r="AO133" i="12" s="1"/>
  <c r="AO132" i="12" s="1"/>
  <c r="AO131" i="12" s="1"/>
  <c r="AO130" i="12" s="1"/>
  <c r="AO129" i="12" s="1"/>
  <c r="AO128" i="12" s="1"/>
  <c r="AO127" i="12" s="1"/>
  <c r="AO126" i="12" s="1"/>
  <c r="AO125" i="12" s="1"/>
  <c r="AO124" i="12" s="1"/>
  <c r="AO123" i="12" s="1"/>
  <c r="AO122" i="12" s="1"/>
  <c r="AO121" i="12" s="1"/>
  <c r="AO120" i="12" s="1"/>
  <c r="AO119" i="12" s="1"/>
  <c r="AO118" i="12" s="1"/>
  <c r="AO117" i="12" s="1"/>
  <c r="AO116" i="12" s="1"/>
  <c r="AO115" i="12" s="1"/>
  <c r="AO114" i="12" s="1"/>
  <c r="AO113" i="12" s="1"/>
  <c r="AO112" i="12" s="1"/>
  <c r="AO111" i="12" s="1"/>
  <c r="AO110" i="12" s="1"/>
  <c r="AO109" i="12" s="1"/>
  <c r="AO108" i="12" s="1"/>
  <c r="AO107" i="12" s="1"/>
  <c r="AO106" i="12" s="1"/>
  <c r="AO105" i="12" s="1"/>
  <c r="AO104" i="12" s="1"/>
  <c r="AO103" i="12" s="1"/>
  <c r="AO102" i="12" s="1"/>
  <c r="AO101" i="12" s="1"/>
  <c r="AO100" i="12" s="1"/>
  <c r="AO99" i="12" s="1"/>
  <c r="AO98" i="12" s="1"/>
  <c r="AO97" i="12" s="1"/>
  <c r="AO96" i="12" s="1"/>
  <c r="AO95" i="12" s="1"/>
  <c r="AO94" i="12" s="1"/>
  <c r="AO93" i="12" s="1"/>
  <c r="AO92" i="12" s="1"/>
  <c r="AO91" i="12" s="1"/>
  <c r="AO90" i="12" s="1"/>
  <c r="AO89" i="12" s="1"/>
  <c r="AO88" i="12" s="1"/>
  <c r="AO87" i="12" s="1"/>
  <c r="AO86" i="12" s="1"/>
  <c r="AO85" i="12" s="1"/>
  <c r="AO84" i="12" s="1"/>
  <c r="AO83" i="12" s="1"/>
  <c r="AO82" i="12" s="1"/>
  <c r="AO81" i="12" s="1"/>
  <c r="AO80" i="12" s="1"/>
  <c r="AO79" i="12" s="1"/>
  <c r="AO78" i="12" s="1"/>
  <c r="AO77" i="12" s="1"/>
  <c r="AO76" i="12" s="1"/>
  <c r="AO75" i="12" s="1"/>
  <c r="AO74" i="12" s="1"/>
  <c r="AO73" i="12" s="1"/>
  <c r="AO72" i="12" s="1"/>
  <c r="AO71" i="12" s="1"/>
  <c r="AO70" i="12" s="1"/>
  <c r="AO69" i="12" s="1"/>
  <c r="AO68" i="12" s="1"/>
  <c r="AO67" i="12" s="1"/>
  <c r="AO66" i="12" s="1"/>
  <c r="AO65" i="12" s="1"/>
  <c r="AO64" i="12" s="1"/>
  <c r="AO63" i="12" s="1"/>
  <c r="AO62" i="12" s="1"/>
  <c r="AO61" i="12" s="1"/>
  <c r="AO60" i="12" s="1"/>
  <c r="AO59" i="12" s="1"/>
  <c r="AO58" i="12" s="1"/>
  <c r="AO57" i="12" s="1"/>
  <c r="AO56" i="12" s="1"/>
  <c r="AO55" i="12" s="1"/>
  <c r="AO54" i="12" s="1"/>
  <c r="AO53" i="12" s="1"/>
  <c r="AO52" i="12" s="1"/>
  <c r="AO51" i="12" s="1"/>
  <c r="AO50" i="12" s="1"/>
  <c r="AO49" i="12" s="1"/>
  <c r="AO48" i="12" s="1"/>
  <c r="AO47" i="12" s="1"/>
  <c r="AO46" i="12" s="1"/>
  <c r="AO45" i="12" s="1"/>
  <c r="AO44" i="12" s="1"/>
  <c r="AO43" i="12" s="1"/>
  <c r="AO42" i="12" s="1"/>
  <c r="AO41" i="12" s="1"/>
  <c r="AO40" i="12" s="1"/>
  <c r="AO39" i="12" s="1"/>
  <c r="AO38" i="12" s="1"/>
  <c r="AO37" i="12" s="1"/>
  <c r="AO36" i="12" s="1"/>
  <c r="AO35" i="12" s="1"/>
  <c r="AO34" i="12" s="1"/>
  <c r="AO33" i="12" s="1"/>
  <c r="AO32" i="12" s="1"/>
  <c r="AO31" i="12" s="1"/>
  <c r="AO30" i="12" s="1"/>
  <c r="AO29" i="12" s="1"/>
  <c r="AO28" i="12" s="1"/>
  <c r="AO27" i="12" s="1"/>
  <c r="AO26" i="12" s="1"/>
  <c r="AO25" i="12" s="1"/>
  <c r="AO24" i="12" s="1"/>
  <c r="AO23" i="12" s="1"/>
  <c r="AO22" i="12" s="1"/>
  <c r="AO21" i="12" s="1"/>
  <c r="AO20" i="12" s="1"/>
  <c r="AO19" i="12" s="1"/>
  <c r="AO18" i="12" s="1"/>
  <c r="AO17" i="12" s="1"/>
  <c r="AO16" i="12" s="1"/>
  <c r="AO15" i="12" s="1"/>
  <c r="AO14" i="12" s="1"/>
  <c r="AO13" i="12" s="1"/>
  <c r="AT178" i="5"/>
  <c r="AT179" i="12"/>
  <c r="BM66" i="4"/>
  <c r="BM99" i="4"/>
  <c r="I93" i="12"/>
  <c r="I86" i="12"/>
  <c r="I83" i="12"/>
  <c r="I121" i="12"/>
  <c r="I119" i="12"/>
  <c r="I117" i="12"/>
  <c r="I112" i="12"/>
  <c r="I95" i="12"/>
  <c r="I89" i="12"/>
  <c r="I80" i="12"/>
  <c r="I115" i="12"/>
  <c r="I108" i="12"/>
  <c r="I73" i="12"/>
  <c r="I87" i="12"/>
  <c r="I76" i="12"/>
  <c r="I102" i="12"/>
  <c r="I85" i="12"/>
  <c r="I77" i="12"/>
  <c r="I78" i="12"/>
  <c r="I97" i="12"/>
  <c r="I90" i="12"/>
  <c r="I75" i="12"/>
  <c r="I99" i="12"/>
  <c r="I126" i="12"/>
  <c r="I125" i="12"/>
  <c r="I124" i="12"/>
  <c r="I103" i="12"/>
  <c r="I92" i="12"/>
  <c r="I107" i="12"/>
  <c r="I82" i="12"/>
  <c r="I96" i="12"/>
  <c r="I105" i="12"/>
  <c r="I100" i="12"/>
  <c r="I81" i="12"/>
  <c r="I120" i="12"/>
  <c r="I106" i="12"/>
  <c r="I127" i="12"/>
  <c r="I104" i="12"/>
  <c r="I118" i="12"/>
  <c r="I123" i="12"/>
  <c r="I91" i="12"/>
  <c r="I113" i="12"/>
  <c r="I94" i="12"/>
  <c r="I111" i="12"/>
  <c r="I116" i="12"/>
  <c r="I101" i="12"/>
  <c r="I110" i="12"/>
  <c r="I109" i="12"/>
  <c r="I88" i="12"/>
  <c r="I114" i="12"/>
  <c r="I84" i="12"/>
  <c r="I98" i="12"/>
  <c r="I79" i="12"/>
  <c r="I74" i="12"/>
  <c r="I122" i="12"/>
  <c r="CP1" i="21"/>
  <c r="CO23" i="21"/>
  <c r="CG146" i="21"/>
  <c r="CG154" i="21"/>
  <c r="CG134" i="21"/>
  <c r="CG121" i="21"/>
  <c r="CG167" i="21"/>
  <c r="CG113" i="21"/>
  <c r="CG128" i="21"/>
  <c r="CG135" i="21"/>
  <c r="CG175" i="21"/>
  <c r="CG127" i="21"/>
  <c r="CG120" i="21"/>
  <c r="CG114" i="21"/>
  <c r="CG107" i="21"/>
  <c r="CG106" i="21"/>
  <c r="CG153" i="21"/>
  <c r="CG161" i="21"/>
  <c r="CH21" i="21"/>
  <c r="CG160" i="21"/>
  <c r="CG168" i="21"/>
  <c r="CG174" i="21"/>
  <c r="CG147" i="21"/>
  <c r="CG24" i="21"/>
  <c r="CG25" i="21"/>
  <c r="CG8" i="12"/>
  <c r="CM8" i="12" s="1"/>
  <c r="I14" i="12"/>
  <c r="I47" i="12"/>
  <c r="I16" i="12"/>
  <c r="I42" i="12"/>
  <c r="I67" i="12"/>
  <c r="I28" i="12"/>
  <c r="I53" i="12"/>
  <c r="I24" i="12"/>
  <c r="I17" i="12"/>
  <c r="I36" i="12"/>
  <c r="I35" i="12"/>
  <c r="I60" i="12"/>
  <c r="I21" i="12"/>
  <c r="I54" i="12"/>
  <c r="I23" i="12"/>
  <c r="I22" i="12"/>
  <c r="I55" i="12"/>
  <c r="I50" i="12"/>
  <c r="I61" i="12"/>
  <c r="I46" i="12"/>
  <c r="I48" i="12"/>
  <c r="I65" i="12"/>
  <c r="I30" i="12"/>
  <c r="I63" i="12"/>
  <c r="I32" i="12"/>
  <c r="I58" i="12"/>
  <c r="I19" i="12"/>
  <c r="I44" i="12"/>
  <c r="I33" i="12"/>
  <c r="I69" i="12"/>
  <c r="I38" i="12"/>
  <c r="I71" i="12"/>
  <c r="I40" i="12"/>
  <c r="I66" i="12"/>
  <c r="I27" i="12"/>
  <c r="I52" i="12"/>
  <c r="I49" i="12"/>
  <c r="I15" i="12"/>
  <c r="I25" i="12"/>
  <c r="I70" i="12"/>
  <c r="I39" i="12"/>
  <c r="I57" i="12"/>
  <c r="I20" i="12"/>
  <c r="I68" i="12"/>
  <c r="I56" i="12"/>
  <c r="I64" i="12"/>
  <c r="I43" i="12"/>
  <c r="I29" i="12"/>
  <c r="I72" i="12"/>
  <c r="I18" i="12"/>
  <c r="I51" i="12"/>
  <c r="I37" i="12"/>
  <c r="I26" i="12"/>
  <c r="I59" i="12"/>
  <c r="I45" i="12"/>
  <c r="I62" i="12"/>
  <c r="I31" i="12"/>
  <c r="I41" i="12"/>
  <c r="I34" i="12"/>
  <c r="U10" i="4"/>
  <c r="AT177" i="5" l="1"/>
  <c r="AT178" i="12"/>
  <c r="BM67" i="4"/>
  <c r="BM100" i="4"/>
  <c r="CH154" i="21"/>
  <c r="CH106" i="21"/>
  <c r="CH113" i="21"/>
  <c r="CH153" i="21"/>
  <c r="CH120" i="21"/>
  <c r="CI21" i="21"/>
  <c r="CH168" i="21"/>
  <c r="CH146" i="21"/>
  <c r="CH134" i="21"/>
  <c r="CH160" i="21"/>
  <c r="CH121" i="21"/>
  <c r="CH174" i="21"/>
  <c r="CH175" i="21"/>
  <c r="CH147" i="21"/>
  <c r="CH135" i="21"/>
  <c r="CH128" i="21"/>
  <c r="CH161" i="21"/>
  <c r="CH127" i="21"/>
  <c r="CH114" i="21"/>
  <c r="CH167" i="21"/>
  <c r="CH107" i="21"/>
  <c r="CH25" i="21"/>
  <c r="CH24" i="21"/>
  <c r="CQ1" i="21"/>
  <c r="CP23" i="21"/>
  <c r="AO7" i="12"/>
  <c r="U9" i="4"/>
  <c r="AT176" i="5" l="1"/>
  <c r="AT177" i="12"/>
  <c r="BM68" i="4"/>
  <c r="BM101" i="4"/>
  <c r="CI154" i="21"/>
  <c r="CI168" i="21"/>
  <c r="CI128" i="21"/>
  <c r="CI113" i="21"/>
  <c r="CI120" i="21"/>
  <c r="CI167" i="21"/>
  <c r="CI146" i="21"/>
  <c r="CI174" i="21"/>
  <c r="CI134" i="21"/>
  <c r="CI175" i="21"/>
  <c r="CI147" i="21"/>
  <c r="CI160" i="21"/>
  <c r="CI135" i="21"/>
  <c r="CI121" i="21"/>
  <c r="CI127" i="21"/>
  <c r="CJ21" i="21"/>
  <c r="CI114" i="21"/>
  <c r="CI106" i="21"/>
  <c r="CI161" i="21"/>
  <c r="CI153" i="21"/>
  <c r="CI107" i="21"/>
  <c r="CI25" i="21"/>
  <c r="CI24" i="21"/>
  <c r="CR1" i="21"/>
  <c r="CQ23" i="21"/>
  <c r="U8" i="4"/>
  <c r="AT175" i="5" l="1"/>
  <c r="AT176" i="12"/>
  <c r="BM69" i="4"/>
  <c r="BM102" i="4"/>
  <c r="CS1" i="21"/>
  <c r="CR23" i="21"/>
  <c r="CJ160" i="21"/>
  <c r="CJ174" i="21"/>
  <c r="CJ120" i="21"/>
  <c r="CJ146" i="21"/>
  <c r="CJ107" i="21"/>
  <c r="CJ135" i="21"/>
  <c r="CJ134" i="21"/>
  <c r="CJ168" i="21"/>
  <c r="CJ114" i="21"/>
  <c r="CJ106" i="21"/>
  <c r="CJ154" i="21"/>
  <c r="CJ121" i="21"/>
  <c r="CJ153" i="21"/>
  <c r="CJ113" i="21"/>
  <c r="CJ147" i="21"/>
  <c r="CJ175" i="21"/>
  <c r="CK21" i="21"/>
  <c r="CJ128" i="21"/>
  <c r="CJ127" i="21"/>
  <c r="CJ167" i="21"/>
  <c r="CJ161" i="21"/>
  <c r="CJ25" i="21"/>
  <c r="CJ24" i="21"/>
  <c r="U7" i="4"/>
  <c r="U6" i="4"/>
  <c r="AT174" i="5" l="1"/>
  <c r="AT175" i="12"/>
  <c r="BM70" i="4"/>
  <c r="BM103" i="4"/>
  <c r="CT1" i="21"/>
  <c r="CS23" i="21"/>
  <c r="CK147" i="21"/>
  <c r="CK135" i="21"/>
  <c r="CK168" i="21"/>
  <c r="CK121" i="21"/>
  <c r="CK161" i="21"/>
  <c r="CK175" i="21"/>
  <c r="CK113" i="21"/>
  <c r="CK153" i="21"/>
  <c r="CK107" i="21"/>
  <c r="CK134" i="21"/>
  <c r="CK114" i="21"/>
  <c r="CL21" i="21"/>
  <c r="CK167" i="21"/>
  <c r="CK106" i="21"/>
  <c r="CK154" i="21"/>
  <c r="CK128" i="21"/>
  <c r="CK146" i="21"/>
  <c r="CK127" i="21"/>
  <c r="CK174" i="21"/>
  <c r="CK120" i="21"/>
  <c r="CK160" i="21"/>
  <c r="CK25" i="21"/>
  <c r="CK24" i="21"/>
  <c r="AT173" i="5" l="1"/>
  <c r="AT174" i="12"/>
  <c r="BM71" i="4"/>
  <c r="BM104" i="4"/>
  <c r="CU1" i="21"/>
  <c r="CT23" i="21"/>
  <c r="CL147" i="21"/>
  <c r="CL120" i="21"/>
  <c r="CL121" i="21"/>
  <c r="CM21" i="21"/>
  <c r="CL113" i="21"/>
  <c r="CL146" i="21"/>
  <c r="CL135" i="21"/>
  <c r="CL175" i="21"/>
  <c r="CL167" i="21"/>
  <c r="CL154" i="21"/>
  <c r="CL161" i="21"/>
  <c r="CL106" i="21"/>
  <c r="CL127" i="21"/>
  <c r="CL153" i="21"/>
  <c r="CL134" i="21"/>
  <c r="CL107" i="21"/>
  <c r="CL128" i="21"/>
  <c r="CL174" i="21"/>
  <c r="CL168" i="21"/>
  <c r="CL114" i="21"/>
  <c r="CL160" i="21"/>
  <c r="CL25" i="21"/>
  <c r="CL24" i="21"/>
  <c r="AT172" i="5" l="1"/>
  <c r="AT173" i="12"/>
  <c r="BM72" i="4"/>
  <c r="BM105" i="4"/>
  <c r="CM174" i="21"/>
  <c r="CM120" i="21"/>
  <c r="CM147" i="21"/>
  <c r="CM114" i="21"/>
  <c r="CM168" i="21"/>
  <c r="CM161" i="21"/>
  <c r="CM134" i="21"/>
  <c r="CM154" i="21"/>
  <c r="CM175" i="21"/>
  <c r="CM153" i="21"/>
  <c r="CM167" i="21"/>
  <c r="CM113" i="21"/>
  <c r="CM121" i="21"/>
  <c r="CN21" i="21"/>
  <c r="CM146" i="21"/>
  <c r="CM128" i="21"/>
  <c r="CM107" i="21"/>
  <c r="CM127" i="21"/>
  <c r="CM135" i="21"/>
  <c r="CM106" i="21"/>
  <c r="CM160" i="21"/>
  <c r="CM24" i="21"/>
  <c r="CM25" i="21"/>
  <c r="CV1" i="21"/>
  <c r="CU23" i="21"/>
  <c r="AT171" i="5" l="1"/>
  <c r="AT172" i="12"/>
  <c r="BM73" i="4"/>
  <c r="BM106" i="4"/>
  <c r="CW1" i="21"/>
  <c r="CV23" i="21"/>
  <c r="CN168" i="21"/>
  <c r="CN113" i="21"/>
  <c r="CN128" i="21"/>
  <c r="CN174" i="21"/>
  <c r="CN120" i="21"/>
  <c r="CN160" i="21"/>
  <c r="CN146" i="21"/>
  <c r="CN147" i="21"/>
  <c r="CO21" i="21"/>
  <c r="CN175" i="21"/>
  <c r="CN134" i="21"/>
  <c r="CN161" i="21"/>
  <c r="CN167" i="21"/>
  <c r="CN153" i="21"/>
  <c r="CN114" i="21"/>
  <c r="CN107" i="21"/>
  <c r="CN106" i="21"/>
  <c r="CN154" i="21"/>
  <c r="CN127" i="21"/>
  <c r="CN135" i="21"/>
  <c r="CN121" i="21"/>
  <c r="CN25" i="21"/>
  <c r="CN24" i="21"/>
  <c r="AT170" i="5" l="1"/>
  <c r="AT171" i="12"/>
  <c r="BM74" i="4"/>
  <c r="BM108" i="4" s="1"/>
  <c r="BM107" i="4"/>
  <c r="CO175" i="21"/>
  <c r="CO168" i="21"/>
  <c r="CO121" i="21"/>
  <c r="CO135" i="21"/>
  <c r="CO146" i="21"/>
  <c r="CO127" i="21"/>
  <c r="CO134" i="21"/>
  <c r="CO161" i="21"/>
  <c r="CO113" i="21"/>
  <c r="CO153" i="21"/>
  <c r="CP21" i="21"/>
  <c r="CO160" i="21"/>
  <c r="CO167" i="21"/>
  <c r="CO154" i="21"/>
  <c r="CO128" i="21"/>
  <c r="CO147" i="21"/>
  <c r="CO174" i="21"/>
  <c r="CO120" i="21"/>
  <c r="CO114" i="21"/>
  <c r="CO106" i="21"/>
  <c r="CO107" i="21"/>
  <c r="CO25" i="21"/>
  <c r="CO24" i="21"/>
  <c r="CX1" i="21"/>
  <c r="CW23" i="21"/>
  <c r="AT169" i="5" l="1"/>
  <c r="AT170" i="12"/>
  <c r="CY1" i="21"/>
  <c r="CX23" i="21"/>
  <c r="CP146" i="21"/>
  <c r="CQ21" i="21"/>
  <c r="CP174" i="21"/>
  <c r="CP106" i="21"/>
  <c r="CP147" i="21"/>
  <c r="CP127" i="21"/>
  <c r="CP113" i="21"/>
  <c r="CP121" i="21"/>
  <c r="CP128" i="21"/>
  <c r="CP168" i="21"/>
  <c r="CP120" i="21"/>
  <c r="CP135" i="21"/>
  <c r="CP107" i="21"/>
  <c r="CP134" i="21"/>
  <c r="CP175" i="21"/>
  <c r="CP160" i="21"/>
  <c r="CP167" i="21"/>
  <c r="CP154" i="21"/>
  <c r="CP161" i="21"/>
  <c r="CP114" i="21"/>
  <c r="CP153" i="21"/>
  <c r="CP24" i="21"/>
  <c r="CP25" i="21"/>
  <c r="AT168" i="5" l="1"/>
  <c r="AT169" i="12"/>
  <c r="CQ154" i="21"/>
  <c r="CQ113" i="21"/>
  <c r="CR21" i="21"/>
  <c r="CQ161" i="21"/>
  <c r="CQ114" i="21"/>
  <c r="CQ167" i="21"/>
  <c r="CQ174" i="21"/>
  <c r="CQ106" i="21"/>
  <c r="CQ146" i="21"/>
  <c r="CQ134" i="21"/>
  <c r="CQ168" i="21"/>
  <c r="CQ175" i="21"/>
  <c r="CQ147" i="21"/>
  <c r="CQ160" i="21"/>
  <c r="CQ128" i="21"/>
  <c r="CQ121" i="21"/>
  <c r="CQ127" i="21"/>
  <c r="CQ135" i="21"/>
  <c r="CQ153" i="21"/>
  <c r="CQ120" i="21"/>
  <c r="CQ107" i="21"/>
  <c r="CQ24" i="21"/>
  <c r="CQ25" i="21"/>
  <c r="CZ1" i="21"/>
  <c r="CY23" i="21"/>
  <c r="AT167" i="5" l="1"/>
  <c r="AT168" i="12"/>
  <c r="DA1" i="21"/>
  <c r="CZ23" i="21"/>
  <c r="CR174" i="21"/>
  <c r="CR167" i="21"/>
  <c r="CR168" i="21"/>
  <c r="CR153" i="21"/>
  <c r="CR106" i="21"/>
  <c r="CR135" i="21"/>
  <c r="CR175" i="21"/>
  <c r="CR127" i="21"/>
  <c r="CR128" i="21"/>
  <c r="CR121" i="21"/>
  <c r="CR120" i="21"/>
  <c r="CR114" i="21"/>
  <c r="CR107" i="21"/>
  <c r="CR113" i="21"/>
  <c r="CS21" i="21"/>
  <c r="CR147" i="21"/>
  <c r="CR160" i="21"/>
  <c r="CR154" i="21"/>
  <c r="CR161" i="21"/>
  <c r="CR146" i="21"/>
  <c r="CR134" i="21"/>
  <c r="CR24" i="21"/>
  <c r="CR25" i="21"/>
  <c r="AT166" i="5" l="1"/>
  <c r="AT167" i="12"/>
  <c r="CS135" i="21"/>
  <c r="CS121" i="21"/>
  <c r="CS154" i="21"/>
  <c r="CS161" i="21"/>
  <c r="CS127" i="21"/>
  <c r="CT21" i="21"/>
  <c r="CS175" i="21"/>
  <c r="CS168" i="21"/>
  <c r="CS153" i="21"/>
  <c r="CS147" i="21"/>
  <c r="CS134" i="21"/>
  <c r="CS128" i="21"/>
  <c r="CS114" i="21"/>
  <c r="CS120" i="21"/>
  <c r="CS107" i="21"/>
  <c r="CS113" i="21"/>
  <c r="CS106" i="21"/>
  <c r="CS174" i="21"/>
  <c r="CS146" i="21"/>
  <c r="CS167" i="21"/>
  <c r="CS160" i="21"/>
  <c r="CS25" i="21"/>
  <c r="CS24" i="21"/>
  <c r="DB1" i="21"/>
  <c r="DA23" i="21"/>
  <c r="AT165" i="5" l="1"/>
  <c r="AT166" i="12"/>
  <c r="CT154" i="21"/>
  <c r="CT113" i="21"/>
  <c r="CT106" i="21"/>
  <c r="CT147" i="21"/>
  <c r="CT174" i="21"/>
  <c r="CT135" i="21"/>
  <c r="CT175" i="21"/>
  <c r="CT134" i="21"/>
  <c r="CT168" i="21"/>
  <c r="CT128" i="21"/>
  <c r="CT161" i="21"/>
  <c r="CT167" i="21"/>
  <c r="CT146" i="21"/>
  <c r="CT107" i="21"/>
  <c r="CT160" i="21"/>
  <c r="CU21" i="21"/>
  <c r="CT153" i="21"/>
  <c r="CT121" i="21"/>
  <c r="CT127" i="21"/>
  <c r="CT120" i="21"/>
  <c r="CT114" i="21"/>
  <c r="CT24" i="21"/>
  <c r="CT25" i="21"/>
  <c r="DC1" i="21"/>
  <c r="DB23" i="21"/>
  <c r="AT164" i="5" l="1"/>
  <c r="AT165" i="12"/>
  <c r="CU135" i="21"/>
  <c r="CV21" i="21"/>
  <c r="CU121" i="21"/>
  <c r="CU113" i="21"/>
  <c r="CU160" i="21"/>
  <c r="CU174" i="21"/>
  <c r="CU154" i="21"/>
  <c r="CU168" i="21"/>
  <c r="CU153" i="21"/>
  <c r="CU128" i="21"/>
  <c r="CU146" i="21"/>
  <c r="CU127" i="21"/>
  <c r="CU107" i="21"/>
  <c r="CU120" i="21"/>
  <c r="CU134" i="21"/>
  <c r="CU106" i="21"/>
  <c r="CU175" i="21"/>
  <c r="CU147" i="21"/>
  <c r="CU161" i="21"/>
  <c r="CU114" i="21"/>
  <c r="CU167" i="21"/>
  <c r="CU24" i="21"/>
  <c r="CU25" i="21"/>
  <c r="DD1" i="21"/>
  <c r="DC23" i="21"/>
  <c r="AT163" i="5" l="1"/>
  <c r="AT164" i="12"/>
  <c r="CV134" i="21"/>
  <c r="CV161" i="21"/>
  <c r="CV127" i="21"/>
  <c r="CV153" i="21"/>
  <c r="CV128" i="21"/>
  <c r="CV106" i="21"/>
  <c r="CW21" i="21"/>
  <c r="CV121" i="21"/>
  <c r="CV174" i="21"/>
  <c r="CV113" i="21"/>
  <c r="CV154" i="21"/>
  <c r="CV107" i="21"/>
  <c r="CV135" i="21"/>
  <c r="CV147" i="21"/>
  <c r="CV120" i="21"/>
  <c r="CV175" i="21"/>
  <c r="CV167" i="21"/>
  <c r="CV168" i="21"/>
  <c r="CV114" i="21"/>
  <c r="CV146" i="21"/>
  <c r="CV160" i="21"/>
  <c r="CV25" i="21"/>
  <c r="CV24" i="21"/>
  <c r="DE1" i="21"/>
  <c r="DD23" i="21"/>
  <c r="AT162" i="5" l="1"/>
  <c r="AT163" i="12"/>
  <c r="DF1" i="21"/>
  <c r="DE23" i="21"/>
  <c r="CW175" i="21"/>
  <c r="CW106" i="21"/>
  <c r="CW167" i="21"/>
  <c r="CW135" i="21"/>
  <c r="CW128" i="21"/>
  <c r="CW134" i="21"/>
  <c r="CW147" i="21"/>
  <c r="CX21" i="21"/>
  <c r="CW168" i="21"/>
  <c r="CW107" i="21"/>
  <c r="CW127" i="21"/>
  <c r="CW120" i="21"/>
  <c r="CW121" i="21"/>
  <c r="CW146" i="21"/>
  <c r="CW160" i="21"/>
  <c r="CW174" i="21"/>
  <c r="CW113" i="21"/>
  <c r="CW161" i="21"/>
  <c r="CW154" i="21"/>
  <c r="CW114" i="21"/>
  <c r="CW153" i="21"/>
  <c r="CW24" i="21"/>
  <c r="CW25" i="21"/>
  <c r="AT161" i="5" l="1"/>
  <c r="AT162" i="12"/>
  <c r="DG1" i="21"/>
  <c r="DF23" i="21"/>
  <c r="CX175" i="21"/>
  <c r="CX106" i="21"/>
  <c r="CX154" i="21"/>
  <c r="CX128" i="21"/>
  <c r="CX174" i="21"/>
  <c r="CX167" i="21"/>
  <c r="CX147" i="21"/>
  <c r="CX121" i="21"/>
  <c r="CX113" i="21"/>
  <c r="CX134" i="21"/>
  <c r="CX168" i="21"/>
  <c r="CX120" i="21"/>
  <c r="CX135" i="21"/>
  <c r="CX146" i="21"/>
  <c r="CX127" i="21"/>
  <c r="CX160" i="21"/>
  <c r="CX114" i="21"/>
  <c r="CX107" i="21"/>
  <c r="CX161" i="21"/>
  <c r="CX153" i="21"/>
  <c r="CY21" i="21"/>
  <c r="CX24" i="21"/>
  <c r="CX25" i="21"/>
  <c r="AT160" i="5" l="1"/>
  <c r="AT161" i="12"/>
  <c r="DH1" i="21"/>
  <c r="DG23" i="21"/>
  <c r="CY167" i="21"/>
  <c r="CY127" i="21"/>
  <c r="CY114" i="21"/>
  <c r="CY128" i="21"/>
  <c r="CY168" i="21"/>
  <c r="CY147" i="21"/>
  <c r="CY153" i="21"/>
  <c r="CY161" i="21"/>
  <c r="CY146" i="21"/>
  <c r="CY175" i="21"/>
  <c r="CY135" i="21"/>
  <c r="CY160" i="21"/>
  <c r="CY134" i="21"/>
  <c r="CY121" i="21"/>
  <c r="CY174" i="21"/>
  <c r="CZ21" i="21"/>
  <c r="CY120" i="21"/>
  <c r="CY154" i="21"/>
  <c r="CY106" i="21"/>
  <c r="CY113" i="21"/>
  <c r="CY107" i="21"/>
  <c r="CY24" i="21"/>
  <c r="CY25" i="21"/>
  <c r="AT159" i="5" l="1"/>
  <c r="AT160" i="12"/>
  <c r="CZ167" i="21"/>
  <c r="CZ128" i="21"/>
  <c r="CZ113" i="21"/>
  <c r="CZ174" i="21"/>
  <c r="CZ114" i="21"/>
  <c r="CZ161" i="21"/>
  <c r="CZ107" i="21"/>
  <c r="DA21" i="21"/>
  <c r="CZ154" i="21"/>
  <c r="CZ121" i="21"/>
  <c r="CZ160" i="21"/>
  <c r="CZ147" i="21"/>
  <c r="CZ146" i="21"/>
  <c r="CZ135" i="21"/>
  <c r="CZ134" i="21"/>
  <c r="CZ168" i="21"/>
  <c r="CZ120" i="21"/>
  <c r="CZ106" i="21"/>
  <c r="CZ153" i="21"/>
  <c r="CZ127" i="21"/>
  <c r="CZ175" i="21"/>
  <c r="CZ25" i="21"/>
  <c r="CZ24" i="21"/>
  <c r="DI1" i="21"/>
  <c r="DH23" i="21"/>
  <c r="AT158" i="5" l="1"/>
  <c r="AT159" i="12"/>
  <c r="DJ1" i="21"/>
  <c r="DI23" i="21"/>
  <c r="DA161" i="21"/>
  <c r="DA107" i="21"/>
  <c r="DA167" i="21"/>
  <c r="DA146" i="21"/>
  <c r="DA175" i="21"/>
  <c r="DA160" i="21"/>
  <c r="DA153" i="21"/>
  <c r="DA134" i="21"/>
  <c r="DA174" i="21"/>
  <c r="DA114" i="21"/>
  <c r="DA113" i="21"/>
  <c r="DA128" i="21"/>
  <c r="DA168" i="21"/>
  <c r="DA120" i="21"/>
  <c r="DA106" i="21"/>
  <c r="DA135" i="21"/>
  <c r="DB21" i="21"/>
  <c r="DA154" i="21"/>
  <c r="DA121" i="21"/>
  <c r="DA127" i="21"/>
  <c r="DA147" i="21"/>
  <c r="DA25" i="21"/>
  <c r="DA24" i="21"/>
  <c r="AT157" i="5" l="1"/>
  <c r="AT158" i="12"/>
  <c r="DB114" i="21"/>
  <c r="DB147" i="21"/>
  <c r="DB160" i="21"/>
  <c r="DB153" i="21"/>
  <c r="DB135" i="21"/>
  <c r="DB146" i="21"/>
  <c r="DB168" i="21"/>
  <c r="DB107" i="21"/>
  <c r="DB161" i="21"/>
  <c r="DC21" i="21"/>
  <c r="DB127" i="21"/>
  <c r="DB167" i="21"/>
  <c r="DB134" i="21"/>
  <c r="DB106" i="21"/>
  <c r="DB121" i="21"/>
  <c r="DB128" i="21"/>
  <c r="DB113" i="21"/>
  <c r="DB120" i="21"/>
  <c r="DB175" i="21"/>
  <c r="DB154" i="21"/>
  <c r="DB174" i="21"/>
  <c r="DB25" i="21"/>
  <c r="DB24" i="21"/>
  <c r="DK1" i="21"/>
  <c r="DJ23" i="21"/>
  <c r="AT156" i="5" l="1"/>
  <c r="AT157" i="12"/>
  <c r="DC161" i="21"/>
  <c r="DC121" i="21"/>
  <c r="DC106" i="21"/>
  <c r="DC167" i="21"/>
  <c r="DC128" i="21"/>
  <c r="DC154" i="21"/>
  <c r="DC147" i="21"/>
  <c r="DC135" i="21"/>
  <c r="DC134" i="21"/>
  <c r="DD21" i="21"/>
  <c r="DC120" i="21"/>
  <c r="DC174" i="21"/>
  <c r="DC114" i="21"/>
  <c r="DC113" i="21"/>
  <c r="DC146" i="21"/>
  <c r="DC168" i="21"/>
  <c r="DC107" i="21"/>
  <c r="DC175" i="21"/>
  <c r="DC153" i="21"/>
  <c r="DC127" i="21"/>
  <c r="DC160" i="21"/>
  <c r="DC24" i="21"/>
  <c r="DC25" i="21"/>
  <c r="DL1" i="21"/>
  <c r="DK23" i="21"/>
  <c r="AT155" i="5" l="1"/>
  <c r="AT156" i="12"/>
  <c r="DD128" i="21"/>
  <c r="DD121" i="21"/>
  <c r="DE21" i="21"/>
  <c r="DD174" i="21"/>
  <c r="DD127" i="21"/>
  <c r="DD154" i="21"/>
  <c r="DD114" i="21"/>
  <c r="DD135" i="21"/>
  <c r="DD106" i="21"/>
  <c r="DD120" i="21"/>
  <c r="DD153" i="21"/>
  <c r="DD146" i="21"/>
  <c r="DD167" i="21"/>
  <c r="DD134" i="21"/>
  <c r="DD168" i="21"/>
  <c r="DD113" i="21"/>
  <c r="DD107" i="21"/>
  <c r="DD160" i="21"/>
  <c r="DD175" i="21"/>
  <c r="DD161" i="21"/>
  <c r="DD147" i="21"/>
  <c r="DD24" i="21"/>
  <c r="DD25" i="21"/>
  <c r="DM1" i="21"/>
  <c r="DL23" i="21"/>
  <c r="AT154" i="5" l="1"/>
  <c r="AT155" i="12"/>
  <c r="DF21" i="21"/>
  <c r="DE147" i="21"/>
  <c r="DE121" i="21"/>
  <c r="DE120" i="21"/>
  <c r="DE114" i="21"/>
  <c r="DE113" i="21"/>
  <c r="DE106" i="21"/>
  <c r="DE175" i="21"/>
  <c r="DE174" i="21"/>
  <c r="DE154" i="21"/>
  <c r="DE153" i="21"/>
  <c r="DE167" i="21"/>
  <c r="DE146" i="21"/>
  <c r="DE128" i="21"/>
  <c r="DE134" i="21"/>
  <c r="DE135" i="21"/>
  <c r="DE127" i="21"/>
  <c r="DE107" i="21"/>
  <c r="DE161" i="21"/>
  <c r="DE160" i="21"/>
  <c r="DE168" i="21"/>
  <c r="DE24" i="21"/>
  <c r="DE25" i="21"/>
  <c r="DN1" i="21"/>
  <c r="DM23" i="21"/>
  <c r="AT153" i="5" l="1"/>
  <c r="AT154" i="12"/>
  <c r="DO1" i="21"/>
  <c r="DN23" i="21"/>
  <c r="DF146" i="21"/>
  <c r="DF175" i="21"/>
  <c r="DF114" i="21"/>
  <c r="DF168" i="21"/>
  <c r="DF107" i="21"/>
  <c r="DF161" i="21"/>
  <c r="DF135" i="21"/>
  <c r="DF167" i="21"/>
  <c r="DF134" i="21"/>
  <c r="DG21" i="21"/>
  <c r="DF128" i="21"/>
  <c r="DF174" i="21"/>
  <c r="DF127" i="21"/>
  <c r="DF147" i="21"/>
  <c r="DF121" i="21"/>
  <c r="DF113" i="21"/>
  <c r="DF120" i="21"/>
  <c r="DF160" i="21"/>
  <c r="DF106" i="21"/>
  <c r="DF153" i="21"/>
  <c r="DF154" i="21"/>
  <c r="DF24" i="21"/>
  <c r="DF25" i="21"/>
  <c r="AT152" i="5" l="1"/>
  <c r="AT153" i="12"/>
  <c r="DG174" i="21"/>
  <c r="DG168" i="21"/>
  <c r="DG167" i="21"/>
  <c r="DG175" i="21"/>
  <c r="DG154" i="21"/>
  <c r="DG160" i="21"/>
  <c r="DG146" i="21"/>
  <c r="DG121" i="21"/>
  <c r="DG134" i="21"/>
  <c r="DH21" i="21"/>
  <c r="DG128" i="21"/>
  <c r="DG147" i="21"/>
  <c r="DG120" i="21"/>
  <c r="DG135" i="21"/>
  <c r="DG107" i="21"/>
  <c r="DG127" i="21"/>
  <c r="DG114" i="21"/>
  <c r="DG113" i="21"/>
  <c r="DG106" i="21"/>
  <c r="DG153" i="21"/>
  <c r="DG161" i="21"/>
  <c r="DG25" i="21"/>
  <c r="DG24" i="21"/>
  <c r="DP1" i="21"/>
  <c r="DQ1" i="21" s="1"/>
  <c r="DO23" i="21"/>
  <c r="DR1" i="21" l="1"/>
  <c r="DQ23" i="21"/>
  <c r="AT151" i="5"/>
  <c r="AT152" i="12"/>
  <c r="DH127" i="21"/>
  <c r="DH146" i="21"/>
  <c r="DH107" i="21"/>
  <c r="DH135" i="21"/>
  <c r="DH121" i="21"/>
  <c r="DH114" i="21"/>
  <c r="DH113" i="21"/>
  <c r="DH168" i="21"/>
  <c r="DH153" i="21"/>
  <c r="DH106" i="21"/>
  <c r="DH167" i="21"/>
  <c r="DH174" i="21"/>
  <c r="DH147" i="21"/>
  <c r="DH128" i="21"/>
  <c r="DH175" i="21"/>
  <c r="DH120" i="21"/>
  <c r="DH161" i="21"/>
  <c r="DH160" i="21"/>
  <c r="DI21" i="21"/>
  <c r="DH154" i="21"/>
  <c r="DH134" i="21"/>
  <c r="DH24" i="21"/>
  <c r="DH25" i="21"/>
  <c r="DP23" i="21"/>
  <c r="DS1" i="21" l="1"/>
  <c r="DR23" i="21"/>
  <c r="AT150" i="5"/>
  <c r="AT151" i="12"/>
  <c r="DI106" i="21"/>
  <c r="DI113" i="21"/>
  <c r="DI128" i="21"/>
  <c r="DI168" i="21"/>
  <c r="DI127" i="21"/>
  <c r="DI121" i="21"/>
  <c r="DI167" i="21"/>
  <c r="DI120" i="21"/>
  <c r="DI174" i="21"/>
  <c r="DI135" i="21"/>
  <c r="DI147" i="21"/>
  <c r="DI107" i="21"/>
  <c r="DI175" i="21"/>
  <c r="DI153" i="21"/>
  <c r="DJ21" i="21"/>
  <c r="DI134" i="21"/>
  <c r="DI160" i="21"/>
  <c r="DI114" i="21"/>
  <c r="DI161" i="21"/>
  <c r="DI146" i="21"/>
  <c r="DI154" i="21"/>
  <c r="DI24" i="21"/>
  <c r="DI25" i="21"/>
  <c r="DT1" i="21" l="1"/>
  <c r="DS23" i="21"/>
  <c r="AT149" i="5"/>
  <c r="AT150" i="12"/>
  <c r="DJ146" i="21"/>
  <c r="DJ121" i="21"/>
  <c r="DJ120" i="21"/>
  <c r="DK21" i="21"/>
  <c r="DJ114" i="21"/>
  <c r="DJ167" i="21"/>
  <c r="DJ168" i="21"/>
  <c r="DJ175" i="21"/>
  <c r="DJ161" i="21"/>
  <c r="DJ147" i="21"/>
  <c r="DJ127" i="21"/>
  <c r="DJ160" i="21"/>
  <c r="DJ174" i="21"/>
  <c r="DJ106" i="21"/>
  <c r="DJ153" i="21"/>
  <c r="DJ128" i="21"/>
  <c r="DJ135" i="21"/>
  <c r="DJ107" i="21"/>
  <c r="DJ113" i="21"/>
  <c r="DJ134" i="21"/>
  <c r="DJ154" i="21"/>
  <c r="DJ24" i="21"/>
  <c r="DJ25" i="21"/>
  <c r="DU1" i="21" l="1"/>
  <c r="DT23" i="21"/>
  <c r="AT148" i="5"/>
  <c r="AT149" i="12"/>
  <c r="DK147" i="21"/>
  <c r="DL21" i="21"/>
  <c r="DK167" i="21"/>
  <c r="DK168" i="21"/>
  <c r="DK161" i="21"/>
  <c r="DK146" i="21"/>
  <c r="DK160" i="21"/>
  <c r="DK107" i="21"/>
  <c r="DK106" i="21"/>
  <c r="DK175" i="21"/>
  <c r="DK154" i="21"/>
  <c r="DK134" i="21"/>
  <c r="DK127" i="21"/>
  <c r="DK121" i="21"/>
  <c r="DK128" i="21"/>
  <c r="DK113" i="21"/>
  <c r="DK135" i="21"/>
  <c r="DK174" i="21"/>
  <c r="DK120" i="21"/>
  <c r="DK153" i="21"/>
  <c r="DK114" i="21"/>
  <c r="DK24" i="21"/>
  <c r="DK25" i="21"/>
  <c r="DV1" i="21" l="1"/>
  <c r="DU23" i="21"/>
  <c r="AT147" i="5"/>
  <c r="AT148" i="12"/>
  <c r="DL161" i="21"/>
  <c r="DL107" i="21"/>
  <c r="DL128" i="21"/>
  <c r="DL174" i="21"/>
  <c r="DL121" i="21"/>
  <c r="DL154" i="21"/>
  <c r="DL127" i="21"/>
  <c r="DL135" i="21"/>
  <c r="DL153" i="21"/>
  <c r="DL120" i="21"/>
  <c r="DL134" i="21"/>
  <c r="DL167" i="21"/>
  <c r="DL114" i="21"/>
  <c r="DL160" i="21"/>
  <c r="DL146" i="21"/>
  <c r="DL147" i="21"/>
  <c r="DL113" i="21"/>
  <c r="DL168" i="21"/>
  <c r="DL106" i="21"/>
  <c r="DL175" i="21"/>
  <c r="DM21" i="21"/>
  <c r="DL24" i="21"/>
  <c r="DL25" i="21"/>
  <c r="DW1" i="21" l="1"/>
  <c r="DV23" i="21"/>
  <c r="AT146" i="5"/>
  <c r="AT147" i="12"/>
  <c r="DM147" i="21"/>
  <c r="DM168" i="21"/>
  <c r="DM161" i="21"/>
  <c r="DM167" i="21"/>
  <c r="DM135" i="21"/>
  <c r="DM154" i="21"/>
  <c r="DM114" i="21"/>
  <c r="DM134" i="21"/>
  <c r="DM174" i="21"/>
  <c r="DM121" i="21"/>
  <c r="DM113" i="21"/>
  <c r="DM160" i="21"/>
  <c r="DN21" i="21"/>
  <c r="DM127" i="21"/>
  <c r="DM128" i="21"/>
  <c r="DM153" i="21"/>
  <c r="DM175" i="21"/>
  <c r="DM120" i="21"/>
  <c r="DM146" i="21"/>
  <c r="DM107" i="21"/>
  <c r="DM106" i="21"/>
  <c r="DM24" i="21"/>
  <c r="DM25" i="21"/>
  <c r="DX1" i="21" l="1"/>
  <c r="DW23" i="21"/>
  <c r="AT145" i="5"/>
  <c r="AT146" i="12"/>
  <c r="DN161" i="21"/>
  <c r="DN128" i="21"/>
  <c r="DN175" i="21"/>
  <c r="DN174" i="21"/>
  <c r="DO21" i="21"/>
  <c r="DN147" i="21"/>
  <c r="DN113" i="21"/>
  <c r="DN154" i="21"/>
  <c r="DN121" i="21"/>
  <c r="DN120" i="21"/>
  <c r="DN114" i="21"/>
  <c r="DN134" i="21"/>
  <c r="DN167" i="21"/>
  <c r="DN160" i="21"/>
  <c r="DN153" i="21"/>
  <c r="DN135" i="21"/>
  <c r="DN127" i="21"/>
  <c r="DN106" i="21"/>
  <c r="DN146" i="21"/>
  <c r="DN168" i="21"/>
  <c r="DN107" i="21"/>
  <c r="DN25" i="21"/>
  <c r="DN24" i="21"/>
  <c r="DY1" i="21" l="1"/>
  <c r="DX23" i="21"/>
  <c r="AT144" i="5"/>
  <c r="AT145" i="12"/>
  <c r="DO146" i="21"/>
  <c r="DO128" i="21"/>
  <c r="DO154" i="21"/>
  <c r="DO127" i="21"/>
  <c r="DO106" i="21"/>
  <c r="DO135" i="21"/>
  <c r="DO175" i="21"/>
  <c r="DO134" i="21"/>
  <c r="DO121" i="21"/>
  <c r="DO147" i="21"/>
  <c r="DP21" i="21"/>
  <c r="DQ21" i="21" s="1"/>
  <c r="DO107" i="21"/>
  <c r="DO174" i="21"/>
  <c r="DO114" i="21"/>
  <c r="DO120" i="21"/>
  <c r="DO160" i="21"/>
  <c r="DO113" i="21"/>
  <c r="DO168" i="21"/>
  <c r="DO161" i="21"/>
  <c r="DO153" i="21"/>
  <c r="DO167" i="21"/>
  <c r="DO25" i="21"/>
  <c r="DO24" i="21"/>
  <c r="DR21" i="21" l="1"/>
  <c r="DQ168" i="21"/>
  <c r="DQ134" i="21"/>
  <c r="DQ154" i="21"/>
  <c r="DQ113" i="21"/>
  <c r="DQ128" i="21"/>
  <c r="DQ174" i="21"/>
  <c r="DQ135" i="21"/>
  <c r="DQ161" i="21"/>
  <c r="DQ175" i="21"/>
  <c r="DQ153" i="21"/>
  <c r="DQ127" i="21"/>
  <c r="DQ147" i="21"/>
  <c r="DQ160" i="21"/>
  <c r="DQ120" i="21"/>
  <c r="DQ121" i="21"/>
  <c r="DQ106" i="21"/>
  <c r="DQ114" i="21"/>
  <c r="DQ167" i="21"/>
  <c r="DQ107" i="21"/>
  <c r="DQ146" i="21"/>
  <c r="DQ24" i="21"/>
  <c r="DQ25" i="21"/>
  <c r="DZ1" i="21"/>
  <c r="DY23" i="21"/>
  <c r="AT143" i="5"/>
  <c r="AT144" i="12"/>
  <c r="DP146" i="21"/>
  <c r="DP168" i="21"/>
  <c r="DP134" i="21"/>
  <c r="DP106" i="21"/>
  <c r="DP128" i="21"/>
  <c r="DP160" i="21"/>
  <c r="DP120" i="21"/>
  <c r="DP147" i="21"/>
  <c r="DP107" i="21"/>
  <c r="DP135" i="21"/>
  <c r="DP154" i="21"/>
  <c r="DP127" i="21"/>
  <c r="DP121" i="21"/>
  <c r="DP114" i="21"/>
  <c r="DP113" i="21"/>
  <c r="DP161" i="21"/>
  <c r="DP174" i="21"/>
  <c r="DP153" i="21"/>
  <c r="DP167" i="21"/>
  <c r="DP175" i="21"/>
  <c r="DP25" i="21"/>
  <c r="DP24" i="21"/>
  <c r="EA1" i="21" l="1"/>
  <c r="DZ23" i="21"/>
  <c r="DS21" i="21"/>
  <c r="DR174" i="21"/>
  <c r="DR107" i="21"/>
  <c r="DR127" i="21"/>
  <c r="DR153" i="21"/>
  <c r="DR114" i="21"/>
  <c r="DR175" i="21"/>
  <c r="DR120" i="21"/>
  <c r="DR168" i="21"/>
  <c r="DR121" i="21"/>
  <c r="DR146" i="21"/>
  <c r="DR128" i="21"/>
  <c r="DR113" i="21"/>
  <c r="DR161" i="21"/>
  <c r="DR106" i="21"/>
  <c r="DR160" i="21"/>
  <c r="DR135" i="21"/>
  <c r="DR154" i="21"/>
  <c r="DR147" i="21"/>
  <c r="DR134" i="21"/>
  <c r="DR167" i="21"/>
  <c r="DR25" i="21"/>
  <c r="DR24" i="21"/>
  <c r="AT142" i="5"/>
  <c r="AT143" i="12"/>
  <c r="DT21" i="21" l="1"/>
  <c r="DS161" i="21"/>
  <c r="DS160" i="21"/>
  <c r="DS107" i="21"/>
  <c r="DS114" i="21"/>
  <c r="DS147" i="21"/>
  <c r="DS120" i="21"/>
  <c r="DS106" i="21"/>
  <c r="DS174" i="21"/>
  <c r="DS113" i="21"/>
  <c r="DS121" i="21"/>
  <c r="DS168" i="21"/>
  <c r="DS146" i="21"/>
  <c r="DS127" i="21"/>
  <c r="DS175" i="21"/>
  <c r="DS153" i="21"/>
  <c r="DS128" i="21"/>
  <c r="DS154" i="21"/>
  <c r="DS134" i="21"/>
  <c r="DS167" i="21"/>
  <c r="DS135" i="21"/>
  <c r="DS25" i="21"/>
  <c r="DS24" i="21"/>
  <c r="EB1" i="21"/>
  <c r="EA23" i="21"/>
  <c r="AT141" i="5"/>
  <c r="AT142" i="12"/>
  <c r="EC1" i="21" l="1"/>
  <c r="EB23" i="21"/>
  <c r="DU21" i="21"/>
  <c r="DT154" i="21"/>
  <c r="DT121" i="21"/>
  <c r="DT120" i="21"/>
  <c r="DT127" i="21"/>
  <c r="DT174" i="21"/>
  <c r="DT168" i="21"/>
  <c r="DT135" i="21"/>
  <c r="DT106" i="21"/>
  <c r="DT161" i="21"/>
  <c r="DT167" i="21"/>
  <c r="DT146" i="21"/>
  <c r="DT114" i="21"/>
  <c r="DT153" i="21"/>
  <c r="DT134" i="21"/>
  <c r="DT175" i="21"/>
  <c r="DT160" i="21"/>
  <c r="DT147" i="21"/>
  <c r="DT128" i="21"/>
  <c r="DT107" i="21"/>
  <c r="DT113" i="21"/>
  <c r="DT25" i="21"/>
  <c r="DT24" i="21"/>
  <c r="AT140" i="5"/>
  <c r="AT141" i="12"/>
  <c r="DV21" i="21" l="1"/>
  <c r="DU127" i="21"/>
  <c r="DU167" i="21"/>
  <c r="DU113" i="21"/>
  <c r="DU175" i="21"/>
  <c r="DU147" i="21"/>
  <c r="DU135" i="21"/>
  <c r="DU106" i="21"/>
  <c r="DU121" i="21"/>
  <c r="DU160" i="21"/>
  <c r="DU161" i="21"/>
  <c r="DU168" i="21"/>
  <c r="DU174" i="21"/>
  <c r="DU134" i="21"/>
  <c r="DU153" i="21"/>
  <c r="DU154" i="21"/>
  <c r="DU128" i="21"/>
  <c r="DU146" i="21"/>
  <c r="DU114" i="21"/>
  <c r="DU107" i="21"/>
  <c r="DU120" i="21"/>
  <c r="DU24" i="21"/>
  <c r="DU25" i="21"/>
  <c r="ED1" i="21"/>
  <c r="EC23" i="21"/>
  <c r="AT139" i="5"/>
  <c r="AT140" i="12"/>
  <c r="DW21" i="21" l="1"/>
  <c r="DV127" i="21"/>
  <c r="DV114" i="21"/>
  <c r="DV146" i="21"/>
  <c r="DV121" i="21"/>
  <c r="DV147" i="21"/>
  <c r="DV107" i="21"/>
  <c r="DV160" i="21"/>
  <c r="DV168" i="21"/>
  <c r="DV113" i="21"/>
  <c r="DV161" i="21"/>
  <c r="DV154" i="21"/>
  <c r="DV174" i="21"/>
  <c r="DV106" i="21"/>
  <c r="DV175" i="21"/>
  <c r="DV128" i="21"/>
  <c r="DV120" i="21"/>
  <c r="DV135" i="21"/>
  <c r="DV153" i="21"/>
  <c r="DV134" i="21"/>
  <c r="DV167" i="21"/>
  <c r="DV24" i="21"/>
  <c r="DV25" i="21"/>
  <c r="EE1" i="21"/>
  <c r="ED23" i="21"/>
  <c r="AT138" i="5"/>
  <c r="AT139" i="12"/>
  <c r="DX21" i="21" l="1"/>
  <c r="DW107" i="21"/>
  <c r="DW135" i="21"/>
  <c r="DW121" i="21"/>
  <c r="DW120" i="21"/>
  <c r="DW106" i="21"/>
  <c r="DW127" i="21"/>
  <c r="DW146" i="21"/>
  <c r="DW153" i="21"/>
  <c r="DW161" i="21"/>
  <c r="DW147" i="21"/>
  <c r="DW160" i="21"/>
  <c r="DW168" i="21"/>
  <c r="DW134" i="21"/>
  <c r="DW114" i="21"/>
  <c r="DW167" i="21"/>
  <c r="DW128" i="21"/>
  <c r="DW154" i="21"/>
  <c r="DW113" i="21"/>
  <c r="DW175" i="21"/>
  <c r="DW174" i="21"/>
  <c r="DW25" i="21"/>
  <c r="DW24" i="21"/>
  <c r="EF1" i="21"/>
  <c r="EE23" i="21"/>
  <c r="AT137" i="5"/>
  <c r="AT138" i="12"/>
  <c r="DY21" i="21" l="1"/>
  <c r="DX107" i="21"/>
  <c r="DX121" i="21"/>
  <c r="DX146" i="21"/>
  <c r="DX167" i="21"/>
  <c r="DX174" i="21"/>
  <c r="DX135" i="21"/>
  <c r="DX106" i="21"/>
  <c r="DX128" i="21"/>
  <c r="DX161" i="21"/>
  <c r="DX147" i="21"/>
  <c r="DX154" i="21"/>
  <c r="DX127" i="21"/>
  <c r="DX113" i="21"/>
  <c r="DX114" i="21"/>
  <c r="DX175" i="21"/>
  <c r="DX120" i="21"/>
  <c r="DX153" i="21"/>
  <c r="DX134" i="21"/>
  <c r="DX168" i="21"/>
  <c r="DX160" i="21"/>
  <c r="DX25" i="21"/>
  <c r="DX24" i="21"/>
  <c r="EG1" i="21"/>
  <c r="EF23" i="21"/>
  <c r="AT136" i="5"/>
  <c r="AT137" i="12"/>
  <c r="EH1" i="21" l="1"/>
  <c r="EG23" i="21"/>
  <c r="DZ21" i="21"/>
  <c r="DY106" i="21"/>
  <c r="DY153" i="21"/>
  <c r="DY128" i="21"/>
  <c r="DY127" i="21"/>
  <c r="DY134" i="21"/>
  <c r="DY174" i="21"/>
  <c r="DY114" i="21"/>
  <c r="DY161" i="21"/>
  <c r="DY121" i="21"/>
  <c r="DY107" i="21"/>
  <c r="DY113" i="21"/>
  <c r="DY160" i="21"/>
  <c r="DY147" i="21"/>
  <c r="DY167" i="21"/>
  <c r="DY146" i="21"/>
  <c r="DY175" i="21"/>
  <c r="DY168" i="21"/>
  <c r="DY154" i="21"/>
  <c r="DY135" i="21"/>
  <c r="DY120" i="21"/>
  <c r="DY24" i="21"/>
  <c r="DY25" i="21"/>
  <c r="AT135" i="5"/>
  <c r="AT136" i="12"/>
  <c r="EA21" i="21" l="1"/>
  <c r="DZ160" i="21"/>
  <c r="DZ146" i="21"/>
  <c r="DZ127" i="21"/>
  <c r="DZ128" i="21"/>
  <c r="DZ135" i="21"/>
  <c r="DZ174" i="21"/>
  <c r="DZ114" i="21"/>
  <c r="DZ154" i="21"/>
  <c r="DZ161" i="21"/>
  <c r="DZ153" i="21"/>
  <c r="DZ134" i="21"/>
  <c r="DZ175" i="21"/>
  <c r="DZ121" i="21"/>
  <c r="DZ168" i="21"/>
  <c r="DZ107" i="21"/>
  <c r="DZ113" i="21"/>
  <c r="DZ147" i="21"/>
  <c r="DZ167" i="21"/>
  <c r="DZ120" i="21"/>
  <c r="DZ106" i="21"/>
  <c r="DZ24" i="21"/>
  <c r="DZ25" i="21"/>
  <c r="EI1" i="21"/>
  <c r="EH23" i="21"/>
  <c r="AT134" i="5"/>
  <c r="AT135" i="12"/>
  <c r="EJ1" i="21" l="1"/>
  <c r="EI23" i="21"/>
  <c r="EB21" i="21"/>
  <c r="EA128" i="21"/>
  <c r="EA121" i="21"/>
  <c r="EA154" i="21"/>
  <c r="EA120" i="21"/>
  <c r="EA146" i="21"/>
  <c r="EA168" i="21"/>
  <c r="EA160" i="21"/>
  <c r="EA147" i="21"/>
  <c r="EA175" i="21"/>
  <c r="EA114" i="21"/>
  <c r="EA127" i="21"/>
  <c r="EA167" i="21"/>
  <c r="EA106" i="21"/>
  <c r="EA107" i="21"/>
  <c r="EA113" i="21"/>
  <c r="EA174" i="21"/>
  <c r="EA134" i="21"/>
  <c r="EA135" i="21"/>
  <c r="EA161" i="21"/>
  <c r="EA153" i="21"/>
  <c r="EA25" i="21"/>
  <c r="EA24" i="21"/>
  <c r="AT133" i="5"/>
  <c r="AT134" i="12"/>
  <c r="EC21" i="21" l="1"/>
  <c r="EB128" i="21"/>
  <c r="EB160" i="21"/>
  <c r="EB107" i="21"/>
  <c r="EB106" i="21"/>
  <c r="EB153" i="21"/>
  <c r="EB175" i="21"/>
  <c r="EB174" i="21"/>
  <c r="EB120" i="21"/>
  <c r="EB113" i="21"/>
  <c r="EB168" i="21"/>
  <c r="EB134" i="21"/>
  <c r="EB146" i="21"/>
  <c r="EB121" i="21"/>
  <c r="EB135" i="21"/>
  <c r="EB154" i="21"/>
  <c r="EB114" i="21"/>
  <c r="EB147" i="21"/>
  <c r="EB161" i="21"/>
  <c r="EB167" i="21"/>
  <c r="EB127" i="21"/>
  <c r="EB25" i="21"/>
  <c r="EB24" i="21"/>
  <c r="EK1" i="21"/>
  <c r="EJ23" i="21"/>
  <c r="AT132" i="5"/>
  <c r="AT133" i="12"/>
  <c r="EL1" i="21" l="1"/>
  <c r="EK23" i="21"/>
  <c r="ED21" i="21"/>
  <c r="EC154" i="21"/>
  <c r="EC147" i="21"/>
  <c r="EC106" i="21"/>
  <c r="EC128" i="21"/>
  <c r="EC120" i="21"/>
  <c r="EC167" i="21"/>
  <c r="EC174" i="21"/>
  <c r="EC127" i="21"/>
  <c r="EC135" i="21"/>
  <c r="EC113" i="21"/>
  <c r="EC160" i="21"/>
  <c r="EC134" i="21"/>
  <c r="EC161" i="21"/>
  <c r="EC168" i="21"/>
  <c r="EC175" i="21"/>
  <c r="EC107" i="21"/>
  <c r="EC114" i="21"/>
  <c r="EC121" i="21"/>
  <c r="EC146" i="21"/>
  <c r="EC153" i="21"/>
  <c r="EC24" i="21"/>
  <c r="EC25" i="21"/>
  <c r="AT131" i="5"/>
  <c r="AT132" i="12"/>
  <c r="EM1" i="21" l="1"/>
  <c r="EL23" i="21"/>
  <c r="EE21" i="21"/>
  <c r="ED154" i="21"/>
  <c r="ED175" i="21"/>
  <c r="ED106" i="21"/>
  <c r="ED121" i="21"/>
  <c r="ED120" i="21"/>
  <c r="ED153" i="21"/>
  <c r="ED114" i="21"/>
  <c r="ED161" i="21"/>
  <c r="ED174" i="21"/>
  <c r="ED167" i="21"/>
  <c r="ED160" i="21"/>
  <c r="ED134" i="21"/>
  <c r="ED168" i="21"/>
  <c r="ED113" i="21"/>
  <c r="ED147" i="21"/>
  <c r="ED135" i="21"/>
  <c r="ED128" i="21"/>
  <c r="ED107" i="21"/>
  <c r="ED127" i="21"/>
  <c r="ED146" i="21"/>
  <c r="ED25" i="21"/>
  <c r="ED24" i="21"/>
  <c r="AT130" i="5"/>
  <c r="AT131" i="12"/>
  <c r="B23" i="4"/>
  <c r="EF21" i="21" l="1"/>
  <c r="EE121" i="21"/>
  <c r="EE127" i="21"/>
  <c r="EE114" i="21"/>
  <c r="EE134" i="21"/>
  <c r="EE106" i="21"/>
  <c r="EE160" i="21"/>
  <c r="EE147" i="21"/>
  <c r="EE135" i="21"/>
  <c r="EE120" i="21"/>
  <c r="EE153" i="21"/>
  <c r="EE154" i="21"/>
  <c r="EE146" i="21"/>
  <c r="EE175" i="21"/>
  <c r="EE128" i="21"/>
  <c r="EE113" i="21"/>
  <c r="EE168" i="21"/>
  <c r="EE174" i="21"/>
  <c r="EE161" i="21"/>
  <c r="EE107" i="21"/>
  <c r="EE167" i="21"/>
  <c r="EE25" i="21"/>
  <c r="EE24" i="21"/>
  <c r="EN1" i="21"/>
  <c r="EM23" i="21"/>
  <c r="AT129" i="5"/>
  <c r="AT130" i="12"/>
  <c r="AH13" i="5"/>
  <c r="BF13" i="5" s="1"/>
  <c r="BE13" i="5"/>
  <c r="BD13" i="5"/>
  <c r="EO1" i="21" l="1"/>
  <c r="EN23" i="21"/>
  <c r="EG21" i="21"/>
  <c r="EF114" i="21"/>
  <c r="EF161" i="21"/>
  <c r="EF121" i="21"/>
  <c r="EF168" i="21"/>
  <c r="EF107" i="21"/>
  <c r="EF175" i="21"/>
  <c r="EF146" i="21"/>
  <c r="EF147" i="21"/>
  <c r="EF167" i="21"/>
  <c r="EF160" i="21"/>
  <c r="EF174" i="21"/>
  <c r="EF128" i="21"/>
  <c r="EF154" i="21"/>
  <c r="EF135" i="21"/>
  <c r="EF134" i="21"/>
  <c r="EF127" i="21"/>
  <c r="EF153" i="21"/>
  <c r="EF113" i="21"/>
  <c r="EF106" i="21"/>
  <c r="EF120" i="21"/>
  <c r="EF24" i="21"/>
  <c r="EF25" i="21"/>
  <c r="AT128" i="5"/>
  <c r="AT129" i="12"/>
  <c r="B25" i="4"/>
  <c r="EH21" i="21" l="1"/>
  <c r="EG167" i="21"/>
  <c r="EG160" i="21"/>
  <c r="EG107" i="21"/>
  <c r="EG161" i="21"/>
  <c r="EG106" i="21"/>
  <c r="EG146" i="21"/>
  <c r="EG128" i="21"/>
  <c r="EG120" i="21"/>
  <c r="EG168" i="21"/>
  <c r="EG113" i="21"/>
  <c r="EG134" i="21"/>
  <c r="EG174" i="21"/>
  <c r="EG147" i="21"/>
  <c r="EG153" i="21"/>
  <c r="EG135" i="21"/>
  <c r="EG154" i="21"/>
  <c r="EG175" i="21"/>
  <c r="EG114" i="21"/>
  <c r="EG127" i="21"/>
  <c r="EG121" i="21"/>
  <c r="EG25" i="21"/>
  <c r="EG24" i="21"/>
  <c r="EP1" i="21"/>
  <c r="EO23" i="21"/>
  <c r="AT128" i="12"/>
  <c r="AT127" i="5"/>
  <c r="B24" i="4"/>
  <c r="B2" i="21"/>
  <c r="B137" i="21" s="1"/>
  <c r="H107" i="4" l="1"/>
  <c r="H95" i="4"/>
  <c r="H83" i="4"/>
  <c r="H71" i="4"/>
  <c r="H59" i="4"/>
  <c r="H47" i="4"/>
  <c r="H35" i="4"/>
  <c r="H23" i="4"/>
  <c r="H11" i="4"/>
  <c r="H106" i="4"/>
  <c r="H94" i="4"/>
  <c r="H82" i="4"/>
  <c r="H70" i="4"/>
  <c r="H58" i="4"/>
  <c r="H46" i="4"/>
  <c r="H34" i="4"/>
  <c r="H22" i="4"/>
  <c r="H10" i="4"/>
  <c r="H117" i="4"/>
  <c r="H105" i="4"/>
  <c r="H93" i="4"/>
  <c r="H81" i="4"/>
  <c r="H69" i="4"/>
  <c r="H57" i="4"/>
  <c r="H45" i="4"/>
  <c r="H33" i="4"/>
  <c r="H21" i="4"/>
  <c r="H9" i="4"/>
  <c r="H116" i="4"/>
  <c r="H104" i="4"/>
  <c r="H92" i="4"/>
  <c r="H80" i="4"/>
  <c r="H68" i="4"/>
  <c r="H56" i="4"/>
  <c r="H44" i="4"/>
  <c r="H32" i="4"/>
  <c r="H20" i="4"/>
  <c r="H8" i="4"/>
  <c r="H115" i="4"/>
  <c r="H103" i="4"/>
  <c r="H91" i="4"/>
  <c r="J91" i="4" s="1"/>
  <c r="H79" i="4"/>
  <c r="J79" i="4" s="1"/>
  <c r="H67" i="4"/>
  <c r="H55" i="4"/>
  <c r="H43" i="4"/>
  <c r="H31" i="4"/>
  <c r="H19" i="4"/>
  <c r="H7" i="4"/>
  <c r="H114" i="4"/>
  <c r="H90" i="4"/>
  <c r="H78" i="4"/>
  <c r="H66" i="4"/>
  <c r="H42" i="4"/>
  <c r="H18" i="4"/>
  <c r="H113" i="4"/>
  <c r="H89" i="4"/>
  <c r="H65" i="4"/>
  <c r="H29" i="4"/>
  <c r="H17" i="4"/>
  <c r="H112" i="4"/>
  <c r="H76" i="4"/>
  <c r="H52" i="4"/>
  <c r="H28" i="4"/>
  <c r="H99" i="4"/>
  <c r="H51" i="4"/>
  <c r="H15" i="4"/>
  <c r="I15" i="4" s="1"/>
  <c r="H98" i="4"/>
  <c r="H62" i="4"/>
  <c r="H38" i="4"/>
  <c r="H109" i="4"/>
  <c r="H37" i="4"/>
  <c r="H108" i="4"/>
  <c r="H72" i="4"/>
  <c r="H36" i="4"/>
  <c r="H12" i="4"/>
  <c r="H53" i="4"/>
  <c r="H87" i="4"/>
  <c r="H27" i="4"/>
  <c r="H86" i="4"/>
  <c r="H50" i="4"/>
  <c r="H14" i="4"/>
  <c r="L14" i="4" s="1"/>
  <c r="M14" i="4" s="1"/>
  <c r="H73" i="4"/>
  <c r="H25" i="4"/>
  <c r="H30" i="4"/>
  <c r="H75" i="4"/>
  <c r="H85" i="4"/>
  <c r="H84" i="4"/>
  <c r="H102" i="4"/>
  <c r="H54" i="4"/>
  <c r="H6" i="4"/>
  <c r="L6" i="4" s="1"/>
  <c r="M6" i="4" s="1"/>
  <c r="H101" i="4"/>
  <c r="H77" i="4"/>
  <c r="H41" i="4"/>
  <c r="H100" i="4"/>
  <c r="H88" i="4"/>
  <c r="H64" i="4"/>
  <c r="H40" i="4"/>
  <c r="H16" i="4"/>
  <c r="H111" i="4"/>
  <c r="H63" i="4"/>
  <c r="H39" i="4"/>
  <c r="H110" i="4"/>
  <c r="H74" i="4"/>
  <c r="H26" i="4"/>
  <c r="H97" i="4"/>
  <c r="H61" i="4"/>
  <c r="H49" i="4"/>
  <c r="H13" i="4"/>
  <c r="I13" i="4" s="1"/>
  <c r="H96" i="4"/>
  <c r="H60" i="4"/>
  <c r="H48" i="4"/>
  <c r="H24" i="4"/>
  <c r="EI21" i="21"/>
  <c r="EH168" i="21"/>
  <c r="EH175" i="21"/>
  <c r="EH167" i="21"/>
  <c r="EH174" i="21"/>
  <c r="EH146" i="21"/>
  <c r="EH114" i="21"/>
  <c r="EH147" i="21"/>
  <c r="EH161" i="21"/>
  <c r="EH160" i="21"/>
  <c r="EH154" i="21"/>
  <c r="EH107" i="21"/>
  <c r="EH106" i="21"/>
  <c r="EH134" i="21"/>
  <c r="EH113" i="21"/>
  <c r="EH127" i="21"/>
  <c r="EH121" i="21"/>
  <c r="EH128" i="21"/>
  <c r="EH153" i="21"/>
  <c r="EH120" i="21"/>
  <c r="EH135" i="21"/>
  <c r="EH24" i="21"/>
  <c r="EH25" i="21"/>
  <c r="EQ1" i="21"/>
  <c r="EP23" i="21"/>
  <c r="AT127" i="12"/>
  <c r="AT126" i="5"/>
  <c r="I178" i="5"/>
  <c r="I187" i="5"/>
  <c r="I182" i="5"/>
  <c r="I179" i="5"/>
  <c r="I166" i="5"/>
  <c r="I133" i="5"/>
  <c r="I157" i="5"/>
  <c r="I129" i="5"/>
  <c r="I177" i="5"/>
  <c r="I160" i="5"/>
  <c r="I180" i="5"/>
  <c r="I188" i="5"/>
  <c r="I156" i="5"/>
  <c r="I130" i="5"/>
  <c r="I128" i="5"/>
  <c r="I153" i="5"/>
  <c r="I152" i="5"/>
  <c r="I147" i="5"/>
  <c r="I163" i="5"/>
  <c r="I161" i="5"/>
  <c r="I169" i="5"/>
  <c r="I142" i="5"/>
  <c r="I151" i="5"/>
  <c r="I165" i="5"/>
  <c r="I171" i="5"/>
  <c r="I145" i="5"/>
  <c r="I143" i="5"/>
  <c r="I141" i="5"/>
  <c r="I155" i="5"/>
  <c r="I132" i="5"/>
  <c r="I131" i="5"/>
  <c r="I186" i="5"/>
  <c r="I181" i="5"/>
  <c r="I158" i="5"/>
  <c r="I146" i="5"/>
  <c r="I173" i="5"/>
  <c r="I162" i="5"/>
  <c r="I150" i="5"/>
  <c r="I139" i="5"/>
  <c r="I185" i="5"/>
  <c r="I176" i="5"/>
  <c r="I144" i="5"/>
  <c r="I168" i="5"/>
  <c r="I170" i="5"/>
  <c r="I137" i="5"/>
  <c r="I148" i="5"/>
  <c r="I136" i="5"/>
  <c r="I172" i="5"/>
  <c r="I184" i="5"/>
  <c r="I164" i="5"/>
  <c r="I134" i="5"/>
  <c r="I175" i="5"/>
  <c r="I138" i="5"/>
  <c r="I149" i="5"/>
  <c r="I154" i="5"/>
  <c r="I140" i="5"/>
  <c r="I174" i="5"/>
  <c r="I192" i="5"/>
  <c r="I159" i="5"/>
  <c r="I183" i="5"/>
  <c r="I167" i="5"/>
  <c r="I191" i="5"/>
  <c r="I190" i="5"/>
  <c r="I135" i="5"/>
  <c r="I189" i="5"/>
  <c r="I127" i="5"/>
  <c r="I98" i="5"/>
  <c r="I100" i="5"/>
  <c r="I94" i="5"/>
  <c r="I87" i="5"/>
  <c r="I122" i="5"/>
  <c r="I102" i="5"/>
  <c r="I114" i="5"/>
  <c r="I79" i="5"/>
  <c r="I113" i="5"/>
  <c r="I118" i="5"/>
  <c r="I73" i="5"/>
  <c r="I99" i="5"/>
  <c r="I116" i="5"/>
  <c r="I119" i="5"/>
  <c r="I88" i="5"/>
  <c r="I93" i="5"/>
  <c r="I84" i="5"/>
  <c r="I97" i="5"/>
  <c r="I83" i="5"/>
  <c r="I103" i="5"/>
  <c r="I76" i="5"/>
  <c r="I124" i="5"/>
  <c r="I109" i="5"/>
  <c r="I123" i="5"/>
  <c r="I80" i="5"/>
  <c r="I110" i="5"/>
  <c r="I95" i="5"/>
  <c r="I90" i="5"/>
  <c r="I121" i="5"/>
  <c r="I86" i="5"/>
  <c r="I112" i="5"/>
  <c r="I101" i="5"/>
  <c r="I115" i="5"/>
  <c r="I78" i="5"/>
  <c r="I108" i="5"/>
  <c r="I82" i="5"/>
  <c r="I81" i="5"/>
  <c r="I120" i="5"/>
  <c r="I91" i="5"/>
  <c r="I75" i="5"/>
  <c r="I85" i="5"/>
  <c r="I89" i="5"/>
  <c r="I111" i="5"/>
  <c r="I126" i="5"/>
  <c r="I74" i="5"/>
  <c r="I105" i="5"/>
  <c r="I107" i="5"/>
  <c r="I77" i="5"/>
  <c r="I125" i="5"/>
  <c r="I104" i="5"/>
  <c r="I106" i="5"/>
  <c r="I96" i="5"/>
  <c r="I92" i="5"/>
  <c r="I117" i="5"/>
  <c r="I15" i="5"/>
  <c r="I14" i="5"/>
  <c r="C2" i="21"/>
  <c r="C99" i="21" s="1"/>
  <c r="B99" i="21"/>
  <c r="C137" i="21"/>
  <c r="J60" i="4"/>
  <c r="I50" i="5"/>
  <c r="I30" i="5"/>
  <c r="I23" i="5"/>
  <c r="I38" i="5"/>
  <c r="I44" i="5"/>
  <c r="I66" i="5"/>
  <c r="I31" i="5"/>
  <c r="I46" i="5"/>
  <c r="I54" i="5"/>
  <c r="I32" i="5"/>
  <c r="I64" i="5"/>
  <c r="I35" i="5"/>
  <c r="I67" i="5"/>
  <c r="I17" i="5"/>
  <c r="I49" i="5"/>
  <c r="I47" i="5"/>
  <c r="I21" i="5"/>
  <c r="I62" i="5"/>
  <c r="I20" i="5"/>
  <c r="I52" i="5"/>
  <c r="I61" i="5"/>
  <c r="I70" i="5"/>
  <c r="I63" i="5"/>
  <c r="I39" i="5"/>
  <c r="I55" i="5"/>
  <c r="I71" i="5"/>
  <c r="I40" i="5"/>
  <c r="I72" i="5"/>
  <c r="I43" i="5"/>
  <c r="I25" i="5"/>
  <c r="I57" i="5"/>
  <c r="I37" i="5"/>
  <c r="I58" i="5"/>
  <c r="I18" i="5"/>
  <c r="I69" i="5"/>
  <c r="I53" i="5"/>
  <c r="I16" i="5"/>
  <c r="I27" i="5"/>
  <c r="I28" i="5"/>
  <c r="I19" i="5"/>
  <c r="I68" i="5"/>
  <c r="I26" i="5"/>
  <c r="I51" i="5"/>
  <c r="I33" i="5"/>
  <c r="I65" i="5"/>
  <c r="I34" i="5"/>
  <c r="I24" i="5"/>
  <c r="I36" i="5"/>
  <c r="I60" i="5"/>
  <c r="I56" i="5"/>
  <c r="I48" i="5"/>
  <c r="I59" i="5"/>
  <c r="I41" i="5"/>
  <c r="I22" i="5"/>
  <c r="I42" i="5"/>
  <c r="I29" i="5"/>
  <c r="I45" i="5"/>
  <c r="I6" i="4" l="1"/>
  <c r="J6" i="4"/>
  <c r="K6" i="4" s="1"/>
  <c r="ER1" i="21"/>
  <c r="EQ23" i="21"/>
  <c r="EJ21" i="21"/>
  <c r="EI174" i="21"/>
  <c r="EI113" i="21"/>
  <c r="EI134" i="21"/>
  <c r="EI127" i="21"/>
  <c r="EI175" i="21"/>
  <c r="EI106" i="21"/>
  <c r="EI167" i="21"/>
  <c r="EI121" i="21"/>
  <c r="EI153" i="21"/>
  <c r="EI120" i="21"/>
  <c r="EI160" i="21"/>
  <c r="EI168" i="21"/>
  <c r="EI114" i="21"/>
  <c r="EI154" i="21"/>
  <c r="EI146" i="21"/>
  <c r="EI107" i="21"/>
  <c r="EI161" i="21"/>
  <c r="EI128" i="21"/>
  <c r="EI135" i="21"/>
  <c r="EI147" i="21"/>
  <c r="EI24" i="21"/>
  <c r="EI25" i="21"/>
  <c r="AT126" i="12"/>
  <c r="AT125" i="5"/>
  <c r="B100" i="21"/>
  <c r="B103" i="21" s="1"/>
  <c r="I14" i="4"/>
  <c r="J14" i="4"/>
  <c r="N14" i="4" s="1"/>
  <c r="O14" i="4" s="1"/>
  <c r="D2" i="21"/>
  <c r="B139" i="21"/>
  <c r="B140" i="21" s="1"/>
  <c r="B143" i="21" s="1"/>
  <c r="N6" i="4"/>
  <c r="O6" i="4" s="1"/>
  <c r="L79" i="4"/>
  <c r="M79" i="4" s="1"/>
  <c r="L91" i="4"/>
  <c r="M91" i="4" s="1"/>
  <c r="J15" i="4"/>
  <c r="N15" i="4" s="1"/>
  <c r="O15" i="4" s="1"/>
  <c r="L15" i="4"/>
  <c r="M15" i="4" s="1"/>
  <c r="I79" i="4"/>
  <c r="I91" i="4"/>
  <c r="I60" i="4"/>
  <c r="L60" i="4"/>
  <c r="M60" i="4" s="1"/>
  <c r="I102" i="4"/>
  <c r="L102" i="4"/>
  <c r="M102" i="4" s="1"/>
  <c r="J102" i="4"/>
  <c r="I89" i="4"/>
  <c r="L89" i="4"/>
  <c r="M89" i="4" s="1"/>
  <c r="J89" i="4"/>
  <c r="I20" i="4"/>
  <c r="J20" i="4"/>
  <c r="L20" i="4"/>
  <c r="M20" i="4" s="1"/>
  <c r="I87" i="4"/>
  <c r="L87" i="4"/>
  <c r="M87" i="4" s="1"/>
  <c r="J87" i="4"/>
  <c r="I82" i="4"/>
  <c r="L82" i="4"/>
  <c r="M82" i="4" s="1"/>
  <c r="J82" i="4"/>
  <c r="I10" i="4"/>
  <c r="L10" i="4"/>
  <c r="M10" i="4" s="1"/>
  <c r="J10" i="4"/>
  <c r="I103" i="4"/>
  <c r="L103" i="4"/>
  <c r="M103" i="4" s="1"/>
  <c r="J103" i="4"/>
  <c r="I62" i="4"/>
  <c r="L62" i="4"/>
  <c r="M62" i="4" s="1"/>
  <c r="J62" i="4"/>
  <c r="I111" i="4"/>
  <c r="J111" i="4"/>
  <c r="L111" i="4"/>
  <c r="M111" i="4" s="1"/>
  <c r="I93" i="4"/>
  <c r="L93" i="4"/>
  <c r="M93" i="4" s="1"/>
  <c r="J93" i="4"/>
  <c r="L13" i="4"/>
  <c r="M13" i="4" s="1"/>
  <c r="J13" i="4"/>
  <c r="I32" i="4"/>
  <c r="J32" i="4"/>
  <c r="L32" i="4"/>
  <c r="M32" i="4" s="1"/>
  <c r="I45" i="4"/>
  <c r="L45" i="4"/>
  <c r="M45" i="4" s="1"/>
  <c r="J45" i="4"/>
  <c r="I114" i="4"/>
  <c r="L114" i="4"/>
  <c r="M114" i="4" s="1"/>
  <c r="J114" i="4"/>
  <c r="I28" i="4"/>
  <c r="J28" i="4"/>
  <c r="L28" i="4"/>
  <c r="M28" i="4" s="1"/>
  <c r="I109" i="4"/>
  <c r="L109" i="4"/>
  <c r="M109" i="4" s="1"/>
  <c r="J109" i="4"/>
  <c r="I70" i="4"/>
  <c r="J70" i="4"/>
  <c r="L70" i="4"/>
  <c r="M70" i="4" s="1"/>
  <c r="I43" i="4"/>
  <c r="J43" i="4"/>
  <c r="L43" i="4"/>
  <c r="M43" i="4" s="1"/>
  <c r="I66" i="4"/>
  <c r="L66" i="4"/>
  <c r="M66" i="4" s="1"/>
  <c r="J66" i="4"/>
  <c r="K60" i="4"/>
  <c r="N60" i="4"/>
  <c r="O60" i="4" s="1"/>
  <c r="N79" i="4"/>
  <c r="O79" i="4" s="1"/>
  <c r="K79" i="4"/>
  <c r="I51" i="4"/>
  <c r="J51" i="4"/>
  <c r="L51" i="4"/>
  <c r="M51" i="4" s="1"/>
  <c r="I88" i="4"/>
  <c r="J88" i="4"/>
  <c r="L88" i="4"/>
  <c r="M88" i="4" s="1"/>
  <c r="I98" i="4"/>
  <c r="J98" i="4"/>
  <c r="L98" i="4"/>
  <c r="M98" i="4" s="1"/>
  <c r="I115" i="4"/>
  <c r="J115" i="4"/>
  <c r="L115" i="4"/>
  <c r="M115" i="4" s="1"/>
  <c r="I52" i="4"/>
  <c r="J52" i="4"/>
  <c r="L52" i="4"/>
  <c r="M52" i="4" s="1"/>
  <c r="I27" i="4"/>
  <c r="J27" i="4"/>
  <c r="L27" i="4"/>
  <c r="M27" i="4" s="1"/>
  <c r="I59" i="4"/>
  <c r="J59" i="4"/>
  <c r="L59" i="4"/>
  <c r="M59" i="4" s="1"/>
  <c r="I8" i="4"/>
  <c r="J8" i="4"/>
  <c r="L8" i="4"/>
  <c r="M8" i="4" s="1"/>
  <c r="I64" i="4"/>
  <c r="J64" i="4"/>
  <c r="L64" i="4"/>
  <c r="M64" i="4" s="1"/>
  <c r="I75" i="4"/>
  <c r="J75" i="4"/>
  <c r="L75" i="4"/>
  <c r="M75" i="4" s="1"/>
  <c r="I25" i="4"/>
  <c r="L25" i="4"/>
  <c r="M25" i="4" s="1"/>
  <c r="J25" i="4"/>
  <c r="I57" i="4"/>
  <c r="L57" i="4"/>
  <c r="M57" i="4" s="1"/>
  <c r="J57" i="4"/>
  <c r="I84" i="4"/>
  <c r="J84" i="4"/>
  <c r="L84" i="4"/>
  <c r="M84" i="4" s="1"/>
  <c r="I117" i="4"/>
  <c r="L117" i="4"/>
  <c r="M117" i="4" s="1"/>
  <c r="J117" i="4"/>
  <c r="I21" i="4"/>
  <c r="L21" i="4"/>
  <c r="M21" i="4" s="1"/>
  <c r="J21" i="4"/>
  <c r="I69" i="4"/>
  <c r="L69" i="4"/>
  <c r="M69" i="4" s="1"/>
  <c r="J69" i="4"/>
  <c r="I110" i="4"/>
  <c r="L110" i="4"/>
  <c r="M110" i="4" s="1"/>
  <c r="J110" i="4"/>
  <c r="I81" i="4"/>
  <c r="L81" i="4"/>
  <c r="M81" i="4" s="1"/>
  <c r="J81" i="4"/>
  <c r="I39" i="4"/>
  <c r="J39" i="4"/>
  <c r="L39" i="4"/>
  <c r="M39" i="4" s="1"/>
  <c r="I36" i="4"/>
  <c r="J36" i="4"/>
  <c r="L36" i="4"/>
  <c r="M36" i="4" s="1"/>
  <c r="I11" i="4"/>
  <c r="J11" i="4"/>
  <c r="L11" i="4"/>
  <c r="M11" i="4" s="1"/>
  <c r="I29" i="4"/>
  <c r="L29" i="4"/>
  <c r="M29" i="4" s="1"/>
  <c r="J29" i="4"/>
  <c r="I106" i="4"/>
  <c r="L106" i="4"/>
  <c r="M106" i="4" s="1"/>
  <c r="J106" i="4"/>
  <c r="I49" i="4"/>
  <c r="L49" i="4"/>
  <c r="M49" i="4" s="1"/>
  <c r="J49" i="4"/>
  <c r="I86" i="4"/>
  <c r="J86" i="4"/>
  <c r="L86" i="4"/>
  <c r="M86" i="4" s="1"/>
  <c r="I18" i="4"/>
  <c r="L18" i="4"/>
  <c r="M18" i="4" s="1"/>
  <c r="J18" i="4"/>
  <c r="I41" i="4"/>
  <c r="L41" i="4"/>
  <c r="M41" i="4" s="1"/>
  <c r="J41" i="4"/>
  <c r="I101" i="4"/>
  <c r="L101" i="4"/>
  <c r="M101" i="4" s="1"/>
  <c r="J101" i="4"/>
  <c r="I31" i="4"/>
  <c r="L31" i="4"/>
  <c r="M31" i="4" s="1"/>
  <c r="J31" i="4"/>
  <c r="I63" i="4"/>
  <c r="L63" i="4"/>
  <c r="M63" i="4" s="1"/>
  <c r="J63" i="4"/>
  <c r="I50" i="4"/>
  <c r="L50" i="4"/>
  <c r="M50" i="4" s="1"/>
  <c r="J50" i="4"/>
  <c r="I76" i="4"/>
  <c r="J76" i="4"/>
  <c r="L76" i="4"/>
  <c r="M76" i="4" s="1"/>
  <c r="I61" i="4"/>
  <c r="L61" i="4"/>
  <c r="M61" i="4" s="1"/>
  <c r="J61" i="4"/>
  <c r="I33" i="4"/>
  <c r="L33" i="4"/>
  <c r="M33" i="4" s="1"/>
  <c r="J33" i="4"/>
  <c r="I58" i="4"/>
  <c r="L58" i="4"/>
  <c r="M58" i="4" s="1"/>
  <c r="J58" i="4"/>
  <c r="I83" i="4"/>
  <c r="J83" i="4"/>
  <c r="L83" i="4"/>
  <c r="M83" i="4" s="1"/>
  <c r="I24" i="4"/>
  <c r="J24" i="4"/>
  <c r="L24" i="4"/>
  <c r="M24" i="4" s="1"/>
  <c r="I56" i="4"/>
  <c r="J56" i="4"/>
  <c r="L56" i="4"/>
  <c r="M56" i="4" s="1"/>
  <c r="I23" i="4"/>
  <c r="L23" i="4"/>
  <c r="M23" i="4" s="1"/>
  <c r="J23" i="4"/>
  <c r="I55" i="4"/>
  <c r="L55" i="4"/>
  <c r="M55" i="4" s="1"/>
  <c r="J55" i="4"/>
  <c r="I65" i="4"/>
  <c r="L65" i="4"/>
  <c r="M65" i="4" s="1"/>
  <c r="J65" i="4"/>
  <c r="I7" i="4"/>
  <c r="J7" i="4"/>
  <c r="L7" i="4"/>
  <c r="M7" i="4" s="1"/>
  <c r="I97" i="4"/>
  <c r="L97" i="4"/>
  <c r="M97" i="4" s="1"/>
  <c r="J97" i="4"/>
  <c r="I90" i="4"/>
  <c r="J90" i="4"/>
  <c r="L90" i="4"/>
  <c r="M90" i="4" s="1"/>
  <c r="I100" i="4"/>
  <c r="J100" i="4"/>
  <c r="L100" i="4"/>
  <c r="M100" i="4" s="1"/>
  <c r="I38" i="4"/>
  <c r="L38" i="4"/>
  <c r="M38" i="4" s="1"/>
  <c r="J38" i="4"/>
  <c r="I40" i="4"/>
  <c r="J40" i="4"/>
  <c r="L40" i="4"/>
  <c r="M40" i="4" s="1"/>
  <c r="I80" i="4"/>
  <c r="J80" i="4"/>
  <c r="L80" i="4"/>
  <c r="M80" i="4" s="1"/>
  <c r="I54" i="4"/>
  <c r="L54" i="4"/>
  <c r="M54" i="4" s="1"/>
  <c r="J54" i="4"/>
  <c r="I37" i="4"/>
  <c r="L37" i="4"/>
  <c r="M37" i="4" s="1"/>
  <c r="J37" i="4"/>
  <c r="I85" i="4"/>
  <c r="L85" i="4"/>
  <c r="M85" i="4" s="1"/>
  <c r="J85" i="4"/>
  <c r="I42" i="4"/>
  <c r="L42" i="4"/>
  <c r="M42" i="4" s="1"/>
  <c r="J42" i="4"/>
  <c r="I34" i="4"/>
  <c r="J34" i="4"/>
  <c r="L34" i="4"/>
  <c r="M34" i="4" s="1"/>
  <c r="I77" i="4"/>
  <c r="L77" i="4"/>
  <c r="M77" i="4" s="1"/>
  <c r="J77" i="4"/>
  <c r="I44" i="4"/>
  <c r="J44" i="4"/>
  <c r="L44" i="4"/>
  <c r="M44" i="4" s="1"/>
  <c r="I108" i="4"/>
  <c r="J108" i="4"/>
  <c r="L108" i="4"/>
  <c r="M108" i="4" s="1"/>
  <c r="I107" i="4"/>
  <c r="J107" i="4"/>
  <c r="L107" i="4"/>
  <c r="M107" i="4" s="1"/>
  <c r="I17" i="4"/>
  <c r="L17" i="4"/>
  <c r="M17" i="4" s="1"/>
  <c r="J17" i="4"/>
  <c r="I12" i="4"/>
  <c r="J12" i="4"/>
  <c r="L12" i="4"/>
  <c r="M12" i="4" s="1"/>
  <c r="I68" i="4"/>
  <c r="J68" i="4"/>
  <c r="L68" i="4"/>
  <c r="M68" i="4" s="1"/>
  <c r="K91" i="4"/>
  <c r="N91" i="4"/>
  <c r="O91" i="4" s="1"/>
  <c r="I30" i="4"/>
  <c r="L30" i="4"/>
  <c r="M30" i="4" s="1"/>
  <c r="J30" i="4"/>
  <c r="I116" i="4"/>
  <c r="J116" i="4"/>
  <c r="L116" i="4"/>
  <c r="M116" i="4" s="1"/>
  <c r="I78" i="4"/>
  <c r="L78" i="4"/>
  <c r="M78" i="4" s="1"/>
  <c r="J78" i="4"/>
  <c r="I9" i="4"/>
  <c r="L9" i="4"/>
  <c r="M9" i="4" s="1"/>
  <c r="J9" i="4"/>
  <c r="I71" i="4"/>
  <c r="L71" i="4"/>
  <c r="M71" i="4" s="1"/>
  <c r="J71" i="4"/>
  <c r="I72" i="4"/>
  <c r="J72" i="4"/>
  <c r="L72" i="4"/>
  <c r="M72" i="4" s="1"/>
  <c r="I74" i="4"/>
  <c r="L74" i="4"/>
  <c r="M74" i="4" s="1"/>
  <c r="J74" i="4"/>
  <c r="I16" i="4"/>
  <c r="J16" i="4"/>
  <c r="L16" i="4"/>
  <c r="M16" i="4" s="1"/>
  <c r="I94" i="4"/>
  <c r="L94" i="4"/>
  <c r="M94" i="4" s="1"/>
  <c r="J94" i="4"/>
  <c r="I104" i="4"/>
  <c r="J104" i="4"/>
  <c r="L104" i="4"/>
  <c r="M104" i="4" s="1"/>
  <c r="I95" i="4"/>
  <c r="L95" i="4"/>
  <c r="M95" i="4" s="1"/>
  <c r="J95" i="4"/>
  <c r="I22" i="4"/>
  <c r="J22" i="4"/>
  <c r="L22" i="4"/>
  <c r="M22" i="4" s="1"/>
  <c r="I53" i="4"/>
  <c r="L53" i="4"/>
  <c r="M53" i="4" s="1"/>
  <c r="J53" i="4"/>
  <c r="I35" i="4"/>
  <c r="J35" i="4"/>
  <c r="L35" i="4"/>
  <c r="M35" i="4" s="1"/>
  <c r="I19" i="4"/>
  <c r="J19" i="4"/>
  <c r="L19" i="4"/>
  <c r="M19" i="4" s="1"/>
  <c r="I96" i="4"/>
  <c r="J96" i="4"/>
  <c r="L96" i="4"/>
  <c r="M96" i="4" s="1"/>
  <c r="I113" i="4"/>
  <c r="L113" i="4"/>
  <c r="M113" i="4" s="1"/>
  <c r="J113" i="4"/>
  <c r="I26" i="4"/>
  <c r="J26" i="4"/>
  <c r="L26" i="4"/>
  <c r="M26" i="4" s="1"/>
  <c r="I73" i="4"/>
  <c r="L73" i="4"/>
  <c r="M73" i="4" s="1"/>
  <c r="J73" i="4"/>
  <c r="I67" i="4"/>
  <c r="J67" i="4"/>
  <c r="L67" i="4"/>
  <c r="M67" i="4" s="1"/>
  <c r="I112" i="4"/>
  <c r="J112" i="4"/>
  <c r="L112" i="4"/>
  <c r="M112" i="4" s="1"/>
  <c r="I105" i="4"/>
  <c r="L105" i="4"/>
  <c r="M105" i="4" s="1"/>
  <c r="J105" i="4"/>
  <c r="I99" i="4"/>
  <c r="J99" i="4"/>
  <c r="L99" i="4"/>
  <c r="M99" i="4" s="1"/>
  <c r="I47" i="4"/>
  <c r="J47" i="4"/>
  <c r="L47" i="4"/>
  <c r="M47" i="4" s="1"/>
  <c r="I48" i="4"/>
  <c r="J48" i="4"/>
  <c r="L48" i="4"/>
  <c r="M48" i="4" s="1"/>
  <c r="I46" i="4"/>
  <c r="J46" i="4"/>
  <c r="L46" i="4"/>
  <c r="M46" i="4" s="1"/>
  <c r="I92" i="4"/>
  <c r="J92" i="4"/>
  <c r="L92" i="4"/>
  <c r="M92" i="4" s="1"/>
  <c r="V13" i="5"/>
  <c r="Z13" i="5" s="1"/>
  <c r="M38" i="5" l="1"/>
  <c r="M39" i="5"/>
  <c r="M43" i="5"/>
  <c r="M44" i="5"/>
  <c r="M41" i="5"/>
  <c r="M46" i="5"/>
  <c r="M47" i="5"/>
  <c r="M37" i="5"/>
  <c r="M40" i="5"/>
  <c r="M45" i="5"/>
  <c r="M42" i="5"/>
  <c r="M40" i="12"/>
  <c r="M47" i="12"/>
  <c r="M46" i="12"/>
  <c r="M39" i="12"/>
  <c r="M38" i="12"/>
  <c r="M45" i="12"/>
  <c r="M41" i="12"/>
  <c r="M43" i="12"/>
  <c r="M42" i="12"/>
  <c r="M44" i="12"/>
  <c r="M37" i="12"/>
  <c r="M34" i="5"/>
  <c r="M29" i="5"/>
  <c r="M30" i="5"/>
  <c r="M31" i="5"/>
  <c r="M36" i="5"/>
  <c r="M32" i="5"/>
  <c r="M35" i="5"/>
  <c r="M27" i="5"/>
  <c r="M25" i="5"/>
  <c r="M28" i="5"/>
  <c r="M33" i="5"/>
  <c r="M26" i="5"/>
  <c r="M26" i="12"/>
  <c r="M35" i="12"/>
  <c r="M27" i="12"/>
  <c r="M25" i="12"/>
  <c r="M36" i="12"/>
  <c r="M32" i="12"/>
  <c r="M30" i="12"/>
  <c r="M31" i="12"/>
  <c r="M28" i="12"/>
  <c r="M34" i="12"/>
  <c r="M29" i="12"/>
  <c r="M33" i="12"/>
  <c r="M20" i="5"/>
  <c r="M24" i="5"/>
  <c r="M18" i="5"/>
  <c r="M17" i="5"/>
  <c r="M23" i="5"/>
  <c r="M22" i="5"/>
  <c r="M21" i="5"/>
  <c r="M14" i="5"/>
  <c r="M19" i="5"/>
  <c r="M15" i="5"/>
  <c r="M16" i="5"/>
  <c r="M16" i="12"/>
  <c r="M21" i="12"/>
  <c r="M17" i="12"/>
  <c r="M24" i="12"/>
  <c r="M19" i="12"/>
  <c r="M22" i="12"/>
  <c r="M20" i="12"/>
  <c r="M14" i="12"/>
  <c r="M18" i="12"/>
  <c r="M15" i="12"/>
  <c r="M23" i="12"/>
  <c r="M13" i="12"/>
  <c r="EK21" i="21"/>
  <c r="EJ160" i="21"/>
  <c r="EJ106" i="21"/>
  <c r="EJ121" i="21"/>
  <c r="EJ175" i="21"/>
  <c r="EJ135" i="21"/>
  <c r="EJ128" i="21"/>
  <c r="EJ174" i="21"/>
  <c r="EJ154" i="21"/>
  <c r="EJ167" i="21"/>
  <c r="EJ161" i="21"/>
  <c r="EJ107" i="21"/>
  <c r="EJ147" i="21"/>
  <c r="EJ120" i="21"/>
  <c r="EJ127" i="21"/>
  <c r="EJ134" i="21"/>
  <c r="EJ114" i="21"/>
  <c r="EJ168" i="21"/>
  <c r="EJ113" i="21"/>
  <c r="EJ153" i="21"/>
  <c r="EJ146" i="21"/>
  <c r="EJ25" i="21"/>
  <c r="EJ24" i="21"/>
  <c r="ES1" i="21"/>
  <c r="ER23" i="21"/>
  <c r="AT125" i="12"/>
  <c r="AT124" i="5"/>
  <c r="Y13" i="12"/>
  <c r="K14" i="4"/>
  <c r="B132" i="21"/>
  <c r="B125" i="21"/>
  <c r="B119" i="21"/>
  <c r="B105" i="21"/>
  <c r="B117" i="21"/>
  <c r="B131" i="21"/>
  <c r="B112" i="21"/>
  <c r="B133" i="21"/>
  <c r="B111" i="21"/>
  <c r="B124" i="21"/>
  <c r="B110" i="21"/>
  <c r="B118" i="21"/>
  <c r="B104" i="21"/>
  <c r="B126" i="21"/>
  <c r="B166" i="21"/>
  <c r="B165" i="21"/>
  <c r="B144" i="21"/>
  <c r="B158" i="21"/>
  <c r="B145" i="21"/>
  <c r="B157" i="21"/>
  <c r="B172" i="21"/>
  <c r="B164" i="21"/>
  <c r="B151" i="21"/>
  <c r="B152" i="21"/>
  <c r="B159" i="21"/>
  <c r="B171" i="21"/>
  <c r="B150" i="21"/>
  <c r="B173" i="21"/>
  <c r="C100" i="21"/>
  <c r="D137" i="21"/>
  <c r="C139" i="21"/>
  <c r="C140" i="21" s="1"/>
  <c r="E2" i="21"/>
  <c r="D99" i="21"/>
  <c r="K15" i="4"/>
  <c r="AC13" i="12"/>
  <c r="AZ13" i="12" s="1"/>
  <c r="N22" i="4"/>
  <c r="O22" i="4" s="1"/>
  <c r="K22" i="4"/>
  <c r="N105" i="4"/>
  <c r="O105" i="4" s="1"/>
  <c r="K105" i="4"/>
  <c r="K12" i="4"/>
  <c r="N12" i="4"/>
  <c r="O12" i="4" s="1"/>
  <c r="N29" i="4"/>
  <c r="O29" i="4" s="1"/>
  <c r="K29" i="4"/>
  <c r="N78" i="4"/>
  <c r="O78" i="4" s="1"/>
  <c r="K78" i="4"/>
  <c r="K108" i="4"/>
  <c r="N108" i="4"/>
  <c r="O108" i="4" s="1"/>
  <c r="K80" i="4"/>
  <c r="N80" i="4"/>
  <c r="O80" i="4" s="1"/>
  <c r="K76" i="4"/>
  <c r="N76" i="4"/>
  <c r="O76" i="4" s="1"/>
  <c r="N89" i="4"/>
  <c r="O89" i="4" s="1"/>
  <c r="K89" i="4"/>
  <c r="K92" i="4"/>
  <c r="N92" i="4"/>
  <c r="O92" i="4" s="1"/>
  <c r="N17" i="4"/>
  <c r="O17" i="4" s="1"/>
  <c r="K17" i="4"/>
  <c r="N33" i="4"/>
  <c r="O33" i="4" s="1"/>
  <c r="K33" i="4"/>
  <c r="K18" i="4"/>
  <c r="N18" i="4"/>
  <c r="O18" i="4" s="1"/>
  <c r="N103" i="4"/>
  <c r="O103" i="4" s="1"/>
  <c r="K103" i="4"/>
  <c r="N47" i="4"/>
  <c r="O47" i="4" s="1"/>
  <c r="K47" i="4"/>
  <c r="K96" i="4"/>
  <c r="N96" i="4"/>
  <c r="O96" i="4" s="1"/>
  <c r="N53" i="4"/>
  <c r="O53" i="4" s="1"/>
  <c r="K53" i="4"/>
  <c r="K16" i="4"/>
  <c r="N16" i="4"/>
  <c r="O16" i="4" s="1"/>
  <c r="N71" i="4"/>
  <c r="O71" i="4" s="1"/>
  <c r="K71" i="4"/>
  <c r="N7" i="4"/>
  <c r="O7" i="4" s="1"/>
  <c r="K7" i="4"/>
  <c r="N23" i="4"/>
  <c r="O23" i="4" s="1"/>
  <c r="K23" i="4"/>
  <c r="K50" i="4"/>
  <c r="N50" i="4"/>
  <c r="O50" i="4" s="1"/>
  <c r="N106" i="4"/>
  <c r="O106" i="4" s="1"/>
  <c r="K106" i="4"/>
  <c r="K8" i="4"/>
  <c r="N8" i="4"/>
  <c r="O8" i="4" s="1"/>
  <c r="K28" i="4"/>
  <c r="N28" i="4"/>
  <c r="O28" i="4" s="1"/>
  <c r="N87" i="4"/>
  <c r="O87" i="4" s="1"/>
  <c r="K87" i="4"/>
  <c r="N94" i="4"/>
  <c r="O94" i="4" s="1"/>
  <c r="K94" i="4"/>
  <c r="N58" i="4"/>
  <c r="O58" i="4" s="1"/>
  <c r="K58" i="4"/>
  <c r="K36" i="4"/>
  <c r="N36" i="4"/>
  <c r="O36" i="4" s="1"/>
  <c r="N110" i="4"/>
  <c r="O110" i="4" s="1"/>
  <c r="K110" i="4"/>
  <c r="N109" i="4"/>
  <c r="O109" i="4" s="1"/>
  <c r="K109" i="4"/>
  <c r="K20" i="4"/>
  <c r="N20" i="4"/>
  <c r="O20" i="4" s="1"/>
  <c r="K48" i="4"/>
  <c r="N48" i="4"/>
  <c r="O48" i="4" s="1"/>
  <c r="K35" i="4"/>
  <c r="N35" i="4"/>
  <c r="O35" i="4" s="1"/>
  <c r="K27" i="4"/>
  <c r="N27" i="4"/>
  <c r="O27" i="4" s="1"/>
  <c r="N93" i="4"/>
  <c r="O93" i="4" s="1"/>
  <c r="K93" i="4"/>
  <c r="N37" i="4"/>
  <c r="O37" i="4" s="1"/>
  <c r="K37" i="4"/>
  <c r="N69" i="4"/>
  <c r="O69" i="4" s="1"/>
  <c r="K69" i="4"/>
  <c r="K43" i="4"/>
  <c r="N43" i="4"/>
  <c r="O43" i="4" s="1"/>
  <c r="K112" i="4"/>
  <c r="N112" i="4"/>
  <c r="O112" i="4" s="1"/>
  <c r="K44" i="4"/>
  <c r="N44" i="4"/>
  <c r="O44" i="4" s="1"/>
  <c r="N42" i="4"/>
  <c r="O42" i="4" s="1"/>
  <c r="K42" i="4"/>
  <c r="K40" i="4"/>
  <c r="N40" i="4"/>
  <c r="O40" i="4" s="1"/>
  <c r="N101" i="4"/>
  <c r="O101" i="4" s="1"/>
  <c r="K101" i="4"/>
  <c r="K11" i="4"/>
  <c r="N11" i="4"/>
  <c r="O11" i="4" s="1"/>
  <c r="N81" i="4"/>
  <c r="O81" i="4" s="1"/>
  <c r="K81" i="4"/>
  <c r="K84" i="4"/>
  <c r="N84" i="4"/>
  <c r="O84" i="4" s="1"/>
  <c r="K52" i="4"/>
  <c r="N52" i="4"/>
  <c r="O52" i="4" s="1"/>
  <c r="K32" i="4"/>
  <c r="N32" i="4"/>
  <c r="O32" i="4" s="1"/>
  <c r="N102" i="4"/>
  <c r="O102" i="4" s="1"/>
  <c r="K102" i="4"/>
  <c r="K67" i="4"/>
  <c r="N67" i="4"/>
  <c r="O67" i="4" s="1"/>
  <c r="N85" i="4"/>
  <c r="O85" i="4" s="1"/>
  <c r="K85" i="4"/>
  <c r="N97" i="4"/>
  <c r="O97" i="4" s="1"/>
  <c r="K97" i="4"/>
  <c r="N41" i="4"/>
  <c r="O41" i="4" s="1"/>
  <c r="K41" i="4"/>
  <c r="N62" i="4"/>
  <c r="O62" i="4" s="1"/>
  <c r="K62" i="4"/>
  <c r="N49" i="4"/>
  <c r="O49" i="4" s="1"/>
  <c r="K49" i="4"/>
  <c r="N117" i="4"/>
  <c r="O117" i="4" s="1"/>
  <c r="K117" i="4"/>
  <c r="K51" i="4"/>
  <c r="N51" i="4"/>
  <c r="O51" i="4" s="1"/>
  <c r="N45" i="4"/>
  <c r="O45" i="4" s="1"/>
  <c r="K45" i="4"/>
  <c r="K82" i="4"/>
  <c r="N82" i="4"/>
  <c r="O82" i="4" s="1"/>
  <c r="N73" i="4"/>
  <c r="O73" i="4" s="1"/>
  <c r="K73" i="4"/>
  <c r="K34" i="4"/>
  <c r="N34" i="4"/>
  <c r="O34" i="4" s="1"/>
  <c r="K100" i="4"/>
  <c r="N100" i="4"/>
  <c r="O100" i="4" s="1"/>
  <c r="K24" i="4"/>
  <c r="N24" i="4"/>
  <c r="O24" i="4" s="1"/>
  <c r="K46" i="4"/>
  <c r="N46" i="4"/>
  <c r="O46" i="4" s="1"/>
  <c r="N26" i="4"/>
  <c r="O26" i="4" s="1"/>
  <c r="K26" i="4"/>
  <c r="K104" i="4"/>
  <c r="N104" i="4"/>
  <c r="O104" i="4" s="1"/>
  <c r="N74" i="4"/>
  <c r="O74" i="4" s="1"/>
  <c r="K74" i="4"/>
  <c r="K116" i="4"/>
  <c r="N116" i="4"/>
  <c r="O116" i="4" s="1"/>
  <c r="K68" i="4"/>
  <c r="N68" i="4"/>
  <c r="O68" i="4" s="1"/>
  <c r="K54" i="4"/>
  <c r="N54" i="4"/>
  <c r="O54" i="4" s="1"/>
  <c r="N90" i="4"/>
  <c r="O90" i="4" s="1"/>
  <c r="K90" i="4"/>
  <c r="N65" i="4"/>
  <c r="O65" i="4" s="1"/>
  <c r="K65" i="4"/>
  <c r="K83" i="4"/>
  <c r="N83" i="4"/>
  <c r="O83" i="4" s="1"/>
  <c r="N61" i="4"/>
  <c r="O61" i="4" s="1"/>
  <c r="K61" i="4"/>
  <c r="N21" i="4"/>
  <c r="O21" i="4" s="1"/>
  <c r="K21" i="4"/>
  <c r="K75" i="4"/>
  <c r="N75" i="4"/>
  <c r="O75" i="4" s="1"/>
  <c r="K88" i="4"/>
  <c r="N88" i="4"/>
  <c r="O88" i="4" s="1"/>
  <c r="K70" i="4"/>
  <c r="N70" i="4"/>
  <c r="O70" i="4" s="1"/>
  <c r="N114" i="4"/>
  <c r="O114" i="4" s="1"/>
  <c r="K114" i="4"/>
  <c r="N111" i="4"/>
  <c r="O111" i="4" s="1"/>
  <c r="K111" i="4"/>
  <c r="N10" i="4"/>
  <c r="O10" i="4" s="1"/>
  <c r="K10" i="4"/>
  <c r="N113" i="4"/>
  <c r="O113" i="4" s="1"/>
  <c r="K113" i="4"/>
  <c r="N30" i="4"/>
  <c r="O30" i="4" s="1"/>
  <c r="K30" i="4"/>
  <c r="K56" i="4"/>
  <c r="N56" i="4"/>
  <c r="O56" i="4" s="1"/>
  <c r="K115" i="4"/>
  <c r="N115" i="4"/>
  <c r="O115" i="4" s="1"/>
  <c r="N55" i="4"/>
  <c r="O55" i="4" s="1"/>
  <c r="K55" i="4"/>
  <c r="K64" i="4"/>
  <c r="N64" i="4"/>
  <c r="O64" i="4" s="1"/>
  <c r="K95" i="4"/>
  <c r="N95" i="4"/>
  <c r="O95" i="4" s="1"/>
  <c r="K72" i="4"/>
  <c r="N72" i="4"/>
  <c r="O72" i="4" s="1"/>
  <c r="K31" i="4"/>
  <c r="N31" i="4"/>
  <c r="O31" i="4" s="1"/>
  <c r="N25" i="4"/>
  <c r="O25" i="4" s="1"/>
  <c r="K25" i="4"/>
  <c r="K39" i="4"/>
  <c r="N39" i="4"/>
  <c r="O39" i="4" s="1"/>
  <c r="K98" i="4"/>
  <c r="N98" i="4"/>
  <c r="O98" i="4" s="1"/>
  <c r="K99" i="4"/>
  <c r="N99" i="4"/>
  <c r="O99" i="4" s="1"/>
  <c r="K19" i="4"/>
  <c r="N19" i="4"/>
  <c r="O19" i="4" s="1"/>
  <c r="N9" i="4"/>
  <c r="O9" i="4" s="1"/>
  <c r="K9" i="4"/>
  <c r="K107" i="4"/>
  <c r="N107" i="4"/>
  <c r="O107" i="4" s="1"/>
  <c r="N77" i="4"/>
  <c r="O77" i="4" s="1"/>
  <c r="K77" i="4"/>
  <c r="N38" i="4"/>
  <c r="O38" i="4" s="1"/>
  <c r="K38" i="4"/>
  <c r="N63" i="4"/>
  <c r="O63" i="4" s="1"/>
  <c r="K63" i="4"/>
  <c r="K86" i="4"/>
  <c r="N86" i="4"/>
  <c r="O86" i="4" s="1"/>
  <c r="N57" i="4"/>
  <c r="O57" i="4" s="1"/>
  <c r="K57" i="4"/>
  <c r="K59" i="4"/>
  <c r="N59" i="4"/>
  <c r="O59" i="4" s="1"/>
  <c r="K66" i="4"/>
  <c r="N66" i="4"/>
  <c r="O66" i="4" s="1"/>
  <c r="N13" i="4"/>
  <c r="O13" i="4" s="1"/>
  <c r="K13" i="4"/>
  <c r="V14" i="5"/>
  <c r="ET1" i="21" l="1"/>
  <c r="ES23" i="21"/>
  <c r="EL21" i="21"/>
  <c r="EK127" i="21"/>
  <c r="EK160" i="21"/>
  <c r="EK106" i="21"/>
  <c r="EK121" i="21"/>
  <c r="EK146" i="21"/>
  <c r="EK135" i="21"/>
  <c r="EK107" i="21"/>
  <c r="EK174" i="21"/>
  <c r="EK114" i="21"/>
  <c r="EK175" i="21"/>
  <c r="EK113" i="21"/>
  <c r="EK161" i="21"/>
  <c r="EK153" i="21"/>
  <c r="EK147" i="21"/>
  <c r="EK168" i="21"/>
  <c r="EK128" i="21"/>
  <c r="EK120" i="21"/>
  <c r="EK134" i="21"/>
  <c r="EK167" i="21"/>
  <c r="EK154" i="21"/>
  <c r="EK24" i="21"/>
  <c r="EK25" i="21"/>
  <c r="AT124" i="12"/>
  <c r="AT123" i="5"/>
  <c r="X13" i="12"/>
  <c r="AA13" i="12" s="1"/>
  <c r="N23" i="12"/>
  <c r="N17" i="12"/>
  <c r="N16" i="12"/>
  <c r="N15" i="12"/>
  <c r="N21" i="12"/>
  <c r="N20" i="12"/>
  <c r="N14" i="12"/>
  <c r="N22" i="12"/>
  <c r="N18" i="12"/>
  <c r="N19" i="12"/>
  <c r="N13" i="12"/>
  <c r="AB13" i="12" s="1"/>
  <c r="N16" i="5"/>
  <c r="N15" i="5"/>
  <c r="N19" i="5"/>
  <c r="N18" i="5"/>
  <c r="N20" i="5"/>
  <c r="N13" i="5"/>
  <c r="AB13" i="5" s="1"/>
  <c r="N14" i="5"/>
  <c r="N17" i="5"/>
  <c r="N22" i="5"/>
  <c r="N23" i="5"/>
  <c r="N21" i="5"/>
  <c r="N53" i="12"/>
  <c r="N57" i="12"/>
  <c r="N54" i="12"/>
  <c r="N56" i="12"/>
  <c r="N51" i="12"/>
  <c r="N50" i="12"/>
  <c r="N49" i="12"/>
  <c r="N48" i="12"/>
  <c r="N58" i="12"/>
  <c r="N55" i="12"/>
  <c r="N52" i="12"/>
  <c r="N59" i="12"/>
  <c r="N50" i="5"/>
  <c r="N57" i="5"/>
  <c r="N51" i="5"/>
  <c r="N52" i="5"/>
  <c r="N48" i="5"/>
  <c r="N58" i="5"/>
  <c r="N59" i="5"/>
  <c r="N54" i="5"/>
  <c r="N53" i="5"/>
  <c r="N49" i="5"/>
  <c r="N55" i="5"/>
  <c r="N56" i="5"/>
  <c r="D100" i="21"/>
  <c r="E99" i="21"/>
  <c r="F2" i="21"/>
  <c r="C133" i="21"/>
  <c r="C110" i="21"/>
  <c r="C125" i="21"/>
  <c r="C132" i="21"/>
  <c r="C111" i="21"/>
  <c r="C124" i="21"/>
  <c r="C104" i="21"/>
  <c r="C118" i="21"/>
  <c r="C105" i="21"/>
  <c r="C131" i="21"/>
  <c r="C112" i="21"/>
  <c r="C119" i="21"/>
  <c r="C103" i="21"/>
  <c r="C117" i="21"/>
  <c r="C126" i="21"/>
  <c r="C164" i="21"/>
  <c r="C152" i="21"/>
  <c r="C143" i="21"/>
  <c r="C144" i="21"/>
  <c r="C158" i="21"/>
  <c r="C165" i="21"/>
  <c r="C166" i="21"/>
  <c r="C173" i="21"/>
  <c r="C150" i="21"/>
  <c r="C151" i="21"/>
  <c r="C172" i="21"/>
  <c r="C171" i="21"/>
  <c r="C157" i="21"/>
  <c r="C145" i="21"/>
  <c r="C159" i="21"/>
  <c r="N24" i="12"/>
  <c r="N28" i="12"/>
  <c r="N31" i="12"/>
  <c r="N34" i="12"/>
  <c r="N29" i="12"/>
  <c r="N30" i="12"/>
  <c r="N35" i="12"/>
  <c r="N32" i="12"/>
  <c r="N26" i="12"/>
  <c r="N27" i="12"/>
  <c r="N33" i="12"/>
  <c r="N25" i="12"/>
  <c r="N32" i="5"/>
  <c r="N33" i="5"/>
  <c r="N35" i="5"/>
  <c r="N28" i="5"/>
  <c r="N31" i="5"/>
  <c r="N26" i="5"/>
  <c r="N30" i="5"/>
  <c r="N29" i="5"/>
  <c r="N34" i="5"/>
  <c r="N24" i="5"/>
  <c r="N27" i="5"/>
  <c r="N25" i="5"/>
  <c r="N69" i="12"/>
  <c r="N66" i="12"/>
  <c r="N60" i="12"/>
  <c r="N68" i="12"/>
  <c r="N62" i="12"/>
  <c r="N67" i="12"/>
  <c r="N61" i="12"/>
  <c r="N71" i="12"/>
  <c r="N65" i="12"/>
  <c r="N70" i="12"/>
  <c r="N64" i="12"/>
  <c r="N63" i="12"/>
  <c r="N68" i="5"/>
  <c r="N66" i="5"/>
  <c r="N64" i="5"/>
  <c r="N69" i="5"/>
  <c r="N71" i="5"/>
  <c r="N70" i="5"/>
  <c r="N62" i="5"/>
  <c r="N67" i="5"/>
  <c r="N60" i="5"/>
  <c r="N61" i="5"/>
  <c r="N63" i="5"/>
  <c r="N65" i="5"/>
  <c r="E137" i="21"/>
  <c r="D139" i="21"/>
  <c r="D140" i="21" s="1"/>
  <c r="N42" i="12"/>
  <c r="N46" i="12"/>
  <c r="N37" i="12"/>
  <c r="N45" i="12"/>
  <c r="N39" i="12"/>
  <c r="N38" i="12"/>
  <c r="N41" i="12"/>
  <c r="N43" i="12"/>
  <c r="N40" i="12"/>
  <c r="N44" i="12"/>
  <c r="N47" i="12"/>
  <c r="N36" i="12"/>
  <c r="N45" i="5"/>
  <c r="N41" i="5"/>
  <c r="N39" i="5"/>
  <c r="N42" i="5"/>
  <c r="N38" i="5"/>
  <c r="N44" i="5"/>
  <c r="N47" i="5"/>
  <c r="N36" i="5"/>
  <c r="N43" i="5"/>
  <c r="N37" i="5"/>
  <c r="N46" i="5"/>
  <c r="N40" i="5"/>
  <c r="BA13" i="12"/>
  <c r="BA13" i="5"/>
  <c r="V15" i="5"/>
  <c r="EM21" i="21" l="1"/>
  <c r="EL160" i="21"/>
  <c r="EL175" i="21"/>
  <c r="EL153" i="21"/>
  <c r="EL120" i="21"/>
  <c r="EL113" i="21"/>
  <c r="EL128" i="21"/>
  <c r="EL135" i="21"/>
  <c r="EL146" i="21"/>
  <c r="EL107" i="21"/>
  <c r="EL121" i="21"/>
  <c r="EL114" i="21"/>
  <c r="EL127" i="21"/>
  <c r="EL154" i="21"/>
  <c r="EL168" i="21"/>
  <c r="EL106" i="21"/>
  <c r="EL174" i="21"/>
  <c r="EL161" i="21"/>
  <c r="EL167" i="21"/>
  <c r="EL134" i="21"/>
  <c r="EL147" i="21"/>
  <c r="EL24" i="21"/>
  <c r="EL25" i="21"/>
  <c r="EU1" i="21"/>
  <c r="ET23" i="21"/>
  <c r="AD14" i="12"/>
  <c r="AT122" i="5"/>
  <c r="AT123" i="12"/>
  <c r="AB14" i="12"/>
  <c r="W14" i="12"/>
  <c r="D151" i="21"/>
  <c r="D173" i="21"/>
  <c r="D159" i="21"/>
  <c r="D157" i="21"/>
  <c r="D150" i="21"/>
  <c r="D158" i="21"/>
  <c r="D171" i="21"/>
  <c r="D143" i="21"/>
  <c r="D172" i="21"/>
  <c r="D166" i="21"/>
  <c r="D145" i="21"/>
  <c r="D165" i="21"/>
  <c r="D144" i="21"/>
  <c r="D164" i="21"/>
  <c r="D152" i="21"/>
  <c r="G2" i="21"/>
  <c r="F99" i="21"/>
  <c r="E100" i="21"/>
  <c r="E139" i="21"/>
  <c r="E140" i="21" s="1"/>
  <c r="F137" i="21"/>
  <c r="D110" i="21"/>
  <c r="D111" i="21"/>
  <c r="D126" i="21"/>
  <c r="D131" i="21"/>
  <c r="D133" i="21"/>
  <c r="D117" i="21"/>
  <c r="D125" i="21"/>
  <c r="D124" i="21"/>
  <c r="D103" i="21"/>
  <c r="D118" i="21"/>
  <c r="D132" i="21"/>
  <c r="D104" i="21"/>
  <c r="D119" i="21"/>
  <c r="D112" i="21"/>
  <c r="D105" i="21"/>
  <c r="BC13" i="12"/>
  <c r="V16" i="5"/>
  <c r="EN21" i="21" l="1"/>
  <c r="EM107" i="21"/>
  <c r="EM128" i="21"/>
  <c r="EM113" i="21"/>
  <c r="EM127" i="21"/>
  <c r="EM175" i="21"/>
  <c r="EM161" i="21"/>
  <c r="EM134" i="21"/>
  <c r="EM168" i="21"/>
  <c r="EM114" i="21"/>
  <c r="EM153" i="21"/>
  <c r="EM106" i="21"/>
  <c r="EM147" i="21"/>
  <c r="EM135" i="21"/>
  <c r="EM146" i="21"/>
  <c r="EM120" i="21"/>
  <c r="EM121" i="21"/>
  <c r="EM174" i="21"/>
  <c r="EM167" i="21"/>
  <c r="EM160" i="21"/>
  <c r="EM154" i="21"/>
  <c r="EM24" i="21"/>
  <c r="EM25" i="21"/>
  <c r="EV1" i="21"/>
  <c r="EU23" i="21"/>
  <c r="BM14" i="12"/>
  <c r="AT121" i="5"/>
  <c r="AT122" i="12"/>
  <c r="Y14" i="12"/>
  <c r="BL14" i="12"/>
  <c r="Z14" i="12"/>
  <c r="BO14" i="12"/>
  <c r="BQ14" i="12"/>
  <c r="BR14" i="12"/>
  <c r="X14" i="12"/>
  <c r="BN14" i="12"/>
  <c r="E103" i="21"/>
  <c r="E126" i="21"/>
  <c r="E124" i="21"/>
  <c r="E110" i="21"/>
  <c r="E111" i="21"/>
  <c r="E112" i="21"/>
  <c r="E104" i="21"/>
  <c r="E125" i="21"/>
  <c r="E105" i="21"/>
  <c r="E132" i="21"/>
  <c r="E133" i="21"/>
  <c r="E118" i="21"/>
  <c r="E119" i="21"/>
  <c r="E117" i="21"/>
  <c r="E131" i="21"/>
  <c r="F100" i="21"/>
  <c r="E166" i="21"/>
  <c r="E157" i="21"/>
  <c r="E172" i="21"/>
  <c r="E144" i="21"/>
  <c r="E165" i="21"/>
  <c r="E145" i="21"/>
  <c r="E164" i="21"/>
  <c r="E159" i="21"/>
  <c r="E158" i="21"/>
  <c r="E143" i="21"/>
  <c r="E152" i="21"/>
  <c r="E151" i="21"/>
  <c r="E173" i="21"/>
  <c r="E150" i="21"/>
  <c r="E171" i="21"/>
  <c r="F139" i="21"/>
  <c r="F140" i="21" s="1"/>
  <c r="G137" i="21"/>
  <c r="G99" i="21"/>
  <c r="H2" i="21"/>
  <c r="AG14" i="12"/>
  <c r="AE14" i="12"/>
  <c r="AH14" i="12"/>
  <c r="AF14" i="12"/>
  <c r="AC14" i="12"/>
  <c r="BA14" i="12"/>
  <c r="BB13" i="12"/>
  <c r="V17" i="5"/>
  <c r="BE14" i="12" l="1"/>
  <c r="AZ14" i="12"/>
  <c r="BD14" i="12"/>
  <c r="BF14" i="12"/>
  <c r="EO21" i="21"/>
  <c r="EN120" i="21"/>
  <c r="EN161" i="21"/>
  <c r="EN135" i="21"/>
  <c r="EN114" i="21"/>
  <c r="EN107" i="21"/>
  <c r="EN128" i="21"/>
  <c r="EN127" i="21"/>
  <c r="EN168" i="21"/>
  <c r="EN154" i="21"/>
  <c r="EN153" i="21"/>
  <c r="EN146" i="21"/>
  <c r="EN174" i="21"/>
  <c r="EN134" i="21"/>
  <c r="EN147" i="21"/>
  <c r="EN121" i="21"/>
  <c r="EN167" i="21"/>
  <c r="EN106" i="21"/>
  <c r="EN160" i="21"/>
  <c r="EN175" i="21"/>
  <c r="EN113" i="21"/>
  <c r="EN25" i="21"/>
  <c r="EN24" i="21"/>
  <c r="EW1" i="21"/>
  <c r="EV23" i="21"/>
  <c r="AT120" i="5"/>
  <c r="AT121" i="12"/>
  <c r="AA14" i="12"/>
  <c r="BP14" i="12"/>
  <c r="F131" i="21"/>
  <c r="F118" i="21"/>
  <c r="F105" i="21"/>
  <c r="F119" i="21"/>
  <c r="F126" i="21"/>
  <c r="F112" i="21"/>
  <c r="F132" i="21"/>
  <c r="F125" i="21"/>
  <c r="F111" i="21"/>
  <c r="F133" i="21"/>
  <c r="F110" i="21"/>
  <c r="F103" i="21"/>
  <c r="F104" i="21"/>
  <c r="F124" i="21"/>
  <c r="F117" i="21"/>
  <c r="G100" i="21"/>
  <c r="G139" i="21"/>
  <c r="G140" i="21" s="1"/>
  <c r="H137" i="21"/>
  <c r="H99" i="21"/>
  <c r="I2" i="21"/>
  <c r="F152" i="21"/>
  <c r="F144" i="21"/>
  <c r="F150" i="21"/>
  <c r="F145" i="21"/>
  <c r="F171" i="21"/>
  <c r="F151" i="21"/>
  <c r="F143" i="21"/>
  <c r="F166" i="21"/>
  <c r="F172" i="21"/>
  <c r="F157" i="21"/>
  <c r="F165" i="21"/>
  <c r="F173" i="21"/>
  <c r="F158" i="21"/>
  <c r="F164" i="21"/>
  <c r="F159" i="21"/>
  <c r="BC14" i="12"/>
  <c r="V18" i="5"/>
  <c r="EP21" i="21" l="1"/>
  <c r="EO153" i="21"/>
  <c r="EO175" i="21"/>
  <c r="EO154" i="21"/>
  <c r="EO147" i="21"/>
  <c r="EO160" i="21"/>
  <c r="EO167" i="21"/>
  <c r="EO146" i="21"/>
  <c r="EO114" i="21"/>
  <c r="EO127" i="21"/>
  <c r="EO120" i="21"/>
  <c r="EO168" i="21"/>
  <c r="EO113" i="21"/>
  <c r="EO121" i="21"/>
  <c r="EO135" i="21"/>
  <c r="EO128" i="21"/>
  <c r="EO134" i="21"/>
  <c r="EO174" i="21"/>
  <c r="EO106" i="21"/>
  <c r="EO161" i="21"/>
  <c r="EO107" i="21"/>
  <c r="EO25" i="21"/>
  <c r="EO24" i="21"/>
  <c r="EX1" i="21"/>
  <c r="EW23" i="21"/>
  <c r="AT119" i="5"/>
  <c r="AT120" i="12"/>
  <c r="W15" i="12"/>
  <c r="AD15" i="12"/>
  <c r="AB15" i="12"/>
  <c r="I137" i="21"/>
  <c r="H139" i="21"/>
  <c r="H140" i="21" s="1"/>
  <c r="J2" i="21"/>
  <c r="I99" i="21"/>
  <c r="G145" i="21"/>
  <c r="G151" i="21"/>
  <c r="G144" i="21"/>
  <c r="G143" i="21"/>
  <c r="G172" i="21"/>
  <c r="G157" i="21"/>
  <c r="G173" i="21"/>
  <c r="G159" i="21"/>
  <c r="G171" i="21"/>
  <c r="G158" i="21"/>
  <c r="G165" i="21"/>
  <c r="G166" i="21"/>
  <c r="G150" i="21"/>
  <c r="G164" i="21"/>
  <c r="G152" i="21"/>
  <c r="H100" i="21"/>
  <c r="G112" i="21"/>
  <c r="G133" i="21"/>
  <c r="G131" i="21"/>
  <c r="G118" i="21"/>
  <c r="G111" i="21"/>
  <c r="G110" i="21"/>
  <c r="G105" i="21"/>
  <c r="G126" i="21"/>
  <c r="G132" i="21"/>
  <c r="G117" i="21"/>
  <c r="G125" i="21"/>
  <c r="G104" i="21"/>
  <c r="G103" i="21"/>
  <c r="G119" i="21"/>
  <c r="G124" i="21"/>
  <c r="AE15" i="12"/>
  <c r="AH15" i="12"/>
  <c r="AG15" i="12"/>
  <c r="AF15" i="12"/>
  <c r="AC15" i="12"/>
  <c r="BH13" i="12"/>
  <c r="BB14" i="12"/>
  <c r="V19" i="5"/>
  <c r="BD15" i="12" l="1"/>
  <c r="AZ15" i="12"/>
  <c r="BE15" i="12"/>
  <c r="BF15" i="12"/>
  <c r="BA15" i="12"/>
  <c r="EQ21" i="21"/>
  <c r="EP106" i="21"/>
  <c r="EP135" i="21"/>
  <c r="EP147" i="21"/>
  <c r="EP175" i="21"/>
  <c r="EP114" i="21"/>
  <c r="EP167" i="21"/>
  <c r="EP161" i="21"/>
  <c r="EP120" i="21"/>
  <c r="EP174" i="21"/>
  <c r="EP128" i="21"/>
  <c r="EP160" i="21"/>
  <c r="EP113" i="21"/>
  <c r="EP127" i="21"/>
  <c r="EP146" i="21"/>
  <c r="EP153" i="21"/>
  <c r="EP154" i="21"/>
  <c r="EP134" i="21"/>
  <c r="EP121" i="21"/>
  <c r="EP107" i="21"/>
  <c r="EP168" i="21"/>
  <c r="EP25" i="21"/>
  <c r="EP24" i="21"/>
  <c r="EY1" i="21"/>
  <c r="EX23" i="21"/>
  <c r="BO15" i="12"/>
  <c r="AT119" i="12"/>
  <c r="AT118" i="5"/>
  <c r="BR15" i="12"/>
  <c r="Z15" i="12"/>
  <c r="Y15" i="12"/>
  <c r="BM15" i="12"/>
  <c r="BQ15" i="12"/>
  <c r="BN15" i="12"/>
  <c r="X15" i="12"/>
  <c r="BL15" i="12"/>
  <c r="I100" i="21"/>
  <c r="H144" i="21"/>
  <c r="H173" i="21"/>
  <c r="H157" i="21"/>
  <c r="H150" i="21"/>
  <c r="H165" i="21"/>
  <c r="H166" i="21"/>
  <c r="H145" i="21"/>
  <c r="H158" i="21"/>
  <c r="H164" i="21"/>
  <c r="H152" i="21"/>
  <c r="H151" i="21"/>
  <c r="H172" i="21"/>
  <c r="H143" i="21"/>
  <c r="H171" i="21"/>
  <c r="H159" i="21"/>
  <c r="J137" i="21"/>
  <c r="I139" i="21"/>
  <c r="I140" i="21" s="1"/>
  <c r="J99" i="21"/>
  <c r="K2" i="21"/>
  <c r="H104" i="21"/>
  <c r="H103" i="21"/>
  <c r="H132" i="21"/>
  <c r="H125" i="21"/>
  <c r="H112" i="21"/>
  <c r="H126" i="21"/>
  <c r="H105" i="21"/>
  <c r="H133" i="21"/>
  <c r="H131" i="21"/>
  <c r="H118" i="21"/>
  <c r="H111" i="21"/>
  <c r="H124" i="21"/>
  <c r="H110" i="21"/>
  <c r="H119" i="21"/>
  <c r="H117" i="21"/>
  <c r="V20" i="5"/>
  <c r="ER21" i="21" l="1"/>
  <c r="EQ147" i="21"/>
  <c r="EQ114" i="21"/>
  <c r="EQ113" i="21"/>
  <c r="EQ134" i="21"/>
  <c r="EQ161" i="21"/>
  <c r="EQ175" i="21"/>
  <c r="EQ135" i="21"/>
  <c r="EQ107" i="21"/>
  <c r="EQ153" i="21"/>
  <c r="EQ168" i="21"/>
  <c r="EQ106" i="21"/>
  <c r="EQ127" i="21"/>
  <c r="EQ120" i="21"/>
  <c r="EQ128" i="21"/>
  <c r="EQ146" i="21"/>
  <c r="EQ154" i="21"/>
  <c r="EQ167" i="21"/>
  <c r="EQ174" i="21"/>
  <c r="EQ121" i="21"/>
  <c r="EQ160" i="21"/>
  <c r="EQ24" i="21"/>
  <c r="EQ25" i="21"/>
  <c r="EY23" i="21"/>
  <c r="EZ1" i="21"/>
  <c r="BP15" i="12"/>
  <c r="AT117" i="5"/>
  <c r="AT118" i="12"/>
  <c r="AA15" i="12"/>
  <c r="BC15" i="12"/>
  <c r="J100" i="21"/>
  <c r="I159" i="21"/>
  <c r="I144" i="21"/>
  <c r="I151" i="21"/>
  <c r="I166" i="21"/>
  <c r="I152" i="21"/>
  <c r="I165" i="21"/>
  <c r="I157" i="21"/>
  <c r="I143" i="21"/>
  <c r="I145" i="21"/>
  <c r="I150" i="21"/>
  <c r="I164" i="21"/>
  <c r="I173" i="21"/>
  <c r="I172" i="21"/>
  <c r="I158" i="21"/>
  <c r="I171" i="21"/>
  <c r="K99" i="21"/>
  <c r="L2" i="21"/>
  <c r="K137" i="21"/>
  <c r="J139" i="21"/>
  <c r="J140" i="21" s="1"/>
  <c r="I132" i="21"/>
  <c r="I133" i="21"/>
  <c r="I105" i="21"/>
  <c r="I111" i="21"/>
  <c r="I118" i="21"/>
  <c r="I131" i="21"/>
  <c r="I126" i="21"/>
  <c r="I125" i="21"/>
  <c r="I103" i="21"/>
  <c r="I110" i="21"/>
  <c r="I104" i="21"/>
  <c r="I124" i="21"/>
  <c r="I119" i="21"/>
  <c r="I112" i="21"/>
  <c r="I117" i="21"/>
  <c r="BH14" i="12"/>
  <c r="BB15" i="12"/>
  <c r="V21" i="5"/>
  <c r="FA1" i="21" l="1"/>
  <c r="EZ23" i="21"/>
  <c r="ES21" i="21"/>
  <c r="ER106" i="21"/>
  <c r="ER174" i="21"/>
  <c r="ER127" i="21"/>
  <c r="ER154" i="21"/>
  <c r="ER120" i="21"/>
  <c r="ER161" i="21"/>
  <c r="ER121" i="21"/>
  <c r="ER134" i="21"/>
  <c r="ER107" i="21"/>
  <c r="ER135" i="21"/>
  <c r="ER114" i="21"/>
  <c r="ER153" i="21"/>
  <c r="ER146" i="21"/>
  <c r="ER113" i="21"/>
  <c r="ER168" i="21"/>
  <c r="ER128" i="21"/>
  <c r="ER167" i="21"/>
  <c r="ER160" i="21"/>
  <c r="ER175" i="21"/>
  <c r="ER147" i="21"/>
  <c r="ER24" i="21"/>
  <c r="ER25" i="21"/>
  <c r="AF16" i="12"/>
  <c r="AT117" i="12"/>
  <c r="AT116" i="5"/>
  <c r="AC16" i="12"/>
  <c r="AE16" i="12"/>
  <c r="AB16" i="12"/>
  <c r="AD16" i="12"/>
  <c r="AG16" i="12"/>
  <c r="W16" i="12"/>
  <c r="AH16" i="12"/>
  <c r="K139" i="21"/>
  <c r="K140" i="21" s="1"/>
  <c r="L137" i="21"/>
  <c r="L99" i="21"/>
  <c r="M2" i="21"/>
  <c r="K100" i="21"/>
  <c r="J132" i="21"/>
  <c r="J125" i="21"/>
  <c r="J133" i="21"/>
  <c r="J126" i="21"/>
  <c r="J124" i="21"/>
  <c r="J119" i="21"/>
  <c r="J131" i="21"/>
  <c r="J103" i="21"/>
  <c r="J118" i="21"/>
  <c r="J105" i="21"/>
  <c r="J111" i="21"/>
  <c r="J117" i="21"/>
  <c r="J110" i="21"/>
  <c r="J104" i="21"/>
  <c r="J112" i="21"/>
  <c r="J164" i="21"/>
  <c r="J173" i="21"/>
  <c r="J152" i="21"/>
  <c r="J166" i="21"/>
  <c r="J171" i="21"/>
  <c r="J150" i="21"/>
  <c r="J151" i="21"/>
  <c r="J145" i="21"/>
  <c r="J157" i="21"/>
  <c r="J144" i="21"/>
  <c r="J159" i="21"/>
  <c r="J143" i="21"/>
  <c r="J158" i="21"/>
  <c r="J165" i="21"/>
  <c r="J172" i="21"/>
  <c r="V22" i="5"/>
  <c r="BF16" i="12" l="1"/>
  <c r="BN16" i="12"/>
  <c r="BE16" i="12"/>
  <c r="BA16" i="12"/>
  <c r="AZ16" i="12"/>
  <c r="BD16" i="12"/>
  <c r="FB1" i="21"/>
  <c r="FA23" i="21"/>
  <c r="ET21" i="21"/>
  <c r="ES174" i="21"/>
  <c r="ES135" i="21"/>
  <c r="ES107" i="21"/>
  <c r="ES160" i="21"/>
  <c r="ES114" i="21"/>
  <c r="ES167" i="21"/>
  <c r="ES134" i="21"/>
  <c r="ES127" i="21"/>
  <c r="ES146" i="21"/>
  <c r="ES147" i="21"/>
  <c r="ES175" i="21"/>
  <c r="ES154" i="21"/>
  <c r="ES113" i="21"/>
  <c r="ES121" i="21"/>
  <c r="ES168" i="21"/>
  <c r="ES161" i="21"/>
  <c r="ES120" i="21"/>
  <c r="ES153" i="21"/>
  <c r="ES128" i="21"/>
  <c r="ES106" i="21"/>
  <c r="ES24" i="21"/>
  <c r="ES25" i="21"/>
  <c r="BM16" i="12"/>
  <c r="BR16" i="12"/>
  <c r="AT116" i="12"/>
  <c r="AT115" i="5"/>
  <c r="Z16" i="12"/>
  <c r="Y16" i="12"/>
  <c r="BQ16" i="12"/>
  <c r="BO16" i="12"/>
  <c r="X16" i="12"/>
  <c r="BL16" i="12"/>
  <c r="K110" i="21"/>
  <c r="K104" i="21"/>
  <c r="K117" i="21"/>
  <c r="K103" i="21"/>
  <c r="K131" i="21"/>
  <c r="K125" i="21"/>
  <c r="K132" i="21"/>
  <c r="K124" i="21"/>
  <c r="K119" i="21"/>
  <c r="K111" i="21"/>
  <c r="K105" i="21"/>
  <c r="K112" i="21"/>
  <c r="K126" i="21"/>
  <c r="K133" i="21"/>
  <c r="K118" i="21"/>
  <c r="M99" i="21"/>
  <c r="N2" i="21"/>
  <c r="L100" i="21"/>
  <c r="L139" i="21"/>
  <c r="L140" i="21" s="1"/>
  <c r="M137" i="21"/>
  <c r="K158" i="21"/>
  <c r="K151" i="21"/>
  <c r="K165" i="21"/>
  <c r="K152" i="21"/>
  <c r="K164" i="21"/>
  <c r="K173" i="21"/>
  <c r="K159" i="21"/>
  <c r="K166" i="21"/>
  <c r="K144" i="21"/>
  <c r="K145" i="21"/>
  <c r="K143" i="21"/>
  <c r="K172" i="21"/>
  <c r="K171" i="21"/>
  <c r="K157" i="21"/>
  <c r="K150" i="21"/>
  <c r="BH15" i="12"/>
  <c r="BB16" i="12"/>
  <c r="V23" i="5"/>
  <c r="BC16" i="12" l="1"/>
  <c r="BP16" i="12"/>
  <c r="EU21" i="21"/>
  <c r="ET113" i="21"/>
  <c r="ET120" i="21"/>
  <c r="ET153" i="21"/>
  <c r="ET167" i="21"/>
  <c r="ET161" i="21"/>
  <c r="ET121" i="21"/>
  <c r="ET160" i="21"/>
  <c r="ET154" i="21"/>
  <c r="ET147" i="21"/>
  <c r="ET128" i="21"/>
  <c r="ET127" i="21"/>
  <c r="ET106" i="21"/>
  <c r="ET174" i="21"/>
  <c r="ET175" i="21"/>
  <c r="ET114" i="21"/>
  <c r="ET135" i="21"/>
  <c r="ET146" i="21"/>
  <c r="ET168" i="21"/>
  <c r="ET107" i="21"/>
  <c r="ET134" i="21"/>
  <c r="ET24" i="21"/>
  <c r="ET25" i="21"/>
  <c r="FC1" i="21"/>
  <c r="FB23" i="21"/>
  <c r="AT115" i="12"/>
  <c r="AT114" i="5"/>
  <c r="AA16" i="12"/>
  <c r="M100" i="21"/>
  <c r="M139" i="21"/>
  <c r="M140" i="21" s="1"/>
  <c r="N137" i="21"/>
  <c r="L125" i="21"/>
  <c r="L124" i="21"/>
  <c r="L126" i="21"/>
  <c r="L112" i="21"/>
  <c r="L132" i="21"/>
  <c r="L104" i="21"/>
  <c r="L103" i="21"/>
  <c r="L110" i="21"/>
  <c r="L117" i="21"/>
  <c r="L111" i="21"/>
  <c r="L131" i="21"/>
  <c r="L133" i="21"/>
  <c r="L118" i="21"/>
  <c r="L119" i="21"/>
  <c r="L105" i="21"/>
  <c r="O2" i="21"/>
  <c r="N99" i="21"/>
  <c r="L151" i="21"/>
  <c r="L158" i="21"/>
  <c r="L145" i="21"/>
  <c r="L152" i="21"/>
  <c r="L157" i="21"/>
  <c r="L144" i="21"/>
  <c r="L150" i="21"/>
  <c r="L173" i="21"/>
  <c r="L165" i="21"/>
  <c r="L171" i="21"/>
  <c r="L164" i="21"/>
  <c r="L172" i="21"/>
  <c r="L159" i="21"/>
  <c r="L143" i="21"/>
  <c r="L166" i="21"/>
  <c r="V24" i="5"/>
  <c r="FD1" i="21" l="1"/>
  <c r="FC23" i="21"/>
  <c r="EV21" i="21"/>
  <c r="EU121" i="21"/>
  <c r="EU175" i="21"/>
  <c r="EU147" i="21"/>
  <c r="EU135" i="21"/>
  <c r="EU161" i="21"/>
  <c r="EU106" i="21"/>
  <c r="EU153" i="21"/>
  <c r="EU120" i="21"/>
  <c r="EU154" i="21"/>
  <c r="EU174" i="21"/>
  <c r="EU167" i="21"/>
  <c r="EU113" i="21"/>
  <c r="EU114" i="21"/>
  <c r="EU168" i="21"/>
  <c r="EU127" i="21"/>
  <c r="EU146" i="21"/>
  <c r="EU160" i="21"/>
  <c r="EU107" i="21"/>
  <c r="EU134" i="21"/>
  <c r="EU128" i="21"/>
  <c r="EU25" i="21"/>
  <c r="EU24" i="21"/>
  <c r="AC17" i="12"/>
  <c r="AT114" i="12"/>
  <c r="AT113" i="5"/>
  <c r="AF17" i="12"/>
  <c r="AG17" i="12"/>
  <c r="AD17" i="12"/>
  <c r="W17" i="12"/>
  <c r="AH17" i="12"/>
  <c r="AE17" i="12"/>
  <c r="AB17" i="12"/>
  <c r="M159" i="21"/>
  <c r="M164" i="21"/>
  <c r="M143" i="21"/>
  <c r="M166" i="21"/>
  <c r="M152" i="21"/>
  <c r="M173" i="21"/>
  <c r="M144" i="21"/>
  <c r="M151" i="21"/>
  <c r="M172" i="21"/>
  <c r="M150" i="21"/>
  <c r="M171" i="21"/>
  <c r="M157" i="21"/>
  <c r="M145" i="21"/>
  <c r="M158" i="21"/>
  <c r="M165" i="21"/>
  <c r="N139" i="21"/>
  <c r="N140" i="21" s="1"/>
  <c r="O137" i="21"/>
  <c r="N100" i="21"/>
  <c r="P2" i="21"/>
  <c r="O99" i="21"/>
  <c r="M103" i="21"/>
  <c r="M104" i="21"/>
  <c r="M119" i="21"/>
  <c r="M105" i="21"/>
  <c r="M133" i="21"/>
  <c r="M126" i="21"/>
  <c r="M110" i="21"/>
  <c r="M131" i="21"/>
  <c r="M125" i="21"/>
  <c r="M117" i="21"/>
  <c r="M111" i="21"/>
  <c r="M112" i="21"/>
  <c r="M118" i="21"/>
  <c r="M124" i="21"/>
  <c r="M132" i="21"/>
  <c r="BH16" i="12"/>
  <c r="V25" i="5"/>
  <c r="BB17" i="12" l="1"/>
  <c r="BF17" i="12"/>
  <c r="BL17" i="12"/>
  <c r="BA17" i="12"/>
  <c r="BE17" i="12"/>
  <c r="BD17" i="12"/>
  <c r="AZ17" i="12"/>
  <c r="Y17" i="12"/>
  <c r="EW21" i="21"/>
  <c r="EV128" i="21"/>
  <c r="EV167" i="21"/>
  <c r="EV147" i="21"/>
  <c r="EV168" i="21"/>
  <c r="EV153" i="21"/>
  <c r="EV134" i="21"/>
  <c r="EV120" i="21"/>
  <c r="EV161" i="21"/>
  <c r="EV175" i="21"/>
  <c r="EV113" i="21"/>
  <c r="EV114" i="21"/>
  <c r="EV121" i="21"/>
  <c r="EV160" i="21"/>
  <c r="EV107" i="21"/>
  <c r="EV135" i="21"/>
  <c r="EV174" i="21"/>
  <c r="EV127" i="21"/>
  <c r="EV106" i="21"/>
  <c r="EV154" i="21"/>
  <c r="EV146" i="21"/>
  <c r="EV24" i="21"/>
  <c r="EV25" i="21"/>
  <c r="FE1" i="21"/>
  <c r="FD23" i="21"/>
  <c r="X17" i="12"/>
  <c r="BR17" i="12"/>
  <c r="BO17" i="12"/>
  <c r="AT113" i="12"/>
  <c r="AT112" i="5"/>
  <c r="Z17" i="12"/>
  <c r="BQ17" i="12"/>
  <c r="BN17" i="12"/>
  <c r="BM17" i="12"/>
  <c r="N126" i="21"/>
  <c r="N125" i="21"/>
  <c r="N117" i="21"/>
  <c r="N119" i="21"/>
  <c r="N110" i="21"/>
  <c r="N118" i="21"/>
  <c r="N112" i="21"/>
  <c r="N133" i="21"/>
  <c r="N132" i="21"/>
  <c r="N124" i="21"/>
  <c r="N131" i="21"/>
  <c r="N111" i="21"/>
  <c r="O139" i="21"/>
  <c r="O140" i="21" s="1"/>
  <c r="P137" i="21"/>
  <c r="N164" i="21"/>
  <c r="N166" i="21"/>
  <c r="N158" i="21"/>
  <c r="N157" i="21"/>
  <c r="N173" i="21"/>
  <c r="N159" i="21"/>
  <c r="N152" i="21"/>
  <c r="N172" i="21"/>
  <c r="N151" i="21"/>
  <c r="N171" i="21"/>
  <c r="N150" i="21"/>
  <c r="N165" i="21"/>
  <c r="O100" i="21"/>
  <c r="P99" i="21"/>
  <c r="Q2" i="21"/>
  <c r="V26" i="5"/>
  <c r="BC17" i="12" l="1"/>
  <c r="FF1" i="21"/>
  <c r="FE23" i="21"/>
  <c r="EX21" i="21"/>
  <c r="EW128" i="21"/>
  <c r="EW120" i="21"/>
  <c r="EW161" i="21"/>
  <c r="EW154" i="21"/>
  <c r="EW114" i="21"/>
  <c r="EW121" i="21"/>
  <c r="EW134" i="21"/>
  <c r="EW127" i="21"/>
  <c r="EW147" i="21"/>
  <c r="EW107" i="21"/>
  <c r="EW113" i="21"/>
  <c r="EW167" i="21"/>
  <c r="EW160" i="21"/>
  <c r="EW174" i="21"/>
  <c r="EW168" i="21"/>
  <c r="EW153" i="21"/>
  <c r="EW175" i="21"/>
  <c r="EW146" i="21"/>
  <c r="EW106" i="21"/>
  <c r="EW135" i="21"/>
  <c r="EW24" i="21"/>
  <c r="EW25" i="21"/>
  <c r="AA17" i="12"/>
  <c r="AT112" i="12"/>
  <c r="AT111" i="5"/>
  <c r="BP17" i="12"/>
  <c r="O124" i="21"/>
  <c r="O117" i="21"/>
  <c r="O126" i="21"/>
  <c r="O119" i="21"/>
  <c r="O133" i="21"/>
  <c r="O112" i="21"/>
  <c r="O118" i="21"/>
  <c r="O132" i="21"/>
  <c r="O111" i="21"/>
  <c r="O131" i="21"/>
  <c r="O110" i="21"/>
  <c r="O125" i="21"/>
  <c r="P100" i="21"/>
  <c r="Q137" i="21"/>
  <c r="P139" i="21"/>
  <c r="P140" i="21" s="1"/>
  <c r="R2" i="21"/>
  <c r="Q99" i="21"/>
  <c r="O171" i="21"/>
  <c r="O173" i="21"/>
  <c r="O165" i="21"/>
  <c r="O172" i="21"/>
  <c r="O166" i="21"/>
  <c r="O159" i="21"/>
  <c r="O164" i="21"/>
  <c r="O150" i="21"/>
  <c r="O157" i="21"/>
  <c r="O151" i="21"/>
  <c r="O158" i="21"/>
  <c r="O152" i="21"/>
  <c r="BB13" i="5"/>
  <c r="V27" i="5"/>
  <c r="AE18" i="12" l="1"/>
  <c r="AH18" i="12"/>
  <c r="AC18" i="12"/>
  <c r="AF18" i="12"/>
  <c r="BH17" i="12"/>
  <c r="EY21" i="21"/>
  <c r="EX134" i="21"/>
  <c r="EX167" i="21"/>
  <c r="EX114" i="21"/>
  <c r="EX106" i="21"/>
  <c r="EX168" i="21"/>
  <c r="EX160" i="21"/>
  <c r="EX128" i="21"/>
  <c r="EX161" i="21"/>
  <c r="EX107" i="21"/>
  <c r="EX153" i="21"/>
  <c r="EX127" i="21"/>
  <c r="EX120" i="21"/>
  <c r="EX174" i="21"/>
  <c r="EX135" i="21"/>
  <c r="EX113" i="21"/>
  <c r="EX175" i="21"/>
  <c r="EX146" i="21"/>
  <c r="EX121" i="21"/>
  <c r="EX147" i="21"/>
  <c r="EX154" i="21"/>
  <c r="EX24" i="21"/>
  <c r="EX25" i="21"/>
  <c r="FG1" i="21"/>
  <c r="FF23" i="21"/>
  <c r="AB18" i="12"/>
  <c r="AG18" i="12"/>
  <c r="AD18" i="12"/>
  <c r="W18" i="12"/>
  <c r="AT111" i="12"/>
  <c r="AT110" i="5"/>
  <c r="P133" i="21"/>
  <c r="P124" i="21"/>
  <c r="P131" i="21"/>
  <c r="P118" i="21"/>
  <c r="P126" i="21"/>
  <c r="P110" i="21"/>
  <c r="P111" i="21"/>
  <c r="P119" i="21"/>
  <c r="P132" i="21"/>
  <c r="P125" i="21"/>
  <c r="P112" i="21"/>
  <c r="P117" i="21"/>
  <c r="P171" i="21"/>
  <c r="P165" i="21"/>
  <c r="P173" i="21"/>
  <c r="P164" i="21"/>
  <c r="P172" i="21"/>
  <c r="P151" i="21"/>
  <c r="P159" i="21"/>
  <c r="P150" i="21"/>
  <c r="P157" i="21"/>
  <c r="P166" i="21"/>
  <c r="P158" i="21"/>
  <c r="P152" i="21"/>
  <c r="Q100" i="21"/>
  <c r="S2" i="21"/>
  <c r="R99" i="21"/>
  <c r="R137" i="21"/>
  <c r="Q139" i="21"/>
  <c r="Q140" i="21" s="1"/>
  <c r="V28" i="5"/>
  <c r="X18" i="12" l="1"/>
  <c r="BA18" i="12"/>
  <c r="BE18" i="12"/>
  <c r="BD18" i="12"/>
  <c r="AZ18" i="12"/>
  <c r="BF18" i="12"/>
  <c r="BQ18" i="12"/>
  <c r="BB18" i="12"/>
  <c r="FH1" i="21"/>
  <c r="FG23" i="21"/>
  <c r="EZ21" i="21"/>
  <c r="EY161" i="21"/>
  <c r="EY127" i="21"/>
  <c r="EY153" i="21"/>
  <c r="EY135" i="21"/>
  <c r="EY107" i="21"/>
  <c r="EY114" i="21"/>
  <c r="EY128" i="21"/>
  <c r="EY175" i="21"/>
  <c r="EY160" i="21"/>
  <c r="EY154" i="21"/>
  <c r="EY106" i="21"/>
  <c r="EY146" i="21"/>
  <c r="EY134" i="21"/>
  <c r="EY174" i="21"/>
  <c r="EY113" i="21"/>
  <c r="EY147" i="21"/>
  <c r="EY167" i="21"/>
  <c r="EY168" i="21"/>
  <c r="EY120" i="21"/>
  <c r="EY121" i="21"/>
  <c r="EY24" i="21"/>
  <c r="EY25" i="21"/>
  <c r="BR18" i="12"/>
  <c r="Z18" i="12"/>
  <c r="BM18" i="12"/>
  <c r="Y18" i="12"/>
  <c r="BO18" i="12"/>
  <c r="BN18" i="12"/>
  <c r="BL18" i="12"/>
  <c r="AT110" i="12"/>
  <c r="AT109" i="5"/>
  <c r="Q158" i="21"/>
  <c r="Q159" i="21"/>
  <c r="Q150" i="21"/>
  <c r="Q152" i="21"/>
  <c r="Q151" i="21"/>
  <c r="Q172" i="21"/>
  <c r="Q166" i="21"/>
  <c r="Q171" i="21"/>
  <c r="Q164" i="21"/>
  <c r="Q165" i="21"/>
  <c r="Q157" i="21"/>
  <c r="Q173" i="21"/>
  <c r="R100" i="21"/>
  <c r="S99" i="21"/>
  <c r="T2" i="21"/>
  <c r="R139" i="21"/>
  <c r="R140" i="21" s="1"/>
  <c r="S137" i="21"/>
  <c r="Q131" i="21"/>
  <c r="Q126" i="21"/>
  <c r="Q110" i="21"/>
  <c r="Q124" i="21"/>
  <c r="Q117" i="21"/>
  <c r="Q112" i="21"/>
  <c r="Q119" i="21"/>
  <c r="Q125" i="21"/>
  <c r="Q132" i="21"/>
  <c r="Q118" i="21"/>
  <c r="Q111" i="21"/>
  <c r="Q133" i="21"/>
  <c r="V29" i="5"/>
  <c r="BC18" i="12" l="1"/>
  <c r="AA18" i="12"/>
  <c r="FA21" i="21"/>
  <c r="EZ146" i="21"/>
  <c r="EZ167" i="21"/>
  <c r="EZ128" i="21"/>
  <c r="EZ175" i="21"/>
  <c r="EZ168" i="21"/>
  <c r="EZ107" i="21"/>
  <c r="EZ106" i="21"/>
  <c r="EZ121" i="21"/>
  <c r="EZ114" i="21"/>
  <c r="EZ160" i="21"/>
  <c r="EZ113" i="21"/>
  <c r="EZ154" i="21"/>
  <c r="EZ153" i="21"/>
  <c r="EZ147" i="21"/>
  <c r="EZ127" i="21"/>
  <c r="EZ120" i="21"/>
  <c r="EZ135" i="21"/>
  <c r="EZ174" i="21"/>
  <c r="EZ161" i="21"/>
  <c r="EZ134" i="21"/>
  <c r="EZ25" i="21"/>
  <c r="EZ24" i="21"/>
  <c r="FI1" i="21"/>
  <c r="FH23" i="21"/>
  <c r="BP18" i="12"/>
  <c r="AT109" i="12"/>
  <c r="AT108" i="5"/>
  <c r="R172" i="21"/>
  <c r="R171" i="21"/>
  <c r="R173" i="21"/>
  <c r="R150" i="21"/>
  <c r="R151" i="21"/>
  <c r="R158" i="21"/>
  <c r="R164" i="21"/>
  <c r="R152" i="21"/>
  <c r="R159" i="21"/>
  <c r="R165" i="21"/>
  <c r="R157" i="21"/>
  <c r="R166" i="21"/>
  <c r="S100" i="21"/>
  <c r="R126" i="21"/>
  <c r="R124" i="21"/>
  <c r="R117" i="21"/>
  <c r="R118" i="21"/>
  <c r="R110" i="21"/>
  <c r="R132" i="21"/>
  <c r="R111" i="21"/>
  <c r="R119" i="21"/>
  <c r="R125" i="21"/>
  <c r="R131" i="21"/>
  <c r="R112" i="21"/>
  <c r="R133" i="21"/>
  <c r="T137" i="21"/>
  <c r="S139" i="21"/>
  <c r="S140" i="21" s="1"/>
  <c r="T99" i="21"/>
  <c r="U2" i="21"/>
  <c r="V30" i="5"/>
  <c r="AD19" i="12" l="1"/>
  <c r="AG19" i="12"/>
  <c r="AB19" i="12"/>
  <c r="BH18" i="12"/>
  <c r="AF19" i="12"/>
  <c r="W19" i="12"/>
  <c r="AH19" i="12"/>
  <c r="AC19" i="12"/>
  <c r="AE19" i="12"/>
  <c r="FJ1" i="21"/>
  <c r="FI23" i="21"/>
  <c r="FB21" i="21"/>
  <c r="FA121" i="21"/>
  <c r="FA167" i="21"/>
  <c r="FA147" i="21"/>
  <c r="FA128" i="21"/>
  <c r="FA106" i="21"/>
  <c r="FA113" i="21"/>
  <c r="FA168" i="21"/>
  <c r="FA174" i="21"/>
  <c r="FA146" i="21"/>
  <c r="FA161" i="21"/>
  <c r="FA120" i="21"/>
  <c r="FA114" i="21"/>
  <c r="FA127" i="21"/>
  <c r="FA107" i="21"/>
  <c r="FA153" i="21"/>
  <c r="FA134" i="21"/>
  <c r="FA175" i="21"/>
  <c r="FA160" i="21"/>
  <c r="FA135" i="21"/>
  <c r="FA154" i="21"/>
  <c r="FA24" i="21"/>
  <c r="FA25" i="21"/>
  <c r="AT108" i="12"/>
  <c r="AT107" i="5"/>
  <c r="S132" i="21"/>
  <c r="S131" i="21"/>
  <c r="S111" i="21"/>
  <c r="S119" i="21"/>
  <c r="S118" i="21"/>
  <c r="S124" i="21"/>
  <c r="S112" i="21"/>
  <c r="S125" i="21"/>
  <c r="S117" i="21"/>
  <c r="S133" i="21"/>
  <c r="S110" i="21"/>
  <c r="S126" i="21"/>
  <c r="V2" i="21"/>
  <c r="U99" i="21"/>
  <c r="T100" i="21"/>
  <c r="S152" i="21"/>
  <c r="S171" i="21"/>
  <c r="S172" i="21"/>
  <c r="S158" i="21"/>
  <c r="S173" i="21"/>
  <c r="S157" i="21"/>
  <c r="S159" i="21"/>
  <c r="S164" i="21"/>
  <c r="S151" i="21"/>
  <c r="S166" i="21"/>
  <c r="S150" i="21"/>
  <c r="S165" i="21"/>
  <c r="T139" i="21"/>
  <c r="T140" i="21" s="1"/>
  <c r="U137" i="21"/>
  <c r="V31" i="5"/>
  <c r="BB19" i="12" l="1"/>
  <c r="BD19" i="12"/>
  <c r="AZ19" i="12"/>
  <c r="BF19" i="12"/>
  <c r="BL19" i="12"/>
  <c r="BE19" i="12"/>
  <c r="X19" i="12"/>
  <c r="BA19" i="12"/>
  <c r="BO19" i="12"/>
  <c r="BR19" i="12"/>
  <c r="Z19" i="12"/>
  <c r="BN19" i="12"/>
  <c r="BP19" i="12" s="1"/>
  <c r="BM19" i="12"/>
  <c r="Y19" i="12"/>
  <c r="BQ19" i="12"/>
  <c r="FC21" i="21"/>
  <c r="FB153" i="21"/>
  <c r="FB134" i="21"/>
  <c r="FB121" i="21"/>
  <c r="FB127" i="21"/>
  <c r="FB135" i="21"/>
  <c r="FB113" i="21"/>
  <c r="FB168" i="21"/>
  <c r="FB154" i="21"/>
  <c r="FB175" i="21"/>
  <c r="FB160" i="21"/>
  <c r="FB120" i="21"/>
  <c r="FB114" i="21"/>
  <c r="FB128" i="21"/>
  <c r="FB147" i="21"/>
  <c r="FB161" i="21"/>
  <c r="FB107" i="21"/>
  <c r="FB106" i="21"/>
  <c r="FB167" i="21"/>
  <c r="FB146" i="21"/>
  <c r="FB174" i="21"/>
  <c r="FB25" i="21"/>
  <c r="FB24" i="21"/>
  <c r="FK1" i="21"/>
  <c r="FJ23" i="21"/>
  <c r="AT107" i="12"/>
  <c r="AT106" i="5"/>
  <c r="V99" i="21"/>
  <c r="W2" i="21"/>
  <c r="U139" i="21"/>
  <c r="U140" i="21" s="1"/>
  <c r="V137" i="21"/>
  <c r="T151" i="21"/>
  <c r="T150" i="21"/>
  <c r="T159" i="21"/>
  <c r="T152" i="21"/>
  <c r="T173" i="21"/>
  <c r="T158" i="21"/>
  <c r="T166" i="21"/>
  <c r="T171" i="21"/>
  <c r="T157" i="21"/>
  <c r="T164" i="21"/>
  <c r="T172" i="21"/>
  <c r="T165" i="21"/>
  <c r="T111" i="21"/>
  <c r="T118" i="21"/>
  <c r="T125" i="21"/>
  <c r="T119" i="21"/>
  <c r="T112" i="21"/>
  <c r="T133" i="21"/>
  <c r="T110" i="21"/>
  <c r="T132" i="21"/>
  <c r="T131" i="21"/>
  <c r="T117" i="21"/>
  <c r="T124" i="21"/>
  <c r="T126" i="21"/>
  <c r="U100" i="21"/>
  <c r="V32" i="5"/>
  <c r="AA19" i="12" l="1"/>
  <c r="BC19" i="12"/>
  <c r="FL1" i="21"/>
  <c r="FK23" i="21"/>
  <c r="FD21" i="21"/>
  <c r="FC120" i="21"/>
  <c r="FC147" i="21"/>
  <c r="FC135" i="21"/>
  <c r="FC113" i="21"/>
  <c r="FC107" i="21"/>
  <c r="FC153" i="21"/>
  <c r="FC161" i="21"/>
  <c r="FC146" i="21"/>
  <c r="FC168" i="21"/>
  <c r="FC175" i="21"/>
  <c r="FC167" i="21"/>
  <c r="FC160" i="21"/>
  <c r="FC127" i="21"/>
  <c r="FC134" i="21"/>
  <c r="FC121" i="21"/>
  <c r="FC128" i="21"/>
  <c r="FC174" i="21"/>
  <c r="FC154" i="21"/>
  <c r="FC114" i="21"/>
  <c r="FC106" i="21"/>
  <c r="FC25" i="21"/>
  <c r="FC24" i="21"/>
  <c r="AE20" i="12"/>
  <c r="AH20" i="12"/>
  <c r="AB20" i="12"/>
  <c r="W20" i="12"/>
  <c r="AD20" i="12"/>
  <c r="AC20" i="12"/>
  <c r="AG20" i="12"/>
  <c r="BH19" i="12"/>
  <c r="AT106" i="12"/>
  <c r="AT105" i="5"/>
  <c r="U133" i="21"/>
  <c r="U111" i="21"/>
  <c r="U112" i="21"/>
  <c r="U110" i="21"/>
  <c r="U124" i="21"/>
  <c r="U117" i="21"/>
  <c r="U119" i="21"/>
  <c r="U125" i="21"/>
  <c r="U131" i="21"/>
  <c r="U118" i="21"/>
  <c r="U132" i="21"/>
  <c r="U126" i="21"/>
  <c r="W99" i="21"/>
  <c r="X2" i="21"/>
  <c r="V139" i="21"/>
  <c r="V140" i="21" s="1"/>
  <c r="W137" i="21"/>
  <c r="V100" i="21"/>
  <c r="U166" i="21"/>
  <c r="U171" i="21"/>
  <c r="U151" i="21"/>
  <c r="U165" i="21"/>
  <c r="U173" i="21"/>
  <c r="U159" i="21"/>
  <c r="U152" i="21"/>
  <c r="U164" i="21"/>
  <c r="U172" i="21"/>
  <c r="U157" i="21"/>
  <c r="U150" i="21"/>
  <c r="U158" i="21"/>
  <c r="V33" i="5"/>
  <c r="BE20" i="12" l="1"/>
  <c r="AZ20" i="12"/>
  <c r="BA20" i="12"/>
  <c r="BM20" i="12"/>
  <c r="BF20" i="12"/>
  <c r="BB20" i="12"/>
  <c r="AF20" i="12"/>
  <c r="FE21" i="21"/>
  <c r="FD167" i="21"/>
  <c r="FD174" i="21"/>
  <c r="FD160" i="21"/>
  <c r="FD161" i="21"/>
  <c r="FD114" i="21"/>
  <c r="FD153" i="21"/>
  <c r="FD134" i="21"/>
  <c r="FD121" i="21"/>
  <c r="FD168" i="21"/>
  <c r="FD135" i="21"/>
  <c r="FD127" i="21"/>
  <c r="FD113" i="21"/>
  <c r="FD120" i="21"/>
  <c r="FD154" i="21"/>
  <c r="FD107" i="21"/>
  <c r="FD175" i="21"/>
  <c r="FD128" i="21"/>
  <c r="FD146" i="21"/>
  <c r="FD147" i="21"/>
  <c r="FD106" i="21"/>
  <c r="FD25" i="21"/>
  <c r="FD24" i="21"/>
  <c r="FM1" i="21"/>
  <c r="FL23" i="21"/>
  <c r="BO20" i="12"/>
  <c r="BR20" i="12"/>
  <c r="BL20" i="12"/>
  <c r="Z20" i="12"/>
  <c r="BN20" i="12"/>
  <c r="BQ20" i="12"/>
  <c r="X20" i="12"/>
  <c r="Y20" i="12"/>
  <c r="AT105" i="12"/>
  <c r="AT104" i="5"/>
  <c r="V133" i="21"/>
  <c r="V118" i="21"/>
  <c r="V119" i="21"/>
  <c r="V110" i="21"/>
  <c r="V117" i="21"/>
  <c r="V112" i="21"/>
  <c r="V126" i="21"/>
  <c r="V124" i="21"/>
  <c r="V131" i="21"/>
  <c r="V132" i="21"/>
  <c r="V125" i="21"/>
  <c r="V111" i="21"/>
  <c r="W139" i="21"/>
  <c r="W140" i="21" s="1"/>
  <c r="X137" i="21"/>
  <c r="Y2" i="21"/>
  <c r="X99" i="21"/>
  <c r="V172" i="21"/>
  <c r="V150" i="21"/>
  <c r="V173" i="21"/>
  <c r="V151" i="21"/>
  <c r="V158" i="21"/>
  <c r="V157" i="21"/>
  <c r="V152" i="21"/>
  <c r="V171" i="21"/>
  <c r="V164" i="21"/>
  <c r="V166" i="21"/>
  <c r="V165" i="21"/>
  <c r="V159" i="21"/>
  <c r="W100" i="21"/>
  <c r="V34" i="5"/>
  <c r="BC20" i="12" l="1"/>
  <c r="BD20" i="12"/>
  <c r="FN1" i="21"/>
  <c r="FM23" i="21"/>
  <c r="FF21" i="21"/>
  <c r="FE146" i="21"/>
  <c r="FE120" i="21"/>
  <c r="FE128" i="21"/>
  <c r="FE135" i="21"/>
  <c r="FE168" i="21"/>
  <c r="FE114" i="21"/>
  <c r="FE134" i="21"/>
  <c r="FE154" i="21"/>
  <c r="FE153" i="21"/>
  <c r="FE107" i="21"/>
  <c r="FE174" i="21"/>
  <c r="FE127" i="21"/>
  <c r="FE167" i="21"/>
  <c r="FE175" i="21"/>
  <c r="FE113" i="21"/>
  <c r="FE160" i="21"/>
  <c r="FE161" i="21"/>
  <c r="FE106" i="21"/>
  <c r="FE121" i="21"/>
  <c r="FE147" i="21"/>
  <c r="FE24" i="21"/>
  <c r="FE25" i="21"/>
  <c r="BP20" i="12"/>
  <c r="AA20" i="12"/>
  <c r="AT104" i="12"/>
  <c r="AT103" i="5"/>
  <c r="W133" i="21"/>
  <c r="W131" i="21"/>
  <c r="W126" i="21"/>
  <c r="W112" i="21"/>
  <c r="W118" i="21"/>
  <c r="W117" i="21"/>
  <c r="W132" i="21"/>
  <c r="W124" i="21"/>
  <c r="W111" i="21"/>
  <c r="W125" i="21"/>
  <c r="W110" i="21"/>
  <c r="W119" i="21"/>
  <c r="X100" i="21"/>
  <c r="Y137" i="21"/>
  <c r="X139" i="21"/>
  <c r="X140" i="21" s="1"/>
  <c r="W157" i="21"/>
  <c r="W152" i="21"/>
  <c r="W172" i="21"/>
  <c r="W151" i="21"/>
  <c r="W165" i="21"/>
  <c r="W173" i="21"/>
  <c r="W150" i="21"/>
  <c r="W164" i="21"/>
  <c r="W171" i="21"/>
  <c r="W166" i="21"/>
  <c r="W158" i="21"/>
  <c r="W159" i="21"/>
  <c r="Y99" i="21"/>
  <c r="Z2" i="21"/>
  <c r="V35" i="5"/>
  <c r="AH21" i="12" l="1"/>
  <c r="W21" i="12"/>
  <c r="AB21" i="12"/>
  <c r="AF21" i="12"/>
  <c r="FG21" i="21"/>
  <c r="FF106" i="21"/>
  <c r="FF175" i="21"/>
  <c r="FF127" i="21"/>
  <c r="FF153" i="21"/>
  <c r="FF114" i="21"/>
  <c r="FF113" i="21"/>
  <c r="FF146" i="21"/>
  <c r="FF107" i="21"/>
  <c r="FF134" i="21"/>
  <c r="FF174" i="21"/>
  <c r="FF135" i="21"/>
  <c r="FF167" i="21"/>
  <c r="FF168" i="21"/>
  <c r="FF154" i="21"/>
  <c r="FF128" i="21"/>
  <c r="FF161" i="21"/>
  <c r="FF121" i="21"/>
  <c r="FF120" i="21"/>
  <c r="FF160" i="21"/>
  <c r="FF147" i="21"/>
  <c r="FF25" i="21"/>
  <c r="FF24" i="21"/>
  <c r="FO1" i="21"/>
  <c r="FN23" i="21"/>
  <c r="AD21" i="12"/>
  <c r="BH20" i="12"/>
  <c r="AC21" i="12"/>
  <c r="AG21" i="12"/>
  <c r="AE21" i="12"/>
  <c r="AT103" i="12"/>
  <c r="AT102" i="5"/>
  <c r="X131" i="21"/>
  <c r="X117" i="21"/>
  <c r="X132" i="21"/>
  <c r="X110" i="21"/>
  <c r="X133" i="21"/>
  <c r="X118" i="21"/>
  <c r="X125" i="21"/>
  <c r="X126" i="21"/>
  <c r="X124" i="21"/>
  <c r="X119" i="21"/>
  <c r="X111" i="21"/>
  <c r="X112" i="21"/>
  <c r="Z137" i="21"/>
  <c r="Y139" i="21"/>
  <c r="Y140" i="21" s="1"/>
  <c r="Y100" i="21"/>
  <c r="Z99" i="21"/>
  <c r="AA2" i="21"/>
  <c r="X150" i="21"/>
  <c r="X158" i="21"/>
  <c r="X152" i="21"/>
  <c r="X157" i="21"/>
  <c r="X173" i="21"/>
  <c r="X172" i="21"/>
  <c r="X159" i="21"/>
  <c r="X171" i="21"/>
  <c r="X165" i="21"/>
  <c r="X164" i="21"/>
  <c r="X166" i="21"/>
  <c r="X151" i="21"/>
  <c r="V36" i="5"/>
  <c r="BB21" i="12" l="1"/>
  <c r="AZ21" i="12"/>
  <c r="BE21" i="12"/>
  <c r="BA21" i="12"/>
  <c r="BD21" i="12"/>
  <c r="Y21" i="12"/>
  <c r="BQ21" i="12"/>
  <c r="BF21" i="12"/>
  <c r="BM21" i="12"/>
  <c r="BO21" i="12"/>
  <c r="BL21" i="12"/>
  <c r="X21" i="12"/>
  <c r="BN21" i="12"/>
  <c r="BR21" i="12"/>
  <c r="Z21" i="12"/>
  <c r="FP1" i="21"/>
  <c r="FO23" i="21"/>
  <c r="FH21" i="21"/>
  <c r="FG114" i="21"/>
  <c r="FG134" i="21"/>
  <c r="FG160" i="21"/>
  <c r="FG147" i="21"/>
  <c r="FG120" i="21"/>
  <c r="FG106" i="21"/>
  <c r="FG161" i="21"/>
  <c r="FG153" i="21"/>
  <c r="FG135" i="21"/>
  <c r="FG127" i="21"/>
  <c r="FG175" i="21"/>
  <c r="FG154" i="21"/>
  <c r="FG107" i="21"/>
  <c r="FG113" i="21"/>
  <c r="FG128" i="21"/>
  <c r="FG168" i="21"/>
  <c r="FG167" i="21"/>
  <c r="FG174" i="21"/>
  <c r="FG146" i="21"/>
  <c r="FG121" i="21"/>
  <c r="FG25" i="21"/>
  <c r="FG24" i="21"/>
  <c r="AT102" i="12"/>
  <c r="AT101" i="5"/>
  <c r="AA99" i="21"/>
  <c r="AB2" i="21"/>
  <c r="Z139" i="21"/>
  <c r="Z140" i="21" s="1"/>
  <c r="AA137" i="21"/>
  <c r="Z100" i="21"/>
  <c r="Y125" i="21"/>
  <c r="Y118" i="21"/>
  <c r="Y112" i="21"/>
  <c r="Y119" i="21"/>
  <c r="Y132" i="21"/>
  <c r="Y110" i="21"/>
  <c r="Y124" i="21"/>
  <c r="Y117" i="21"/>
  <c r="Y131" i="21"/>
  <c r="Y111" i="21"/>
  <c r="Y133" i="21"/>
  <c r="Y126" i="21"/>
  <c r="Y151" i="21"/>
  <c r="Y157" i="21"/>
  <c r="Y166" i="21"/>
  <c r="Y158" i="21"/>
  <c r="Y171" i="21"/>
  <c r="Y173" i="21"/>
  <c r="Y152" i="21"/>
  <c r="Y165" i="21"/>
  <c r="Y150" i="21"/>
  <c r="Y159" i="21"/>
  <c r="Y164" i="21"/>
  <c r="Y172" i="21"/>
  <c r="V37" i="5"/>
  <c r="BC21" i="12" l="1"/>
  <c r="BP21" i="12"/>
  <c r="AA21" i="12"/>
  <c r="FI21" i="21"/>
  <c r="FH107" i="21"/>
  <c r="FH128" i="21"/>
  <c r="FH161" i="21"/>
  <c r="FH106" i="21"/>
  <c r="FH146" i="21"/>
  <c r="FH153" i="21"/>
  <c r="FH160" i="21"/>
  <c r="FH121" i="21"/>
  <c r="FH135" i="21"/>
  <c r="FH147" i="21"/>
  <c r="FH120" i="21"/>
  <c r="FH134" i="21"/>
  <c r="FH113" i="21"/>
  <c r="FH174" i="21"/>
  <c r="FH114" i="21"/>
  <c r="FH175" i="21"/>
  <c r="FH154" i="21"/>
  <c r="FH127" i="21"/>
  <c r="FH167" i="21"/>
  <c r="FH168" i="21"/>
  <c r="FH25" i="21"/>
  <c r="FH24" i="21"/>
  <c r="FQ1" i="21"/>
  <c r="FP23" i="21"/>
  <c r="AT101" i="12"/>
  <c r="AT100" i="5"/>
  <c r="Z117" i="21"/>
  <c r="Z124" i="21"/>
  <c r="Z133" i="21"/>
  <c r="Z125" i="21"/>
  <c r="Z131" i="21"/>
  <c r="Z118" i="21"/>
  <c r="Z126" i="21"/>
  <c r="Z119" i="21"/>
  <c r="Z132" i="21"/>
  <c r="Z172" i="21"/>
  <c r="Z166" i="21"/>
  <c r="Z159" i="21"/>
  <c r="Z173" i="21"/>
  <c r="Z157" i="21"/>
  <c r="Z171" i="21"/>
  <c r="Z158" i="21"/>
  <c r="Z165" i="21"/>
  <c r="Z164" i="21"/>
  <c r="AB137" i="21"/>
  <c r="AA139" i="21"/>
  <c r="AA140" i="21" s="1"/>
  <c r="AB99" i="21"/>
  <c r="AC2" i="21"/>
  <c r="AA100" i="21"/>
  <c r="V38" i="5"/>
  <c r="BH21" i="12" l="1"/>
  <c r="AH22" i="12"/>
  <c r="AG22" i="12"/>
  <c r="AE22" i="12"/>
  <c r="AF22" i="12"/>
  <c r="AC22" i="12"/>
  <c r="W22" i="12"/>
  <c r="AB22" i="12"/>
  <c r="AD22" i="12"/>
  <c r="FR1" i="21"/>
  <c r="FQ23" i="21"/>
  <c r="FJ21" i="21"/>
  <c r="FI134" i="21"/>
  <c r="FI174" i="21"/>
  <c r="FI161" i="21"/>
  <c r="FI113" i="21"/>
  <c r="FI121" i="21"/>
  <c r="FI167" i="21"/>
  <c r="FI128" i="21"/>
  <c r="FI106" i="21"/>
  <c r="FI127" i="21"/>
  <c r="FI114" i="21"/>
  <c r="FI160" i="21"/>
  <c r="FI147" i="21"/>
  <c r="FI153" i="21"/>
  <c r="FI154" i="21"/>
  <c r="FI107" i="21"/>
  <c r="FI168" i="21"/>
  <c r="FI175" i="21"/>
  <c r="FI135" i="21"/>
  <c r="FI120" i="21"/>
  <c r="FI146" i="21"/>
  <c r="FI24" i="21"/>
  <c r="FI25" i="21"/>
  <c r="AT100" i="12"/>
  <c r="AT99" i="5"/>
  <c r="AA164" i="21"/>
  <c r="AA172" i="21"/>
  <c r="AA157" i="21"/>
  <c r="AA173" i="21"/>
  <c r="AA158" i="21"/>
  <c r="AA171" i="21"/>
  <c r="AA159" i="21"/>
  <c r="AA165" i="21"/>
  <c r="AA166" i="21"/>
  <c r="AC137" i="21"/>
  <c r="AB139" i="21"/>
  <c r="AB140" i="21" s="1"/>
  <c r="AC99" i="21"/>
  <c r="AD2" i="21"/>
  <c r="AB100" i="21"/>
  <c r="AA117" i="21"/>
  <c r="AA133" i="21"/>
  <c r="AA131" i="21"/>
  <c r="AA126" i="21"/>
  <c r="AA119" i="21"/>
  <c r="AA125" i="21"/>
  <c r="AA118" i="21"/>
  <c r="AA132" i="21"/>
  <c r="AA124" i="21"/>
  <c r="V39" i="5"/>
  <c r="BA22" i="12" l="1"/>
  <c r="BL22" i="12"/>
  <c r="AZ22" i="12"/>
  <c r="BD22" i="12"/>
  <c r="BB22" i="12"/>
  <c r="BE22" i="12"/>
  <c r="BF22" i="12"/>
  <c r="BM22" i="12"/>
  <c r="BO22" i="12"/>
  <c r="X22" i="12"/>
  <c r="Y22" i="12"/>
  <c r="BQ22" i="12"/>
  <c r="BR22" i="12"/>
  <c r="Z22" i="12"/>
  <c r="BN22" i="12"/>
  <c r="FK21" i="21"/>
  <c r="FJ174" i="21"/>
  <c r="FJ154" i="21"/>
  <c r="FJ161" i="21"/>
  <c r="FJ167" i="21"/>
  <c r="FJ121" i="21"/>
  <c r="FJ134" i="21"/>
  <c r="FJ113" i="21"/>
  <c r="FJ160" i="21"/>
  <c r="FJ107" i="21"/>
  <c r="FJ147" i="21"/>
  <c r="FJ168" i="21"/>
  <c r="FJ153" i="21"/>
  <c r="FJ146" i="21"/>
  <c r="FJ106" i="21"/>
  <c r="FJ127" i="21"/>
  <c r="FJ114" i="21"/>
  <c r="FJ128" i="21"/>
  <c r="FJ120" i="21"/>
  <c r="FJ175" i="21"/>
  <c r="FJ135" i="21"/>
  <c r="FJ24" i="21"/>
  <c r="FJ25" i="21"/>
  <c r="FS1" i="21"/>
  <c r="FR23" i="21"/>
  <c r="AT99" i="12"/>
  <c r="AT98" i="5"/>
  <c r="AB164" i="21"/>
  <c r="AB173" i="21"/>
  <c r="AB166" i="21"/>
  <c r="AB172" i="21"/>
  <c r="AB165" i="21"/>
  <c r="AB158" i="21"/>
  <c r="AB171" i="21"/>
  <c r="AB159" i="21"/>
  <c r="AB157" i="21"/>
  <c r="AC100" i="21"/>
  <c r="AD99" i="21"/>
  <c r="AE2" i="21"/>
  <c r="AC139" i="21"/>
  <c r="AC140" i="21" s="1"/>
  <c r="AD137" i="21"/>
  <c r="AB125" i="21"/>
  <c r="AB118" i="21"/>
  <c r="AB133" i="21"/>
  <c r="AB117" i="21"/>
  <c r="AB132" i="21"/>
  <c r="AB124" i="21"/>
  <c r="AB119" i="21"/>
  <c r="AB126" i="21"/>
  <c r="AB131" i="21"/>
  <c r="V40" i="5"/>
  <c r="AA22" i="12" l="1"/>
  <c r="BC22" i="12"/>
  <c r="BP22" i="12"/>
  <c r="FT1" i="21"/>
  <c r="FS23" i="21"/>
  <c r="FL21" i="21"/>
  <c r="FK154" i="21"/>
  <c r="FK147" i="21"/>
  <c r="FK160" i="21"/>
  <c r="FK120" i="21"/>
  <c r="FK113" i="21"/>
  <c r="FK135" i="21"/>
  <c r="FK127" i="21"/>
  <c r="FK161" i="21"/>
  <c r="FK175" i="21"/>
  <c r="FK114" i="21"/>
  <c r="FK134" i="21"/>
  <c r="FK168" i="21"/>
  <c r="FK174" i="21"/>
  <c r="FK128" i="21"/>
  <c r="FK107" i="21"/>
  <c r="FK106" i="21"/>
  <c r="FK121" i="21"/>
  <c r="FK146" i="21"/>
  <c r="FK167" i="21"/>
  <c r="FK153" i="21"/>
  <c r="FK24" i="21"/>
  <c r="FK25" i="21"/>
  <c r="AT98" i="12"/>
  <c r="AT97" i="5"/>
  <c r="AE99" i="21"/>
  <c r="AF2" i="21"/>
  <c r="AC165" i="21"/>
  <c r="AC158" i="21"/>
  <c r="AC157" i="21"/>
  <c r="AC159" i="21"/>
  <c r="AC172" i="21"/>
  <c r="AC171" i="21"/>
  <c r="AC173" i="21"/>
  <c r="AC166" i="21"/>
  <c r="AC164" i="21"/>
  <c r="AD139" i="21"/>
  <c r="AD140" i="21" s="1"/>
  <c r="AE137" i="21"/>
  <c r="AD100" i="21"/>
  <c r="AC132" i="21"/>
  <c r="AC124" i="21"/>
  <c r="AC119" i="21"/>
  <c r="AC133" i="21"/>
  <c r="AC118" i="21"/>
  <c r="AC125" i="21"/>
  <c r="AC131" i="21"/>
  <c r="AC126" i="21"/>
  <c r="AC117" i="21"/>
  <c r="V41" i="5"/>
  <c r="AH23" i="12" l="1"/>
  <c r="AD23" i="12"/>
  <c r="AG23" i="12"/>
  <c r="BH22" i="12"/>
  <c r="AE23" i="12"/>
  <c r="AB23" i="12"/>
  <c r="AC23" i="12"/>
  <c r="AF23" i="12"/>
  <c r="W23" i="12"/>
  <c r="FM21" i="21"/>
  <c r="FL160" i="21"/>
  <c r="FL174" i="21"/>
  <c r="FL147" i="21"/>
  <c r="FL121" i="21"/>
  <c r="FL168" i="21"/>
  <c r="FL127" i="21"/>
  <c r="FL153" i="21"/>
  <c r="FL114" i="21"/>
  <c r="FL107" i="21"/>
  <c r="FL161" i="21"/>
  <c r="FL134" i="21"/>
  <c r="FL113" i="21"/>
  <c r="FL106" i="21"/>
  <c r="FL146" i="21"/>
  <c r="FL167" i="21"/>
  <c r="FL135" i="21"/>
  <c r="FL128" i="21"/>
  <c r="FL175" i="21"/>
  <c r="FL120" i="21"/>
  <c r="FL154" i="21"/>
  <c r="FL25" i="21"/>
  <c r="FL24" i="21"/>
  <c r="FU1" i="21"/>
  <c r="FT23" i="21"/>
  <c r="AT97" i="12"/>
  <c r="AT96" i="5"/>
  <c r="AE139" i="21"/>
  <c r="AE140" i="21" s="1"/>
  <c r="AF137" i="21"/>
  <c r="AF99" i="21"/>
  <c r="AG2" i="21"/>
  <c r="AE100" i="21"/>
  <c r="AD166" i="21"/>
  <c r="AD165" i="21"/>
  <c r="AD171" i="21"/>
  <c r="AD164" i="21"/>
  <c r="AD158" i="21"/>
  <c r="AD172" i="21"/>
  <c r="AD159" i="21"/>
  <c r="AD173" i="21"/>
  <c r="AD157" i="21"/>
  <c r="AD125" i="21"/>
  <c r="AD124" i="21"/>
  <c r="AD132" i="21"/>
  <c r="AD126" i="21"/>
  <c r="AD117" i="21"/>
  <c r="AD131" i="21"/>
  <c r="AD119" i="21"/>
  <c r="AD133" i="21"/>
  <c r="AD118" i="21"/>
  <c r="V42" i="5"/>
  <c r="X23" i="12" l="1"/>
  <c r="BD23" i="12"/>
  <c r="AZ23" i="12"/>
  <c r="BB23" i="12"/>
  <c r="BE23" i="12"/>
  <c r="BA23" i="12"/>
  <c r="BL23" i="12"/>
  <c r="BF23" i="12"/>
  <c r="BQ23" i="12"/>
  <c r="Z23" i="12"/>
  <c r="Y23" i="12"/>
  <c r="BM23" i="12"/>
  <c r="BN23" i="12"/>
  <c r="BR23" i="12"/>
  <c r="BO23" i="12"/>
  <c r="FV1" i="21"/>
  <c r="FU23" i="21"/>
  <c r="FN21" i="21"/>
  <c r="FM154" i="21"/>
  <c r="FM120" i="21"/>
  <c r="FM160" i="21"/>
  <c r="FM107" i="21"/>
  <c r="FM106" i="21"/>
  <c r="FM146" i="21"/>
  <c r="FM134" i="21"/>
  <c r="FM153" i="21"/>
  <c r="FM175" i="21"/>
  <c r="FM174" i="21"/>
  <c r="FM128" i="21"/>
  <c r="FM135" i="21"/>
  <c r="FM168" i="21"/>
  <c r="FM121" i="21"/>
  <c r="FM113" i="21"/>
  <c r="FM161" i="21"/>
  <c r="FM147" i="21"/>
  <c r="FM114" i="21"/>
  <c r="FM127" i="21"/>
  <c r="FM167" i="21"/>
  <c r="FM25" i="21"/>
  <c r="FM24" i="21"/>
  <c r="AT96" i="12"/>
  <c r="AT95" i="5"/>
  <c r="AE118" i="21"/>
  <c r="AE126" i="21"/>
  <c r="AE125" i="21"/>
  <c r="AE124" i="21"/>
  <c r="AE133" i="21"/>
  <c r="AE117" i="21"/>
  <c r="AE131" i="21"/>
  <c r="AE119" i="21"/>
  <c r="AE132" i="21"/>
  <c r="AF100" i="21"/>
  <c r="AF139" i="21"/>
  <c r="AF140" i="21" s="1"/>
  <c r="AG137" i="21"/>
  <c r="AE157" i="21"/>
  <c r="AE173" i="21"/>
  <c r="AE159" i="21"/>
  <c r="AE171" i="21"/>
  <c r="AE158" i="21"/>
  <c r="AE172" i="21"/>
  <c r="AE165" i="21"/>
  <c r="AE164" i="21"/>
  <c r="AE166" i="21"/>
  <c r="AG99" i="21"/>
  <c r="AH2" i="21"/>
  <c r="V43" i="5"/>
  <c r="BP23" i="12" l="1"/>
  <c r="AA23" i="12"/>
  <c r="BH23" i="12" s="1"/>
  <c r="BC23" i="12"/>
  <c r="FO21" i="21"/>
  <c r="FN154" i="21"/>
  <c r="FN160" i="21"/>
  <c r="FN147" i="21"/>
  <c r="FN114" i="21"/>
  <c r="FN127" i="21"/>
  <c r="FN161" i="21"/>
  <c r="FN120" i="21"/>
  <c r="FN167" i="21"/>
  <c r="FN128" i="21"/>
  <c r="FN168" i="21"/>
  <c r="FN146" i="21"/>
  <c r="FN121" i="21"/>
  <c r="FN175" i="21"/>
  <c r="FN113" i="21"/>
  <c r="FN107" i="21"/>
  <c r="FN174" i="21"/>
  <c r="FN134" i="21"/>
  <c r="FN153" i="21"/>
  <c r="FN106" i="21"/>
  <c r="FN135" i="21"/>
  <c r="FN24" i="21"/>
  <c r="FN25" i="21"/>
  <c r="FW1" i="21"/>
  <c r="FV23" i="21"/>
  <c r="AT95" i="12"/>
  <c r="AT94" i="5"/>
  <c r="AD24" i="12"/>
  <c r="AB24" i="12"/>
  <c r="AF132" i="21"/>
  <c r="AF117" i="21"/>
  <c r="AF119" i="21"/>
  <c r="AF124" i="21"/>
  <c r="AF118" i="21"/>
  <c r="AF133" i="21"/>
  <c r="AF125" i="21"/>
  <c r="AF126" i="21"/>
  <c r="AF131" i="21"/>
  <c r="AH99" i="21"/>
  <c r="AI2" i="21"/>
  <c r="AG139" i="21"/>
  <c r="AG140" i="21" s="1"/>
  <c r="AH137" i="21"/>
  <c r="AG100" i="21"/>
  <c r="AF165" i="21"/>
  <c r="AF157" i="21"/>
  <c r="AF173" i="21"/>
  <c r="AF172" i="21"/>
  <c r="AF171" i="21"/>
  <c r="AF164" i="21"/>
  <c r="AF158" i="21"/>
  <c r="AF166" i="21"/>
  <c r="AF159" i="21"/>
  <c r="V44" i="5"/>
  <c r="AC24" i="12" l="1"/>
  <c r="AZ24" i="12" s="1"/>
  <c r="AE24" i="12"/>
  <c r="AG24" i="12"/>
  <c r="AH24" i="12"/>
  <c r="BF24" i="12" s="1"/>
  <c r="BB24" i="12"/>
  <c r="BE24" i="12"/>
  <c r="BA24" i="12"/>
  <c r="AF24" i="12"/>
  <c r="W24" i="12"/>
  <c r="BO24" i="12" s="1"/>
  <c r="FX1" i="21"/>
  <c r="FW23" i="21"/>
  <c r="FP21" i="21"/>
  <c r="FO167" i="21"/>
  <c r="FO161" i="21"/>
  <c r="FO146" i="21"/>
  <c r="FO175" i="21"/>
  <c r="FO134" i="21"/>
  <c r="FO147" i="21"/>
  <c r="FO127" i="21"/>
  <c r="FO106" i="21"/>
  <c r="FO128" i="21"/>
  <c r="FO135" i="21"/>
  <c r="FO174" i="21"/>
  <c r="FO168" i="21"/>
  <c r="FO120" i="21"/>
  <c r="FO107" i="21"/>
  <c r="FO153" i="21"/>
  <c r="FO160" i="21"/>
  <c r="FO121" i="21"/>
  <c r="FO154" i="21"/>
  <c r="FO113" i="21"/>
  <c r="FO114" i="21"/>
  <c r="FO25" i="21"/>
  <c r="FO24" i="21"/>
  <c r="AT94" i="12"/>
  <c r="AT93" i="5"/>
  <c r="AH100" i="21"/>
  <c r="AG132" i="21"/>
  <c r="AG119" i="21"/>
  <c r="AG117" i="21"/>
  <c r="AG133" i="21"/>
  <c r="AG124" i="21"/>
  <c r="AG125" i="21"/>
  <c r="AG126" i="21"/>
  <c r="AG131" i="21"/>
  <c r="AG118" i="21"/>
  <c r="AI137" i="21"/>
  <c r="AH139" i="21"/>
  <c r="AH140" i="21" s="1"/>
  <c r="AI99" i="21"/>
  <c r="AJ2" i="21"/>
  <c r="AG171" i="21"/>
  <c r="AG165" i="21"/>
  <c r="AG172" i="21"/>
  <c r="AG164" i="21"/>
  <c r="AG173" i="21"/>
  <c r="AG166" i="21"/>
  <c r="AG157" i="21"/>
  <c r="AG159" i="21"/>
  <c r="AG158" i="21"/>
  <c r="V45" i="5"/>
  <c r="Y24" i="12" l="1"/>
  <c r="X24" i="12"/>
  <c r="BC24" i="12" s="1"/>
  <c r="Z24" i="12"/>
  <c r="BM24" i="12"/>
  <c r="BN24" i="12"/>
  <c r="BP24" i="12" s="1"/>
  <c r="BR24" i="12"/>
  <c r="BL24" i="12"/>
  <c r="BD24" i="12"/>
  <c r="BQ24" i="12"/>
  <c r="FQ21" i="21"/>
  <c r="FP154" i="21"/>
  <c r="FP146" i="21"/>
  <c r="FP134" i="21"/>
  <c r="FP167" i="21"/>
  <c r="FP153" i="21"/>
  <c r="FP160" i="21"/>
  <c r="FP107" i="21"/>
  <c r="FP174" i="21"/>
  <c r="FP121" i="21"/>
  <c r="FP147" i="21"/>
  <c r="FP113" i="21"/>
  <c r="FP114" i="21"/>
  <c r="FP161" i="21"/>
  <c r="FP135" i="21"/>
  <c r="FP106" i="21"/>
  <c r="FP128" i="21"/>
  <c r="FP175" i="21"/>
  <c r="FP168" i="21"/>
  <c r="FP120" i="21"/>
  <c r="FP127" i="21"/>
  <c r="FP25" i="21"/>
  <c r="FP24" i="21"/>
  <c r="FX23" i="21"/>
  <c r="FY1" i="21"/>
  <c r="FY23" i="21" s="1"/>
  <c r="AT93" i="12"/>
  <c r="AT92" i="5"/>
  <c r="AA24" i="12"/>
  <c r="AJ99" i="21"/>
  <c r="AK2" i="21"/>
  <c r="AH132" i="21"/>
  <c r="AH119" i="21"/>
  <c r="AH117" i="21"/>
  <c r="AH133" i="21"/>
  <c r="AH118" i="21"/>
  <c r="AH131" i="21"/>
  <c r="AH124" i="21"/>
  <c r="AH125" i="21"/>
  <c r="AH126" i="21"/>
  <c r="AI100" i="21"/>
  <c r="AI139" i="21"/>
  <c r="AI140" i="21" s="1"/>
  <c r="AJ137" i="21"/>
  <c r="AH173" i="21"/>
  <c r="AH164" i="21"/>
  <c r="AH171" i="21"/>
  <c r="AH159" i="21"/>
  <c r="AH166" i="21"/>
  <c r="AH157" i="21"/>
  <c r="AH165" i="21"/>
  <c r="AH158" i="21"/>
  <c r="AH172" i="21"/>
  <c r="V46" i="5"/>
  <c r="AC25" i="12" l="1"/>
  <c r="FR21" i="21"/>
  <c r="FQ114" i="21"/>
  <c r="FQ160" i="21"/>
  <c r="FQ174" i="21"/>
  <c r="FQ121" i="21"/>
  <c r="FQ120" i="21"/>
  <c r="FQ128" i="21"/>
  <c r="FQ127" i="21"/>
  <c r="FQ154" i="21"/>
  <c r="FQ153" i="21"/>
  <c r="FQ147" i="21"/>
  <c r="FQ134" i="21"/>
  <c r="FQ106" i="21"/>
  <c r="FQ107" i="21"/>
  <c r="FQ175" i="21"/>
  <c r="FQ135" i="21"/>
  <c r="FQ161" i="21"/>
  <c r="FQ167" i="21"/>
  <c r="FQ113" i="21"/>
  <c r="FQ146" i="21"/>
  <c r="FQ168" i="21"/>
  <c r="FQ24" i="21"/>
  <c r="FQ25" i="21"/>
  <c r="AT92" i="12"/>
  <c r="AT91" i="5"/>
  <c r="AH25" i="12"/>
  <c r="BH24" i="12"/>
  <c r="AG25" i="12"/>
  <c r="AF25" i="12"/>
  <c r="AE25" i="12"/>
  <c r="W25" i="12"/>
  <c r="AB25" i="12"/>
  <c r="AD25" i="12"/>
  <c r="AJ100" i="21"/>
  <c r="AI158" i="21"/>
  <c r="AI157" i="21"/>
  <c r="AI159" i="21"/>
  <c r="AI171" i="21"/>
  <c r="AI172" i="21"/>
  <c r="AI166" i="21"/>
  <c r="AI173" i="21"/>
  <c r="AI165" i="21"/>
  <c r="AI164" i="21"/>
  <c r="AK99" i="21"/>
  <c r="AL2" i="21"/>
  <c r="AK137" i="21"/>
  <c r="AJ139" i="21"/>
  <c r="AJ140" i="21" s="1"/>
  <c r="AI131" i="21"/>
  <c r="AI132" i="21"/>
  <c r="AI133" i="21"/>
  <c r="AI118" i="21"/>
  <c r="AI126" i="21"/>
  <c r="AI124" i="21"/>
  <c r="AI117" i="21"/>
  <c r="AI119" i="21"/>
  <c r="AI125" i="21"/>
  <c r="V47" i="5"/>
  <c r="BA25" i="12" l="1"/>
  <c r="BR25" i="12"/>
  <c r="BB25" i="12"/>
  <c r="BD25" i="12"/>
  <c r="BE25" i="12"/>
  <c r="BF25" i="12"/>
  <c r="AZ25" i="12"/>
  <c r="FS21" i="21"/>
  <c r="FR160" i="21"/>
  <c r="FR168" i="21"/>
  <c r="FR106" i="21"/>
  <c r="FR128" i="21"/>
  <c r="FR174" i="21"/>
  <c r="FR114" i="21"/>
  <c r="FR147" i="21"/>
  <c r="FR121" i="21"/>
  <c r="FR153" i="21"/>
  <c r="FR154" i="21"/>
  <c r="FR175" i="21"/>
  <c r="FR127" i="21"/>
  <c r="FR134" i="21"/>
  <c r="FR161" i="21"/>
  <c r="FR113" i="21"/>
  <c r="FR107" i="21"/>
  <c r="FR120" i="21"/>
  <c r="FR146" i="21"/>
  <c r="FR135" i="21"/>
  <c r="FR167" i="21"/>
  <c r="FR24" i="21"/>
  <c r="FR25" i="21"/>
  <c r="AT91" i="12"/>
  <c r="AT90" i="5"/>
  <c r="Z25" i="12"/>
  <c r="BL25" i="12"/>
  <c r="Y25" i="12"/>
  <c r="BQ25" i="12"/>
  <c r="BM25" i="12"/>
  <c r="X25" i="12"/>
  <c r="BO25" i="12"/>
  <c r="BN25" i="12"/>
  <c r="AL99" i="21"/>
  <c r="AM2" i="21"/>
  <c r="AK100" i="21"/>
  <c r="AJ159" i="21"/>
  <c r="AJ166" i="21"/>
  <c r="AJ165" i="21"/>
  <c r="AJ164" i="21"/>
  <c r="AJ173" i="21"/>
  <c r="AJ171" i="21"/>
  <c r="AJ157" i="21"/>
  <c r="AJ172" i="21"/>
  <c r="AJ158" i="21"/>
  <c r="AJ119" i="21"/>
  <c r="AJ126" i="21"/>
  <c r="AJ131" i="21"/>
  <c r="AJ117" i="21"/>
  <c r="AJ124" i="21"/>
  <c r="AJ132" i="21"/>
  <c r="AJ133" i="21"/>
  <c r="AJ125" i="21"/>
  <c r="AJ118" i="21"/>
  <c r="AL137" i="21"/>
  <c r="AK139" i="21"/>
  <c r="AK140" i="21" s="1"/>
  <c r="V48" i="5"/>
  <c r="BC25" i="12" l="1"/>
  <c r="FT21" i="21"/>
  <c r="FS160" i="21"/>
  <c r="FS135" i="21"/>
  <c r="FS134" i="21"/>
  <c r="FS128" i="21"/>
  <c r="FS127" i="21"/>
  <c r="FS113" i="21"/>
  <c r="FS147" i="21"/>
  <c r="FS114" i="21"/>
  <c r="FS161" i="21"/>
  <c r="FS121" i="21"/>
  <c r="FS153" i="21"/>
  <c r="FS175" i="21"/>
  <c r="FS120" i="21"/>
  <c r="FS167" i="21"/>
  <c r="FS146" i="21"/>
  <c r="FS168" i="21"/>
  <c r="FS106" i="21"/>
  <c r="FS174" i="21"/>
  <c r="FS154" i="21"/>
  <c r="FS107" i="21"/>
  <c r="FS25" i="21"/>
  <c r="FS24" i="21"/>
  <c r="AT90" i="12"/>
  <c r="AT89" i="5"/>
  <c r="AA25" i="12"/>
  <c r="BP25" i="12"/>
  <c r="AK157" i="21"/>
  <c r="AK173" i="21"/>
  <c r="AK158" i="21"/>
  <c r="AK171" i="21"/>
  <c r="AK165" i="21"/>
  <c r="AK159" i="21"/>
  <c r="AK172" i="21"/>
  <c r="AK164" i="21"/>
  <c r="AK166" i="21"/>
  <c r="AL139" i="21"/>
  <c r="AL140" i="21" s="1"/>
  <c r="AM137" i="21"/>
  <c r="AM99" i="21"/>
  <c r="AN2" i="21"/>
  <c r="AK133" i="21"/>
  <c r="AK131" i="21"/>
  <c r="AK117" i="21"/>
  <c r="AK124" i="21"/>
  <c r="AK125" i="21"/>
  <c r="AK126" i="21"/>
  <c r="AK132" i="21"/>
  <c r="AK119" i="21"/>
  <c r="AK118" i="21"/>
  <c r="AL100" i="21"/>
  <c r="V49" i="5"/>
  <c r="AF26" i="12" l="1"/>
  <c r="FU21" i="21"/>
  <c r="FT147" i="21"/>
  <c r="FT168" i="21"/>
  <c r="FT127" i="21"/>
  <c r="FT161" i="21"/>
  <c r="FT121" i="21"/>
  <c r="FT106" i="21"/>
  <c r="FT153" i="21"/>
  <c r="FT114" i="21"/>
  <c r="FT175" i="21"/>
  <c r="FT174" i="21"/>
  <c r="FT107" i="21"/>
  <c r="FT113" i="21"/>
  <c r="FT154" i="21"/>
  <c r="FT167" i="21"/>
  <c r="FT128" i="21"/>
  <c r="FT160" i="21"/>
  <c r="FT120" i="21"/>
  <c r="FT135" i="21"/>
  <c r="FT146" i="21"/>
  <c r="FT134" i="21"/>
  <c r="FT24" i="21"/>
  <c r="FT25" i="21"/>
  <c r="AG26" i="12"/>
  <c r="W26" i="12"/>
  <c r="AB26" i="12"/>
  <c r="AD26" i="12"/>
  <c r="BH25" i="12"/>
  <c r="AC26" i="12"/>
  <c r="AE26" i="12"/>
  <c r="AH26" i="12"/>
  <c r="AT89" i="12"/>
  <c r="AT88" i="5"/>
  <c r="AL133" i="21"/>
  <c r="AL126" i="21"/>
  <c r="AL131" i="21"/>
  <c r="AL132" i="21"/>
  <c r="AL125" i="21"/>
  <c r="AL124" i="21"/>
  <c r="AN99" i="21"/>
  <c r="AO2" i="21"/>
  <c r="AN137" i="21"/>
  <c r="AM139" i="21"/>
  <c r="AM140" i="21" s="1"/>
  <c r="AM100" i="21"/>
  <c r="AL166" i="21"/>
  <c r="AL172" i="21"/>
  <c r="AL173" i="21"/>
  <c r="AL171" i="21"/>
  <c r="AL165" i="21"/>
  <c r="AL164" i="21"/>
  <c r="BF26" i="12" l="1"/>
  <c r="BB26" i="12"/>
  <c r="AZ26" i="12"/>
  <c r="BA26" i="12"/>
  <c r="BL26" i="12"/>
  <c r="BE26" i="12"/>
  <c r="BD26" i="12"/>
  <c r="Y26" i="12"/>
  <c r="BN26" i="12"/>
  <c r="FV21" i="21"/>
  <c r="FU113" i="21"/>
  <c r="FU174" i="21"/>
  <c r="FU161" i="21"/>
  <c r="FU114" i="21"/>
  <c r="FU128" i="21"/>
  <c r="FU127" i="21"/>
  <c r="FU167" i="21"/>
  <c r="FU175" i="21"/>
  <c r="FU153" i="21"/>
  <c r="FU120" i="21"/>
  <c r="FU134" i="21"/>
  <c r="FU147" i="21"/>
  <c r="FU168" i="21"/>
  <c r="FU154" i="21"/>
  <c r="FU135" i="21"/>
  <c r="FU160" i="21"/>
  <c r="FU106" i="21"/>
  <c r="FU146" i="21"/>
  <c r="FU121" i="21"/>
  <c r="FU107" i="21"/>
  <c r="FU25" i="21"/>
  <c r="FU24" i="21"/>
  <c r="BO26" i="12"/>
  <c r="BR26" i="12"/>
  <c r="BM26" i="12"/>
  <c r="Z26" i="12"/>
  <c r="BQ26" i="12"/>
  <c r="X26" i="12"/>
  <c r="AT88" i="12"/>
  <c r="AT87" i="5"/>
  <c r="AN100" i="21"/>
  <c r="AO137" i="21"/>
  <c r="AN139" i="21"/>
  <c r="AN140" i="21" s="1"/>
  <c r="AM124" i="21"/>
  <c r="AM132" i="21"/>
  <c r="AM125" i="21"/>
  <c r="AM133" i="21"/>
  <c r="AM126" i="21"/>
  <c r="AM131" i="21"/>
  <c r="AM165" i="21"/>
  <c r="AM166" i="21"/>
  <c r="AM164" i="21"/>
  <c r="AM172" i="21"/>
  <c r="AM173" i="21"/>
  <c r="AM171" i="21"/>
  <c r="AP2" i="21"/>
  <c r="AO99" i="21"/>
  <c r="V50" i="5"/>
  <c r="BC26" i="12" l="1"/>
  <c r="BP26" i="12"/>
  <c r="FW21" i="21"/>
  <c r="FV134" i="21"/>
  <c r="FV127" i="21"/>
  <c r="FV128" i="21"/>
  <c r="FV135" i="21"/>
  <c r="FV147" i="21"/>
  <c r="FV160" i="21"/>
  <c r="FV168" i="21"/>
  <c r="FV114" i="21"/>
  <c r="FV154" i="21"/>
  <c r="FV120" i="21"/>
  <c r="FV113" i="21"/>
  <c r="FV106" i="21"/>
  <c r="FV146" i="21"/>
  <c r="FV121" i="21"/>
  <c r="FV107" i="21"/>
  <c r="FV161" i="21"/>
  <c r="FV153" i="21"/>
  <c r="FV167" i="21"/>
  <c r="FV174" i="21"/>
  <c r="FV175" i="21"/>
  <c r="FV24" i="21"/>
  <c r="FV25" i="21"/>
  <c r="AA26" i="12"/>
  <c r="AT87" i="12"/>
  <c r="AT86" i="5"/>
  <c r="AO139" i="21"/>
  <c r="AO140" i="21" s="1"/>
  <c r="AP137" i="21"/>
  <c r="AO100" i="21"/>
  <c r="AN173" i="21"/>
  <c r="AN171" i="21"/>
  <c r="AN166" i="21"/>
  <c r="AN164" i="21"/>
  <c r="AN165" i="21"/>
  <c r="AN172" i="21"/>
  <c r="AQ2" i="21"/>
  <c r="AP99" i="21"/>
  <c r="AN124" i="21"/>
  <c r="AN132" i="21"/>
  <c r="AN126" i="21"/>
  <c r="AN133" i="21"/>
  <c r="AN125" i="21"/>
  <c r="AN131" i="21"/>
  <c r="V51" i="5"/>
  <c r="W27" i="12" l="1"/>
  <c r="BO27" i="12" s="1"/>
  <c r="AG27" i="12"/>
  <c r="AC27" i="12"/>
  <c r="AE27" i="12"/>
  <c r="FX21" i="21"/>
  <c r="FW106" i="21"/>
  <c r="FW167" i="21"/>
  <c r="FW127" i="21"/>
  <c r="FW135" i="21"/>
  <c r="FW146" i="21"/>
  <c r="FW175" i="21"/>
  <c r="FW120" i="21"/>
  <c r="FW114" i="21"/>
  <c r="FW154" i="21"/>
  <c r="FW161" i="21"/>
  <c r="FW134" i="21"/>
  <c r="FW121" i="21"/>
  <c r="FW147" i="21"/>
  <c r="FW128" i="21"/>
  <c r="FW113" i="21"/>
  <c r="FW168" i="21"/>
  <c r="FW107" i="21"/>
  <c r="FW153" i="21"/>
  <c r="FW160" i="21"/>
  <c r="FW174" i="21"/>
  <c r="FW25" i="21"/>
  <c r="FW24" i="21"/>
  <c r="AB27" i="12"/>
  <c r="AH27" i="12"/>
  <c r="AD27" i="12"/>
  <c r="AF27" i="12"/>
  <c r="BH26" i="12"/>
  <c r="AT86" i="12"/>
  <c r="AT85" i="5"/>
  <c r="BM27" i="12"/>
  <c r="BR27" i="12"/>
  <c r="BL27" i="12"/>
  <c r="Z27" i="12"/>
  <c r="Y27" i="12"/>
  <c r="BQ27" i="12"/>
  <c r="AR2" i="21"/>
  <c r="AQ99" i="21"/>
  <c r="AQ137" i="21"/>
  <c r="AP139" i="21"/>
  <c r="AP140" i="21" s="1"/>
  <c r="AO171" i="21"/>
  <c r="AO165" i="21"/>
  <c r="AO173" i="21"/>
  <c r="AO164" i="21"/>
  <c r="AO172" i="21"/>
  <c r="AO166" i="21"/>
  <c r="AO124" i="21"/>
  <c r="AO125" i="21"/>
  <c r="AO131" i="21"/>
  <c r="AO133" i="21"/>
  <c r="AO126" i="21"/>
  <c r="AO132" i="21"/>
  <c r="AP100" i="21"/>
  <c r="V52" i="5"/>
  <c r="BN27" i="12" l="1"/>
  <c r="BP27" i="12" s="1"/>
  <c r="BD27" i="12"/>
  <c r="BA27" i="12"/>
  <c r="BF27" i="12"/>
  <c r="BB27" i="12"/>
  <c r="AZ27" i="12"/>
  <c r="BE27" i="12"/>
  <c r="X27" i="12"/>
  <c r="AA27" i="12" s="1"/>
  <c r="FY21" i="21"/>
  <c r="FX161" i="21"/>
  <c r="FX160" i="21"/>
  <c r="FX121" i="21"/>
  <c r="FX107" i="21"/>
  <c r="FX113" i="21"/>
  <c r="FX128" i="21"/>
  <c r="FX135" i="21"/>
  <c r="FX114" i="21"/>
  <c r="FX106" i="21"/>
  <c r="FX127" i="21"/>
  <c r="FX167" i="21"/>
  <c r="FX174" i="21"/>
  <c r="FX168" i="21"/>
  <c r="FX146" i="21"/>
  <c r="FX153" i="21"/>
  <c r="FX154" i="21"/>
  <c r="FX120" i="21"/>
  <c r="FX147" i="21"/>
  <c r="FX175" i="21"/>
  <c r="FX134" i="21"/>
  <c r="FX24" i="21"/>
  <c r="FX25" i="21"/>
  <c r="AT85" i="12"/>
  <c r="AT84" i="5"/>
  <c r="AR137" i="21"/>
  <c r="AQ139" i="21"/>
  <c r="AQ140" i="21" s="1"/>
  <c r="AP171" i="21"/>
  <c r="AP173" i="21"/>
  <c r="AP166" i="21"/>
  <c r="AP172" i="21"/>
  <c r="AP164" i="21"/>
  <c r="AP165" i="21"/>
  <c r="AP133" i="21"/>
  <c r="AP126" i="21"/>
  <c r="AP125" i="21"/>
  <c r="AP132" i="21"/>
  <c r="AP131" i="21"/>
  <c r="AP124" i="21"/>
  <c r="AQ100" i="21"/>
  <c r="AS2" i="21"/>
  <c r="AR99" i="21"/>
  <c r="V53" i="5"/>
  <c r="AE28" i="12" l="1"/>
  <c r="BC27" i="12"/>
  <c r="AH28" i="12"/>
  <c r="FY174" i="21"/>
  <c r="FY120" i="21"/>
  <c r="FY160" i="21"/>
  <c r="FY175" i="21"/>
  <c r="FY127" i="21"/>
  <c r="FY121" i="21"/>
  <c r="FY106" i="21"/>
  <c r="FY167" i="21"/>
  <c r="FY128" i="21"/>
  <c r="FY134" i="21"/>
  <c r="FY153" i="21"/>
  <c r="FY107" i="21"/>
  <c r="FY168" i="21"/>
  <c r="FY114" i="21"/>
  <c r="FY161" i="21"/>
  <c r="FY146" i="21"/>
  <c r="FY147" i="21"/>
  <c r="FY113" i="21"/>
  <c r="FY135" i="21"/>
  <c r="FY154" i="21"/>
  <c r="FY25" i="21"/>
  <c r="FY24" i="21"/>
  <c r="AF28" i="12"/>
  <c r="AG28" i="12"/>
  <c r="W28" i="12"/>
  <c r="BH27" i="12"/>
  <c r="AT84" i="12"/>
  <c r="AT83" i="5"/>
  <c r="AC28" i="12"/>
  <c r="AD28" i="12"/>
  <c r="AB28" i="12"/>
  <c r="AQ172" i="21"/>
  <c r="AQ173" i="21"/>
  <c r="AQ166" i="21"/>
  <c r="AQ171" i="21"/>
  <c r="AQ164" i="21"/>
  <c r="AQ165" i="21"/>
  <c r="AQ133" i="21"/>
  <c r="AQ124" i="21"/>
  <c r="AQ131" i="21"/>
  <c r="AQ132" i="21"/>
  <c r="AQ126" i="21"/>
  <c r="AQ125" i="21"/>
  <c r="AR100" i="21"/>
  <c r="AS137" i="21"/>
  <c r="AR139" i="21"/>
  <c r="AR140" i="21" s="1"/>
  <c r="AS99" i="21"/>
  <c r="AT2" i="21"/>
  <c r="V54" i="5"/>
  <c r="AZ28" i="12" l="1"/>
  <c r="BA28" i="12"/>
  <c r="X28" i="12"/>
  <c r="BE28" i="12"/>
  <c r="BF28" i="12"/>
  <c r="BD28" i="12"/>
  <c r="BB28" i="12"/>
  <c r="BR28" i="12"/>
  <c r="BO28" i="12"/>
  <c r="Y28" i="12"/>
  <c r="BL28" i="12"/>
  <c r="Z28" i="12"/>
  <c r="BN28" i="12"/>
  <c r="BM28" i="12"/>
  <c r="BQ28" i="12"/>
  <c r="AT83" i="12"/>
  <c r="AT82" i="5"/>
  <c r="AS100" i="21"/>
  <c r="AS139" i="21"/>
  <c r="AS140" i="21" s="1"/>
  <c r="AT137" i="21"/>
  <c r="AR124" i="21"/>
  <c r="AR125" i="21"/>
  <c r="AR126" i="21"/>
  <c r="AR131" i="21"/>
  <c r="AR133" i="21"/>
  <c r="AR132" i="21"/>
  <c r="AR164" i="21"/>
  <c r="AR173" i="21"/>
  <c r="AR171" i="21"/>
  <c r="AR172" i="21"/>
  <c r="AR166" i="21"/>
  <c r="AR165" i="21"/>
  <c r="AT99" i="21"/>
  <c r="AU2" i="21"/>
  <c r="V55" i="5"/>
  <c r="BC28" i="12" l="1"/>
  <c r="BP28" i="12"/>
  <c r="AA28" i="12"/>
  <c r="AT82" i="12"/>
  <c r="AT81" i="5"/>
  <c r="AT139" i="21"/>
  <c r="AT140" i="21" s="1"/>
  <c r="AU137" i="21"/>
  <c r="AS132" i="21"/>
  <c r="AS126" i="21"/>
  <c r="AS131" i="21"/>
  <c r="AS133" i="21"/>
  <c r="AS124" i="21"/>
  <c r="AS125" i="21"/>
  <c r="AS164" i="21"/>
  <c r="AS166" i="21"/>
  <c r="AS173" i="21"/>
  <c r="AS171" i="21"/>
  <c r="AS172" i="21"/>
  <c r="AS165" i="21"/>
  <c r="AU99" i="21"/>
  <c r="AV2" i="21"/>
  <c r="AT100" i="21"/>
  <c r="AC29" i="12" l="1"/>
  <c r="AE29" i="12"/>
  <c r="AF29" i="12"/>
  <c r="AH29" i="12"/>
  <c r="AG29" i="12"/>
  <c r="BH28" i="12"/>
  <c r="W29" i="12"/>
  <c r="AB29" i="12"/>
  <c r="AD29" i="12"/>
  <c r="AT81" i="12"/>
  <c r="AT80" i="5"/>
  <c r="AU139" i="21"/>
  <c r="AU140" i="21" s="1"/>
  <c r="AV137" i="21"/>
  <c r="AT132" i="21"/>
  <c r="AT133" i="21"/>
  <c r="AT124" i="21"/>
  <c r="AT131" i="21"/>
  <c r="AT126" i="21"/>
  <c r="AT125" i="21"/>
  <c r="AT164" i="21"/>
  <c r="AT166" i="21"/>
  <c r="AT172" i="21"/>
  <c r="AT165" i="21"/>
  <c r="AT173" i="21"/>
  <c r="AT171" i="21"/>
  <c r="AU100" i="21"/>
  <c r="AV99" i="21"/>
  <c r="AW2" i="21"/>
  <c r="V56" i="5"/>
  <c r="BA29" i="12" l="1"/>
  <c r="BN29" i="12"/>
  <c r="BE29" i="12"/>
  <c r="BF29" i="12"/>
  <c r="BD29" i="12"/>
  <c r="BB29" i="12"/>
  <c r="AZ29" i="12"/>
  <c r="Y29" i="12"/>
  <c r="BQ29" i="12"/>
  <c r="BM29" i="12"/>
  <c r="BL29" i="12"/>
  <c r="BR29" i="12"/>
  <c r="X29" i="12"/>
  <c r="Z29" i="12"/>
  <c r="BO29" i="12"/>
  <c r="AT80" i="12"/>
  <c r="AT79" i="5"/>
  <c r="AW137" i="21"/>
  <c r="AV139" i="21"/>
  <c r="AV140" i="21" s="1"/>
  <c r="AU126" i="21"/>
  <c r="AU124" i="21"/>
  <c r="AU132" i="21"/>
  <c r="AU131" i="21"/>
  <c r="AU133" i="21"/>
  <c r="AU125" i="21"/>
  <c r="AX2" i="21"/>
  <c r="AW99" i="21"/>
  <c r="AU173" i="21"/>
  <c r="AU165" i="21"/>
  <c r="AU171" i="21"/>
  <c r="AU172" i="21"/>
  <c r="AU164" i="21"/>
  <c r="AU166" i="21"/>
  <c r="AV100" i="21"/>
  <c r="V57" i="5"/>
  <c r="BP29" i="12" l="1"/>
  <c r="AA29" i="12"/>
  <c r="W30" i="12" s="1"/>
  <c r="BC29" i="12"/>
  <c r="AT79" i="12"/>
  <c r="AT78" i="5"/>
  <c r="AV171" i="21"/>
  <c r="AV172" i="21"/>
  <c r="AV173" i="21"/>
  <c r="AV164" i="21"/>
  <c r="AV165" i="21"/>
  <c r="AV166" i="21"/>
  <c r="AX137" i="21"/>
  <c r="AW139" i="21"/>
  <c r="AW140" i="21" s="1"/>
  <c r="AX99" i="21"/>
  <c r="AY2" i="21"/>
  <c r="AW100" i="21"/>
  <c r="AV133" i="21"/>
  <c r="AV126" i="21"/>
  <c r="AV124" i="21"/>
  <c r="AV132" i="21"/>
  <c r="AV125" i="21"/>
  <c r="AV131" i="21"/>
  <c r="V58" i="5"/>
  <c r="AH30" i="12" l="1"/>
  <c r="AE30" i="12"/>
  <c r="AC30" i="12"/>
  <c r="BH29" i="12"/>
  <c r="AB30" i="12"/>
  <c r="Y30" i="12"/>
  <c r="BF30" i="12"/>
  <c r="BB30" i="12"/>
  <c r="AZ30" i="12"/>
  <c r="AD30" i="12"/>
  <c r="AG30" i="12"/>
  <c r="AF30" i="12"/>
  <c r="AT78" i="12"/>
  <c r="AT77" i="5"/>
  <c r="Z30" i="12"/>
  <c r="BO30" i="12"/>
  <c r="BQ30" i="12"/>
  <c r="BN30" i="12"/>
  <c r="BL30" i="12"/>
  <c r="BM30" i="12"/>
  <c r="BR30" i="12"/>
  <c r="X30" i="12"/>
  <c r="AW172" i="21"/>
  <c r="AW173" i="21"/>
  <c r="AW165" i="21"/>
  <c r="AW171" i="21"/>
  <c r="AW164" i="21"/>
  <c r="AW166" i="21"/>
  <c r="AW132" i="21"/>
  <c r="AW126" i="21"/>
  <c r="AW133" i="21"/>
  <c r="AW131" i="21"/>
  <c r="AW125" i="21"/>
  <c r="AW124" i="21"/>
  <c r="AY137" i="21"/>
  <c r="AX139" i="21"/>
  <c r="AX140" i="21" s="1"/>
  <c r="AX100" i="21"/>
  <c r="AY99" i="21"/>
  <c r="AZ2" i="21"/>
  <c r="V59" i="5"/>
  <c r="BA30" i="12" l="1"/>
  <c r="BD30" i="12"/>
  <c r="BE30" i="12"/>
  <c r="AA30" i="12"/>
  <c r="AT77" i="12"/>
  <c r="AT76" i="5"/>
  <c r="BP30" i="12"/>
  <c r="BC30" i="12"/>
  <c r="AX131" i="21"/>
  <c r="AX133" i="21"/>
  <c r="AX132" i="21"/>
  <c r="AX171" i="21"/>
  <c r="AX172" i="21"/>
  <c r="AX173" i="21"/>
  <c r="BA2" i="21"/>
  <c r="AZ99" i="21"/>
  <c r="AZ137" i="21"/>
  <c r="AY139" i="21"/>
  <c r="AY140" i="21" s="1"/>
  <c r="AY100" i="21"/>
  <c r="V60" i="5"/>
  <c r="AC31" i="12" l="1"/>
  <c r="AE31" i="12"/>
  <c r="AB31" i="12"/>
  <c r="AD31" i="12"/>
  <c r="BH30" i="12"/>
  <c r="AG31" i="12"/>
  <c r="W31" i="12"/>
  <c r="AF31" i="12"/>
  <c r="AH31" i="12"/>
  <c r="AT76" i="12"/>
  <c r="AT75" i="5"/>
  <c r="AY172" i="21"/>
  <c r="AY171" i="21"/>
  <c r="AY173" i="21"/>
  <c r="BA99" i="21"/>
  <c r="BB2" i="21"/>
  <c r="AY131" i="21"/>
  <c r="AY132" i="21"/>
  <c r="AY133" i="21"/>
  <c r="AZ139" i="21"/>
  <c r="AZ140" i="21" s="1"/>
  <c r="BA137" i="21"/>
  <c r="AZ100" i="21"/>
  <c r="BF31" i="12" l="1"/>
  <c r="BD31" i="12"/>
  <c r="X31" i="12"/>
  <c r="BE31" i="12"/>
  <c r="BA31" i="12"/>
  <c r="BB31" i="12"/>
  <c r="AZ31" i="12"/>
  <c r="BO31" i="12"/>
  <c r="BM31" i="12"/>
  <c r="Z31" i="12"/>
  <c r="BQ31" i="12"/>
  <c r="BL31" i="12"/>
  <c r="Y31" i="12"/>
  <c r="BR31" i="12"/>
  <c r="BN31" i="12"/>
  <c r="AT75" i="12"/>
  <c r="AT74" i="5"/>
  <c r="AZ131" i="21"/>
  <c r="AZ132" i="21"/>
  <c r="AZ133" i="21"/>
  <c r="BB99" i="21"/>
  <c r="BC2" i="21"/>
  <c r="BA100" i="21"/>
  <c r="BB137" i="21"/>
  <c r="BA139" i="21"/>
  <c r="BA140" i="21" s="1"/>
  <c r="AZ173" i="21"/>
  <c r="AZ171" i="21"/>
  <c r="AZ172" i="21"/>
  <c r="V61" i="5"/>
  <c r="BC31" i="12" l="1"/>
  <c r="BP31" i="12"/>
  <c r="AA31" i="12"/>
  <c r="AT74" i="12"/>
  <c r="AT73" i="5"/>
  <c r="BC99" i="21"/>
  <c r="BD2" i="21"/>
  <c r="BC137" i="21"/>
  <c r="BB139" i="21"/>
  <c r="BB140" i="21" s="1"/>
  <c r="BA131" i="21"/>
  <c r="BA133" i="21"/>
  <c r="BA132" i="21"/>
  <c r="BB100" i="21"/>
  <c r="BA171" i="21"/>
  <c r="BA172" i="21"/>
  <c r="BA173" i="21"/>
  <c r="V62" i="5"/>
  <c r="AC32" i="12" l="1"/>
  <c r="AB32" i="12"/>
  <c r="AF32" i="12"/>
  <c r="AE32" i="12"/>
  <c r="AG32" i="12"/>
  <c r="AD32" i="12"/>
  <c r="BH31" i="12"/>
  <c r="W32" i="12"/>
  <c r="AH32" i="12"/>
  <c r="AT73" i="12"/>
  <c r="AT72" i="5"/>
  <c r="BB132" i="21"/>
  <c r="BB133" i="21"/>
  <c r="BB131" i="21"/>
  <c r="BE2" i="21"/>
  <c r="BD99" i="21"/>
  <c r="BC100" i="21"/>
  <c r="BB172" i="21"/>
  <c r="BB173" i="21"/>
  <c r="BB171" i="21"/>
  <c r="BC139" i="21"/>
  <c r="BC140" i="21" s="1"/>
  <c r="BD137" i="21"/>
  <c r="BF32" i="12" l="1"/>
  <c r="BQ32" i="12"/>
  <c r="BA32" i="12"/>
  <c r="BE32" i="12"/>
  <c r="BB32" i="12"/>
  <c r="BD32" i="12"/>
  <c r="BN32" i="12"/>
  <c r="Z32" i="12"/>
  <c r="AZ32" i="12"/>
  <c r="BL32" i="12"/>
  <c r="BO32" i="12"/>
  <c r="Y32" i="12"/>
  <c r="X32" i="12"/>
  <c r="BR32" i="12"/>
  <c r="BM32" i="12"/>
  <c r="AT72" i="12"/>
  <c r="AT71" i="5"/>
  <c r="BE137" i="21"/>
  <c r="BD139" i="21"/>
  <c r="BD140" i="21" s="1"/>
  <c r="BC172" i="21"/>
  <c r="BC173" i="21"/>
  <c r="BC171" i="21"/>
  <c r="BD100" i="21"/>
  <c r="BC133" i="21"/>
  <c r="BC132" i="21"/>
  <c r="BC131" i="21"/>
  <c r="BF2" i="21"/>
  <c r="BE99" i="21"/>
  <c r="V63" i="5"/>
  <c r="BP32" i="12" l="1"/>
  <c r="AA32" i="12"/>
  <c r="BC32" i="12"/>
  <c r="AT70" i="5"/>
  <c r="AT71" i="12"/>
  <c r="BE100" i="21"/>
  <c r="BD132" i="21"/>
  <c r="BD133" i="21"/>
  <c r="BD131" i="21"/>
  <c r="BF137" i="21"/>
  <c r="BE139" i="21"/>
  <c r="BE140" i="21" s="1"/>
  <c r="BF99" i="21"/>
  <c r="BG2" i="21"/>
  <c r="BD172" i="21"/>
  <c r="BD171" i="21"/>
  <c r="BD173" i="21"/>
  <c r="V64" i="5"/>
  <c r="AH33" i="12" l="1"/>
  <c r="AF33" i="12"/>
  <c r="BH32" i="12"/>
  <c r="AC33" i="12"/>
  <c r="AE33" i="12"/>
  <c r="AG33" i="12"/>
  <c r="W33" i="12"/>
  <c r="AD33" i="12"/>
  <c r="AB33" i="12"/>
  <c r="AT69" i="5"/>
  <c r="AT70" i="12"/>
  <c r="BF100" i="21"/>
  <c r="BE171" i="21"/>
  <c r="BE173" i="21"/>
  <c r="BE172" i="21"/>
  <c r="BG137" i="21"/>
  <c r="BF139" i="21"/>
  <c r="BF140" i="21" s="1"/>
  <c r="BG99" i="21"/>
  <c r="BH2" i="21"/>
  <c r="BI2" i="21" s="1"/>
  <c r="BE133" i="21"/>
  <c r="BE132" i="21"/>
  <c r="BE131" i="21"/>
  <c r="BA33" i="12" l="1"/>
  <c r="BL33" i="12"/>
  <c r="BE33" i="12"/>
  <c r="BB33" i="12"/>
  <c r="AZ33" i="12"/>
  <c r="BD33" i="12"/>
  <c r="BF33" i="12"/>
  <c r="BR33" i="12"/>
  <c r="X33" i="12"/>
  <c r="BN33" i="12"/>
  <c r="BQ33" i="12"/>
  <c r="BM33" i="12"/>
  <c r="Y33" i="12"/>
  <c r="Z33" i="12"/>
  <c r="BO33" i="12"/>
  <c r="AT68" i="5"/>
  <c r="AT69" i="12"/>
  <c r="BJ2" i="21"/>
  <c r="BI99" i="21"/>
  <c r="BI100" i="21" s="1"/>
  <c r="BH99" i="21"/>
  <c r="BG100" i="21"/>
  <c r="BF133" i="21"/>
  <c r="BF131" i="21"/>
  <c r="BF132" i="21"/>
  <c r="BH137" i="21"/>
  <c r="BI137" i="21" s="1"/>
  <c r="BG139" i="21"/>
  <c r="BG140" i="21" s="1"/>
  <c r="BF172" i="21"/>
  <c r="BF171" i="21"/>
  <c r="BF173" i="21"/>
  <c r="V65" i="5"/>
  <c r="BC33" i="12" l="1"/>
  <c r="BP33" i="12"/>
  <c r="AA33" i="12"/>
  <c r="AT67" i="5"/>
  <c r="AT68" i="12"/>
  <c r="BI131" i="21"/>
  <c r="BI133" i="21"/>
  <c r="BI132" i="21"/>
  <c r="BI139" i="21"/>
  <c r="BI140" i="21" s="1"/>
  <c r="BJ137" i="21"/>
  <c r="BK2" i="21"/>
  <c r="BJ99" i="21"/>
  <c r="BJ100" i="21" s="1"/>
  <c r="BH100" i="21"/>
  <c r="BH139" i="21"/>
  <c r="BH140" i="21" s="1"/>
  <c r="BG131" i="21"/>
  <c r="BG132" i="21"/>
  <c r="BG133" i="21"/>
  <c r="BG171" i="21"/>
  <c r="BG173" i="21"/>
  <c r="BG172" i="21"/>
  <c r="V66" i="5"/>
  <c r="AC34" i="12" l="1"/>
  <c r="AF34" i="12"/>
  <c r="AB34" i="12"/>
  <c r="BH33" i="12"/>
  <c r="W34" i="12"/>
  <c r="BN34" i="12" s="1"/>
  <c r="AG34" i="12"/>
  <c r="AD34" i="12"/>
  <c r="AE34" i="12"/>
  <c r="AH34" i="12"/>
  <c r="AT66" i="5"/>
  <c r="AT67" i="12"/>
  <c r="BL2" i="21"/>
  <c r="BK99" i="21"/>
  <c r="BK100" i="21" s="1"/>
  <c r="BJ132" i="21"/>
  <c r="BJ133" i="21"/>
  <c r="BJ131" i="21"/>
  <c r="BJ139" i="21"/>
  <c r="BJ140" i="21" s="1"/>
  <c r="BK137" i="21"/>
  <c r="BI172" i="21"/>
  <c r="BI173" i="21"/>
  <c r="BI171" i="21"/>
  <c r="BH131" i="21"/>
  <c r="BH132" i="21"/>
  <c r="BH133" i="21"/>
  <c r="BH172" i="21"/>
  <c r="BH173" i="21"/>
  <c r="BH171" i="21"/>
  <c r="BO34" i="12" l="1"/>
  <c r="BF34" i="12"/>
  <c r="BB34" i="12"/>
  <c r="BA34" i="12"/>
  <c r="BE34" i="12"/>
  <c r="BL34" i="12"/>
  <c r="BD34" i="12"/>
  <c r="Z34" i="12"/>
  <c r="Y34" i="12"/>
  <c r="AZ34" i="12"/>
  <c r="BM34" i="12"/>
  <c r="BQ34" i="12"/>
  <c r="BR34" i="12"/>
  <c r="X34" i="12"/>
  <c r="BP34" i="12"/>
  <c r="AT65" i="5"/>
  <c r="AT66" i="12"/>
  <c r="BK131" i="21"/>
  <c r="BK132" i="21"/>
  <c r="BK133" i="21"/>
  <c r="BL137" i="21"/>
  <c r="BK139" i="21"/>
  <c r="BK140" i="21" s="1"/>
  <c r="BJ172" i="21"/>
  <c r="BJ173" i="21"/>
  <c r="BJ171" i="21"/>
  <c r="BL99" i="21"/>
  <c r="BL100" i="21" s="1"/>
  <c r="BM2" i="21"/>
  <c r="V67" i="5"/>
  <c r="BC34" i="12" l="1"/>
  <c r="AA34" i="12"/>
  <c r="AT64" i="5"/>
  <c r="AT65" i="12"/>
  <c r="BN2" i="21"/>
  <c r="BM99" i="21"/>
  <c r="BM100" i="21" s="1"/>
  <c r="BM137" i="21"/>
  <c r="BL139" i="21"/>
  <c r="BL140" i="21" s="1"/>
  <c r="BL133" i="21"/>
  <c r="BL132" i="21"/>
  <c r="BL131" i="21"/>
  <c r="BK172" i="21"/>
  <c r="BK173" i="21"/>
  <c r="BK171" i="21"/>
  <c r="V68" i="5"/>
  <c r="BH34" i="12" l="1"/>
  <c r="AH35" i="12"/>
  <c r="AD35" i="12"/>
  <c r="AC35" i="12"/>
  <c r="AB35" i="12"/>
  <c r="AE35" i="12"/>
  <c r="W35" i="12"/>
  <c r="BM35" i="12" s="1"/>
  <c r="AG35" i="12"/>
  <c r="AF35" i="12"/>
  <c r="AT64" i="12"/>
  <c r="AT63" i="5"/>
  <c r="BM132" i="21"/>
  <c r="BM133" i="21"/>
  <c r="BM131" i="21"/>
  <c r="BL172" i="21"/>
  <c r="BL173" i="21"/>
  <c r="BL171" i="21"/>
  <c r="BM139" i="21"/>
  <c r="BM140" i="21" s="1"/>
  <c r="BN137" i="21"/>
  <c r="BN99" i="21"/>
  <c r="BN100" i="21" s="1"/>
  <c r="BO2" i="21"/>
  <c r="BO35" i="12" l="1"/>
  <c r="BD35" i="12"/>
  <c r="BE35" i="12"/>
  <c r="BQ35" i="12"/>
  <c r="BB35" i="12"/>
  <c r="AZ35" i="12"/>
  <c r="BA35" i="12"/>
  <c r="BF35" i="12"/>
  <c r="BN35" i="12"/>
  <c r="BP35" i="12" s="1"/>
  <c r="Z35" i="12"/>
  <c r="Y35" i="12"/>
  <c r="BR35" i="12"/>
  <c r="X35" i="12"/>
  <c r="BC35" i="12" s="1"/>
  <c r="BL35" i="12"/>
  <c r="AT63" i="12"/>
  <c r="AT62" i="5"/>
  <c r="BM172" i="21"/>
  <c r="BM171" i="21"/>
  <c r="BM173" i="21"/>
  <c r="BN133" i="21"/>
  <c r="BN132" i="21"/>
  <c r="BN131" i="21"/>
  <c r="BN139" i="21"/>
  <c r="BN140" i="21" s="1"/>
  <c r="BO137" i="21"/>
  <c r="BO99" i="21"/>
  <c r="BO100" i="21" s="1"/>
  <c r="BP2" i="21"/>
  <c r="V69" i="5"/>
  <c r="AA35" i="12" l="1"/>
  <c r="AH36" i="12" s="1"/>
  <c r="AT62" i="12"/>
  <c r="AT61" i="5"/>
  <c r="BO131" i="21"/>
  <c r="BO133" i="21"/>
  <c r="BO132" i="21"/>
  <c r="BN173" i="21"/>
  <c r="BN171" i="21"/>
  <c r="BN172" i="21"/>
  <c r="BQ2" i="21"/>
  <c r="BP99" i="21"/>
  <c r="BP100" i="21" s="1"/>
  <c r="BO139" i="21"/>
  <c r="BO140" i="21" s="1"/>
  <c r="BP137" i="21"/>
  <c r="V70" i="5"/>
  <c r="W36" i="12" l="1"/>
  <c r="BR36" i="12" s="1"/>
  <c r="AB36" i="12"/>
  <c r="AF36" i="12"/>
  <c r="BL36" i="12"/>
  <c r="Z36" i="12"/>
  <c r="BD36" i="12"/>
  <c r="BF36" i="12"/>
  <c r="AD36" i="12"/>
  <c r="AE36" i="12"/>
  <c r="AC36" i="12"/>
  <c r="BH35" i="12"/>
  <c r="AG36" i="12"/>
  <c r="BN36" i="12"/>
  <c r="BM36" i="12"/>
  <c r="BQ36" i="12"/>
  <c r="BO36" i="12"/>
  <c r="Y36" i="12"/>
  <c r="X36" i="12"/>
  <c r="AT60" i="5"/>
  <c r="AT61" i="12"/>
  <c r="BP139" i="21"/>
  <c r="BP140" i="21" s="1"/>
  <c r="BQ137" i="21"/>
  <c r="BP131" i="21"/>
  <c r="BP133" i="21"/>
  <c r="BP132" i="21"/>
  <c r="BQ99" i="21"/>
  <c r="BQ100" i="21" s="1"/>
  <c r="BR2" i="21"/>
  <c r="BO173" i="21"/>
  <c r="BO171" i="21"/>
  <c r="BO172" i="21"/>
  <c r="V71" i="5"/>
  <c r="BP36" i="12" l="1"/>
  <c r="BB36" i="12"/>
  <c r="BE36" i="12"/>
  <c r="AZ36" i="12"/>
  <c r="BA36" i="12"/>
  <c r="AA36" i="12"/>
  <c r="BC36" i="12"/>
  <c r="AT59" i="5"/>
  <c r="AT60" i="12"/>
  <c r="BQ131" i="21"/>
  <c r="BQ132" i="21"/>
  <c r="BQ133" i="21"/>
  <c r="BQ139" i="21"/>
  <c r="BQ140" i="21" s="1"/>
  <c r="BR137" i="21"/>
  <c r="BR99" i="21"/>
  <c r="BR100" i="21" s="1"/>
  <c r="BS2" i="21"/>
  <c r="BP171" i="21"/>
  <c r="BP172" i="21"/>
  <c r="BP173" i="21"/>
  <c r="V72" i="5"/>
  <c r="AG37" i="12" l="1"/>
  <c r="AH37" i="12"/>
  <c r="AC37" i="12"/>
  <c r="AF37" i="12"/>
  <c r="BH36" i="12"/>
  <c r="AE37" i="12"/>
  <c r="AB37" i="12"/>
  <c r="W37" i="12"/>
  <c r="BM37" i="12" s="1"/>
  <c r="AD37" i="12"/>
  <c r="AT58" i="5"/>
  <c r="AT59" i="12"/>
  <c r="BT2" i="21"/>
  <c r="BS99" i="21"/>
  <c r="BS100" i="21" s="1"/>
  <c r="BS137" i="21"/>
  <c r="BR139" i="21"/>
  <c r="BR140" i="21" s="1"/>
  <c r="BQ173" i="21"/>
  <c r="BQ172" i="21"/>
  <c r="BQ171" i="21"/>
  <c r="BR133" i="21"/>
  <c r="BR132" i="21"/>
  <c r="BR131" i="21"/>
  <c r="Z37" i="12" l="1"/>
  <c r="Y37" i="12"/>
  <c r="BA37" i="12"/>
  <c r="BN37" i="12"/>
  <c r="BB37" i="12"/>
  <c r="X37" i="12"/>
  <c r="BC37" i="12" s="1"/>
  <c r="BQ37" i="12"/>
  <c r="BD37" i="12"/>
  <c r="BR37" i="12"/>
  <c r="AZ37" i="12"/>
  <c r="BL37" i="12"/>
  <c r="BF37" i="12"/>
  <c r="BO37" i="12"/>
  <c r="BE37" i="12"/>
  <c r="AT57" i="5"/>
  <c r="AT58" i="12"/>
  <c r="BR171" i="21"/>
  <c r="BR173" i="21"/>
  <c r="BR172" i="21"/>
  <c r="BS133" i="21"/>
  <c r="BS132" i="21"/>
  <c r="BS131" i="21"/>
  <c r="BS139" i="21"/>
  <c r="BS140" i="21" s="1"/>
  <c r="BT137" i="21"/>
  <c r="BT99" i="21"/>
  <c r="BT100" i="21" s="1"/>
  <c r="BU2" i="21"/>
  <c r="BP37" i="12" l="1"/>
  <c r="AA37" i="12"/>
  <c r="W38" i="12" s="1"/>
  <c r="AT57" i="12"/>
  <c r="AT56" i="5"/>
  <c r="BT131" i="21"/>
  <c r="BT132" i="21"/>
  <c r="BT133" i="21"/>
  <c r="BS172" i="21"/>
  <c r="BS171" i="21"/>
  <c r="BS173" i="21"/>
  <c r="BV2" i="21"/>
  <c r="BU99" i="21"/>
  <c r="BU100" i="21" s="1"/>
  <c r="BT139" i="21"/>
  <c r="BT140" i="21" s="1"/>
  <c r="BU137" i="21"/>
  <c r="AB38" i="12" l="1"/>
  <c r="AD38" i="12"/>
  <c r="AG38" i="12"/>
  <c r="BH37" i="12"/>
  <c r="AH38" i="12"/>
  <c r="AF38" i="12"/>
  <c r="AC38" i="12"/>
  <c r="AE38" i="12"/>
  <c r="BE38" i="12"/>
  <c r="BF38" i="12"/>
  <c r="BD38" i="12"/>
  <c r="AZ38" i="12"/>
  <c r="BB38" i="12"/>
  <c r="BA38" i="12"/>
  <c r="AT56" i="12"/>
  <c r="AT55" i="5"/>
  <c r="BT171" i="21"/>
  <c r="BT173" i="21"/>
  <c r="BT172" i="21"/>
  <c r="BV99" i="21"/>
  <c r="BV100" i="21" s="1"/>
  <c r="BW2" i="21"/>
  <c r="BV137" i="21"/>
  <c r="BU139" i="21"/>
  <c r="BU140" i="21" s="1"/>
  <c r="BU133" i="21"/>
  <c r="BU132" i="21"/>
  <c r="BU131" i="21"/>
  <c r="BM38" i="12"/>
  <c r="BQ38" i="12"/>
  <c r="Z38" i="12"/>
  <c r="BR38" i="12"/>
  <c r="BN38" i="12"/>
  <c r="BL38" i="12"/>
  <c r="X38" i="12"/>
  <c r="BO38" i="12"/>
  <c r="Y38" i="12"/>
  <c r="AT54" i="5" l="1"/>
  <c r="AT55" i="12"/>
  <c r="BU171" i="21"/>
  <c r="BU173" i="21"/>
  <c r="BU172" i="21"/>
  <c r="BW99" i="21"/>
  <c r="BW100" i="21" s="1"/>
  <c r="BX2" i="21"/>
  <c r="BV131" i="21"/>
  <c r="BV133" i="21"/>
  <c r="BV132" i="21"/>
  <c r="BV139" i="21"/>
  <c r="BV140" i="21" s="1"/>
  <c r="BW137" i="21"/>
  <c r="BP38" i="12"/>
  <c r="AA38" i="12"/>
  <c r="BC38" i="12"/>
  <c r="AT53" i="5" l="1"/>
  <c r="AT54" i="12"/>
  <c r="AD39" i="12"/>
  <c r="AB39" i="12"/>
  <c r="BV172" i="21"/>
  <c r="BV171" i="21"/>
  <c r="BV173" i="21"/>
  <c r="BW139" i="21"/>
  <c r="BW140" i="21" s="1"/>
  <c r="BX137" i="21"/>
  <c r="BY2" i="21"/>
  <c r="BX99" i="21"/>
  <c r="BX100" i="21" s="1"/>
  <c r="BW132" i="21"/>
  <c r="BW133" i="21"/>
  <c r="BW131" i="21"/>
  <c r="W39" i="12"/>
  <c r="AH39" i="12"/>
  <c r="AC39" i="12"/>
  <c r="BH38" i="12"/>
  <c r="AG39" i="12"/>
  <c r="AF39" i="12"/>
  <c r="AE39" i="12"/>
  <c r="BB39" i="12" l="1"/>
  <c r="BD39" i="12"/>
  <c r="BE39" i="12"/>
  <c r="AZ39" i="12"/>
  <c r="BF39" i="12"/>
  <c r="BA39" i="12"/>
  <c r="AT53" i="12"/>
  <c r="AT52" i="5"/>
  <c r="BX132" i="21"/>
  <c r="BX133" i="21"/>
  <c r="BX131" i="21"/>
  <c r="BY137" i="21"/>
  <c r="BX139" i="21"/>
  <c r="BX140" i="21" s="1"/>
  <c r="BY99" i="21"/>
  <c r="BY100" i="21" s="1"/>
  <c r="BZ2" i="21"/>
  <c r="BW173" i="21"/>
  <c r="BW171" i="21"/>
  <c r="BW172" i="21"/>
  <c r="BM39" i="12"/>
  <c r="BO39" i="12"/>
  <c r="BN39" i="12"/>
  <c r="Z39" i="12"/>
  <c r="BR39" i="12"/>
  <c r="BQ39" i="12"/>
  <c r="BL39" i="12"/>
  <c r="Y39" i="12"/>
  <c r="X39" i="12"/>
  <c r="AT52" i="12" l="1"/>
  <c r="AT51" i="5"/>
  <c r="BY132" i="21"/>
  <c r="BY131" i="21"/>
  <c r="BY133" i="21"/>
  <c r="BZ99" i="21"/>
  <c r="BZ100" i="21" s="1"/>
  <c r="CA2" i="21"/>
  <c r="BX173" i="21"/>
  <c r="BX171" i="21"/>
  <c r="BX172" i="21"/>
  <c r="BY139" i="21"/>
  <c r="BY140" i="21" s="1"/>
  <c r="BZ137" i="21"/>
  <c r="BP39" i="12"/>
  <c r="BC39" i="12"/>
  <c r="AA39" i="12"/>
  <c r="AT51" i="12" l="1"/>
  <c r="AT50" i="5"/>
  <c r="AD40" i="12"/>
  <c r="AB40" i="12"/>
  <c r="BY171" i="21"/>
  <c r="BY173" i="21"/>
  <c r="BY172" i="21"/>
  <c r="CA137" i="21"/>
  <c r="BZ139" i="21"/>
  <c r="BZ140" i="21" s="1"/>
  <c r="CA99" i="21"/>
  <c r="CA100" i="21" s="1"/>
  <c r="CB2" i="21"/>
  <c r="BZ133" i="21"/>
  <c r="BZ132" i="21"/>
  <c r="BZ131" i="21"/>
  <c r="W40" i="12"/>
  <c r="BH39" i="12"/>
  <c r="AG40" i="12"/>
  <c r="AF40" i="12"/>
  <c r="AC40" i="12"/>
  <c r="AH40" i="12"/>
  <c r="AE40" i="12"/>
  <c r="BB40" i="12" l="1"/>
  <c r="BF40" i="12"/>
  <c r="AZ40" i="12"/>
  <c r="BD40" i="12"/>
  <c r="BE40" i="12"/>
  <c r="BA40" i="12"/>
  <c r="AT49" i="5"/>
  <c r="AT50" i="12"/>
  <c r="CA131" i="21"/>
  <c r="CA133" i="21"/>
  <c r="CA132" i="21"/>
  <c r="BZ173" i="21"/>
  <c r="BZ171" i="21"/>
  <c r="BZ172" i="21"/>
  <c r="CB137" i="21"/>
  <c r="CA139" i="21"/>
  <c r="CA140" i="21" s="1"/>
  <c r="CB99" i="21"/>
  <c r="CB100" i="21" s="1"/>
  <c r="CC2" i="21"/>
  <c r="BM40" i="12"/>
  <c r="BQ40" i="12"/>
  <c r="Y40" i="12"/>
  <c r="BL40" i="12"/>
  <c r="BR40" i="12"/>
  <c r="X40" i="12"/>
  <c r="BN40" i="12"/>
  <c r="BO40" i="12"/>
  <c r="Z40" i="12"/>
  <c r="AT49" i="12" l="1"/>
  <c r="AT48" i="5"/>
  <c r="CB131" i="21"/>
  <c r="CB132" i="21"/>
  <c r="CB133" i="21"/>
  <c r="BP40" i="12"/>
  <c r="CD2" i="21"/>
  <c r="CC99" i="21"/>
  <c r="CC100" i="21" s="1"/>
  <c r="CA171" i="21"/>
  <c r="CA173" i="21"/>
  <c r="CA172" i="21"/>
  <c r="CB139" i="21"/>
  <c r="CB140" i="21" s="1"/>
  <c r="CC137" i="21"/>
  <c r="BC40" i="12"/>
  <c r="AA40" i="12"/>
  <c r="AT48" i="12" l="1"/>
  <c r="AT47" i="5"/>
  <c r="AD41" i="12"/>
  <c r="AB41" i="12"/>
  <c r="CC139" i="21"/>
  <c r="CC140" i="21" s="1"/>
  <c r="CD137" i="21"/>
  <c r="CC132" i="21"/>
  <c r="CC131" i="21"/>
  <c r="CC133" i="21"/>
  <c r="CD99" i="21"/>
  <c r="CD100" i="21" s="1"/>
  <c r="CE2" i="21"/>
  <c r="CB173" i="21"/>
  <c r="CB172" i="21"/>
  <c r="CB171" i="21"/>
  <c r="W41" i="12"/>
  <c r="AG41" i="12"/>
  <c r="BH40" i="12"/>
  <c r="AH41" i="12"/>
  <c r="AF41" i="12"/>
  <c r="AE41" i="12"/>
  <c r="AC41" i="12"/>
  <c r="AZ41" i="12" l="1"/>
  <c r="BB41" i="12"/>
  <c r="BD41" i="12"/>
  <c r="BF41" i="12"/>
  <c r="BE41" i="12"/>
  <c r="BA41" i="12"/>
  <c r="AT47" i="12"/>
  <c r="AT46" i="5"/>
  <c r="CF2" i="21"/>
  <c r="CE99" i="21"/>
  <c r="CE100" i="21" s="1"/>
  <c r="CD132" i="21"/>
  <c r="CD131" i="21"/>
  <c r="CD133" i="21"/>
  <c r="CE137" i="21"/>
  <c r="CD139" i="21"/>
  <c r="CD140" i="21" s="1"/>
  <c r="CC171" i="21"/>
  <c r="CC173" i="21"/>
  <c r="CC172" i="21"/>
  <c r="Z41" i="12"/>
  <c r="X41" i="12"/>
  <c r="BO41" i="12"/>
  <c r="BM41" i="12"/>
  <c r="BL41" i="12"/>
  <c r="BR41" i="12"/>
  <c r="Y41" i="12"/>
  <c r="BN41" i="12"/>
  <c r="BQ41" i="12"/>
  <c r="AT46" i="12" l="1"/>
  <c r="AT45" i="5"/>
  <c r="CD173" i="21"/>
  <c r="CD171" i="21"/>
  <c r="CD172" i="21"/>
  <c r="CE139" i="21"/>
  <c r="CE140" i="21" s="1"/>
  <c r="CF137" i="21"/>
  <c r="AA41" i="12"/>
  <c r="CE132" i="21"/>
  <c r="CE133" i="21"/>
  <c r="CE131" i="21"/>
  <c r="CG2" i="21"/>
  <c r="CF99" i="21"/>
  <c r="CF100" i="21" s="1"/>
  <c r="BC41" i="12"/>
  <c r="BP41" i="12"/>
  <c r="AT45" i="12" l="1"/>
  <c r="AT44" i="5"/>
  <c r="AG42" i="12"/>
  <c r="AD42" i="12"/>
  <c r="AB42" i="12"/>
  <c r="W42" i="12"/>
  <c r="CF132" i="21"/>
  <c r="CF133" i="21"/>
  <c r="CF131" i="21"/>
  <c r="CG99" i="21"/>
  <c r="CG100" i="21" s="1"/>
  <c r="CH2" i="21"/>
  <c r="CG137" i="21"/>
  <c r="CF139" i="21"/>
  <c r="CF140" i="21" s="1"/>
  <c r="AF42" i="12"/>
  <c r="AH42" i="12"/>
  <c r="AE42" i="12"/>
  <c r="AC42" i="12"/>
  <c r="CE173" i="21"/>
  <c r="CE172" i="21"/>
  <c r="CE171" i="21"/>
  <c r="BH41" i="12"/>
  <c r="BQ42" i="12" l="1"/>
  <c r="AZ42" i="12"/>
  <c r="BB42" i="12"/>
  <c r="BA42" i="12"/>
  <c r="BF42" i="12"/>
  <c r="BE42" i="12"/>
  <c r="BD42" i="12"/>
  <c r="BO42" i="12"/>
  <c r="AT44" i="12"/>
  <c r="AT43" i="5"/>
  <c r="Z42" i="12"/>
  <c r="Y42" i="12"/>
  <c r="X42" i="12"/>
  <c r="BN42" i="12"/>
  <c r="BL42" i="12"/>
  <c r="BR42" i="12"/>
  <c r="BM42" i="12"/>
  <c r="CG132" i="21"/>
  <c r="CG133" i="21"/>
  <c r="CG131" i="21"/>
  <c r="CF172" i="21"/>
  <c r="CF171" i="21"/>
  <c r="CF173" i="21"/>
  <c r="CG139" i="21"/>
  <c r="CG140" i="21" s="1"/>
  <c r="CH137" i="21"/>
  <c r="CI2" i="21"/>
  <c r="CH99" i="21"/>
  <c r="CH100" i="21" s="1"/>
  <c r="BP42" i="12" l="1"/>
  <c r="AT43" i="12"/>
  <c r="AT42" i="5"/>
  <c r="BC42" i="12"/>
  <c r="AA42" i="12"/>
  <c r="CG172" i="21"/>
  <c r="CG173" i="21"/>
  <c r="CG171" i="21"/>
  <c r="CH131" i="21"/>
  <c r="CH133" i="21"/>
  <c r="CH132" i="21"/>
  <c r="CI99" i="21"/>
  <c r="CI100" i="21" s="1"/>
  <c r="CJ2" i="21"/>
  <c r="CI137" i="21"/>
  <c r="CH139" i="21"/>
  <c r="CH140" i="21" s="1"/>
  <c r="AC43" i="12" l="1"/>
  <c r="AT41" i="5"/>
  <c r="AT42" i="12"/>
  <c r="W43" i="12"/>
  <c r="AD43" i="12"/>
  <c r="AB43" i="12"/>
  <c r="AH43" i="12"/>
  <c r="BH42" i="12"/>
  <c r="AF43" i="12"/>
  <c r="AG43" i="12"/>
  <c r="AE43" i="12"/>
  <c r="CI139" i="21"/>
  <c r="CI140" i="21" s="1"/>
  <c r="CJ137" i="21"/>
  <c r="CI133" i="21"/>
  <c r="CI132" i="21"/>
  <c r="CI131" i="21"/>
  <c r="CH172" i="21"/>
  <c r="CH171" i="21"/>
  <c r="CH173" i="21"/>
  <c r="CJ99" i="21"/>
  <c r="CJ100" i="21" s="1"/>
  <c r="CK2" i="21"/>
  <c r="BB43" i="12" l="1"/>
  <c r="BE43" i="12"/>
  <c r="BD43" i="12"/>
  <c r="BF43" i="12"/>
  <c r="BA43" i="12"/>
  <c r="BR43" i="12"/>
  <c r="AZ43" i="12"/>
  <c r="AX42" i="12"/>
  <c r="BI42" i="12"/>
  <c r="AT41" i="12"/>
  <c r="AT40" i="5"/>
  <c r="BN43" i="12"/>
  <c r="BM43" i="12"/>
  <c r="BQ43" i="12"/>
  <c r="BO43" i="12"/>
  <c r="X43" i="12"/>
  <c r="BL43" i="12"/>
  <c r="Y43" i="12"/>
  <c r="Z43" i="12"/>
  <c r="CJ133" i="21"/>
  <c r="CJ131" i="21"/>
  <c r="CJ132" i="21"/>
  <c r="CK99" i="21"/>
  <c r="CK100" i="21" s="1"/>
  <c r="CL2" i="21"/>
  <c r="CJ139" i="21"/>
  <c r="CJ140" i="21" s="1"/>
  <c r="CK137" i="21"/>
  <c r="CI172" i="21"/>
  <c r="CI173" i="21"/>
  <c r="CI171" i="21"/>
  <c r="AX43" i="12" l="1"/>
  <c r="BI43" i="12"/>
  <c r="BJ42" i="12"/>
  <c r="BI41" i="12"/>
  <c r="AX41" i="12"/>
  <c r="AT39" i="5"/>
  <c r="AT40" i="12"/>
  <c r="BP43" i="12"/>
  <c r="BC43" i="12"/>
  <c r="AA43" i="12"/>
  <c r="CL137" i="21"/>
  <c r="CK139" i="21"/>
  <c r="CK140" i="21" s="1"/>
  <c r="CK132" i="21"/>
  <c r="CK131" i="21"/>
  <c r="CK133" i="21"/>
  <c r="CJ172" i="21"/>
  <c r="CJ171" i="21"/>
  <c r="CJ173" i="21"/>
  <c r="CL99" i="21"/>
  <c r="CL100" i="21" s="1"/>
  <c r="CM2" i="21"/>
  <c r="AF44" i="12" l="1"/>
  <c r="BJ41" i="12"/>
  <c r="BI40" i="12"/>
  <c r="AX40" i="12"/>
  <c r="AT39" i="12"/>
  <c r="AT38" i="5"/>
  <c r="AC44" i="12"/>
  <c r="BH43" i="12"/>
  <c r="AH44" i="12"/>
  <c r="AG44" i="12"/>
  <c r="AE44" i="12"/>
  <c r="W44" i="12"/>
  <c r="AD44" i="12"/>
  <c r="AB44" i="12"/>
  <c r="CM99" i="21"/>
  <c r="CM100" i="21" s="1"/>
  <c r="CN2" i="21"/>
  <c r="CK172" i="21"/>
  <c r="CK173" i="21"/>
  <c r="CK171" i="21"/>
  <c r="CL133" i="21"/>
  <c r="CL131" i="21"/>
  <c r="CL132" i="21"/>
  <c r="CL139" i="21"/>
  <c r="CL140" i="21" s="1"/>
  <c r="CM137" i="21"/>
  <c r="BB44" i="12" l="1"/>
  <c r="BE44" i="12"/>
  <c r="BF44" i="12"/>
  <c r="BJ43" i="12"/>
  <c r="AZ44" i="12"/>
  <c r="BA44" i="12"/>
  <c r="BD44" i="12"/>
  <c r="BJ40" i="12"/>
  <c r="AT38" i="12"/>
  <c r="AT37" i="5"/>
  <c r="BI39" i="12"/>
  <c r="AX39" i="12"/>
  <c r="BO44" i="12"/>
  <c r="Z44" i="12"/>
  <c r="Y44" i="12"/>
  <c r="X44" i="12"/>
  <c r="BR44" i="12"/>
  <c r="BL44" i="12"/>
  <c r="BM44" i="12"/>
  <c r="BQ44" i="12"/>
  <c r="BN44" i="12"/>
  <c r="CN137" i="21"/>
  <c r="CM139" i="21"/>
  <c r="CM140" i="21" s="1"/>
  <c r="CO2" i="21"/>
  <c r="CN99" i="21"/>
  <c r="CN100" i="21" s="1"/>
  <c r="CL171" i="21"/>
  <c r="CL173" i="21"/>
  <c r="CL172" i="21"/>
  <c r="CM132" i="21"/>
  <c r="CM131" i="21"/>
  <c r="CM133" i="21"/>
  <c r="BI44" i="12" l="1"/>
  <c r="BJ39" i="12"/>
  <c r="AT36" i="5"/>
  <c r="AT37" i="12"/>
  <c r="BP44" i="12"/>
  <c r="BI38" i="12"/>
  <c r="AX38" i="12"/>
  <c r="AA44" i="12"/>
  <c r="BC44" i="12"/>
  <c r="AX44" i="12"/>
  <c r="CM171" i="21"/>
  <c r="CM172" i="21"/>
  <c r="CM173" i="21"/>
  <c r="CN132" i="21"/>
  <c r="CN133" i="21"/>
  <c r="CN131" i="21"/>
  <c r="CP2" i="21"/>
  <c r="CO99" i="21"/>
  <c r="CO100" i="21" s="1"/>
  <c r="CN139" i="21"/>
  <c r="CN140" i="21" s="1"/>
  <c r="CO137" i="21"/>
  <c r="AF45" i="12" l="1"/>
  <c r="BJ38" i="12"/>
  <c r="BI37" i="12"/>
  <c r="AX37" i="12"/>
  <c r="AT35" i="5"/>
  <c r="AT36" i="12"/>
  <c r="AH45" i="12"/>
  <c r="AC45" i="12"/>
  <c r="AB45" i="12"/>
  <c r="W45" i="12"/>
  <c r="AE45" i="12"/>
  <c r="AG45" i="12"/>
  <c r="AD45" i="12"/>
  <c r="BH44" i="12"/>
  <c r="CO139" i="21"/>
  <c r="CO140" i="21" s="1"/>
  <c r="CP137" i="21"/>
  <c r="CO133" i="21"/>
  <c r="CO131" i="21"/>
  <c r="CO132" i="21"/>
  <c r="CN172" i="21"/>
  <c r="CN173" i="21"/>
  <c r="CN171" i="21"/>
  <c r="CP99" i="21"/>
  <c r="CP100" i="21" s="1"/>
  <c r="CQ2" i="21"/>
  <c r="BB45" i="12" l="1"/>
  <c r="BM45" i="12"/>
  <c r="AZ45" i="12"/>
  <c r="BE45" i="12"/>
  <c r="BD45" i="12"/>
  <c r="BF45" i="12"/>
  <c r="BJ44" i="12"/>
  <c r="BA45" i="12"/>
  <c r="BJ37" i="12"/>
  <c r="BQ45" i="12"/>
  <c r="BI36" i="12"/>
  <c r="AX36" i="12"/>
  <c r="Y45" i="12"/>
  <c r="Z45" i="12"/>
  <c r="BL45" i="12"/>
  <c r="AT34" i="5"/>
  <c r="AT35" i="12"/>
  <c r="BN45" i="12"/>
  <c r="BR45" i="12"/>
  <c r="BO45" i="12"/>
  <c r="X45" i="12"/>
  <c r="CP131" i="21"/>
  <c r="CP133" i="21"/>
  <c r="CP132" i="21"/>
  <c r="CR2" i="21"/>
  <c r="CQ99" i="21"/>
  <c r="CQ100" i="21" s="1"/>
  <c r="CQ137" i="21"/>
  <c r="CP139" i="21"/>
  <c r="CP140" i="21" s="1"/>
  <c r="CO171" i="21"/>
  <c r="CO172" i="21"/>
  <c r="CO173" i="21"/>
  <c r="BI45" i="12" l="1"/>
  <c r="AX45" i="12"/>
  <c r="BJ36" i="12"/>
  <c r="BC45" i="12"/>
  <c r="BI35" i="12"/>
  <c r="AX35" i="12"/>
  <c r="AT33" i="5"/>
  <c r="AT34" i="12"/>
  <c r="AA45" i="12"/>
  <c r="BP45" i="12"/>
  <c r="CP173" i="21"/>
  <c r="CP171" i="21"/>
  <c r="CP172" i="21"/>
  <c r="CR137" i="21"/>
  <c r="CQ139" i="21"/>
  <c r="CQ140" i="21" s="1"/>
  <c r="CQ133" i="21"/>
  <c r="CQ132" i="21"/>
  <c r="CQ131" i="21"/>
  <c r="CR99" i="21"/>
  <c r="CR100" i="21" s="1"/>
  <c r="CS2" i="21"/>
  <c r="AD46" i="12" l="1"/>
  <c r="AF46" i="12"/>
  <c r="AC46" i="12"/>
  <c r="BJ35" i="12"/>
  <c r="BH45" i="12"/>
  <c r="W46" i="12"/>
  <c r="AG46" i="12"/>
  <c r="AE46" i="12"/>
  <c r="BI34" i="12"/>
  <c r="AX34" i="12"/>
  <c r="AT33" i="12"/>
  <c r="AT32" i="5"/>
  <c r="AH46" i="12"/>
  <c r="AB46" i="12"/>
  <c r="CR133" i="21"/>
  <c r="CR132" i="21"/>
  <c r="CR131" i="21"/>
  <c r="CQ171" i="21"/>
  <c r="CQ172" i="21"/>
  <c r="CQ173" i="21"/>
  <c r="CR139" i="21"/>
  <c r="CR140" i="21" s="1"/>
  <c r="CS137" i="21"/>
  <c r="CT2" i="21"/>
  <c r="CS99" i="21"/>
  <c r="CS100" i="21" s="1"/>
  <c r="BJ45" i="12" l="1"/>
  <c r="BF46" i="12"/>
  <c r="BA46" i="12"/>
  <c r="BB46" i="12"/>
  <c r="BE46" i="12"/>
  <c r="BQ46" i="12"/>
  <c r="AZ46" i="12"/>
  <c r="BD46" i="12"/>
  <c r="Y46" i="12"/>
  <c r="BL46" i="12"/>
  <c r="X46" i="12"/>
  <c r="Z46" i="12"/>
  <c r="BN46" i="12"/>
  <c r="BJ34" i="12"/>
  <c r="BR46" i="12"/>
  <c r="BO46" i="12"/>
  <c r="BM46" i="12"/>
  <c r="AT31" i="5"/>
  <c r="AT32" i="12"/>
  <c r="AX33" i="12"/>
  <c r="BI33" i="12"/>
  <c r="CT99" i="21"/>
  <c r="CT100" i="21" s="1"/>
  <c r="CU2" i="21"/>
  <c r="CS139" i="21"/>
  <c r="CS140" i="21" s="1"/>
  <c r="CT137" i="21"/>
  <c r="CS131" i="21"/>
  <c r="CS133" i="21"/>
  <c r="CS132" i="21"/>
  <c r="CR171" i="21"/>
  <c r="CR172" i="21"/>
  <c r="CR173" i="21"/>
  <c r="BI46" i="12" l="1"/>
  <c r="BP46" i="12"/>
  <c r="BC46" i="12"/>
  <c r="AX46" i="12"/>
  <c r="AA46" i="12"/>
  <c r="BJ33" i="12"/>
  <c r="AX32" i="12"/>
  <c r="BI32" i="12"/>
  <c r="AT31" i="12"/>
  <c r="AT30" i="5"/>
  <c r="CS171" i="21"/>
  <c r="CS172" i="21"/>
  <c r="CS173" i="21"/>
  <c r="CV2" i="21"/>
  <c r="CU99" i="21"/>
  <c r="CU100" i="21" s="1"/>
  <c r="CT139" i="21"/>
  <c r="CT140" i="21" s="1"/>
  <c r="CU137" i="21"/>
  <c r="CT131" i="21"/>
  <c r="CT133" i="21"/>
  <c r="CT132" i="21"/>
  <c r="AG47" i="12" l="1"/>
  <c r="W47" i="12"/>
  <c r="AD47" i="12"/>
  <c r="AC47" i="12"/>
  <c r="AB47" i="12"/>
  <c r="AE47" i="12"/>
  <c r="AF47" i="12"/>
  <c r="BH46" i="12"/>
  <c r="AH47" i="12"/>
  <c r="BJ32" i="12"/>
  <c r="AT29" i="5"/>
  <c r="AT30" i="12"/>
  <c r="AX31" i="12"/>
  <c r="BI31" i="12"/>
  <c r="CU131" i="21"/>
  <c r="CU133" i="21"/>
  <c r="CU132" i="21"/>
  <c r="CW2" i="21"/>
  <c r="CV99" i="21"/>
  <c r="CV100" i="21" s="1"/>
  <c r="CU139" i="21"/>
  <c r="CU140" i="21" s="1"/>
  <c r="CV137" i="21"/>
  <c r="CT173" i="21"/>
  <c r="CT171" i="21"/>
  <c r="CT172" i="21"/>
  <c r="BE47" i="12" l="1"/>
  <c r="BF47" i="12"/>
  <c r="BJ46" i="12"/>
  <c r="BD47" i="12"/>
  <c r="BB47" i="12"/>
  <c r="AZ47" i="12"/>
  <c r="BA47" i="12"/>
  <c r="X47" i="12"/>
  <c r="BC47" i="12" s="1"/>
  <c r="Y47" i="12"/>
  <c r="BQ47" i="12"/>
  <c r="BN47" i="12"/>
  <c r="BO47" i="12"/>
  <c r="BR47" i="12"/>
  <c r="BL47" i="12"/>
  <c r="Z47" i="12"/>
  <c r="BM47" i="12"/>
  <c r="BJ31" i="12"/>
  <c r="BI30" i="12"/>
  <c r="AX30" i="12"/>
  <c r="AT28" i="5"/>
  <c r="AT29" i="12"/>
  <c r="CU173" i="21"/>
  <c r="CU172" i="21"/>
  <c r="CU171" i="21"/>
  <c r="CV139" i="21"/>
  <c r="CV140" i="21" s="1"/>
  <c r="CW137" i="21"/>
  <c r="CV131" i="21"/>
  <c r="CV132" i="21"/>
  <c r="CV133" i="21"/>
  <c r="CW99" i="21"/>
  <c r="CW100" i="21" s="1"/>
  <c r="CX2" i="21"/>
  <c r="BI47" i="12" l="1"/>
  <c r="AX47" i="12"/>
  <c r="AA47" i="12"/>
  <c r="AH48" i="12" s="1"/>
  <c r="BP47" i="12"/>
  <c r="BJ30" i="12"/>
  <c r="AX29" i="12"/>
  <c r="BI29" i="12"/>
  <c r="AT28" i="12"/>
  <c r="AT27" i="5"/>
  <c r="CW139" i="21"/>
  <c r="CW140" i="21" s="1"/>
  <c r="CX137" i="21"/>
  <c r="CV172" i="21"/>
  <c r="CV171" i="21"/>
  <c r="CV173" i="21"/>
  <c r="CY2" i="21"/>
  <c r="CX99" i="21"/>
  <c r="CX100" i="21" s="1"/>
  <c r="CW132" i="21"/>
  <c r="CW131" i="21"/>
  <c r="CW133" i="21"/>
  <c r="BH47" i="12" l="1"/>
  <c r="AF48" i="12"/>
  <c r="AC48" i="12"/>
  <c r="AD48" i="12"/>
  <c r="BA48" i="12" s="1"/>
  <c r="AE48" i="12"/>
  <c r="AB48" i="12"/>
  <c r="W48" i="12"/>
  <c r="BL48" i="12" s="1"/>
  <c r="BF48" i="12"/>
  <c r="BB48" i="12"/>
  <c r="BJ47" i="12"/>
  <c r="AZ48" i="12"/>
  <c r="BD48" i="12"/>
  <c r="AG48" i="12"/>
  <c r="Z48" i="12"/>
  <c r="AT26" i="5"/>
  <c r="AT27" i="12"/>
  <c r="AX28" i="12"/>
  <c r="BI28" i="12"/>
  <c r="BJ29" i="12"/>
  <c r="CY137" i="21"/>
  <c r="CX139" i="21"/>
  <c r="CX140" i="21" s="1"/>
  <c r="CX132" i="21"/>
  <c r="CX133" i="21"/>
  <c r="CX131" i="21"/>
  <c r="CY99" i="21"/>
  <c r="CY100" i="21" s="1"/>
  <c r="CZ2" i="21"/>
  <c r="CW171" i="21"/>
  <c r="CW173" i="21"/>
  <c r="CW172" i="21"/>
  <c r="BN48" i="12" l="1"/>
  <c r="Y48" i="12"/>
  <c r="BM48" i="12"/>
  <c r="X48" i="12"/>
  <c r="BC48" i="12" s="1"/>
  <c r="BR48" i="12"/>
  <c r="BO48" i="12"/>
  <c r="BQ48" i="12"/>
  <c r="BP48" i="12"/>
  <c r="BI48" i="12"/>
  <c r="BE48" i="12"/>
  <c r="AA48" i="12"/>
  <c r="AX48" i="12"/>
  <c r="AX27" i="12"/>
  <c r="BI27" i="12"/>
  <c r="BJ28" i="12"/>
  <c r="AT26" i="12"/>
  <c r="AT25" i="5"/>
  <c r="DA2" i="21"/>
  <c r="CZ99" i="21"/>
  <c r="CZ100" i="21" s="1"/>
  <c r="CY133" i="21"/>
  <c r="CY131" i="21"/>
  <c r="CY132" i="21"/>
  <c r="CY139" i="21"/>
  <c r="CY140" i="21" s="1"/>
  <c r="CZ137" i="21"/>
  <c r="CX171" i="21"/>
  <c r="CX172" i="21"/>
  <c r="CX173" i="21"/>
  <c r="AD49" i="12" l="1"/>
  <c r="BA49" i="12" s="1"/>
  <c r="AF49" i="12"/>
  <c r="BD49" i="12" s="1"/>
  <c r="AH49" i="12"/>
  <c r="BF49" i="12" s="1"/>
  <c r="BH48" i="12"/>
  <c r="AG49" i="12"/>
  <c r="BE49" i="12" s="1"/>
  <c r="AE49" i="12"/>
  <c r="BB49" i="12" s="1"/>
  <c r="W49" i="12"/>
  <c r="BM49" i="12" s="1"/>
  <c r="AC49" i="12"/>
  <c r="AZ49" i="12" s="1"/>
  <c r="AB49" i="12"/>
  <c r="AT25" i="12"/>
  <c r="AT24" i="5"/>
  <c r="BI26" i="12"/>
  <c r="AX26" i="12"/>
  <c r="BJ27" i="12"/>
  <c r="DA137" i="21"/>
  <c r="CZ139" i="21"/>
  <c r="CZ140" i="21" s="1"/>
  <c r="CZ132" i="21"/>
  <c r="CZ131" i="21"/>
  <c r="CZ133" i="21"/>
  <c r="CY171" i="21"/>
  <c r="CY173" i="21"/>
  <c r="CY172" i="21"/>
  <c r="DA99" i="21"/>
  <c r="DA100" i="21" s="1"/>
  <c r="DB2" i="21"/>
  <c r="BJ48" i="12" l="1"/>
  <c r="BO49" i="12"/>
  <c r="BR49" i="12"/>
  <c r="BN49" i="12"/>
  <c r="X49" i="12"/>
  <c r="AX49" i="12" s="1"/>
  <c r="Z49" i="12"/>
  <c r="BI49" i="12" s="1"/>
  <c r="BL49" i="12"/>
  <c r="BQ49" i="12"/>
  <c r="Y49" i="12"/>
  <c r="BJ26" i="12"/>
  <c r="AT24" i="12"/>
  <c r="AT23" i="5"/>
  <c r="BI25" i="12"/>
  <c r="AX25" i="12"/>
  <c r="DB99" i="21"/>
  <c r="DB100" i="21" s="1"/>
  <c r="DC2" i="21"/>
  <c r="DA133" i="21"/>
  <c r="DA132" i="21"/>
  <c r="DA131" i="21"/>
  <c r="CZ172" i="21"/>
  <c r="CZ173" i="21"/>
  <c r="CZ171" i="21"/>
  <c r="DB137" i="21"/>
  <c r="DA139" i="21"/>
  <c r="DA140" i="21" s="1"/>
  <c r="BP49" i="12" l="1"/>
  <c r="AA49" i="12"/>
  <c r="AG50" i="12" s="1"/>
  <c r="BE50" i="12" s="1"/>
  <c r="BC49" i="12"/>
  <c r="BJ25" i="12"/>
  <c r="AT23" i="12"/>
  <c r="AT22" i="5"/>
  <c r="BI24" i="12"/>
  <c r="AX24" i="12"/>
  <c r="DA173" i="21"/>
  <c r="DA171" i="21"/>
  <c r="DA172" i="21"/>
  <c r="DB132" i="21"/>
  <c r="DB133" i="21"/>
  <c r="DB131" i="21"/>
  <c r="DB139" i="21"/>
  <c r="DB140" i="21" s="1"/>
  <c r="DC137" i="21"/>
  <c r="DD2" i="21"/>
  <c r="DC99" i="21"/>
  <c r="DC100" i="21" s="1"/>
  <c r="AB50" i="12" l="1"/>
  <c r="AD50" i="12"/>
  <c r="BA50" i="12" s="1"/>
  <c r="AE50" i="12"/>
  <c r="BB50" i="12" s="1"/>
  <c r="AC50" i="12"/>
  <c r="AZ50" i="12" s="1"/>
  <c r="AF50" i="12"/>
  <c r="BD50" i="12" s="1"/>
  <c r="W50" i="12"/>
  <c r="BO50" i="12" s="1"/>
  <c r="AH50" i="12"/>
  <c r="BF50" i="12" s="1"/>
  <c r="BH49" i="12"/>
  <c r="BJ49" i="12" s="1"/>
  <c r="BJ24" i="12"/>
  <c r="AT21" i="5"/>
  <c r="AT22" i="12"/>
  <c r="AX23" i="12"/>
  <c r="BI23" i="12"/>
  <c r="DB172" i="21"/>
  <c r="DB171" i="21"/>
  <c r="DB173" i="21"/>
  <c r="DC131" i="21"/>
  <c r="DC133" i="21"/>
  <c r="DC132" i="21"/>
  <c r="DD99" i="21"/>
  <c r="DD100" i="21" s="1"/>
  <c r="DE2" i="21"/>
  <c r="DC139" i="21"/>
  <c r="DC140" i="21" s="1"/>
  <c r="DD137" i="21"/>
  <c r="BR50" i="12" l="1"/>
  <c r="BL50" i="12"/>
  <c r="Z50" i="12"/>
  <c r="BI50" i="12" s="1"/>
  <c r="BM50" i="12"/>
  <c r="BN50" i="12"/>
  <c r="BP50" i="12" s="1"/>
  <c r="Y50" i="12"/>
  <c r="BQ50" i="12"/>
  <c r="X50" i="12"/>
  <c r="BC50" i="12" s="1"/>
  <c r="BJ23" i="12"/>
  <c r="AX22" i="12"/>
  <c r="BI22" i="12"/>
  <c r="AT20" i="5"/>
  <c r="AT21" i="12"/>
  <c r="AX50" i="12"/>
  <c r="AA50" i="12"/>
  <c r="DC171" i="21"/>
  <c r="DC173" i="21"/>
  <c r="DC172" i="21"/>
  <c r="DF2" i="21"/>
  <c r="DE99" i="21"/>
  <c r="DE100" i="21" s="1"/>
  <c r="DD139" i="21"/>
  <c r="DD140" i="21" s="1"/>
  <c r="DE137" i="21"/>
  <c r="DD131" i="21"/>
  <c r="DD133" i="21"/>
  <c r="DD132" i="21"/>
  <c r="AX21" i="12" l="1"/>
  <c r="BI21" i="12"/>
  <c r="AT19" i="5"/>
  <c r="AT20" i="12"/>
  <c r="BJ22" i="12"/>
  <c r="AD51" i="12"/>
  <c r="BA51" i="12" s="1"/>
  <c r="AB51" i="12"/>
  <c r="AE51" i="12"/>
  <c r="BB51" i="12" s="1"/>
  <c r="AH51" i="12"/>
  <c r="BF51" i="12" s="1"/>
  <c r="AC51" i="12"/>
  <c r="AZ51" i="12" s="1"/>
  <c r="AF51" i="12"/>
  <c r="BD51" i="12" s="1"/>
  <c r="AG51" i="12"/>
  <c r="BE51" i="12" s="1"/>
  <c r="BH50" i="12"/>
  <c r="BJ50" i="12" s="1"/>
  <c r="W51" i="12"/>
  <c r="DD172" i="21"/>
  <c r="DD171" i="21"/>
  <c r="DD173" i="21"/>
  <c r="DE131" i="21"/>
  <c r="DE132" i="21"/>
  <c r="DE133" i="21"/>
  <c r="DG2" i="21"/>
  <c r="DF99" i="21"/>
  <c r="DF100" i="21" s="1"/>
  <c r="DE139" i="21"/>
  <c r="DE140" i="21" s="1"/>
  <c r="DF137" i="21"/>
  <c r="BI20" i="12" l="1"/>
  <c r="AX20" i="12"/>
  <c r="AT19" i="12"/>
  <c r="AT18" i="5"/>
  <c r="BJ21" i="12"/>
  <c r="BQ51" i="12"/>
  <c r="BL51" i="12"/>
  <c r="Y51" i="12"/>
  <c r="BN51" i="12"/>
  <c r="BO51" i="12"/>
  <c r="BM51" i="12"/>
  <c r="BR51" i="12"/>
  <c r="X51" i="12"/>
  <c r="Z51" i="12"/>
  <c r="BI51" i="12" s="1"/>
  <c r="DE172" i="21"/>
  <c r="DE171" i="21"/>
  <c r="DE173" i="21"/>
  <c r="DF133" i="21"/>
  <c r="DF132" i="21"/>
  <c r="DF131" i="21"/>
  <c r="DG137" i="21"/>
  <c r="DF139" i="21"/>
  <c r="DF140" i="21" s="1"/>
  <c r="DH2" i="21"/>
  <c r="DG99" i="21"/>
  <c r="DG100" i="21" s="1"/>
  <c r="BJ20" i="12" l="1"/>
  <c r="AT17" i="5"/>
  <c r="AT18" i="12"/>
  <c r="BI19" i="12"/>
  <c r="AX19" i="12"/>
  <c r="BP51" i="12"/>
  <c r="AA51" i="12"/>
  <c r="AX51" i="12"/>
  <c r="BC51" i="12"/>
  <c r="DG132" i="21"/>
  <c r="DG133" i="21"/>
  <c r="DG131" i="21"/>
  <c r="DH99" i="21"/>
  <c r="DH100" i="21" s="1"/>
  <c r="DI2" i="21"/>
  <c r="DF171" i="21"/>
  <c r="DF173" i="21"/>
  <c r="DF172" i="21"/>
  <c r="DG139" i="21"/>
  <c r="DG140" i="21" s="1"/>
  <c r="DH137" i="21"/>
  <c r="BJ19" i="12" l="1"/>
  <c r="BI18" i="12"/>
  <c r="AX18" i="12"/>
  <c r="AT17" i="12"/>
  <c r="AT16" i="5"/>
  <c r="AD52" i="12"/>
  <c r="BA52" i="12" s="1"/>
  <c r="AB52" i="12"/>
  <c r="AF52" i="12"/>
  <c r="BD52" i="12" s="1"/>
  <c r="AE52" i="12"/>
  <c r="BB52" i="12" s="1"/>
  <c r="AC52" i="12"/>
  <c r="AZ52" i="12" s="1"/>
  <c r="AG52" i="12"/>
  <c r="BE52" i="12" s="1"/>
  <c r="AH52" i="12"/>
  <c r="BF52" i="12" s="1"/>
  <c r="BH51" i="12"/>
  <c r="BJ51" i="12" s="1"/>
  <c r="W52" i="12"/>
  <c r="DI99" i="21"/>
  <c r="DI100" i="21" s="1"/>
  <c r="DJ2" i="21"/>
  <c r="DH139" i="21"/>
  <c r="DH140" i="21" s="1"/>
  <c r="DI137" i="21"/>
  <c r="DG173" i="21"/>
  <c r="DG172" i="21"/>
  <c r="DG171" i="21"/>
  <c r="DH131" i="21"/>
  <c r="DH132" i="21"/>
  <c r="DH133" i="21"/>
  <c r="BJ18" i="12" l="1"/>
  <c r="AT16" i="12"/>
  <c r="AT15" i="5"/>
  <c r="BI17" i="12"/>
  <c r="AX17" i="12"/>
  <c r="X52" i="12"/>
  <c r="BQ52" i="12"/>
  <c r="Z52" i="12"/>
  <c r="BI52" i="12" s="1"/>
  <c r="BN52" i="12"/>
  <c r="BO52" i="12"/>
  <c r="BM52" i="12"/>
  <c r="BL52" i="12"/>
  <c r="BR52" i="12"/>
  <c r="Y52" i="12"/>
  <c r="DJ137" i="21"/>
  <c r="DI139" i="21"/>
  <c r="DI140" i="21" s="1"/>
  <c r="DH172" i="21"/>
  <c r="DH171" i="21"/>
  <c r="DH173" i="21"/>
  <c r="DJ99" i="21"/>
  <c r="DJ100" i="21" s="1"/>
  <c r="DK2" i="21"/>
  <c r="DI132" i="21"/>
  <c r="DI133" i="21"/>
  <c r="DI131" i="21"/>
  <c r="BJ17" i="12" l="1"/>
  <c r="AT14" i="5"/>
  <c r="AT15" i="12"/>
  <c r="BI16" i="12"/>
  <c r="AX16" i="12"/>
  <c r="BC52" i="12"/>
  <c r="AX52" i="12"/>
  <c r="AA52" i="12"/>
  <c r="BP52" i="12"/>
  <c r="DK99" i="21"/>
  <c r="DK100" i="21" s="1"/>
  <c r="DL2" i="21"/>
  <c r="DI171" i="21"/>
  <c r="DI173" i="21"/>
  <c r="DI172" i="21"/>
  <c r="DK137" i="21"/>
  <c r="DJ139" i="21"/>
  <c r="DJ140" i="21" s="1"/>
  <c r="DJ132" i="21"/>
  <c r="DJ133" i="21"/>
  <c r="DJ131" i="21"/>
  <c r="BJ16" i="12" l="1"/>
  <c r="BI15" i="12"/>
  <c r="AX15" i="12"/>
  <c r="AT13" i="5"/>
  <c r="AT14" i="12"/>
  <c r="AD53" i="12"/>
  <c r="BA53" i="12" s="1"/>
  <c r="AB53" i="12"/>
  <c r="AC53" i="12"/>
  <c r="AZ53" i="12" s="1"/>
  <c r="AH53" i="12"/>
  <c r="BF53" i="12" s="1"/>
  <c r="AE53" i="12"/>
  <c r="BB53" i="12" s="1"/>
  <c r="AF53" i="12"/>
  <c r="BD53" i="12" s="1"/>
  <c r="AG53" i="12"/>
  <c r="BE53" i="12" s="1"/>
  <c r="BH52" i="12"/>
  <c r="BJ52" i="12" s="1"/>
  <c r="W53" i="12"/>
  <c r="DJ172" i="21"/>
  <c r="DJ173" i="21"/>
  <c r="DJ171" i="21"/>
  <c r="DL137" i="21"/>
  <c r="DK139" i="21"/>
  <c r="DK140" i="21" s="1"/>
  <c r="DM2" i="21"/>
  <c r="DL99" i="21"/>
  <c r="DL100" i="21" s="1"/>
  <c r="DK131" i="21"/>
  <c r="DK132" i="21"/>
  <c r="DK133" i="21"/>
  <c r="BJ15" i="12" l="1"/>
  <c r="BI14" i="12"/>
  <c r="AX14" i="12"/>
  <c r="AT7" i="5"/>
  <c r="BI13" i="5"/>
  <c r="AT13" i="12"/>
  <c r="BR53" i="12"/>
  <c r="Z53" i="12"/>
  <c r="BI53" i="12" s="1"/>
  <c r="Y53" i="12"/>
  <c r="BO53" i="12"/>
  <c r="BN53" i="12"/>
  <c r="BL53" i="12"/>
  <c r="BQ53" i="12"/>
  <c r="X53" i="12"/>
  <c r="BM53" i="12"/>
  <c r="DK171" i="21"/>
  <c r="DK172" i="21"/>
  <c r="DK173" i="21"/>
  <c r="DM137" i="21"/>
  <c r="DL139" i="21"/>
  <c r="DL140" i="21" s="1"/>
  <c r="DL131" i="21"/>
  <c r="DL132" i="21"/>
  <c r="DL133" i="21"/>
  <c r="DN2" i="21"/>
  <c r="DM99" i="21"/>
  <c r="DM100" i="21" s="1"/>
  <c r="BJ14" i="12" l="1"/>
  <c r="AT7" i="12"/>
  <c r="AX13" i="12"/>
  <c r="BI13" i="12"/>
  <c r="AA53" i="12"/>
  <c r="AC54" i="12" s="1"/>
  <c r="AZ54" i="12" s="1"/>
  <c r="BP53" i="12"/>
  <c r="AX53" i="12"/>
  <c r="BC53" i="12"/>
  <c r="DM133" i="21"/>
  <c r="DM132" i="21"/>
  <c r="DM131" i="21"/>
  <c r="DO2" i="21"/>
  <c r="DN99" i="21"/>
  <c r="DN100" i="21" s="1"/>
  <c r="DL172" i="21"/>
  <c r="DL173" i="21"/>
  <c r="DL171" i="21"/>
  <c r="DM139" i="21"/>
  <c r="DM140" i="21" s="1"/>
  <c r="DN137" i="21"/>
  <c r="AF54" i="12" l="1"/>
  <c r="BD54" i="12" s="1"/>
  <c r="BH53" i="12"/>
  <c r="AB54" i="12"/>
  <c r="AD54" i="12"/>
  <c r="BA54" i="12" s="1"/>
  <c r="AH54" i="12"/>
  <c r="BF54" i="12" s="1"/>
  <c r="W54" i="12"/>
  <c r="BN54" i="12" s="1"/>
  <c r="BJ13" i="12"/>
  <c r="AG54" i="12"/>
  <c r="BE54" i="12" s="1"/>
  <c r="AE54" i="12"/>
  <c r="BB54" i="12" s="1"/>
  <c r="BJ53" i="12"/>
  <c r="DM172" i="21"/>
  <c r="DM173" i="21"/>
  <c r="DM171" i="21"/>
  <c r="DO99" i="21"/>
  <c r="DO100" i="21" s="1"/>
  <c r="DP2" i="21"/>
  <c r="DQ2" i="21" s="1"/>
  <c r="DO137" i="21"/>
  <c r="DN139" i="21"/>
  <c r="DN140" i="21" s="1"/>
  <c r="DN131" i="21"/>
  <c r="DN132" i="21"/>
  <c r="DN133" i="21"/>
  <c r="X54" i="12" l="1"/>
  <c r="AX54" i="12" s="1"/>
  <c r="BQ54" i="12"/>
  <c r="Z54" i="12"/>
  <c r="BI54" i="12" s="1"/>
  <c r="BM54" i="12"/>
  <c r="Y54" i="12"/>
  <c r="BL54" i="12"/>
  <c r="DR2" i="21"/>
  <c r="DQ99" i="21"/>
  <c r="DQ100" i="21" s="1"/>
  <c r="BR54" i="12"/>
  <c r="BO54" i="12"/>
  <c r="BP54" i="12" s="1"/>
  <c r="DP137" i="21"/>
  <c r="DQ137" i="21" s="1"/>
  <c r="DO139" i="21"/>
  <c r="DO140" i="21" s="1"/>
  <c r="DP99" i="21"/>
  <c r="DP100" i="21" s="1"/>
  <c r="DN171" i="21"/>
  <c r="DN172" i="21"/>
  <c r="DN173" i="21"/>
  <c r="DO133" i="21"/>
  <c r="DO131" i="21"/>
  <c r="DO132" i="21"/>
  <c r="AA54" i="12" l="1"/>
  <c r="AF55" i="12" s="1"/>
  <c r="BD55" i="12" s="1"/>
  <c r="BC54" i="12"/>
  <c r="DQ139" i="21"/>
  <c r="DQ140" i="21" s="1"/>
  <c r="DR137" i="21"/>
  <c r="DQ133" i="21"/>
  <c r="DQ132" i="21"/>
  <c r="DQ131" i="21"/>
  <c r="DS2" i="21"/>
  <c r="DR99" i="21"/>
  <c r="DR100" i="21" s="1"/>
  <c r="DP131" i="21"/>
  <c r="DP132" i="21"/>
  <c r="DP133" i="21"/>
  <c r="DO171" i="21"/>
  <c r="DO172" i="21"/>
  <c r="DO173" i="21"/>
  <c r="DP139" i="21"/>
  <c r="DP140" i="21" s="1"/>
  <c r="AE55" i="12" l="1"/>
  <c r="BB55" i="12" s="1"/>
  <c r="BH54" i="12"/>
  <c r="BJ54" i="12" s="1"/>
  <c r="AC55" i="12"/>
  <c r="AZ55" i="12" s="1"/>
  <c r="W55" i="12"/>
  <c r="BN55" i="12" s="1"/>
  <c r="AG55" i="12"/>
  <c r="BE55" i="12" s="1"/>
  <c r="AB55" i="12"/>
  <c r="AD55" i="12"/>
  <c r="BA55" i="12" s="1"/>
  <c r="AH55" i="12"/>
  <c r="BF55" i="12" s="1"/>
  <c r="DR133" i="21"/>
  <c r="DR131" i="21"/>
  <c r="DR132" i="21"/>
  <c r="DS99" i="21"/>
  <c r="DS100" i="21" s="1"/>
  <c r="DT2" i="21"/>
  <c r="DS137" i="21"/>
  <c r="DR139" i="21"/>
  <c r="DR140" i="21" s="1"/>
  <c r="DQ171" i="21"/>
  <c r="DQ172" i="21"/>
  <c r="DQ173" i="21"/>
  <c r="DP172" i="21"/>
  <c r="DP173" i="21"/>
  <c r="DP171" i="21"/>
  <c r="X55" i="12" l="1"/>
  <c r="BC55" i="12" s="1"/>
  <c r="BQ55" i="12"/>
  <c r="BL55" i="12"/>
  <c r="Y55" i="12"/>
  <c r="BO55" i="12"/>
  <c r="BP55" i="12" s="1"/>
  <c r="BR55" i="12"/>
  <c r="Z55" i="12"/>
  <c r="BI55" i="12" s="1"/>
  <c r="BM55" i="12"/>
  <c r="DR172" i="21"/>
  <c r="DR171" i="21"/>
  <c r="DR173" i="21"/>
  <c r="DS139" i="21"/>
  <c r="DS140" i="21" s="1"/>
  <c r="DT137" i="21"/>
  <c r="DT99" i="21"/>
  <c r="DT100" i="21" s="1"/>
  <c r="DU2" i="21"/>
  <c r="DS133" i="21"/>
  <c r="DS131" i="21"/>
  <c r="DS132" i="21"/>
  <c r="AX55" i="12" l="1"/>
  <c r="AA55" i="12"/>
  <c r="AF56" i="12" s="1"/>
  <c r="BD56" i="12" s="1"/>
  <c r="DU99" i="21"/>
  <c r="DU100" i="21" s="1"/>
  <c r="DV2" i="21"/>
  <c r="DT131" i="21"/>
  <c r="DT132" i="21"/>
  <c r="DT133" i="21"/>
  <c r="DT139" i="21"/>
  <c r="DT140" i="21" s="1"/>
  <c r="DU137" i="21"/>
  <c r="DS172" i="21"/>
  <c r="DS171" i="21"/>
  <c r="DS173" i="21"/>
  <c r="AB56" i="12" l="1"/>
  <c r="AD56" i="12"/>
  <c r="BA56" i="12" s="1"/>
  <c r="AE56" i="12"/>
  <c r="BB56" i="12" s="1"/>
  <c r="AG56" i="12"/>
  <c r="BE56" i="12" s="1"/>
  <c r="BH55" i="12"/>
  <c r="BJ55" i="12" s="1"/>
  <c r="AH56" i="12"/>
  <c r="BF56" i="12" s="1"/>
  <c r="AC56" i="12"/>
  <c r="AZ56" i="12" s="1"/>
  <c r="W56" i="12"/>
  <c r="X56" i="12" s="1"/>
  <c r="AX56" i="12" s="1"/>
  <c r="DV137" i="21"/>
  <c r="DU139" i="21"/>
  <c r="DU140" i="21" s="1"/>
  <c r="DT173" i="21"/>
  <c r="DT171" i="21"/>
  <c r="DT172" i="21"/>
  <c r="DW2" i="21"/>
  <c r="DV99" i="21"/>
  <c r="DV100" i="21" s="1"/>
  <c r="DU131" i="21"/>
  <c r="DU133" i="21"/>
  <c r="DU132" i="21"/>
  <c r="BQ56" i="12" l="1"/>
  <c r="BL56" i="12"/>
  <c r="BC56" i="12"/>
  <c r="Y56" i="12"/>
  <c r="BO56" i="12"/>
  <c r="Z56" i="12"/>
  <c r="BI56" i="12" s="1"/>
  <c r="BN56" i="12"/>
  <c r="BR56" i="12"/>
  <c r="BM56" i="12"/>
  <c r="AA56" i="12"/>
  <c r="W57" i="12" s="1"/>
  <c r="X57" i="12" s="1"/>
  <c r="DV133" i="21"/>
  <c r="DV131" i="21"/>
  <c r="DV132" i="21"/>
  <c r="DW99" i="21"/>
  <c r="DW100" i="21" s="1"/>
  <c r="DX2" i="21"/>
  <c r="DU173" i="21"/>
  <c r="DU172" i="21"/>
  <c r="DU171" i="21"/>
  <c r="DV139" i="21"/>
  <c r="DV140" i="21" s="1"/>
  <c r="DW137" i="21"/>
  <c r="BP56" i="12" l="1"/>
  <c r="AE57" i="12"/>
  <c r="BB57" i="12" s="1"/>
  <c r="AF57" i="12"/>
  <c r="BD57" i="12" s="1"/>
  <c r="AB57" i="12"/>
  <c r="AG57" i="12"/>
  <c r="BE57" i="12" s="1"/>
  <c r="AD57" i="12"/>
  <c r="BA57" i="12" s="1"/>
  <c r="BH56" i="12"/>
  <c r="BJ56" i="12" s="1"/>
  <c r="AH57" i="12"/>
  <c r="BF57" i="12" s="1"/>
  <c r="AC57" i="12"/>
  <c r="AZ57" i="12" s="1"/>
  <c r="DV171" i="21"/>
  <c r="DV173" i="21"/>
  <c r="DV172" i="21"/>
  <c r="DW132" i="21"/>
  <c r="DW131" i="21"/>
  <c r="DW133" i="21"/>
  <c r="DW139" i="21"/>
  <c r="DW140" i="21" s="1"/>
  <c r="DX137" i="21"/>
  <c r="DX99" i="21"/>
  <c r="DX100" i="21" s="1"/>
  <c r="DY2" i="21"/>
  <c r="Z57" i="12"/>
  <c r="BI57" i="12" s="1"/>
  <c r="Y57" i="12"/>
  <c r="BO57" i="12"/>
  <c r="AX57" i="12"/>
  <c r="BC57" i="12"/>
  <c r="BQ57" i="12"/>
  <c r="BR57" i="12"/>
  <c r="BL57" i="12"/>
  <c r="BN57" i="12"/>
  <c r="BM57" i="12"/>
  <c r="DZ2" i="21" l="1"/>
  <c r="DY99" i="21"/>
  <c r="DY100" i="21" s="1"/>
  <c r="DX132" i="21"/>
  <c r="DX131" i="21"/>
  <c r="DX133" i="21"/>
  <c r="DW173" i="21"/>
  <c r="DW171" i="21"/>
  <c r="DW172" i="21"/>
  <c r="DY137" i="21"/>
  <c r="DX139" i="21"/>
  <c r="DX140" i="21" s="1"/>
  <c r="AA57" i="12"/>
  <c r="AC58" i="12" s="1"/>
  <c r="AZ58" i="12" s="1"/>
  <c r="BP57" i="12"/>
  <c r="DX173" i="21" l="1"/>
  <c r="DX171" i="21"/>
  <c r="DX172" i="21"/>
  <c r="DY139" i="21"/>
  <c r="DY140" i="21" s="1"/>
  <c r="DZ137" i="21"/>
  <c r="DY132" i="21"/>
  <c r="DY131" i="21"/>
  <c r="DY133" i="21"/>
  <c r="DZ99" i="21"/>
  <c r="DZ100" i="21" s="1"/>
  <c r="EA2" i="21"/>
  <c r="AH58" i="12"/>
  <c r="BF58" i="12" s="1"/>
  <c r="AD58" i="12"/>
  <c r="BA58" i="12" s="1"/>
  <c r="AF58" i="12"/>
  <c r="BD58" i="12" s="1"/>
  <c r="AG58" i="12"/>
  <c r="BE58" i="12" s="1"/>
  <c r="W58" i="12"/>
  <c r="X58" i="12" s="1"/>
  <c r="AX58" i="12" s="1"/>
  <c r="AB58" i="12"/>
  <c r="AE58" i="12"/>
  <c r="BB58" i="12" s="1"/>
  <c r="BH57" i="12"/>
  <c r="BJ57" i="12" s="1"/>
  <c r="EA99" i="21" l="1"/>
  <c r="EA100" i="21" s="1"/>
  <c r="EB2" i="21"/>
  <c r="DZ133" i="21"/>
  <c r="DZ132" i="21"/>
  <c r="DZ131" i="21"/>
  <c r="DZ139" i="21"/>
  <c r="DZ140" i="21" s="1"/>
  <c r="EA137" i="21"/>
  <c r="DY173" i="21"/>
  <c r="DY172" i="21"/>
  <c r="DY171" i="21"/>
  <c r="BN58" i="12"/>
  <c r="BM58" i="12"/>
  <c r="BL58" i="12"/>
  <c r="BR58" i="12"/>
  <c r="Y58" i="12"/>
  <c r="Z58" i="12"/>
  <c r="BI58" i="12" s="1"/>
  <c r="BC58" i="12"/>
  <c r="BO58" i="12"/>
  <c r="BQ58" i="12"/>
  <c r="EB137" i="21" l="1"/>
  <c r="EA139" i="21"/>
  <c r="EA140" i="21" s="1"/>
  <c r="DZ172" i="21"/>
  <c r="DZ171" i="21"/>
  <c r="DZ173" i="21"/>
  <c r="EB99" i="21"/>
  <c r="EB100" i="21" s="1"/>
  <c r="EC2" i="21"/>
  <c r="EA133" i="21"/>
  <c r="EA132" i="21"/>
  <c r="EA131" i="21"/>
  <c r="BP58" i="12"/>
  <c r="AA58" i="12"/>
  <c r="AE59" i="12" s="1"/>
  <c r="BB59" i="12" s="1"/>
  <c r="EC99" i="21" l="1"/>
  <c r="EC100" i="21" s="1"/>
  <c r="ED2" i="21"/>
  <c r="EB132" i="21"/>
  <c r="EB131" i="21"/>
  <c r="EB133" i="21"/>
  <c r="EA172" i="21"/>
  <c r="EA173" i="21"/>
  <c r="EA171" i="21"/>
  <c r="EC137" i="21"/>
  <c r="EB139" i="21"/>
  <c r="EB140" i="21" s="1"/>
  <c r="AB59" i="12"/>
  <c r="AC59" i="12"/>
  <c r="AZ59" i="12" s="1"/>
  <c r="AF59" i="12"/>
  <c r="BD59" i="12" s="1"/>
  <c r="AD59" i="12"/>
  <c r="BA59" i="12" s="1"/>
  <c r="AH59" i="12"/>
  <c r="BF59" i="12" s="1"/>
  <c r="BH58" i="12"/>
  <c r="BJ58" i="12" s="1"/>
  <c r="W59" i="12"/>
  <c r="AG59" i="12"/>
  <c r="BE59" i="12" s="1"/>
  <c r="EB172" i="21" l="1"/>
  <c r="EB171" i="21"/>
  <c r="EB173" i="21"/>
  <c r="ED137" i="21"/>
  <c r="EC139" i="21"/>
  <c r="EC140" i="21" s="1"/>
  <c r="EE2" i="21"/>
  <c r="ED99" i="21"/>
  <c r="ED100" i="21" s="1"/>
  <c r="EC131" i="21"/>
  <c r="EC133" i="21"/>
  <c r="EC132" i="21"/>
  <c r="Z59" i="12"/>
  <c r="BI59" i="12" s="1"/>
  <c r="BL59" i="12"/>
  <c r="BM59" i="12"/>
  <c r="X59" i="12"/>
  <c r="BR59" i="12"/>
  <c r="BO59" i="12"/>
  <c r="BN59" i="12"/>
  <c r="Y59" i="12"/>
  <c r="BQ59" i="12"/>
  <c r="ED132" i="21" l="1"/>
  <c r="ED133" i="21"/>
  <c r="ED131" i="21"/>
  <c r="EE99" i="21"/>
  <c r="EE100" i="21" s="1"/>
  <c r="EF2" i="21"/>
  <c r="EC171" i="21"/>
  <c r="EC172" i="21"/>
  <c r="EC173" i="21"/>
  <c r="ED139" i="21"/>
  <c r="ED140" i="21" s="1"/>
  <c r="EE137" i="21"/>
  <c r="BP59" i="12"/>
  <c r="AA59" i="12"/>
  <c r="AX59" i="12"/>
  <c r="BC59" i="12"/>
  <c r="EF137" i="21" l="1"/>
  <c r="EE139" i="21"/>
  <c r="EE140" i="21" s="1"/>
  <c r="ED171" i="21"/>
  <c r="ED173" i="21"/>
  <c r="ED172" i="21"/>
  <c r="EG2" i="21"/>
  <c r="EF99" i="21"/>
  <c r="EF100" i="21" s="1"/>
  <c r="EE131" i="21"/>
  <c r="EE132" i="21"/>
  <c r="EE133" i="21"/>
  <c r="W60" i="12"/>
  <c r="AC60" i="12"/>
  <c r="AZ60" i="12" s="1"/>
  <c r="AH60" i="12"/>
  <c r="BF60" i="12" s="1"/>
  <c r="AD60" i="12"/>
  <c r="BA60" i="12" s="1"/>
  <c r="AB60" i="12"/>
  <c r="AF60" i="12"/>
  <c r="BD60" i="12" s="1"/>
  <c r="BH59" i="12"/>
  <c r="BJ59" i="12" s="1"/>
  <c r="AG60" i="12"/>
  <c r="BE60" i="12" s="1"/>
  <c r="AE60" i="12"/>
  <c r="BB60" i="12" s="1"/>
  <c r="EH2" i="21" l="1"/>
  <c r="EG99" i="21"/>
  <c r="EG100" i="21" s="1"/>
  <c r="EE173" i="21"/>
  <c r="EE171" i="21"/>
  <c r="EE172" i="21"/>
  <c r="EF132" i="21"/>
  <c r="EF131" i="21"/>
  <c r="EF133" i="21"/>
  <c r="EG137" i="21"/>
  <c r="EF139" i="21"/>
  <c r="EF140" i="21" s="1"/>
  <c r="BR60" i="12"/>
  <c r="BO60" i="12"/>
  <c r="BM60" i="12"/>
  <c r="BQ60" i="12"/>
  <c r="X60" i="12"/>
  <c r="BL60" i="12"/>
  <c r="BN60" i="12"/>
  <c r="Z60" i="12"/>
  <c r="BI60" i="12" s="1"/>
  <c r="Y60" i="12"/>
  <c r="EF173" i="21" l="1"/>
  <c r="EF171" i="21"/>
  <c r="EF172" i="21"/>
  <c r="EH137" i="21"/>
  <c r="EG139" i="21"/>
  <c r="EG140" i="21" s="1"/>
  <c r="EG132" i="21"/>
  <c r="EG133" i="21"/>
  <c r="EG131" i="21"/>
  <c r="EI2" i="21"/>
  <c r="EH99" i="21"/>
  <c r="EH100" i="21" s="1"/>
  <c r="BP60" i="12"/>
  <c r="BC60" i="12"/>
  <c r="AX60" i="12"/>
  <c r="AA60" i="12"/>
  <c r="EH131" i="21" l="1"/>
  <c r="EH133" i="21"/>
  <c r="EH132" i="21"/>
  <c r="EI99" i="21"/>
  <c r="EI100" i="21" s="1"/>
  <c r="EJ2" i="21"/>
  <c r="EG173" i="21"/>
  <c r="EG171" i="21"/>
  <c r="EG172" i="21"/>
  <c r="EH139" i="21"/>
  <c r="EH140" i="21" s="1"/>
  <c r="EI137" i="21"/>
  <c r="AH61" i="12"/>
  <c r="BF61" i="12" s="1"/>
  <c r="BH60" i="12"/>
  <c r="BJ60" i="12" s="1"/>
  <c r="AC61" i="12"/>
  <c r="AZ61" i="12" s="1"/>
  <c r="AG61" i="12"/>
  <c r="BE61" i="12" s="1"/>
  <c r="AE61" i="12"/>
  <c r="BB61" i="12" s="1"/>
  <c r="AD61" i="12"/>
  <c r="BA61" i="12" s="1"/>
  <c r="AB61" i="12"/>
  <c r="W61" i="12"/>
  <c r="AF61" i="12"/>
  <c r="BD61" i="12" s="1"/>
  <c r="EH172" i="21" l="1"/>
  <c r="EH173" i="21"/>
  <c r="EH171" i="21"/>
  <c r="EJ99" i="21"/>
  <c r="EJ100" i="21" s="1"/>
  <c r="EK2" i="21"/>
  <c r="EI132" i="21"/>
  <c r="EI131" i="21"/>
  <c r="EI133" i="21"/>
  <c r="EI139" i="21"/>
  <c r="EI140" i="21" s="1"/>
  <c r="EJ137" i="21"/>
  <c r="X61" i="12"/>
  <c r="Y61" i="12"/>
  <c r="BQ61" i="12"/>
  <c r="BR61" i="12"/>
  <c r="Z61" i="12"/>
  <c r="BI61" i="12" s="1"/>
  <c r="BO61" i="12"/>
  <c r="BM61" i="12"/>
  <c r="BL61" i="12"/>
  <c r="BN61" i="12"/>
  <c r="EK137" i="21" l="1"/>
  <c r="EJ139" i="21"/>
  <c r="EJ140" i="21" s="1"/>
  <c r="EI172" i="21"/>
  <c r="EI173" i="21"/>
  <c r="EI171" i="21"/>
  <c r="EK99" i="21"/>
  <c r="EK100" i="21" s="1"/>
  <c r="EL2" i="21"/>
  <c r="EJ133" i="21"/>
  <c r="EJ132" i="21"/>
  <c r="EJ131" i="21"/>
  <c r="BP61" i="12"/>
  <c r="AX61" i="12"/>
  <c r="BC61" i="12"/>
  <c r="AA61" i="12"/>
  <c r="EL99" i="21" l="1"/>
  <c r="EL100" i="21" s="1"/>
  <c r="EM2" i="21"/>
  <c r="EK133" i="21"/>
  <c r="EK131" i="21"/>
  <c r="EK132" i="21"/>
  <c r="EJ172" i="21"/>
  <c r="EJ173" i="21"/>
  <c r="EJ171" i="21"/>
  <c r="EL137" i="21"/>
  <c r="EK139" i="21"/>
  <c r="EK140" i="21" s="1"/>
  <c r="AB62" i="12"/>
  <c r="BH61" i="12"/>
  <c r="BJ61" i="12" s="1"/>
  <c r="AE62" i="12"/>
  <c r="BB62" i="12" s="1"/>
  <c r="AG62" i="12"/>
  <c r="BE62" i="12" s="1"/>
  <c r="AC62" i="12"/>
  <c r="AZ62" i="12" s="1"/>
  <c r="AF62" i="12"/>
  <c r="BD62" i="12" s="1"/>
  <c r="W62" i="12"/>
  <c r="AH62" i="12"/>
  <c r="BF62" i="12" s="1"/>
  <c r="AD62" i="12"/>
  <c r="BA62" i="12" s="1"/>
  <c r="EM99" i="21" l="1"/>
  <c r="EM100" i="21" s="1"/>
  <c r="EN2" i="21"/>
  <c r="EK171" i="21"/>
  <c r="EK173" i="21"/>
  <c r="EK172" i="21"/>
  <c r="EM137" i="21"/>
  <c r="EL139" i="21"/>
  <c r="EL140" i="21" s="1"/>
  <c r="EL132" i="21"/>
  <c r="EL133" i="21"/>
  <c r="EL131" i="21"/>
  <c r="BR62" i="12"/>
  <c r="BL62" i="12"/>
  <c r="BN62" i="12"/>
  <c r="BQ62" i="12"/>
  <c r="X62" i="12"/>
  <c r="Z62" i="12"/>
  <c r="BI62" i="12" s="1"/>
  <c r="Y62" i="12"/>
  <c r="BG62" i="12" s="1"/>
  <c r="BK62" i="12" s="1"/>
  <c r="BO62" i="12"/>
  <c r="BM62" i="12"/>
  <c r="BG61" i="12"/>
  <c r="BK61" i="12" s="1"/>
  <c r="EL172" i="21" l="1"/>
  <c r="EL171" i="21"/>
  <c r="EL173" i="21"/>
  <c r="EM139" i="21"/>
  <c r="EM140" i="21" s="1"/>
  <c r="EN137" i="21"/>
  <c r="EN99" i="21"/>
  <c r="EN100" i="21" s="1"/>
  <c r="EO2" i="21"/>
  <c r="EM133" i="21"/>
  <c r="EM132" i="21"/>
  <c r="EM131" i="21"/>
  <c r="BP62" i="12"/>
  <c r="BC62" i="12"/>
  <c r="AA62" i="12"/>
  <c r="AX62" i="12"/>
  <c r="BG60" i="12"/>
  <c r="BK60" i="12" s="1"/>
  <c r="EN133" i="21" l="1"/>
  <c r="EN132" i="21"/>
  <c r="EN131" i="21"/>
  <c r="EM172" i="21"/>
  <c r="EM171" i="21"/>
  <c r="EM173" i="21"/>
  <c r="EP2" i="21"/>
  <c r="EO99" i="21"/>
  <c r="EO100" i="21" s="1"/>
  <c r="EN139" i="21"/>
  <c r="EN140" i="21" s="1"/>
  <c r="EO137" i="21"/>
  <c r="AF63" i="12"/>
  <c r="BD63" i="12" s="1"/>
  <c r="W63" i="12"/>
  <c r="AC63" i="12"/>
  <c r="AZ63" i="12" s="1"/>
  <c r="AD63" i="12"/>
  <c r="BA63" i="12" s="1"/>
  <c r="AG63" i="12"/>
  <c r="BE63" i="12" s="1"/>
  <c r="AB63" i="12"/>
  <c r="AH63" i="12"/>
  <c r="BF63" i="12" s="1"/>
  <c r="AE63" i="12"/>
  <c r="BB63" i="12" s="1"/>
  <c r="BH62" i="12"/>
  <c r="BJ62" i="12" s="1"/>
  <c r="BG59" i="12"/>
  <c r="BK59" i="12" s="1"/>
  <c r="EP137" i="21" l="1"/>
  <c r="EO139" i="21"/>
  <c r="EO140" i="21" s="1"/>
  <c r="EN173" i="21"/>
  <c r="EN171" i="21"/>
  <c r="EN172" i="21"/>
  <c r="EO132" i="21"/>
  <c r="EO131" i="21"/>
  <c r="EO133" i="21"/>
  <c r="EP99" i="21"/>
  <c r="EP100" i="21" s="1"/>
  <c r="EQ2" i="21"/>
  <c r="BR63" i="12"/>
  <c r="Y63" i="12"/>
  <c r="BG63" i="12" s="1"/>
  <c r="BK63" i="12" s="1"/>
  <c r="BQ63" i="12"/>
  <c r="Z63" i="12"/>
  <c r="BI63" i="12" s="1"/>
  <c r="BN63" i="12"/>
  <c r="BM63" i="12"/>
  <c r="BL63" i="12"/>
  <c r="X63" i="12"/>
  <c r="BO63" i="12"/>
  <c r="BG58" i="12"/>
  <c r="BK58" i="12" s="1"/>
  <c r="ER2" i="21" l="1"/>
  <c r="EQ99" i="21"/>
  <c r="EQ100" i="21" s="1"/>
  <c r="EP132" i="21"/>
  <c r="EP133" i="21"/>
  <c r="EP131" i="21"/>
  <c r="EO173" i="21"/>
  <c r="EO172" i="21"/>
  <c r="EO171" i="21"/>
  <c r="EQ137" i="21"/>
  <c r="EP139" i="21"/>
  <c r="EP140" i="21" s="1"/>
  <c r="AA63" i="12"/>
  <c r="BP63" i="12"/>
  <c r="BC63" i="12"/>
  <c r="AX63" i="12"/>
  <c r="BG57" i="12"/>
  <c r="BK57" i="12" s="1"/>
  <c r="EP172" i="21" l="1"/>
  <c r="EP171" i="21"/>
  <c r="EP173" i="21"/>
  <c r="EQ139" i="21"/>
  <c r="EQ140" i="21" s="1"/>
  <c r="ER137" i="21"/>
  <c r="EQ132" i="21"/>
  <c r="EQ131" i="21"/>
  <c r="EQ133" i="21"/>
  <c r="ER99" i="21"/>
  <c r="ER100" i="21" s="1"/>
  <c r="ES2" i="21"/>
  <c r="AH64" i="12"/>
  <c r="BF64" i="12" s="1"/>
  <c r="AD64" i="12"/>
  <c r="BA64" i="12" s="1"/>
  <c r="AC64" i="12"/>
  <c r="AZ64" i="12" s="1"/>
  <c r="AB64" i="12"/>
  <c r="AF64" i="12"/>
  <c r="BD64" i="12" s="1"/>
  <c r="W64" i="12"/>
  <c r="BH63" i="12"/>
  <c r="BJ63" i="12" s="1"/>
  <c r="AG64" i="12"/>
  <c r="BE64" i="12" s="1"/>
  <c r="AE64" i="12"/>
  <c r="BB64" i="12" s="1"/>
  <c r="BG56" i="12"/>
  <c r="BK56" i="12" s="1"/>
  <c r="ER131" i="21" l="1"/>
  <c r="ER133" i="21"/>
  <c r="ER132" i="21"/>
  <c r="ER139" i="21"/>
  <c r="ER140" i="21" s="1"/>
  <c r="ES137" i="21"/>
  <c r="EQ171" i="21"/>
  <c r="EQ173" i="21"/>
  <c r="EQ172" i="21"/>
  <c r="ES99" i="21"/>
  <c r="ES100" i="21" s="1"/>
  <c r="ET2" i="21"/>
  <c r="BM64" i="12"/>
  <c r="BO64" i="12"/>
  <c r="X64" i="12"/>
  <c r="Y64" i="12"/>
  <c r="BG64" i="12" s="1"/>
  <c r="BK64" i="12" s="1"/>
  <c r="BL64" i="12"/>
  <c r="Z64" i="12"/>
  <c r="BI64" i="12" s="1"/>
  <c r="BN64" i="12"/>
  <c r="BR64" i="12"/>
  <c r="BQ64" i="12"/>
  <c r="BG55" i="12"/>
  <c r="BK55" i="12" s="1"/>
  <c r="ET99" i="21" l="1"/>
  <c r="ET100" i="21" s="1"/>
  <c r="EU2" i="21"/>
  <c r="ES133" i="21"/>
  <c r="ES132" i="21"/>
  <c r="ES131" i="21"/>
  <c r="ES139" i="21"/>
  <c r="ES140" i="21" s="1"/>
  <c r="ET137" i="21"/>
  <c r="ER173" i="21"/>
  <c r="ER172" i="21"/>
  <c r="ER171" i="21"/>
  <c r="BP64" i="12"/>
  <c r="BC64" i="12"/>
  <c r="AX64" i="12"/>
  <c r="AA64" i="12"/>
  <c r="BG54" i="12"/>
  <c r="BK54" i="12" s="1"/>
  <c r="ES173" i="21" l="1"/>
  <c r="ES171" i="21"/>
  <c r="ES172" i="21"/>
  <c r="ET139" i="21"/>
  <c r="ET140" i="21" s="1"/>
  <c r="EU137" i="21"/>
  <c r="EU99" i="21"/>
  <c r="EU100" i="21" s="1"/>
  <c r="EV2" i="21"/>
  <c r="ET131" i="21"/>
  <c r="ET133" i="21"/>
  <c r="ET132" i="21"/>
  <c r="AG65" i="12"/>
  <c r="BE65" i="12" s="1"/>
  <c r="AD65" i="12"/>
  <c r="BA65" i="12" s="1"/>
  <c r="AH65" i="12"/>
  <c r="BF65" i="12" s="1"/>
  <c r="AB65" i="12"/>
  <c r="AC65" i="12"/>
  <c r="AZ65" i="12" s="1"/>
  <c r="AE65" i="12"/>
  <c r="BB65" i="12" s="1"/>
  <c r="W65" i="12"/>
  <c r="BH64" i="12"/>
  <c r="BJ64" i="12" s="1"/>
  <c r="AF65" i="12"/>
  <c r="BD65" i="12" s="1"/>
  <c r="BG53" i="12"/>
  <c r="BK53" i="12" s="1"/>
  <c r="EV99" i="21" l="1"/>
  <c r="EV100" i="21" s="1"/>
  <c r="EW2" i="21"/>
  <c r="EU131" i="21"/>
  <c r="EU133" i="21"/>
  <c r="EU132" i="21"/>
  <c r="EV137" i="21"/>
  <c r="EU139" i="21"/>
  <c r="EU140" i="21" s="1"/>
  <c r="ET172" i="21"/>
  <c r="ET171" i="21"/>
  <c r="ET173" i="21"/>
  <c r="BR65" i="12"/>
  <c r="BO65" i="12"/>
  <c r="BL65" i="12"/>
  <c r="BQ65" i="12"/>
  <c r="BM65" i="12"/>
  <c r="X65" i="12"/>
  <c r="BN65" i="12"/>
  <c r="Z65" i="12"/>
  <c r="BI65" i="12" s="1"/>
  <c r="Y65" i="12"/>
  <c r="BG65" i="12" s="1"/>
  <c r="BK65" i="12" s="1"/>
  <c r="BG52" i="12"/>
  <c r="BK52" i="12" s="1"/>
  <c r="EU173" i="21" l="1"/>
  <c r="EU172" i="21"/>
  <c r="EU171" i="21"/>
  <c r="EV139" i="21"/>
  <c r="EV140" i="21" s="1"/>
  <c r="EW137" i="21"/>
  <c r="EW99" i="21"/>
  <c r="EW100" i="21" s="1"/>
  <c r="EX2" i="21"/>
  <c r="EV131" i="21"/>
  <c r="EV133" i="21"/>
  <c r="EV132" i="21"/>
  <c r="BP65" i="12"/>
  <c r="AX65" i="12"/>
  <c r="BC65" i="12"/>
  <c r="AA65" i="12"/>
  <c r="BG51" i="12"/>
  <c r="BK51" i="12" s="1"/>
  <c r="EX99" i="21" l="1"/>
  <c r="EX100" i="21" s="1"/>
  <c r="EY2" i="21"/>
  <c r="EW133" i="21"/>
  <c r="EW132" i="21"/>
  <c r="EW131" i="21"/>
  <c r="EX137" i="21"/>
  <c r="EW139" i="21"/>
  <c r="EW140" i="21" s="1"/>
  <c r="EV173" i="21"/>
  <c r="EV172" i="21"/>
  <c r="EV171" i="21"/>
  <c r="BH65" i="12"/>
  <c r="BJ65" i="12" s="1"/>
  <c r="AD66" i="12"/>
  <c r="BA66" i="12" s="1"/>
  <c r="AG66" i="12"/>
  <c r="BE66" i="12" s="1"/>
  <c r="AB66" i="12"/>
  <c r="AE66" i="12"/>
  <c r="BB66" i="12" s="1"/>
  <c r="AF66" i="12"/>
  <c r="BD66" i="12" s="1"/>
  <c r="W66" i="12"/>
  <c r="AC66" i="12"/>
  <c r="AZ66" i="12" s="1"/>
  <c r="AH66" i="12"/>
  <c r="BF66" i="12" s="1"/>
  <c r="BG50" i="12"/>
  <c r="BK50" i="12" s="1"/>
  <c r="EW173" i="21" l="1"/>
  <c r="EW171" i="21"/>
  <c r="EW172" i="21"/>
  <c r="EX139" i="21"/>
  <c r="EX140" i="21" s="1"/>
  <c r="EY137" i="21"/>
  <c r="EY99" i="21"/>
  <c r="EY100" i="21" s="1"/>
  <c r="EZ2" i="21"/>
  <c r="EX132" i="21"/>
  <c r="EX131" i="21"/>
  <c r="EX133" i="21"/>
  <c r="Y66" i="12"/>
  <c r="BG66" i="12" s="1"/>
  <c r="BK66" i="12" s="1"/>
  <c r="BM66" i="12"/>
  <c r="X66" i="12"/>
  <c r="BO66" i="12"/>
  <c r="BL66" i="12"/>
  <c r="BR66" i="12"/>
  <c r="BQ66" i="12"/>
  <c r="Z66" i="12"/>
  <c r="BI66" i="12" s="1"/>
  <c r="BN66" i="12"/>
  <c r="BG49" i="12"/>
  <c r="BK49" i="12" s="1"/>
  <c r="FA2" i="21" l="1"/>
  <c r="EZ99" i="21"/>
  <c r="EZ100" i="21" s="1"/>
  <c r="EY131" i="21"/>
  <c r="EY133" i="21"/>
  <c r="EY132" i="21"/>
  <c r="EZ137" i="21"/>
  <c r="EY139" i="21"/>
  <c r="EY140" i="21" s="1"/>
  <c r="EX173" i="21"/>
  <c r="EX171" i="21"/>
  <c r="EX172" i="21"/>
  <c r="BC66" i="12"/>
  <c r="AX66" i="12"/>
  <c r="AA66" i="12"/>
  <c r="BP66" i="12"/>
  <c r="BG48" i="12"/>
  <c r="BK48" i="12" s="1"/>
  <c r="EY172" i="21" l="1"/>
  <c r="EY173" i="21"/>
  <c r="EY171" i="21"/>
  <c r="EZ139" i="21"/>
  <c r="EZ140" i="21" s="1"/>
  <c r="FA137" i="21"/>
  <c r="EZ133" i="21"/>
  <c r="EZ132" i="21"/>
  <c r="EZ131" i="21"/>
  <c r="FB2" i="21"/>
  <c r="FA99" i="21"/>
  <c r="FA100" i="21" s="1"/>
  <c r="W67" i="12"/>
  <c r="AD67" i="12"/>
  <c r="BA67" i="12" s="1"/>
  <c r="AF67" i="12"/>
  <c r="BD67" i="12" s="1"/>
  <c r="AB67" i="12"/>
  <c r="AH67" i="12"/>
  <c r="BF67" i="12" s="1"/>
  <c r="BH66" i="12"/>
  <c r="BJ66" i="12" s="1"/>
  <c r="AE67" i="12"/>
  <c r="BB67" i="12" s="1"/>
  <c r="AC67" i="12"/>
  <c r="AZ67" i="12" s="1"/>
  <c r="AG67" i="12"/>
  <c r="BE67" i="12" s="1"/>
  <c r="BG47" i="12"/>
  <c r="BK47" i="12" s="1"/>
  <c r="FA131" i="21" l="1"/>
  <c r="FA132" i="21"/>
  <c r="FA133" i="21"/>
  <c r="EZ171" i="21"/>
  <c r="EZ172" i="21"/>
  <c r="EZ173" i="21"/>
  <c r="FC2" i="21"/>
  <c r="FB99" i="21"/>
  <c r="FB100" i="21" s="1"/>
  <c r="FB137" i="21"/>
  <c r="FA139" i="21"/>
  <c r="FA140" i="21" s="1"/>
  <c r="BM67" i="12"/>
  <c r="BL67" i="12"/>
  <c r="Y67" i="12"/>
  <c r="BG67" i="12" s="1"/>
  <c r="BK67" i="12" s="1"/>
  <c r="BO67" i="12"/>
  <c r="Z67" i="12"/>
  <c r="BI67" i="12" s="1"/>
  <c r="X67" i="12"/>
  <c r="BR67" i="12"/>
  <c r="BN67" i="12"/>
  <c r="BQ67" i="12"/>
  <c r="BG46" i="12"/>
  <c r="BK46" i="12" s="1"/>
  <c r="FA173" i="21" l="1"/>
  <c r="FA172" i="21"/>
  <c r="FA171" i="21"/>
  <c r="FC99" i="21"/>
  <c r="FC100" i="21" s="1"/>
  <c r="FD2" i="21"/>
  <c r="FB131" i="21"/>
  <c r="FB132" i="21"/>
  <c r="FB133" i="21"/>
  <c r="FB139" i="21"/>
  <c r="FB140" i="21" s="1"/>
  <c r="FC137" i="21"/>
  <c r="BP67" i="12"/>
  <c r="AX67" i="12"/>
  <c r="BC67" i="12"/>
  <c r="AA67" i="12"/>
  <c r="BG45" i="12"/>
  <c r="BK45" i="12" s="1"/>
  <c r="FD137" i="21" l="1"/>
  <c r="FC139" i="21"/>
  <c r="FC140" i="21" s="1"/>
  <c r="FB171" i="21"/>
  <c r="FB172" i="21"/>
  <c r="FB173" i="21"/>
  <c r="FD99" i="21"/>
  <c r="FD100" i="21" s="1"/>
  <c r="FE2" i="21"/>
  <c r="FC131" i="21"/>
  <c r="FC133" i="21"/>
  <c r="FC132" i="21"/>
  <c r="AC68" i="12"/>
  <c r="AZ68" i="12" s="1"/>
  <c r="AH68" i="12"/>
  <c r="BF68" i="12" s="1"/>
  <c r="AE68" i="12"/>
  <c r="BB68" i="12" s="1"/>
  <c r="BH67" i="12"/>
  <c r="BJ67" i="12" s="1"/>
  <c r="W68" i="12"/>
  <c r="AF68" i="12"/>
  <c r="BD68" i="12" s="1"/>
  <c r="AD68" i="12"/>
  <c r="BA68" i="12" s="1"/>
  <c r="AB68" i="12"/>
  <c r="AG68" i="12"/>
  <c r="BE68" i="12" s="1"/>
  <c r="BG44" i="12"/>
  <c r="BK44" i="12" s="1"/>
  <c r="FE99" i="21" l="1"/>
  <c r="FE100" i="21" s="1"/>
  <c r="FF2" i="21"/>
  <c r="FD133" i="21"/>
  <c r="FD131" i="21"/>
  <c r="FD132" i="21"/>
  <c r="FC171" i="21"/>
  <c r="FC173" i="21"/>
  <c r="FC172" i="21"/>
  <c r="FE137" i="21"/>
  <c r="FD139" i="21"/>
  <c r="FD140" i="21" s="1"/>
  <c r="Z68" i="12"/>
  <c r="BI68" i="12" s="1"/>
  <c r="Y68" i="12"/>
  <c r="BG68" i="12" s="1"/>
  <c r="BK68" i="12" s="1"/>
  <c r="BR68" i="12"/>
  <c r="BM68" i="12"/>
  <c r="BN68" i="12"/>
  <c r="BO68" i="12"/>
  <c r="BQ68" i="12"/>
  <c r="BL68" i="12"/>
  <c r="X68" i="12"/>
  <c r="BG43" i="12"/>
  <c r="BK43" i="12" s="1"/>
  <c r="FD172" i="21" l="1"/>
  <c r="FD171" i="21"/>
  <c r="FD173" i="21"/>
  <c r="FE139" i="21"/>
  <c r="FE140" i="21" s="1"/>
  <c r="FF137" i="21"/>
  <c r="FG2" i="21"/>
  <c r="FF99" i="21"/>
  <c r="FF100" i="21" s="1"/>
  <c r="FE132" i="21"/>
  <c r="FE131" i="21"/>
  <c r="FE133" i="21"/>
  <c r="AA68" i="12"/>
  <c r="AG69" i="12" s="1"/>
  <c r="BE69" i="12" s="1"/>
  <c r="BP68" i="12"/>
  <c r="BC68" i="12"/>
  <c r="AX68" i="12"/>
  <c r="BG42" i="12"/>
  <c r="BK42" i="12" s="1"/>
  <c r="FG99" i="21" l="1"/>
  <c r="FG100" i="21" s="1"/>
  <c r="FH2" i="21"/>
  <c r="FF139" i="21"/>
  <c r="FF140" i="21" s="1"/>
  <c r="FG137" i="21"/>
  <c r="FF132" i="21"/>
  <c r="FF133" i="21"/>
  <c r="FF131" i="21"/>
  <c r="FE172" i="21"/>
  <c r="FE173" i="21"/>
  <c r="FE171" i="21"/>
  <c r="AE69" i="12"/>
  <c r="BB69" i="12" s="1"/>
  <c r="W69" i="12"/>
  <c r="Z69" i="12" s="1"/>
  <c r="BI69" i="12" s="1"/>
  <c r="AH69" i="12"/>
  <c r="BF69" i="12" s="1"/>
  <c r="AB69" i="12"/>
  <c r="BH68" i="12"/>
  <c r="BJ68" i="12" s="1"/>
  <c r="AD69" i="12"/>
  <c r="BA69" i="12" s="1"/>
  <c r="AF69" i="12"/>
  <c r="BD69" i="12" s="1"/>
  <c r="AC69" i="12"/>
  <c r="AZ69" i="12" s="1"/>
  <c r="BG41" i="12"/>
  <c r="BK41" i="12" s="1"/>
  <c r="FH137" i="21" l="1"/>
  <c r="FG139" i="21"/>
  <c r="FG140" i="21" s="1"/>
  <c r="FF172" i="21"/>
  <c r="FF171" i="21"/>
  <c r="FF173" i="21"/>
  <c r="FI2" i="21"/>
  <c r="FH99" i="21"/>
  <c r="FH100" i="21" s="1"/>
  <c r="FG132" i="21"/>
  <c r="FG133" i="21"/>
  <c r="FG131" i="21"/>
  <c r="BM69" i="12"/>
  <c r="BL69" i="12"/>
  <c r="BR69" i="12"/>
  <c r="Y69" i="12"/>
  <c r="BG69" i="12" s="1"/>
  <c r="BK69" i="12" s="1"/>
  <c r="BN69" i="12"/>
  <c r="BO69" i="12"/>
  <c r="X69" i="12"/>
  <c r="BC69" i="12" s="1"/>
  <c r="BQ69" i="12"/>
  <c r="BG40" i="12"/>
  <c r="BK40" i="12" s="1"/>
  <c r="AA69" i="12" l="1"/>
  <c r="AD70" i="12" s="1"/>
  <c r="BA70" i="12" s="1"/>
  <c r="AX69" i="12"/>
  <c r="BP69" i="12"/>
  <c r="FH133" i="21"/>
  <c r="FH132" i="21"/>
  <c r="FH131" i="21"/>
  <c r="FI99" i="21"/>
  <c r="FI100" i="21" s="1"/>
  <c r="FJ2" i="21"/>
  <c r="FG173" i="21"/>
  <c r="FG172" i="21"/>
  <c r="FG171" i="21"/>
  <c r="FH139" i="21"/>
  <c r="FH140" i="21" s="1"/>
  <c r="FI137" i="21"/>
  <c r="BG39" i="12"/>
  <c r="BK39" i="12" s="1"/>
  <c r="AC70" i="12" l="1"/>
  <c r="AZ70" i="12" s="1"/>
  <c r="AF70" i="12"/>
  <c r="BD70" i="12" s="1"/>
  <c r="BH69" i="12"/>
  <c r="BJ69" i="12" s="1"/>
  <c r="AB70" i="12"/>
  <c r="W70" i="12"/>
  <c r="BL70" i="12" s="1"/>
  <c r="AE70" i="12"/>
  <c r="BB70" i="12" s="1"/>
  <c r="AG70" i="12"/>
  <c r="BE70" i="12" s="1"/>
  <c r="AH70" i="12"/>
  <c r="BF70" i="12" s="1"/>
  <c r="FI139" i="21"/>
  <c r="FI140" i="21" s="1"/>
  <c r="FJ137" i="21"/>
  <c r="FH173" i="21"/>
  <c r="FH171" i="21"/>
  <c r="FH172" i="21"/>
  <c r="FJ99" i="21"/>
  <c r="FJ100" i="21" s="1"/>
  <c r="FK2" i="21"/>
  <c r="FI133" i="21"/>
  <c r="FI132" i="21"/>
  <c r="FI131" i="21"/>
  <c r="BG38" i="12"/>
  <c r="BK38" i="12" s="1"/>
  <c r="BQ70" i="12" l="1"/>
  <c r="BM70" i="12"/>
  <c r="BO70" i="12"/>
  <c r="Z70" i="12"/>
  <c r="BI70" i="12" s="1"/>
  <c r="X70" i="12"/>
  <c r="AX70" i="12" s="1"/>
  <c r="Y70" i="12"/>
  <c r="BG70" i="12" s="1"/>
  <c r="BK70" i="12" s="1"/>
  <c r="BN70" i="12"/>
  <c r="BR70" i="12"/>
  <c r="FK99" i="21"/>
  <c r="FK100" i="21" s="1"/>
  <c r="FL2" i="21"/>
  <c r="FJ131" i="21"/>
  <c r="FJ133" i="21"/>
  <c r="FJ132" i="21"/>
  <c r="FK137" i="21"/>
  <c r="FJ139" i="21"/>
  <c r="FJ140" i="21" s="1"/>
  <c r="FI173" i="21"/>
  <c r="FI172" i="21"/>
  <c r="FI171" i="21"/>
  <c r="BG37" i="12"/>
  <c r="BK37" i="12" s="1"/>
  <c r="BP70" i="12" l="1"/>
  <c r="AA70" i="12"/>
  <c r="AC71" i="12" s="1"/>
  <c r="AZ71" i="12" s="1"/>
  <c r="BC70" i="12"/>
  <c r="FJ173" i="21"/>
  <c r="FJ171" i="21"/>
  <c r="FJ172" i="21"/>
  <c r="FK139" i="21"/>
  <c r="FK140" i="21" s="1"/>
  <c r="FL137" i="21"/>
  <c r="FM2" i="21"/>
  <c r="FL99" i="21"/>
  <c r="FL100" i="21" s="1"/>
  <c r="FK133" i="21"/>
  <c r="FK132" i="21"/>
  <c r="FK131" i="21"/>
  <c r="BG36" i="12"/>
  <c r="BK36" i="12" s="1"/>
  <c r="BH70" i="12" l="1"/>
  <c r="BJ70" i="12" s="1"/>
  <c r="AH71" i="12"/>
  <c r="BF71" i="12" s="1"/>
  <c r="AB71" i="12"/>
  <c r="AD71" i="12"/>
  <c r="BA71" i="12" s="1"/>
  <c r="AG71" i="12"/>
  <c r="BE71" i="12" s="1"/>
  <c r="W71" i="12"/>
  <c r="Z71" i="12" s="1"/>
  <c r="BI71" i="12" s="1"/>
  <c r="AE71" i="12"/>
  <c r="BB71" i="12" s="1"/>
  <c r="AF71" i="12"/>
  <c r="BD71" i="12" s="1"/>
  <c r="FL132" i="21"/>
  <c r="FL131" i="21"/>
  <c r="FL133" i="21"/>
  <c r="FM99" i="21"/>
  <c r="FM100" i="21" s="1"/>
  <c r="FN2" i="21"/>
  <c r="FL139" i="21"/>
  <c r="FL140" i="21" s="1"/>
  <c r="FM137" i="21"/>
  <c r="FK171" i="21"/>
  <c r="FK173" i="21"/>
  <c r="FK172" i="21"/>
  <c r="BG35" i="12"/>
  <c r="BK35" i="12" s="1"/>
  <c r="BO71" i="12" l="1"/>
  <c r="BR71" i="12"/>
  <c r="BM71" i="12"/>
  <c r="Y71" i="12"/>
  <c r="BG71" i="12" s="1"/>
  <c r="BK71" i="12" s="1"/>
  <c r="X71" i="12"/>
  <c r="BC71" i="12" s="1"/>
  <c r="BN71" i="12"/>
  <c r="BL71" i="12"/>
  <c r="BQ71" i="12"/>
  <c r="FM139" i="21"/>
  <c r="FM140" i="21" s="1"/>
  <c r="FN137" i="21"/>
  <c r="FO2" i="21"/>
  <c r="FN99" i="21"/>
  <c r="FN100" i="21" s="1"/>
  <c r="FM132" i="21"/>
  <c r="FM133" i="21"/>
  <c r="FM131" i="21"/>
  <c r="FL172" i="21"/>
  <c r="FL173" i="21"/>
  <c r="FL171" i="21"/>
  <c r="BG34" i="12"/>
  <c r="BK34" i="12" s="1"/>
  <c r="BP71" i="12" l="1"/>
  <c r="AA71" i="12"/>
  <c r="AC72" i="12" s="1"/>
  <c r="AZ72" i="12" s="1"/>
  <c r="AX71" i="12"/>
  <c r="FN133" i="21"/>
  <c r="FN131" i="21"/>
  <c r="FN132" i="21"/>
  <c r="FO99" i="21"/>
  <c r="FO100" i="21" s="1"/>
  <c r="FP2" i="21"/>
  <c r="FN139" i="21"/>
  <c r="FN140" i="21" s="1"/>
  <c r="FO137" i="21"/>
  <c r="FM173" i="21"/>
  <c r="FM171" i="21"/>
  <c r="FM172" i="21"/>
  <c r="BG33" i="12"/>
  <c r="BK33" i="12" s="1"/>
  <c r="AG72" i="12" l="1"/>
  <c r="BE72" i="12" s="1"/>
  <c r="AF72" i="12"/>
  <c r="BD72" i="12" s="1"/>
  <c r="AH72" i="12"/>
  <c r="BF72" i="12" s="1"/>
  <c r="BH71" i="12"/>
  <c r="BJ71" i="12" s="1"/>
  <c r="AE72" i="12"/>
  <c r="BB72" i="12" s="1"/>
  <c r="AB72" i="12"/>
  <c r="AD72" i="12"/>
  <c r="BA72" i="12" s="1"/>
  <c r="W72" i="12"/>
  <c r="Z72" i="12" s="1"/>
  <c r="BI72" i="12" s="1"/>
  <c r="FO139" i="21"/>
  <c r="FO140" i="21" s="1"/>
  <c r="FP137" i="21"/>
  <c r="FN172" i="21"/>
  <c r="FN171" i="21"/>
  <c r="FN173" i="21"/>
  <c r="FP99" i="21"/>
  <c r="FP100" i="21" s="1"/>
  <c r="FQ2" i="21"/>
  <c r="FO133" i="21"/>
  <c r="FO131" i="21"/>
  <c r="FO132" i="21"/>
  <c r="BG32" i="12"/>
  <c r="BK32" i="12" s="1"/>
  <c r="BL72" i="12" l="1"/>
  <c r="BO72" i="12"/>
  <c r="BM72" i="12"/>
  <c r="Y72" i="12"/>
  <c r="BG72" i="12" s="1"/>
  <c r="BK72" i="12" s="1"/>
  <c r="X72" i="12"/>
  <c r="BN72" i="12"/>
  <c r="BR72" i="12"/>
  <c r="BQ72" i="12"/>
  <c r="FQ99" i="21"/>
  <c r="FQ100" i="21" s="1"/>
  <c r="FR2" i="21"/>
  <c r="FQ137" i="21"/>
  <c r="FP139" i="21"/>
  <c r="FP140" i="21" s="1"/>
  <c r="FP132" i="21"/>
  <c r="FP133" i="21"/>
  <c r="FP131" i="21"/>
  <c r="FO171" i="21"/>
  <c r="FO172" i="21"/>
  <c r="FO173" i="21"/>
  <c r="BG31" i="12"/>
  <c r="BK31" i="12" s="1"/>
  <c r="AA72" i="12" l="1"/>
  <c r="AD73" i="12" s="1"/>
  <c r="BA73" i="12" s="1"/>
  <c r="BP72" i="12"/>
  <c r="BC72" i="12"/>
  <c r="AX72" i="12"/>
  <c r="FP172" i="21"/>
  <c r="FP173" i="21"/>
  <c r="FP171" i="21"/>
  <c r="FR137" i="21"/>
  <c r="FQ139" i="21"/>
  <c r="FQ140" i="21" s="1"/>
  <c r="FR99" i="21"/>
  <c r="FR100" i="21" s="1"/>
  <c r="FS2" i="21"/>
  <c r="FQ132" i="21"/>
  <c r="FQ131" i="21"/>
  <c r="FQ133" i="21"/>
  <c r="BG30" i="12"/>
  <c r="BK30" i="12" s="1"/>
  <c r="BH72" i="12" l="1"/>
  <c r="BJ72" i="12" s="1"/>
  <c r="AH73" i="12"/>
  <c r="BF73" i="12" s="1"/>
  <c r="AF73" i="12"/>
  <c r="BD73" i="12" s="1"/>
  <c r="AG73" i="12"/>
  <c r="BE73" i="12" s="1"/>
  <c r="AB73" i="12"/>
  <c r="AE73" i="12"/>
  <c r="BB73" i="12" s="1"/>
  <c r="W73" i="12"/>
  <c r="BN73" i="12" s="1"/>
  <c r="AC73" i="12"/>
  <c r="AZ73" i="12" s="1"/>
  <c r="FT2" i="21"/>
  <c r="FS99" i="21"/>
  <c r="FS100" i="21" s="1"/>
  <c r="FR133" i="21"/>
  <c r="FR131" i="21"/>
  <c r="FR132" i="21"/>
  <c r="FQ173" i="21"/>
  <c r="FQ171" i="21"/>
  <c r="FQ172" i="21"/>
  <c r="FR139" i="21"/>
  <c r="FR140" i="21" s="1"/>
  <c r="FS137" i="21"/>
  <c r="BG29" i="12"/>
  <c r="BK29" i="12" s="1"/>
  <c r="Y73" i="12" l="1"/>
  <c r="BG73" i="12" s="1"/>
  <c r="BK73" i="12" s="1"/>
  <c r="BR73" i="12"/>
  <c r="BL73" i="12"/>
  <c r="BO73" i="12"/>
  <c r="BP73" i="12" s="1"/>
  <c r="Z73" i="12"/>
  <c r="BI73" i="12" s="1"/>
  <c r="BM73" i="12"/>
  <c r="BQ73" i="12"/>
  <c r="X73" i="12"/>
  <c r="AA73" i="12" s="1"/>
  <c r="W74" i="12" s="1"/>
  <c r="FT137" i="21"/>
  <c r="FS139" i="21"/>
  <c r="FS140" i="21" s="1"/>
  <c r="FR172" i="21"/>
  <c r="FR171" i="21"/>
  <c r="FR173" i="21"/>
  <c r="FS132" i="21"/>
  <c r="FS131" i="21"/>
  <c r="FS133" i="21"/>
  <c r="FT99" i="21"/>
  <c r="FT100" i="21" s="1"/>
  <c r="FU2" i="21"/>
  <c r="BG28" i="12"/>
  <c r="BK28" i="12" s="1"/>
  <c r="BC73" i="12" l="1"/>
  <c r="AX73" i="12"/>
  <c r="FU99" i="21"/>
  <c r="FU100" i="21" s="1"/>
  <c r="FV2" i="21"/>
  <c r="FT131" i="21"/>
  <c r="FT133" i="21"/>
  <c r="FT132" i="21"/>
  <c r="FS173" i="21"/>
  <c r="FS171" i="21"/>
  <c r="FS172" i="21"/>
  <c r="FT139" i="21"/>
  <c r="FT140" i="21" s="1"/>
  <c r="FU137" i="21"/>
  <c r="AE74" i="12"/>
  <c r="BB74" i="12" s="1"/>
  <c r="AF74" i="12"/>
  <c r="BD74" i="12" s="1"/>
  <c r="AB74" i="12"/>
  <c r="AG74" i="12"/>
  <c r="BE74" i="12" s="1"/>
  <c r="AH74" i="12"/>
  <c r="BF74" i="12" s="1"/>
  <c r="AD74" i="12"/>
  <c r="BA74" i="12" s="1"/>
  <c r="AC74" i="12"/>
  <c r="AZ74" i="12" s="1"/>
  <c r="BH73" i="12"/>
  <c r="BJ73" i="12" s="1"/>
  <c r="BO74" i="12"/>
  <c r="BN74" i="12"/>
  <c r="Z74" i="12"/>
  <c r="BI74" i="12" s="1"/>
  <c r="Y74" i="12"/>
  <c r="BG74" i="12" s="1"/>
  <c r="BK74" i="12" s="1"/>
  <c r="BQ74" i="12"/>
  <c r="BR74" i="12"/>
  <c r="X74" i="12"/>
  <c r="BM74" i="12"/>
  <c r="BL74" i="12"/>
  <c r="BG27" i="12"/>
  <c r="BK27" i="12" s="1"/>
  <c r="FT172" i="21" l="1"/>
  <c r="FT173" i="21"/>
  <c r="FT171" i="21"/>
  <c r="FV137" i="21"/>
  <c r="FU139" i="21"/>
  <c r="FU140" i="21" s="1"/>
  <c r="FW2" i="21"/>
  <c r="FV99" i="21"/>
  <c r="FV100" i="21" s="1"/>
  <c r="FU131" i="21"/>
  <c r="FU133" i="21"/>
  <c r="FU132" i="21"/>
  <c r="BP74" i="12"/>
  <c r="BC74" i="12"/>
  <c r="AX74" i="12"/>
  <c r="AA74" i="12"/>
  <c r="BG26" i="12"/>
  <c r="BK26" i="12" s="1"/>
  <c r="FV133" i="21" l="1"/>
  <c r="FV132" i="21"/>
  <c r="FV131" i="21"/>
  <c r="FW99" i="21"/>
  <c r="FW100" i="21" s="1"/>
  <c r="FX2" i="21"/>
  <c r="FU173" i="21"/>
  <c r="FU171" i="21"/>
  <c r="FU172" i="21"/>
  <c r="FV139" i="21"/>
  <c r="FV140" i="21" s="1"/>
  <c r="FW137" i="21"/>
  <c r="AB75" i="12"/>
  <c r="AD75" i="12"/>
  <c r="BA75" i="12" s="1"/>
  <c r="AG75" i="12"/>
  <c r="BE75" i="12" s="1"/>
  <c r="AF75" i="12"/>
  <c r="BD75" i="12" s="1"/>
  <c r="AC75" i="12"/>
  <c r="AZ75" i="12" s="1"/>
  <c r="AE75" i="12"/>
  <c r="BB75" i="12" s="1"/>
  <c r="W75" i="12"/>
  <c r="AH75" i="12"/>
  <c r="BF75" i="12" s="1"/>
  <c r="BH74" i="12"/>
  <c r="BJ74" i="12" s="1"/>
  <c r="BG25" i="12"/>
  <c r="BK25" i="12" s="1"/>
  <c r="FW139" i="21" l="1"/>
  <c r="FW140" i="21" s="1"/>
  <c r="FX137" i="21"/>
  <c r="FV173" i="21"/>
  <c r="FV172" i="21"/>
  <c r="FV171" i="21"/>
  <c r="FX99" i="21"/>
  <c r="FX100" i="21" s="1"/>
  <c r="FY2" i="21"/>
  <c r="FY99" i="21" s="1"/>
  <c r="FY100" i="21" s="1"/>
  <c r="FW132" i="21"/>
  <c r="FW133" i="21"/>
  <c r="FW131" i="21"/>
  <c r="BR75" i="12"/>
  <c r="BQ75" i="12"/>
  <c r="BL75" i="12"/>
  <c r="BN75" i="12"/>
  <c r="Y75" i="12"/>
  <c r="BG75" i="12" s="1"/>
  <c r="BK75" i="12" s="1"/>
  <c r="Z75" i="12"/>
  <c r="BI75" i="12" s="1"/>
  <c r="BO75" i="12"/>
  <c r="BM75" i="12"/>
  <c r="X75" i="12"/>
  <c r="BG24" i="12"/>
  <c r="BK24" i="12" s="1"/>
  <c r="BP75" i="12" l="1"/>
  <c r="FY131" i="21"/>
  <c r="FY133" i="21"/>
  <c r="FY132" i="21"/>
  <c r="FX131" i="21"/>
  <c r="FX132" i="21"/>
  <c r="FX133" i="21"/>
  <c r="FY137" i="21"/>
  <c r="FY139" i="21" s="1"/>
  <c r="FY140" i="21" s="1"/>
  <c r="FX139" i="21"/>
  <c r="FX140" i="21" s="1"/>
  <c r="FW171" i="21"/>
  <c r="FW172" i="21"/>
  <c r="FW173" i="21"/>
  <c r="AA75" i="12"/>
  <c r="BC75" i="12"/>
  <c r="AX75" i="12"/>
  <c r="BG23" i="12"/>
  <c r="BK23" i="12" s="1"/>
  <c r="FY173" i="21" l="1"/>
  <c r="FY171" i="21"/>
  <c r="FY172" i="21"/>
  <c r="FX173" i="21"/>
  <c r="FX171" i="21"/>
  <c r="FX172" i="21"/>
  <c r="AF76" i="12"/>
  <c r="BD76" i="12" s="1"/>
  <c r="AE76" i="12"/>
  <c r="BB76" i="12" s="1"/>
  <c r="AD76" i="12"/>
  <c r="BA76" i="12" s="1"/>
  <c r="AB76" i="12"/>
  <c r="W76" i="12"/>
  <c r="AC76" i="12"/>
  <c r="AZ76" i="12" s="1"/>
  <c r="AG76" i="12"/>
  <c r="BE76" i="12" s="1"/>
  <c r="AH76" i="12"/>
  <c r="BF76" i="12" s="1"/>
  <c r="BH75" i="12"/>
  <c r="BJ75" i="12" s="1"/>
  <c r="BG22" i="12"/>
  <c r="BK22" i="12" s="1"/>
  <c r="BN76" i="12" l="1"/>
  <c r="BO76" i="12"/>
  <c r="Y76" i="12"/>
  <c r="BG76" i="12" s="1"/>
  <c r="BK76" i="12" s="1"/>
  <c r="BQ76" i="12"/>
  <c r="BR76" i="12"/>
  <c r="BM76" i="12"/>
  <c r="BL76" i="12"/>
  <c r="Z76" i="12"/>
  <c r="BI76" i="12" s="1"/>
  <c r="X76" i="12"/>
  <c r="BG21" i="12"/>
  <c r="BK21" i="12" s="1"/>
  <c r="BP76" i="12" l="1"/>
  <c r="AA76" i="12"/>
  <c r="AX76" i="12"/>
  <c r="BC76" i="12"/>
  <c r="BG20" i="12"/>
  <c r="BK20" i="12" s="1"/>
  <c r="AG77" i="12" l="1"/>
  <c r="BE77" i="12" s="1"/>
  <c r="AE77" i="12"/>
  <c r="BB77" i="12" s="1"/>
  <c r="AB77" i="12"/>
  <c r="AD77" i="12"/>
  <c r="BA77" i="12" s="1"/>
  <c r="AH77" i="12"/>
  <c r="BF77" i="12" s="1"/>
  <c r="AC77" i="12"/>
  <c r="AZ77" i="12" s="1"/>
  <c r="W77" i="12"/>
  <c r="AF77" i="12"/>
  <c r="BD77" i="12" s="1"/>
  <c r="BH76" i="12"/>
  <c r="BJ76" i="12" s="1"/>
  <c r="BG19" i="12"/>
  <c r="BK19" i="12" s="1"/>
  <c r="BN77" i="12" l="1"/>
  <c r="BM77" i="12"/>
  <c r="X77" i="12"/>
  <c r="BO77" i="12"/>
  <c r="Z77" i="12"/>
  <c r="BI77" i="12" s="1"/>
  <c r="BL77" i="12"/>
  <c r="BQ77" i="12"/>
  <c r="Y77" i="12"/>
  <c r="BG77" i="12" s="1"/>
  <c r="BK77" i="12" s="1"/>
  <c r="BR77" i="12"/>
  <c r="BG18" i="12"/>
  <c r="BK18" i="12" s="1"/>
  <c r="BP77" i="12" l="1"/>
  <c r="BC77" i="12"/>
  <c r="AX77" i="12"/>
  <c r="AA77" i="12"/>
  <c r="BG17" i="12"/>
  <c r="BK17" i="12" s="1"/>
  <c r="AC78" i="12" l="1"/>
  <c r="AZ78" i="12" s="1"/>
  <c r="AH78" i="12"/>
  <c r="BF78" i="12" s="1"/>
  <c r="AG78" i="12"/>
  <c r="BE78" i="12" s="1"/>
  <c r="AE78" i="12"/>
  <c r="BB78" i="12" s="1"/>
  <c r="W78" i="12"/>
  <c r="AB78" i="12"/>
  <c r="AD78" i="12"/>
  <c r="BA78" i="12" s="1"/>
  <c r="AF78" i="12"/>
  <c r="BD78" i="12" s="1"/>
  <c r="BH77" i="12"/>
  <c r="BJ77" i="12" s="1"/>
  <c r="BG16" i="12"/>
  <c r="BK16" i="12" s="1"/>
  <c r="BR78" i="12" l="1"/>
  <c r="BO78" i="12"/>
  <c r="X78" i="12"/>
  <c r="Y78" i="12"/>
  <c r="BG78" i="12" s="1"/>
  <c r="BK78" i="12" s="1"/>
  <c r="BM78" i="12"/>
  <c r="Z78" i="12"/>
  <c r="BI78" i="12" s="1"/>
  <c r="BQ78" i="12"/>
  <c r="BL78" i="12"/>
  <c r="BN78" i="12"/>
  <c r="BG15" i="12"/>
  <c r="BK15" i="12" s="1"/>
  <c r="AX78" i="12" l="1"/>
  <c r="BC78" i="12"/>
  <c r="AA78" i="12"/>
  <c r="BP78" i="12"/>
  <c r="BG14" i="12"/>
  <c r="AG79" i="12" l="1"/>
  <c r="BE79" i="12" s="1"/>
  <c r="AE79" i="12"/>
  <c r="BB79" i="12" s="1"/>
  <c r="AF79" i="12"/>
  <c r="BD79" i="12" s="1"/>
  <c r="BH78" i="12"/>
  <c r="BJ78" i="12" s="1"/>
  <c r="AB79" i="12"/>
  <c r="AC79" i="12"/>
  <c r="AZ79" i="12" s="1"/>
  <c r="AD79" i="12"/>
  <c r="BA79" i="12" s="1"/>
  <c r="AH79" i="12"/>
  <c r="BF79" i="12" s="1"/>
  <c r="W79" i="12"/>
  <c r="BK14" i="12"/>
  <c r="BM79" i="12" l="1"/>
  <c r="BL79" i="12"/>
  <c r="BR79" i="12"/>
  <c r="Z79" i="12"/>
  <c r="BI79" i="12" s="1"/>
  <c r="BN79" i="12"/>
  <c r="X79" i="12"/>
  <c r="BO79" i="12"/>
  <c r="Y79" i="12"/>
  <c r="BG79" i="12" s="1"/>
  <c r="BK79" i="12" s="1"/>
  <c r="BQ79" i="12"/>
  <c r="BG13" i="12"/>
  <c r="BK13" i="12" s="1"/>
  <c r="AA79" i="12" l="1"/>
  <c r="BH79" i="12" s="1"/>
  <c r="BP79" i="12"/>
  <c r="BC79" i="12"/>
  <c r="AX79" i="12"/>
  <c r="AH80" i="12" l="1"/>
  <c r="BF80" i="12" s="1"/>
  <c r="AB80" i="12"/>
  <c r="AG80" i="12"/>
  <c r="BE80" i="12" s="1"/>
  <c r="AC80" i="12"/>
  <c r="AZ80" i="12" s="1"/>
  <c r="W80" i="12"/>
  <c r="BO80" i="12" s="1"/>
  <c r="AD80" i="12"/>
  <c r="BA80" i="12" s="1"/>
  <c r="AF80" i="12"/>
  <c r="BD80" i="12" s="1"/>
  <c r="AE80" i="12"/>
  <c r="BB80" i="12" s="1"/>
  <c r="BJ79" i="12"/>
  <c r="BL80" i="12" l="1"/>
  <c r="BM80" i="12"/>
  <c r="BQ80" i="12"/>
  <c r="BN80" i="12"/>
  <c r="BP80" i="12" s="1"/>
  <c r="Y80" i="12"/>
  <c r="BG80" i="12" s="1"/>
  <c r="BK80" i="12" s="1"/>
  <c r="BR80" i="12"/>
  <c r="Z80" i="12"/>
  <c r="BI80" i="12" s="1"/>
  <c r="X80" i="12"/>
  <c r="BC80" i="12" s="1"/>
  <c r="AX80" i="12" l="1"/>
  <c r="AA80" i="12"/>
  <c r="AC81" i="12" s="1"/>
  <c r="AZ81" i="12" s="1"/>
  <c r="AH81" i="12" l="1"/>
  <c r="BF81" i="12" s="1"/>
  <c r="AG81" i="12"/>
  <c r="BE81" i="12" s="1"/>
  <c r="W81" i="12"/>
  <c r="Y81" i="12" s="1"/>
  <c r="BG81" i="12" s="1"/>
  <c r="BK81" i="12" s="1"/>
  <c r="AF81" i="12"/>
  <c r="BD81" i="12" s="1"/>
  <c r="AB81" i="12"/>
  <c r="AD81" i="12"/>
  <c r="BA81" i="12" s="1"/>
  <c r="AE81" i="12"/>
  <c r="BB81" i="12" s="1"/>
  <c r="BH80" i="12"/>
  <c r="BJ80" i="12" s="1"/>
  <c r="BR81" i="12" l="1"/>
  <c r="BQ81" i="12"/>
  <c r="BN81" i="12"/>
  <c r="BO81" i="12"/>
  <c r="BM81" i="12"/>
  <c r="BL81" i="12"/>
  <c r="Z81" i="12"/>
  <c r="BI81" i="12" s="1"/>
  <c r="X81" i="12"/>
  <c r="AA81" i="12" s="1"/>
  <c r="AG82" i="12" s="1"/>
  <c r="BE82" i="12" s="1"/>
  <c r="AF82" i="12" l="1"/>
  <c r="BD82" i="12" s="1"/>
  <c r="AC82" i="12"/>
  <c r="AZ82" i="12" s="1"/>
  <c r="AB82" i="12"/>
  <c r="AE82" i="12"/>
  <c r="BB82" i="12" s="1"/>
  <c r="BP81" i="12"/>
  <c r="AH82" i="12"/>
  <c r="BF82" i="12" s="1"/>
  <c r="W82" i="12"/>
  <c r="BN82" i="12" s="1"/>
  <c r="AX81" i="12"/>
  <c r="BC81" i="12"/>
  <c r="BH81" i="12"/>
  <c r="AD82" i="12"/>
  <c r="BA82" i="12" s="1"/>
  <c r="Y82" i="12" l="1"/>
  <c r="BG82" i="12" s="1"/>
  <c r="BK82" i="12" s="1"/>
  <c r="BJ81" i="12"/>
  <c r="BQ82" i="12"/>
  <c r="BL82" i="12"/>
  <c r="BM82" i="12"/>
  <c r="BR82" i="12"/>
  <c r="X82" i="12"/>
  <c r="BO82" i="12"/>
  <c r="BP82" i="12" s="1"/>
  <c r="Z82" i="12"/>
  <c r="BI82" i="12" s="1"/>
  <c r="AA82" i="12" l="1"/>
  <c r="AG83" i="12" s="1"/>
  <c r="BE83" i="12" s="1"/>
  <c r="BC82" i="12"/>
  <c r="AX82" i="12"/>
  <c r="AE83" i="12" l="1"/>
  <c r="BB83" i="12" s="1"/>
  <c r="AD83" i="12"/>
  <c r="BA83" i="12" s="1"/>
  <c r="AB83" i="12"/>
  <c r="BH82" i="12"/>
  <c r="BJ82" i="12" s="1"/>
  <c r="AF83" i="12"/>
  <c r="BD83" i="12" s="1"/>
  <c r="W83" i="12"/>
  <c r="BR83" i="12" s="1"/>
  <c r="AC83" i="12"/>
  <c r="AZ83" i="12" s="1"/>
  <c r="AH83" i="12"/>
  <c r="BF83" i="12" s="1"/>
  <c r="BM83" i="12" l="1"/>
  <c r="X83" i="12"/>
  <c r="AX83" i="12" s="1"/>
  <c r="Y83" i="12"/>
  <c r="BG83" i="12" s="1"/>
  <c r="BK83" i="12" s="1"/>
  <c r="BQ83" i="12"/>
  <c r="BN83" i="12"/>
  <c r="BO83" i="12"/>
  <c r="BL83" i="12"/>
  <c r="Z83" i="12"/>
  <c r="BI83" i="12" s="1"/>
  <c r="BP83" i="12" l="1"/>
  <c r="BC83" i="12"/>
  <c r="AA83" i="12"/>
  <c r="AH84" i="12" s="1"/>
  <c r="BF84" i="12" s="1"/>
  <c r="AG84" i="12" l="1"/>
  <c r="BE84" i="12" s="1"/>
  <c r="BH83" i="12"/>
  <c r="BJ83" i="12" s="1"/>
  <c r="AD84" i="12"/>
  <c r="BA84" i="12" s="1"/>
  <c r="AE84" i="12"/>
  <c r="BB84" i="12" s="1"/>
  <c r="AB84" i="12"/>
  <c r="W84" i="12"/>
  <c r="X84" i="12" s="1"/>
  <c r="AX84" i="12" s="1"/>
  <c r="AC84" i="12"/>
  <c r="AZ84" i="12" s="1"/>
  <c r="AF84" i="12"/>
  <c r="BD84" i="12" s="1"/>
  <c r="BN84" i="12" l="1"/>
  <c r="BL84" i="12"/>
  <c r="BQ84" i="12"/>
  <c r="Z84" i="12"/>
  <c r="BI84" i="12" s="1"/>
  <c r="Y84" i="12"/>
  <c r="BG84" i="12" s="1"/>
  <c r="BK84" i="12" s="1"/>
  <c r="BO84" i="12"/>
  <c r="BM84" i="12"/>
  <c r="BC84" i="12"/>
  <c r="BR84" i="12"/>
  <c r="BP84" i="12" l="1"/>
  <c r="AA84" i="12"/>
  <c r="W85" i="12" s="1"/>
  <c r="Z85" i="12" s="1"/>
  <c r="BI85" i="12" s="1"/>
  <c r="BQ85" i="12" l="1"/>
  <c r="AG85" i="12"/>
  <c r="BE85" i="12" s="1"/>
  <c r="AD85" i="12"/>
  <c r="BA85" i="12" s="1"/>
  <c r="AB85" i="12"/>
  <c r="BH84" i="12"/>
  <c r="BJ84" i="12" s="1"/>
  <c r="AF85" i="12"/>
  <c r="BD85" i="12" s="1"/>
  <c r="BM85" i="12"/>
  <c r="BL85" i="12"/>
  <c r="BO85" i="12"/>
  <c r="X85" i="12"/>
  <c r="BC85" i="12" s="1"/>
  <c r="Y85" i="12"/>
  <c r="BG85" i="12" s="1"/>
  <c r="BK85" i="12" s="1"/>
  <c r="BR85" i="12"/>
  <c r="AE85" i="12"/>
  <c r="BB85" i="12" s="1"/>
  <c r="BN85" i="12"/>
  <c r="AH85" i="12"/>
  <c r="BF85" i="12" s="1"/>
  <c r="AC85" i="12"/>
  <c r="AZ85" i="12" s="1"/>
  <c r="BP85" i="12" l="1"/>
  <c r="AX85" i="12"/>
  <c r="AA85" i="12"/>
  <c r="AD86" i="12" s="1"/>
  <c r="BA86" i="12" s="1"/>
  <c r="AB86" i="12" l="1"/>
  <c r="W86" i="12"/>
  <c r="BO86" i="12" s="1"/>
  <c r="AG86" i="12"/>
  <c r="BE86" i="12" s="1"/>
  <c r="BH85" i="12"/>
  <c r="BJ85" i="12" s="1"/>
  <c r="AH86" i="12"/>
  <c r="BF86" i="12" s="1"/>
  <c r="AC86" i="12"/>
  <c r="AZ86" i="12" s="1"/>
  <c r="AE86" i="12"/>
  <c r="BB86" i="12" s="1"/>
  <c r="AF86" i="12"/>
  <c r="BD86" i="12" s="1"/>
  <c r="BR86" i="12" l="1"/>
  <c r="BQ86" i="12"/>
  <c r="Z86" i="12"/>
  <c r="BI86" i="12" s="1"/>
  <c r="BN86" i="12"/>
  <c r="BP86" i="12" s="1"/>
  <c r="BL86" i="12"/>
  <c r="X86" i="12"/>
  <c r="BC86" i="12" s="1"/>
  <c r="BM86" i="12"/>
  <c r="Y86" i="12"/>
  <c r="BG86" i="12" s="1"/>
  <c r="BK86" i="12" s="1"/>
  <c r="AX86" i="12"/>
  <c r="AA86" i="12" l="1"/>
  <c r="AD87" i="12" s="1"/>
  <c r="BA87" i="12" s="1"/>
  <c r="AG87" i="12" l="1"/>
  <c r="BE87" i="12" s="1"/>
  <c r="AH87" i="12"/>
  <c r="BF87" i="12" s="1"/>
  <c r="AB87" i="12"/>
  <c r="AE87" i="12"/>
  <c r="BB87" i="12" s="1"/>
  <c r="AF87" i="12"/>
  <c r="BD87" i="12" s="1"/>
  <c r="AC87" i="12"/>
  <c r="AZ87" i="12" s="1"/>
  <c r="W87" i="12"/>
  <c r="Y87" i="12" s="1"/>
  <c r="BG87" i="12" s="1"/>
  <c r="BK87" i="12" s="1"/>
  <c r="BH86" i="12"/>
  <c r="BJ86" i="12" s="1"/>
  <c r="BN87" i="12" l="1"/>
  <c r="BQ87" i="12"/>
  <c r="BR87" i="12"/>
  <c r="BO87" i="12"/>
  <c r="X87" i="12"/>
  <c r="BC87" i="12" s="1"/>
  <c r="Z87" i="12"/>
  <c r="BI87" i="12" s="1"/>
  <c r="BM87" i="12"/>
  <c r="BL87" i="12"/>
  <c r="BP87" i="12" l="1"/>
  <c r="AX87" i="12"/>
  <c r="AA87" i="12"/>
  <c r="AC88" i="12" s="1"/>
  <c r="AZ88" i="12" s="1"/>
  <c r="AF88" i="12"/>
  <c r="BD88" i="12" s="1"/>
  <c r="AE88" i="12"/>
  <c r="BB88" i="12" s="1"/>
  <c r="W88" i="12" l="1"/>
  <c r="BQ88" i="12" s="1"/>
  <c r="BH87" i="12"/>
  <c r="BJ87" i="12"/>
  <c r="AG88" i="12"/>
  <c r="BE88" i="12" s="1"/>
  <c r="AB88" i="12"/>
  <c r="AH88" i="12"/>
  <c r="BF88" i="12" s="1"/>
  <c r="AD88" i="12"/>
  <c r="BA88" i="12" s="1"/>
  <c r="BL88" i="12"/>
  <c r="Z88" i="12"/>
  <c r="BI88" i="12" s="1"/>
  <c r="BM88" i="12"/>
  <c r="BR88" i="12"/>
  <c r="BN88" i="12"/>
  <c r="BO88" i="12"/>
  <c r="Y88" i="12"/>
  <c r="BG88" i="12" s="1"/>
  <c r="BK88" i="12" s="1"/>
  <c r="X88" i="12"/>
  <c r="AX88" i="12" s="1"/>
  <c r="BP88" i="12" l="1"/>
  <c r="AA88" i="12"/>
  <c r="AB89" i="12" s="1"/>
  <c r="BC88" i="12"/>
  <c r="BH88" i="12" l="1"/>
  <c r="BJ88" i="12" s="1"/>
  <c r="AD89" i="12"/>
  <c r="BA89" i="12" s="1"/>
  <c r="AE89" i="12"/>
  <c r="BB89" i="12" s="1"/>
  <c r="AC89" i="12"/>
  <c r="AZ89" i="12" s="1"/>
  <c r="AG89" i="12"/>
  <c r="BE89" i="12" s="1"/>
  <c r="AF89" i="12"/>
  <c r="BD89" i="12" s="1"/>
  <c r="AH89" i="12"/>
  <c r="BF89" i="12" s="1"/>
  <c r="W89" i="12"/>
  <c r="BM89" i="12" s="1"/>
  <c r="BO89" i="12" l="1"/>
  <c r="X89" i="12"/>
  <c r="AX89" i="12" s="1"/>
  <c r="Z89" i="12"/>
  <c r="BI89" i="12" s="1"/>
  <c r="BR89" i="12"/>
  <c r="BN89" i="12"/>
  <c r="Y89" i="12"/>
  <c r="BG89" i="12" s="1"/>
  <c r="BK89" i="12" s="1"/>
  <c r="BL89" i="12"/>
  <c r="BQ89" i="12"/>
  <c r="AA89" i="12" l="1"/>
  <c r="W90" i="12" s="1"/>
  <c r="BC89" i="12"/>
  <c r="BP89" i="12"/>
  <c r="AB90" i="12" l="1"/>
  <c r="AE90" i="12"/>
  <c r="BB90" i="12" s="1"/>
  <c r="AC90" i="12"/>
  <c r="AZ90" i="12" s="1"/>
  <c r="AF90" i="12"/>
  <c r="BD90" i="12" s="1"/>
  <c r="AH90" i="12"/>
  <c r="BF90" i="12" s="1"/>
  <c r="BH89" i="12"/>
  <c r="BJ89" i="12" s="1"/>
  <c r="AG90" i="12"/>
  <c r="BE90" i="12" s="1"/>
  <c r="AD90" i="12"/>
  <c r="BA90" i="12" s="1"/>
  <c r="BM90" i="12"/>
  <c r="X90" i="12"/>
  <c r="BO90" i="12"/>
  <c r="Y90" i="12"/>
  <c r="BG90" i="12" s="1"/>
  <c r="BK90" i="12" s="1"/>
  <c r="BN90" i="12"/>
  <c r="BL90" i="12"/>
  <c r="Z90" i="12"/>
  <c r="BI90" i="12" s="1"/>
  <c r="BR90" i="12"/>
  <c r="BQ90" i="12"/>
  <c r="BP90" i="12" l="1"/>
  <c r="AA90" i="12"/>
  <c r="BC90" i="12"/>
  <c r="AX90" i="12"/>
  <c r="AG91" i="12" l="1"/>
  <c r="BE91" i="12" s="1"/>
  <c r="W91" i="12"/>
  <c r="AE91" i="12"/>
  <c r="BB91" i="12" s="1"/>
  <c r="AF91" i="12"/>
  <c r="BD91" i="12" s="1"/>
  <c r="AD91" i="12"/>
  <c r="BA91" i="12" s="1"/>
  <c r="BH90" i="12"/>
  <c r="BJ90" i="12" s="1"/>
  <c r="AB91" i="12"/>
  <c r="AH91" i="12"/>
  <c r="BF91" i="12" s="1"/>
  <c r="AC91" i="12"/>
  <c r="AZ91" i="12" s="1"/>
  <c r="X91" i="12" l="1"/>
  <c r="Y91" i="12"/>
  <c r="BG91" i="12" s="1"/>
  <c r="BK91" i="12" s="1"/>
  <c r="BR91" i="12"/>
  <c r="BQ91" i="12"/>
  <c r="BL91" i="12"/>
  <c r="BO91" i="12"/>
  <c r="BM91" i="12"/>
  <c r="BN91" i="12"/>
  <c r="Z91" i="12"/>
  <c r="BI91" i="12" s="1"/>
  <c r="BP91" i="12" l="1"/>
  <c r="AA91" i="12"/>
  <c r="AG92" i="12" s="1"/>
  <c r="BE92" i="12" s="1"/>
  <c r="BC91" i="12"/>
  <c r="AX91" i="12"/>
  <c r="AD92" i="12" l="1"/>
  <c r="BA92" i="12" s="1"/>
  <c r="AC92" i="12"/>
  <c r="AZ92" i="12" s="1"/>
  <c r="AF92" i="12"/>
  <c r="BD92" i="12" s="1"/>
  <c r="BH91" i="12"/>
  <c r="BJ91" i="12" s="1"/>
  <c r="AH92" i="12"/>
  <c r="BF92" i="12" s="1"/>
  <c r="W92" i="12"/>
  <c r="Z92" i="12" s="1"/>
  <c r="BI92" i="12" s="1"/>
  <c r="AE92" i="12"/>
  <c r="BB92" i="12" s="1"/>
  <c r="AB92" i="12"/>
  <c r="BR92" i="12" l="1"/>
  <c r="BM92" i="12"/>
  <c r="Y92" i="12"/>
  <c r="BG92" i="12" s="1"/>
  <c r="BK92" i="12" s="1"/>
  <c r="BO92" i="12"/>
  <c r="X92" i="12"/>
  <c r="AA92" i="12" s="1"/>
  <c r="BH92" i="12" s="1"/>
  <c r="BQ92" i="12"/>
  <c r="BL92" i="12"/>
  <c r="BN92" i="12"/>
  <c r="BP92" i="12" l="1"/>
  <c r="BC92" i="12"/>
  <c r="AX92" i="12"/>
  <c r="AG93" i="12"/>
  <c r="BE93" i="12" s="1"/>
  <c r="AE93" i="12"/>
  <c r="BB93" i="12" s="1"/>
  <c r="AF93" i="12"/>
  <c r="BD93" i="12" s="1"/>
  <c r="AH93" i="12"/>
  <c r="BF93" i="12" s="1"/>
  <c r="W93" i="12"/>
  <c r="Z93" i="12" s="1"/>
  <c r="BI93" i="12" s="1"/>
  <c r="AC93" i="12"/>
  <c r="AZ93" i="12" s="1"/>
  <c r="AB93" i="12"/>
  <c r="AD93" i="12"/>
  <c r="BA93" i="12" s="1"/>
  <c r="BJ92" i="12" l="1"/>
  <c r="BM93" i="12"/>
  <c r="Y93" i="12"/>
  <c r="BG93" i="12" s="1"/>
  <c r="BK93" i="12" s="1"/>
  <c r="BL93" i="12"/>
  <c r="BN93" i="12"/>
  <c r="BQ93" i="12"/>
  <c r="BR93" i="12"/>
  <c r="X93" i="12"/>
  <c r="BC93" i="12" s="1"/>
  <c r="BO93" i="12"/>
  <c r="BP93" i="12" l="1"/>
  <c r="AA93" i="12"/>
  <c r="AF94" i="12" s="1"/>
  <c r="BD94" i="12" s="1"/>
  <c r="AX93" i="12"/>
  <c r="AD94" i="12" l="1"/>
  <c r="BA94" i="12" s="1"/>
  <c r="AC94" i="12"/>
  <c r="AZ94" i="12" s="1"/>
  <c r="BH93" i="12"/>
  <c r="BJ93" i="12" s="1"/>
  <c r="AE94" i="12"/>
  <c r="BB94" i="12" s="1"/>
  <c r="AG94" i="12"/>
  <c r="BE94" i="12" s="1"/>
  <c r="AB94" i="12"/>
  <c r="W94" i="12"/>
  <c r="BQ94" i="12" s="1"/>
  <c r="AH94" i="12"/>
  <c r="BF94" i="12" s="1"/>
  <c r="BL94" i="12" l="1"/>
  <c r="Y94" i="12"/>
  <c r="BG94" i="12" s="1"/>
  <c r="BK94" i="12" s="1"/>
  <c r="BO94" i="12"/>
  <c r="BN94" i="12"/>
  <c r="BR94" i="12"/>
  <c r="X94" i="12"/>
  <c r="AX94" i="12" s="1"/>
  <c r="BM94" i="12"/>
  <c r="Z94" i="12"/>
  <c r="BI94" i="12" s="1"/>
  <c r="BP94" i="12" l="1"/>
  <c r="AA94" i="12"/>
  <c r="BH94" i="12" s="1"/>
  <c r="BC94" i="12"/>
  <c r="BJ94" i="12" l="1"/>
  <c r="AG95" i="12"/>
  <c r="BE95" i="12" s="1"/>
  <c r="AE95" i="12"/>
  <c r="BB95" i="12" s="1"/>
  <c r="AC95" i="12"/>
  <c r="AZ95" i="12" s="1"/>
  <c r="AF95" i="12"/>
  <c r="BD95" i="12" s="1"/>
  <c r="W95" i="12"/>
  <c r="BR95" i="12" s="1"/>
  <c r="AB95" i="12"/>
  <c r="AH95" i="12"/>
  <c r="BF95" i="12" s="1"/>
  <c r="AD95" i="12"/>
  <c r="BA95" i="12" s="1"/>
  <c r="BL95" i="12" l="1"/>
  <c r="X95" i="12"/>
  <c r="AX95" i="12" s="1"/>
  <c r="BQ95" i="12"/>
  <c r="BM95" i="12"/>
  <c r="BN95" i="12"/>
  <c r="Y95" i="12"/>
  <c r="BG95" i="12" s="1"/>
  <c r="BK95" i="12" s="1"/>
  <c r="Z95" i="12"/>
  <c r="BI95" i="12" s="1"/>
  <c r="BO95" i="12"/>
  <c r="AA95" i="12" l="1"/>
  <c r="AC96" i="12" s="1"/>
  <c r="AZ96" i="12" s="1"/>
  <c r="BP95" i="12"/>
  <c r="BC95" i="12"/>
  <c r="BH95" i="12" l="1"/>
  <c r="BJ95" i="12" s="1"/>
  <c r="AE96" i="12"/>
  <c r="BB96" i="12" s="1"/>
  <c r="W96" i="12"/>
  <c r="BM96" i="12" s="1"/>
  <c r="AB96" i="12"/>
  <c r="AF96" i="12"/>
  <c r="BD96" i="12" s="1"/>
  <c r="AD96" i="12"/>
  <c r="BA96" i="12" s="1"/>
  <c r="AH96" i="12"/>
  <c r="BF96" i="12" s="1"/>
  <c r="AG96" i="12"/>
  <c r="BE96" i="12" s="1"/>
  <c r="BR96" i="12" l="1"/>
  <c r="X96" i="12"/>
  <c r="BC96" i="12" s="1"/>
  <c r="BN96" i="12"/>
  <c r="BQ96" i="12"/>
  <c r="BO96" i="12"/>
  <c r="Z96" i="12"/>
  <c r="BI96" i="12" s="1"/>
  <c r="BL96" i="12"/>
  <c r="Y96" i="12"/>
  <c r="BG96" i="12" s="1"/>
  <c r="BK96" i="12" s="1"/>
  <c r="BP96" i="12" l="1"/>
  <c r="AA96" i="12"/>
  <c r="AF97" i="12" s="1"/>
  <c r="BD97" i="12" s="1"/>
  <c r="AX96" i="12"/>
  <c r="AG97" i="12" l="1"/>
  <c r="BE97" i="12" s="1"/>
  <c r="AH97" i="12"/>
  <c r="BF97" i="12" s="1"/>
  <c r="W97" i="12"/>
  <c r="BN97" i="12" s="1"/>
  <c r="BH96" i="12"/>
  <c r="BJ96" i="12" s="1"/>
  <c r="AE97" i="12"/>
  <c r="BB97" i="12" s="1"/>
  <c r="AD97" i="12"/>
  <c r="BA97" i="12" s="1"/>
  <c r="AC97" i="12"/>
  <c r="AZ97" i="12" s="1"/>
  <c r="AB97" i="12"/>
  <c r="BM97" i="12" l="1"/>
  <c r="Y97" i="12"/>
  <c r="BG97" i="12" s="1"/>
  <c r="BK97" i="12" s="1"/>
  <c r="BR97" i="12"/>
  <c r="BO97" i="12"/>
  <c r="BP97" i="12" s="1"/>
  <c r="Z97" i="12"/>
  <c r="BI97" i="12" s="1"/>
  <c r="X97" i="12"/>
  <c r="BC97" i="12" s="1"/>
  <c r="BQ97" i="12"/>
  <c r="BL97" i="12"/>
  <c r="AX97" i="12"/>
  <c r="AA97" i="12" l="1"/>
  <c r="AF98" i="12" s="1"/>
  <c r="BD98" i="12" s="1"/>
  <c r="AH98" i="12" l="1"/>
  <c r="BF98" i="12" s="1"/>
  <c r="AD98" i="12"/>
  <c r="BA98" i="12" s="1"/>
  <c r="BH97" i="12"/>
  <c r="BJ97" i="12" s="1"/>
  <c r="W98" i="12"/>
  <c r="BQ98" i="12" s="1"/>
  <c r="AC98" i="12"/>
  <c r="AZ98" i="12" s="1"/>
  <c r="AG98" i="12"/>
  <c r="BE98" i="12" s="1"/>
  <c r="AE98" i="12"/>
  <c r="BB98" i="12" s="1"/>
  <c r="AB98" i="12"/>
  <c r="BN98" i="12" l="1"/>
  <c r="X98" i="12"/>
  <c r="BC98" i="12" s="1"/>
  <c r="Y98" i="12"/>
  <c r="BG98" i="12" s="1"/>
  <c r="BK98" i="12" s="1"/>
  <c r="BL98" i="12"/>
  <c r="BO98" i="12"/>
  <c r="BP98" i="12" s="1"/>
  <c r="BR98" i="12"/>
  <c r="BM98" i="12"/>
  <c r="Z98" i="12"/>
  <c r="BI98" i="12" s="1"/>
  <c r="AX98" i="12"/>
  <c r="AA98" i="12" l="1"/>
  <c r="AC99" i="12" s="1"/>
  <c r="AZ99" i="12" s="1"/>
  <c r="AG99" i="12" l="1"/>
  <c r="BE99" i="12" s="1"/>
  <c r="AD99" i="12"/>
  <c r="BA99" i="12" s="1"/>
  <c r="W99" i="12"/>
  <c r="BN99" i="12" s="1"/>
  <c r="AF99" i="12"/>
  <c r="BD99" i="12" s="1"/>
  <c r="AH99" i="12"/>
  <c r="BF99" i="12" s="1"/>
  <c r="BH98" i="12"/>
  <c r="BJ98" i="12" s="1"/>
  <c r="AB99" i="12"/>
  <c r="AE99" i="12"/>
  <c r="BB99" i="12" s="1"/>
  <c r="Y99" i="12" l="1"/>
  <c r="BG99" i="12" s="1"/>
  <c r="BK99" i="12" s="1"/>
  <c r="Z99" i="12"/>
  <c r="BI99" i="12" s="1"/>
  <c r="BR99" i="12"/>
  <c r="BO99" i="12"/>
  <c r="BP99" i="12" s="1"/>
  <c r="BQ99" i="12"/>
  <c r="BL99" i="12"/>
  <c r="BM99" i="12"/>
  <c r="X99" i="12"/>
  <c r="AA99" i="12" s="1"/>
  <c r="AX99" i="12"/>
  <c r="BC99" i="12" l="1"/>
  <c r="AG100" i="12"/>
  <c r="BE100" i="12" s="1"/>
  <c r="AD100" i="12"/>
  <c r="BA100" i="12" s="1"/>
  <c r="BH99" i="12"/>
  <c r="BJ99" i="12" s="1"/>
  <c r="AB100" i="12"/>
  <c r="W100" i="12"/>
  <c r="AF100" i="12"/>
  <c r="BD100" i="12" s="1"/>
  <c r="AC100" i="12"/>
  <c r="AZ100" i="12" s="1"/>
  <c r="AE100" i="12"/>
  <c r="BB100" i="12" s="1"/>
  <c r="AH100" i="12"/>
  <c r="BF100" i="12" s="1"/>
  <c r="BN100" i="12" l="1"/>
  <c r="BM100" i="12"/>
  <c r="BO100" i="12"/>
  <c r="BQ100" i="12"/>
  <c r="Z100" i="12"/>
  <c r="BI100" i="12" s="1"/>
  <c r="BL100" i="12"/>
  <c r="Y100" i="12"/>
  <c r="BG100" i="12" s="1"/>
  <c r="BK100" i="12" s="1"/>
  <c r="BR100" i="12"/>
  <c r="X100" i="12"/>
  <c r="AA100" i="12" l="1"/>
  <c r="AX100" i="12"/>
  <c r="BC100" i="12"/>
  <c r="BP100" i="12"/>
  <c r="AC101" i="12" l="1"/>
  <c r="AZ101" i="12" s="1"/>
  <c r="W101" i="12"/>
  <c r="AB101" i="12"/>
  <c r="AE101" i="12"/>
  <c r="BB101" i="12" s="1"/>
  <c r="AD101" i="12"/>
  <c r="BA101" i="12" s="1"/>
  <c r="AF101" i="12"/>
  <c r="BD101" i="12" s="1"/>
  <c r="BH100" i="12"/>
  <c r="BJ100" i="12" s="1"/>
  <c r="AG101" i="12"/>
  <c r="BE101" i="12" s="1"/>
  <c r="AH101" i="12"/>
  <c r="BF101" i="12" s="1"/>
  <c r="BL101" i="12" l="1"/>
  <c r="X101" i="12"/>
  <c r="BQ101" i="12"/>
  <c r="BN101" i="12"/>
  <c r="Y101" i="12"/>
  <c r="BG101" i="12" s="1"/>
  <c r="BK101" i="12" s="1"/>
  <c r="Z101" i="12"/>
  <c r="BI101" i="12" s="1"/>
  <c r="BR101" i="12"/>
  <c r="BO101" i="12"/>
  <c r="BM101" i="12"/>
  <c r="BP101" i="12" l="1"/>
  <c r="BC101" i="12"/>
  <c r="AX101" i="12"/>
  <c r="AA101" i="12"/>
  <c r="AC102" i="12" l="1"/>
  <c r="AZ102" i="12" s="1"/>
  <c r="AF102" i="12"/>
  <c r="BD102" i="12" s="1"/>
  <c r="AD102" i="12"/>
  <c r="BA102" i="12" s="1"/>
  <c r="AG102" i="12"/>
  <c r="BE102" i="12" s="1"/>
  <c r="AB102" i="12"/>
  <c r="W102" i="12"/>
  <c r="AH102" i="12"/>
  <c r="BF102" i="12" s="1"/>
  <c r="AE102" i="12"/>
  <c r="BB102" i="12" s="1"/>
  <c r="BH101" i="12"/>
  <c r="BJ101" i="12" s="1"/>
  <c r="BN102" i="12" l="1"/>
  <c r="BL102" i="12"/>
  <c r="BM102" i="12"/>
  <c r="X102" i="12"/>
  <c r="BO102" i="12"/>
  <c r="BR102" i="12"/>
  <c r="Z102" i="12"/>
  <c r="BI102" i="12" s="1"/>
  <c r="Y102" i="12"/>
  <c r="BG102" i="12" s="1"/>
  <c r="BK102" i="12" s="1"/>
  <c r="BQ102" i="12"/>
  <c r="AX102" i="12" l="1"/>
  <c r="BC102" i="12"/>
  <c r="AA102" i="12"/>
  <c r="BP102" i="12"/>
  <c r="BS5" i="5"/>
  <c r="AO192" i="5" s="1"/>
  <c r="AO191" i="5" l="1"/>
  <c r="AC103" i="12"/>
  <c r="AZ103" i="12" s="1"/>
  <c r="AB103" i="12"/>
  <c r="AF103" i="12"/>
  <c r="BD103" i="12" s="1"/>
  <c r="W103" i="12"/>
  <c r="AE103" i="12"/>
  <c r="BB103" i="12" s="1"/>
  <c r="AH103" i="12"/>
  <c r="BF103" i="12" s="1"/>
  <c r="BH102" i="12"/>
  <c r="BJ102" i="12" s="1"/>
  <c r="AG103" i="12"/>
  <c r="BE103" i="12" s="1"/>
  <c r="AD103" i="12"/>
  <c r="BA103" i="12" s="1"/>
  <c r="CL8" i="5"/>
  <c r="AO190" i="5" l="1"/>
  <c r="Y103" i="12"/>
  <c r="BG103" i="12" s="1"/>
  <c r="BK103" i="12" s="1"/>
  <c r="BN103" i="12"/>
  <c r="BO103" i="12"/>
  <c r="BQ103" i="12"/>
  <c r="X103" i="12"/>
  <c r="Z103" i="12"/>
  <c r="BI103" i="12" s="1"/>
  <c r="BL103" i="12"/>
  <c r="BR103" i="12"/>
  <c r="BM103" i="12"/>
  <c r="AO189" i="5" l="1"/>
  <c r="BC103" i="12"/>
  <c r="AA103" i="12"/>
  <c r="AX103" i="12"/>
  <c r="BP103" i="12"/>
  <c r="AO188" i="5" l="1"/>
  <c r="AH104" i="12"/>
  <c r="BF104" i="12" s="1"/>
  <c r="AC104" i="12"/>
  <c r="AZ104" i="12" s="1"/>
  <c r="AD104" i="12"/>
  <c r="BA104" i="12" s="1"/>
  <c r="BH103" i="12"/>
  <c r="BJ103" i="12" s="1"/>
  <c r="W104" i="12"/>
  <c r="AE104" i="12"/>
  <c r="BB104" i="12" s="1"/>
  <c r="AF104" i="12"/>
  <c r="BD104" i="12" s="1"/>
  <c r="AG104" i="12"/>
  <c r="BE104" i="12" s="1"/>
  <c r="AB104" i="12"/>
  <c r="Y13" i="5"/>
  <c r="BG13" i="5" l="1"/>
  <c r="AO187" i="5"/>
  <c r="BO104" i="12"/>
  <c r="BL104" i="12"/>
  <c r="BN104" i="12"/>
  <c r="X104" i="12"/>
  <c r="Y104" i="12"/>
  <c r="BG104" i="12" s="1"/>
  <c r="BK104" i="12" s="1"/>
  <c r="BR104" i="12"/>
  <c r="BQ104" i="12"/>
  <c r="BM104" i="12"/>
  <c r="Z104" i="12"/>
  <c r="BI104" i="12" s="1"/>
  <c r="BK13" i="5" l="1"/>
  <c r="CK13" i="5" s="1"/>
  <c r="AO186" i="5"/>
  <c r="BP104" i="12"/>
  <c r="BC104" i="12"/>
  <c r="AA104" i="12"/>
  <c r="AX104" i="12"/>
  <c r="AO185" i="5" l="1"/>
  <c r="W105" i="12"/>
  <c r="AB105" i="12"/>
  <c r="BH104" i="12"/>
  <c r="BJ104" i="12" s="1"/>
  <c r="AD105" i="12"/>
  <c r="BA105" i="12" s="1"/>
  <c r="AE105" i="12"/>
  <c r="BB105" i="12" s="1"/>
  <c r="AH105" i="12"/>
  <c r="BF105" i="12" s="1"/>
  <c r="AF105" i="12"/>
  <c r="BD105" i="12" s="1"/>
  <c r="AG105" i="12"/>
  <c r="BE105" i="12" s="1"/>
  <c r="AC105" i="12"/>
  <c r="AZ105" i="12" s="1"/>
  <c r="AO184" i="5" l="1"/>
  <c r="X105" i="12"/>
  <c r="BR105" i="12"/>
  <c r="BN105" i="12"/>
  <c r="BL105" i="12"/>
  <c r="BQ105" i="12"/>
  <c r="BO105" i="12"/>
  <c r="Y105" i="12"/>
  <c r="BG105" i="12" s="1"/>
  <c r="BK105" i="12" s="1"/>
  <c r="BM105" i="12"/>
  <c r="Z105" i="12"/>
  <c r="BI105" i="12" s="1"/>
  <c r="AO183" i="5" l="1"/>
  <c r="BP105" i="12"/>
  <c r="AX105" i="12"/>
  <c r="BC105" i="12"/>
  <c r="AA105" i="12"/>
  <c r="AO182" i="5" l="1"/>
  <c r="BH105" i="12"/>
  <c r="BJ105" i="12" s="1"/>
  <c r="AD106" i="12"/>
  <c r="BA106" i="12" s="1"/>
  <c r="AE106" i="12"/>
  <c r="BB106" i="12" s="1"/>
  <c r="AB106" i="12"/>
  <c r="AH106" i="12"/>
  <c r="BF106" i="12" s="1"/>
  <c r="AC106" i="12"/>
  <c r="AZ106" i="12" s="1"/>
  <c r="AF106" i="12"/>
  <c r="BD106" i="12" s="1"/>
  <c r="AG106" i="12"/>
  <c r="BE106" i="12" s="1"/>
  <c r="W106" i="12"/>
  <c r="AO181" i="5" l="1"/>
  <c r="BM106" i="12"/>
  <c r="BL106" i="12"/>
  <c r="BR106" i="12"/>
  <c r="X106" i="12"/>
  <c r="BQ106" i="12"/>
  <c r="Y106" i="12"/>
  <c r="BG106" i="12" s="1"/>
  <c r="BK106" i="12" s="1"/>
  <c r="BO106" i="12"/>
  <c r="BN106" i="12"/>
  <c r="Z106" i="12"/>
  <c r="BI106" i="12" s="1"/>
  <c r="AO180" i="5" l="1"/>
  <c r="BP106" i="12"/>
  <c r="AA106" i="12"/>
  <c r="AX106" i="12"/>
  <c r="BC106" i="12"/>
  <c r="AO179" i="5" l="1"/>
  <c r="W107" i="12"/>
  <c r="AB107" i="12"/>
  <c r="AC107" i="12"/>
  <c r="AZ107" i="12" s="1"/>
  <c r="AH107" i="12"/>
  <c r="BF107" i="12" s="1"/>
  <c r="AF107" i="12"/>
  <c r="BD107" i="12" s="1"/>
  <c r="BH106" i="12"/>
  <c r="BJ106" i="12" s="1"/>
  <c r="AG107" i="12"/>
  <c r="BE107" i="12" s="1"/>
  <c r="AE107" i="12"/>
  <c r="BB107" i="12" s="1"/>
  <c r="AD107" i="12"/>
  <c r="BA107" i="12" s="1"/>
  <c r="AO178" i="5" l="1"/>
  <c r="BQ107" i="12"/>
  <c r="BM107" i="12"/>
  <c r="BN107" i="12"/>
  <c r="X107" i="12"/>
  <c r="BL107" i="12"/>
  <c r="BO107" i="12"/>
  <c r="Y107" i="12"/>
  <c r="BG107" i="12" s="1"/>
  <c r="BK107" i="12" s="1"/>
  <c r="BR107" i="12"/>
  <c r="Z107" i="12"/>
  <c r="BI107" i="12" s="1"/>
  <c r="AO177" i="5" l="1"/>
  <c r="AX107" i="12"/>
  <c r="BC107" i="12"/>
  <c r="AA107" i="12"/>
  <c r="BP107" i="12"/>
  <c r="AO176" i="5" l="1"/>
  <c r="BH107" i="12"/>
  <c r="BJ107" i="12" s="1"/>
  <c r="AB108" i="12"/>
  <c r="W108" i="12"/>
  <c r="AG108" i="12"/>
  <c r="BE108" i="12" s="1"/>
  <c r="AC108" i="12"/>
  <c r="AZ108" i="12" s="1"/>
  <c r="AF108" i="12"/>
  <c r="BD108" i="12" s="1"/>
  <c r="AD108" i="12"/>
  <c r="BA108" i="12" s="1"/>
  <c r="AH108" i="12"/>
  <c r="BF108" i="12" s="1"/>
  <c r="AE108" i="12"/>
  <c r="BB108" i="12" s="1"/>
  <c r="AO175" i="5" l="1"/>
  <c r="BR108" i="12"/>
  <c r="BO108" i="12"/>
  <c r="BQ108" i="12"/>
  <c r="BM108" i="12"/>
  <c r="BL108" i="12"/>
  <c r="X108" i="12"/>
  <c r="Y108" i="12"/>
  <c r="BG108" i="12" s="1"/>
  <c r="BK108" i="12" s="1"/>
  <c r="Z108" i="12"/>
  <c r="BI108" i="12" s="1"/>
  <c r="BN108" i="12"/>
  <c r="AO174" i="5" l="1"/>
  <c r="AX108" i="12"/>
  <c r="AA108" i="12"/>
  <c r="BC108" i="12"/>
  <c r="BP108" i="12"/>
  <c r="AO173" i="5" l="1"/>
  <c r="AG109" i="12"/>
  <c r="BE109" i="12" s="1"/>
  <c r="AB109" i="12"/>
  <c r="AF109" i="12"/>
  <c r="BD109" i="12" s="1"/>
  <c r="AE109" i="12"/>
  <c r="BB109" i="12" s="1"/>
  <c r="AC109" i="12"/>
  <c r="AZ109" i="12" s="1"/>
  <c r="AD109" i="12"/>
  <c r="BA109" i="12" s="1"/>
  <c r="W109" i="12"/>
  <c r="AH109" i="12"/>
  <c r="BF109" i="12" s="1"/>
  <c r="BH108" i="12"/>
  <c r="BJ108" i="12" s="1"/>
  <c r="AO172" i="5" l="1"/>
  <c r="BM109" i="12"/>
  <c r="BO109" i="12"/>
  <c r="BN109" i="12"/>
  <c r="BL109" i="12"/>
  <c r="Z109" i="12"/>
  <c r="BI109" i="12" s="1"/>
  <c r="BQ109" i="12"/>
  <c r="Y109" i="12"/>
  <c r="BG109" i="12" s="1"/>
  <c r="BK109" i="12" s="1"/>
  <c r="BR109" i="12"/>
  <c r="X109" i="12"/>
  <c r="AO171" i="5" l="1"/>
  <c r="BP109" i="12"/>
  <c r="AX109" i="12"/>
  <c r="BC109" i="12"/>
  <c r="AA109" i="12"/>
  <c r="AO170" i="5" l="1"/>
  <c r="AE110" i="12"/>
  <c r="BB110" i="12" s="1"/>
  <c r="BH109" i="12"/>
  <c r="BJ109" i="12" s="1"/>
  <c r="AC110" i="12"/>
  <c r="AZ110" i="12" s="1"/>
  <c r="W110" i="12"/>
  <c r="AD110" i="12"/>
  <c r="BA110" i="12" s="1"/>
  <c r="AH110" i="12"/>
  <c r="BF110" i="12" s="1"/>
  <c r="AB110" i="12"/>
  <c r="AF110" i="12"/>
  <c r="BD110" i="12" s="1"/>
  <c r="AG110" i="12"/>
  <c r="BE110" i="12" s="1"/>
  <c r="AO169" i="5" l="1"/>
  <c r="BN110" i="12"/>
  <c r="BL110" i="12"/>
  <c r="BM110" i="12"/>
  <c r="Y110" i="12"/>
  <c r="BG110" i="12" s="1"/>
  <c r="BK110" i="12" s="1"/>
  <c r="BR110" i="12"/>
  <c r="BQ110" i="12"/>
  <c r="Z110" i="12"/>
  <c r="BI110" i="12" s="1"/>
  <c r="BO110" i="12"/>
  <c r="X110" i="12"/>
  <c r="BP110" i="12" l="1"/>
  <c r="AO168" i="5"/>
  <c r="BC110" i="12"/>
  <c r="AX110" i="12"/>
  <c r="AA110" i="12"/>
  <c r="AO167" i="5" l="1"/>
  <c r="AC111" i="12"/>
  <c r="AZ111" i="12" s="1"/>
  <c r="AF111" i="12"/>
  <c r="BD111" i="12" s="1"/>
  <c r="AH111" i="12"/>
  <c r="BF111" i="12" s="1"/>
  <c r="AB111" i="12"/>
  <c r="BH110" i="12"/>
  <c r="BJ110" i="12" s="1"/>
  <c r="AD111" i="12"/>
  <c r="BA111" i="12" s="1"/>
  <c r="AG111" i="12"/>
  <c r="BE111" i="12" s="1"/>
  <c r="AE111" i="12"/>
  <c r="BB111" i="12" s="1"/>
  <c r="W111" i="12"/>
  <c r="AO166" i="5" l="1"/>
  <c r="X111" i="12"/>
  <c r="BL111" i="12"/>
  <c r="Y111" i="12"/>
  <c r="BG111" i="12" s="1"/>
  <c r="BK111" i="12" s="1"/>
  <c r="BN111" i="12"/>
  <c r="BR111" i="12"/>
  <c r="BM111" i="12"/>
  <c r="Z111" i="12"/>
  <c r="BI111" i="12" s="1"/>
  <c r="BQ111" i="12"/>
  <c r="BO111" i="12"/>
  <c r="AO165" i="5" l="1"/>
  <c r="BP111" i="12"/>
  <c r="AX111" i="12"/>
  <c r="BC111" i="12"/>
  <c r="AA111" i="12"/>
  <c r="AO164" i="5" l="1"/>
  <c r="BH111" i="12"/>
  <c r="BJ111" i="12" s="1"/>
  <c r="AB112" i="12"/>
  <c r="AC112" i="12"/>
  <c r="AZ112" i="12" s="1"/>
  <c r="AD112" i="12"/>
  <c r="BA112" i="12" s="1"/>
  <c r="W112" i="12"/>
  <c r="AF112" i="12"/>
  <c r="BD112" i="12" s="1"/>
  <c r="AG112" i="12"/>
  <c r="BE112" i="12" s="1"/>
  <c r="AH112" i="12"/>
  <c r="BF112" i="12" s="1"/>
  <c r="AE112" i="12"/>
  <c r="BB112" i="12" s="1"/>
  <c r="AO163" i="5" l="1"/>
  <c r="X112" i="12"/>
  <c r="Y112" i="12"/>
  <c r="BG112" i="12" s="1"/>
  <c r="BK112" i="12" s="1"/>
  <c r="BR112" i="12"/>
  <c r="BN112" i="12"/>
  <c r="BM112" i="12"/>
  <c r="Z112" i="12"/>
  <c r="BI112" i="12" s="1"/>
  <c r="BO112" i="12"/>
  <c r="BQ112" i="12"/>
  <c r="BL112" i="12"/>
  <c r="AO162" i="5" l="1"/>
  <c r="BP112" i="12"/>
  <c r="AX112" i="12"/>
  <c r="AA112" i="12"/>
  <c r="BC112" i="12"/>
  <c r="AO161" i="5" l="1"/>
  <c r="AE113" i="12"/>
  <c r="BB113" i="12" s="1"/>
  <c r="AD113" i="12"/>
  <c r="BA113" i="12" s="1"/>
  <c r="AH113" i="12"/>
  <c r="BF113" i="12" s="1"/>
  <c r="AG113" i="12"/>
  <c r="BE113" i="12" s="1"/>
  <c r="AB113" i="12"/>
  <c r="AC113" i="12"/>
  <c r="AZ113" i="12" s="1"/>
  <c r="W113" i="12"/>
  <c r="AF113" i="12"/>
  <c r="BD113" i="12" s="1"/>
  <c r="BH112" i="12"/>
  <c r="BJ112" i="12" s="1"/>
  <c r="AO160" i="5" l="1"/>
  <c r="Z113" i="12"/>
  <c r="BI113" i="12" s="1"/>
  <c r="BO113" i="12"/>
  <c r="Y113" i="12"/>
  <c r="BG113" i="12" s="1"/>
  <c r="BK113" i="12" s="1"/>
  <c r="BN113" i="12"/>
  <c r="X113" i="12"/>
  <c r="BQ113" i="12"/>
  <c r="BM113" i="12"/>
  <c r="BL113" i="12"/>
  <c r="BR113" i="12"/>
  <c r="AO159" i="5" l="1"/>
  <c r="AX113" i="12"/>
  <c r="BC113" i="12"/>
  <c r="AA113" i="12"/>
  <c r="BP113" i="12"/>
  <c r="AO158" i="5" l="1"/>
  <c r="BH113" i="12"/>
  <c r="BJ113" i="12" s="1"/>
  <c r="AD114" i="12"/>
  <c r="BA114" i="12" s="1"/>
  <c r="AH114" i="12"/>
  <c r="BF114" i="12" s="1"/>
  <c r="AF114" i="12"/>
  <c r="BD114" i="12" s="1"/>
  <c r="AB114" i="12"/>
  <c r="AE114" i="12"/>
  <c r="BB114" i="12" s="1"/>
  <c r="AG114" i="12"/>
  <c r="BE114" i="12" s="1"/>
  <c r="W114" i="12"/>
  <c r="AC114" i="12"/>
  <c r="AZ114" i="12" s="1"/>
  <c r="AO157" i="5" l="1"/>
  <c r="BQ114" i="12"/>
  <c r="BL114" i="12"/>
  <c r="BO114" i="12"/>
  <c r="BR114" i="12"/>
  <c r="Y114" i="12"/>
  <c r="BG114" i="12" s="1"/>
  <c r="BK114" i="12" s="1"/>
  <c r="BN114" i="12"/>
  <c r="X114" i="12"/>
  <c r="Z114" i="12"/>
  <c r="BI114" i="12" s="1"/>
  <c r="BM114" i="12"/>
  <c r="AO156" i="5" l="1"/>
  <c r="BP114" i="12"/>
  <c r="BC114" i="12"/>
  <c r="AX114" i="12"/>
  <c r="AA114" i="12"/>
  <c r="AO155" i="5" l="1"/>
  <c r="AC115" i="12"/>
  <c r="AZ115" i="12" s="1"/>
  <c r="AB115" i="12"/>
  <c r="BH114" i="12"/>
  <c r="BJ114" i="12" s="1"/>
  <c r="W115" i="12"/>
  <c r="AF115" i="12"/>
  <c r="BD115" i="12" s="1"/>
  <c r="AG115" i="12"/>
  <c r="BE115" i="12" s="1"/>
  <c r="AD115" i="12"/>
  <c r="BA115" i="12" s="1"/>
  <c r="AH115" i="12"/>
  <c r="BF115" i="12" s="1"/>
  <c r="AE115" i="12"/>
  <c r="BB115" i="12" s="1"/>
  <c r="AO154" i="5" l="1"/>
  <c r="X115" i="12"/>
  <c r="BO115" i="12"/>
  <c r="BL115" i="12"/>
  <c r="BQ115" i="12"/>
  <c r="BN115" i="12"/>
  <c r="Y115" i="12"/>
  <c r="BG115" i="12" s="1"/>
  <c r="BK115" i="12" s="1"/>
  <c r="BR115" i="12"/>
  <c r="Z115" i="12"/>
  <c r="BI115" i="12" s="1"/>
  <c r="BM115" i="12"/>
  <c r="AO153" i="5" l="1"/>
  <c r="BP115" i="12"/>
  <c r="AA115" i="12"/>
  <c r="BC115" i="12"/>
  <c r="AX115" i="12"/>
  <c r="AO152" i="5" l="1"/>
  <c r="W116" i="12"/>
  <c r="AD116" i="12"/>
  <c r="BA116" i="12" s="1"/>
  <c r="BH115" i="12"/>
  <c r="BJ115" i="12" s="1"/>
  <c r="AB116" i="12"/>
  <c r="AE116" i="12"/>
  <c r="BB116" i="12" s="1"/>
  <c r="AH116" i="12"/>
  <c r="BF116" i="12" s="1"/>
  <c r="AF116" i="12"/>
  <c r="BD116" i="12" s="1"/>
  <c r="AG116" i="12"/>
  <c r="BE116" i="12" s="1"/>
  <c r="AC116" i="12"/>
  <c r="AZ116" i="12" s="1"/>
  <c r="AO151" i="5" l="1"/>
  <c r="BM116" i="12"/>
  <c r="BR116" i="12"/>
  <c r="BQ116" i="12"/>
  <c r="BN116" i="12"/>
  <c r="X116" i="12"/>
  <c r="BL116" i="12"/>
  <c r="Y116" i="12"/>
  <c r="BG116" i="12" s="1"/>
  <c r="BK116" i="12" s="1"/>
  <c r="Z116" i="12"/>
  <c r="BI116" i="12" s="1"/>
  <c r="BO116" i="12"/>
  <c r="AO150" i="5" l="1"/>
  <c r="BP116" i="12"/>
  <c r="AA116" i="12"/>
  <c r="BC116" i="12"/>
  <c r="AX116" i="12"/>
  <c r="AO149" i="5" l="1"/>
  <c r="AG117" i="12"/>
  <c r="BE117" i="12" s="1"/>
  <c r="AH117" i="12"/>
  <c r="BF117" i="12" s="1"/>
  <c r="AD117" i="12"/>
  <c r="BA117" i="12" s="1"/>
  <c r="BH116" i="12"/>
  <c r="BJ116" i="12" s="1"/>
  <c r="AE117" i="12"/>
  <c r="BB117" i="12" s="1"/>
  <c r="AF117" i="12"/>
  <c r="BD117" i="12" s="1"/>
  <c r="AC117" i="12"/>
  <c r="AZ117" i="12" s="1"/>
  <c r="W117" i="12"/>
  <c r="AB117" i="12"/>
  <c r="AO148" i="5" l="1"/>
  <c r="Z117" i="12"/>
  <c r="BI117" i="12" s="1"/>
  <c r="BN117" i="12"/>
  <c r="BL117" i="12"/>
  <c r="BM117" i="12"/>
  <c r="X117" i="12"/>
  <c r="BO117" i="12"/>
  <c r="BR117" i="12"/>
  <c r="Y117" i="12"/>
  <c r="BG117" i="12" s="1"/>
  <c r="BK117" i="12" s="1"/>
  <c r="BQ117" i="12"/>
  <c r="AO147" i="5" l="1"/>
  <c r="AA117" i="12"/>
  <c r="AX117" i="12"/>
  <c r="BC117" i="12"/>
  <c r="BP117" i="12"/>
  <c r="AO146" i="5" l="1"/>
  <c r="AC118" i="12"/>
  <c r="AZ118" i="12" s="1"/>
  <c r="AD118" i="12"/>
  <c r="BA118" i="12" s="1"/>
  <c r="AH118" i="12"/>
  <c r="BF118" i="12" s="1"/>
  <c r="AE118" i="12"/>
  <c r="BB118" i="12" s="1"/>
  <c r="AB118" i="12"/>
  <c r="W118" i="12"/>
  <c r="BH117" i="12"/>
  <c r="BJ117" i="12" s="1"/>
  <c r="AG118" i="12"/>
  <c r="BE118" i="12" s="1"/>
  <c r="AF118" i="12"/>
  <c r="BD118" i="12" s="1"/>
  <c r="AO145" i="5" l="1"/>
  <c r="X118" i="12"/>
  <c r="BN118" i="12"/>
  <c r="Y118" i="12"/>
  <c r="BG118" i="12" s="1"/>
  <c r="BK118" i="12" s="1"/>
  <c r="BQ118" i="12"/>
  <c r="BO118" i="12"/>
  <c r="BR118" i="12"/>
  <c r="BM118" i="12"/>
  <c r="BL118" i="12"/>
  <c r="Z118" i="12"/>
  <c r="BI118" i="12" s="1"/>
  <c r="AO144" i="5" l="1"/>
  <c r="BP118" i="12"/>
  <c r="BC118" i="12"/>
  <c r="AX118" i="12"/>
  <c r="AA118" i="12"/>
  <c r="AO143" i="5" l="1"/>
  <c r="AB119" i="12"/>
  <c r="AG119" i="12"/>
  <c r="BE119" i="12" s="1"/>
  <c r="AH119" i="12"/>
  <c r="BF119" i="12" s="1"/>
  <c r="AE119" i="12"/>
  <c r="BB119" i="12" s="1"/>
  <c r="AD119" i="12"/>
  <c r="BA119" i="12" s="1"/>
  <c r="AC119" i="12"/>
  <c r="AZ119" i="12" s="1"/>
  <c r="W119" i="12"/>
  <c r="BH118" i="12"/>
  <c r="BJ118" i="12" s="1"/>
  <c r="AF119" i="12"/>
  <c r="BD119" i="12" s="1"/>
  <c r="AO142" i="5" l="1"/>
  <c r="BM119" i="12"/>
  <c r="BO119" i="12"/>
  <c r="BN119" i="12"/>
  <c r="BL119" i="12"/>
  <c r="Z119" i="12"/>
  <c r="BI119" i="12" s="1"/>
  <c r="BR119" i="12"/>
  <c r="X119" i="12"/>
  <c r="Y119" i="12"/>
  <c r="BG119" i="12" s="1"/>
  <c r="BK119" i="12" s="1"/>
  <c r="BQ119" i="12"/>
  <c r="AO141" i="5" l="1"/>
  <c r="BC119" i="12"/>
  <c r="AX119" i="12"/>
  <c r="AA119" i="12"/>
  <c r="BP119" i="12"/>
  <c r="AO140" i="5" l="1"/>
  <c r="AF120" i="12"/>
  <c r="BD120" i="12" s="1"/>
  <c r="AB120" i="12"/>
  <c r="BH119" i="12"/>
  <c r="BJ119" i="12" s="1"/>
  <c r="AH120" i="12"/>
  <c r="BF120" i="12" s="1"/>
  <c r="AD120" i="12"/>
  <c r="BA120" i="12" s="1"/>
  <c r="W120" i="12"/>
  <c r="AE120" i="12"/>
  <c r="BB120" i="12" s="1"/>
  <c r="AG120" i="12"/>
  <c r="BE120" i="12" s="1"/>
  <c r="AC120" i="12"/>
  <c r="AZ120" i="12" s="1"/>
  <c r="AO139" i="5" l="1"/>
  <c r="BL120" i="12"/>
  <c r="BR120" i="12"/>
  <c r="Z120" i="12"/>
  <c r="BI120" i="12" s="1"/>
  <c r="X120" i="12"/>
  <c r="BQ120" i="12"/>
  <c r="BM120" i="12"/>
  <c r="BN120" i="12"/>
  <c r="Y120" i="12"/>
  <c r="BG120" i="12" s="1"/>
  <c r="BK120" i="12" s="1"/>
  <c r="BO120" i="12"/>
  <c r="AO138" i="5" l="1"/>
  <c r="BP120" i="12"/>
  <c r="AX120" i="12"/>
  <c r="BC120" i="12"/>
  <c r="AA120" i="12"/>
  <c r="AO137" i="5" l="1"/>
  <c r="AD121" i="12"/>
  <c r="BA121" i="12" s="1"/>
  <c r="AC121" i="12"/>
  <c r="AZ121" i="12" s="1"/>
  <c r="AE121" i="12"/>
  <c r="BB121" i="12" s="1"/>
  <c r="AH121" i="12"/>
  <c r="BF121" i="12" s="1"/>
  <c r="AG121" i="12"/>
  <c r="BE121" i="12" s="1"/>
  <c r="AF121" i="12"/>
  <c r="BD121" i="12" s="1"/>
  <c r="W121" i="12"/>
  <c r="AB121" i="12"/>
  <c r="BH120" i="12"/>
  <c r="BJ120" i="12" s="1"/>
  <c r="AO136" i="5" l="1"/>
  <c r="Y121" i="12"/>
  <c r="BG121" i="12" s="1"/>
  <c r="BK121" i="12" s="1"/>
  <c r="BQ121" i="12"/>
  <c r="Z121" i="12"/>
  <c r="BI121" i="12" s="1"/>
  <c r="BN121" i="12"/>
  <c r="BM121" i="12"/>
  <c r="BR121" i="12"/>
  <c r="X121" i="12"/>
  <c r="BO121" i="12"/>
  <c r="BL121" i="12"/>
  <c r="AO135" i="5" l="1"/>
  <c r="AX121" i="12"/>
  <c r="BC121" i="12"/>
  <c r="BP121" i="12"/>
  <c r="AA121" i="12"/>
  <c r="AO134" i="5" l="1"/>
  <c r="BH121" i="12"/>
  <c r="BJ121" i="12" s="1"/>
  <c r="AG122" i="12"/>
  <c r="BE122" i="12" s="1"/>
  <c r="AF122" i="12"/>
  <c r="BD122" i="12" s="1"/>
  <c r="AC122" i="12"/>
  <c r="AZ122" i="12" s="1"/>
  <c r="AB122" i="12"/>
  <c r="AH122" i="12"/>
  <c r="BF122" i="12" s="1"/>
  <c r="AD122" i="12"/>
  <c r="BA122" i="12" s="1"/>
  <c r="AE122" i="12"/>
  <c r="BB122" i="12" s="1"/>
  <c r="W122" i="12"/>
  <c r="AO133" i="5" l="1"/>
  <c r="BQ122" i="12"/>
  <c r="BR122" i="12"/>
  <c r="BL122" i="12"/>
  <c r="Y122" i="12"/>
  <c r="BG122" i="12" s="1"/>
  <c r="BK122" i="12" s="1"/>
  <c r="X122" i="12"/>
  <c r="Z122" i="12"/>
  <c r="BI122" i="12" s="1"/>
  <c r="BM122" i="12"/>
  <c r="BN122" i="12"/>
  <c r="BO122" i="12"/>
  <c r="AO132" i="5" l="1"/>
  <c r="BP122" i="12"/>
  <c r="BC122" i="12"/>
  <c r="AA122" i="12"/>
  <c r="AX122" i="12"/>
  <c r="AO131" i="5" l="1"/>
  <c r="AH123" i="12"/>
  <c r="BF123" i="12" s="1"/>
  <c r="AB123" i="12"/>
  <c r="BH122" i="12"/>
  <c r="BJ122" i="12" s="1"/>
  <c r="AE123" i="12"/>
  <c r="BB123" i="12" s="1"/>
  <c r="W123" i="12"/>
  <c r="AC123" i="12"/>
  <c r="AZ123" i="12" s="1"/>
  <c r="AD123" i="12"/>
  <c r="BA123" i="12" s="1"/>
  <c r="AF123" i="12"/>
  <c r="BD123" i="12" s="1"/>
  <c r="AG123" i="12"/>
  <c r="BE123" i="12" s="1"/>
  <c r="AO130" i="5" l="1"/>
  <c r="BQ123" i="12"/>
  <c r="BL123" i="12"/>
  <c r="Z123" i="12"/>
  <c r="BI123" i="12" s="1"/>
  <c r="BO123" i="12"/>
  <c r="BR123" i="12"/>
  <c r="Y123" i="12"/>
  <c r="BG123" i="12" s="1"/>
  <c r="BK123" i="12" s="1"/>
  <c r="BN123" i="12"/>
  <c r="BM123" i="12"/>
  <c r="X123" i="12"/>
  <c r="AO129" i="5" l="1"/>
  <c r="BP123" i="12"/>
  <c r="AA123" i="12"/>
  <c r="BC123" i="12"/>
  <c r="AX123" i="12"/>
  <c r="AO128" i="5" l="1"/>
  <c r="AH124" i="12"/>
  <c r="BF124" i="12" s="1"/>
  <c r="AG124" i="12"/>
  <c r="BE124" i="12" s="1"/>
  <c r="AD124" i="12"/>
  <c r="BA124" i="12" s="1"/>
  <c r="W124" i="12"/>
  <c r="AF124" i="12"/>
  <c r="BD124" i="12" s="1"/>
  <c r="AE124" i="12"/>
  <c r="BB124" i="12" s="1"/>
  <c r="AC124" i="12"/>
  <c r="AZ124" i="12" s="1"/>
  <c r="AB124" i="12"/>
  <c r="BH123" i="12"/>
  <c r="BJ123" i="12" s="1"/>
  <c r="AO127" i="5" l="1"/>
  <c r="BQ124" i="12"/>
  <c r="X124" i="12"/>
  <c r="Y124" i="12"/>
  <c r="BG124" i="12" s="1"/>
  <c r="BK124" i="12" s="1"/>
  <c r="BO124" i="12"/>
  <c r="Z124" i="12"/>
  <c r="BI124" i="12" s="1"/>
  <c r="BL124" i="12"/>
  <c r="BN124" i="12"/>
  <c r="BR124" i="12"/>
  <c r="BM124" i="12"/>
  <c r="AO126" i="5" l="1"/>
  <c r="BP124" i="12"/>
  <c r="AA124" i="12"/>
  <c r="BC124" i="12"/>
  <c r="AX124" i="12"/>
  <c r="AO125" i="5" l="1"/>
  <c r="AC125" i="12"/>
  <c r="AZ125" i="12" s="1"/>
  <c r="W125" i="12"/>
  <c r="AH125" i="12"/>
  <c r="BF125" i="12" s="1"/>
  <c r="AB125" i="12"/>
  <c r="AE125" i="12"/>
  <c r="BB125" i="12" s="1"/>
  <c r="AD125" i="12"/>
  <c r="BA125" i="12" s="1"/>
  <c r="AG125" i="12"/>
  <c r="BE125" i="12" s="1"/>
  <c r="BH124" i="12"/>
  <c r="BJ124" i="12" s="1"/>
  <c r="AF125" i="12"/>
  <c r="BD125" i="12" s="1"/>
  <c r="AO124" i="5" l="1"/>
  <c r="BM125" i="12"/>
  <c r="Y125" i="12"/>
  <c r="BG125" i="12" s="1"/>
  <c r="BK125" i="12" s="1"/>
  <c r="BL125" i="12"/>
  <c r="BO125" i="12"/>
  <c r="BQ125" i="12"/>
  <c r="BN125" i="12"/>
  <c r="Z125" i="12"/>
  <c r="BI125" i="12" s="1"/>
  <c r="BR125" i="12"/>
  <c r="X125" i="12"/>
  <c r="AO123" i="5" l="1"/>
  <c r="BP125" i="12"/>
  <c r="AA125" i="12"/>
  <c r="AX125" i="12"/>
  <c r="BC125" i="12"/>
  <c r="AO122" i="5" l="1"/>
  <c r="BH125" i="12"/>
  <c r="BJ125" i="12" s="1"/>
  <c r="AD126" i="12"/>
  <c r="BA126" i="12" s="1"/>
  <c r="W126" i="12"/>
  <c r="AB126" i="12"/>
  <c r="AG126" i="12"/>
  <c r="BE126" i="12" s="1"/>
  <c r="AH126" i="12"/>
  <c r="BF126" i="12" s="1"/>
  <c r="AF126" i="12"/>
  <c r="BD126" i="12" s="1"/>
  <c r="AC126" i="12"/>
  <c r="AZ126" i="12" s="1"/>
  <c r="AE126" i="12"/>
  <c r="BB126" i="12" s="1"/>
  <c r="AO121" i="5" l="1"/>
  <c r="BN126" i="12"/>
  <c r="BL126" i="12"/>
  <c r="BR126" i="12"/>
  <c r="Z126" i="12"/>
  <c r="BI126" i="12" s="1"/>
  <c r="BO126" i="12"/>
  <c r="BQ126" i="12"/>
  <c r="BM126" i="12"/>
  <c r="Y126" i="12"/>
  <c r="BG126" i="12" s="1"/>
  <c r="BK126" i="12" s="1"/>
  <c r="X126" i="12"/>
  <c r="AO120" i="5" l="1"/>
  <c r="BP126" i="12"/>
  <c r="AA126" i="12"/>
  <c r="AX126" i="12"/>
  <c r="BC126" i="12"/>
  <c r="AO119" i="5" l="1"/>
  <c r="AF127" i="12"/>
  <c r="BD127" i="12" s="1"/>
  <c r="AE127" i="12"/>
  <c r="BB127" i="12" s="1"/>
  <c r="AC127" i="12"/>
  <c r="AZ127" i="12" s="1"/>
  <c r="AH127" i="12"/>
  <c r="BF127" i="12" s="1"/>
  <c r="AD127" i="12"/>
  <c r="BA127" i="12" s="1"/>
  <c r="W127" i="12"/>
  <c r="AB127" i="12"/>
  <c r="BH126" i="12"/>
  <c r="BJ126" i="12" s="1"/>
  <c r="AG127" i="12"/>
  <c r="BE127" i="12" s="1"/>
  <c r="AO118" i="5" l="1"/>
  <c r="BL127" i="12"/>
  <c r="BM127" i="12"/>
  <c r="BR127" i="12"/>
  <c r="X127" i="12"/>
  <c r="Z127" i="12"/>
  <c r="BI127" i="12" s="1"/>
  <c r="BQ127" i="12"/>
  <c r="Y127" i="12"/>
  <c r="BG127" i="12" s="1"/>
  <c r="BK127" i="12" s="1"/>
  <c r="BN127" i="12"/>
  <c r="BO127" i="12"/>
  <c r="AO117" i="5" l="1"/>
  <c r="BP127" i="12"/>
  <c r="AX127" i="12"/>
  <c r="BC127" i="12"/>
  <c r="AA127" i="12"/>
  <c r="AO116" i="5" l="1"/>
  <c r="W128" i="12"/>
  <c r="AF128" i="12"/>
  <c r="BD128" i="12" s="1"/>
  <c r="AB128" i="12"/>
  <c r="AE128" i="12"/>
  <c r="BB128" i="12" s="1"/>
  <c r="AH128" i="12"/>
  <c r="BF128" i="12" s="1"/>
  <c r="AC128" i="12"/>
  <c r="AZ128" i="12" s="1"/>
  <c r="AG128" i="12"/>
  <c r="BE128" i="12" s="1"/>
  <c r="AD128" i="12"/>
  <c r="BA128" i="12" s="1"/>
  <c r="BH127" i="12"/>
  <c r="BJ127" i="12" s="1"/>
  <c r="AO115" i="5" l="1"/>
  <c r="Y128" i="12"/>
  <c r="BG128" i="12" s="1"/>
  <c r="BK128" i="12" s="1"/>
  <c r="BL128" i="12"/>
  <c r="BR128" i="12"/>
  <c r="BN128" i="12"/>
  <c r="BM128" i="12"/>
  <c r="Z128" i="12"/>
  <c r="BI128" i="12" s="1"/>
  <c r="BQ128" i="12"/>
  <c r="BO128" i="12"/>
  <c r="X128" i="12"/>
  <c r="AO114" i="5" l="1"/>
  <c r="AX128" i="12"/>
  <c r="BC128" i="12"/>
  <c r="BP128" i="12"/>
  <c r="AA128" i="12"/>
  <c r="AO113" i="5" l="1"/>
  <c r="W129" i="12"/>
  <c r="BH128" i="12"/>
  <c r="AF129" i="12"/>
  <c r="BD129" i="12" s="1"/>
  <c r="AC129" i="12"/>
  <c r="AZ129" i="12" s="1"/>
  <c r="AD129" i="12"/>
  <c r="BA129" i="12" s="1"/>
  <c r="AG129" i="12"/>
  <c r="BE129" i="12" s="1"/>
  <c r="AH129" i="12"/>
  <c r="BF129" i="12" s="1"/>
  <c r="AB129" i="12"/>
  <c r="AE129" i="12"/>
  <c r="BB129" i="12" s="1"/>
  <c r="BJ128" i="12"/>
  <c r="AO112" i="5" l="1"/>
  <c r="BR129" i="12"/>
  <c r="BM129" i="12"/>
  <c r="Y129" i="12"/>
  <c r="BG129" i="12" s="1"/>
  <c r="BK129" i="12" s="1"/>
  <c r="BN129" i="12"/>
  <c r="BL129" i="12"/>
  <c r="Z129" i="12"/>
  <c r="BI129" i="12" s="1"/>
  <c r="BQ129" i="12"/>
  <c r="BO129" i="12"/>
  <c r="X129" i="12"/>
  <c r="AO111" i="5" l="1"/>
  <c r="AX129" i="12"/>
  <c r="BC129" i="12"/>
  <c r="BP129" i="12"/>
  <c r="AA129" i="12"/>
  <c r="AO110" i="5" l="1"/>
  <c r="W130" i="12"/>
  <c r="BH129" i="12"/>
  <c r="BJ129" i="12" s="1"/>
  <c r="AG130" i="12"/>
  <c r="BE130" i="12" s="1"/>
  <c r="AE130" i="12"/>
  <c r="BB130" i="12" s="1"/>
  <c r="AH130" i="12"/>
  <c r="BF130" i="12" s="1"/>
  <c r="AF130" i="12"/>
  <c r="BD130" i="12" s="1"/>
  <c r="AB130" i="12"/>
  <c r="AC130" i="12"/>
  <c r="AZ130" i="12" s="1"/>
  <c r="AD130" i="12"/>
  <c r="BA130" i="12" s="1"/>
  <c r="AO109" i="5" l="1"/>
  <c r="BN130" i="12"/>
  <c r="BR130" i="12"/>
  <c r="BM130" i="12"/>
  <c r="Z130" i="12"/>
  <c r="BI130" i="12" s="1"/>
  <c r="Y130" i="12"/>
  <c r="BG130" i="12" s="1"/>
  <c r="BK130" i="12" s="1"/>
  <c r="BL130" i="12"/>
  <c r="BO130" i="12"/>
  <c r="BQ130" i="12"/>
  <c r="X130" i="12"/>
  <c r="AO108" i="5" l="1"/>
  <c r="AX130" i="12"/>
  <c r="BC130" i="12"/>
  <c r="AA130" i="12"/>
  <c r="BP130" i="12"/>
  <c r="AO107" i="5" l="1"/>
  <c r="W131" i="12"/>
  <c r="BH130" i="12"/>
  <c r="BJ130" i="12" s="1"/>
  <c r="AE131" i="12"/>
  <c r="BB131" i="12" s="1"/>
  <c r="AH131" i="12"/>
  <c r="BF131" i="12" s="1"/>
  <c r="AG131" i="12"/>
  <c r="BE131" i="12" s="1"/>
  <c r="AC131" i="12"/>
  <c r="AZ131" i="12" s="1"/>
  <c r="AD131" i="12"/>
  <c r="BA131" i="12" s="1"/>
  <c r="AF131" i="12"/>
  <c r="BD131" i="12" s="1"/>
  <c r="AB131" i="12"/>
  <c r="AO106" i="5" l="1"/>
  <c r="BL131" i="12"/>
  <c r="Z131" i="12"/>
  <c r="BI131" i="12" s="1"/>
  <c r="Y131" i="12"/>
  <c r="BG131" i="12" s="1"/>
  <c r="BK131" i="12" s="1"/>
  <c r="BN131" i="12"/>
  <c r="BQ131" i="12"/>
  <c r="BO131" i="12"/>
  <c r="BR131" i="12"/>
  <c r="BM131" i="12"/>
  <c r="X131" i="12"/>
  <c r="AO105" i="5" l="1"/>
  <c r="AX131" i="12"/>
  <c r="BC131" i="12"/>
  <c r="BP131" i="12"/>
  <c r="AA131" i="12"/>
  <c r="AO104" i="5" l="1"/>
  <c r="W132" i="12"/>
  <c r="BH131" i="12"/>
  <c r="BJ131" i="12" s="1"/>
  <c r="AC132" i="12"/>
  <c r="AZ132" i="12" s="1"/>
  <c r="AF132" i="12"/>
  <c r="BD132" i="12" s="1"/>
  <c r="AB132" i="12"/>
  <c r="AD132" i="12"/>
  <c r="BA132" i="12" s="1"/>
  <c r="AH132" i="12"/>
  <c r="BF132" i="12" s="1"/>
  <c r="AE132" i="12"/>
  <c r="BB132" i="12" s="1"/>
  <c r="AG132" i="12"/>
  <c r="BE132" i="12" s="1"/>
  <c r="AO103" i="5" l="1"/>
  <c r="BN132" i="12"/>
  <c r="BL132" i="12"/>
  <c r="BM132" i="12"/>
  <c r="BR132" i="12"/>
  <c r="Y132" i="12"/>
  <c r="BG132" i="12" s="1"/>
  <c r="BK132" i="12" s="1"/>
  <c r="Z132" i="12"/>
  <c r="BI132" i="12" s="1"/>
  <c r="BQ132" i="12"/>
  <c r="BO132" i="12"/>
  <c r="X132" i="12"/>
  <c r="AO102" i="5" l="1"/>
  <c r="AX132" i="12"/>
  <c r="BC132" i="12"/>
  <c r="AA132" i="12"/>
  <c r="BP132" i="12"/>
  <c r="CD5" i="12" s="1"/>
  <c r="AO101" i="5" l="1"/>
  <c r="W133" i="12"/>
  <c r="BH132" i="12"/>
  <c r="BJ132" i="12" s="1"/>
  <c r="AC133" i="12"/>
  <c r="AZ133" i="12" s="1"/>
  <c r="AB133" i="12"/>
  <c r="AH133" i="12"/>
  <c r="BF133" i="12" s="1"/>
  <c r="AF133" i="12"/>
  <c r="BD133" i="12" s="1"/>
  <c r="AD133" i="12"/>
  <c r="BA133" i="12" s="1"/>
  <c r="AE133" i="12"/>
  <c r="BB133" i="12" s="1"/>
  <c r="AG133" i="12"/>
  <c r="BE133" i="12" s="1"/>
  <c r="AO100" i="5" l="1"/>
  <c r="BN133" i="12"/>
  <c r="BM133" i="12"/>
  <c r="Y133" i="12"/>
  <c r="BG133" i="12" s="1"/>
  <c r="BK133" i="12" s="1"/>
  <c r="BL133" i="12"/>
  <c r="BO133" i="12"/>
  <c r="BR133" i="12"/>
  <c r="BQ133" i="12"/>
  <c r="Z133" i="12"/>
  <c r="BI133" i="12" s="1"/>
  <c r="X133" i="12"/>
  <c r="AO99" i="5" l="1"/>
  <c r="AX133" i="12"/>
  <c r="BC133" i="12"/>
  <c r="AA133" i="12"/>
  <c r="BP133" i="12"/>
  <c r="AO98" i="5" l="1"/>
  <c r="BH133" i="12"/>
  <c r="BJ133" i="12" s="1"/>
  <c r="W134" i="12"/>
  <c r="AG134" i="12"/>
  <c r="BE134" i="12" s="1"/>
  <c r="AC134" i="12"/>
  <c r="AZ134" i="12" s="1"/>
  <c r="AB134" i="12"/>
  <c r="AE134" i="12"/>
  <c r="BB134" i="12" s="1"/>
  <c r="AH134" i="12"/>
  <c r="BF134" i="12" s="1"/>
  <c r="AF134" i="12"/>
  <c r="BD134" i="12" s="1"/>
  <c r="AD134" i="12"/>
  <c r="BA134" i="12" s="1"/>
  <c r="AO97" i="5" l="1"/>
  <c r="BM134" i="12"/>
  <c r="BL134" i="12"/>
  <c r="BR134" i="12"/>
  <c r="Z134" i="12"/>
  <c r="BI134" i="12" s="1"/>
  <c r="BN134" i="12"/>
  <c r="Y134" i="12"/>
  <c r="BG134" i="12" s="1"/>
  <c r="BK134" i="12" s="1"/>
  <c r="BO134" i="12"/>
  <c r="BQ134" i="12"/>
  <c r="X134" i="12"/>
  <c r="AO96" i="5" l="1"/>
  <c r="AX134" i="12"/>
  <c r="BC134" i="12"/>
  <c r="AA134" i="12"/>
  <c r="BP134" i="12"/>
  <c r="AO95" i="5" l="1"/>
  <c r="W135" i="12"/>
  <c r="BH134" i="12"/>
  <c r="BJ134" i="12" s="1"/>
  <c r="AD135" i="12"/>
  <c r="BA135" i="12" s="1"/>
  <c r="AC135" i="12"/>
  <c r="AZ135" i="12" s="1"/>
  <c r="AB135" i="12"/>
  <c r="AF135" i="12"/>
  <c r="BD135" i="12" s="1"/>
  <c r="AH135" i="12"/>
  <c r="BF135" i="12" s="1"/>
  <c r="AE135" i="12"/>
  <c r="BB135" i="12" s="1"/>
  <c r="AG135" i="12"/>
  <c r="BE135" i="12" s="1"/>
  <c r="AO94" i="5" l="1"/>
  <c r="BR135" i="12"/>
  <c r="BL135" i="12"/>
  <c r="Y135" i="12"/>
  <c r="BG135" i="12" s="1"/>
  <c r="BK135" i="12" s="1"/>
  <c r="BN135" i="12"/>
  <c r="BM135" i="12"/>
  <c r="Z135" i="12"/>
  <c r="BI135" i="12" s="1"/>
  <c r="BQ135" i="12"/>
  <c r="BO135" i="12"/>
  <c r="X135" i="12"/>
  <c r="AO93" i="5" l="1"/>
  <c r="AX135" i="12"/>
  <c r="BC135" i="12"/>
  <c r="AA135" i="12"/>
  <c r="BP135" i="12"/>
  <c r="AO92" i="5" l="1"/>
  <c r="W136" i="12"/>
  <c r="BH135" i="12"/>
  <c r="BJ135" i="12" s="1"/>
  <c r="AE136" i="12"/>
  <c r="BB136" i="12" s="1"/>
  <c r="AG136" i="12"/>
  <c r="BE136" i="12" s="1"/>
  <c r="AC136" i="12"/>
  <c r="AZ136" i="12" s="1"/>
  <c r="AD136" i="12"/>
  <c r="BA136" i="12" s="1"/>
  <c r="AB136" i="12"/>
  <c r="AH136" i="12"/>
  <c r="BF136" i="12" s="1"/>
  <c r="AF136" i="12"/>
  <c r="BD136" i="12" s="1"/>
  <c r="AO91" i="5" l="1"/>
  <c r="BR136" i="12"/>
  <c r="Z136" i="12"/>
  <c r="BI136" i="12" s="1"/>
  <c r="Y136" i="12"/>
  <c r="BG136" i="12" s="1"/>
  <c r="BK136" i="12" s="1"/>
  <c r="BM136" i="12"/>
  <c r="BN136" i="12"/>
  <c r="BL136" i="12"/>
  <c r="BO136" i="12"/>
  <c r="BQ136" i="12"/>
  <c r="X136" i="12"/>
  <c r="AO90" i="5" l="1"/>
  <c r="AX136" i="12"/>
  <c r="BC136" i="12"/>
  <c r="BP136" i="12"/>
  <c r="AA136" i="12"/>
  <c r="AO89" i="5" l="1"/>
  <c r="W137" i="12"/>
  <c r="BH136" i="12"/>
  <c r="BJ136" i="12" s="1"/>
  <c r="AC137" i="12"/>
  <c r="AZ137" i="12" s="1"/>
  <c r="AF137" i="12"/>
  <c r="BD137" i="12" s="1"/>
  <c r="AB137" i="12"/>
  <c r="AH137" i="12"/>
  <c r="BF137" i="12" s="1"/>
  <c r="AG137" i="12"/>
  <c r="BE137" i="12" s="1"/>
  <c r="AD137" i="12"/>
  <c r="BA137" i="12" s="1"/>
  <c r="AE137" i="12"/>
  <c r="BB137" i="12" s="1"/>
  <c r="AO88" i="5" l="1"/>
  <c r="BM137" i="12"/>
  <c r="BR137" i="12"/>
  <c r="BO137" i="12"/>
  <c r="BQ137" i="12"/>
  <c r="Z137" i="12"/>
  <c r="BI137" i="12" s="1"/>
  <c r="Y137" i="12"/>
  <c r="BG137" i="12" s="1"/>
  <c r="BK137" i="12" s="1"/>
  <c r="BN137" i="12"/>
  <c r="BL137" i="12"/>
  <c r="X137" i="12"/>
  <c r="AO87" i="5" l="1"/>
  <c r="AX137" i="12"/>
  <c r="BC137" i="12"/>
  <c r="BP137" i="12"/>
  <c r="AA137" i="12"/>
  <c r="AO86" i="5" l="1"/>
  <c r="W138" i="12"/>
  <c r="BH137" i="12"/>
  <c r="BJ137" i="12" s="1"/>
  <c r="AH138" i="12"/>
  <c r="BF138" i="12" s="1"/>
  <c r="AB138" i="12"/>
  <c r="AD138" i="12"/>
  <c r="BA138" i="12" s="1"/>
  <c r="AF138" i="12"/>
  <c r="BD138" i="12" s="1"/>
  <c r="AE138" i="12"/>
  <c r="BB138" i="12" s="1"/>
  <c r="AG138" i="12"/>
  <c r="BE138" i="12" s="1"/>
  <c r="AC138" i="12"/>
  <c r="AZ138" i="12" s="1"/>
  <c r="AO85" i="5" l="1"/>
  <c r="BO138" i="12"/>
  <c r="BN138" i="12"/>
  <c r="Y138" i="12"/>
  <c r="BG138" i="12" s="1"/>
  <c r="BK138" i="12" s="1"/>
  <c r="BR138" i="12"/>
  <c r="BM138" i="12"/>
  <c r="BL138" i="12"/>
  <c r="BQ138" i="12"/>
  <c r="Z138" i="12"/>
  <c r="BI138" i="12" s="1"/>
  <c r="X138" i="12"/>
  <c r="AO84" i="5" l="1"/>
  <c r="AX138" i="12"/>
  <c r="BC138" i="12"/>
  <c r="BP138" i="12"/>
  <c r="AA138" i="12"/>
  <c r="AO83" i="5" l="1"/>
  <c r="BH138" i="12"/>
  <c r="BJ138" i="12" s="1"/>
  <c r="W139" i="12"/>
  <c r="AH139" i="12"/>
  <c r="BF139" i="12" s="1"/>
  <c r="AE139" i="12"/>
  <c r="BB139" i="12" s="1"/>
  <c r="AF139" i="12"/>
  <c r="BD139" i="12" s="1"/>
  <c r="AB139" i="12"/>
  <c r="AC139" i="12"/>
  <c r="AZ139" i="12" s="1"/>
  <c r="AG139" i="12"/>
  <c r="BE139" i="12" s="1"/>
  <c r="AD139" i="12"/>
  <c r="BA139" i="12" s="1"/>
  <c r="AO82" i="5" l="1"/>
  <c r="BR139" i="12"/>
  <c r="BN139" i="12"/>
  <c r="Z139" i="12"/>
  <c r="BI139" i="12" s="1"/>
  <c r="Y139" i="12"/>
  <c r="BG139" i="12" s="1"/>
  <c r="BK139" i="12" s="1"/>
  <c r="BO139" i="12"/>
  <c r="BQ139" i="12"/>
  <c r="BL139" i="12"/>
  <c r="BM139" i="12"/>
  <c r="X139" i="12"/>
  <c r="AO81" i="5" l="1"/>
  <c r="AX139" i="12"/>
  <c r="BC139" i="12"/>
  <c r="AA139" i="12"/>
  <c r="BP139" i="12"/>
  <c r="AO80" i="5" l="1"/>
  <c r="BH139" i="12"/>
  <c r="BJ139" i="12" s="1"/>
  <c r="W140" i="12"/>
  <c r="AF140" i="12"/>
  <c r="BD140" i="12" s="1"/>
  <c r="AH140" i="12"/>
  <c r="BF140" i="12" s="1"/>
  <c r="AG140" i="12"/>
  <c r="BE140" i="12" s="1"/>
  <c r="AC140" i="12"/>
  <c r="AZ140" i="12" s="1"/>
  <c r="AD140" i="12"/>
  <c r="BA140" i="12" s="1"/>
  <c r="AB140" i="12"/>
  <c r="AE140" i="12"/>
  <c r="BB140" i="12" s="1"/>
  <c r="AO79" i="5" l="1"/>
  <c r="BN140" i="12"/>
  <c r="BM140" i="12"/>
  <c r="Y140" i="12"/>
  <c r="BG140" i="12" s="1"/>
  <c r="BK140" i="12" s="1"/>
  <c r="BL140" i="12"/>
  <c r="BR140" i="12"/>
  <c r="BQ140" i="12"/>
  <c r="BO140" i="12"/>
  <c r="Z140" i="12"/>
  <c r="BI140" i="12" s="1"/>
  <c r="X140" i="12"/>
  <c r="AO78" i="5" l="1"/>
  <c r="AX140" i="12"/>
  <c r="BC140" i="12"/>
  <c r="BP140" i="12"/>
  <c r="AA140" i="12"/>
  <c r="AO77" i="5" l="1"/>
  <c r="W141" i="12"/>
  <c r="BH140" i="12"/>
  <c r="BJ140" i="12" s="1"/>
  <c r="AE141" i="12"/>
  <c r="BB141" i="12" s="1"/>
  <c r="AH141" i="12"/>
  <c r="BF141" i="12" s="1"/>
  <c r="AG141" i="12"/>
  <c r="BE141" i="12" s="1"/>
  <c r="AF141" i="12"/>
  <c r="BD141" i="12" s="1"/>
  <c r="AB141" i="12"/>
  <c r="AC141" i="12"/>
  <c r="AZ141" i="12" s="1"/>
  <c r="AD141" i="12"/>
  <c r="BA141" i="12" s="1"/>
  <c r="AO76" i="5" l="1"/>
  <c r="BM141" i="12"/>
  <c r="BL141" i="12"/>
  <c r="Y141" i="12"/>
  <c r="BG141" i="12" s="1"/>
  <c r="BK141" i="12" s="1"/>
  <c r="BN141" i="12"/>
  <c r="BR141" i="12"/>
  <c r="BQ141" i="12"/>
  <c r="BO141" i="12"/>
  <c r="Z141" i="12"/>
  <c r="BI141" i="12" s="1"/>
  <c r="X141" i="12"/>
  <c r="AO75" i="5" l="1"/>
  <c r="AX141" i="12"/>
  <c r="BC141" i="12"/>
  <c r="AA141" i="12"/>
  <c r="BP141" i="12"/>
  <c r="AO74" i="5" l="1"/>
  <c r="W142" i="12"/>
  <c r="BH141" i="12"/>
  <c r="BJ141" i="12" s="1"/>
  <c r="AB142" i="12"/>
  <c r="AF142" i="12"/>
  <c r="BD142" i="12" s="1"/>
  <c r="AC142" i="12"/>
  <c r="AZ142" i="12" s="1"/>
  <c r="AG142" i="12"/>
  <c r="BE142" i="12" s="1"/>
  <c r="AH142" i="12"/>
  <c r="BF142" i="12" s="1"/>
  <c r="AD142" i="12"/>
  <c r="BA142" i="12" s="1"/>
  <c r="AE142" i="12"/>
  <c r="BB142" i="12" s="1"/>
  <c r="AO73" i="5" l="1"/>
  <c r="BL142" i="12"/>
  <c r="BR142" i="12"/>
  <c r="BN142" i="12"/>
  <c r="BQ142" i="12"/>
  <c r="BM142" i="12"/>
  <c r="Y142" i="12"/>
  <c r="BG142" i="12" s="1"/>
  <c r="BK142" i="12" s="1"/>
  <c r="BO142" i="12"/>
  <c r="Z142" i="12"/>
  <c r="BI142" i="12" s="1"/>
  <c r="X142" i="12"/>
  <c r="AO72" i="5" l="1"/>
  <c r="AX142" i="12"/>
  <c r="BC142" i="12"/>
  <c r="AA142" i="12"/>
  <c r="BP142" i="12"/>
  <c r="AO71" i="5" l="1"/>
  <c r="W143" i="12"/>
  <c r="BH142" i="12"/>
  <c r="BJ142" i="12" s="1"/>
  <c r="AC143" i="12"/>
  <c r="AZ143" i="12" s="1"/>
  <c r="AE143" i="12"/>
  <c r="BB143" i="12" s="1"/>
  <c r="AG143" i="12"/>
  <c r="BE143" i="12" s="1"/>
  <c r="AF143" i="12"/>
  <c r="BD143" i="12" s="1"/>
  <c r="AB143" i="12"/>
  <c r="AH143" i="12"/>
  <c r="BF143" i="12" s="1"/>
  <c r="AD143" i="12"/>
  <c r="BA143" i="12" s="1"/>
  <c r="AO70" i="5" l="1"/>
  <c r="BR143" i="12"/>
  <c r="BL143" i="12"/>
  <c r="Y143" i="12"/>
  <c r="BG143" i="12" s="1"/>
  <c r="BK143" i="12" s="1"/>
  <c r="Z143" i="12"/>
  <c r="BI143" i="12" s="1"/>
  <c r="BM143" i="12"/>
  <c r="BO143" i="12"/>
  <c r="BN143" i="12"/>
  <c r="BQ143" i="12"/>
  <c r="X143" i="12"/>
  <c r="AO69" i="5" l="1"/>
  <c r="AX143" i="12"/>
  <c r="BC143" i="12"/>
  <c r="BP143" i="12"/>
  <c r="AA143" i="12"/>
  <c r="AO68" i="5" l="1"/>
  <c r="W144" i="12"/>
  <c r="BH143" i="12"/>
  <c r="BJ143" i="12" s="1"/>
  <c r="AC144" i="12"/>
  <c r="AZ144" i="12" s="1"/>
  <c r="AD144" i="12"/>
  <c r="BA144" i="12" s="1"/>
  <c r="AF144" i="12"/>
  <c r="BD144" i="12" s="1"/>
  <c r="AB144" i="12"/>
  <c r="AE144" i="12"/>
  <c r="BB144" i="12" s="1"/>
  <c r="AH144" i="12"/>
  <c r="BF144" i="12" s="1"/>
  <c r="AG144" i="12"/>
  <c r="BE144" i="12" s="1"/>
  <c r="AO67" i="5" l="1"/>
  <c r="BL144" i="12"/>
  <c r="BR144" i="12"/>
  <c r="BN144" i="12"/>
  <c r="BO144" i="12"/>
  <c r="Y144" i="12"/>
  <c r="BG144" i="12" s="1"/>
  <c r="BK144" i="12" s="1"/>
  <c r="BQ144" i="12"/>
  <c r="Z144" i="12"/>
  <c r="BI144" i="12" s="1"/>
  <c r="BM144" i="12"/>
  <c r="X144" i="12"/>
  <c r="AO66" i="5" l="1"/>
  <c r="AX144" i="12"/>
  <c r="BC144" i="12"/>
  <c r="BP144" i="12"/>
  <c r="AA144" i="12"/>
  <c r="AO65" i="5" l="1"/>
  <c r="W145" i="12"/>
  <c r="BH144" i="12"/>
  <c r="BJ144" i="12" s="1"/>
  <c r="AB145" i="12"/>
  <c r="AD145" i="12"/>
  <c r="BA145" i="12" s="1"/>
  <c r="AC145" i="12"/>
  <c r="AZ145" i="12" s="1"/>
  <c r="AH145" i="12"/>
  <c r="BF145" i="12" s="1"/>
  <c r="AG145" i="12"/>
  <c r="BE145" i="12" s="1"/>
  <c r="AE145" i="12"/>
  <c r="BB145" i="12" s="1"/>
  <c r="AF145" i="12"/>
  <c r="BD145" i="12" s="1"/>
  <c r="AO64" i="5" l="1"/>
  <c r="BO145" i="12"/>
  <c r="Y145" i="12"/>
  <c r="BG145" i="12" s="1"/>
  <c r="BK145" i="12" s="1"/>
  <c r="BL145" i="12"/>
  <c r="BN145" i="12"/>
  <c r="BM145" i="12"/>
  <c r="BR145" i="12"/>
  <c r="BQ145" i="12"/>
  <c r="Z145" i="12"/>
  <c r="BI145" i="12" s="1"/>
  <c r="X145" i="12"/>
  <c r="AO63" i="5" l="1"/>
  <c r="AX145" i="12"/>
  <c r="BC145" i="12"/>
  <c r="AA145" i="12"/>
  <c r="BP145" i="12"/>
  <c r="AO62" i="5" l="1"/>
  <c r="W146" i="12"/>
  <c r="BH145" i="12"/>
  <c r="BJ145" i="12" s="1"/>
  <c r="AD146" i="12"/>
  <c r="BA146" i="12" s="1"/>
  <c r="AG146" i="12"/>
  <c r="BE146" i="12" s="1"/>
  <c r="AB146" i="12"/>
  <c r="AH146" i="12"/>
  <c r="BF146" i="12" s="1"/>
  <c r="AE146" i="12"/>
  <c r="BB146" i="12" s="1"/>
  <c r="AF146" i="12"/>
  <c r="BD146" i="12" s="1"/>
  <c r="AC146" i="12"/>
  <c r="AZ146" i="12" s="1"/>
  <c r="AO61" i="5" l="1"/>
  <c r="Z146" i="12"/>
  <c r="BI146" i="12" s="1"/>
  <c r="BR146" i="12"/>
  <c r="BQ146" i="12"/>
  <c r="BO146" i="12"/>
  <c r="Y146" i="12"/>
  <c r="BG146" i="12" s="1"/>
  <c r="BK146" i="12" s="1"/>
  <c r="BM146" i="12"/>
  <c r="BL146" i="12"/>
  <c r="BN146" i="12"/>
  <c r="X146" i="12"/>
  <c r="AO60" i="5" l="1"/>
  <c r="AX146" i="12"/>
  <c r="BC146" i="12"/>
  <c r="BP146" i="12"/>
  <c r="AA146" i="12"/>
  <c r="AO59" i="5" l="1"/>
  <c r="W147" i="12"/>
  <c r="BH146" i="12"/>
  <c r="BJ146" i="12" s="1"/>
  <c r="AH147" i="12"/>
  <c r="BF147" i="12" s="1"/>
  <c r="AC147" i="12"/>
  <c r="AZ147" i="12" s="1"/>
  <c r="AB147" i="12"/>
  <c r="AG147" i="12"/>
  <c r="BE147" i="12" s="1"/>
  <c r="AE147" i="12"/>
  <c r="BB147" i="12" s="1"/>
  <c r="AF147" i="12"/>
  <c r="BD147" i="12" s="1"/>
  <c r="AD147" i="12"/>
  <c r="BA147" i="12" s="1"/>
  <c r="AO58" i="5" l="1"/>
  <c r="BR147" i="12"/>
  <c r="BL147" i="12"/>
  <c r="BM147" i="12"/>
  <c r="BN147" i="12"/>
  <c r="Y147" i="12"/>
  <c r="BG147" i="12" s="1"/>
  <c r="BK147" i="12" s="1"/>
  <c r="Z147" i="12"/>
  <c r="BI147" i="12" s="1"/>
  <c r="BQ147" i="12"/>
  <c r="BO147" i="12"/>
  <c r="X147" i="12"/>
  <c r="AO57" i="5" l="1"/>
  <c r="AX147" i="12"/>
  <c r="BC147" i="12"/>
  <c r="BP147" i="12"/>
  <c r="AA147" i="12"/>
  <c r="AO56" i="5" l="1"/>
  <c r="BH147" i="12"/>
  <c r="BJ147" i="12" s="1"/>
  <c r="W148" i="12"/>
  <c r="AC148" i="12"/>
  <c r="AZ148" i="12" s="1"/>
  <c r="AH148" i="12"/>
  <c r="BF148" i="12" s="1"/>
  <c r="AF148" i="12"/>
  <c r="BD148" i="12" s="1"/>
  <c r="AE148" i="12"/>
  <c r="BB148" i="12" s="1"/>
  <c r="AB148" i="12"/>
  <c r="AD148" i="12"/>
  <c r="BA148" i="12" s="1"/>
  <c r="AG148" i="12"/>
  <c r="BE148" i="12" s="1"/>
  <c r="AO55" i="5" l="1"/>
  <c r="BR148" i="12"/>
  <c r="BL148" i="12"/>
  <c r="BO148" i="12"/>
  <c r="BN148" i="12"/>
  <c r="BQ148" i="12"/>
  <c r="BM148" i="12"/>
  <c r="Y148" i="12"/>
  <c r="BG148" i="12" s="1"/>
  <c r="BK148" i="12" s="1"/>
  <c r="Z148" i="12"/>
  <c r="BI148" i="12" s="1"/>
  <c r="X148" i="12"/>
  <c r="AO54" i="5" l="1"/>
  <c r="AX148" i="12"/>
  <c r="BC148" i="12"/>
  <c r="BP148" i="12"/>
  <c r="AA148" i="12"/>
  <c r="AO53" i="5" l="1"/>
  <c r="W149" i="12"/>
  <c r="BH148" i="12"/>
  <c r="BJ148" i="12" s="1"/>
  <c r="AD149" i="12"/>
  <c r="BA149" i="12" s="1"/>
  <c r="AH149" i="12"/>
  <c r="BF149" i="12" s="1"/>
  <c r="AF149" i="12"/>
  <c r="BD149" i="12" s="1"/>
  <c r="AC149" i="12"/>
  <c r="AZ149" i="12" s="1"/>
  <c r="AE149" i="12"/>
  <c r="BB149" i="12" s="1"/>
  <c r="AG149" i="12"/>
  <c r="BE149" i="12" s="1"/>
  <c r="AB149" i="12"/>
  <c r="AO52" i="5" l="1"/>
  <c r="BL149" i="12"/>
  <c r="BM149" i="12"/>
  <c r="BN149" i="12"/>
  <c r="BR149" i="12"/>
  <c r="BQ149" i="12"/>
  <c r="BO149" i="12"/>
  <c r="Y149" i="12"/>
  <c r="BG149" i="12" s="1"/>
  <c r="BK149" i="12" s="1"/>
  <c r="Z149" i="12"/>
  <c r="BI149" i="12" s="1"/>
  <c r="X149" i="12"/>
  <c r="AO51" i="5" l="1"/>
  <c r="AX149" i="12"/>
  <c r="BC149" i="12"/>
  <c r="BP149" i="12"/>
  <c r="AA149" i="12"/>
  <c r="AO50" i="5" l="1"/>
  <c r="W150" i="12"/>
  <c r="BH149" i="12"/>
  <c r="BJ149" i="12" s="1"/>
  <c r="AH150" i="12"/>
  <c r="BF150" i="12" s="1"/>
  <c r="AB150" i="12"/>
  <c r="AG150" i="12"/>
  <c r="BE150" i="12" s="1"/>
  <c r="AE150" i="12"/>
  <c r="BB150" i="12" s="1"/>
  <c r="AC150" i="12"/>
  <c r="AZ150" i="12" s="1"/>
  <c r="AD150" i="12"/>
  <c r="BA150" i="12" s="1"/>
  <c r="AF150" i="12"/>
  <c r="BD150" i="12" s="1"/>
  <c r="AO49" i="5" l="1"/>
  <c r="BR150" i="12"/>
  <c r="BO150" i="12"/>
  <c r="Z150" i="12"/>
  <c r="BI150" i="12" s="1"/>
  <c r="BQ150" i="12"/>
  <c r="BL150" i="12"/>
  <c r="BM150" i="12"/>
  <c r="BN150" i="12"/>
  <c r="Y150" i="12"/>
  <c r="BG150" i="12" s="1"/>
  <c r="BK150" i="12" s="1"/>
  <c r="X150" i="12"/>
  <c r="AO48" i="5" l="1"/>
  <c r="AX150" i="12"/>
  <c r="BC150" i="12"/>
  <c r="AA150" i="12"/>
  <c r="BP150" i="12"/>
  <c r="AO47" i="5" l="1"/>
  <c r="W151" i="12"/>
  <c r="BH150" i="12"/>
  <c r="BJ150" i="12" s="1"/>
  <c r="AE151" i="12"/>
  <c r="BB151" i="12" s="1"/>
  <c r="AG151" i="12"/>
  <c r="BE151" i="12" s="1"/>
  <c r="AH151" i="12"/>
  <c r="BF151" i="12" s="1"/>
  <c r="AB151" i="12"/>
  <c r="AF151" i="12"/>
  <c r="BD151" i="12" s="1"/>
  <c r="AD151" i="12"/>
  <c r="BA151" i="12" s="1"/>
  <c r="AC151" i="12"/>
  <c r="AZ151" i="12" s="1"/>
  <c r="AO46" i="5" l="1"/>
  <c r="BR151" i="12"/>
  <c r="BN151" i="12"/>
  <c r="Y151" i="12"/>
  <c r="BG151" i="12" s="1"/>
  <c r="BK151" i="12" s="1"/>
  <c r="BQ151" i="12"/>
  <c r="BO151" i="12"/>
  <c r="BM151" i="12"/>
  <c r="BL151" i="12"/>
  <c r="Z151" i="12"/>
  <c r="BI151" i="12" s="1"/>
  <c r="X151" i="12"/>
  <c r="AO45" i="5" l="1"/>
  <c r="AX151" i="12"/>
  <c r="BC151" i="12"/>
  <c r="AA151" i="12"/>
  <c r="BP151" i="12"/>
  <c r="AO44" i="5" l="1"/>
  <c r="W152" i="12"/>
  <c r="BH151" i="12"/>
  <c r="BJ151" i="12" s="1"/>
  <c r="AH152" i="12"/>
  <c r="BF152" i="12" s="1"/>
  <c r="AF152" i="12"/>
  <c r="BD152" i="12" s="1"/>
  <c r="AC152" i="12"/>
  <c r="AZ152" i="12" s="1"/>
  <c r="AE152" i="12"/>
  <c r="BB152" i="12" s="1"/>
  <c r="AD152" i="12"/>
  <c r="BA152" i="12" s="1"/>
  <c r="AG152" i="12"/>
  <c r="BE152" i="12" s="1"/>
  <c r="AB152" i="12"/>
  <c r="AO43" i="5" l="1"/>
  <c r="BR152" i="12"/>
  <c r="Y152" i="12"/>
  <c r="BG152" i="12" s="1"/>
  <c r="BK152" i="12" s="1"/>
  <c r="BM152" i="12"/>
  <c r="BL152" i="12"/>
  <c r="BN152" i="12"/>
  <c r="Z152" i="12"/>
  <c r="BI152" i="12" s="1"/>
  <c r="BQ152" i="12"/>
  <c r="BO152" i="12"/>
  <c r="X152" i="12"/>
  <c r="AO42" i="5" l="1"/>
  <c r="AX152" i="12"/>
  <c r="BC152" i="12"/>
  <c r="BP152" i="12"/>
  <c r="AA152" i="12"/>
  <c r="AO41" i="5" l="1"/>
  <c r="W153" i="12"/>
  <c r="BH152" i="12"/>
  <c r="BJ152" i="12" s="1"/>
  <c r="AB153" i="12"/>
  <c r="AH153" i="12"/>
  <c r="BF153" i="12" s="1"/>
  <c r="AG153" i="12"/>
  <c r="BE153" i="12" s="1"/>
  <c r="AD153" i="12"/>
  <c r="BA153" i="12" s="1"/>
  <c r="AF153" i="12"/>
  <c r="BD153" i="12" s="1"/>
  <c r="AC153" i="12"/>
  <c r="AZ153" i="12" s="1"/>
  <c r="AE153" i="12"/>
  <c r="BB153" i="12" s="1"/>
  <c r="AO40" i="5" l="1"/>
  <c r="BR153" i="12"/>
  <c r="BN153" i="12"/>
  <c r="BM153" i="12"/>
  <c r="BL153" i="12"/>
  <c r="Y153" i="12"/>
  <c r="BG153" i="12" s="1"/>
  <c r="BK153" i="12" s="1"/>
  <c r="BQ153" i="12"/>
  <c r="BO153" i="12"/>
  <c r="Z153" i="12"/>
  <c r="BI153" i="12" s="1"/>
  <c r="X153" i="12"/>
  <c r="AA153" i="12" l="1"/>
  <c r="AE154" i="12" s="1"/>
  <c r="BB154" i="12" s="1"/>
  <c r="AO39" i="5"/>
  <c r="AX153" i="12"/>
  <c r="BC153" i="12"/>
  <c r="BP153" i="12"/>
  <c r="AC154" i="12" l="1"/>
  <c r="AZ154" i="12" s="1"/>
  <c r="AG154" i="12"/>
  <c r="BE154" i="12" s="1"/>
  <c r="AH154" i="12"/>
  <c r="BF154" i="12" s="1"/>
  <c r="AD154" i="12"/>
  <c r="BA154" i="12" s="1"/>
  <c r="BH153" i="12"/>
  <c r="BJ153" i="12" s="1"/>
  <c r="AF154" i="12"/>
  <c r="BD154" i="12" s="1"/>
  <c r="W154" i="12"/>
  <c r="BO154" i="12" s="1"/>
  <c r="AB154" i="12"/>
  <c r="AO38" i="5"/>
  <c r="Z154" i="12" l="1"/>
  <c r="BI154" i="12" s="1"/>
  <c r="Y154" i="12"/>
  <c r="BG154" i="12" s="1"/>
  <c r="BK154" i="12" s="1"/>
  <c r="BM154" i="12"/>
  <c r="BR154" i="12"/>
  <c r="BL154" i="12"/>
  <c r="X154" i="12"/>
  <c r="BC154" i="12" s="1"/>
  <c r="BN154" i="12"/>
  <c r="BP154" i="12" s="1"/>
  <c r="BQ154" i="12"/>
  <c r="AO37" i="5"/>
  <c r="AA154" i="12" l="1"/>
  <c r="AD155" i="12" s="1"/>
  <c r="BA155" i="12" s="1"/>
  <c r="AX154" i="12"/>
  <c r="AO36" i="5"/>
  <c r="AF155" i="12" l="1"/>
  <c r="BD155" i="12" s="1"/>
  <c r="AE155" i="12"/>
  <c r="BB155" i="12" s="1"/>
  <c r="AC155" i="12"/>
  <c r="AZ155" i="12" s="1"/>
  <c r="W155" i="12"/>
  <c r="BQ155" i="12" s="1"/>
  <c r="AH155" i="12"/>
  <c r="BF155" i="12" s="1"/>
  <c r="BH154" i="12"/>
  <c r="BJ154" i="12" s="1"/>
  <c r="AB155" i="12"/>
  <c r="AG155" i="12"/>
  <c r="BE155" i="12" s="1"/>
  <c r="AO35" i="5"/>
  <c r="BO155" i="12" l="1"/>
  <c r="Z155" i="12"/>
  <c r="BI155" i="12" s="1"/>
  <c r="BL155" i="12"/>
  <c r="Y155" i="12"/>
  <c r="BG155" i="12" s="1"/>
  <c r="BK155" i="12" s="1"/>
  <c r="BR155" i="12"/>
  <c r="BN155" i="12"/>
  <c r="X155" i="12"/>
  <c r="AA155" i="12" s="1"/>
  <c r="BM155" i="12"/>
  <c r="AO34" i="5"/>
  <c r="BP155" i="12" l="1"/>
  <c r="AX155" i="12"/>
  <c r="BC155" i="12"/>
  <c r="AO33" i="5"/>
  <c r="W156" i="12"/>
  <c r="BH155" i="12"/>
  <c r="AF156" i="12"/>
  <c r="BD156" i="12" s="1"/>
  <c r="AG156" i="12"/>
  <c r="BE156" i="12" s="1"/>
  <c r="AE156" i="12"/>
  <c r="BB156" i="12" s="1"/>
  <c r="AH156" i="12"/>
  <c r="BF156" i="12" s="1"/>
  <c r="AD156" i="12"/>
  <c r="BA156" i="12" s="1"/>
  <c r="AC156" i="12"/>
  <c r="AZ156" i="12" s="1"/>
  <c r="AB156" i="12"/>
  <c r="BJ155" i="12" l="1"/>
  <c r="AO32" i="5"/>
  <c r="BL156" i="12"/>
  <c r="Z156" i="12"/>
  <c r="BI156" i="12" s="1"/>
  <c r="BN156" i="12"/>
  <c r="Y156" i="12"/>
  <c r="BG156" i="12" s="1"/>
  <c r="BK156" i="12" s="1"/>
  <c r="BM156" i="12"/>
  <c r="BQ156" i="12"/>
  <c r="BR156" i="12"/>
  <c r="BO156" i="12"/>
  <c r="X156" i="12"/>
  <c r="AO31" i="5" l="1"/>
  <c r="AX156" i="12"/>
  <c r="BC156" i="12"/>
  <c r="BP156" i="12"/>
  <c r="AA156" i="12"/>
  <c r="AO30" i="5" l="1"/>
  <c r="BH156" i="12"/>
  <c r="BJ156" i="12" s="1"/>
  <c r="W157" i="12"/>
  <c r="AD157" i="12"/>
  <c r="BA157" i="12" s="1"/>
  <c r="AB157" i="12"/>
  <c r="AH157" i="12"/>
  <c r="BF157" i="12" s="1"/>
  <c r="AF157" i="12"/>
  <c r="BD157" i="12" s="1"/>
  <c r="AC157" i="12"/>
  <c r="AZ157" i="12" s="1"/>
  <c r="AG157" i="12"/>
  <c r="BE157" i="12" s="1"/>
  <c r="AE157" i="12"/>
  <c r="BB157" i="12" s="1"/>
  <c r="AO29" i="5" l="1"/>
  <c r="BM157" i="12"/>
  <c r="BL157" i="12"/>
  <c r="BR157" i="12"/>
  <c r="BN157" i="12"/>
  <c r="Y157" i="12"/>
  <c r="BG157" i="12" s="1"/>
  <c r="BK157" i="12" s="1"/>
  <c r="BQ157" i="12"/>
  <c r="BO157" i="12"/>
  <c r="Z157" i="12"/>
  <c r="BI157" i="12" s="1"/>
  <c r="X157" i="12"/>
  <c r="AO28" i="5" l="1"/>
  <c r="BP157" i="12"/>
  <c r="AX157" i="12"/>
  <c r="BC157" i="12"/>
  <c r="AA157" i="12"/>
  <c r="AO27" i="5" l="1"/>
  <c r="W158" i="12"/>
  <c r="BH157" i="12"/>
  <c r="BJ157" i="12" s="1"/>
  <c r="AH158" i="12"/>
  <c r="BF158" i="12" s="1"/>
  <c r="AB158" i="12"/>
  <c r="AC158" i="12"/>
  <c r="AZ158" i="12" s="1"/>
  <c r="AF158" i="12"/>
  <c r="BD158" i="12" s="1"/>
  <c r="AD158" i="12"/>
  <c r="BA158" i="12" s="1"/>
  <c r="AE158" i="12"/>
  <c r="BB158" i="12" s="1"/>
  <c r="AG158" i="12"/>
  <c r="BE158" i="12" s="1"/>
  <c r="AO26" i="5" l="1"/>
  <c r="BR158" i="12"/>
  <c r="BM158" i="12"/>
  <c r="BL158" i="12"/>
  <c r="Y158" i="12"/>
  <c r="BG158" i="12" s="1"/>
  <c r="BK158" i="12" s="1"/>
  <c r="Z158" i="12"/>
  <c r="BI158" i="12" s="1"/>
  <c r="BQ158" i="12"/>
  <c r="BN158" i="12"/>
  <c r="BO158" i="12"/>
  <c r="X158" i="12"/>
  <c r="AO25" i="5" l="1"/>
  <c r="BP158" i="12"/>
  <c r="AX158" i="12"/>
  <c r="BC158" i="12"/>
  <c r="AA158" i="12"/>
  <c r="AO24" i="5" l="1"/>
  <c r="W159" i="12"/>
  <c r="BH158" i="12"/>
  <c r="AH159" i="12"/>
  <c r="BF159" i="12" s="1"/>
  <c r="AF159" i="12"/>
  <c r="BD159" i="12" s="1"/>
  <c r="AG159" i="12"/>
  <c r="BE159" i="12" s="1"/>
  <c r="AD159" i="12"/>
  <c r="BA159" i="12" s="1"/>
  <c r="AE159" i="12"/>
  <c r="BB159" i="12" s="1"/>
  <c r="AB159" i="12"/>
  <c r="AC159" i="12"/>
  <c r="AZ159" i="12" s="1"/>
  <c r="BJ158" i="12"/>
  <c r="AO23" i="5" l="1"/>
  <c r="Z159" i="12"/>
  <c r="BI159" i="12" s="1"/>
  <c r="Y159" i="12"/>
  <c r="BG159" i="12" s="1"/>
  <c r="BK159" i="12" s="1"/>
  <c r="BR159" i="12"/>
  <c r="BM159" i="12"/>
  <c r="BL159" i="12"/>
  <c r="BO159" i="12"/>
  <c r="BN159" i="12"/>
  <c r="BQ159" i="12"/>
  <c r="X159" i="12"/>
  <c r="AO22" i="5" l="1"/>
  <c r="BP159" i="12"/>
  <c r="AX159" i="12"/>
  <c r="BC159" i="12"/>
  <c r="AA159" i="12"/>
  <c r="AO21" i="5" l="1"/>
  <c r="W160" i="12"/>
  <c r="BH159" i="12"/>
  <c r="BJ159" i="12" s="1"/>
  <c r="AC160" i="12"/>
  <c r="AZ160" i="12" s="1"/>
  <c r="AB160" i="12"/>
  <c r="AE160" i="12"/>
  <c r="BB160" i="12" s="1"/>
  <c r="AD160" i="12"/>
  <c r="BA160" i="12" s="1"/>
  <c r="AH160" i="12"/>
  <c r="BF160" i="12" s="1"/>
  <c r="AG160" i="12"/>
  <c r="BE160" i="12" s="1"/>
  <c r="AF160" i="12"/>
  <c r="BD160" i="12" s="1"/>
  <c r="AO20" i="5" l="1"/>
  <c r="BR160" i="12"/>
  <c r="BM160" i="12"/>
  <c r="BL160" i="12"/>
  <c r="Z160" i="12"/>
  <c r="BI160" i="12" s="1"/>
  <c r="Y160" i="12"/>
  <c r="BG160" i="12" s="1"/>
  <c r="BK160" i="12" s="1"/>
  <c r="BN160" i="12"/>
  <c r="BQ160" i="12"/>
  <c r="BO160" i="12"/>
  <c r="X160" i="12"/>
  <c r="AO19" i="5" l="1"/>
  <c r="AX160" i="12"/>
  <c r="BC160" i="12"/>
  <c r="BP160" i="12"/>
  <c r="AA160" i="12"/>
  <c r="AO18" i="5" l="1"/>
  <c r="W161" i="12"/>
  <c r="BH160" i="12"/>
  <c r="BJ160" i="12" s="1"/>
  <c r="AC161" i="12"/>
  <c r="AZ161" i="12" s="1"/>
  <c r="AG161" i="12"/>
  <c r="BE161" i="12" s="1"/>
  <c r="AB161" i="12"/>
  <c r="AE161" i="12"/>
  <c r="BB161" i="12" s="1"/>
  <c r="AH161" i="12"/>
  <c r="BF161" i="12" s="1"/>
  <c r="AD161" i="12"/>
  <c r="BA161" i="12" s="1"/>
  <c r="AF161" i="12"/>
  <c r="BD161" i="12" s="1"/>
  <c r="AO17" i="5" l="1"/>
  <c r="BL161" i="12"/>
  <c r="BR161" i="12"/>
  <c r="BM161" i="12"/>
  <c r="Y161" i="12"/>
  <c r="BG161" i="12" s="1"/>
  <c r="BK161" i="12" s="1"/>
  <c r="BN161" i="12"/>
  <c r="BQ161" i="12"/>
  <c r="BO161" i="12"/>
  <c r="Z161" i="12"/>
  <c r="BI161" i="12" s="1"/>
  <c r="X161" i="12"/>
  <c r="AO16" i="5" l="1"/>
  <c r="AX161" i="12"/>
  <c r="BC161" i="12"/>
  <c r="BP161" i="12"/>
  <c r="AA161" i="12"/>
  <c r="AO15" i="5" l="1"/>
  <c r="W162" i="12"/>
  <c r="BH161" i="12"/>
  <c r="AD162" i="12"/>
  <c r="BA162" i="12" s="1"/>
  <c r="AG162" i="12"/>
  <c r="BE162" i="12" s="1"/>
  <c r="AB162" i="12"/>
  <c r="AH162" i="12"/>
  <c r="BF162" i="12" s="1"/>
  <c r="AF162" i="12"/>
  <c r="BD162" i="12" s="1"/>
  <c r="AE162" i="12"/>
  <c r="BB162" i="12" s="1"/>
  <c r="AC162" i="12"/>
  <c r="AZ162" i="12" s="1"/>
  <c r="BJ161" i="12"/>
  <c r="AO14" i="5" l="1"/>
  <c r="BO162" i="12"/>
  <c r="BN162" i="12"/>
  <c r="BM162" i="12"/>
  <c r="BQ162" i="12"/>
  <c r="BR162" i="12"/>
  <c r="BL162" i="12"/>
  <c r="Y162" i="12"/>
  <c r="BG162" i="12" s="1"/>
  <c r="BK162" i="12" s="1"/>
  <c r="Z162" i="12"/>
  <c r="BI162" i="12" s="1"/>
  <c r="X162" i="12"/>
  <c r="AO13" i="5" l="1"/>
  <c r="AX162" i="12"/>
  <c r="BC162" i="12"/>
  <c r="AA162" i="12"/>
  <c r="BP162" i="12"/>
  <c r="AO7" i="5" l="1"/>
  <c r="W163" i="12"/>
  <c r="BH162" i="12"/>
  <c r="BJ162" i="12" s="1"/>
  <c r="AC163" i="12"/>
  <c r="AZ163" i="12" s="1"/>
  <c r="AE163" i="12"/>
  <c r="BB163" i="12" s="1"/>
  <c r="AD163" i="12"/>
  <c r="BA163" i="12" s="1"/>
  <c r="AH163" i="12"/>
  <c r="BF163" i="12" s="1"/>
  <c r="AF163" i="12"/>
  <c r="BD163" i="12" s="1"/>
  <c r="AB163" i="12"/>
  <c r="AG163" i="12"/>
  <c r="BE163" i="12" s="1"/>
  <c r="X13" i="5" l="1"/>
  <c r="AA13" i="5" s="1"/>
  <c r="BO163" i="12"/>
  <c r="BN163" i="12"/>
  <c r="BM163" i="12"/>
  <c r="BL163" i="12"/>
  <c r="Y163" i="12"/>
  <c r="BG163" i="12" s="1"/>
  <c r="BK163" i="12" s="1"/>
  <c r="Z163" i="12"/>
  <c r="BI163" i="12" s="1"/>
  <c r="BQ163" i="12"/>
  <c r="BR163" i="12"/>
  <c r="X163" i="12"/>
  <c r="AA163" i="12" l="1"/>
  <c r="AD164" i="12" s="1"/>
  <c r="BA164" i="12" s="1"/>
  <c r="AX13" i="5"/>
  <c r="BC13" i="5"/>
  <c r="AX163" i="12"/>
  <c r="BC163" i="12"/>
  <c r="BP163" i="12"/>
  <c r="AE164" i="12" l="1"/>
  <c r="BB164" i="12" s="1"/>
  <c r="AG164" i="12"/>
  <c r="BE164" i="12" s="1"/>
  <c r="AB164" i="12"/>
  <c r="AC164" i="12"/>
  <c r="AZ164" i="12" s="1"/>
  <c r="AF164" i="12"/>
  <c r="BD164" i="12" s="1"/>
  <c r="BH163" i="12"/>
  <c r="BJ163" i="12" s="1"/>
  <c r="W164" i="12"/>
  <c r="BM164" i="12" s="1"/>
  <c r="AH164" i="12"/>
  <c r="BF164" i="12" s="1"/>
  <c r="Y14" i="5"/>
  <c r="BH13" i="5"/>
  <c r="AB14" i="5"/>
  <c r="AH14" i="5"/>
  <c r="AF14" i="5"/>
  <c r="AG14" i="5"/>
  <c r="AE14" i="5"/>
  <c r="AC14" i="5"/>
  <c r="Z14" i="5"/>
  <c r="AD14" i="5"/>
  <c r="W14" i="5"/>
  <c r="X14" i="5"/>
  <c r="BF14" i="5" l="1"/>
  <c r="BJ13" i="5"/>
  <c r="CJ13" i="5" s="1"/>
  <c r="BA14" i="5"/>
  <c r="BI14" i="5"/>
  <c r="AZ14" i="5"/>
  <c r="BB14" i="5"/>
  <c r="BE14" i="5"/>
  <c r="BD14" i="5"/>
  <c r="BL164" i="12"/>
  <c r="BR164" i="12"/>
  <c r="X164" i="12"/>
  <c r="AX164" i="12" s="1"/>
  <c r="BQ164" i="12"/>
  <c r="BO164" i="12"/>
  <c r="Y164" i="12"/>
  <c r="BG164" i="12" s="1"/>
  <c r="BK164" i="12" s="1"/>
  <c r="BN164" i="12"/>
  <c r="Z164" i="12"/>
  <c r="BI164" i="12" s="1"/>
  <c r="AA14" i="5"/>
  <c r="BM14" i="5"/>
  <c r="CI14" i="5" s="1"/>
  <c r="BR14" i="5"/>
  <c r="CF14" i="5" s="1"/>
  <c r="BN14" i="5"/>
  <c r="BO14" i="5"/>
  <c r="BL14" i="5"/>
  <c r="CG14" i="5" s="1"/>
  <c r="BQ14" i="5"/>
  <c r="AX14" i="5"/>
  <c r="BC14" i="5"/>
  <c r="BC164" i="12" l="1"/>
  <c r="BP164" i="12"/>
  <c r="AA164" i="12"/>
  <c r="AD165" i="12" s="1"/>
  <c r="BA165" i="12" s="1"/>
  <c r="BP14" i="5"/>
  <c r="CH14" i="5" s="1"/>
  <c r="AB15" i="5"/>
  <c r="AG15" i="5"/>
  <c r="AF15" i="5"/>
  <c r="AC15" i="5"/>
  <c r="AE15" i="5"/>
  <c r="Y15" i="5"/>
  <c r="AD15" i="5"/>
  <c r="BH14" i="5"/>
  <c r="Z15" i="5"/>
  <c r="W15" i="5"/>
  <c r="AH15" i="5"/>
  <c r="X15" i="5"/>
  <c r="BD15" i="5" l="1"/>
  <c r="BE15" i="5"/>
  <c r="BF15" i="5"/>
  <c r="BI15" i="5"/>
  <c r="BJ14" i="5"/>
  <c r="CJ14" i="5" s="1"/>
  <c r="BA15" i="5"/>
  <c r="BB15" i="5"/>
  <c r="AZ15" i="5"/>
  <c r="AH165" i="12"/>
  <c r="BF165" i="12" s="1"/>
  <c r="AB165" i="12"/>
  <c r="W165" i="12"/>
  <c r="BL165" i="12" s="1"/>
  <c r="AG165" i="12"/>
  <c r="BE165" i="12" s="1"/>
  <c r="AE165" i="12"/>
  <c r="BB165" i="12" s="1"/>
  <c r="BH164" i="12"/>
  <c r="BJ164" i="12" s="1"/>
  <c r="AC165" i="12"/>
  <c r="AZ165" i="12" s="1"/>
  <c r="AF165" i="12"/>
  <c r="BD165" i="12" s="1"/>
  <c r="AX15" i="5"/>
  <c r="BC15" i="5"/>
  <c r="AA15" i="5"/>
  <c r="BR15" i="5"/>
  <c r="CF15" i="5" s="1"/>
  <c r="BQ15" i="5"/>
  <c r="BO15" i="5"/>
  <c r="BM15" i="5"/>
  <c r="CI15" i="5" s="1"/>
  <c r="BL15" i="5"/>
  <c r="CG15" i="5" s="1"/>
  <c r="BN15" i="5"/>
  <c r="BQ165" i="12" l="1"/>
  <c r="BN165" i="12"/>
  <c r="X165" i="12"/>
  <c r="AX165" i="12" s="1"/>
  <c r="Z165" i="12"/>
  <c r="BI165" i="12" s="1"/>
  <c r="BM165" i="12"/>
  <c r="BO165" i="12"/>
  <c r="BP165" i="12" s="1"/>
  <c r="BR165" i="12"/>
  <c r="Y165" i="12"/>
  <c r="BG165" i="12" s="1"/>
  <c r="BK165" i="12" s="1"/>
  <c r="AB16" i="5"/>
  <c r="W16" i="5"/>
  <c r="AG16" i="5"/>
  <c r="AF16" i="5"/>
  <c r="Y16" i="5"/>
  <c r="BH15" i="5"/>
  <c r="AD16" i="5"/>
  <c r="Z16" i="5"/>
  <c r="AH16" i="5"/>
  <c r="AC16" i="5"/>
  <c r="AE16" i="5"/>
  <c r="X16" i="5"/>
  <c r="BP15" i="5"/>
  <c r="CH15" i="5" s="1"/>
  <c r="BB16" i="5" l="1"/>
  <c r="AZ16" i="5"/>
  <c r="BF16" i="5"/>
  <c r="BI16" i="5"/>
  <c r="BA16" i="5"/>
  <c r="BJ15" i="5"/>
  <c r="CJ15" i="5" s="1"/>
  <c r="BD16" i="5"/>
  <c r="BE16" i="5"/>
  <c r="BC165" i="12"/>
  <c r="AA165" i="12"/>
  <c r="AG166" i="12" s="1"/>
  <c r="BE166" i="12" s="1"/>
  <c r="BQ16" i="5"/>
  <c r="BR16" i="5"/>
  <c r="CF16" i="5" s="1"/>
  <c r="BL16" i="5"/>
  <c r="CG16" i="5" s="1"/>
  <c r="BO16" i="5"/>
  <c r="AA16" i="5"/>
  <c r="BN16" i="5"/>
  <c r="BM16" i="5"/>
  <c r="CI16" i="5" s="1"/>
  <c r="AX16" i="5"/>
  <c r="BC16" i="5"/>
  <c r="AD166" i="12" l="1"/>
  <c r="BA166" i="12" s="1"/>
  <c r="AC166" i="12"/>
  <c r="AZ166" i="12" s="1"/>
  <c r="AE166" i="12"/>
  <c r="BB166" i="12" s="1"/>
  <c r="W166" i="12"/>
  <c r="BO166" i="12" s="1"/>
  <c r="AB166" i="12"/>
  <c r="AF166" i="12"/>
  <c r="BD166" i="12" s="1"/>
  <c r="AH166" i="12"/>
  <c r="BF166" i="12" s="1"/>
  <c r="BH165" i="12"/>
  <c r="BJ165" i="12" s="1"/>
  <c r="BP16" i="5"/>
  <c r="CH16" i="5" s="1"/>
  <c r="AE17" i="5"/>
  <c r="AF17" i="5"/>
  <c r="AH17" i="5"/>
  <c r="AD17" i="5"/>
  <c r="AB17" i="5"/>
  <c r="Z17" i="5"/>
  <c r="BH16" i="5"/>
  <c r="Y17" i="5"/>
  <c r="AC17" i="5"/>
  <c r="AG17" i="5"/>
  <c r="W17" i="5"/>
  <c r="X17" i="5"/>
  <c r="BR166" i="12"/>
  <c r="BD17" i="5" l="1"/>
  <c r="BI17" i="5"/>
  <c r="BF17" i="5"/>
  <c r="BA17" i="5"/>
  <c r="BB17" i="5"/>
  <c r="BE17" i="5"/>
  <c r="AZ17" i="5"/>
  <c r="BJ16" i="5"/>
  <c r="CJ16" i="5" s="1"/>
  <c r="BL166" i="12"/>
  <c r="BN166" i="12"/>
  <c r="BP166" i="12" s="1"/>
  <c r="BM166" i="12"/>
  <c r="X166" i="12"/>
  <c r="BC166" i="12" s="1"/>
  <c r="Z166" i="12"/>
  <c r="BI166" i="12" s="1"/>
  <c r="BQ166" i="12"/>
  <c r="Y166" i="12"/>
  <c r="BG166" i="12" s="1"/>
  <c r="BK166" i="12" s="1"/>
  <c r="AX17" i="5"/>
  <c r="BC17" i="5"/>
  <c r="BN17" i="5"/>
  <c r="BQ17" i="5"/>
  <c r="BL17" i="5"/>
  <c r="CG17" i="5" s="1"/>
  <c r="BO17" i="5"/>
  <c r="AA17" i="5"/>
  <c r="BM17" i="5"/>
  <c r="CI17" i="5" s="1"/>
  <c r="BR17" i="5"/>
  <c r="CF17" i="5" s="1"/>
  <c r="AX166" i="12"/>
  <c r="AA166" i="12" l="1"/>
  <c r="BH166" i="12" s="1"/>
  <c r="BJ166" i="12" s="1"/>
  <c r="BP17" i="5"/>
  <c r="CH17" i="5" s="1"/>
  <c r="AC18" i="5"/>
  <c r="AE18" i="5"/>
  <c r="BH17" i="5"/>
  <c r="Y18" i="5"/>
  <c r="Z18" i="5"/>
  <c r="AB18" i="5"/>
  <c r="AG18" i="5"/>
  <c r="AD18" i="5"/>
  <c r="AH18" i="5"/>
  <c r="AF18" i="5"/>
  <c r="W18" i="5"/>
  <c r="X18" i="5"/>
  <c r="BE18" i="5" l="1"/>
  <c r="BI18" i="5"/>
  <c r="BJ17" i="5"/>
  <c r="CJ17" i="5" s="1"/>
  <c r="BB18" i="5"/>
  <c r="AZ18" i="5"/>
  <c r="BD18" i="5"/>
  <c r="BF18" i="5"/>
  <c r="BA18" i="5"/>
  <c r="AH167" i="12"/>
  <c r="BF167" i="12" s="1"/>
  <c r="AD167" i="12"/>
  <c r="BA167" i="12" s="1"/>
  <c r="AB167" i="12"/>
  <c r="AG167" i="12"/>
  <c r="BE167" i="12" s="1"/>
  <c r="AE167" i="12"/>
  <c r="BB167" i="12" s="1"/>
  <c r="AC167" i="12"/>
  <c r="AZ167" i="12" s="1"/>
  <c r="W167" i="12"/>
  <c r="Z167" i="12" s="1"/>
  <c r="BI167" i="12" s="1"/>
  <c r="AF167" i="12"/>
  <c r="BD167" i="12" s="1"/>
  <c r="AX18" i="5"/>
  <c r="BC18" i="5"/>
  <c r="BM18" i="5"/>
  <c r="CI18" i="5" s="1"/>
  <c r="BR18" i="5"/>
  <c r="CF18" i="5" s="1"/>
  <c r="BL18" i="5"/>
  <c r="CG18" i="5" s="1"/>
  <c r="AA18" i="5"/>
  <c r="BN18" i="5"/>
  <c r="BO18" i="5"/>
  <c r="BQ18" i="5"/>
  <c r="BQ167" i="12" l="1"/>
  <c r="Y167" i="12"/>
  <c r="BG167" i="12" s="1"/>
  <c r="BK167" i="12" s="1"/>
  <c r="BN167" i="12"/>
  <c r="BM167" i="12"/>
  <c r="BO167" i="12"/>
  <c r="X167" i="12"/>
  <c r="AA167" i="12" s="1"/>
  <c r="AF168" i="12" s="1"/>
  <c r="BD168" i="12" s="1"/>
  <c r="BR167" i="12"/>
  <c r="BL167" i="12"/>
  <c r="AE19" i="5"/>
  <c r="W19" i="5"/>
  <c r="AF19" i="5"/>
  <c r="AC19" i="5"/>
  <c r="BH18" i="5"/>
  <c r="AH19" i="5"/>
  <c r="Y19" i="5"/>
  <c r="AB19" i="5"/>
  <c r="AG19" i="5"/>
  <c r="Z19" i="5"/>
  <c r="AD19" i="5"/>
  <c r="X19" i="5"/>
  <c r="BP18" i="5"/>
  <c r="CH18" i="5" s="1"/>
  <c r="AZ19" i="5" l="1"/>
  <c r="BD19" i="5"/>
  <c r="BB19" i="5"/>
  <c r="BA19" i="5"/>
  <c r="BI19" i="5"/>
  <c r="BE19" i="5"/>
  <c r="BF19" i="5"/>
  <c r="BJ18" i="5"/>
  <c r="CJ18" i="5" s="1"/>
  <c r="AX167" i="12"/>
  <c r="BC167" i="12"/>
  <c r="BP167" i="12"/>
  <c r="AE168" i="12"/>
  <c r="BB168" i="12" s="1"/>
  <c r="AC168" i="12"/>
  <c r="AZ168" i="12" s="1"/>
  <c r="W168" i="12"/>
  <c r="BR168" i="12" s="1"/>
  <c r="BH167" i="12"/>
  <c r="AG168" i="12"/>
  <c r="BE168" i="12" s="1"/>
  <c r="AH168" i="12"/>
  <c r="BF168" i="12" s="1"/>
  <c r="AB168" i="12"/>
  <c r="AD168" i="12"/>
  <c r="BA168" i="12" s="1"/>
  <c r="AX19" i="5"/>
  <c r="BC19" i="5"/>
  <c r="BM19" i="5"/>
  <c r="CI19" i="5" s="1"/>
  <c r="BQ19" i="5"/>
  <c r="BO19" i="5"/>
  <c r="AA19" i="5"/>
  <c r="BL19" i="5"/>
  <c r="CG19" i="5" s="1"/>
  <c r="BR19" i="5"/>
  <c r="CF19" i="5" s="1"/>
  <c r="BN19" i="5"/>
  <c r="BM168" i="12" l="1"/>
  <c r="Z168" i="12"/>
  <c r="BI168" i="12" s="1"/>
  <c r="Y168" i="12"/>
  <c r="BG168" i="12" s="1"/>
  <c r="BK168" i="12" s="1"/>
  <c r="BL168" i="12"/>
  <c r="BJ167" i="12"/>
  <c r="X168" i="12"/>
  <c r="BC168" i="12" s="1"/>
  <c r="BQ168" i="12"/>
  <c r="BO168" i="12"/>
  <c r="BN168" i="12"/>
  <c r="AD20" i="5"/>
  <c r="AG20" i="5"/>
  <c r="Y20" i="5"/>
  <c r="Z20" i="5"/>
  <c r="AB20" i="5"/>
  <c r="AC20" i="5"/>
  <c r="BH19" i="5"/>
  <c r="AH20" i="5"/>
  <c r="AE20" i="5"/>
  <c r="W20" i="5"/>
  <c r="AF20" i="5"/>
  <c r="X20" i="5"/>
  <c r="BP19" i="5"/>
  <c r="CH19" i="5" s="1"/>
  <c r="AX168" i="12"/>
  <c r="AA168" i="12"/>
  <c r="BB20" i="5" l="1"/>
  <c r="BF20" i="5"/>
  <c r="BJ19" i="5"/>
  <c r="CJ19" i="5" s="1"/>
  <c r="AZ20" i="5"/>
  <c r="BI20" i="5"/>
  <c r="BE20" i="5"/>
  <c r="BA20" i="5"/>
  <c r="BD20" i="5"/>
  <c r="BP168" i="12"/>
  <c r="AX20" i="5"/>
  <c r="BC20" i="5"/>
  <c r="BM20" i="5"/>
  <c r="CI20" i="5" s="1"/>
  <c r="BN20" i="5"/>
  <c r="BR20" i="5"/>
  <c r="CF20" i="5" s="1"/>
  <c r="BL20" i="5"/>
  <c r="CG20" i="5" s="1"/>
  <c r="BQ20" i="5"/>
  <c r="BO20" i="5"/>
  <c r="AA20" i="5"/>
  <c r="W169" i="12"/>
  <c r="BH168" i="12"/>
  <c r="BJ168" i="12" s="1"/>
  <c r="AE169" i="12"/>
  <c r="BB169" i="12" s="1"/>
  <c r="AD169" i="12"/>
  <c r="BA169" i="12" s="1"/>
  <c r="AC169" i="12"/>
  <c r="AZ169" i="12" s="1"/>
  <c r="AB169" i="12"/>
  <c r="AG169" i="12"/>
  <c r="BE169" i="12" s="1"/>
  <c r="AF169" i="12"/>
  <c r="BD169" i="12" s="1"/>
  <c r="AH169" i="12"/>
  <c r="BF169" i="12" s="1"/>
  <c r="BP20" i="5" l="1"/>
  <c r="CH20" i="5" s="1"/>
  <c r="W21" i="5"/>
  <c r="AG21" i="5"/>
  <c r="AB21" i="5"/>
  <c r="AH21" i="5"/>
  <c r="Z21" i="5"/>
  <c r="BH20" i="5"/>
  <c r="AF21" i="5"/>
  <c r="AE21" i="5"/>
  <c r="AD21" i="5"/>
  <c r="AC21" i="5"/>
  <c r="Y21" i="5"/>
  <c r="X21" i="5"/>
  <c r="BN169" i="12"/>
  <c r="BM169" i="12"/>
  <c r="BR169" i="12"/>
  <c r="Y169" i="12"/>
  <c r="BG169" i="12" s="1"/>
  <c r="BK169" i="12" s="1"/>
  <c r="BL169" i="12"/>
  <c r="Z169" i="12"/>
  <c r="BI169" i="12" s="1"/>
  <c r="BQ169" i="12"/>
  <c r="BO169" i="12"/>
  <c r="X169" i="12"/>
  <c r="BB21" i="5" l="1"/>
  <c r="BJ20" i="5"/>
  <c r="CJ20" i="5" s="1"/>
  <c r="BD21" i="5"/>
  <c r="BI21" i="5"/>
  <c r="BE21" i="5"/>
  <c r="BF21" i="5"/>
  <c r="AZ21" i="5"/>
  <c r="BA21" i="5"/>
  <c r="AX21" i="5"/>
  <c r="BC21" i="5"/>
  <c r="BL21" i="5"/>
  <c r="CG21" i="5" s="1"/>
  <c r="BM21" i="5"/>
  <c r="CI21" i="5" s="1"/>
  <c r="BR21" i="5"/>
  <c r="CF21" i="5" s="1"/>
  <c r="BN21" i="5"/>
  <c r="BQ21" i="5"/>
  <c r="BO21" i="5"/>
  <c r="AA21" i="5"/>
  <c r="AX169" i="12"/>
  <c r="BC169" i="12"/>
  <c r="AA169" i="12"/>
  <c r="BP169" i="12"/>
  <c r="BP21" i="5" l="1"/>
  <c r="CH21" i="5" s="1"/>
  <c r="BH21" i="5"/>
  <c r="Z22" i="5"/>
  <c r="AH22" i="5"/>
  <c r="AG22" i="5"/>
  <c r="AB22" i="5"/>
  <c r="AF22" i="5"/>
  <c r="W22" i="5"/>
  <c r="AE22" i="5"/>
  <c r="Y22" i="5"/>
  <c r="AD22" i="5"/>
  <c r="AC22" i="5"/>
  <c r="X22" i="5"/>
  <c r="W170" i="12"/>
  <c r="BH169" i="12"/>
  <c r="BJ169" i="12" s="1"/>
  <c r="AG170" i="12"/>
  <c r="BE170" i="12" s="1"/>
  <c r="AE170" i="12"/>
  <c r="BB170" i="12" s="1"/>
  <c r="AH170" i="12"/>
  <c r="BF170" i="12" s="1"/>
  <c r="AD170" i="12"/>
  <c r="BA170" i="12" s="1"/>
  <c r="AC170" i="12"/>
  <c r="AZ170" i="12" s="1"/>
  <c r="AB170" i="12"/>
  <c r="AF170" i="12"/>
  <c r="BD170" i="12" s="1"/>
  <c r="BI22" i="5" l="1"/>
  <c r="BA22" i="5"/>
  <c r="BJ21" i="5"/>
  <c r="CJ21" i="5" s="1"/>
  <c r="AZ22" i="5"/>
  <c r="BB22" i="5"/>
  <c r="BD22" i="5"/>
  <c r="BE22" i="5"/>
  <c r="BF22" i="5"/>
  <c r="AX22" i="5"/>
  <c r="BC22" i="5"/>
  <c r="BQ22" i="5"/>
  <c r="BM22" i="5"/>
  <c r="CI22" i="5" s="1"/>
  <c r="BL22" i="5"/>
  <c r="CG22" i="5" s="1"/>
  <c r="AA22" i="5"/>
  <c r="BO22" i="5"/>
  <c r="BN22" i="5"/>
  <c r="BR22" i="5"/>
  <c r="CF22" i="5" s="1"/>
  <c r="BN170" i="12"/>
  <c r="BM170" i="12"/>
  <c r="BL170" i="12"/>
  <c r="Z170" i="12"/>
  <c r="BI170" i="12" s="1"/>
  <c r="BQ170" i="12"/>
  <c r="BO170" i="12"/>
  <c r="BR170" i="12"/>
  <c r="Y170" i="12"/>
  <c r="BG170" i="12" s="1"/>
  <c r="BK170" i="12" s="1"/>
  <c r="X170" i="12"/>
  <c r="AB23" i="5" l="1"/>
  <c r="AF23" i="5"/>
  <c r="AC23" i="5"/>
  <c r="AD23" i="5"/>
  <c r="Z23" i="5"/>
  <c r="BH22" i="5"/>
  <c r="AE23" i="5"/>
  <c r="W23" i="5"/>
  <c r="AG23" i="5"/>
  <c r="Y23" i="5"/>
  <c r="AH23" i="5"/>
  <c r="X23" i="5"/>
  <c r="BP22" i="5"/>
  <c r="CH22" i="5" s="1"/>
  <c r="AX170" i="12"/>
  <c r="BC170" i="12"/>
  <c r="BP170" i="12"/>
  <c r="AA170" i="12"/>
  <c r="BE23" i="5" l="1"/>
  <c r="BB23" i="5"/>
  <c r="BJ22" i="5"/>
  <c r="CJ22" i="5" s="1"/>
  <c r="BI23" i="5"/>
  <c r="BA23" i="5"/>
  <c r="AZ23" i="5"/>
  <c r="BD23" i="5"/>
  <c r="BF23" i="5"/>
  <c r="AX23" i="5"/>
  <c r="BC23" i="5"/>
  <c r="BM23" i="5"/>
  <c r="CI23" i="5" s="1"/>
  <c r="AA23" i="5"/>
  <c r="BN23" i="5"/>
  <c r="BR23" i="5"/>
  <c r="CF23" i="5" s="1"/>
  <c r="BO23" i="5"/>
  <c r="BQ23" i="5"/>
  <c r="BL23" i="5"/>
  <c r="CG23" i="5" s="1"/>
  <c r="W171" i="12"/>
  <c r="BH170" i="12"/>
  <c r="BJ170" i="12" s="1"/>
  <c r="AE171" i="12"/>
  <c r="BB171" i="12" s="1"/>
  <c r="AC171" i="12"/>
  <c r="AZ171" i="12" s="1"/>
  <c r="AG171" i="12"/>
  <c r="BE171" i="12" s="1"/>
  <c r="AD171" i="12"/>
  <c r="BA171" i="12" s="1"/>
  <c r="AF171" i="12"/>
  <c r="BD171" i="12" s="1"/>
  <c r="AB171" i="12"/>
  <c r="AH171" i="12"/>
  <c r="BF171" i="12" s="1"/>
  <c r="BP23" i="5" l="1"/>
  <c r="CH23" i="5" s="1"/>
  <c r="AF24" i="5"/>
  <c r="BH23" i="5"/>
  <c r="AH24" i="5"/>
  <c r="Y24" i="5"/>
  <c r="Z24" i="5"/>
  <c r="AG24" i="5"/>
  <c r="AE24" i="5"/>
  <c r="AB24" i="5"/>
  <c r="AC24" i="5"/>
  <c r="W24" i="5"/>
  <c r="AD24" i="5"/>
  <c r="X24" i="5"/>
  <c r="BN171" i="12"/>
  <c r="BM171" i="12"/>
  <c r="BL171" i="12"/>
  <c r="BO171" i="12"/>
  <c r="Z171" i="12"/>
  <c r="BI171" i="12" s="1"/>
  <c r="BQ171" i="12"/>
  <c r="BR171" i="12"/>
  <c r="Y171" i="12"/>
  <c r="BG171" i="12" s="1"/>
  <c r="BK171" i="12" s="1"/>
  <c r="X171" i="12"/>
  <c r="BB24" i="5" l="1"/>
  <c r="BE24" i="5"/>
  <c r="BI24" i="5"/>
  <c r="BF24" i="5"/>
  <c r="BJ23" i="5"/>
  <c r="CJ23" i="5" s="1"/>
  <c r="BD24" i="5"/>
  <c r="BA24" i="5"/>
  <c r="AZ24" i="5"/>
  <c r="AX24" i="5"/>
  <c r="BC24" i="5"/>
  <c r="BR24" i="5"/>
  <c r="CF24" i="5" s="1"/>
  <c r="BN24" i="5"/>
  <c r="BO24" i="5"/>
  <c r="AA24" i="5"/>
  <c r="BQ24" i="5"/>
  <c r="BM24" i="5"/>
  <c r="CI24" i="5" s="1"/>
  <c r="BL24" i="5"/>
  <c r="CG24" i="5" s="1"/>
  <c r="AX171" i="12"/>
  <c r="BC171" i="12"/>
  <c r="BP171" i="12"/>
  <c r="AA171" i="12"/>
  <c r="AH25" i="5" l="1"/>
  <c r="AE25" i="5"/>
  <c r="AC25" i="5"/>
  <c r="AG25" i="5"/>
  <c r="Y25" i="5"/>
  <c r="BH24" i="5"/>
  <c r="AB25" i="5"/>
  <c r="AF25" i="5"/>
  <c r="W25" i="5"/>
  <c r="Z25" i="5"/>
  <c r="AD25" i="5"/>
  <c r="X25" i="5"/>
  <c r="BP24" i="5"/>
  <c r="CH24" i="5" s="1"/>
  <c r="W172" i="12"/>
  <c r="BH171" i="12"/>
  <c r="BJ171" i="12" s="1"/>
  <c r="AD172" i="12"/>
  <c r="BA172" i="12" s="1"/>
  <c r="AC172" i="12"/>
  <c r="AZ172" i="12" s="1"/>
  <c r="AG172" i="12"/>
  <c r="BE172" i="12" s="1"/>
  <c r="AB172" i="12"/>
  <c r="AF172" i="12"/>
  <c r="BD172" i="12" s="1"/>
  <c r="AH172" i="12"/>
  <c r="BF172" i="12" s="1"/>
  <c r="AE172" i="12"/>
  <c r="BB172" i="12" s="1"/>
  <c r="BE25" i="5" l="1"/>
  <c r="BB25" i="5"/>
  <c r="AZ25" i="5"/>
  <c r="BF25" i="5"/>
  <c r="BA25" i="5"/>
  <c r="BI25" i="5"/>
  <c r="BD25" i="5"/>
  <c r="BJ24" i="5"/>
  <c r="CJ24" i="5" s="1"/>
  <c r="AX25" i="5"/>
  <c r="BC25" i="5"/>
  <c r="BL25" i="5"/>
  <c r="CG25" i="5" s="1"/>
  <c r="BN25" i="5"/>
  <c r="BQ25" i="5"/>
  <c r="BO25" i="5"/>
  <c r="BM25" i="5"/>
  <c r="CI25" i="5" s="1"/>
  <c r="AA25" i="5"/>
  <c r="BR25" i="5"/>
  <c r="CF25" i="5" s="1"/>
  <c r="BR172" i="12"/>
  <c r="BN172" i="12"/>
  <c r="BM172" i="12"/>
  <c r="BO172" i="12"/>
  <c r="Y172" i="12"/>
  <c r="BG172" i="12" s="1"/>
  <c r="BK172" i="12" s="1"/>
  <c r="BQ172" i="12"/>
  <c r="BL172" i="12"/>
  <c r="Z172" i="12"/>
  <c r="BI172" i="12" s="1"/>
  <c r="X172" i="12"/>
  <c r="AE26" i="5" l="1"/>
  <c r="AB26" i="5"/>
  <c r="W26" i="5"/>
  <c r="Y26" i="5"/>
  <c r="BH25" i="5"/>
  <c r="AD26" i="5"/>
  <c r="AH26" i="5"/>
  <c r="Z26" i="5"/>
  <c r="AC26" i="5"/>
  <c r="AF26" i="5"/>
  <c r="AG26" i="5"/>
  <c r="X26" i="5"/>
  <c r="BP25" i="5"/>
  <c r="CH25" i="5" s="1"/>
  <c r="AX172" i="12"/>
  <c r="BC172" i="12"/>
  <c r="BP172" i="12"/>
  <c r="AA172" i="12"/>
  <c r="BB26" i="5" l="1"/>
  <c r="BE26" i="5"/>
  <c r="BD26" i="5"/>
  <c r="AZ26" i="5"/>
  <c r="BI26" i="5"/>
  <c r="BF26" i="5"/>
  <c r="BA26" i="5"/>
  <c r="BJ25" i="5"/>
  <c r="CJ25" i="5" s="1"/>
  <c r="AX26" i="5"/>
  <c r="BC26" i="5"/>
  <c r="BM26" i="5"/>
  <c r="CI26" i="5" s="1"/>
  <c r="BO26" i="5"/>
  <c r="BR26" i="5"/>
  <c r="CF26" i="5" s="1"/>
  <c r="BQ26" i="5"/>
  <c r="BL26" i="5"/>
  <c r="CG26" i="5" s="1"/>
  <c r="BN26" i="5"/>
  <c r="AA26" i="5"/>
  <c r="W173" i="12"/>
  <c r="BH172" i="12"/>
  <c r="BJ172" i="12" s="1"/>
  <c r="AB173" i="12"/>
  <c r="AG173" i="12"/>
  <c r="BE173" i="12" s="1"/>
  <c r="AC173" i="12"/>
  <c r="AZ173" i="12" s="1"/>
  <c r="AE173" i="12"/>
  <c r="BB173" i="12" s="1"/>
  <c r="AF173" i="12"/>
  <c r="BD173" i="12" s="1"/>
  <c r="AD173" i="12"/>
  <c r="BA173" i="12" s="1"/>
  <c r="AH173" i="12"/>
  <c r="BF173" i="12" s="1"/>
  <c r="BG26" i="5"/>
  <c r="BP26" i="5" l="1"/>
  <c r="CH26" i="5" s="1"/>
  <c r="AH27" i="5"/>
  <c r="AD27" i="5"/>
  <c r="AC27" i="5"/>
  <c r="AB27" i="5"/>
  <c r="AF27" i="5"/>
  <c r="AE27" i="5"/>
  <c r="W27" i="5"/>
  <c r="Y27" i="5"/>
  <c r="BH26" i="5"/>
  <c r="AG27" i="5"/>
  <c r="Z27" i="5"/>
  <c r="X27" i="5"/>
  <c r="BR173" i="12"/>
  <c r="BL173" i="12"/>
  <c r="BN173" i="12"/>
  <c r="BM173" i="12"/>
  <c r="Y173" i="12"/>
  <c r="BG173" i="12" s="1"/>
  <c r="BK173" i="12" s="1"/>
  <c r="Z173" i="12"/>
  <c r="BI173" i="12" s="1"/>
  <c r="BQ173" i="12"/>
  <c r="BO173" i="12"/>
  <c r="X173" i="12"/>
  <c r="BK26" i="5"/>
  <c r="CK26" i="5" s="1"/>
  <c r="BG25" i="5"/>
  <c r="BE27" i="5" l="1"/>
  <c r="BJ26" i="5"/>
  <c r="CJ26" i="5" s="1"/>
  <c r="BG27" i="5"/>
  <c r="BB27" i="5"/>
  <c r="BD27" i="5"/>
  <c r="AZ27" i="5"/>
  <c r="BA27" i="5"/>
  <c r="BF27" i="5"/>
  <c r="BI27" i="5"/>
  <c r="AX27" i="5"/>
  <c r="BC27" i="5"/>
  <c r="BL27" i="5"/>
  <c r="CG27" i="5" s="1"/>
  <c r="AA27" i="5"/>
  <c r="BQ27" i="5"/>
  <c r="BM27" i="5"/>
  <c r="CI27" i="5" s="1"/>
  <c r="BR27" i="5"/>
  <c r="CF27" i="5" s="1"/>
  <c r="BO27" i="5"/>
  <c r="BN27" i="5"/>
  <c r="AX173" i="12"/>
  <c r="BC173" i="12"/>
  <c r="AA173" i="12"/>
  <c r="BP173" i="12"/>
  <c r="BK25" i="5"/>
  <c r="CK25" i="5" s="1"/>
  <c r="BG24" i="5"/>
  <c r="BK27" i="5" l="1"/>
  <c r="CK27" i="5" s="1"/>
  <c r="AH28" i="5"/>
  <c r="BH27" i="5"/>
  <c r="W28" i="5"/>
  <c r="AD28" i="5"/>
  <c r="AF28" i="5"/>
  <c r="AE28" i="5"/>
  <c r="Z28" i="5"/>
  <c r="Y28" i="5"/>
  <c r="AG28" i="5"/>
  <c r="AB28" i="5"/>
  <c r="AC28" i="5"/>
  <c r="X28" i="5"/>
  <c r="BP27" i="5"/>
  <c r="CH27" i="5" s="1"/>
  <c r="W174" i="12"/>
  <c r="BH173" i="12"/>
  <c r="BJ173" i="12" s="1"/>
  <c r="AF174" i="12"/>
  <c r="BD174" i="12" s="1"/>
  <c r="AD174" i="12"/>
  <c r="BA174" i="12" s="1"/>
  <c r="AB174" i="12"/>
  <c r="AH174" i="12"/>
  <c r="BF174" i="12" s="1"/>
  <c r="AG174" i="12"/>
  <c r="BE174" i="12" s="1"/>
  <c r="AC174" i="12"/>
  <c r="AZ174" i="12" s="1"/>
  <c r="AE174" i="12"/>
  <c r="BB174" i="12" s="1"/>
  <c r="BK24" i="5"/>
  <c r="CK24" i="5" s="1"/>
  <c r="BG23" i="5"/>
  <c r="BI28" i="5" l="1"/>
  <c r="AZ28" i="5"/>
  <c r="BE28" i="5"/>
  <c r="BG28" i="5"/>
  <c r="BB28" i="5"/>
  <c r="BD28" i="5"/>
  <c r="BA28" i="5"/>
  <c r="BJ27" i="5"/>
  <c r="CJ27" i="5" s="1"/>
  <c r="BF28" i="5"/>
  <c r="BQ28" i="5"/>
  <c r="BO28" i="5"/>
  <c r="AA28" i="5"/>
  <c r="BM28" i="5"/>
  <c r="CI28" i="5" s="1"/>
  <c r="BL28" i="5"/>
  <c r="CG28" i="5" s="1"/>
  <c r="BR28" i="5"/>
  <c r="CF28" i="5" s="1"/>
  <c r="BN28" i="5"/>
  <c r="AX28" i="5"/>
  <c r="BC28" i="5"/>
  <c r="BN174" i="12"/>
  <c r="BM174" i="12"/>
  <c r="Z174" i="12"/>
  <c r="BI174" i="12" s="1"/>
  <c r="BL174" i="12"/>
  <c r="Y174" i="12"/>
  <c r="BG174" i="12" s="1"/>
  <c r="BK174" i="12" s="1"/>
  <c r="BR174" i="12"/>
  <c r="BQ174" i="12"/>
  <c r="BO174" i="12"/>
  <c r="X174" i="12"/>
  <c r="BK23" i="5"/>
  <c r="CK23" i="5" s="1"/>
  <c r="BG22" i="5"/>
  <c r="BK28" i="5" l="1"/>
  <c r="CK28" i="5" s="1"/>
  <c r="AB29" i="5"/>
  <c r="BH28" i="5"/>
  <c r="AH29" i="5"/>
  <c r="W29" i="5"/>
  <c r="AG29" i="5"/>
  <c r="Z29" i="5"/>
  <c r="AC29" i="5"/>
  <c r="AD29" i="5"/>
  <c r="Y29" i="5"/>
  <c r="AE29" i="5"/>
  <c r="AF29" i="5"/>
  <c r="X29" i="5"/>
  <c r="BP28" i="5"/>
  <c r="CH28" i="5" s="1"/>
  <c r="AX174" i="12"/>
  <c r="BC174" i="12"/>
  <c r="AA174" i="12"/>
  <c r="BP174" i="12"/>
  <c r="BK22" i="5"/>
  <c r="CK22" i="5" s="1"/>
  <c r="BG21" i="5"/>
  <c r="BI29" i="5" l="1"/>
  <c r="BE29" i="5"/>
  <c r="BF29" i="5"/>
  <c r="BJ28" i="5"/>
  <c r="CJ28" i="5" s="1"/>
  <c r="BD29" i="5"/>
  <c r="BB29" i="5"/>
  <c r="BG29" i="5"/>
  <c r="BA29" i="5"/>
  <c r="AZ29" i="5"/>
  <c r="BO29" i="5"/>
  <c r="BR29" i="5"/>
  <c r="CF29" i="5" s="1"/>
  <c r="BQ29" i="5"/>
  <c r="BL29" i="5"/>
  <c r="CG29" i="5" s="1"/>
  <c r="AA29" i="5"/>
  <c r="BN29" i="5"/>
  <c r="BM29" i="5"/>
  <c r="CI29" i="5" s="1"/>
  <c r="AX29" i="5"/>
  <c r="BC29" i="5"/>
  <c r="W175" i="12"/>
  <c r="BH174" i="12"/>
  <c r="BJ174" i="12" s="1"/>
  <c r="AF175" i="12"/>
  <c r="BD175" i="12" s="1"/>
  <c r="AC175" i="12"/>
  <c r="AZ175" i="12" s="1"/>
  <c r="AE175" i="12"/>
  <c r="BB175" i="12" s="1"/>
  <c r="AG175" i="12"/>
  <c r="BE175" i="12" s="1"/>
  <c r="AH175" i="12"/>
  <c r="BF175" i="12" s="1"/>
  <c r="AD175" i="12"/>
  <c r="BA175" i="12" s="1"/>
  <c r="AB175" i="12"/>
  <c r="BK21" i="5"/>
  <c r="CK21" i="5" s="1"/>
  <c r="BG20" i="5"/>
  <c r="BK29" i="5" l="1"/>
  <c r="CK29" i="5" s="1"/>
  <c r="BP29" i="5"/>
  <c r="CH29" i="5" s="1"/>
  <c r="AE30" i="5"/>
  <c r="BH29" i="5"/>
  <c r="Z30" i="5"/>
  <c r="Y30" i="5"/>
  <c r="W30" i="5"/>
  <c r="AB30" i="5"/>
  <c r="AH30" i="5"/>
  <c r="AG30" i="5"/>
  <c r="AC30" i="5"/>
  <c r="AD30" i="5"/>
  <c r="AF30" i="5"/>
  <c r="X30" i="5"/>
  <c r="BN175" i="12"/>
  <c r="BM175" i="12"/>
  <c r="BR175" i="12"/>
  <c r="Y175" i="12"/>
  <c r="BG175" i="12" s="1"/>
  <c r="BK175" i="12" s="1"/>
  <c r="BQ175" i="12"/>
  <c r="Z175" i="12"/>
  <c r="BI175" i="12" s="1"/>
  <c r="BO175" i="12"/>
  <c r="BL175" i="12"/>
  <c r="X175" i="12"/>
  <c r="BK20" i="5"/>
  <c r="CK20" i="5" s="1"/>
  <c r="BG19" i="5"/>
  <c r="BA30" i="5" l="1"/>
  <c r="BB30" i="5"/>
  <c r="BD30" i="5"/>
  <c r="BJ29" i="5"/>
  <c r="CJ29" i="5" s="1"/>
  <c r="AZ30" i="5"/>
  <c r="BE30" i="5"/>
  <c r="BF30" i="5"/>
  <c r="BG30" i="5"/>
  <c r="BI30" i="5"/>
  <c r="AX30" i="5"/>
  <c r="BC30" i="5"/>
  <c r="BO30" i="5"/>
  <c r="AA30" i="5"/>
  <c r="BR30" i="5"/>
  <c r="CF30" i="5" s="1"/>
  <c r="BQ30" i="5"/>
  <c r="BN30" i="5"/>
  <c r="BL30" i="5"/>
  <c r="CG30" i="5" s="1"/>
  <c r="BM30" i="5"/>
  <c r="CI30" i="5" s="1"/>
  <c r="AX175" i="12"/>
  <c r="BC175" i="12"/>
  <c r="AA175" i="12"/>
  <c r="BP175" i="12"/>
  <c r="BK19" i="5"/>
  <c r="CK19" i="5" s="1"/>
  <c r="BG18" i="5"/>
  <c r="BK30" i="5" l="1"/>
  <c r="CK30" i="5" s="1"/>
  <c r="BP30" i="5"/>
  <c r="CH30" i="5" s="1"/>
  <c r="AB31" i="5"/>
  <c r="AF31" i="5"/>
  <c r="AH31" i="5"/>
  <c r="AE31" i="5"/>
  <c r="AG31" i="5"/>
  <c r="BH30" i="5"/>
  <c r="AC31" i="5"/>
  <c r="W31" i="5"/>
  <c r="AD31" i="5"/>
  <c r="Z31" i="5"/>
  <c r="Y31" i="5"/>
  <c r="X31" i="5"/>
  <c r="W176" i="12"/>
  <c r="BH175" i="12"/>
  <c r="BJ175" i="12" s="1"/>
  <c r="AE176" i="12"/>
  <c r="BB176" i="12" s="1"/>
  <c r="AF176" i="12"/>
  <c r="BD176" i="12" s="1"/>
  <c r="AD176" i="12"/>
  <c r="BA176" i="12" s="1"/>
  <c r="AC176" i="12"/>
  <c r="AZ176" i="12" s="1"/>
  <c r="AG176" i="12"/>
  <c r="BE176" i="12" s="1"/>
  <c r="AH176" i="12"/>
  <c r="BF176" i="12" s="1"/>
  <c r="AB176" i="12"/>
  <c r="BK18" i="5"/>
  <c r="CK18" i="5" s="1"/>
  <c r="BG17" i="5"/>
  <c r="BD31" i="5" l="1"/>
  <c r="BG31" i="5"/>
  <c r="BI31" i="5"/>
  <c r="BA31" i="5"/>
  <c r="AZ31" i="5"/>
  <c r="BJ30" i="5"/>
  <c r="CJ30" i="5" s="1"/>
  <c r="BE31" i="5"/>
  <c r="BB31" i="5"/>
  <c r="BF31" i="5"/>
  <c r="BM31" i="5"/>
  <c r="CI31" i="5" s="1"/>
  <c r="BL31" i="5"/>
  <c r="CG31" i="5" s="1"/>
  <c r="BO31" i="5"/>
  <c r="BR31" i="5"/>
  <c r="CF31" i="5" s="1"/>
  <c r="AA31" i="5"/>
  <c r="BN31" i="5"/>
  <c r="BQ31" i="5"/>
  <c r="AX31" i="5"/>
  <c r="BC31" i="5"/>
  <c r="BM176" i="12"/>
  <c r="BR176" i="12"/>
  <c r="BQ176" i="12"/>
  <c r="Z176" i="12"/>
  <c r="BI176" i="12" s="1"/>
  <c r="BN176" i="12"/>
  <c r="BO176" i="12"/>
  <c r="Y176" i="12"/>
  <c r="BG176" i="12" s="1"/>
  <c r="BK176" i="12" s="1"/>
  <c r="BL176" i="12"/>
  <c r="X176" i="12"/>
  <c r="BK17" i="5"/>
  <c r="CK17" i="5" s="1"/>
  <c r="BG16" i="5"/>
  <c r="BK31" i="5" l="1"/>
  <c r="CK31" i="5" s="1"/>
  <c r="AE32" i="5"/>
  <c r="W32" i="5"/>
  <c r="AF32" i="5"/>
  <c r="AD32" i="5"/>
  <c r="AH32" i="5"/>
  <c r="Y32" i="5"/>
  <c r="AC32" i="5"/>
  <c r="BH31" i="5"/>
  <c r="Z32" i="5"/>
  <c r="AB32" i="5"/>
  <c r="AG32" i="5"/>
  <c r="X32" i="5"/>
  <c r="BP31" i="5"/>
  <c r="CH31" i="5" s="1"/>
  <c r="AX176" i="12"/>
  <c r="BC176" i="12"/>
  <c r="BP176" i="12"/>
  <c r="AA176" i="12"/>
  <c r="BK16" i="5"/>
  <c r="CK16" i="5" s="1"/>
  <c r="BG15" i="5"/>
  <c r="AZ32" i="5" l="1"/>
  <c r="BJ31" i="5"/>
  <c r="CJ31" i="5" s="1"/>
  <c r="BD32" i="5"/>
  <c r="BG32" i="5"/>
  <c r="BF32" i="5"/>
  <c r="BA32" i="5"/>
  <c r="BB32" i="5"/>
  <c r="BE32" i="5"/>
  <c r="BI32" i="5"/>
  <c r="BC32" i="5"/>
  <c r="AX32" i="5"/>
  <c r="BM32" i="5"/>
  <c r="CI32" i="5" s="1"/>
  <c r="BL32" i="5"/>
  <c r="CG32" i="5" s="1"/>
  <c r="BQ32" i="5"/>
  <c r="BN32" i="5"/>
  <c r="BR32" i="5"/>
  <c r="CF32" i="5" s="1"/>
  <c r="BO32" i="5"/>
  <c r="AA32" i="5"/>
  <c r="W177" i="12"/>
  <c r="BH176" i="12"/>
  <c r="BJ176" i="12" s="1"/>
  <c r="AG177" i="12"/>
  <c r="BE177" i="12" s="1"/>
  <c r="AH177" i="12"/>
  <c r="BF177" i="12" s="1"/>
  <c r="AF177" i="12"/>
  <c r="BD177" i="12" s="1"/>
  <c r="AC177" i="12"/>
  <c r="AZ177" i="12" s="1"/>
  <c r="AE177" i="12"/>
  <c r="BB177" i="12" s="1"/>
  <c r="AD177" i="12"/>
  <c r="BA177" i="12" s="1"/>
  <c r="AB177" i="12"/>
  <c r="BK15" i="5"/>
  <c r="CK15" i="5" s="1"/>
  <c r="BG14" i="5"/>
  <c r="BK32" i="5" l="1"/>
  <c r="CK32" i="5" s="1"/>
  <c r="BP32" i="5"/>
  <c r="CH32" i="5" s="1"/>
  <c r="AG33" i="5"/>
  <c r="Z33" i="5"/>
  <c r="AH33" i="5"/>
  <c r="AF33" i="5"/>
  <c r="Y33" i="5"/>
  <c r="AE33" i="5"/>
  <c r="AC33" i="5"/>
  <c r="W33" i="5"/>
  <c r="BH32" i="5"/>
  <c r="AD33" i="5"/>
  <c r="AB33" i="5"/>
  <c r="X33" i="5"/>
  <c r="BR177" i="12"/>
  <c r="BN177" i="12"/>
  <c r="BM177" i="12"/>
  <c r="BL177" i="12"/>
  <c r="Y177" i="12"/>
  <c r="BG177" i="12" s="1"/>
  <c r="BK177" i="12" s="1"/>
  <c r="Z177" i="12"/>
  <c r="BI177" i="12" s="1"/>
  <c r="BQ177" i="12"/>
  <c r="BO177" i="12"/>
  <c r="X177" i="12"/>
  <c r="BK14" i="5"/>
  <c r="CK14" i="5" s="1"/>
  <c r="BE33" i="5" l="1"/>
  <c r="BI33" i="5"/>
  <c r="BA33" i="5"/>
  <c r="BJ32" i="5"/>
  <c r="CJ32" i="5" s="1"/>
  <c r="AZ33" i="5"/>
  <c r="BB33" i="5"/>
  <c r="BG33" i="5"/>
  <c r="BD33" i="5"/>
  <c r="BF33" i="5"/>
  <c r="AX33" i="5"/>
  <c r="BC33" i="5"/>
  <c r="AA33" i="5"/>
  <c r="BM33" i="5"/>
  <c r="CI33" i="5" s="1"/>
  <c r="BL33" i="5"/>
  <c r="CG33" i="5" s="1"/>
  <c r="BQ33" i="5"/>
  <c r="BR33" i="5"/>
  <c r="CF33" i="5" s="1"/>
  <c r="BO33" i="5"/>
  <c r="BN33" i="5"/>
  <c r="AX177" i="12"/>
  <c r="BC177" i="12"/>
  <c r="BP177" i="12"/>
  <c r="AA177" i="12"/>
  <c r="BK33" i="5" l="1"/>
  <c r="CK33" i="5" s="1"/>
  <c r="BP33" i="5"/>
  <c r="CH33" i="5" s="1"/>
  <c r="AH34" i="5"/>
  <c r="AE34" i="5"/>
  <c r="BH33" i="5"/>
  <c r="Y34" i="5"/>
  <c r="AC34" i="5"/>
  <c r="AD34" i="5"/>
  <c r="W34" i="5"/>
  <c r="AG34" i="5"/>
  <c r="AF34" i="5"/>
  <c r="Z34" i="5"/>
  <c r="AB34" i="5"/>
  <c r="X34" i="5"/>
  <c r="W178" i="12"/>
  <c r="BH177" i="12"/>
  <c r="BJ177" i="12" s="1"/>
  <c r="AD178" i="12"/>
  <c r="BA178" i="12" s="1"/>
  <c r="AG178" i="12"/>
  <c r="BE178" i="12" s="1"/>
  <c r="AF178" i="12"/>
  <c r="BD178" i="12" s="1"/>
  <c r="AE178" i="12"/>
  <c r="BB178" i="12" s="1"/>
  <c r="AB178" i="12"/>
  <c r="AC178" i="12"/>
  <c r="AZ178" i="12" s="1"/>
  <c r="AH178" i="12"/>
  <c r="BF178" i="12" s="1"/>
  <c r="AZ34" i="5" l="1"/>
  <c r="BJ33" i="5"/>
  <c r="CJ33" i="5" s="1"/>
  <c r="BF34" i="5"/>
  <c r="BD34" i="5"/>
  <c r="BG34" i="5"/>
  <c r="BB34" i="5"/>
  <c r="BI34" i="5"/>
  <c r="BE34" i="5"/>
  <c r="BA34" i="5"/>
  <c r="AX34" i="5"/>
  <c r="BC34" i="5"/>
  <c r="BQ34" i="5"/>
  <c r="BO34" i="5"/>
  <c r="AA34" i="5"/>
  <c r="BN34" i="5"/>
  <c r="BM34" i="5"/>
  <c r="CI34" i="5" s="1"/>
  <c r="BL34" i="5"/>
  <c r="CG34" i="5" s="1"/>
  <c r="BR34" i="5"/>
  <c r="CF34" i="5" s="1"/>
  <c r="BM178" i="12"/>
  <c r="BR178" i="12"/>
  <c r="Y178" i="12"/>
  <c r="BG178" i="12" s="1"/>
  <c r="BK178" i="12" s="1"/>
  <c r="BN178" i="12"/>
  <c r="BL178" i="12"/>
  <c r="Z178" i="12"/>
  <c r="BI178" i="12" s="1"/>
  <c r="BQ178" i="12"/>
  <c r="BO178" i="12"/>
  <c r="X178" i="12"/>
  <c r="BS7" i="5"/>
  <c r="BK34" i="5" l="1"/>
  <c r="CK34" i="5" s="1"/>
  <c r="BP34" i="5"/>
  <c r="CH34" i="5" s="1"/>
  <c r="AF35" i="5"/>
  <c r="AG35" i="5"/>
  <c r="AH35" i="5"/>
  <c r="AE35" i="5"/>
  <c r="AD35" i="5"/>
  <c r="AC35" i="5"/>
  <c r="Y35" i="5"/>
  <c r="Z35" i="5"/>
  <c r="W35" i="5"/>
  <c r="BH34" i="5"/>
  <c r="AB35" i="5"/>
  <c r="X35" i="5"/>
  <c r="AX178" i="12"/>
  <c r="BC178" i="12"/>
  <c r="BP178" i="12"/>
  <c r="AA178" i="12"/>
  <c r="AZ35" i="5" l="1"/>
  <c r="BG35" i="5"/>
  <c r="BA35" i="5"/>
  <c r="BB35" i="5"/>
  <c r="BF35" i="5"/>
  <c r="BE35" i="5"/>
  <c r="BD35" i="5"/>
  <c r="BJ34" i="5"/>
  <c r="CJ34" i="5" s="1"/>
  <c r="BI35" i="5"/>
  <c r="BC35" i="5"/>
  <c r="AX35" i="5"/>
  <c r="BM35" i="5"/>
  <c r="CI35" i="5" s="1"/>
  <c r="BR35" i="5"/>
  <c r="CF35" i="5" s="1"/>
  <c r="BL35" i="5"/>
  <c r="CG35" i="5" s="1"/>
  <c r="AA35" i="5"/>
  <c r="BO35" i="5"/>
  <c r="BN35" i="5"/>
  <c r="BQ35" i="5"/>
  <c r="W179" i="12"/>
  <c r="BH178" i="12"/>
  <c r="BJ178" i="12" s="1"/>
  <c r="AH179" i="12"/>
  <c r="BF179" i="12" s="1"/>
  <c r="AG179" i="12"/>
  <c r="BE179" i="12" s="1"/>
  <c r="AC179" i="12"/>
  <c r="AZ179" i="12" s="1"/>
  <c r="AD179" i="12"/>
  <c r="BA179" i="12" s="1"/>
  <c r="AE179" i="12"/>
  <c r="BB179" i="12" s="1"/>
  <c r="AB179" i="12"/>
  <c r="AF179" i="12"/>
  <c r="BD179" i="12" s="1"/>
  <c r="BK35" i="5" l="1"/>
  <c r="CK35" i="5" s="1"/>
  <c r="AG36" i="5"/>
  <c r="AD36" i="5"/>
  <c r="AC36" i="5"/>
  <c r="AB36" i="5"/>
  <c r="AF36" i="5"/>
  <c r="AH36" i="5"/>
  <c r="AE36" i="5"/>
  <c r="Z36" i="5"/>
  <c r="W36" i="5"/>
  <c r="BH35" i="5"/>
  <c r="Y36" i="5"/>
  <c r="X36" i="5"/>
  <c r="BP35" i="5"/>
  <c r="CH35" i="5" s="1"/>
  <c r="BL179" i="12"/>
  <c r="Y179" i="12"/>
  <c r="BG179" i="12" s="1"/>
  <c r="BK179" i="12" s="1"/>
  <c r="BR179" i="12"/>
  <c r="Z179" i="12"/>
  <c r="BI179" i="12" s="1"/>
  <c r="BN179" i="12"/>
  <c r="BQ179" i="12"/>
  <c r="BO179" i="12"/>
  <c r="BM179" i="12"/>
  <c r="X179" i="12"/>
  <c r="BG36" i="5" l="1"/>
  <c r="BJ35" i="5"/>
  <c r="CJ35" i="5" s="1"/>
  <c r="BI36" i="5"/>
  <c r="BA36" i="5"/>
  <c r="BE36" i="5"/>
  <c r="BB36" i="5"/>
  <c r="BF36" i="5"/>
  <c r="BD36" i="5"/>
  <c r="AZ36" i="5"/>
  <c r="AX36" i="5"/>
  <c r="BC36" i="5"/>
  <c r="AA36" i="5"/>
  <c r="BL36" i="5"/>
  <c r="CG36" i="5" s="1"/>
  <c r="BN36" i="5"/>
  <c r="BQ36" i="5"/>
  <c r="BR36" i="5"/>
  <c r="CF36" i="5" s="1"/>
  <c r="BM36" i="5"/>
  <c r="CI36" i="5" s="1"/>
  <c r="BO36" i="5"/>
  <c r="AX179" i="12"/>
  <c r="BC179" i="12"/>
  <c r="AA179" i="12"/>
  <c r="BP179" i="12"/>
  <c r="BK36" i="5" l="1"/>
  <c r="CK36" i="5" s="1"/>
  <c r="BP36" i="5"/>
  <c r="CH36" i="5" s="1"/>
  <c r="AD37" i="5"/>
  <c r="BH36" i="5"/>
  <c r="Y37" i="5"/>
  <c r="AG37" i="5"/>
  <c r="AC37" i="5"/>
  <c r="W37" i="5"/>
  <c r="AE37" i="5"/>
  <c r="AF37" i="5"/>
  <c r="AB37" i="5"/>
  <c r="AH37" i="5"/>
  <c r="Z37" i="5"/>
  <c r="X37" i="5"/>
  <c r="W180" i="12"/>
  <c r="BH179" i="12"/>
  <c r="BJ179" i="12" s="1"/>
  <c r="AH180" i="12"/>
  <c r="BF180" i="12" s="1"/>
  <c r="AF180" i="12"/>
  <c r="BD180" i="12" s="1"/>
  <c r="AC180" i="12"/>
  <c r="AZ180" i="12" s="1"/>
  <c r="AE180" i="12"/>
  <c r="BB180" i="12" s="1"/>
  <c r="AD180" i="12"/>
  <c r="BA180" i="12" s="1"/>
  <c r="AG180" i="12"/>
  <c r="BE180" i="12" s="1"/>
  <c r="AB180" i="12"/>
  <c r="BI37" i="5" l="1"/>
  <c r="BF37" i="5"/>
  <c r="BD37" i="5"/>
  <c r="BB37" i="5"/>
  <c r="AZ37" i="5"/>
  <c r="BE37" i="5"/>
  <c r="BG37" i="5"/>
  <c r="BJ36" i="5"/>
  <c r="CJ36" i="5" s="1"/>
  <c r="BA37" i="5"/>
  <c r="BQ37" i="5"/>
  <c r="BM37" i="5"/>
  <c r="CI37" i="5" s="1"/>
  <c r="BO37" i="5"/>
  <c r="BR37" i="5"/>
  <c r="CF37" i="5" s="1"/>
  <c r="BN37" i="5"/>
  <c r="AA37" i="5"/>
  <c r="BL37" i="5"/>
  <c r="CG37" i="5" s="1"/>
  <c r="AX37" i="5"/>
  <c r="BC37" i="5"/>
  <c r="BN180" i="12"/>
  <c r="BM180" i="12"/>
  <c r="Y180" i="12"/>
  <c r="BG180" i="12" s="1"/>
  <c r="BK180" i="12" s="1"/>
  <c r="BR180" i="12"/>
  <c r="BL180" i="12"/>
  <c r="BO180" i="12"/>
  <c r="Z180" i="12"/>
  <c r="BI180" i="12" s="1"/>
  <c r="BQ180" i="12"/>
  <c r="X180" i="12"/>
  <c r="BK37" i="5" l="1"/>
  <c r="CK37" i="5" s="1"/>
  <c r="AD38" i="5"/>
  <c r="BH37" i="5"/>
  <c r="Z38" i="5"/>
  <c r="W38" i="5"/>
  <c r="Y38" i="5"/>
  <c r="AE38" i="5"/>
  <c r="AB38" i="5"/>
  <c r="AF38" i="5"/>
  <c r="AH38" i="5"/>
  <c r="AC38" i="5"/>
  <c r="AG38" i="5"/>
  <c r="X38" i="5"/>
  <c r="BP37" i="5"/>
  <c r="CH37" i="5" s="1"/>
  <c r="AX180" i="12"/>
  <c r="BC180" i="12"/>
  <c r="AA180" i="12"/>
  <c r="BP180" i="12"/>
  <c r="BA38" i="5" l="1"/>
  <c r="BI38" i="5"/>
  <c r="BB38" i="5"/>
  <c r="BG38" i="5"/>
  <c r="BJ37" i="5"/>
  <c r="CJ37" i="5" s="1"/>
  <c r="BE38" i="5"/>
  <c r="AZ38" i="5"/>
  <c r="BF38" i="5"/>
  <c r="BD38" i="5"/>
  <c r="BN38" i="5"/>
  <c r="BM38" i="5"/>
  <c r="CI38" i="5" s="1"/>
  <c r="BR38" i="5"/>
  <c r="CF38" i="5" s="1"/>
  <c r="BL38" i="5"/>
  <c r="CG38" i="5" s="1"/>
  <c r="BQ38" i="5"/>
  <c r="BO38" i="5"/>
  <c r="AA38" i="5"/>
  <c r="AX38" i="5"/>
  <c r="BC38" i="5"/>
  <c r="W181" i="12"/>
  <c r="BH180" i="12"/>
  <c r="BJ180" i="12" s="1"/>
  <c r="AD181" i="12"/>
  <c r="BA181" i="12" s="1"/>
  <c r="AG181" i="12"/>
  <c r="BE181" i="12" s="1"/>
  <c r="AE181" i="12"/>
  <c r="BB181" i="12" s="1"/>
  <c r="AB181" i="12"/>
  <c r="AH181" i="12"/>
  <c r="BF181" i="12" s="1"/>
  <c r="AF181" i="12"/>
  <c r="BD181" i="12" s="1"/>
  <c r="AC181" i="12"/>
  <c r="AZ181" i="12" s="1"/>
  <c r="BK38" i="5" l="1"/>
  <c r="CK38" i="5" s="1"/>
  <c r="AH39" i="5"/>
  <c r="AD39" i="5"/>
  <c r="AE39" i="5"/>
  <c r="AB39" i="5"/>
  <c r="BH38" i="5"/>
  <c r="AC39" i="5"/>
  <c r="Z39" i="5"/>
  <c r="AF39" i="5"/>
  <c r="Y39" i="5"/>
  <c r="W39" i="5"/>
  <c r="AG39" i="5"/>
  <c r="X39" i="5"/>
  <c r="BP38" i="5"/>
  <c r="CH38" i="5" s="1"/>
  <c r="BR181" i="12"/>
  <c r="BL181" i="12"/>
  <c r="Z181" i="12"/>
  <c r="BI181" i="12" s="1"/>
  <c r="BM181" i="12"/>
  <c r="BO181" i="12"/>
  <c r="BN181" i="12"/>
  <c r="Y181" i="12"/>
  <c r="BG181" i="12" s="1"/>
  <c r="BK181" i="12" s="1"/>
  <c r="BQ181" i="12"/>
  <c r="X181" i="12"/>
  <c r="BG39" i="5" l="1"/>
  <c r="BD39" i="5"/>
  <c r="BI39" i="5"/>
  <c r="AZ39" i="5"/>
  <c r="BJ38" i="5"/>
  <c r="CJ38" i="5" s="1"/>
  <c r="BB39" i="5"/>
  <c r="BA39" i="5"/>
  <c r="BF39" i="5"/>
  <c r="BE39" i="5"/>
  <c r="BN39" i="5"/>
  <c r="AA39" i="5"/>
  <c r="BQ39" i="5"/>
  <c r="BO39" i="5"/>
  <c r="BM39" i="5"/>
  <c r="CI39" i="5" s="1"/>
  <c r="BR39" i="5"/>
  <c r="CF39" i="5" s="1"/>
  <c r="BL39" i="5"/>
  <c r="CG39" i="5" s="1"/>
  <c r="BC39" i="5"/>
  <c r="AX39" i="5"/>
  <c r="AX181" i="12"/>
  <c r="BC181" i="12"/>
  <c r="BP181" i="12"/>
  <c r="AA181" i="12"/>
  <c r="BK39" i="5" l="1"/>
  <c r="CK39" i="5" s="1"/>
  <c r="AF40" i="5"/>
  <c r="AD40" i="5"/>
  <c r="AG40" i="5"/>
  <c r="AB40" i="5"/>
  <c r="AC40" i="5"/>
  <c r="AH40" i="5"/>
  <c r="Z40" i="5"/>
  <c r="BH39" i="5"/>
  <c r="W40" i="5"/>
  <c r="AE40" i="5"/>
  <c r="Y40" i="5"/>
  <c r="X40" i="5"/>
  <c r="BP39" i="5"/>
  <c r="CH39" i="5" s="1"/>
  <c r="W182" i="12"/>
  <c r="BH181" i="12"/>
  <c r="BJ181" i="12" s="1"/>
  <c r="AF182" i="12"/>
  <c r="BD182" i="12" s="1"/>
  <c r="AD182" i="12"/>
  <c r="BA182" i="12" s="1"/>
  <c r="AB182" i="12"/>
  <c r="AE182" i="12"/>
  <c r="BB182" i="12" s="1"/>
  <c r="AH182" i="12"/>
  <c r="BF182" i="12" s="1"/>
  <c r="AC182" i="12"/>
  <c r="AZ182" i="12" s="1"/>
  <c r="AG182" i="12"/>
  <c r="BE182" i="12" s="1"/>
  <c r="BD40" i="5" l="1"/>
  <c r="BI40" i="5"/>
  <c r="BF40" i="5"/>
  <c r="AZ40" i="5"/>
  <c r="BG40" i="5"/>
  <c r="BB40" i="5"/>
  <c r="BJ39" i="5"/>
  <c r="CJ39" i="5" s="1"/>
  <c r="BA40" i="5"/>
  <c r="BE40" i="5"/>
  <c r="AX40" i="5"/>
  <c r="BC40" i="5"/>
  <c r="BM40" i="5"/>
  <c r="CI40" i="5" s="1"/>
  <c r="BL40" i="5"/>
  <c r="CG40" i="5" s="1"/>
  <c r="BR40" i="5"/>
  <c r="CF40" i="5" s="1"/>
  <c r="BN40" i="5"/>
  <c r="BO40" i="5"/>
  <c r="BQ40" i="5"/>
  <c r="AA40" i="5"/>
  <c r="BL182" i="12"/>
  <c r="BR182" i="12"/>
  <c r="BQ182" i="12"/>
  <c r="Y182" i="12"/>
  <c r="BG182" i="12" s="1"/>
  <c r="BK182" i="12" s="1"/>
  <c r="BO182" i="12"/>
  <c r="BM182" i="12"/>
  <c r="BN182" i="12"/>
  <c r="Z182" i="12"/>
  <c r="BI182" i="12" s="1"/>
  <c r="X182" i="12"/>
  <c r="BK40" i="5" l="1"/>
  <c r="CK40" i="5" s="1"/>
  <c r="Y41" i="5"/>
  <c r="BH40" i="5"/>
  <c r="AG41" i="5"/>
  <c r="W41" i="5"/>
  <c r="AF41" i="5"/>
  <c r="AE41" i="5"/>
  <c r="AB41" i="5"/>
  <c r="AH41" i="5"/>
  <c r="Z41" i="5"/>
  <c r="AD41" i="5"/>
  <c r="AC41" i="5"/>
  <c r="X41" i="5"/>
  <c r="BP40" i="5"/>
  <c r="CH40" i="5" s="1"/>
  <c r="AX182" i="12"/>
  <c r="BC182" i="12"/>
  <c r="BP182" i="12"/>
  <c r="AA182" i="12"/>
  <c r="BG41" i="5" l="1"/>
  <c r="BE41" i="5"/>
  <c r="BJ40" i="5"/>
  <c r="CJ40" i="5" s="1"/>
  <c r="AZ41" i="5"/>
  <c r="BA41" i="5"/>
  <c r="BI41" i="5"/>
  <c r="BF41" i="5"/>
  <c r="BB41" i="5"/>
  <c r="BD41" i="5"/>
  <c r="AX41" i="5"/>
  <c r="BC41" i="5"/>
  <c r="BM41" i="5"/>
  <c r="CI41" i="5" s="1"/>
  <c r="BL41" i="5"/>
  <c r="CG41" i="5" s="1"/>
  <c r="BN41" i="5"/>
  <c r="AA41" i="5"/>
  <c r="BQ41" i="5"/>
  <c r="BR41" i="5"/>
  <c r="CF41" i="5" s="1"/>
  <c r="BO41" i="5"/>
  <c r="W183" i="12"/>
  <c r="BH182" i="12"/>
  <c r="BJ182" i="12" s="1"/>
  <c r="AD183" i="12"/>
  <c r="BA183" i="12" s="1"/>
  <c r="AH183" i="12"/>
  <c r="BF183" i="12" s="1"/>
  <c r="AF183" i="12"/>
  <c r="BD183" i="12" s="1"/>
  <c r="AE183" i="12"/>
  <c r="BB183" i="12" s="1"/>
  <c r="AC183" i="12"/>
  <c r="AZ183" i="12" s="1"/>
  <c r="AG183" i="12"/>
  <c r="BE183" i="12" s="1"/>
  <c r="AB183" i="12"/>
  <c r="BK41" i="5" l="1"/>
  <c r="CK41" i="5" s="1"/>
  <c r="BP41" i="5"/>
  <c r="CH41" i="5" s="1"/>
  <c r="AH42" i="5"/>
  <c r="AE42" i="5"/>
  <c r="BH41" i="5"/>
  <c r="Z42" i="5"/>
  <c r="AG42" i="5"/>
  <c r="AB42" i="5"/>
  <c r="W42" i="5"/>
  <c r="Y42" i="5"/>
  <c r="AF42" i="5"/>
  <c r="AC42" i="5"/>
  <c r="AD42" i="5"/>
  <c r="X42" i="5"/>
  <c r="BM183" i="12"/>
  <c r="BL183" i="12"/>
  <c r="BQ183" i="12"/>
  <c r="BN183" i="12"/>
  <c r="BR183" i="12"/>
  <c r="BO183" i="12"/>
  <c r="Y183" i="12"/>
  <c r="BG183" i="12" s="1"/>
  <c r="BK183" i="12" s="1"/>
  <c r="Z183" i="12"/>
  <c r="BI183" i="12" s="1"/>
  <c r="X183" i="12"/>
  <c r="BA42" i="5" l="1"/>
  <c r="AZ42" i="5"/>
  <c r="BD42" i="5"/>
  <c r="BG42" i="5"/>
  <c r="BE42" i="5"/>
  <c r="BI42" i="5"/>
  <c r="BJ41" i="5"/>
  <c r="CJ41" i="5" s="1"/>
  <c r="BB42" i="5"/>
  <c r="BF42" i="5"/>
  <c r="BQ42" i="5"/>
  <c r="BN42" i="5"/>
  <c r="BR42" i="5"/>
  <c r="CF42" i="5" s="1"/>
  <c r="BM42" i="5"/>
  <c r="CI42" i="5" s="1"/>
  <c r="BL42" i="5"/>
  <c r="CG42" i="5" s="1"/>
  <c r="BO42" i="5"/>
  <c r="AA42" i="5"/>
  <c r="AX42" i="5"/>
  <c r="BC42" i="5"/>
  <c r="AX183" i="12"/>
  <c r="BC183" i="12"/>
  <c r="BP183" i="12"/>
  <c r="AA183" i="12"/>
  <c r="BK42" i="5" l="1"/>
  <c r="CK42" i="5" s="1"/>
  <c r="BP42" i="5"/>
  <c r="CH42" i="5" s="1"/>
  <c r="AC43" i="5"/>
  <c r="BH42" i="5"/>
  <c r="AD43" i="5"/>
  <c r="Z43" i="5"/>
  <c r="AB43" i="5"/>
  <c r="AG43" i="5"/>
  <c r="AE43" i="5"/>
  <c r="AF43" i="5"/>
  <c r="Y43" i="5"/>
  <c r="W43" i="5"/>
  <c r="AH43" i="5"/>
  <c r="X43" i="5"/>
  <c r="W184" i="12"/>
  <c r="BH183" i="12"/>
  <c r="BJ183" i="12" s="1"/>
  <c r="AG184" i="12"/>
  <c r="BE184" i="12" s="1"/>
  <c r="AB184" i="12"/>
  <c r="AD184" i="12"/>
  <c r="BA184" i="12" s="1"/>
  <c r="AH184" i="12"/>
  <c r="BF184" i="12" s="1"/>
  <c r="AF184" i="12"/>
  <c r="BD184" i="12" s="1"/>
  <c r="AE184" i="12"/>
  <c r="BB184" i="12" s="1"/>
  <c r="AC184" i="12"/>
  <c r="AZ184" i="12" s="1"/>
  <c r="BJ42" i="5" l="1"/>
  <c r="CJ42" i="5" s="1"/>
  <c r="AZ43" i="5"/>
  <c r="BF43" i="5"/>
  <c r="BG43" i="5"/>
  <c r="BD43" i="5"/>
  <c r="BB43" i="5"/>
  <c r="BE43" i="5"/>
  <c r="BI43" i="5"/>
  <c r="BA43" i="5"/>
  <c r="BN43" i="5"/>
  <c r="BL43" i="5"/>
  <c r="CG43" i="5" s="1"/>
  <c r="BM43" i="5"/>
  <c r="CI43" i="5" s="1"/>
  <c r="BR43" i="5"/>
  <c r="CF43" i="5" s="1"/>
  <c r="BQ43" i="5"/>
  <c r="AA43" i="5"/>
  <c r="BO43" i="5"/>
  <c r="BC43" i="5"/>
  <c r="AX43" i="5"/>
  <c r="BR184" i="12"/>
  <c r="Z184" i="12"/>
  <c r="BI184" i="12" s="1"/>
  <c r="BN184" i="12"/>
  <c r="BM184" i="12"/>
  <c r="BO184" i="12"/>
  <c r="BQ184" i="12"/>
  <c r="Y184" i="12"/>
  <c r="BG184" i="12" s="1"/>
  <c r="BK184" i="12" s="1"/>
  <c r="BL184" i="12"/>
  <c r="X184" i="12"/>
  <c r="BK43" i="5" l="1"/>
  <c r="CK43" i="5" s="1"/>
  <c r="AA184" i="12"/>
  <c r="AD185" i="12" s="1"/>
  <c r="BA185" i="12" s="1"/>
  <c r="Y44" i="5"/>
  <c r="AH44" i="5"/>
  <c r="Z44" i="5"/>
  <c r="AG44" i="5"/>
  <c r="AF44" i="5"/>
  <c r="W44" i="5"/>
  <c r="AD44" i="5"/>
  <c r="AB44" i="5"/>
  <c r="X44" i="5"/>
  <c r="BH43" i="5"/>
  <c r="AC44" i="5"/>
  <c r="AE44" i="5"/>
  <c r="BP43" i="5"/>
  <c r="CH43" i="5" s="1"/>
  <c r="AX184" i="12"/>
  <c r="BC184" i="12"/>
  <c r="BP184" i="12"/>
  <c r="BI44" i="5" l="1"/>
  <c r="BF44" i="5"/>
  <c r="BG44" i="5"/>
  <c r="BJ43" i="5"/>
  <c r="CJ43" i="5" s="1"/>
  <c r="BA44" i="5"/>
  <c r="BD44" i="5"/>
  <c r="BB44" i="5"/>
  <c r="AZ44" i="5"/>
  <c r="BE44" i="5"/>
  <c r="AC185" i="12"/>
  <c r="AZ185" i="12" s="1"/>
  <c r="AF185" i="12"/>
  <c r="BD185" i="12" s="1"/>
  <c r="AH185" i="12"/>
  <c r="BF185" i="12" s="1"/>
  <c r="BH184" i="12"/>
  <c r="BJ184" i="12" s="1"/>
  <c r="W185" i="12"/>
  <c r="Z185" i="12" s="1"/>
  <c r="BI185" i="12" s="1"/>
  <c r="AE185" i="12"/>
  <c r="BB185" i="12" s="1"/>
  <c r="AG185" i="12"/>
  <c r="BE185" i="12" s="1"/>
  <c r="AB185" i="12"/>
  <c r="BL44" i="5"/>
  <c r="CG44" i="5" s="1"/>
  <c r="AA44" i="5"/>
  <c r="BN44" i="5"/>
  <c r="BO44" i="5"/>
  <c r="BR44" i="5"/>
  <c r="CF44" i="5" s="1"/>
  <c r="BM44" i="5"/>
  <c r="CI44" i="5" s="1"/>
  <c r="BQ44" i="5"/>
  <c r="BC44" i="5"/>
  <c r="AX44" i="5"/>
  <c r="BM185" i="12" l="1"/>
  <c r="BL185" i="12"/>
  <c r="BR185" i="12"/>
  <c r="BK44" i="5"/>
  <c r="CK44" i="5" s="1"/>
  <c r="BN185" i="12"/>
  <c r="Y185" i="12"/>
  <c r="BG185" i="12" s="1"/>
  <c r="BK185" i="12" s="1"/>
  <c r="X185" i="12"/>
  <c r="AX185" i="12" s="1"/>
  <c r="BO185" i="12"/>
  <c r="BQ185" i="12"/>
  <c r="BP44" i="5"/>
  <c r="CH44" i="5" s="1"/>
  <c r="AE45" i="5"/>
  <c r="AC45" i="5"/>
  <c r="AD45" i="5"/>
  <c r="AH45" i="5"/>
  <c r="Y45" i="5"/>
  <c r="X45" i="5"/>
  <c r="AF45" i="5"/>
  <c r="BH44" i="5"/>
  <c r="Z45" i="5"/>
  <c r="W45" i="5"/>
  <c r="AB45" i="5"/>
  <c r="AG45" i="5"/>
  <c r="BE45" i="5" l="1"/>
  <c r="BG45" i="5"/>
  <c r="BA45" i="5"/>
  <c r="BJ44" i="5"/>
  <c r="CJ44" i="5" s="1"/>
  <c r="BD45" i="5"/>
  <c r="BF45" i="5"/>
  <c r="AZ45" i="5"/>
  <c r="BB45" i="5"/>
  <c r="BI45" i="5"/>
  <c r="BP185" i="12"/>
  <c r="BC185" i="12"/>
  <c r="AA185" i="12"/>
  <c r="AB186" i="12" s="1"/>
  <c r="BC45" i="5"/>
  <c r="AX45" i="5"/>
  <c r="BO45" i="5"/>
  <c r="BR45" i="5"/>
  <c r="CF45" i="5" s="1"/>
  <c r="BM45" i="5"/>
  <c r="CI45" i="5" s="1"/>
  <c r="BL45" i="5"/>
  <c r="CG45" i="5" s="1"/>
  <c r="BQ45" i="5"/>
  <c r="AA45" i="5"/>
  <c r="BN45" i="5"/>
  <c r="BK45" i="5" l="1"/>
  <c r="CK45" i="5" s="1"/>
  <c r="AE186" i="12"/>
  <c r="BB186" i="12" s="1"/>
  <c r="AD186" i="12"/>
  <c r="BA186" i="12" s="1"/>
  <c r="AF186" i="12"/>
  <c r="BD186" i="12" s="1"/>
  <c r="W186" i="12"/>
  <c r="BQ186" i="12" s="1"/>
  <c r="AG186" i="12"/>
  <c r="BE186" i="12" s="1"/>
  <c r="BH185" i="12"/>
  <c r="BJ185" i="12" s="1"/>
  <c r="AC186" i="12"/>
  <c r="AZ186" i="12" s="1"/>
  <c r="AH186" i="12"/>
  <c r="BF186" i="12" s="1"/>
  <c r="AB46" i="5"/>
  <c r="AG46" i="5"/>
  <c r="AE46" i="5"/>
  <c r="X46" i="5"/>
  <c r="BH45" i="5"/>
  <c r="AD46" i="5"/>
  <c r="AH46" i="5"/>
  <c r="AF46" i="5"/>
  <c r="Z46" i="5"/>
  <c r="W46" i="5"/>
  <c r="Y46" i="5"/>
  <c r="AC46" i="5"/>
  <c r="BP45" i="5"/>
  <c r="CH45" i="5" s="1"/>
  <c r="BM186" i="12"/>
  <c r="BL186" i="12"/>
  <c r="X186" i="12" l="1"/>
  <c r="BN186" i="12"/>
  <c r="BI46" i="5"/>
  <c r="BD46" i="5"/>
  <c r="BF46" i="5"/>
  <c r="BA46" i="5"/>
  <c r="BJ45" i="5"/>
  <c r="CJ45" i="5" s="1"/>
  <c r="BB46" i="5"/>
  <c r="BE46" i="5"/>
  <c r="AZ46" i="5"/>
  <c r="BG46" i="5"/>
  <c r="Y186" i="12"/>
  <c r="BG186" i="12" s="1"/>
  <c r="BK186" i="12" s="1"/>
  <c r="BR186" i="12"/>
  <c r="BO186" i="12"/>
  <c r="BP186" i="12" s="1"/>
  <c r="Z186" i="12"/>
  <c r="BI186" i="12" s="1"/>
  <c r="BC46" i="5"/>
  <c r="AX46" i="5"/>
  <c r="BR46" i="5"/>
  <c r="CF46" i="5" s="1"/>
  <c r="BN46" i="5"/>
  <c r="BO46" i="5"/>
  <c r="BQ46" i="5"/>
  <c r="BM46" i="5"/>
  <c r="CI46" i="5" s="1"/>
  <c r="BL46" i="5"/>
  <c r="CG46" i="5" s="1"/>
  <c r="AA46" i="5"/>
  <c r="AX186" i="12"/>
  <c r="BC186" i="12"/>
  <c r="BK46" i="5" l="1"/>
  <c r="CK46" i="5" s="1"/>
  <c r="AA186" i="12"/>
  <c r="AE187" i="12" s="1"/>
  <c r="BB187" i="12" s="1"/>
  <c r="BP46" i="5"/>
  <c r="CH46" i="5" s="1"/>
  <c r="AF47" i="5"/>
  <c r="AE47" i="5"/>
  <c r="AD47" i="5"/>
  <c r="W47" i="5"/>
  <c r="Y47" i="5"/>
  <c r="AC47" i="5"/>
  <c r="BH46" i="5"/>
  <c r="AH47" i="5"/>
  <c r="Z47" i="5"/>
  <c r="X47" i="5"/>
  <c r="AB47" i="5"/>
  <c r="AG47" i="5"/>
  <c r="BD47" i="5" l="1"/>
  <c r="BE47" i="5"/>
  <c r="BI47" i="5"/>
  <c r="BF47" i="5"/>
  <c r="BJ46" i="5"/>
  <c r="CJ46" i="5" s="1"/>
  <c r="AZ47" i="5"/>
  <c r="BG47" i="5"/>
  <c r="BA47" i="5"/>
  <c r="BB47" i="5"/>
  <c r="AF187" i="12"/>
  <c r="BD187" i="12" s="1"/>
  <c r="AC187" i="12"/>
  <c r="AZ187" i="12" s="1"/>
  <c r="AH187" i="12"/>
  <c r="BF187" i="12" s="1"/>
  <c r="AG187" i="12"/>
  <c r="BE187" i="12" s="1"/>
  <c r="AB187" i="12"/>
  <c r="BH186" i="12"/>
  <c r="BJ186" i="12" s="1"/>
  <c r="W187" i="12"/>
  <c r="BR187" i="12" s="1"/>
  <c r="AD187" i="12"/>
  <c r="BA187" i="12" s="1"/>
  <c r="BO47" i="5"/>
  <c r="BM47" i="5"/>
  <c r="CI47" i="5" s="1"/>
  <c r="BN47" i="5"/>
  <c r="AA47" i="5"/>
  <c r="BL47" i="5"/>
  <c r="CG47" i="5" s="1"/>
  <c r="BR47" i="5"/>
  <c r="CF47" i="5" s="1"/>
  <c r="BQ47" i="5"/>
  <c r="BC47" i="5"/>
  <c r="AX47" i="5"/>
  <c r="BL187" i="12" l="1"/>
  <c r="BN187" i="12"/>
  <c r="Y187" i="12"/>
  <c r="BG187" i="12" s="1"/>
  <c r="BK187" i="12" s="1"/>
  <c r="BM187" i="12"/>
  <c r="BK47" i="5"/>
  <c r="CK47" i="5" s="1"/>
  <c r="BQ187" i="12"/>
  <c r="X187" i="12"/>
  <c r="AX187" i="12" s="1"/>
  <c r="BO187" i="12"/>
  <c r="BP187" i="12" s="1"/>
  <c r="Z187" i="12"/>
  <c r="BI187" i="12" s="1"/>
  <c r="AD48" i="5"/>
  <c r="BH47" i="5"/>
  <c r="AC48" i="5"/>
  <c r="AB48" i="5"/>
  <c r="AH48" i="5"/>
  <c r="AF48" i="5"/>
  <c r="AG48" i="5"/>
  <c r="AE48" i="5"/>
  <c r="Z48" i="5"/>
  <c r="Y48" i="5"/>
  <c r="X48" i="5"/>
  <c r="W48" i="5"/>
  <c r="BP47" i="5"/>
  <c r="CH47" i="5" s="1"/>
  <c r="BB48" i="5" l="1"/>
  <c r="BD48" i="5"/>
  <c r="BE48" i="5"/>
  <c r="BF48" i="5"/>
  <c r="AZ48" i="5"/>
  <c r="BJ47" i="5"/>
  <c r="CJ47" i="5" s="1"/>
  <c r="BA48" i="5"/>
  <c r="BG48" i="5"/>
  <c r="BI48" i="5"/>
  <c r="AA187" i="12"/>
  <c r="AG188" i="12" s="1"/>
  <c r="BE188" i="12" s="1"/>
  <c r="BC187" i="12"/>
  <c r="AX48" i="5"/>
  <c r="BC48" i="5"/>
  <c r="BQ48" i="5"/>
  <c r="BL48" i="5"/>
  <c r="CG48" i="5" s="1"/>
  <c r="BM48" i="5"/>
  <c r="CI48" i="5" s="1"/>
  <c r="BO48" i="5"/>
  <c r="BN48" i="5"/>
  <c r="BR48" i="5"/>
  <c r="CF48" i="5" s="1"/>
  <c r="AA48" i="5"/>
  <c r="W188" i="12" l="1"/>
  <c r="BH187" i="12"/>
  <c r="BJ187" i="12" s="1"/>
  <c r="AH188" i="12"/>
  <c r="BF188" i="12" s="1"/>
  <c r="AC188" i="12"/>
  <c r="AZ188" i="12" s="1"/>
  <c r="AF188" i="12"/>
  <c r="BD188" i="12" s="1"/>
  <c r="AE188" i="12"/>
  <c r="BB188" i="12" s="1"/>
  <c r="AB188" i="12"/>
  <c r="BK48" i="5"/>
  <c r="CK48" i="5" s="1"/>
  <c r="AD188" i="12"/>
  <c r="BA188" i="12" s="1"/>
  <c r="BP48" i="5"/>
  <c r="CH48" i="5" s="1"/>
  <c r="Y49" i="5"/>
  <c r="BG49" i="5" s="1"/>
  <c r="BK49" i="5" s="1"/>
  <c r="AD49" i="5"/>
  <c r="BA49" i="5" s="1"/>
  <c r="W49" i="5"/>
  <c r="AF49" i="5"/>
  <c r="BD49" i="5" s="1"/>
  <c r="AG49" i="5"/>
  <c r="BE49" i="5" s="1"/>
  <c r="AB49" i="5"/>
  <c r="BH48" i="5"/>
  <c r="AH49" i="5"/>
  <c r="BF49" i="5" s="1"/>
  <c r="AE49" i="5"/>
  <c r="BB49" i="5" s="1"/>
  <c r="Z49" i="5"/>
  <c r="BI49" i="5" s="1"/>
  <c r="AC49" i="5"/>
  <c r="AZ49" i="5" s="1"/>
  <c r="X49" i="5"/>
  <c r="BR188" i="12"/>
  <c r="Z188" i="12"/>
  <c r="BI188" i="12" s="1"/>
  <c r="Y188" i="12"/>
  <c r="BG188" i="12" s="1"/>
  <c r="BK188" i="12" s="1"/>
  <c r="BL188" i="12"/>
  <c r="BN188" i="12"/>
  <c r="BO188" i="12"/>
  <c r="BM188" i="12"/>
  <c r="BQ188" i="12"/>
  <c r="X188" i="12"/>
  <c r="CK49" i="5" l="1"/>
  <c r="BJ48" i="5"/>
  <c r="CJ48" i="5" s="1"/>
  <c r="BN49" i="5"/>
  <c r="BQ49" i="5"/>
  <c r="BM49" i="5"/>
  <c r="CI49" i="5" s="1"/>
  <c r="BO49" i="5"/>
  <c r="AA49" i="5"/>
  <c r="BR49" i="5"/>
  <c r="CF49" i="5" s="1"/>
  <c r="BL49" i="5"/>
  <c r="CG49" i="5" s="1"/>
  <c r="AX49" i="5"/>
  <c r="BC49" i="5"/>
  <c r="AX188" i="12"/>
  <c r="BC188" i="12"/>
  <c r="AA188" i="12"/>
  <c r="BP188" i="12"/>
  <c r="BP49" i="5" l="1"/>
  <c r="CH49" i="5" s="1"/>
  <c r="W50" i="5"/>
  <c r="BH49" i="5"/>
  <c r="BJ49" i="5" s="1"/>
  <c r="CJ49" i="5" s="1"/>
  <c r="AB50" i="5"/>
  <c r="AD50" i="5"/>
  <c r="BA50" i="5" s="1"/>
  <c r="X50" i="5"/>
  <c r="AG50" i="5"/>
  <c r="BE50" i="5" s="1"/>
  <c r="AE50" i="5"/>
  <c r="BB50" i="5" s="1"/>
  <c r="AC50" i="5"/>
  <c r="AZ50" i="5" s="1"/>
  <c r="AH50" i="5"/>
  <c r="BF50" i="5" s="1"/>
  <c r="Z50" i="5"/>
  <c r="BI50" i="5" s="1"/>
  <c r="AF50" i="5"/>
  <c r="BD50" i="5" s="1"/>
  <c r="Y50" i="5"/>
  <c r="BG50" i="5" s="1"/>
  <c r="BK50" i="5" s="1"/>
  <c r="CK50" i="5" s="1"/>
  <c r="W189" i="12"/>
  <c r="BH188" i="12"/>
  <c r="BJ188" i="12" s="1"/>
  <c r="AG189" i="12"/>
  <c r="BE189" i="12" s="1"/>
  <c r="AC189" i="12"/>
  <c r="AZ189" i="12" s="1"/>
  <c r="AF189" i="12"/>
  <c r="BD189" i="12" s="1"/>
  <c r="AB189" i="12"/>
  <c r="AE189" i="12"/>
  <c r="BB189" i="12" s="1"/>
  <c r="AH189" i="12"/>
  <c r="BF189" i="12" s="1"/>
  <c r="AD189" i="12"/>
  <c r="BA189" i="12" s="1"/>
  <c r="AX50" i="5" l="1"/>
  <c r="BC50" i="5"/>
  <c r="AA50" i="5"/>
  <c r="BL50" i="5"/>
  <c r="CG50" i="5" s="1"/>
  <c r="BQ50" i="5"/>
  <c r="BN50" i="5"/>
  <c r="BO50" i="5"/>
  <c r="BM50" i="5"/>
  <c r="CI50" i="5" s="1"/>
  <c r="BR50" i="5"/>
  <c r="CF50" i="5" s="1"/>
  <c r="BR189" i="12"/>
  <c r="BN189" i="12"/>
  <c r="BO189" i="12"/>
  <c r="Z189" i="12"/>
  <c r="BI189" i="12" s="1"/>
  <c r="BL189" i="12"/>
  <c r="BM189" i="12"/>
  <c r="BQ189" i="12"/>
  <c r="Y189" i="12"/>
  <c r="BG189" i="12" s="1"/>
  <c r="BK189" i="12" s="1"/>
  <c r="X189" i="12"/>
  <c r="AC51" i="5" l="1"/>
  <c r="AZ51" i="5" s="1"/>
  <c r="X51" i="5"/>
  <c r="BH50" i="5"/>
  <c r="BJ50" i="5" s="1"/>
  <c r="CJ50" i="5" s="1"/>
  <c r="W51" i="5"/>
  <c r="AE51" i="5"/>
  <c r="BB51" i="5" s="1"/>
  <c r="AG51" i="5"/>
  <c r="BE51" i="5" s="1"/>
  <c r="AH51" i="5"/>
  <c r="BF51" i="5" s="1"/>
  <c r="AD51" i="5"/>
  <c r="BA51" i="5" s="1"/>
  <c r="Z51" i="5"/>
  <c r="BI51" i="5" s="1"/>
  <c r="AB51" i="5"/>
  <c r="AF51" i="5"/>
  <c r="BD51" i="5" s="1"/>
  <c r="Y51" i="5"/>
  <c r="BG51" i="5" s="1"/>
  <c r="BK51" i="5" s="1"/>
  <c r="CK51" i="5" s="1"/>
  <c r="BP50" i="5"/>
  <c r="CH50" i="5" s="1"/>
  <c r="AX189" i="12"/>
  <c r="BC189" i="12"/>
  <c r="BP189" i="12"/>
  <c r="AA189" i="12"/>
  <c r="BC51" i="5" l="1"/>
  <c r="AX51" i="5"/>
  <c r="AA51" i="5"/>
  <c r="BL51" i="5"/>
  <c r="CG51" i="5" s="1"/>
  <c r="BR51" i="5"/>
  <c r="CF51" i="5" s="1"/>
  <c r="BM51" i="5"/>
  <c r="CI51" i="5" s="1"/>
  <c r="BO51" i="5"/>
  <c r="BN51" i="5"/>
  <c r="BQ51" i="5"/>
  <c r="W190" i="12"/>
  <c r="BH189" i="12"/>
  <c r="BJ189" i="12" s="1"/>
  <c r="AF190" i="12"/>
  <c r="BD190" i="12" s="1"/>
  <c r="AC190" i="12"/>
  <c r="AZ190" i="12" s="1"/>
  <c r="AG190" i="12"/>
  <c r="BE190" i="12" s="1"/>
  <c r="AE190" i="12"/>
  <c r="BB190" i="12" s="1"/>
  <c r="AB190" i="12"/>
  <c r="AH190" i="12"/>
  <c r="BF190" i="12" s="1"/>
  <c r="AD190" i="12"/>
  <c r="BA190" i="12" s="1"/>
  <c r="BP51" i="5" l="1"/>
  <c r="CH51" i="5" s="1"/>
  <c r="AB52" i="5"/>
  <c r="AF52" i="5"/>
  <c r="BD52" i="5" s="1"/>
  <c r="AG52" i="5"/>
  <c r="BE52" i="5" s="1"/>
  <c r="AE52" i="5"/>
  <c r="BB52" i="5" s="1"/>
  <c r="Z52" i="5"/>
  <c r="BI52" i="5" s="1"/>
  <c r="X52" i="5"/>
  <c r="BH51" i="5"/>
  <c r="BJ51" i="5" s="1"/>
  <c r="CJ51" i="5" s="1"/>
  <c r="W52" i="5"/>
  <c r="AH52" i="5"/>
  <c r="BF52" i="5" s="1"/>
  <c r="AC52" i="5"/>
  <c r="AZ52" i="5" s="1"/>
  <c r="Y52" i="5"/>
  <c r="BG52" i="5" s="1"/>
  <c r="BK52" i="5" s="1"/>
  <c r="CK52" i="5" s="1"/>
  <c r="AD52" i="5"/>
  <c r="BA52" i="5" s="1"/>
  <c r="BM190" i="12"/>
  <c r="BN190" i="12"/>
  <c r="BL190" i="12"/>
  <c r="BR190" i="12"/>
  <c r="Y190" i="12"/>
  <c r="BG190" i="12" s="1"/>
  <c r="BK190" i="12" s="1"/>
  <c r="Z190" i="12"/>
  <c r="BI190" i="12" s="1"/>
  <c r="BQ190" i="12"/>
  <c r="BO190" i="12"/>
  <c r="X190" i="12"/>
  <c r="AX52" i="5" l="1"/>
  <c r="BC52" i="5"/>
  <c r="AA52" i="5"/>
  <c r="BM52" i="5"/>
  <c r="CI52" i="5" s="1"/>
  <c r="BR52" i="5"/>
  <c r="CF52" i="5" s="1"/>
  <c r="BL52" i="5"/>
  <c r="CG52" i="5" s="1"/>
  <c r="BN52" i="5"/>
  <c r="BQ52" i="5"/>
  <c r="BO52" i="5"/>
  <c r="AX190" i="12"/>
  <c r="BC190" i="12"/>
  <c r="AA190" i="12"/>
  <c r="BP190" i="12"/>
  <c r="W53" i="5" l="1"/>
  <c r="AD53" i="5"/>
  <c r="BA53" i="5" s="1"/>
  <c r="X53" i="5"/>
  <c r="BH52" i="5"/>
  <c r="BJ52" i="5" s="1"/>
  <c r="CJ52" i="5" s="1"/>
  <c r="AC53" i="5"/>
  <c r="AZ53" i="5" s="1"/>
  <c r="AB53" i="5"/>
  <c r="Y53" i="5"/>
  <c r="BG53" i="5" s="1"/>
  <c r="BK53" i="5" s="1"/>
  <c r="CK53" i="5" s="1"/>
  <c r="AF53" i="5"/>
  <c r="BD53" i="5" s="1"/>
  <c r="Z53" i="5"/>
  <c r="BI53" i="5" s="1"/>
  <c r="AE53" i="5"/>
  <c r="BB53" i="5" s="1"/>
  <c r="AH53" i="5"/>
  <c r="BF53" i="5" s="1"/>
  <c r="AG53" i="5"/>
  <c r="BE53" i="5" s="1"/>
  <c r="BP52" i="5"/>
  <c r="CH52" i="5" s="1"/>
  <c r="W191" i="12"/>
  <c r="BH190" i="12"/>
  <c r="BJ190" i="12" s="1"/>
  <c r="AB191" i="12"/>
  <c r="AD191" i="12"/>
  <c r="BA191" i="12" s="1"/>
  <c r="AH191" i="12"/>
  <c r="BF191" i="12" s="1"/>
  <c r="AG191" i="12"/>
  <c r="BE191" i="12" s="1"/>
  <c r="AE191" i="12"/>
  <c r="BB191" i="12" s="1"/>
  <c r="AC191" i="12"/>
  <c r="AZ191" i="12" s="1"/>
  <c r="AF191" i="12"/>
  <c r="BD191" i="12" s="1"/>
  <c r="BO53" i="5" l="1"/>
  <c r="BM53" i="5"/>
  <c r="CI53" i="5" s="1"/>
  <c r="AA53" i="5"/>
  <c r="BR53" i="5"/>
  <c r="CF53" i="5" s="1"/>
  <c r="BL53" i="5"/>
  <c r="CG53" i="5" s="1"/>
  <c r="BN53" i="5"/>
  <c r="BQ53" i="5"/>
  <c r="BC53" i="5"/>
  <c r="AX53" i="5"/>
  <c r="Y191" i="12"/>
  <c r="BG191" i="12" s="1"/>
  <c r="BK191" i="12" s="1"/>
  <c r="BN191" i="12"/>
  <c r="BM191" i="12"/>
  <c r="BL191" i="12"/>
  <c r="BR191" i="12"/>
  <c r="BO191" i="12"/>
  <c r="Z191" i="12"/>
  <c r="BI191" i="12" s="1"/>
  <c r="BQ191" i="12"/>
  <c r="X191" i="12"/>
  <c r="BP53" i="5" l="1"/>
  <c r="CH53" i="5" s="1"/>
  <c r="Z54" i="5"/>
  <c r="BI54" i="5" s="1"/>
  <c r="AC54" i="5"/>
  <c r="AZ54" i="5" s="1"/>
  <c r="AE54" i="5"/>
  <c r="BB54" i="5" s="1"/>
  <c r="AB54" i="5"/>
  <c r="AD54" i="5"/>
  <c r="BA54" i="5" s="1"/>
  <c r="AG54" i="5"/>
  <c r="BE54" i="5" s="1"/>
  <c r="BH53" i="5"/>
  <c r="BJ53" i="5" s="1"/>
  <c r="CJ53" i="5" s="1"/>
  <c r="W54" i="5"/>
  <c r="AH54" i="5"/>
  <c r="BF54" i="5" s="1"/>
  <c r="AF54" i="5"/>
  <c r="BD54" i="5" s="1"/>
  <c r="X54" i="5"/>
  <c r="Y54" i="5"/>
  <c r="BG54" i="5" s="1"/>
  <c r="BK54" i="5" s="1"/>
  <c r="BC191" i="12"/>
  <c r="AX191" i="12"/>
  <c r="AA191" i="12"/>
  <c r="BP191" i="12"/>
  <c r="CK54" i="5" l="1"/>
  <c r="AX54" i="5"/>
  <c r="BC54" i="5"/>
  <c r="BQ54" i="5"/>
  <c r="BO54" i="5"/>
  <c r="AA54" i="5"/>
  <c r="BL54" i="5"/>
  <c r="CG54" i="5" s="1"/>
  <c r="BN54" i="5"/>
  <c r="BM54" i="5"/>
  <c r="CI54" i="5" s="1"/>
  <c r="BR54" i="5"/>
  <c r="CF54" i="5" s="1"/>
  <c r="W192" i="12"/>
  <c r="B211" i="21" s="1" a="1"/>
  <c r="BH191" i="12"/>
  <c r="BJ191" i="12" s="1"/>
  <c r="AF192" i="12"/>
  <c r="BD192" i="12" s="1"/>
  <c r="AC192" i="12"/>
  <c r="AZ192" i="12" s="1"/>
  <c r="AH192" i="12"/>
  <c r="BF192" i="12" s="1"/>
  <c r="AD192" i="12"/>
  <c r="BA192" i="12" s="1"/>
  <c r="AE192" i="12"/>
  <c r="BB192" i="12" s="1"/>
  <c r="AB192" i="12"/>
  <c r="AG192" i="12"/>
  <c r="BE192" i="12" s="1"/>
  <c r="BP54" i="5" l="1"/>
  <c r="CH54" i="5" s="1"/>
  <c r="AC55" i="5"/>
  <c r="AZ55" i="5" s="1"/>
  <c r="BH54" i="5"/>
  <c r="BJ54" i="5" s="1"/>
  <c r="CJ54" i="5" s="1"/>
  <c r="Y55" i="5"/>
  <c r="BG55" i="5" s="1"/>
  <c r="BK55" i="5" s="1"/>
  <c r="W55" i="5"/>
  <c r="Z55" i="5"/>
  <c r="BI55" i="5" s="1"/>
  <c r="AH55" i="5"/>
  <c r="BF55" i="5" s="1"/>
  <c r="AF55" i="5"/>
  <c r="BD55" i="5" s="1"/>
  <c r="AE55" i="5"/>
  <c r="BB55" i="5" s="1"/>
  <c r="X55" i="5"/>
  <c r="AD55" i="5"/>
  <c r="BA55" i="5" s="1"/>
  <c r="AG55" i="5"/>
  <c r="BE55" i="5" s="1"/>
  <c r="AB55" i="5"/>
  <c r="B211" i="21"/>
  <c r="B250" i="21" s="1"/>
  <c r="O211" i="21"/>
  <c r="O250" i="21" s="1"/>
  <c r="AB211" i="21"/>
  <c r="AB250" i="21" s="1"/>
  <c r="AO211" i="21"/>
  <c r="AO250" i="21" s="1"/>
  <c r="BB211" i="21"/>
  <c r="BB250" i="21" s="1"/>
  <c r="BO211" i="21"/>
  <c r="BO250" i="21" s="1"/>
  <c r="CB211" i="21"/>
  <c r="CB250" i="21" s="1"/>
  <c r="CO211" i="21"/>
  <c r="CO250" i="21" s="1"/>
  <c r="DB211" i="21"/>
  <c r="DB250" i="21" s="1"/>
  <c r="DO211" i="21"/>
  <c r="DO250" i="21" s="1"/>
  <c r="EB211" i="21"/>
  <c r="EB250" i="21" s="1"/>
  <c r="EO211" i="21"/>
  <c r="EO250" i="21" s="1"/>
  <c r="FC211" i="21"/>
  <c r="FC250" i="21" s="1"/>
  <c r="FP211" i="21"/>
  <c r="FP250" i="21" s="1"/>
  <c r="C211" i="21"/>
  <c r="C250" i="21" s="1"/>
  <c r="Q211" i="21"/>
  <c r="Q250" i="21" s="1"/>
  <c r="AE211" i="21"/>
  <c r="AE250" i="21" s="1"/>
  <c r="AS211" i="21"/>
  <c r="AS250" i="21" s="1"/>
  <c r="BG211" i="21"/>
  <c r="BG250" i="21" s="1"/>
  <c r="BU211" i="21"/>
  <c r="BU250" i="21" s="1"/>
  <c r="CJ211" i="21"/>
  <c r="CJ250" i="21" s="1"/>
  <c r="CX211" i="21"/>
  <c r="CX250" i="21" s="1"/>
  <c r="DL211" i="21"/>
  <c r="DL250" i="21" s="1"/>
  <c r="DZ211" i="21"/>
  <c r="DZ250" i="21" s="1"/>
  <c r="EN211" i="21"/>
  <c r="EN250" i="21" s="1"/>
  <c r="FD211" i="21"/>
  <c r="FD250" i="21" s="1"/>
  <c r="FR211" i="21"/>
  <c r="FR250" i="21" s="1"/>
  <c r="D211" i="21"/>
  <c r="D250" i="21" s="1"/>
  <c r="R211" i="21"/>
  <c r="R250" i="21" s="1"/>
  <c r="AF211" i="21"/>
  <c r="AF250" i="21" s="1"/>
  <c r="AT211" i="21"/>
  <c r="AT250" i="21" s="1"/>
  <c r="BH211" i="21"/>
  <c r="BH250" i="21" s="1"/>
  <c r="BW211" i="21"/>
  <c r="BW250" i="21" s="1"/>
  <c r="CK211" i="21"/>
  <c r="CK250" i="21" s="1"/>
  <c r="CY211" i="21"/>
  <c r="CY250" i="21" s="1"/>
  <c r="DM211" i="21"/>
  <c r="DM250" i="21" s="1"/>
  <c r="EA211" i="21"/>
  <c r="EA250" i="21" s="1"/>
  <c r="EQ211" i="21"/>
  <c r="EQ250" i="21" s="1"/>
  <c r="FE211" i="21"/>
  <c r="FE250" i="21" s="1"/>
  <c r="FS211" i="21"/>
  <c r="FS250" i="21" s="1"/>
  <c r="E211" i="21"/>
  <c r="E250" i="21" s="1"/>
  <c r="S211" i="21"/>
  <c r="S250" i="21" s="1"/>
  <c r="AG211" i="21"/>
  <c r="AG250" i="21" s="1"/>
  <c r="AU211" i="21"/>
  <c r="AU250" i="21" s="1"/>
  <c r="BI211" i="21"/>
  <c r="BI250" i="21" s="1"/>
  <c r="BX211" i="21"/>
  <c r="BX250" i="21" s="1"/>
  <c r="CL211" i="21"/>
  <c r="CL250" i="21" s="1"/>
  <c r="CZ211" i="21"/>
  <c r="CZ250" i="21" s="1"/>
  <c r="DN211" i="21"/>
  <c r="DN250" i="21" s="1"/>
  <c r="EC211" i="21"/>
  <c r="EC250" i="21" s="1"/>
  <c r="ER211" i="21"/>
  <c r="ER250" i="21" s="1"/>
  <c r="FF211" i="21"/>
  <c r="FF250" i="21" s="1"/>
  <c r="FT211" i="21"/>
  <c r="FT250" i="21" s="1"/>
  <c r="H211" i="21"/>
  <c r="H250" i="21" s="1"/>
  <c r="Y211" i="21"/>
  <c r="Y250" i="21" s="1"/>
  <c r="AR211" i="21"/>
  <c r="AR250" i="21" s="1"/>
  <c r="BM211" i="21"/>
  <c r="BM250" i="21" s="1"/>
  <c r="CE211" i="21"/>
  <c r="CE250" i="21" s="1"/>
  <c r="CW211" i="21"/>
  <c r="CW250" i="21" s="1"/>
  <c r="DS211" i="21"/>
  <c r="DS250" i="21" s="1"/>
  <c r="EJ211" i="21"/>
  <c r="EJ250" i="21" s="1"/>
  <c r="FA211" i="21"/>
  <c r="FA250" i="21" s="1"/>
  <c r="FW211" i="21"/>
  <c r="FW250" i="21" s="1"/>
  <c r="K211" i="21"/>
  <c r="K250" i="21" s="1"/>
  <c r="BQ211" i="21"/>
  <c r="BQ250" i="21" s="1"/>
  <c r="DV211" i="21"/>
  <c r="DV250" i="21" s="1"/>
  <c r="I211" i="21"/>
  <c r="I250" i="21" s="1"/>
  <c r="AA211" i="21"/>
  <c r="AA250" i="21" s="1"/>
  <c r="AV211" i="21"/>
  <c r="AV250" i="21" s="1"/>
  <c r="BN211" i="21"/>
  <c r="BN250" i="21" s="1"/>
  <c r="CF211" i="21"/>
  <c r="CF250" i="21" s="1"/>
  <c r="DA211" i="21"/>
  <c r="DA250" i="21" s="1"/>
  <c r="DT211" i="21"/>
  <c r="DT250" i="21" s="1"/>
  <c r="EK211" i="21"/>
  <c r="EK250" i="21" s="1"/>
  <c r="FG211" i="21"/>
  <c r="FG250" i="21" s="1"/>
  <c r="FX211" i="21"/>
  <c r="FX250" i="21" s="1"/>
  <c r="J211" i="21"/>
  <c r="J250" i="21" s="1"/>
  <c r="AC211" i="21"/>
  <c r="AC250" i="21" s="1"/>
  <c r="AW211" i="21"/>
  <c r="AW250" i="21" s="1"/>
  <c r="BP211" i="21"/>
  <c r="BP250" i="21" s="1"/>
  <c r="CG211" i="21"/>
  <c r="CG250" i="21" s="1"/>
  <c r="DC211" i="21"/>
  <c r="DC250" i="21" s="1"/>
  <c r="DU211" i="21"/>
  <c r="DU250" i="21" s="1"/>
  <c r="EL211" i="21"/>
  <c r="EL250" i="21" s="1"/>
  <c r="FH211" i="21"/>
  <c r="FH250" i="21" s="1"/>
  <c r="FY211" i="21"/>
  <c r="FY250" i="21" s="1"/>
  <c r="AD211" i="21"/>
  <c r="AD250" i="21" s="1"/>
  <c r="AY211" i="21"/>
  <c r="AY250" i="21" s="1"/>
  <c r="CI211" i="21"/>
  <c r="CI250" i="21" s="1"/>
  <c r="DD211" i="21"/>
  <c r="DD250" i="21" s="1"/>
  <c r="EM211" i="21"/>
  <c r="EM250" i="21" s="1"/>
  <c r="FI211" i="21"/>
  <c r="FI250" i="21" s="1"/>
  <c r="G211" i="21"/>
  <c r="G250" i="21" s="1"/>
  <c r="AK211" i="21"/>
  <c r="AK250" i="21" s="1"/>
  <c r="BL211" i="21"/>
  <c r="BL250" i="21" s="1"/>
  <c r="CQ211" i="21"/>
  <c r="CQ250" i="21" s="1"/>
  <c r="DQ211" i="21"/>
  <c r="DQ250" i="21" s="1"/>
  <c r="EV211" i="21"/>
  <c r="EV250" i="21" s="1"/>
  <c r="FV211" i="21"/>
  <c r="FV250" i="21" s="1"/>
  <c r="U211" i="21"/>
  <c r="U250" i="21" s="1"/>
  <c r="BA211" i="21"/>
  <c r="BA250" i="21" s="1"/>
  <c r="CC211" i="21"/>
  <c r="CC250" i="21" s="1"/>
  <c r="DI211" i="21"/>
  <c r="DI250" i="21" s="1"/>
  <c r="ES211" i="21"/>
  <c r="ES250" i="21" s="1"/>
  <c r="FQ211" i="21"/>
  <c r="FQ250" i="21" s="1"/>
  <c r="V211" i="21"/>
  <c r="V250" i="21" s="1"/>
  <c r="BC211" i="21"/>
  <c r="BC250" i="21" s="1"/>
  <c r="CD211" i="21"/>
  <c r="CD250" i="21" s="1"/>
  <c r="DJ211" i="21"/>
  <c r="DJ250" i="21" s="1"/>
  <c r="ET211" i="21"/>
  <c r="ET250" i="21" s="1"/>
  <c r="FU211" i="21"/>
  <c r="FU250" i="21" s="1"/>
  <c r="W211" i="21"/>
  <c r="W250" i="21" s="1"/>
  <c r="BD211" i="21"/>
  <c r="BD250" i="21" s="1"/>
  <c r="CM211" i="21"/>
  <c r="CM250" i="21" s="1"/>
  <c r="DK211" i="21"/>
  <c r="DK250" i="21" s="1"/>
  <c r="EU211" i="21"/>
  <c r="EU250" i="21" s="1"/>
  <c r="AI211" i="21"/>
  <c r="AI250" i="21" s="1"/>
  <c r="BK211" i="21"/>
  <c r="BK250" i="21" s="1"/>
  <c r="CR211" i="21"/>
  <c r="CR250" i="21" s="1"/>
  <c r="DX211" i="21"/>
  <c r="DX250" i="21" s="1"/>
  <c r="EY211" i="21"/>
  <c r="EY250" i="21" s="1"/>
  <c r="AQ211" i="21"/>
  <c r="AQ250" i="21" s="1"/>
  <c r="CS211" i="21"/>
  <c r="CS250" i="21" s="1"/>
  <c r="EH211" i="21"/>
  <c r="EH250" i="21" s="1"/>
  <c r="F211" i="21"/>
  <c r="F250" i="21" s="1"/>
  <c r="AZ211" i="21"/>
  <c r="AZ250" i="21" s="1"/>
  <c r="CU211" i="21"/>
  <c r="CU250" i="21" s="1"/>
  <c r="EI211" i="21"/>
  <c r="EI250" i="21" s="1"/>
  <c r="L211" i="21"/>
  <c r="L250" i="21" s="1"/>
  <c r="BE211" i="21"/>
  <c r="BE250" i="21" s="1"/>
  <c r="CV211" i="21"/>
  <c r="CV250" i="21" s="1"/>
  <c r="EW211" i="21"/>
  <c r="EW250" i="21" s="1"/>
  <c r="M211" i="21"/>
  <c r="M250" i="21" s="1"/>
  <c r="BF211" i="21"/>
  <c r="BF250" i="21" s="1"/>
  <c r="DE211" i="21"/>
  <c r="DE250" i="21" s="1"/>
  <c r="EX211" i="21"/>
  <c r="EX250" i="21" s="1"/>
  <c r="P211" i="21"/>
  <c r="P250" i="21" s="1"/>
  <c r="BR211" i="21"/>
  <c r="BR250" i="21" s="1"/>
  <c r="DG211" i="21"/>
  <c r="DG250" i="21" s="1"/>
  <c r="EZ211" i="21"/>
  <c r="EZ250" i="21" s="1"/>
  <c r="AM211" i="21"/>
  <c r="AM250" i="21" s="1"/>
  <c r="CA211" i="21"/>
  <c r="CA250" i="21" s="1"/>
  <c r="EE211" i="21"/>
  <c r="EE250" i="21" s="1"/>
  <c r="FO211" i="21"/>
  <c r="FO250" i="21" s="1"/>
  <c r="T211" i="21"/>
  <c r="T250" i="21" s="1"/>
  <c r="BS211" i="21"/>
  <c r="BS250" i="21" s="1"/>
  <c r="DH211" i="21"/>
  <c r="DH250" i="21" s="1"/>
  <c r="FJ211" i="21"/>
  <c r="FJ250" i="21" s="1"/>
  <c r="X211" i="21"/>
  <c r="X250" i="21" s="1"/>
  <c r="BT211" i="21"/>
  <c r="BT250" i="21" s="1"/>
  <c r="DP211" i="21"/>
  <c r="DP250" i="21" s="1"/>
  <c r="FK211" i="21"/>
  <c r="FK250" i="21" s="1"/>
  <c r="AH211" i="21"/>
  <c r="AH250" i="21" s="1"/>
  <c r="BY211" i="21"/>
  <c r="BY250" i="21" s="1"/>
  <c r="DW211" i="21"/>
  <c r="DW250" i="21" s="1"/>
  <c r="FL211" i="21"/>
  <c r="FL250" i="21" s="1"/>
  <c r="AJ211" i="21"/>
  <c r="AJ250" i="21" s="1"/>
  <c r="BZ211" i="21"/>
  <c r="BZ250" i="21" s="1"/>
  <c r="DY211" i="21"/>
  <c r="DY250" i="21" s="1"/>
  <c r="FM211" i="21"/>
  <c r="FM250" i="21" s="1"/>
  <c r="EF211" i="21"/>
  <c r="EF250" i="21" s="1"/>
  <c r="EG211" i="21"/>
  <c r="EG250" i="21" s="1"/>
  <c r="AP211" i="21"/>
  <c r="AP250" i="21" s="1"/>
  <c r="CN211" i="21"/>
  <c r="CN250" i="21" s="1"/>
  <c r="CP211" i="21"/>
  <c r="CP250" i="21" s="1"/>
  <c r="AN211" i="21"/>
  <c r="AN250" i="21" s="1"/>
  <c r="CH211" i="21"/>
  <c r="CH250" i="21" s="1"/>
  <c r="BV211" i="21"/>
  <c r="BV250" i="21" s="1"/>
  <c r="BJ211" i="21"/>
  <c r="BJ250" i="21" s="1"/>
  <c r="FN211" i="21"/>
  <c r="FN250" i="21" s="1"/>
  <c r="Z211" i="21"/>
  <c r="Z250" i="21" s="1"/>
  <c r="EP211" i="21"/>
  <c r="EP250" i="21" s="1"/>
  <c r="AX211" i="21"/>
  <c r="AX250" i="21" s="1"/>
  <c r="AL211" i="21"/>
  <c r="AL250" i="21" s="1"/>
  <c r="N211" i="21"/>
  <c r="N250" i="21" s="1"/>
  <c r="DR211" i="21"/>
  <c r="DR250" i="21" s="1"/>
  <c r="DF211" i="21"/>
  <c r="DF250" i="21" s="1"/>
  <c r="CT211" i="21"/>
  <c r="CT250" i="21" s="1"/>
  <c r="FB211" i="21"/>
  <c r="FB250" i="21" s="1"/>
  <c r="ED211" i="21"/>
  <c r="ED250" i="21" s="1"/>
  <c r="BL192" i="12"/>
  <c r="B45" i="21" s="1" a="1"/>
  <c r="BN192" i="12"/>
  <c r="BM192" i="12"/>
  <c r="BQ192" i="12"/>
  <c r="BZ192" i="12" s="1"/>
  <c r="BZ191" i="12" s="1"/>
  <c r="BZ190" i="12" s="1"/>
  <c r="BZ189" i="12" s="1"/>
  <c r="BZ188" i="12" s="1"/>
  <c r="BZ187" i="12" s="1"/>
  <c r="BZ186" i="12" s="1"/>
  <c r="BZ185" i="12" s="1"/>
  <c r="BZ184" i="12" s="1"/>
  <c r="BZ183" i="12" s="1"/>
  <c r="BZ182" i="12" s="1"/>
  <c r="BZ181" i="12" s="1"/>
  <c r="BZ180" i="12" s="1"/>
  <c r="BZ179" i="12" s="1"/>
  <c r="BZ178" i="12" s="1"/>
  <c r="BZ177" i="12" s="1"/>
  <c r="BZ176" i="12" s="1"/>
  <c r="BZ175" i="12" s="1"/>
  <c r="BZ174" i="12" s="1"/>
  <c r="BZ173" i="12" s="1"/>
  <c r="BZ172" i="12" s="1"/>
  <c r="BZ171" i="12" s="1"/>
  <c r="BZ170" i="12" s="1"/>
  <c r="BZ169" i="12" s="1"/>
  <c r="BZ168" i="12" s="1"/>
  <c r="BZ167" i="12" s="1"/>
  <c r="BZ166" i="12" s="1"/>
  <c r="BZ165" i="12" s="1"/>
  <c r="BZ164" i="12" s="1"/>
  <c r="BZ163" i="12" s="1"/>
  <c r="BZ162" i="12" s="1"/>
  <c r="BZ161" i="12" s="1"/>
  <c r="BZ160" i="12" s="1"/>
  <c r="BZ159" i="12" s="1"/>
  <c r="BZ158" i="12" s="1"/>
  <c r="BZ157" i="12" s="1"/>
  <c r="BZ156" i="12" s="1"/>
  <c r="BZ155" i="12" s="1"/>
  <c r="BZ154" i="12" s="1"/>
  <c r="BZ153" i="12" s="1"/>
  <c r="BZ152" i="12" s="1"/>
  <c r="BZ151" i="12" s="1"/>
  <c r="BZ150" i="12" s="1"/>
  <c r="BZ149" i="12" s="1"/>
  <c r="BZ148" i="12" s="1"/>
  <c r="BZ147" i="12" s="1"/>
  <c r="BZ146" i="12" s="1"/>
  <c r="BZ145" i="12" s="1"/>
  <c r="BZ144" i="12" s="1"/>
  <c r="BZ143" i="12" s="1"/>
  <c r="BZ142" i="12" s="1"/>
  <c r="BZ141" i="12" s="1"/>
  <c r="BZ140" i="12" s="1"/>
  <c r="BZ139" i="12" s="1"/>
  <c r="BZ138" i="12" s="1"/>
  <c r="BZ137" i="12" s="1"/>
  <c r="BZ136" i="12" s="1"/>
  <c r="BZ135" i="12" s="1"/>
  <c r="BZ134" i="12" s="1"/>
  <c r="BZ133" i="12" s="1"/>
  <c r="BZ132" i="12" s="1"/>
  <c r="BZ131" i="12" s="1"/>
  <c r="BZ130" i="12" s="1"/>
  <c r="BZ129" i="12" s="1"/>
  <c r="BZ128" i="12" s="1"/>
  <c r="BZ127" i="12" s="1"/>
  <c r="BZ126" i="12" s="1"/>
  <c r="BZ125" i="12" s="1"/>
  <c r="BZ124" i="12" s="1"/>
  <c r="BZ123" i="12" s="1"/>
  <c r="BZ122" i="12" s="1"/>
  <c r="BZ121" i="12" s="1"/>
  <c r="BZ120" i="12" s="1"/>
  <c r="BZ119" i="12" s="1"/>
  <c r="BZ118" i="12" s="1"/>
  <c r="BZ117" i="12" s="1"/>
  <c r="BZ116" i="12" s="1"/>
  <c r="BZ115" i="12" s="1"/>
  <c r="BZ114" i="12" s="1"/>
  <c r="BZ113" i="12" s="1"/>
  <c r="BZ112" i="12" s="1"/>
  <c r="BZ111" i="12" s="1"/>
  <c r="BZ110" i="12" s="1"/>
  <c r="BZ109" i="12" s="1"/>
  <c r="BZ108" i="12" s="1"/>
  <c r="BZ107" i="12" s="1"/>
  <c r="BZ106" i="12" s="1"/>
  <c r="BZ105" i="12" s="1"/>
  <c r="BZ104" i="12" s="1"/>
  <c r="BZ103" i="12" s="1"/>
  <c r="BZ102" i="12" s="1"/>
  <c r="BZ101" i="12" s="1"/>
  <c r="BZ100" i="12" s="1"/>
  <c r="BZ99" i="12" s="1"/>
  <c r="BZ98" i="12" s="1"/>
  <c r="BZ97" i="12" s="1"/>
  <c r="BZ96" i="12" s="1"/>
  <c r="BZ95" i="12" s="1"/>
  <c r="BZ94" i="12" s="1"/>
  <c r="BZ93" i="12" s="1"/>
  <c r="BZ92" i="12" s="1"/>
  <c r="BZ91" i="12" s="1"/>
  <c r="BZ90" i="12" s="1"/>
  <c r="BZ89" i="12" s="1"/>
  <c r="BZ88" i="12" s="1"/>
  <c r="BZ87" i="12" s="1"/>
  <c r="BZ86" i="12" s="1"/>
  <c r="BZ85" i="12" s="1"/>
  <c r="BZ84" i="12" s="1"/>
  <c r="BZ83" i="12" s="1"/>
  <c r="BZ82" i="12" s="1"/>
  <c r="BZ81" i="12" s="1"/>
  <c r="BZ80" i="12" s="1"/>
  <c r="BZ79" i="12" s="1"/>
  <c r="BZ78" i="12" s="1"/>
  <c r="BZ77" i="12" s="1"/>
  <c r="BZ76" i="12" s="1"/>
  <c r="BZ75" i="12" s="1"/>
  <c r="BZ74" i="12" s="1"/>
  <c r="BZ73" i="12" s="1"/>
  <c r="BZ72" i="12" s="1"/>
  <c r="BZ71" i="12" s="1"/>
  <c r="BZ70" i="12" s="1"/>
  <c r="BZ69" i="12" s="1"/>
  <c r="BZ68" i="12" s="1"/>
  <c r="BZ67" i="12" s="1"/>
  <c r="BZ66" i="12" s="1"/>
  <c r="BZ65" i="12" s="1"/>
  <c r="BZ64" i="12" s="1"/>
  <c r="BZ63" i="12" s="1"/>
  <c r="BZ62" i="12" s="1"/>
  <c r="BZ61" i="12" s="1"/>
  <c r="BZ60" i="12" s="1"/>
  <c r="BZ59" i="12" s="1"/>
  <c r="BZ58" i="12" s="1"/>
  <c r="BZ57" i="12" s="1"/>
  <c r="BZ56" i="12" s="1"/>
  <c r="BZ55" i="12" s="1"/>
  <c r="BZ54" i="12" s="1"/>
  <c r="BZ53" i="12" s="1"/>
  <c r="BZ52" i="12" s="1"/>
  <c r="BZ51" i="12" s="1"/>
  <c r="BZ50" i="12" s="1"/>
  <c r="BZ49" i="12" s="1"/>
  <c r="BZ48" i="12" s="1"/>
  <c r="Y192" i="12"/>
  <c r="BG192" i="12" s="1"/>
  <c r="BK192" i="12" s="1"/>
  <c r="BO192" i="12"/>
  <c r="BX192" i="12" s="1"/>
  <c r="BX191" i="12" s="1"/>
  <c r="BX190" i="12" s="1"/>
  <c r="BX189" i="12" s="1"/>
  <c r="BX188" i="12" s="1"/>
  <c r="BX187" i="12" s="1"/>
  <c r="BX186" i="12" s="1"/>
  <c r="BX185" i="12" s="1"/>
  <c r="BX184" i="12" s="1"/>
  <c r="BX183" i="12" s="1"/>
  <c r="BX182" i="12" s="1"/>
  <c r="BX181" i="12" s="1"/>
  <c r="BX180" i="12" s="1"/>
  <c r="BX179" i="12" s="1"/>
  <c r="BX178" i="12" s="1"/>
  <c r="BX177" i="12" s="1"/>
  <c r="BX176" i="12" s="1"/>
  <c r="BX175" i="12" s="1"/>
  <c r="BX174" i="12" s="1"/>
  <c r="BX173" i="12" s="1"/>
  <c r="BX172" i="12" s="1"/>
  <c r="BX171" i="12" s="1"/>
  <c r="BX170" i="12" s="1"/>
  <c r="BX169" i="12" s="1"/>
  <c r="BX168" i="12" s="1"/>
  <c r="BX167" i="12" s="1"/>
  <c r="BX166" i="12" s="1"/>
  <c r="BX165" i="12" s="1"/>
  <c r="BX164" i="12" s="1"/>
  <c r="BX163" i="12" s="1"/>
  <c r="BX162" i="12" s="1"/>
  <c r="BX161" i="12" s="1"/>
  <c r="BX160" i="12" s="1"/>
  <c r="BX159" i="12" s="1"/>
  <c r="BX158" i="12" s="1"/>
  <c r="BX157" i="12" s="1"/>
  <c r="BX156" i="12" s="1"/>
  <c r="BX155" i="12" s="1"/>
  <c r="BX154" i="12" s="1"/>
  <c r="BX153" i="12" s="1"/>
  <c r="BX152" i="12" s="1"/>
  <c r="BX151" i="12" s="1"/>
  <c r="BX150" i="12" s="1"/>
  <c r="BX149" i="12" s="1"/>
  <c r="BX148" i="12" s="1"/>
  <c r="BX147" i="12" s="1"/>
  <c r="BX146" i="12" s="1"/>
  <c r="BX145" i="12" s="1"/>
  <c r="BX144" i="12" s="1"/>
  <c r="BX143" i="12" s="1"/>
  <c r="BX142" i="12" s="1"/>
  <c r="BX141" i="12" s="1"/>
  <c r="BX140" i="12" s="1"/>
  <c r="BX139" i="12" s="1"/>
  <c r="BX138" i="12" s="1"/>
  <c r="BX137" i="12" s="1"/>
  <c r="BX136" i="12" s="1"/>
  <c r="BX135" i="12" s="1"/>
  <c r="BX134" i="12" s="1"/>
  <c r="BX133" i="12" s="1"/>
  <c r="BX132" i="12" s="1"/>
  <c r="BX131" i="12" s="1"/>
  <c r="BX130" i="12" s="1"/>
  <c r="BX129" i="12" s="1"/>
  <c r="BX128" i="12" s="1"/>
  <c r="BX127" i="12" s="1"/>
  <c r="BX126" i="12" s="1"/>
  <c r="BX125" i="12" s="1"/>
  <c r="BX124" i="12" s="1"/>
  <c r="BX123" i="12" s="1"/>
  <c r="BX122" i="12" s="1"/>
  <c r="BX121" i="12" s="1"/>
  <c r="BX120" i="12" s="1"/>
  <c r="BX119" i="12" s="1"/>
  <c r="BX118" i="12" s="1"/>
  <c r="BX117" i="12" s="1"/>
  <c r="BX116" i="12" s="1"/>
  <c r="BX115" i="12" s="1"/>
  <c r="BX114" i="12" s="1"/>
  <c r="BX113" i="12" s="1"/>
  <c r="BX112" i="12" s="1"/>
  <c r="BX111" i="12" s="1"/>
  <c r="BX110" i="12" s="1"/>
  <c r="BX109" i="12" s="1"/>
  <c r="BX108" i="12" s="1"/>
  <c r="BX107" i="12" s="1"/>
  <c r="BX106" i="12" s="1"/>
  <c r="BX105" i="12" s="1"/>
  <c r="BX104" i="12" s="1"/>
  <c r="BX103" i="12" s="1"/>
  <c r="BX102" i="12" s="1"/>
  <c r="BX101" i="12" s="1"/>
  <c r="BX100" i="12" s="1"/>
  <c r="BX99" i="12" s="1"/>
  <c r="BX98" i="12" s="1"/>
  <c r="BX97" i="12" s="1"/>
  <c r="BX96" i="12" s="1"/>
  <c r="BX95" i="12" s="1"/>
  <c r="BX94" i="12" s="1"/>
  <c r="BX93" i="12" s="1"/>
  <c r="BX92" i="12" s="1"/>
  <c r="BX91" i="12" s="1"/>
  <c r="BX90" i="12" s="1"/>
  <c r="BX89" i="12" s="1"/>
  <c r="BX88" i="12" s="1"/>
  <c r="BX87" i="12" s="1"/>
  <c r="BX86" i="12" s="1"/>
  <c r="BX85" i="12" s="1"/>
  <c r="BX84" i="12" s="1"/>
  <c r="BX83" i="12" s="1"/>
  <c r="BX82" i="12" s="1"/>
  <c r="BX81" i="12" s="1"/>
  <c r="BX80" i="12" s="1"/>
  <c r="BX79" i="12" s="1"/>
  <c r="BX78" i="12" s="1"/>
  <c r="BX77" i="12" s="1"/>
  <c r="BX76" i="12" s="1"/>
  <c r="BX75" i="12" s="1"/>
  <c r="BX74" i="12" s="1"/>
  <c r="BX73" i="12" s="1"/>
  <c r="BX72" i="12" s="1"/>
  <c r="BX71" i="12" s="1"/>
  <c r="BX70" i="12" s="1"/>
  <c r="BX69" i="12" s="1"/>
  <c r="BX68" i="12" s="1"/>
  <c r="BX67" i="12" s="1"/>
  <c r="BX66" i="12" s="1"/>
  <c r="BX65" i="12" s="1"/>
  <c r="BX64" i="12" s="1"/>
  <c r="BX63" i="12" s="1"/>
  <c r="BX62" i="12" s="1"/>
  <c r="BX61" i="12" s="1"/>
  <c r="BX60" i="12" s="1"/>
  <c r="BX59" i="12" s="1"/>
  <c r="BX58" i="12" s="1"/>
  <c r="BX57" i="12" s="1"/>
  <c r="BX56" i="12" s="1"/>
  <c r="BX55" i="12" s="1"/>
  <c r="BX54" i="12" s="1"/>
  <c r="BX53" i="12" s="1"/>
  <c r="BX52" i="12" s="1"/>
  <c r="BX51" i="12" s="1"/>
  <c r="BX50" i="12" s="1"/>
  <c r="BX49" i="12" s="1"/>
  <c r="BX48" i="12" s="1"/>
  <c r="BR192" i="12"/>
  <c r="Z192" i="12"/>
  <c r="BI192" i="12" s="1"/>
  <c r="X192" i="12"/>
  <c r="CK55" i="5" l="1"/>
  <c r="BX47" i="12"/>
  <c r="BZ47" i="12"/>
  <c r="AX55" i="5"/>
  <c r="BC55" i="5"/>
  <c r="BQ55" i="5"/>
  <c r="BN55" i="5"/>
  <c r="AA55" i="5"/>
  <c r="BO55" i="5"/>
  <c r="BL55" i="5"/>
  <c r="CG55" i="5" s="1"/>
  <c r="BM55" i="5"/>
  <c r="CI55" i="5" s="1"/>
  <c r="BR55" i="5"/>
  <c r="CF55" i="5" s="1"/>
  <c r="BT192" i="12"/>
  <c r="BT191" i="12" s="1"/>
  <c r="BT190" i="12" s="1"/>
  <c r="BT189" i="12" s="1"/>
  <c r="BT188" i="12" s="1"/>
  <c r="BT187" i="12" s="1"/>
  <c r="BT186" i="12" s="1"/>
  <c r="BT185" i="12" s="1"/>
  <c r="BT184" i="12" s="1"/>
  <c r="BT183" i="12" s="1"/>
  <c r="BT182" i="12" s="1"/>
  <c r="BT181" i="12" s="1"/>
  <c r="BT180" i="12" s="1"/>
  <c r="BT179" i="12" s="1"/>
  <c r="BT178" i="12" s="1"/>
  <c r="BT177" i="12" s="1"/>
  <c r="BT176" i="12" s="1"/>
  <c r="BT175" i="12" s="1"/>
  <c r="BT174" i="12" s="1"/>
  <c r="BT173" i="12" s="1"/>
  <c r="BT172" i="12" s="1"/>
  <c r="BT171" i="12" s="1"/>
  <c r="BT170" i="12" s="1"/>
  <c r="BT169" i="12" s="1"/>
  <c r="BT168" i="12" s="1"/>
  <c r="BT167" i="12" s="1"/>
  <c r="BT166" i="12" s="1"/>
  <c r="BT165" i="12" s="1"/>
  <c r="BT164" i="12" s="1"/>
  <c r="BT163" i="12" s="1"/>
  <c r="BT162" i="12" s="1"/>
  <c r="BT161" i="12" s="1"/>
  <c r="BT160" i="12" s="1"/>
  <c r="BT159" i="12" s="1"/>
  <c r="BT158" i="12" s="1"/>
  <c r="BT157" i="12" s="1"/>
  <c r="BT156" i="12" s="1"/>
  <c r="BT155" i="12" s="1"/>
  <c r="BT154" i="12" s="1"/>
  <c r="BT153" i="12" s="1"/>
  <c r="BT152" i="12" s="1"/>
  <c r="BT151" i="12" s="1"/>
  <c r="BT150" i="12" s="1"/>
  <c r="BT149" i="12" s="1"/>
  <c r="BT148" i="12" s="1"/>
  <c r="BT147" i="12" s="1"/>
  <c r="BT146" i="12" s="1"/>
  <c r="BT145" i="12" s="1"/>
  <c r="BT144" i="12" s="1"/>
  <c r="BT143" i="12" s="1"/>
  <c r="BT142" i="12" s="1"/>
  <c r="BT141" i="12" s="1"/>
  <c r="BT140" i="12" s="1"/>
  <c r="BT139" i="12" s="1"/>
  <c r="BT138" i="12" s="1"/>
  <c r="BT137" i="12" s="1"/>
  <c r="BT136" i="12" s="1"/>
  <c r="BT135" i="12" s="1"/>
  <c r="BT134" i="12" s="1"/>
  <c r="BT133" i="12" s="1"/>
  <c r="BT132" i="12" s="1"/>
  <c r="BT131" i="12" s="1"/>
  <c r="BT130" i="12" s="1"/>
  <c r="BT129" i="12" s="1"/>
  <c r="BT128" i="12" s="1"/>
  <c r="BT127" i="12" s="1"/>
  <c r="BT126" i="12" s="1"/>
  <c r="BT125" i="12" s="1"/>
  <c r="BT124" i="12" s="1"/>
  <c r="BT123" i="12" s="1"/>
  <c r="BT122" i="12" s="1"/>
  <c r="BT121" i="12" s="1"/>
  <c r="BT120" i="12" s="1"/>
  <c r="BT119" i="12" s="1"/>
  <c r="BT118" i="12" s="1"/>
  <c r="BT117" i="12" s="1"/>
  <c r="BT116" i="12" s="1"/>
  <c r="BT115" i="12" s="1"/>
  <c r="BT114" i="12" s="1"/>
  <c r="BT113" i="12" s="1"/>
  <c r="BT112" i="12" s="1"/>
  <c r="BT111" i="12" s="1"/>
  <c r="BT110" i="12" s="1"/>
  <c r="BT109" i="12" s="1"/>
  <c r="BT108" i="12" s="1"/>
  <c r="BT107" i="12" s="1"/>
  <c r="BT106" i="12" s="1"/>
  <c r="BT105" i="12" s="1"/>
  <c r="BT104" i="12" s="1"/>
  <c r="BT103" i="12" s="1"/>
  <c r="BT102" i="12" s="1"/>
  <c r="BT101" i="12" s="1"/>
  <c r="BT100" i="12" s="1"/>
  <c r="BT99" i="12" s="1"/>
  <c r="BT98" i="12" s="1"/>
  <c r="BT97" i="12" s="1"/>
  <c r="BT96" i="12" s="1"/>
  <c r="BT95" i="12" s="1"/>
  <c r="BT94" i="12" s="1"/>
  <c r="BT93" i="12" s="1"/>
  <c r="BT92" i="12" s="1"/>
  <c r="BT91" i="12" s="1"/>
  <c r="BT90" i="12" s="1"/>
  <c r="BT89" i="12" s="1"/>
  <c r="BT88" i="12" s="1"/>
  <c r="BT87" i="12" s="1"/>
  <c r="BT86" i="12" s="1"/>
  <c r="BT85" i="12" s="1"/>
  <c r="BT84" i="12" s="1"/>
  <c r="BT83" i="12" s="1"/>
  <c r="BT82" i="12" s="1"/>
  <c r="BT81" i="12" s="1"/>
  <c r="BT80" i="12" s="1"/>
  <c r="BT79" i="12" s="1"/>
  <c r="BT78" i="12" s="1"/>
  <c r="BT77" i="12" s="1"/>
  <c r="BT76" i="12" s="1"/>
  <c r="BT75" i="12" s="1"/>
  <c r="BT74" i="12" s="1"/>
  <c r="BT73" i="12" s="1"/>
  <c r="BT72" i="12" s="1"/>
  <c r="BT71" i="12" s="1"/>
  <c r="BT70" i="12" s="1"/>
  <c r="BT69" i="12" s="1"/>
  <c r="BT68" i="12" s="1"/>
  <c r="BT67" i="12" s="1"/>
  <c r="BT66" i="12" s="1"/>
  <c r="BT65" i="12" s="1"/>
  <c r="BT64" i="12" s="1"/>
  <c r="BT63" i="12" s="1"/>
  <c r="BT62" i="12" s="1"/>
  <c r="BT61" i="12" s="1"/>
  <c r="BT60" i="12" s="1"/>
  <c r="BT59" i="12" s="1"/>
  <c r="BT58" i="12" s="1"/>
  <c r="BT57" i="12" s="1"/>
  <c r="BT56" i="12" s="1"/>
  <c r="BT55" i="12" s="1"/>
  <c r="BT54" i="12" s="1"/>
  <c r="BT53" i="12" s="1"/>
  <c r="BT52" i="12" s="1"/>
  <c r="BT51" i="12" s="1"/>
  <c r="BT50" i="12" s="1"/>
  <c r="BT49" i="12" s="1"/>
  <c r="BT48" i="12" s="1"/>
  <c r="B54" i="21" a="1"/>
  <c r="BV192" i="12"/>
  <c r="BV191" i="12" s="1"/>
  <c r="BV190" i="12" s="1"/>
  <c r="BV189" i="12" s="1"/>
  <c r="BV188" i="12" s="1"/>
  <c r="BV187" i="12" s="1"/>
  <c r="BV186" i="12" s="1"/>
  <c r="BV185" i="12" s="1"/>
  <c r="BV184" i="12" s="1"/>
  <c r="BV183" i="12" s="1"/>
  <c r="BV182" i="12" s="1"/>
  <c r="BV181" i="12" s="1"/>
  <c r="BV180" i="12" s="1"/>
  <c r="BV179" i="12" s="1"/>
  <c r="BV178" i="12" s="1"/>
  <c r="BV177" i="12" s="1"/>
  <c r="BV176" i="12" s="1"/>
  <c r="BV175" i="12" s="1"/>
  <c r="BV174" i="12" s="1"/>
  <c r="BV173" i="12" s="1"/>
  <c r="BV172" i="12" s="1"/>
  <c r="BV171" i="12" s="1"/>
  <c r="BV170" i="12" s="1"/>
  <c r="BV169" i="12" s="1"/>
  <c r="BV168" i="12" s="1"/>
  <c r="BV167" i="12" s="1"/>
  <c r="BV166" i="12" s="1"/>
  <c r="BV165" i="12" s="1"/>
  <c r="BV164" i="12" s="1"/>
  <c r="BV163" i="12" s="1"/>
  <c r="BV162" i="12" s="1"/>
  <c r="BV161" i="12" s="1"/>
  <c r="BV160" i="12" s="1"/>
  <c r="BV159" i="12" s="1"/>
  <c r="BV158" i="12" s="1"/>
  <c r="BV157" i="12" s="1"/>
  <c r="BV156" i="12" s="1"/>
  <c r="BV155" i="12" s="1"/>
  <c r="BV154" i="12" s="1"/>
  <c r="BV153" i="12" s="1"/>
  <c r="BV152" i="12" s="1"/>
  <c r="BV151" i="12" s="1"/>
  <c r="BV150" i="12" s="1"/>
  <c r="BV149" i="12" s="1"/>
  <c r="BV148" i="12" s="1"/>
  <c r="BV147" i="12" s="1"/>
  <c r="BV146" i="12" s="1"/>
  <c r="BV145" i="12" s="1"/>
  <c r="BV144" i="12" s="1"/>
  <c r="BV143" i="12" s="1"/>
  <c r="BV142" i="12" s="1"/>
  <c r="BV141" i="12" s="1"/>
  <c r="BV140" i="12" s="1"/>
  <c r="BV139" i="12" s="1"/>
  <c r="BV138" i="12" s="1"/>
  <c r="BV137" i="12" s="1"/>
  <c r="BV136" i="12" s="1"/>
  <c r="BV135" i="12" s="1"/>
  <c r="BV134" i="12" s="1"/>
  <c r="BV133" i="12" s="1"/>
  <c r="BV132" i="12" s="1"/>
  <c r="BV131" i="12" s="1"/>
  <c r="BV130" i="12" s="1"/>
  <c r="BV129" i="12" s="1"/>
  <c r="BV128" i="12" s="1"/>
  <c r="BV127" i="12" s="1"/>
  <c r="BV126" i="12" s="1"/>
  <c r="BV125" i="12" s="1"/>
  <c r="BV124" i="12" s="1"/>
  <c r="BV123" i="12" s="1"/>
  <c r="BV122" i="12" s="1"/>
  <c r="BV121" i="12" s="1"/>
  <c r="BV120" i="12" s="1"/>
  <c r="BV119" i="12" s="1"/>
  <c r="BV118" i="12" s="1"/>
  <c r="BV117" i="12" s="1"/>
  <c r="BV116" i="12" s="1"/>
  <c r="BV115" i="12" s="1"/>
  <c r="BV114" i="12" s="1"/>
  <c r="BV113" i="12" s="1"/>
  <c r="BV112" i="12" s="1"/>
  <c r="BV111" i="12" s="1"/>
  <c r="BV110" i="12" s="1"/>
  <c r="BV109" i="12" s="1"/>
  <c r="BV108" i="12" s="1"/>
  <c r="BV107" i="12" s="1"/>
  <c r="BV106" i="12" s="1"/>
  <c r="BV105" i="12" s="1"/>
  <c r="BV104" i="12" s="1"/>
  <c r="BV103" i="12" s="1"/>
  <c r="BV102" i="12" s="1"/>
  <c r="BV101" i="12" s="1"/>
  <c r="BV100" i="12" s="1"/>
  <c r="BV99" i="12" s="1"/>
  <c r="BV98" i="12" s="1"/>
  <c r="BV97" i="12" s="1"/>
  <c r="BV96" i="12" s="1"/>
  <c r="BV95" i="12" s="1"/>
  <c r="BV94" i="12" s="1"/>
  <c r="BV93" i="12" s="1"/>
  <c r="BV92" i="12" s="1"/>
  <c r="BV91" i="12" s="1"/>
  <c r="BV90" i="12" s="1"/>
  <c r="BV89" i="12" s="1"/>
  <c r="BV88" i="12" s="1"/>
  <c r="BV87" i="12" s="1"/>
  <c r="BV86" i="12" s="1"/>
  <c r="BV85" i="12" s="1"/>
  <c r="BV84" i="12" s="1"/>
  <c r="BV83" i="12" s="1"/>
  <c r="BV82" i="12" s="1"/>
  <c r="BV81" i="12" s="1"/>
  <c r="BV80" i="12" s="1"/>
  <c r="BV79" i="12" s="1"/>
  <c r="BV78" i="12" s="1"/>
  <c r="BV77" i="12" s="1"/>
  <c r="BV76" i="12" s="1"/>
  <c r="BV75" i="12" s="1"/>
  <c r="BV74" i="12" s="1"/>
  <c r="BV73" i="12" s="1"/>
  <c r="BV72" i="12" s="1"/>
  <c r="BV71" i="12" s="1"/>
  <c r="BV70" i="12" s="1"/>
  <c r="BV69" i="12" s="1"/>
  <c r="BV68" i="12" s="1"/>
  <c r="BV67" i="12" s="1"/>
  <c r="BV66" i="12" s="1"/>
  <c r="BV65" i="12" s="1"/>
  <c r="BV64" i="12" s="1"/>
  <c r="BV63" i="12" s="1"/>
  <c r="BV62" i="12" s="1"/>
  <c r="BV61" i="12" s="1"/>
  <c r="BV60" i="12" s="1"/>
  <c r="BV59" i="12" s="1"/>
  <c r="BV58" i="12" s="1"/>
  <c r="BV57" i="12" s="1"/>
  <c r="BV56" i="12" s="1"/>
  <c r="BV55" i="12" s="1"/>
  <c r="BV54" i="12" s="1"/>
  <c r="BV53" i="12" s="1"/>
  <c r="BV52" i="12" s="1"/>
  <c r="BV51" i="12" s="1"/>
  <c r="BV50" i="12" s="1"/>
  <c r="BV49" i="12" s="1"/>
  <c r="BV48" i="12" s="1"/>
  <c r="B50" i="21" a="1"/>
  <c r="CA192" i="12"/>
  <c r="CA191" i="12" s="1"/>
  <c r="CA190" i="12" s="1"/>
  <c r="CA189" i="12" s="1"/>
  <c r="CA188" i="12" s="1"/>
  <c r="CA187" i="12" s="1"/>
  <c r="CA186" i="12" s="1"/>
  <c r="CA185" i="12" s="1"/>
  <c r="CA184" i="12" s="1"/>
  <c r="CA183" i="12" s="1"/>
  <c r="CA182" i="12" s="1"/>
  <c r="CA181" i="12" s="1"/>
  <c r="CA180" i="12" s="1"/>
  <c r="CA179" i="12" s="1"/>
  <c r="CA178" i="12" s="1"/>
  <c r="CA177" i="12" s="1"/>
  <c r="CA176" i="12" s="1"/>
  <c r="CA175" i="12" s="1"/>
  <c r="CA174" i="12" s="1"/>
  <c r="CA173" i="12" s="1"/>
  <c r="CA172" i="12" s="1"/>
  <c r="CA171" i="12" s="1"/>
  <c r="CA170" i="12" s="1"/>
  <c r="CA169" i="12" s="1"/>
  <c r="CA168" i="12" s="1"/>
  <c r="CA167" i="12" s="1"/>
  <c r="CA166" i="12" s="1"/>
  <c r="CA165" i="12" s="1"/>
  <c r="CA164" i="12" s="1"/>
  <c r="CA163" i="12" s="1"/>
  <c r="CA162" i="12" s="1"/>
  <c r="CA161" i="12" s="1"/>
  <c r="CA160" i="12" s="1"/>
  <c r="CA159" i="12" s="1"/>
  <c r="CA158" i="12" s="1"/>
  <c r="CA157" i="12" s="1"/>
  <c r="CA156" i="12" s="1"/>
  <c r="CA155" i="12" s="1"/>
  <c r="CA154" i="12" s="1"/>
  <c r="CA153" i="12" s="1"/>
  <c r="CA152" i="12" s="1"/>
  <c r="CA151" i="12" s="1"/>
  <c r="CA150" i="12" s="1"/>
  <c r="CA149" i="12" s="1"/>
  <c r="CA148" i="12" s="1"/>
  <c r="CA147" i="12" s="1"/>
  <c r="CA146" i="12" s="1"/>
  <c r="CA145" i="12" s="1"/>
  <c r="CA144" i="12" s="1"/>
  <c r="CA143" i="12" s="1"/>
  <c r="CA142" i="12" s="1"/>
  <c r="CA141" i="12" s="1"/>
  <c r="CA140" i="12" s="1"/>
  <c r="CA139" i="12" s="1"/>
  <c r="CA138" i="12" s="1"/>
  <c r="CA137" i="12" s="1"/>
  <c r="CA136" i="12" s="1"/>
  <c r="CA135" i="12" s="1"/>
  <c r="CA134" i="12" s="1"/>
  <c r="CA133" i="12" s="1"/>
  <c r="CA132" i="12" s="1"/>
  <c r="CA131" i="12" s="1"/>
  <c r="CA130" i="12" s="1"/>
  <c r="CA129" i="12" s="1"/>
  <c r="CA128" i="12" s="1"/>
  <c r="CA127" i="12" s="1"/>
  <c r="CA126" i="12" s="1"/>
  <c r="CA125" i="12" s="1"/>
  <c r="CA124" i="12" s="1"/>
  <c r="CA123" i="12" s="1"/>
  <c r="CA122" i="12" s="1"/>
  <c r="CA121" i="12" s="1"/>
  <c r="CA120" i="12" s="1"/>
  <c r="CA119" i="12" s="1"/>
  <c r="CA118" i="12" s="1"/>
  <c r="CA117" i="12" s="1"/>
  <c r="CA116" i="12" s="1"/>
  <c r="CA115" i="12" s="1"/>
  <c r="CA114" i="12" s="1"/>
  <c r="CA113" i="12" s="1"/>
  <c r="CA112" i="12" s="1"/>
  <c r="CA111" i="12" s="1"/>
  <c r="CA110" i="12" s="1"/>
  <c r="CA109" i="12" s="1"/>
  <c r="CA108" i="12" s="1"/>
  <c r="CA107" i="12" s="1"/>
  <c r="CA106" i="12" s="1"/>
  <c r="CA105" i="12" s="1"/>
  <c r="CA104" i="12" s="1"/>
  <c r="CA103" i="12" s="1"/>
  <c r="CA102" i="12" s="1"/>
  <c r="CA101" i="12" s="1"/>
  <c r="CA100" i="12" s="1"/>
  <c r="CA99" i="12" s="1"/>
  <c r="CA98" i="12" s="1"/>
  <c r="CA97" i="12" s="1"/>
  <c r="CA96" i="12" s="1"/>
  <c r="CA95" i="12" s="1"/>
  <c r="CA94" i="12" s="1"/>
  <c r="CA93" i="12" s="1"/>
  <c r="CA92" i="12" s="1"/>
  <c r="CA91" i="12" s="1"/>
  <c r="CA90" i="12" s="1"/>
  <c r="CA89" i="12" s="1"/>
  <c r="CA88" i="12" s="1"/>
  <c r="CA87" i="12" s="1"/>
  <c r="CA86" i="12" s="1"/>
  <c r="CA85" i="12" s="1"/>
  <c r="CA84" i="12" s="1"/>
  <c r="CA83" i="12" s="1"/>
  <c r="CA82" i="12" s="1"/>
  <c r="CA81" i="12" s="1"/>
  <c r="CA80" i="12" s="1"/>
  <c r="CA79" i="12" s="1"/>
  <c r="CA78" i="12" s="1"/>
  <c r="CA77" i="12" s="1"/>
  <c r="CA76" i="12" s="1"/>
  <c r="CA75" i="12" s="1"/>
  <c r="CA74" i="12" s="1"/>
  <c r="CA73" i="12" s="1"/>
  <c r="CA72" i="12" s="1"/>
  <c r="CA71" i="12" s="1"/>
  <c r="CA70" i="12" s="1"/>
  <c r="CA69" i="12" s="1"/>
  <c r="CA68" i="12" s="1"/>
  <c r="CA67" i="12" s="1"/>
  <c r="CA66" i="12" s="1"/>
  <c r="CA65" i="12" s="1"/>
  <c r="CA64" i="12" s="1"/>
  <c r="CA63" i="12" s="1"/>
  <c r="CA62" i="12" s="1"/>
  <c r="CA61" i="12" s="1"/>
  <c r="CA60" i="12" s="1"/>
  <c r="CA59" i="12" s="1"/>
  <c r="CA58" i="12" s="1"/>
  <c r="CA57" i="12" s="1"/>
  <c r="CA56" i="12" s="1"/>
  <c r="CA55" i="12" s="1"/>
  <c r="CA54" i="12" s="1"/>
  <c r="CA53" i="12" s="1"/>
  <c r="CA52" i="12" s="1"/>
  <c r="CA51" i="12" s="1"/>
  <c r="CA50" i="12" s="1"/>
  <c r="CA49" i="12" s="1"/>
  <c r="CA48" i="12" s="1"/>
  <c r="B44" i="21" a="1"/>
  <c r="Z45" i="21"/>
  <c r="FN45" i="21"/>
  <c r="CU45" i="21"/>
  <c r="BX45" i="21"/>
  <c r="BA45" i="21"/>
  <c r="R45" i="21"/>
  <c r="AL45" i="21"/>
  <c r="P45" i="21"/>
  <c r="DG45" i="21"/>
  <c r="CJ45" i="21"/>
  <c r="BM45" i="21"/>
  <c r="AD45" i="21"/>
  <c r="FR45" i="21"/>
  <c r="EU45" i="21"/>
  <c r="DX45" i="21"/>
  <c r="CE45" i="21"/>
  <c r="CC45" i="21"/>
  <c r="BT45" i="21"/>
  <c r="FY45" i="21"/>
  <c r="AX45" i="21"/>
  <c r="AC45" i="21"/>
  <c r="DS45" i="21"/>
  <c r="CV45" i="21"/>
  <c r="BY45" i="21"/>
  <c r="AP45" i="21"/>
  <c r="G45" i="21"/>
  <c r="FG45" i="21"/>
  <c r="EJ45" i="21"/>
  <c r="BF45" i="21"/>
  <c r="AW45" i="21"/>
  <c r="AU45" i="21"/>
  <c r="CH45" i="21"/>
  <c r="O45" i="21"/>
  <c r="FC45" i="21"/>
  <c r="DF45" i="21"/>
  <c r="AM45" i="21"/>
  <c r="D45" i="21"/>
  <c r="FD45" i="21"/>
  <c r="EG45" i="21"/>
  <c r="B45" i="21"/>
  <c r="AY45" i="21"/>
  <c r="DT45" i="21"/>
  <c r="FE45" i="21"/>
  <c r="FF45" i="21"/>
  <c r="H45" i="21"/>
  <c r="EM45" i="21"/>
  <c r="BE45" i="21"/>
  <c r="FA45" i="21"/>
  <c r="BG45" i="21"/>
  <c r="L45" i="21"/>
  <c r="AJ45" i="21"/>
  <c r="N45" i="21"/>
  <c r="BK45" i="21"/>
  <c r="EF45" i="21"/>
  <c r="FQ45" i="21"/>
  <c r="AE45" i="21"/>
  <c r="T45" i="21"/>
  <c r="DM45" i="21"/>
  <c r="X45" i="21"/>
  <c r="EA45" i="21"/>
  <c r="EZ45" i="21"/>
  <c r="FW45" i="21"/>
  <c r="J45" i="21"/>
  <c r="BJ45" i="21"/>
  <c r="BW45" i="21"/>
  <c r="ER45" i="21"/>
  <c r="F45" i="21"/>
  <c r="AQ45" i="21"/>
  <c r="AF45" i="21"/>
  <c r="CF45" i="21"/>
  <c r="FJ45" i="21"/>
  <c r="DA45" i="21"/>
  <c r="DZ45" i="21"/>
  <c r="EX45" i="21"/>
  <c r="FU45" i="21"/>
  <c r="BV45" i="21"/>
  <c r="CI45" i="21"/>
  <c r="FP45" i="21"/>
  <c r="BB45" i="21"/>
  <c r="BC45" i="21"/>
  <c r="AR45" i="21"/>
  <c r="AG45" i="21"/>
  <c r="EC45" i="21"/>
  <c r="U45" i="21"/>
  <c r="CS45" i="21"/>
  <c r="DQ45" i="21"/>
  <c r="EO45" i="21"/>
  <c r="CT45" i="21"/>
  <c r="EE45" i="21"/>
  <c r="E45" i="21"/>
  <c r="BN45" i="21"/>
  <c r="BO45" i="21"/>
  <c r="BD45" i="21"/>
  <c r="FL45" i="21"/>
  <c r="DC45" i="21"/>
  <c r="AT45" i="21"/>
  <c r="BS45" i="21"/>
  <c r="CQ45" i="21"/>
  <c r="DO45" i="21"/>
  <c r="FV45" i="21"/>
  <c r="S45" i="21"/>
  <c r="AZ45" i="21"/>
  <c r="DI45" i="21"/>
  <c r="DV45" i="21"/>
  <c r="DW45" i="21"/>
  <c r="EV45" i="21"/>
  <c r="EK45" i="21"/>
  <c r="CG45" i="21"/>
  <c r="CR45" i="21"/>
  <c r="EW45" i="21"/>
  <c r="C45" i="21"/>
  <c r="BL45" i="21"/>
  <c r="DU45" i="21"/>
  <c r="EH45" i="21"/>
  <c r="EI45" i="21"/>
  <c r="FH45" i="21"/>
  <c r="DD45" i="21"/>
  <c r="AV45" i="21"/>
  <c r="BH45" i="21"/>
  <c r="BR45" i="21"/>
  <c r="DP45" i="21"/>
  <c r="AA45" i="21"/>
  <c r="DH45" i="21"/>
  <c r="ES45" i="21"/>
  <c r="ET45" i="21"/>
  <c r="FS45" i="21"/>
  <c r="FM45" i="21"/>
  <c r="CD45" i="21"/>
  <c r="V45" i="21"/>
  <c r="AH45" i="21"/>
  <c r="AS45" i="21"/>
  <c r="BP45" i="21"/>
  <c r="DR45" i="21"/>
  <c r="EQ45" i="21"/>
  <c r="Q45" i="21"/>
  <c r="BZ45" i="21"/>
  <c r="CA45" i="21"/>
  <c r="CB45" i="21"/>
  <c r="EL45" i="21"/>
  <c r="W45" i="21"/>
  <c r="CP45" i="21"/>
  <c r="M45" i="21"/>
  <c r="BQ45" i="21"/>
  <c r="CO45" i="21"/>
  <c r="ED45" i="21"/>
  <c r="FO45" i="21"/>
  <c r="AO45" i="21"/>
  <c r="CL45" i="21"/>
  <c r="CM45" i="21"/>
  <c r="CN45" i="21"/>
  <c r="DE45" i="21"/>
  <c r="FI45" i="21"/>
  <c r="FT45" i="21"/>
  <c r="FX45" i="21"/>
  <c r="AK45" i="21"/>
  <c r="BI45" i="21"/>
  <c r="DB45" i="21"/>
  <c r="DY45" i="21"/>
  <c r="I45" i="21"/>
  <c r="BU45" i="21"/>
  <c r="EP45" i="21"/>
  <c r="AB45" i="21"/>
  <c r="CK45" i="21"/>
  <c r="CX45" i="21"/>
  <c r="CY45" i="21"/>
  <c r="CZ45" i="21"/>
  <c r="Y45" i="21"/>
  <c r="EB45" i="21"/>
  <c r="EN45" i="21"/>
  <c r="EY45" i="21"/>
  <c r="K45" i="21"/>
  <c r="AI45" i="21"/>
  <c r="FB45" i="21"/>
  <c r="AN45" i="21"/>
  <c r="CW45" i="21"/>
  <c r="DJ45" i="21"/>
  <c r="DK45" i="21"/>
  <c r="DL45" i="21"/>
  <c r="FK45" i="21"/>
  <c r="DN45" i="21"/>
  <c r="BU192" i="12"/>
  <c r="BU191" i="12" s="1"/>
  <c r="BU190" i="12" s="1"/>
  <c r="BU189" i="12" s="1"/>
  <c r="BU188" i="12" s="1"/>
  <c r="BU187" i="12" s="1"/>
  <c r="BU186" i="12" s="1"/>
  <c r="BU185" i="12" s="1"/>
  <c r="BU184" i="12" s="1"/>
  <c r="BU183" i="12" s="1"/>
  <c r="BU182" i="12" s="1"/>
  <c r="BU181" i="12" s="1"/>
  <c r="BU180" i="12" s="1"/>
  <c r="BU179" i="12" s="1"/>
  <c r="BU178" i="12" s="1"/>
  <c r="BU177" i="12" s="1"/>
  <c r="BU176" i="12" s="1"/>
  <c r="BU175" i="12" s="1"/>
  <c r="BU174" i="12" s="1"/>
  <c r="BU173" i="12" s="1"/>
  <c r="BU172" i="12" s="1"/>
  <c r="BU171" i="12" s="1"/>
  <c r="BU170" i="12" s="1"/>
  <c r="BU169" i="12" s="1"/>
  <c r="BU168" i="12" s="1"/>
  <c r="BU167" i="12" s="1"/>
  <c r="BU166" i="12" s="1"/>
  <c r="BU165" i="12" s="1"/>
  <c r="BU164" i="12" s="1"/>
  <c r="BU163" i="12" s="1"/>
  <c r="BU162" i="12" s="1"/>
  <c r="BU161" i="12" s="1"/>
  <c r="BU160" i="12" s="1"/>
  <c r="BU159" i="12" s="1"/>
  <c r="BU158" i="12" s="1"/>
  <c r="BU157" i="12" s="1"/>
  <c r="BU156" i="12" s="1"/>
  <c r="BU155" i="12" s="1"/>
  <c r="BU154" i="12" s="1"/>
  <c r="BU153" i="12" s="1"/>
  <c r="BU152" i="12" s="1"/>
  <c r="BU151" i="12" s="1"/>
  <c r="BU150" i="12" s="1"/>
  <c r="BU149" i="12" s="1"/>
  <c r="BU148" i="12" s="1"/>
  <c r="BU147" i="12" s="1"/>
  <c r="BU146" i="12" s="1"/>
  <c r="BU145" i="12" s="1"/>
  <c r="BU144" i="12" s="1"/>
  <c r="BU143" i="12" s="1"/>
  <c r="BU142" i="12" s="1"/>
  <c r="BU141" i="12" s="1"/>
  <c r="BU140" i="12" s="1"/>
  <c r="BU139" i="12" s="1"/>
  <c r="BU138" i="12" s="1"/>
  <c r="BU137" i="12" s="1"/>
  <c r="BU136" i="12" s="1"/>
  <c r="BU135" i="12" s="1"/>
  <c r="BU134" i="12" s="1"/>
  <c r="BU133" i="12" s="1"/>
  <c r="BU132" i="12" s="1"/>
  <c r="BU131" i="12" s="1"/>
  <c r="BU130" i="12" s="1"/>
  <c r="BU129" i="12" s="1"/>
  <c r="BU128" i="12" s="1"/>
  <c r="BU127" i="12" s="1"/>
  <c r="BU126" i="12" s="1"/>
  <c r="BU125" i="12" s="1"/>
  <c r="BU124" i="12" s="1"/>
  <c r="BU123" i="12" s="1"/>
  <c r="BU122" i="12" s="1"/>
  <c r="BU121" i="12" s="1"/>
  <c r="BU120" i="12" s="1"/>
  <c r="BU119" i="12" s="1"/>
  <c r="BU118" i="12" s="1"/>
  <c r="BU117" i="12" s="1"/>
  <c r="BU116" i="12" s="1"/>
  <c r="BU115" i="12" s="1"/>
  <c r="BU114" i="12" s="1"/>
  <c r="BU113" i="12" s="1"/>
  <c r="BU112" i="12" s="1"/>
  <c r="BU111" i="12" s="1"/>
  <c r="BU110" i="12" s="1"/>
  <c r="BU109" i="12" s="1"/>
  <c r="BU108" i="12" s="1"/>
  <c r="BU107" i="12" s="1"/>
  <c r="BU106" i="12" s="1"/>
  <c r="BU105" i="12" s="1"/>
  <c r="BU104" i="12" s="1"/>
  <c r="BU103" i="12" s="1"/>
  <c r="BU102" i="12" s="1"/>
  <c r="BU101" i="12" s="1"/>
  <c r="BU100" i="12" s="1"/>
  <c r="BU99" i="12" s="1"/>
  <c r="BU98" i="12" s="1"/>
  <c r="BU97" i="12" s="1"/>
  <c r="BU96" i="12" s="1"/>
  <c r="BU95" i="12" s="1"/>
  <c r="BU94" i="12" s="1"/>
  <c r="BU93" i="12" s="1"/>
  <c r="BU92" i="12" s="1"/>
  <c r="BU91" i="12" s="1"/>
  <c r="BU90" i="12" s="1"/>
  <c r="BU89" i="12" s="1"/>
  <c r="BU88" i="12" s="1"/>
  <c r="BU87" i="12" s="1"/>
  <c r="BU86" i="12" s="1"/>
  <c r="BU85" i="12" s="1"/>
  <c r="BU84" i="12" s="1"/>
  <c r="BU83" i="12" s="1"/>
  <c r="BU82" i="12" s="1"/>
  <c r="BU81" i="12" s="1"/>
  <c r="BU80" i="12" s="1"/>
  <c r="BU79" i="12" s="1"/>
  <c r="BU78" i="12" s="1"/>
  <c r="BU77" i="12" s="1"/>
  <c r="BU76" i="12" s="1"/>
  <c r="BU75" i="12" s="1"/>
  <c r="BU74" i="12" s="1"/>
  <c r="BU73" i="12" s="1"/>
  <c r="BU72" i="12" s="1"/>
  <c r="BU71" i="12" s="1"/>
  <c r="BU70" i="12" s="1"/>
  <c r="BU69" i="12" s="1"/>
  <c r="BU68" i="12" s="1"/>
  <c r="BU67" i="12" s="1"/>
  <c r="BU66" i="12" s="1"/>
  <c r="BU65" i="12" s="1"/>
  <c r="BU64" i="12" s="1"/>
  <c r="BU63" i="12" s="1"/>
  <c r="BU62" i="12" s="1"/>
  <c r="BU61" i="12" s="1"/>
  <c r="BU60" i="12" s="1"/>
  <c r="BU59" i="12" s="1"/>
  <c r="BU58" i="12" s="1"/>
  <c r="BU57" i="12" s="1"/>
  <c r="BU56" i="12" s="1"/>
  <c r="BU55" i="12" s="1"/>
  <c r="BU54" i="12" s="1"/>
  <c r="BU53" i="12" s="1"/>
  <c r="BU52" i="12" s="1"/>
  <c r="BU51" i="12" s="1"/>
  <c r="BU50" i="12" s="1"/>
  <c r="BU49" i="12" s="1"/>
  <c r="BU48" i="12" s="1"/>
  <c r="BC192" i="12"/>
  <c r="AX192" i="12"/>
  <c r="BP192" i="12"/>
  <c r="BW192" i="12"/>
  <c r="BW191" i="12" s="1"/>
  <c r="BW190" i="12" s="1"/>
  <c r="BW189" i="12" s="1"/>
  <c r="BW188" i="12" s="1"/>
  <c r="BW187" i="12" s="1"/>
  <c r="BW186" i="12" s="1"/>
  <c r="BW185" i="12" s="1"/>
  <c r="BW184" i="12" s="1"/>
  <c r="BW183" i="12" s="1"/>
  <c r="BW182" i="12" s="1"/>
  <c r="BW181" i="12" s="1"/>
  <c r="BW180" i="12" s="1"/>
  <c r="BW179" i="12" s="1"/>
  <c r="BW178" i="12" s="1"/>
  <c r="BW177" i="12" s="1"/>
  <c r="BW176" i="12" s="1"/>
  <c r="BW175" i="12" s="1"/>
  <c r="BW174" i="12" s="1"/>
  <c r="BW173" i="12" s="1"/>
  <c r="BW172" i="12" s="1"/>
  <c r="BW171" i="12" s="1"/>
  <c r="BW170" i="12" s="1"/>
  <c r="BW169" i="12" s="1"/>
  <c r="BW168" i="12" s="1"/>
  <c r="BW167" i="12" s="1"/>
  <c r="BW166" i="12" s="1"/>
  <c r="BW165" i="12" s="1"/>
  <c r="BW164" i="12" s="1"/>
  <c r="BW163" i="12" s="1"/>
  <c r="BW162" i="12" s="1"/>
  <c r="BW161" i="12" s="1"/>
  <c r="BW160" i="12" s="1"/>
  <c r="BW159" i="12" s="1"/>
  <c r="BW158" i="12" s="1"/>
  <c r="BW157" i="12" s="1"/>
  <c r="BW156" i="12" s="1"/>
  <c r="BW155" i="12" s="1"/>
  <c r="BW154" i="12" s="1"/>
  <c r="BW153" i="12" s="1"/>
  <c r="BW152" i="12" s="1"/>
  <c r="BW151" i="12" s="1"/>
  <c r="BW150" i="12" s="1"/>
  <c r="BW149" i="12" s="1"/>
  <c r="BW148" i="12" s="1"/>
  <c r="BW147" i="12" s="1"/>
  <c r="BW146" i="12" s="1"/>
  <c r="BW145" i="12" s="1"/>
  <c r="BW144" i="12" s="1"/>
  <c r="BW143" i="12" s="1"/>
  <c r="BW142" i="12" s="1"/>
  <c r="BW141" i="12" s="1"/>
  <c r="BW140" i="12" s="1"/>
  <c r="BW139" i="12" s="1"/>
  <c r="BW138" i="12" s="1"/>
  <c r="BW137" i="12" s="1"/>
  <c r="BW136" i="12" s="1"/>
  <c r="BW135" i="12" s="1"/>
  <c r="BW134" i="12" s="1"/>
  <c r="BW133" i="12" s="1"/>
  <c r="BW132" i="12" s="1"/>
  <c r="BW131" i="12" s="1"/>
  <c r="BW130" i="12" s="1"/>
  <c r="BW129" i="12" s="1"/>
  <c r="BW128" i="12" s="1"/>
  <c r="BW127" i="12" s="1"/>
  <c r="BW126" i="12" s="1"/>
  <c r="BW125" i="12" s="1"/>
  <c r="BW124" i="12" s="1"/>
  <c r="BW123" i="12" s="1"/>
  <c r="BW122" i="12" s="1"/>
  <c r="BW121" i="12" s="1"/>
  <c r="BW120" i="12" s="1"/>
  <c r="BW119" i="12" s="1"/>
  <c r="BW118" i="12" s="1"/>
  <c r="BW117" i="12" s="1"/>
  <c r="BW116" i="12" s="1"/>
  <c r="BW115" i="12" s="1"/>
  <c r="BW114" i="12" s="1"/>
  <c r="BW113" i="12" s="1"/>
  <c r="BW112" i="12" s="1"/>
  <c r="BW111" i="12" s="1"/>
  <c r="BW110" i="12" s="1"/>
  <c r="BW109" i="12" s="1"/>
  <c r="BW108" i="12" s="1"/>
  <c r="BW107" i="12" s="1"/>
  <c r="BW106" i="12" s="1"/>
  <c r="BW105" i="12" s="1"/>
  <c r="BW104" i="12" s="1"/>
  <c r="BW103" i="12" s="1"/>
  <c r="BW102" i="12" s="1"/>
  <c r="BW101" i="12" s="1"/>
  <c r="BW100" i="12" s="1"/>
  <c r="BW99" i="12" s="1"/>
  <c r="BW98" i="12" s="1"/>
  <c r="BW97" i="12" s="1"/>
  <c r="BW96" i="12" s="1"/>
  <c r="BW95" i="12" s="1"/>
  <c r="BW94" i="12" s="1"/>
  <c r="BW93" i="12" s="1"/>
  <c r="BW92" i="12" s="1"/>
  <c r="BW91" i="12" s="1"/>
  <c r="BW90" i="12" s="1"/>
  <c r="BW89" i="12" s="1"/>
  <c r="BW88" i="12" s="1"/>
  <c r="BW87" i="12" s="1"/>
  <c r="BW86" i="12" s="1"/>
  <c r="BW85" i="12" s="1"/>
  <c r="BW84" i="12" s="1"/>
  <c r="BW83" i="12" s="1"/>
  <c r="BW82" i="12" s="1"/>
  <c r="BW81" i="12" s="1"/>
  <c r="BW80" i="12" s="1"/>
  <c r="BW79" i="12" s="1"/>
  <c r="BW78" i="12" s="1"/>
  <c r="BW77" i="12" s="1"/>
  <c r="BW76" i="12" s="1"/>
  <c r="BW75" i="12" s="1"/>
  <c r="BW74" i="12" s="1"/>
  <c r="BW73" i="12" s="1"/>
  <c r="BW72" i="12" s="1"/>
  <c r="BW71" i="12" s="1"/>
  <c r="BW70" i="12" s="1"/>
  <c r="BW69" i="12" s="1"/>
  <c r="BW68" i="12" s="1"/>
  <c r="BW67" i="12" s="1"/>
  <c r="BW66" i="12" s="1"/>
  <c r="BW65" i="12" s="1"/>
  <c r="BW64" i="12" s="1"/>
  <c r="BW63" i="12" s="1"/>
  <c r="BW62" i="12" s="1"/>
  <c r="BW61" i="12" s="1"/>
  <c r="BW60" i="12" s="1"/>
  <c r="BW59" i="12" s="1"/>
  <c r="BW58" i="12" s="1"/>
  <c r="BW57" i="12" s="1"/>
  <c r="BW56" i="12" s="1"/>
  <c r="BW55" i="12" s="1"/>
  <c r="BW54" i="12" s="1"/>
  <c r="BW53" i="12" s="1"/>
  <c r="BW52" i="12" s="1"/>
  <c r="BW51" i="12" s="1"/>
  <c r="BW50" i="12" s="1"/>
  <c r="BW49" i="12" s="1"/>
  <c r="BW48" i="12" s="1"/>
  <c r="AA192" i="12"/>
  <c r="BW47" i="12" l="1"/>
  <c r="BV47" i="12"/>
  <c r="BT47" i="12"/>
  <c r="BZ46" i="12"/>
  <c r="BU47" i="12"/>
  <c r="CA47" i="12"/>
  <c r="BX46" i="12"/>
  <c r="BP55" i="5"/>
  <c r="CH55" i="5" s="1"/>
  <c r="AE56" i="5"/>
  <c r="BB56" i="5" s="1"/>
  <c r="X56" i="5"/>
  <c r="AC56" i="5"/>
  <c r="AZ56" i="5" s="1"/>
  <c r="Y56" i="5"/>
  <c r="BG56" i="5" s="1"/>
  <c r="BK56" i="5" s="1"/>
  <c r="CK56" i="5" s="1"/>
  <c r="AG56" i="5"/>
  <c r="BE56" i="5" s="1"/>
  <c r="AF56" i="5"/>
  <c r="BD56" i="5" s="1"/>
  <c r="BH55" i="5"/>
  <c r="BJ55" i="5" s="1"/>
  <c r="CJ55" i="5" s="1"/>
  <c r="AB56" i="5"/>
  <c r="W56" i="5"/>
  <c r="AD56" i="5"/>
  <c r="BA56" i="5" s="1"/>
  <c r="AH56" i="5"/>
  <c r="BF56" i="5" s="1"/>
  <c r="Z56" i="5"/>
  <c r="BI56" i="5" s="1"/>
  <c r="BY192" i="12"/>
  <c r="BY191" i="12" s="1"/>
  <c r="BY190" i="12" s="1"/>
  <c r="BY189" i="12" s="1"/>
  <c r="BY188" i="12" s="1"/>
  <c r="BY187" i="12" s="1"/>
  <c r="BY186" i="12" s="1"/>
  <c r="BY185" i="12" s="1"/>
  <c r="BY184" i="12" s="1"/>
  <c r="BY183" i="12" s="1"/>
  <c r="BY182" i="12" s="1"/>
  <c r="BY181" i="12" s="1"/>
  <c r="BY180" i="12" s="1"/>
  <c r="BY179" i="12" s="1"/>
  <c r="BY178" i="12" s="1"/>
  <c r="BY177" i="12" s="1"/>
  <c r="BY176" i="12" s="1"/>
  <c r="BY175" i="12" s="1"/>
  <c r="BY174" i="12" s="1"/>
  <c r="BY173" i="12" s="1"/>
  <c r="BY172" i="12" s="1"/>
  <c r="BY171" i="12" s="1"/>
  <c r="BY170" i="12" s="1"/>
  <c r="BY169" i="12" s="1"/>
  <c r="BY168" i="12" s="1"/>
  <c r="BY167" i="12" s="1"/>
  <c r="BY166" i="12" s="1"/>
  <c r="BY165" i="12" s="1"/>
  <c r="BY164" i="12" s="1"/>
  <c r="BY163" i="12" s="1"/>
  <c r="BY162" i="12" s="1"/>
  <c r="BY161" i="12" s="1"/>
  <c r="BY160" i="12" s="1"/>
  <c r="BY159" i="12" s="1"/>
  <c r="BY158" i="12" s="1"/>
  <c r="BY157" i="12" s="1"/>
  <c r="BY156" i="12" s="1"/>
  <c r="BY155" i="12" s="1"/>
  <c r="BY154" i="12" s="1"/>
  <c r="BY153" i="12" s="1"/>
  <c r="BY152" i="12" s="1"/>
  <c r="BY151" i="12" s="1"/>
  <c r="BY150" i="12" s="1"/>
  <c r="BY149" i="12" s="1"/>
  <c r="BY148" i="12" s="1"/>
  <c r="BY147" i="12" s="1"/>
  <c r="BY146" i="12" s="1"/>
  <c r="BY145" i="12" s="1"/>
  <c r="BY144" i="12" s="1"/>
  <c r="BY143" i="12" s="1"/>
  <c r="BY142" i="12" s="1"/>
  <c r="BY141" i="12" s="1"/>
  <c r="BY140" i="12" s="1"/>
  <c r="BY139" i="12" s="1"/>
  <c r="BY138" i="12" s="1"/>
  <c r="BY137" i="12" s="1"/>
  <c r="BY136" i="12" s="1"/>
  <c r="BY135" i="12" s="1"/>
  <c r="BY134" i="12" s="1"/>
  <c r="BY133" i="12" s="1"/>
  <c r="BY132" i="12" s="1"/>
  <c r="BY131" i="12" s="1"/>
  <c r="BY130" i="12" s="1"/>
  <c r="BY129" i="12" s="1"/>
  <c r="BY128" i="12" s="1"/>
  <c r="BY127" i="12" s="1"/>
  <c r="BY126" i="12" s="1"/>
  <c r="BY125" i="12" s="1"/>
  <c r="BY124" i="12" s="1"/>
  <c r="BY123" i="12" s="1"/>
  <c r="BY122" i="12" s="1"/>
  <c r="BY121" i="12" s="1"/>
  <c r="BY120" i="12" s="1"/>
  <c r="BY119" i="12" s="1"/>
  <c r="BY118" i="12" s="1"/>
  <c r="BY117" i="12" s="1"/>
  <c r="BY116" i="12" s="1"/>
  <c r="BY115" i="12" s="1"/>
  <c r="BY114" i="12" s="1"/>
  <c r="BY113" i="12" s="1"/>
  <c r="BY112" i="12" s="1"/>
  <c r="BY111" i="12" s="1"/>
  <c r="BY110" i="12" s="1"/>
  <c r="BY109" i="12" s="1"/>
  <c r="BY108" i="12" s="1"/>
  <c r="BY107" i="12" s="1"/>
  <c r="BY106" i="12" s="1"/>
  <c r="BY105" i="12" s="1"/>
  <c r="BY104" i="12" s="1"/>
  <c r="BY103" i="12" s="1"/>
  <c r="BY102" i="12" s="1"/>
  <c r="BY101" i="12" s="1"/>
  <c r="BY100" i="12" s="1"/>
  <c r="BY99" i="12" s="1"/>
  <c r="BY98" i="12" s="1"/>
  <c r="BY97" i="12" s="1"/>
  <c r="BY96" i="12" s="1"/>
  <c r="BY95" i="12" s="1"/>
  <c r="BY94" i="12" s="1"/>
  <c r="BY93" i="12" s="1"/>
  <c r="BY92" i="12" s="1"/>
  <c r="BY91" i="12" s="1"/>
  <c r="BY90" i="12" s="1"/>
  <c r="BY89" i="12" s="1"/>
  <c r="BY88" i="12" s="1"/>
  <c r="BY87" i="12" s="1"/>
  <c r="BY86" i="12" s="1"/>
  <c r="BY85" i="12" s="1"/>
  <c r="BY84" i="12" s="1"/>
  <c r="BY83" i="12" s="1"/>
  <c r="BY82" i="12" s="1"/>
  <c r="BY81" i="12" s="1"/>
  <c r="BY80" i="12" s="1"/>
  <c r="BY79" i="12" s="1"/>
  <c r="BY78" i="12" s="1"/>
  <c r="BY77" i="12" s="1"/>
  <c r="BY76" i="12" s="1"/>
  <c r="BY75" i="12" s="1"/>
  <c r="BY74" i="12" s="1"/>
  <c r="BY73" i="12" s="1"/>
  <c r="BY72" i="12" s="1"/>
  <c r="BY71" i="12" s="1"/>
  <c r="BY70" i="12" s="1"/>
  <c r="BY69" i="12" s="1"/>
  <c r="BY68" i="12" s="1"/>
  <c r="BY67" i="12" s="1"/>
  <c r="BY66" i="12" s="1"/>
  <c r="BY65" i="12" s="1"/>
  <c r="BY64" i="12" s="1"/>
  <c r="BY63" i="12" s="1"/>
  <c r="BY62" i="12" s="1"/>
  <c r="BY61" i="12" s="1"/>
  <c r="BY60" i="12" s="1"/>
  <c r="BY59" i="12" s="1"/>
  <c r="BY58" i="12" s="1"/>
  <c r="BY57" i="12" s="1"/>
  <c r="BY56" i="12" s="1"/>
  <c r="BY55" i="12" s="1"/>
  <c r="BY54" i="12" s="1"/>
  <c r="BY53" i="12" s="1"/>
  <c r="BY52" i="12" s="1"/>
  <c r="BY51" i="12" s="1"/>
  <c r="BY50" i="12" s="1"/>
  <c r="BY49" i="12" s="1"/>
  <c r="BY48" i="12" s="1"/>
  <c r="B50" i="21"/>
  <c r="AI50" i="21"/>
  <c r="CE50" i="21"/>
  <c r="DP50" i="21"/>
  <c r="EZ50" i="21"/>
  <c r="M50" i="21"/>
  <c r="BH50" i="21"/>
  <c r="DD50" i="21"/>
  <c r="EO50" i="21"/>
  <c r="V50" i="21"/>
  <c r="BI50" i="21"/>
  <c r="DE50" i="21"/>
  <c r="EX50" i="21"/>
  <c r="W50" i="21"/>
  <c r="BS50" i="21"/>
  <c r="DN50" i="21"/>
  <c r="EY50" i="21"/>
  <c r="L50" i="21"/>
  <c r="CF50" i="21"/>
  <c r="EC50" i="21"/>
  <c r="FY50" i="21"/>
  <c r="AH50" i="21"/>
  <c r="CR50" i="21"/>
  <c r="EN50" i="21"/>
  <c r="X50" i="21"/>
  <c r="CG50" i="21"/>
  <c r="EL50" i="21"/>
  <c r="Y50" i="21"/>
  <c r="CQ50" i="21"/>
  <c r="EM50" i="21"/>
  <c r="BU50" i="21"/>
  <c r="FL50" i="21"/>
  <c r="AK50" i="21"/>
  <c r="EA50" i="21"/>
  <c r="AU50" i="21"/>
  <c r="EB50" i="21"/>
  <c r="AV50" i="21"/>
  <c r="FA50" i="21"/>
  <c r="BT50" i="21"/>
  <c r="FM50" i="21"/>
  <c r="DQ50" i="21"/>
  <c r="DZ50" i="21"/>
  <c r="FJ50" i="21"/>
  <c r="J50" i="21"/>
  <c r="FK50" i="21"/>
  <c r="K50" i="21"/>
  <c r="FV50" i="21"/>
  <c r="DB50" i="21"/>
  <c r="AJ50" i="21"/>
  <c r="FW50" i="21"/>
  <c r="AW50" i="21"/>
  <c r="FX50" i="21"/>
  <c r="BG50" i="21"/>
  <c r="CS50" i="21"/>
  <c r="DC50" i="21"/>
  <c r="DO50" i="21"/>
  <c r="CO50" i="21"/>
  <c r="DX50" i="21"/>
  <c r="EI50" i="21"/>
  <c r="FR50" i="21"/>
  <c r="F50" i="21"/>
  <c r="AO50" i="21"/>
  <c r="AZ50" i="21"/>
  <c r="EQ50" i="21"/>
  <c r="C50" i="21"/>
  <c r="CT50" i="21"/>
  <c r="CC50" i="21"/>
  <c r="DL50" i="21"/>
  <c r="DW50" i="21"/>
  <c r="FF50" i="21"/>
  <c r="FQ50" i="21"/>
  <c r="E50" i="21"/>
  <c r="AN50" i="21"/>
  <c r="EE50" i="21"/>
  <c r="CD50" i="21"/>
  <c r="CH50" i="21"/>
  <c r="BQ50" i="21"/>
  <c r="CZ50" i="21"/>
  <c r="DK50" i="21"/>
  <c r="ET50" i="21"/>
  <c r="FE50" i="21"/>
  <c r="FP50" i="21"/>
  <c r="AB50" i="21"/>
  <c r="DS50" i="21"/>
  <c r="BF50" i="21"/>
  <c r="BV50" i="21"/>
  <c r="FU50" i="21"/>
  <c r="AG50" i="21"/>
  <c r="BP50" i="21"/>
  <c r="CA50" i="21"/>
  <c r="DJ50" i="21"/>
  <c r="DU50" i="21"/>
  <c r="EF50" i="21"/>
  <c r="CP50" i="21"/>
  <c r="CI50" i="21"/>
  <c r="AC50" i="21"/>
  <c r="AL50" i="21"/>
  <c r="EW50" i="21"/>
  <c r="I50" i="21"/>
  <c r="AR50" i="21"/>
  <c r="BC50" i="21"/>
  <c r="CL50" i="21"/>
  <c r="CW50" i="21"/>
  <c r="DH50" i="21"/>
  <c r="AF50" i="21"/>
  <c r="BK50" i="21"/>
  <c r="FB50" i="21"/>
  <c r="N50" i="21"/>
  <c r="DA50" i="21"/>
  <c r="FS50" i="21"/>
  <c r="CX50" i="21"/>
  <c r="FD50" i="21"/>
  <c r="FO50" i="21"/>
  <c r="EP50" i="21"/>
  <c r="BE50" i="21"/>
  <c r="FG50" i="21"/>
  <c r="BZ50" i="21"/>
  <c r="ER50" i="21"/>
  <c r="FC50" i="21"/>
  <c r="ED50" i="21"/>
  <c r="AS50" i="21"/>
  <c r="EU50" i="21"/>
  <c r="BN50" i="21"/>
  <c r="DT50" i="21"/>
  <c r="DG50" i="21"/>
  <c r="DR50" i="21"/>
  <c r="U50" i="21"/>
  <c r="CY50" i="21"/>
  <c r="BB50" i="21"/>
  <c r="CV50" i="21"/>
  <c r="CU50" i="21"/>
  <c r="DF50" i="21"/>
  <c r="FT50" i="21"/>
  <c r="CM50" i="21"/>
  <c r="AP50" i="21"/>
  <c r="CJ50" i="21"/>
  <c r="BW50" i="21"/>
  <c r="BJ50" i="21"/>
  <c r="EK50" i="21"/>
  <c r="CB50" i="21"/>
  <c r="G50" i="21"/>
  <c r="BY50" i="21"/>
  <c r="BR50" i="21"/>
  <c r="T50" i="21"/>
  <c r="DY50" i="21"/>
  <c r="BD50" i="21"/>
  <c r="EH50" i="21"/>
  <c r="BM50" i="21"/>
  <c r="R50" i="21"/>
  <c r="DM50" i="21"/>
  <c r="H50" i="21"/>
  <c r="DV50" i="21"/>
  <c r="BA50" i="21"/>
  <c r="FN50" i="21"/>
  <c r="FH50" i="21"/>
  <c r="BO50" i="21"/>
  <c r="ES50" i="21"/>
  <c r="BX50" i="21"/>
  <c r="AY50" i="21"/>
  <c r="AX50" i="21"/>
  <c r="EV50" i="21"/>
  <c r="AQ50" i="21"/>
  <c r="EG50" i="21"/>
  <c r="BL50" i="21"/>
  <c r="AM50" i="21"/>
  <c r="Z50" i="21"/>
  <c r="AD50" i="21"/>
  <c r="Q50" i="21"/>
  <c r="AT50" i="21"/>
  <c r="EJ50" i="21"/>
  <c r="AE50" i="21"/>
  <c r="DI50" i="21"/>
  <c r="P50" i="21"/>
  <c r="AA50" i="21"/>
  <c r="FI50" i="21"/>
  <c r="CN50" i="21"/>
  <c r="S50" i="21"/>
  <c r="CK50" i="21"/>
  <c r="D50" i="21"/>
  <c r="O50" i="21"/>
  <c r="AW44" i="21"/>
  <c r="CS44" i="21"/>
  <c r="Y44" i="21"/>
  <c r="BU44" i="21"/>
  <c r="DQ44" i="21"/>
  <c r="EM44" i="21"/>
  <c r="FI44" i="21"/>
  <c r="AL44" i="21"/>
  <c r="C44" i="21"/>
  <c r="EQ44" i="21"/>
  <c r="DH44" i="21"/>
  <c r="BY44" i="21"/>
  <c r="AP44" i="21"/>
  <c r="G44" i="21"/>
  <c r="EL44" i="21"/>
  <c r="AU44" i="21"/>
  <c r="EI44" i="21"/>
  <c r="AR44" i="21"/>
  <c r="EA44" i="21"/>
  <c r="AI44" i="21"/>
  <c r="DX44" i="21"/>
  <c r="AF44" i="21"/>
  <c r="BS44" i="21"/>
  <c r="AX44" i="21"/>
  <c r="O44" i="21"/>
  <c r="FC44" i="21"/>
  <c r="DT44" i="21"/>
  <c r="CK44" i="21"/>
  <c r="BB44" i="21"/>
  <c r="S44" i="21"/>
  <c r="DP44" i="21"/>
  <c r="W44" i="21"/>
  <c r="DM44" i="21"/>
  <c r="T44" i="21"/>
  <c r="DD44" i="21"/>
  <c r="K44" i="21"/>
  <c r="DA44" i="21"/>
  <c r="H44" i="21"/>
  <c r="BJ44" i="21"/>
  <c r="AA44" i="21"/>
  <c r="FO44" i="21"/>
  <c r="EF44" i="21"/>
  <c r="CW44" i="21"/>
  <c r="BN44" i="21"/>
  <c r="AE44" i="21"/>
  <c r="CR44" i="21"/>
  <c r="FW44" i="21"/>
  <c r="CO44" i="21"/>
  <c r="FT44" i="21"/>
  <c r="CF44" i="21"/>
  <c r="FL44" i="21"/>
  <c r="CC44" i="21"/>
  <c r="BV44" i="21"/>
  <c r="AM44" i="21"/>
  <c r="D44" i="21"/>
  <c r="ER44" i="21"/>
  <c r="DI44" i="21"/>
  <c r="BZ44" i="21"/>
  <c r="AQ44" i="21"/>
  <c r="BT44" i="21"/>
  <c r="FA44" i="21"/>
  <c r="BQ44" i="21"/>
  <c r="EX44" i="21"/>
  <c r="BH44" i="21"/>
  <c r="EU44" i="21"/>
  <c r="BE44" i="21"/>
  <c r="CH44" i="21"/>
  <c r="AY44" i="21"/>
  <c r="P44" i="21"/>
  <c r="FD44" i="21"/>
  <c r="DU44" i="21"/>
  <c r="CL44" i="21"/>
  <c r="BC44" i="21"/>
  <c r="AV44" i="21"/>
  <c r="EJ44" i="21"/>
  <c r="AS44" i="21"/>
  <c r="EB44" i="21"/>
  <c r="AJ44" i="21"/>
  <c r="DY44" i="21"/>
  <c r="AG44" i="21"/>
  <c r="DZ44" i="21"/>
  <c r="B44" i="21"/>
  <c r="EP44" i="21"/>
  <c r="DG44" i="21"/>
  <c r="BX44" i="21"/>
  <c r="AO44" i="21"/>
  <c r="F44" i="21"/>
  <c r="ET44" i="21"/>
  <c r="DK44" i="21"/>
  <c r="DO44" i="21"/>
  <c r="V44" i="21"/>
  <c r="DL44" i="21"/>
  <c r="M44" i="21"/>
  <c r="DC44" i="21"/>
  <c r="J44" i="21"/>
  <c r="CZ44" i="21"/>
  <c r="N44" i="21"/>
  <c r="FB44" i="21"/>
  <c r="DS44" i="21"/>
  <c r="CJ44" i="21"/>
  <c r="BA44" i="21"/>
  <c r="FF44" i="21"/>
  <c r="FY44" i="21"/>
  <c r="CQ44" i="21"/>
  <c r="FV44" i="21"/>
  <c r="CN44" i="21"/>
  <c r="FS44" i="21"/>
  <c r="CE44" i="21"/>
  <c r="FK44" i="21"/>
  <c r="CB44" i="21"/>
  <c r="Z44" i="21"/>
  <c r="FN44" i="21"/>
  <c r="EE44" i="21"/>
  <c r="CV44" i="21"/>
  <c r="AD44" i="21"/>
  <c r="FR44" i="21"/>
  <c r="FH44" i="21"/>
  <c r="EZ44" i="21"/>
  <c r="BP44" i="21"/>
  <c r="EW44" i="21"/>
  <c r="BG44" i="21"/>
  <c r="EO44" i="21"/>
  <c r="BD44" i="21"/>
  <c r="CT44" i="21"/>
  <c r="BK44" i="21"/>
  <c r="AB44" i="21"/>
  <c r="FP44" i="21"/>
  <c r="EG44" i="21"/>
  <c r="CX44" i="21"/>
  <c r="BO44" i="21"/>
  <c r="X44" i="21"/>
  <c r="DN44" i="21"/>
  <c r="U44" i="21"/>
  <c r="DE44" i="21"/>
  <c r="L44" i="21"/>
  <c r="DB44" i="21"/>
  <c r="I44" i="21"/>
  <c r="DF44" i="21"/>
  <c r="BW44" i="21"/>
  <c r="AN44" i="21"/>
  <c r="E44" i="21"/>
  <c r="ES44" i="21"/>
  <c r="DJ44" i="21"/>
  <c r="CA44" i="21"/>
  <c r="FX44" i="21"/>
  <c r="CP44" i="21"/>
  <c r="FU44" i="21"/>
  <c r="CG44" i="21"/>
  <c r="FM44" i="21"/>
  <c r="CD44" i="21"/>
  <c r="FJ44" i="21"/>
  <c r="CU44" i="21"/>
  <c r="BL44" i="21"/>
  <c r="AC44" i="21"/>
  <c r="FQ44" i="21"/>
  <c r="EH44" i="21"/>
  <c r="CY44" i="21"/>
  <c r="EK44" i="21"/>
  <c r="EC44" i="21"/>
  <c r="AK44" i="21"/>
  <c r="AH44" i="21"/>
  <c r="DW44" i="21"/>
  <c r="R44" i="21"/>
  <c r="BM44" i="21"/>
  <c r="DR44" i="21"/>
  <c r="CI44" i="21"/>
  <c r="AZ44" i="21"/>
  <c r="Q44" i="21"/>
  <c r="FE44" i="21"/>
  <c r="DV44" i="21"/>
  <c r="CM44" i="21"/>
  <c r="FG44" i="21"/>
  <c r="BR44" i="21"/>
  <c r="EY44" i="21"/>
  <c r="BI44" i="21"/>
  <c r="EV44" i="21"/>
  <c r="BF44" i="21"/>
  <c r="EN44" i="21"/>
  <c r="ED44" i="21"/>
  <c r="AT44" i="21"/>
  <c r="D54" i="21"/>
  <c r="B54" i="21"/>
  <c r="Z54" i="21"/>
  <c r="AX54" i="21"/>
  <c r="BV54" i="21"/>
  <c r="CU54" i="21"/>
  <c r="DS54" i="21"/>
  <c r="EQ54" i="21"/>
  <c r="FX54" i="21"/>
  <c r="Y54" i="21"/>
  <c r="AY54" i="21"/>
  <c r="CA54" i="21"/>
  <c r="DD54" i="21"/>
  <c r="EC54" i="21"/>
  <c r="FC54" i="21"/>
  <c r="AA54" i="21"/>
  <c r="BC54" i="21"/>
  <c r="CE54" i="21"/>
  <c r="DE54" i="21"/>
  <c r="ED54" i="21"/>
  <c r="FG54" i="21"/>
  <c r="C54" i="21"/>
  <c r="AE54" i="21"/>
  <c r="BG54" i="21"/>
  <c r="CF54" i="21"/>
  <c r="DF54" i="21"/>
  <c r="EE54" i="21"/>
  <c r="FL54" i="21"/>
  <c r="L54" i="21"/>
  <c r="AQ54" i="21"/>
  <c r="BW54" i="21"/>
  <c r="DO54" i="21"/>
  <c r="EU54" i="21"/>
  <c r="O54" i="21"/>
  <c r="AW54" i="21"/>
  <c r="CI54" i="21"/>
  <c r="DR54" i="21"/>
  <c r="FB54" i="21"/>
  <c r="M54" i="21"/>
  <c r="AU54" i="21"/>
  <c r="CG54" i="21"/>
  <c r="DP54" i="21"/>
  <c r="EZ54" i="21"/>
  <c r="N54" i="21"/>
  <c r="AV54" i="21"/>
  <c r="CH54" i="21"/>
  <c r="DQ54" i="21"/>
  <c r="FA54" i="21"/>
  <c r="K54" i="21"/>
  <c r="BK54" i="21"/>
  <c r="DK54" i="21"/>
  <c r="FS54" i="21"/>
  <c r="X54" i="21"/>
  <c r="BU54" i="21"/>
  <c r="EM54" i="21"/>
  <c r="AI54" i="21"/>
  <c r="CQ54" i="21"/>
  <c r="EN54" i="21"/>
  <c r="AJ54" i="21"/>
  <c r="CR54" i="21"/>
  <c r="EO54" i="21"/>
  <c r="AM54" i="21"/>
  <c r="CY54" i="21"/>
  <c r="FN54" i="21"/>
  <c r="BS54" i="21"/>
  <c r="FO54" i="21"/>
  <c r="BT54" i="21"/>
  <c r="FY54" i="21"/>
  <c r="CS54" i="21"/>
  <c r="G54" i="21"/>
  <c r="CT54" i="21"/>
  <c r="S54" i="21"/>
  <c r="DC54" i="21"/>
  <c r="BI54" i="21"/>
  <c r="EI54" i="21"/>
  <c r="W54" i="21"/>
  <c r="DG54" i="21"/>
  <c r="AK54" i="21"/>
  <c r="DW54" i="21"/>
  <c r="AL54" i="21"/>
  <c r="EA54" i="21"/>
  <c r="BH54" i="21"/>
  <c r="EB54" i="21"/>
  <c r="BO54" i="21"/>
  <c r="EP54" i="21"/>
  <c r="FM54" i="21"/>
  <c r="BJ54" i="21"/>
  <c r="EX54" i="21"/>
  <c r="J54" i="21"/>
  <c r="AS54" i="21"/>
  <c r="CB54" i="21"/>
  <c r="DV54" i="21"/>
  <c r="FE54" i="21"/>
  <c r="Q54" i="21"/>
  <c r="AZ54" i="21"/>
  <c r="EL54" i="21"/>
  <c r="FU54" i="21"/>
  <c r="AG54" i="21"/>
  <c r="BP54" i="21"/>
  <c r="DJ54" i="21"/>
  <c r="ES54" i="21"/>
  <c r="E54" i="21"/>
  <c r="AN54" i="21"/>
  <c r="DZ54" i="21"/>
  <c r="FI54" i="21"/>
  <c r="U54" i="21"/>
  <c r="BD54" i="21"/>
  <c r="CX54" i="21"/>
  <c r="EG54" i="21"/>
  <c r="FP54" i="21"/>
  <c r="AB54" i="21"/>
  <c r="CP54" i="21"/>
  <c r="DY54" i="21"/>
  <c r="FH54" i="21"/>
  <c r="T54" i="21"/>
  <c r="BN54" i="21"/>
  <c r="CW54" i="21"/>
  <c r="EF54" i="21"/>
  <c r="FW54" i="21"/>
  <c r="BR54" i="21"/>
  <c r="DA54" i="21"/>
  <c r="EJ54" i="21"/>
  <c r="CM54" i="21"/>
  <c r="AP54" i="21"/>
  <c r="BY54" i="21"/>
  <c r="DH54" i="21"/>
  <c r="EW54" i="21"/>
  <c r="CZ54" i="21"/>
  <c r="AD54" i="21"/>
  <c r="ER54" i="21"/>
  <c r="FK54" i="21"/>
  <c r="EK54" i="21"/>
  <c r="CN54" i="21"/>
  <c r="R54" i="21"/>
  <c r="DT54" i="21"/>
  <c r="EY54" i="21"/>
  <c r="DM54" i="21"/>
  <c r="AR54" i="21"/>
  <c r="F54" i="21"/>
  <c r="CV54" i="21"/>
  <c r="FV54" i="21"/>
  <c r="CO54" i="21"/>
  <c r="AF54" i="21"/>
  <c r="FQ54" i="21"/>
  <c r="CJ54" i="21"/>
  <c r="FJ54" i="21"/>
  <c r="CC54" i="21"/>
  <c r="H54" i="21"/>
  <c r="DU54" i="21"/>
  <c r="BX54" i="21"/>
  <c r="AT54" i="21"/>
  <c r="EV54" i="21"/>
  <c r="CL54" i="21"/>
  <c r="AH54" i="21"/>
  <c r="DX54" i="21"/>
  <c r="BZ54" i="21"/>
  <c r="AC54" i="21"/>
  <c r="V54" i="21"/>
  <c r="DL54" i="21"/>
  <c r="BB54" i="21"/>
  <c r="FD54" i="21"/>
  <c r="DN54" i="21"/>
  <c r="BQ54" i="21"/>
  <c r="FR54" i="21"/>
  <c r="DI54" i="21"/>
  <c r="BL54" i="21"/>
  <c r="DB54" i="21"/>
  <c r="BE54" i="21"/>
  <c r="FF54" i="21"/>
  <c r="CK54" i="21"/>
  <c r="P54" i="21"/>
  <c r="AO54" i="21"/>
  <c r="CD54" i="21"/>
  <c r="I54" i="21"/>
  <c r="ET54" i="21"/>
  <c r="BM54" i="21"/>
  <c r="BF54" i="21"/>
  <c r="FT54" i="21"/>
  <c r="EH54" i="21"/>
  <c r="BA54" i="21"/>
  <c r="BH192" i="12"/>
  <c r="BJ192" i="12" s="1"/>
  <c r="B212" i="21" a="1"/>
  <c r="FY235" i="21"/>
  <c r="FX235" i="21" s="1"/>
  <c r="FW235" i="21" s="1"/>
  <c r="FV235" i="21" s="1"/>
  <c r="FU235" i="21" s="1"/>
  <c r="FT235" i="21" s="1"/>
  <c r="FS235" i="21" s="1"/>
  <c r="FR235" i="21" s="1"/>
  <c r="FQ235" i="21" s="1"/>
  <c r="FP235" i="21" s="1"/>
  <c r="FO235" i="21" s="1"/>
  <c r="FN235" i="21" s="1"/>
  <c r="FM235" i="21" s="1"/>
  <c r="FL235" i="21" s="1"/>
  <c r="FK235" i="21" s="1"/>
  <c r="FJ235" i="21" s="1"/>
  <c r="FI235" i="21" s="1"/>
  <c r="FH235" i="21" s="1"/>
  <c r="FG235" i="21" s="1"/>
  <c r="FF235" i="21" s="1"/>
  <c r="FE235" i="21" s="1"/>
  <c r="FD235" i="21" s="1"/>
  <c r="FC235" i="21" s="1"/>
  <c r="FB235" i="21" s="1"/>
  <c r="FA235" i="21" s="1"/>
  <c r="EZ235" i="21" s="1"/>
  <c r="EY235" i="21" s="1"/>
  <c r="EX235" i="21" s="1"/>
  <c r="EW235" i="21" s="1"/>
  <c r="EV235" i="21" s="1"/>
  <c r="EU235" i="21" s="1"/>
  <c r="ET235" i="21" s="1"/>
  <c r="ES235" i="21" s="1"/>
  <c r="ER235" i="21" s="1"/>
  <c r="EQ235" i="21" s="1"/>
  <c r="EP235" i="21" s="1"/>
  <c r="EO235" i="21" s="1"/>
  <c r="EN235" i="21" s="1"/>
  <c r="EM235" i="21" s="1"/>
  <c r="EL235" i="21" s="1"/>
  <c r="EK235" i="21" s="1"/>
  <c r="EJ235" i="21" s="1"/>
  <c r="EI235" i="21" s="1"/>
  <c r="EH235" i="21" s="1"/>
  <c r="EG235" i="21" s="1"/>
  <c r="EF235" i="21" s="1"/>
  <c r="EE235" i="21" s="1"/>
  <c r="ED235" i="21" s="1"/>
  <c r="EC235" i="21" s="1"/>
  <c r="EB235" i="21" s="1"/>
  <c r="EA235" i="21" s="1"/>
  <c r="DZ235" i="21" s="1"/>
  <c r="DY235" i="21" s="1"/>
  <c r="DX235" i="21" s="1"/>
  <c r="DW235" i="21" s="1"/>
  <c r="DV235" i="21" s="1"/>
  <c r="DU235" i="21" s="1"/>
  <c r="DT235" i="21" s="1"/>
  <c r="DS235" i="21" s="1"/>
  <c r="DR235" i="21" s="1"/>
  <c r="DQ235" i="21" s="1"/>
  <c r="DP235" i="21" s="1"/>
  <c r="DO235" i="21" s="1"/>
  <c r="DN235" i="21" s="1"/>
  <c r="DM235" i="21" s="1"/>
  <c r="DL235" i="21" s="1"/>
  <c r="DK235" i="21" s="1"/>
  <c r="DJ235" i="21" s="1"/>
  <c r="DI235" i="21" s="1"/>
  <c r="DH235" i="21" s="1"/>
  <c r="DG235" i="21" s="1"/>
  <c r="DF235" i="21" s="1"/>
  <c r="DE235" i="21" s="1"/>
  <c r="DD235" i="21" s="1"/>
  <c r="DC235" i="21" s="1"/>
  <c r="DB235" i="21" s="1"/>
  <c r="DA235" i="21" s="1"/>
  <c r="CZ235" i="21" s="1"/>
  <c r="CY235" i="21" s="1"/>
  <c r="CX235" i="21" s="1"/>
  <c r="CW235" i="21" s="1"/>
  <c r="CV235" i="21" s="1"/>
  <c r="CU235" i="21" s="1"/>
  <c r="CT235" i="21" s="1"/>
  <c r="CS235" i="21" s="1"/>
  <c r="CR235" i="21" s="1"/>
  <c r="CQ235" i="21" s="1"/>
  <c r="CP235" i="21" s="1"/>
  <c r="CO235" i="21" s="1"/>
  <c r="CN235" i="21" s="1"/>
  <c r="CM235" i="21" s="1"/>
  <c r="CL235" i="21" s="1"/>
  <c r="CK235" i="21" s="1"/>
  <c r="CJ235" i="21" s="1"/>
  <c r="CI235" i="21" s="1"/>
  <c r="CH235" i="21" s="1"/>
  <c r="CG235" i="21" s="1"/>
  <c r="CF235" i="21" s="1"/>
  <c r="CE235" i="21" s="1"/>
  <c r="CD235" i="21" s="1"/>
  <c r="CC235" i="21" s="1"/>
  <c r="CB235" i="21" s="1"/>
  <c r="CA235" i="21" s="1"/>
  <c r="BZ235" i="21" s="1"/>
  <c r="BY235" i="21" s="1"/>
  <c r="BX235" i="21" s="1"/>
  <c r="BW235" i="21" s="1"/>
  <c r="BV235" i="21" s="1"/>
  <c r="BU235" i="21" s="1"/>
  <c r="BT235" i="21" s="1"/>
  <c r="BS235" i="21" s="1"/>
  <c r="BR235" i="21" s="1"/>
  <c r="BQ235" i="21" s="1"/>
  <c r="BP235" i="21" s="1"/>
  <c r="BO235" i="21" s="1"/>
  <c r="BN235" i="21" s="1"/>
  <c r="BM235" i="21" s="1"/>
  <c r="BL235" i="21" s="1"/>
  <c r="BK235" i="21" s="1"/>
  <c r="BJ235" i="21" s="1"/>
  <c r="BI235" i="21" s="1"/>
  <c r="BH235" i="21" s="1"/>
  <c r="BG235" i="21" s="1"/>
  <c r="BF235" i="21" s="1"/>
  <c r="BE235" i="21" s="1"/>
  <c r="BD235" i="21" s="1"/>
  <c r="BC235" i="21" s="1"/>
  <c r="BB235" i="21" s="1"/>
  <c r="BA235" i="21" s="1"/>
  <c r="AZ235" i="21" s="1"/>
  <c r="AY235" i="21" s="1"/>
  <c r="AX235" i="21" s="1"/>
  <c r="AW235" i="21" s="1"/>
  <c r="AV235" i="21" s="1"/>
  <c r="AU235" i="21" s="1"/>
  <c r="AT235" i="21" s="1"/>
  <c r="AS235" i="21" s="1"/>
  <c r="AR235" i="21" s="1"/>
  <c r="AQ235" i="21" s="1"/>
  <c r="AP235" i="21" s="1"/>
  <c r="AO235" i="21" s="1"/>
  <c r="AN235" i="21" s="1"/>
  <c r="AM235" i="21" s="1"/>
  <c r="AL235" i="21" s="1"/>
  <c r="AK235" i="21" s="1"/>
  <c r="AJ235" i="21" s="1"/>
  <c r="AI235" i="21" s="1"/>
  <c r="AH235" i="21" s="1"/>
  <c r="AG235" i="21" s="1"/>
  <c r="AF235" i="21" s="1"/>
  <c r="AE235" i="21" s="1"/>
  <c r="AD235" i="21" s="1"/>
  <c r="AC235" i="21" s="1"/>
  <c r="AB235" i="21" s="1"/>
  <c r="AA235" i="21" s="1"/>
  <c r="Z235" i="21" s="1"/>
  <c r="Y235" i="21" s="1"/>
  <c r="X235" i="21" s="1"/>
  <c r="W235" i="21" s="1"/>
  <c r="V235" i="21" s="1"/>
  <c r="U235" i="21" s="1"/>
  <c r="T235" i="21" s="1"/>
  <c r="S235" i="21" s="1"/>
  <c r="R235" i="21" s="1"/>
  <c r="Q235" i="21" s="1"/>
  <c r="P235" i="21" s="1"/>
  <c r="O235" i="21" s="1"/>
  <c r="N235" i="21" s="1"/>
  <c r="M235" i="21" s="1"/>
  <c r="L235" i="21" s="1"/>
  <c r="K235" i="21" s="1"/>
  <c r="J235" i="21" s="1"/>
  <c r="I235" i="21" s="1"/>
  <c r="H235" i="21" s="1"/>
  <c r="G235" i="21" s="1"/>
  <c r="F235" i="21" s="1"/>
  <c r="E235" i="21" s="1"/>
  <c r="D235" i="21" s="1"/>
  <c r="C235" i="21" s="1"/>
  <c r="B235" i="21" s="1"/>
  <c r="FY196" i="21"/>
  <c r="FX196" i="21" s="1"/>
  <c r="FW196" i="21" s="1"/>
  <c r="FV196" i="21" s="1"/>
  <c r="FU196" i="21" s="1"/>
  <c r="FT196" i="21" s="1"/>
  <c r="FS196" i="21" s="1"/>
  <c r="FR196" i="21" s="1"/>
  <c r="FQ196" i="21" s="1"/>
  <c r="FP196" i="21" s="1"/>
  <c r="FO196" i="21" s="1"/>
  <c r="FN196" i="21" s="1"/>
  <c r="FM196" i="21" s="1"/>
  <c r="FL196" i="21" s="1"/>
  <c r="FK196" i="21" s="1"/>
  <c r="FJ196" i="21" s="1"/>
  <c r="FI196" i="21" s="1"/>
  <c r="FH196" i="21" s="1"/>
  <c r="FG196" i="21" s="1"/>
  <c r="FF196" i="21" s="1"/>
  <c r="FE196" i="21" s="1"/>
  <c r="FD196" i="21" s="1"/>
  <c r="FC196" i="21" s="1"/>
  <c r="FB196" i="21" s="1"/>
  <c r="FA196" i="21" s="1"/>
  <c r="EZ196" i="21" s="1"/>
  <c r="EY196" i="21" s="1"/>
  <c r="EX196" i="21" s="1"/>
  <c r="EW196" i="21" s="1"/>
  <c r="EV196" i="21" s="1"/>
  <c r="EU196" i="21" s="1"/>
  <c r="ET196" i="21" s="1"/>
  <c r="ES196" i="21" s="1"/>
  <c r="ER196" i="21" s="1"/>
  <c r="EQ196" i="21" s="1"/>
  <c r="EP196" i="21" s="1"/>
  <c r="EO196" i="21" s="1"/>
  <c r="EN196" i="21" s="1"/>
  <c r="EM196" i="21" s="1"/>
  <c r="EL196" i="21" s="1"/>
  <c r="EK196" i="21" s="1"/>
  <c r="EJ196" i="21" s="1"/>
  <c r="EI196" i="21" s="1"/>
  <c r="EH196" i="21" s="1"/>
  <c r="EG196" i="21" s="1"/>
  <c r="EF196" i="21" s="1"/>
  <c r="EE196" i="21" s="1"/>
  <c r="ED196" i="21" s="1"/>
  <c r="EC196" i="21" s="1"/>
  <c r="EB196" i="21" s="1"/>
  <c r="EA196" i="21" s="1"/>
  <c r="DZ196" i="21" s="1"/>
  <c r="DY196" i="21" s="1"/>
  <c r="DX196" i="21" s="1"/>
  <c r="DW196" i="21" s="1"/>
  <c r="DV196" i="21" s="1"/>
  <c r="DU196" i="21" s="1"/>
  <c r="DT196" i="21" s="1"/>
  <c r="DS196" i="21" s="1"/>
  <c r="DR196" i="21" s="1"/>
  <c r="DQ196" i="21" s="1"/>
  <c r="DP196" i="21" s="1"/>
  <c r="DO196" i="21" s="1"/>
  <c r="DN196" i="21" s="1"/>
  <c r="DM196" i="21" s="1"/>
  <c r="DL196" i="21" s="1"/>
  <c r="DK196" i="21" s="1"/>
  <c r="DJ196" i="21" s="1"/>
  <c r="DI196" i="21" s="1"/>
  <c r="DH196" i="21" s="1"/>
  <c r="DG196" i="21" s="1"/>
  <c r="DF196" i="21" s="1"/>
  <c r="DE196" i="21" s="1"/>
  <c r="DD196" i="21" s="1"/>
  <c r="DC196" i="21" s="1"/>
  <c r="DB196" i="21" s="1"/>
  <c r="DA196" i="21" s="1"/>
  <c r="CZ196" i="21" s="1"/>
  <c r="CY196" i="21" s="1"/>
  <c r="CX196" i="21" s="1"/>
  <c r="CW196" i="21" s="1"/>
  <c r="CV196" i="21" s="1"/>
  <c r="CU196" i="21" s="1"/>
  <c r="CT196" i="21" s="1"/>
  <c r="CS196" i="21" s="1"/>
  <c r="CR196" i="21" s="1"/>
  <c r="CQ196" i="21" s="1"/>
  <c r="CP196" i="21" s="1"/>
  <c r="CO196" i="21" s="1"/>
  <c r="CN196" i="21" s="1"/>
  <c r="CM196" i="21" s="1"/>
  <c r="CL196" i="21" s="1"/>
  <c r="CK196" i="21" s="1"/>
  <c r="CJ196" i="21" s="1"/>
  <c r="CI196" i="21" s="1"/>
  <c r="CH196" i="21" s="1"/>
  <c r="CG196" i="21" s="1"/>
  <c r="CF196" i="21" s="1"/>
  <c r="CE196" i="21" s="1"/>
  <c r="CD196" i="21" s="1"/>
  <c r="CC196" i="21" s="1"/>
  <c r="CB196" i="21" s="1"/>
  <c r="CA196" i="21" s="1"/>
  <c r="BZ196" i="21" s="1"/>
  <c r="BY196" i="21" s="1"/>
  <c r="BX196" i="21" s="1"/>
  <c r="BW196" i="21" s="1"/>
  <c r="BV196" i="21" s="1"/>
  <c r="BU196" i="21" s="1"/>
  <c r="BT196" i="21" s="1"/>
  <c r="BS196" i="21" s="1"/>
  <c r="BR196" i="21" s="1"/>
  <c r="BQ196" i="21" s="1"/>
  <c r="BP196" i="21" s="1"/>
  <c r="BO196" i="21" s="1"/>
  <c r="BN196" i="21" s="1"/>
  <c r="BM196" i="21" s="1"/>
  <c r="BL196" i="21" s="1"/>
  <c r="BK196" i="21" s="1"/>
  <c r="BJ196" i="21" s="1"/>
  <c r="BI196" i="21" s="1"/>
  <c r="BH196" i="21" s="1"/>
  <c r="BG196" i="21" s="1"/>
  <c r="BF196" i="21" s="1"/>
  <c r="BE196" i="21" s="1"/>
  <c r="BD196" i="21" s="1"/>
  <c r="BC196" i="21" s="1"/>
  <c r="BB196" i="21" s="1"/>
  <c r="BA196" i="21" s="1"/>
  <c r="AZ196" i="21" s="1"/>
  <c r="AY196" i="21" s="1"/>
  <c r="AX196" i="21" s="1"/>
  <c r="AW196" i="21" s="1"/>
  <c r="AV196" i="21" s="1"/>
  <c r="AU196" i="21" s="1"/>
  <c r="AT196" i="21" s="1"/>
  <c r="AS196" i="21" s="1"/>
  <c r="AR196" i="21" s="1"/>
  <c r="AQ196" i="21" s="1"/>
  <c r="AP196" i="21" s="1"/>
  <c r="AO196" i="21" s="1"/>
  <c r="AN196" i="21" s="1"/>
  <c r="AM196" i="21" s="1"/>
  <c r="AL196" i="21" s="1"/>
  <c r="AK196" i="21" s="1"/>
  <c r="AJ196" i="21" s="1"/>
  <c r="AI196" i="21" s="1"/>
  <c r="AH196" i="21" s="1"/>
  <c r="AG196" i="21" s="1"/>
  <c r="AF196" i="21" s="1"/>
  <c r="AE196" i="21" s="1"/>
  <c r="AD196" i="21" s="1"/>
  <c r="AC196" i="21" s="1"/>
  <c r="AB196" i="21" s="1"/>
  <c r="AA196" i="21" s="1"/>
  <c r="Z196" i="21" s="1"/>
  <c r="Y196" i="21" s="1"/>
  <c r="X196" i="21" s="1"/>
  <c r="W196" i="21" s="1"/>
  <c r="V196" i="21" s="1"/>
  <c r="U196" i="21" s="1"/>
  <c r="T196" i="21" s="1"/>
  <c r="S196" i="21" s="1"/>
  <c r="R196" i="21" s="1"/>
  <c r="Q196" i="21" s="1"/>
  <c r="P196" i="21" s="1"/>
  <c r="O196" i="21" s="1"/>
  <c r="N196" i="21" s="1"/>
  <c r="M196" i="21" s="1"/>
  <c r="L196" i="21" s="1"/>
  <c r="K196" i="21" s="1"/>
  <c r="J196" i="21" s="1"/>
  <c r="I196" i="21" s="1"/>
  <c r="H196" i="21" s="1"/>
  <c r="G196" i="21" s="1"/>
  <c r="F196" i="21" s="1"/>
  <c r="E196" i="21" s="1"/>
  <c r="D196" i="21" s="1"/>
  <c r="C196" i="21" s="1"/>
  <c r="B196" i="21" s="1"/>
  <c r="BY47" i="12" l="1"/>
  <c r="BX45" i="12"/>
  <c r="BT46" i="12"/>
  <c r="CA46" i="12"/>
  <c r="BV46" i="12"/>
  <c r="BZ45" i="12"/>
  <c r="BU46" i="12"/>
  <c r="BW46" i="12"/>
  <c r="AX56" i="5"/>
  <c r="BC56" i="5"/>
  <c r="BM56" i="5"/>
  <c r="CI56" i="5" s="1"/>
  <c r="AA56" i="5"/>
  <c r="BR56" i="5"/>
  <c r="CF56" i="5" s="1"/>
  <c r="BQ56" i="5"/>
  <c r="BN56" i="5"/>
  <c r="BO56" i="5"/>
  <c r="BL56" i="5"/>
  <c r="CG56" i="5" s="1"/>
  <c r="FY201" i="21"/>
  <c r="FX201" i="21" s="1"/>
  <c r="FW201" i="21" s="1"/>
  <c r="FV201" i="21" s="1"/>
  <c r="FU201" i="21" s="1"/>
  <c r="FT201" i="21" s="1"/>
  <c r="FS201" i="21" s="1"/>
  <c r="FR201" i="21" s="1"/>
  <c r="FQ201" i="21" s="1"/>
  <c r="FP201" i="21" s="1"/>
  <c r="FO201" i="21" s="1"/>
  <c r="FN201" i="21" s="1"/>
  <c r="FM201" i="21" s="1"/>
  <c r="FL201" i="21" s="1"/>
  <c r="FK201" i="21" s="1"/>
  <c r="FJ201" i="21" s="1"/>
  <c r="FI201" i="21" s="1"/>
  <c r="FH201" i="21" s="1"/>
  <c r="FG201" i="21" s="1"/>
  <c r="FF201" i="21" s="1"/>
  <c r="FE201" i="21" s="1"/>
  <c r="FD201" i="21" s="1"/>
  <c r="FC201" i="21" s="1"/>
  <c r="FB201" i="21" s="1"/>
  <c r="FA201" i="21" s="1"/>
  <c r="EZ201" i="21" s="1"/>
  <c r="EY201" i="21" s="1"/>
  <c r="EX201" i="21" s="1"/>
  <c r="EW201" i="21" s="1"/>
  <c r="EV201" i="21" s="1"/>
  <c r="EU201" i="21" s="1"/>
  <c r="ET201" i="21" s="1"/>
  <c r="ES201" i="21" s="1"/>
  <c r="ER201" i="21" s="1"/>
  <c r="EQ201" i="21" s="1"/>
  <c r="EP201" i="21" s="1"/>
  <c r="EO201" i="21" s="1"/>
  <c r="EN201" i="21" s="1"/>
  <c r="EM201" i="21" s="1"/>
  <c r="EL201" i="21" s="1"/>
  <c r="EK201" i="21" s="1"/>
  <c r="EJ201" i="21" s="1"/>
  <c r="EI201" i="21" s="1"/>
  <c r="EH201" i="21" s="1"/>
  <c r="EG201" i="21" s="1"/>
  <c r="EF201" i="21" s="1"/>
  <c r="EE201" i="21" s="1"/>
  <c r="ED201" i="21" s="1"/>
  <c r="EC201" i="21" s="1"/>
  <c r="EB201" i="21" s="1"/>
  <c r="EA201" i="21" s="1"/>
  <c r="DZ201" i="21" s="1"/>
  <c r="DY201" i="21" s="1"/>
  <c r="DX201" i="21" s="1"/>
  <c r="DW201" i="21" s="1"/>
  <c r="DV201" i="21" s="1"/>
  <c r="DU201" i="21" s="1"/>
  <c r="DT201" i="21" s="1"/>
  <c r="DS201" i="21" s="1"/>
  <c r="DR201" i="21" s="1"/>
  <c r="DQ201" i="21" s="1"/>
  <c r="DP201" i="21" s="1"/>
  <c r="DO201" i="21" s="1"/>
  <c r="DN201" i="21" s="1"/>
  <c r="DM201" i="21" s="1"/>
  <c r="DL201" i="21" s="1"/>
  <c r="DK201" i="21" s="1"/>
  <c r="DJ201" i="21" s="1"/>
  <c r="DI201" i="21" s="1"/>
  <c r="DH201" i="21" s="1"/>
  <c r="DG201" i="21" s="1"/>
  <c r="DF201" i="21" s="1"/>
  <c r="DE201" i="21" s="1"/>
  <c r="DD201" i="21" s="1"/>
  <c r="DC201" i="21" s="1"/>
  <c r="DB201" i="21" s="1"/>
  <c r="DA201" i="21" s="1"/>
  <c r="CZ201" i="21" s="1"/>
  <c r="CY201" i="21" s="1"/>
  <c r="CX201" i="21" s="1"/>
  <c r="CW201" i="21" s="1"/>
  <c r="CV201" i="21" s="1"/>
  <c r="CU201" i="21" s="1"/>
  <c r="CT201" i="21" s="1"/>
  <c r="CS201" i="21" s="1"/>
  <c r="CR201" i="21" s="1"/>
  <c r="CQ201" i="21" s="1"/>
  <c r="CP201" i="21" s="1"/>
  <c r="CO201" i="21" s="1"/>
  <c r="CN201" i="21" s="1"/>
  <c r="CM201" i="21" s="1"/>
  <c r="CL201" i="21" s="1"/>
  <c r="CK201" i="21" s="1"/>
  <c r="CJ201" i="21" s="1"/>
  <c r="CI201" i="21" s="1"/>
  <c r="CH201" i="21" s="1"/>
  <c r="CG201" i="21" s="1"/>
  <c r="CF201" i="21" s="1"/>
  <c r="CE201" i="21" s="1"/>
  <c r="CD201" i="21" s="1"/>
  <c r="CC201" i="21" s="1"/>
  <c r="CB201" i="21" s="1"/>
  <c r="CA201" i="21" s="1"/>
  <c r="BZ201" i="21" s="1"/>
  <c r="BY201" i="21" s="1"/>
  <c r="BX201" i="21" s="1"/>
  <c r="BW201" i="21" s="1"/>
  <c r="BV201" i="21" s="1"/>
  <c r="BU201" i="21" s="1"/>
  <c r="BT201" i="21" s="1"/>
  <c r="BS201" i="21" s="1"/>
  <c r="BR201" i="21" s="1"/>
  <c r="BQ201" i="21" s="1"/>
  <c r="BP201" i="21" s="1"/>
  <c r="BO201" i="21" s="1"/>
  <c r="BN201" i="21" s="1"/>
  <c r="BM201" i="21" s="1"/>
  <c r="BL201" i="21" s="1"/>
  <c r="BK201" i="21" s="1"/>
  <c r="BJ201" i="21" s="1"/>
  <c r="BI201" i="21" s="1"/>
  <c r="BH201" i="21" s="1"/>
  <c r="BG201" i="21" s="1"/>
  <c r="BF201" i="21" s="1"/>
  <c r="BE201" i="21" s="1"/>
  <c r="BD201" i="21" s="1"/>
  <c r="BC201" i="21" s="1"/>
  <c r="BB201" i="21" s="1"/>
  <c r="BA201" i="21" s="1"/>
  <c r="AZ201" i="21" s="1"/>
  <c r="AY201" i="21" s="1"/>
  <c r="AX201" i="21" s="1"/>
  <c r="AW201" i="21" s="1"/>
  <c r="AV201" i="21" s="1"/>
  <c r="AU201" i="21" s="1"/>
  <c r="AT201" i="21" s="1"/>
  <c r="AS201" i="21" s="1"/>
  <c r="AR201" i="21" s="1"/>
  <c r="AQ201" i="21" s="1"/>
  <c r="AP201" i="21" s="1"/>
  <c r="AO201" i="21" s="1"/>
  <c r="AN201" i="21" s="1"/>
  <c r="AM201" i="21" s="1"/>
  <c r="AL201" i="21" s="1"/>
  <c r="AK201" i="21" s="1"/>
  <c r="AJ201" i="21" s="1"/>
  <c r="AI201" i="21" s="1"/>
  <c r="AH201" i="21" s="1"/>
  <c r="AG201" i="21" s="1"/>
  <c r="AF201" i="21" s="1"/>
  <c r="AE201" i="21" s="1"/>
  <c r="AD201" i="21" s="1"/>
  <c r="AC201" i="21" s="1"/>
  <c r="AB201" i="21" s="1"/>
  <c r="AA201" i="21" s="1"/>
  <c r="Z201" i="21" s="1"/>
  <c r="Y201" i="21" s="1"/>
  <c r="X201" i="21" s="1"/>
  <c r="W201" i="21" s="1"/>
  <c r="V201" i="21" s="1"/>
  <c r="U201" i="21" s="1"/>
  <c r="T201" i="21" s="1"/>
  <c r="S201" i="21" s="1"/>
  <c r="R201" i="21" s="1"/>
  <c r="Q201" i="21" s="1"/>
  <c r="P201" i="21" s="1"/>
  <c r="O201" i="21" s="1"/>
  <c r="N201" i="21" s="1"/>
  <c r="M201" i="21" s="1"/>
  <c r="L201" i="21" s="1"/>
  <c r="K201" i="21" s="1"/>
  <c r="J201" i="21" s="1"/>
  <c r="I201" i="21" s="1"/>
  <c r="H201" i="21" s="1"/>
  <c r="G201" i="21" s="1"/>
  <c r="F201" i="21" s="1"/>
  <c r="E201" i="21" s="1"/>
  <c r="D201" i="21" s="1"/>
  <c r="C201" i="21" s="1"/>
  <c r="B201" i="21" s="1"/>
  <c r="FY240" i="21"/>
  <c r="FX240" i="21" s="1"/>
  <c r="FW240" i="21" s="1"/>
  <c r="FV240" i="21" s="1"/>
  <c r="FU240" i="21" s="1"/>
  <c r="FT240" i="21" s="1"/>
  <c r="FS240" i="21" s="1"/>
  <c r="FR240" i="21" s="1"/>
  <c r="FQ240" i="21" s="1"/>
  <c r="FP240" i="21" s="1"/>
  <c r="FO240" i="21" s="1"/>
  <c r="FN240" i="21" s="1"/>
  <c r="FM240" i="21" s="1"/>
  <c r="FL240" i="21" s="1"/>
  <c r="FK240" i="21" s="1"/>
  <c r="FJ240" i="21" s="1"/>
  <c r="FI240" i="21" s="1"/>
  <c r="FH240" i="21" s="1"/>
  <c r="FG240" i="21" s="1"/>
  <c r="FF240" i="21" s="1"/>
  <c r="FE240" i="21" s="1"/>
  <c r="FD240" i="21" s="1"/>
  <c r="FC240" i="21" s="1"/>
  <c r="FB240" i="21" s="1"/>
  <c r="FA240" i="21" s="1"/>
  <c r="EZ240" i="21" s="1"/>
  <c r="EY240" i="21" s="1"/>
  <c r="EX240" i="21" s="1"/>
  <c r="EW240" i="21" s="1"/>
  <c r="EV240" i="21" s="1"/>
  <c r="EU240" i="21" s="1"/>
  <c r="ET240" i="21" s="1"/>
  <c r="ES240" i="21" s="1"/>
  <c r="ER240" i="21" s="1"/>
  <c r="EQ240" i="21" s="1"/>
  <c r="EP240" i="21" s="1"/>
  <c r="EO240" i="21" s="1"/>
  <c r="EN240" i="21" s="1"/>
  <c r="EM240" i="21" s="1"/>
  <c r="EL240" i="21" s="1"/>
  <c r="EK240" i="21" s="1"/>
  <c r="EJ240" i="21" s="1"/>
  <c r="EI240" i="21" s="1"/>
  <c r="EH240" i="21" s="1"/>
  <c r="EG240" i="21" s="1"/>
  <c r="EF240" i="21" s="1"/>
  <c r="EE240" i="21" s="1"/>
  <c r="ED240" i="21" s="1"/>
  <c r="EC240" i="21" s="1"/>
  <c r="EB240" i="21" s="1"/>
  <c r="EA240" i="21" s="1"/>
  <c r="DZ240" i="21" s="1"/>
  <c r="DY240" i="21" s="1"/>
  <c r="DX240" i="21" s="1"/>
  <c r="DW240" i="21" s="1"/>
  <c r="DV240" i="21" s="1"/>
  <c r="DU240" i="21" s="1"/>
  <c r="DT240" i="21" s="1"/>
  <c r="DS240" i="21" s="1"/>
  <c r="DR240" i="21" s="1"/>
  <c r="DQ240" i="21" s="1"/>
  <c r="DP240" i="21" s="1"/>
  <c r="DO240" i="21" s="1"/>
  <c r="DN240" i="21" s="1"/>
  <c r="DM240" i="21" s="1"/>
  <c r="DL240" i="21" s="1"/>
  <c r="DK240" i="21" s="1"/>
  <c r="DJ240" i="21" s="1"/>
  <c r="DI240" i="21" s="1"/>
  <c r="DH240" i="21" s="1"/>
  <c r="DG240" i="21" s="1"/>
  <c r="DF240" i="21" s="1"/>
  <c r="DE240" i="21" s="1"/>
  <c r="DD240" i="21" s="1"/>
  <c r="DC240" i="21" s="1"/>
  <c r="DB240" i="21" s="1"/>
  <c r="DA240" i="21" s="1"/>
  <c r="CZ240" i="21" s="1"/>
  <c r="CY240" i="21" s="1"/>
  <c r="CX240" i="21" s="1"/>
  <c r="CW240" i="21" s="1"/>
  <c r="CV240" i="21" s="1"/>
  <c r="CU240" i="21" s="1"/>
  <c r="CT240" i="21" s="1"/>
  <c r="CS240" i="21" s="1"/>
  <c r="CR240" i="21" s="1"/>
  <c r="CQ240" i="21" s="1"/>
  <c r="CP240" i="21" s="1"/>
  <c r="CO240" i="21" s="1"/>
  <c r="CN240" i="21" s="1"/>
  <c r="CM240" i="21" s="1"/>
  <c r="CL240" i="21" s="1"/>
  <c r="CK240" i="21" s="1"/>
  <c r="CJ240" i="21" s="1"/>
  <c r="CI240" i="21" s="1"/>
  <c r="CH240" i="21" s="1"/>
  <c r="CG240" i="21" s="1"/>
  <c r="CF240" i="21" s="1"/>
  <c r="CE240" i="21" s="1"/>
  <c r="CD240" i="21" s="1"/>
  <c r="CC240" i="21" s="1"/>
  <c r="CB240" i="21" s="1"/>
  <c r="CA240" i="21" s="1"/>
  <c r="BZ240" i="21" s="1"/>
  <c r="BY240" i="21" s="1"/>
  <c r="BX240" i="21" s="1"/>
  <c r="BW240" i="21" s="1"/>
  <c r="BV240" i="21" s="1"/>
  <c r="BU240" i="21" s="1"/>
  <c r="BT240" i="21" s="1"/>
  <c r="BS240" i="21" s="1"/>
  <c r="BR240" i="21" s="1"/>
  <c r="BQ240" i="21" s="1"/>
  <c r="BP240" i="21" s="1"/>
  <c r="BO240" i="21" s="1"/>
  <c r="BN240" i="21" s="1"/>
  <c r="BM240" i="21" s="1"/>
  <c r="BL240" i="21" s="1"/>
  <c r="BK240" i="21" s="1"/>
  <c r="BJ240" i="21" s="1"/>
  <c r="BI240" i="21" s="1"/>
  <c r="BH240" i="21" s="1"/>
  <c r="BG240" i="21" s="1"/>
  <c r="BF240" i="21" s="1"/>
  <c r="BE240" i="21" s="1"/>
  <c r="BD240" i="21" s="1"/>
  <c r="BC240" i="21" s="1"/>
  <c r="BB240" i="21" s="1"/>
  <c r="BA240" i="21" s="1"/>
  <c r="AZ240" i="21" s="1"/>
  <c r="AY240" i="21" s="1"/>
  <c r="AX240" i="21" s="1"/>
  <c r="AW240" i="21" s="1"/>
  <c r="AV240" i="21" s="1"/>
  <c r="AU240" i="21" s="1"/>
  <c r="AT240" i="21" s="1"/>
  <c r="AS240" i="21" s="1"/>
  <c r="AR240" i="21" s="1"/>
  <c r="AQ240" i="21" s="1"/>
  <c r="AP240" i="21" s="1"/>
  <c r="AO240" i="21" s="1"/>
  <c r="AN240" i="21" s="1"/>
  <c r="AM240" i="21" s="1"/>
  <c r="AL240" i="21" s="1"/>
  <c r="AK240" i="21" s="1"/>
  <c r="AJ240" i="21" s="1"/>
  <c r="AI240" i="21" s="1"/>
  <c r="AH240" i="21" s="1"/>
  <c r="AG240" i="21" s="1"/>
  <c r="AF240" i="21" s="1"/>
  <c r="AE240" i="21" s="1"/>
  <c r="AD240" i="21" s="1"/>
  <c r="AC240" i="21" s="1"/>
  <c r="AB240" i="21" s="1"/>
  <c r="AA240" i="21" s="1"/>
  <c r="Z240" i="21" s="1"/>
  <c r="Y240" i="21" s="1"/>
  <c r="X240" i="21" s="1"/>
  <c r="W240" i="21" s="1"/>
  <c r="V240" i="21" s="1"/>
  <c r="U240" i="21" s="1"/>
  <c r="T240" i="21" s="1"/>
  <c r="S240" i="21" s="1"/>
  <c r="R240" i="21" s="1"/>
  <c r="Q240" i="21" s="1"/>
  <c r="P240" i="21" s="1"/>
  <c r="O240" i="21" s="1"/>
  <c r="N240" i="21" s="1"/>
  <c r="M240" i="21" s="1"/>
  <c r="L240" i="21" s="1"/>
  <c r="K240" i="21" s="1"/>
  <c r="J240" i="21" s="1"/>
  <c r="I240" i="21" s="1"/>
  <c r="H240" i="21" s="1"/>
  <c r="G240" i="21" s="1"/>
  <c r="F240" i="21" s="1"/>
  <c r="E240" i="21" s="1"/>
  <c r="D240" i="21" s="1"/>
  <c r="C240" i="21" s="1"/>
  <c r="B240" i="21" s="1"/>
  <c r="B212" i="21"/>
  <c r="B251" i="21" s="1"/>
  <c r="N212" i="21"/>
  <c r="N251" i="21" s="1"/>
  <c r="Z212" i="21"/>
  <c r="Z251" i="21" s="1"/>
  <c r="AL212" i="21"/>
  <c r="AL251" i="21" s="1"/>
  <c r="AX212" i="21"/>
  <c r="AX251" i="21" s="1"/>
  <c r="BJ212" i="21"/>
  <c r="BJ251" i="21" s="1"/>
  <c r="BV212" i="21"/>
  <c r="BV251" i="21" s="1"/>
  <c r="CH212" i="21"/>
  <c r="CH251" i="21" s="1"/>
  <c r="CT212" i="21"/>
  <c r="CT251" i="21" s="1"/>
  <c r="DF212" i="21"/>
  <c r="DF251" i="21" s="1"/>
  <c r="DR212" i="21"/>
  <c r="DR251" i="21" s="1"/>
  <c r="ED212" i="21"/>
  <c r="ED251" i="21" s="1"/>
  <c r="EP212" i="21"/>
  <c r="EP251" i="21" s="1"/>
  <c r="FB212" i="21"/>
  <c r="FB251" i="21" s="1"/>
  <c r="FN212" i="21"/>
  <c r="FN251" i="21" s="1"/>
  <c r="L212" i="21"/>
  <c r="L251" i="21" s="1"/>
  <c r="Y212" i="21"/>
  <c r="Y251" i="21" s="1"/>
  <c r="AM212" i="21"/>
  <c r="AM251" i="21" s="1"/>
  <c r="AZ212" i="21"/>
  <c r="AZ251" i="21" s="1"/>
  <c r="BM212" i="21"/>
  <c r="BM251" i="21" s="1"/>
  <c r="BZ212" i="21"/>
  <c r="BZ251" i="21" s="1"/>
  <c r="CM212" i="21"/>
  <c r="CM251" i="21" s="1"/>
  <c r="CZ212" i="21"/>
  <c r="CZ251" i="21" s="1"/>
  <c r="DM212" i="21"/>
  <c r="DM251" i="21" s="1"/>
  <c r="DZ212" i="21"/>
  <c r="DZ251" i="21" s="1"/>
  <c r="EM212" i="21"/>
  <c r="EM251" i="21" s="1"/>
  <c r="EZ212" i="21"/>
  <c r="EZ251" i="21" s="1"/>
  <c r="FM212" i="21"/>
  <c r="FM251" i="21" s="1"/>
  <c r="M212" i="21"/>
  <c r="M251" i="21" s="1"/>
  <c r="AA212" i="21"/>
  <c r="AA251" i="21" s="1"/>
  <c r="AN212" i="21"/>
  <c r="AN251" i="21" s="1"/>
  <c r="BA212" i="21"/>
  <c r="BA251" i="21" s="1"/>
  <c r="BN212" i="21"/>
  <c r="BN251" i="21" s="1"/>
  <c r="CA212" i="21"/>
  <c r="CA251" i="21" s="1"/>
  <c r="CN212" i="21"/>
  <c r="CN251" i="21" s="1"/>
  <c r="DA212" i="21"/>
  <c r="DA251" i="21" s="1"/>
  <c r="DN212" i="21"/>
  <c r="DN251" i="21" s="1"/>
  <c r="EA212" i="21"/>
  <c r="EA251" i="21" s="1"/>
  <c r="EN212" i="21"/>
  <c r="EN251" i="21" s="1"/>
  <c r="FA212" i="21"/>
  <c r="FA251" i="21" s="1"/>
  <c r="FO212" i="21"/>
  <c r="FO251" i="21" s="1"/>
  <c r="O212" i="21"/>
  <c r="O251" i="21" s="1"/>
  <c r="AB212" i="21"/>
  <c r="AB251" i="21" s="1"/>
  <c r="AO212" i="21"/>
  <c r="AO251" i="21" s="1"/>
  <c r="BB212" i="21"/>
  <c r="BB251" i="21" s="1"/>
  <c r="BO212" i="21"/>
  <c r="BO251" i="21" s="1"/>
  <c r="CB212" i="21"/>
  <c r="CB251" i="21" s="1"/>
  <c r="CO212" i="21"/>
  <c r="CO251" i="21" s="1"/>
  <c r="DB212" i="21"/>
  <c r="DB251" i="21" s="1"/>
  <c r="DO212" i="21"/>
  <c r="DO251" i="21" s="1"/>
  <c r="EB212" i="21"/>
  <c r="EB251" i="21" s="1"/>
  <c r="EO212" i="21"/>
  <c r="EO251" i="21" s="1"/>
  <c r="FC212" i="21"/>
  <c r="FC251" i="21" s="1"/>
  <c r="FP212" i="21"/>
  <c r="FP251" i="21" s="1"/>
  <c r="K212" i="21"/>
  <c r="K251" i="21" s="1"/>
  <c r="AE212" i="21"/>
  <c r="AE251" i="21" s="1"/>
  <c r="AU212" i="21"/>
  <c r="AU251" i="21" s="1"/>
  <c r="BL212" i="21"/>
  <c r="BL251" i="21" s="1"/>
  <c r="CE212" i="21"/>
  <c r="CE251" i="21" s="1"/>
  <c r="CV212" i="21"/>
  <c r="CV251" i="21" s="1"/>
  <c r="DL212" i="21"/>
  <c r="DL251" i="21" s="1"/>
  <c r="EF212" i="21"/>
  <c r="EF251" i="21" s="1"/>
  <c r="EV212" i="21"/>
  <c r="EV251" i="21" s="1"/>
  <c r="FL212" i="21"/>
  <c r="FL251" i="21" s="1"/>
  <c r="R212" i="21"/>
  <c r="R251" i="21" s="1"/>
  <c r="AY212" i="21"/>
  <c r="AY251" i="21" s="1"/>
  <c r="CI212" i="21"/>
  <c r="CI251" i="21" s="1"/>
  <c r="EI212" i="21"/>
  <c r="EI251" i="21" s="1"/>
  <c r="P212" i="21"/>
  <c r="P251" i="21" s="1"/>
  <c r="AF212" i="21"/>
  <c r="AF251" i="21" s="1"/>
  <c r="AV212" i="21"/>
  <c r="AV251" i="21" s="1"/>
  <c r="BP212" i="21"/>
  <c r="BP251" i="21" s="1"/>
  <c r="CF212" i="21"/>
  <c r="CF251" i="21" s="1"/>
  <c r="CW212" i="21"/>
  <c r="CW251" i="21" s="1"/>
  <c r="DP212" i="21"/>
  <c r="DP251" i="21" s="1"/>
  <c r="EG212" i="21"/>
  <c r="EG251" i="21" s="1"/>
  <c r="EW212" i="21"/>
  <c r="EW251" i="21" s="1"/>
  <c r="FQ212" i="21"/>
  <c r="FQ251" i="21" s="1"/>
  <c r="Q212" i="21"/>
  <c r="Q251" i="21" s="1"/>
  <c r="AG212" i="21"/>
  <c r="AG251" i="21" s="1"/>
  <c r="AW212" i="21"/>
  <c r="AW251" i="21" s="1"/>
  <c r="BQ212" i="21"/>
  <c r="BQ251" i="21" s="1"/>
  <c r="CG212" i="21"/>
  <c r="CG251" i="21" s="1"/>
  <c r="CX212" i="21"/>
  <c r="CX251" i="21" s="1"/>
  <c r="DQ212" i="21"/>
  <c r="DQ251" i="21" s="1"/>
  <c r="EH212" i="21"/>
  <c r="EH251" i="21" s="1"/>
  <c r="EX212" i="21"/>
  <c r="EX251" i="21" s="1"/>
  <c r="FR212" i="21"/>
  <c r="FR251" i="21" s="1"/>
  <c r="AH212" i="21"/>
  <c r="AH251" i="21" s="1"/>
  <c r="BR212" i="21"/>
  <c r="BR251" i="21" s="1"/>
  <c r="CY212" i="21"/>
  <c r="CY251" i="21" s="1"/>
  <c r="DS212" i="21"/>
  <c r="DS251" i="21" s="1"/>
  <c r="EY212" i="21"/>
  <c r="EY251" i="21" s="1"/>
  <c r="FS212" i="21"/>
  <c r="FS251" i="21" s="1"/>
  <c r="F212" i="21"/>
  <c r="F251" i="21" s="1"/>
  <c r="AD212" i="21"/>
  <c r="AD251" i="21" s="1"/>
  <c r="BF212" i="21"/>
  <c r="BF251" i="21" s="1"/>
  <c r="CD212" i="21"/>
  <c r="CD251" i="21" s="1"/>
  <c r="DG212" i="21"/>
  <c r="DG251" i="21" s="1"/>
  <c r="EE212" i="21"/>
  <c r="EE251" i="21" s="1"/>
  <c r="FG212" i="21"/>
  <c r="FG251" i="21" s="1"/>
  <c r="S212" i="21"/>
  <c r="S251" i="21" s="1"/>
  <c r="AQ212" i="21"/>
  <c r="AQ251" i="21" s="1"/>
  <c r="BS212" i="21"/>
  <c r="BS251" i="21" s="1"/>
  <c r="CQ212" i="21"/>
  <c r="CQ251" i="21" s="1"/>
  <c r="DT212" i="21"/>
  <c r="DT251" i="21" s="1"/>
  <c r="T212" i="21"/>
  <c r="T251" i="21" s="1"/>
  <c r="AT212" i="21"/>
  <c r="AT251" i="21" s="1"/>
  <c r="BY212" i="21"/>
  <c r="BY251" i="21" s="1"/>
  <c r="DH212" i="21"/>
  <c r="DH251" i="21" s="1"/>
  <c r="EL212" i="21"/>
  <c r="EL251" i="21" s="1"/>
  <c r="FK212" i="21"/>
  <c r="FK251" i="21" s="1"/>
  <c r="U212" i="21"/>
  <c r="U251" i="21" s="1"/>
  <c r="BC212" i="21"/>
  <c r="BC251" i="21" s="1"/>
  <c r="CC212" i="21"/>
  <c r="CC251" i="21" s="1"/>
  <c r="DI212" i="21"/>
  <c r="DI251" i="21" s="1"/>
  <c r="EQ212" i="21"/>
  <c r="EQ251" i="21" s="1"/>
  <c r="FT212" i="21"/>
  <c r="FT251" i="21" s="1"/>
  <c r="V212" i="21"/>
  <c r="V251" i="21" s="1"/>
  <c r="BD212" i="21"/>
  <c r="BD251" i="21" s="1"/>
  <c r="CJ212" i="21"/>
  <c r="CJ251" i="21" s="1"/>
  <c r="DJ212" i="21"/>
  <c r="DJ251" i="21" s="1"/>
  <c r="ER212" i="21"/>
  <c r="ER251" i="21" s="1"/>
  <c r="FU212" i="21"/>
  <c r="FU251" i="21" s="1"/>
  <c r="C212" i="21"/>
  <c r="C251" i="21" s="1"/>
  <c r="AC212" i="21"/>
  <c r="AC251" i="21" s="1"/>
  <c r="BH212" i="21"/>
  <c r="BH251" i="21" s="1"/>
  <c r="CP212" i="21"/>
  <c r="CP251" i="21" s="1"/>
  <c r="DV212" i="21"/>
  <c r="DV251" i="21" s="1"/>
  <c r="EU212" i="21"/>
  <c r="EU251" i="21" s="1"/>
  <c r="FX212" i="21"/>
  <c r="FX251" i="21" s="1"/>
  <c r="D212" i="21"/>
  <c r="D251" i="21" s="1"/>
  <c r="AR212" i="21"/>
  <c r="AR251" i="21" s="1"/>
  <c r="CR212" i="21"/>
  <c r="CR251" i="21" s="1"/>
  <c r="EJ212" i="21"/>
  <c r="EJ251" i="21" s="1"/>
  <c r="FY212" i="21"/>
  <c r="FY251" i="21" s="1"/>
  <c r="E212" i="21"/>
  <c r="E251" i="21" s="1"/>
  <c r="AS212" i="21"/>
  <c r="AS251" i="21" s="1"/>
  <c r="CS212" i="21"/>
  <c r="CS251" i="21" s="1"/>
  <c r="EK212" i="21"/>
  <c r="EK251" i="21" s="1"/>
  <c r="G212" i="21"/>
  <c r="G251" i="21" s="1"/>
  <c r="BE212" i="21"/>
  <c r="BE251" i="21" s="1"/>
  <c r="CU212" i="21"/>
  <c r="CU251" i="21" s="1"/>
  <c r="ES212" i="21"/>
  <c r="ES251" i="21" s="1"/>
  <c r="H212" i="21"/>
  <c r="H251" i="21" s="1"/>
  <c r="BG212" i="21"/>
  <c r="BG251" i="21" s="1"/>
  <c r="DC212" i="21"/>
  <c r="DC251" i="21" s="1"/>
  <c r="ET212" i="21"/>
  <c r="ET251" i="21" s="1"/>
  <c r="I212" i="21"/>
  <c r="I251" i="21" s="1"/>
  <c r="BI212" i="21"/>
  <c r="BI251" i="21" s="1"/>
  <c r="DD212" i="21"/>
  <c r="DD251" i="21" s="1"/>
  <c r="FD212" i="21"/>
  <c r="FD251" i="21" s="1"/>
  <c r="AJ212" i="21"/>
  <c r="AJ251" i="21" s="1"/>
  <c r="BX212" i="21"/>
  <c r="BX251" i="21" s="1"/>
  <c r="DX212" i="21"/>
  <c r="DX251" i="21" s="1"/>
  <c r="J212" i="21"/>
  <c r="J251" i="21" s="1"/>
  <c r="BK212" i="21"/>
  <c r="BK251" i="21" s="1"/>
  <c r="DE212" i="21"/>
  <c r="DE251" i="21" s="1"/>
  <c r="FE212" i="21"/>
  <c r="FE251" i="21" s="1"/>
  <c r="W212" i="21"/>
  <c r="W251" i="21" s="1"/>
  <c r="BT212" i="21"/>
  <c r="BT251" i="21" s="1"/>
  <c r="DK212" i="21"/>
  <c r="DK251" i="21" s="1"/>
  <c r="FF212" i="21"/>
  <c r="FF251" i="21" s="1"/>
  <c r="X212" i="21"/>
  <c r="X251" i="21" s="1"/>
  <c r="BU212" i="21"/>
  <c r="BU251" i="21" s="1"/>
  <c r="DU212" i="21"/>
  <c r="DU251" i="21" s="1"/>
  <c r="FH212" i="21"/>
  <c r="FH251" i="21" s="1"/>
  <c r="AI212" i="21"/>
  <c r="AI251" i="21" s="1"/>
  <c r="BW212" i="21"/>
  <c r="BW251" i="21" s="1"/>
  <c r="DW212" i="21"/>
  <c r="DW251" i="21" s="1"/>
  <c r="FI212" i="21"/>
  <c r="FI251" i="21" s="1"/>
  <c r="FJ212" i="21"/>
  <c r="FJ251" i="21" s="1"/>
  <c r="AK212" i="21"/>
  <c r="AK251" i="21" s="1"/>
  <c r="AP212" i="21"/>
  <c r="AP251" i="21" s="1"/>
  <c r="CK212" i="21"/>
  <c r="CK251" i="21" s="1"/>
  <c r="CL212" i="21"/>
  <c r="CL251" i="21" s="1"/>
  <c r="DY212" i="21"/>
  <c r="DY251" i="21" s="1"/>
  <c r="EC212" i="21"/>
  <c r="EC251" i="21" s="1"/>
  <c r="FV212" i="21"/>
  <c r="FV251" i="21" s="1"/>
  <c r="FW212" i="21"/>
  <c r="FW251" i="21" s="1"/>
  <c r="BS192" i="12"/>
  <c r="CB192" i="12" s="1"/>
  <c r="B46" i="21" a="1"/>
  <c r="FY195" i="21"/>
  <c r="FY234" i="21"/>
  <c r="FX234" i="21" s="1"/>
  <c r="FY244" i="21"/>
  <c r="FX244" i="21" s="1"/>
  <c r="FW244" i="21" s="1"/>
  <c r="FV244" i="21" s="1"/>
  <c r="FU244" i="21" s="1"/>
  <c r="FT244" i="21" s="1"/>
  <c r="FS244" i="21" s="1"/>
  <c r="FR244" i="21" s="1"/>
  <c r="FQ244" i="21" s="1"/>
  <c r="FP244" i="21" s="1"/>
  <c r="FO244" i="21" s="1"/>
  <c r="FN244" i="21" s="1"/>
  <c r="FM244" i="21" s="1"/>
  <c r="FL244" i="21" s="1"/>
  <c r="FK244" i="21" s="1"/>
  <c r="FJ244" i="21" s="1"/>
  <c r="FI244" i="21" s="1"/>
  <c r="FH244" i="21" s="1"/>
  <c r="FG244" i="21" s="1"/>
  <c r="FF244" i="21" s="1"/>
  <c r="FE244" i="21" s="1"/>
  <c r="FD244" i="21" s="1"/>
  <c r="FC244" i="21" s="1"/>
  <c r="FB244" i="21" s="1"/>
  <c r="FA244" i="21" s="1"/>
  <c r="EZ244" i="21" s="1"/>
  <c r="EY244" i="21" s="1"/>
  <c r="EX244" i="21" s="1"/>
  <c r="EW244" i="21" s="1"/>
  <c r="EV244" i="21" s="1"/>
  <c r="EU244" i="21" s="1"/>
  <c r="ET244" i="21" s="1"/>
  <c r="ES244" i="21" s="1"/>
  <c r="ER244" i="21" s="1"/>
  <c r="EQ244" i="21" s="1"/>
  <c r="EP244" i="21" s="1"/>
  <c r="EO244" i="21" s="1"/>
  <c r="EN244" i="21" s="1"/>
  <c r="EM244" i="21" s="1"/>
  <c r="EL244" i="21" s="1"/>
  <c r="EK244" i="21" s="1"/>
  <c r="EJ244" i="21" s="1"/>
  <c r="EI244" i="21" s="1"/>
  <c r="EH244" i="21" s="1"/>
  <c r="EG244" i="21" s="1"/>
  <c r="EF244" i="21" s="1"/>
  <c r="EE244" i="21" s="1"/>
  <c r="ED244" i="21" s="1"/>
  <c r="EC244" i="21" s="1"/>
  <c r="EB244" i="21" s="1"/>
  <c r="EA244" i="21" s="1"/>
  <c r="DZ244" i="21" s="1"/>
  <c r="DY244" i="21" s="1"/>
  <c r="DX244" i="21" s="1"/>
  <c r="DW244" i="21" s="1"/>
  <c r="DV244" i="21" s="1"/>
  <c r="DU244" i="21" s="1"/>
  <c r="DT244" i="21" s="1"/>
  <c r="DS244" i="21" s="1"/>
  <c r="DR244" i="21" s="1"/>
  <c r="DQ244" i="21" s="1"/>
  <c r="DP244" i="21" s="1"/>
  <c r="DO244" i="21" s="1"/>
  <c r="DN244" i="21" s="1"/>
  <c r="DM244" i="21" s="1"/>
  <c r="DL244" i="21" s="1"/>
  <c r="DK244" i="21" s="1"/>
  <c r="DJ244" i="21" s="1"/>
  <c r="DI244" i="21" s="1"/>
  <c r="DH244" i="21" s="1"/>
  <c r="DG244" i="21" s="1"/>
  <c r="DF244" i="21" s="1"/>
  <c r="DE244" i="21" s="1"/>
  <c r="DD244" i="21" s="1"/>
  <c r="DC244" i="21" s="1"/>
  <c r="DB244" i="21" s="1"/>
  <c r="DA244" i="21" s="1"/>
  <c r="CZ244" i="21" s="1"/>
  <c r="CY244" i="21" s="1"/>
  <c r="CX244" i="21" s="1"/>
  <c r="CW244" i="21" s="1"/>
  <c r="CV244" i="21" s="1"/>
  <c r="CU244" i="21" s="1"/>
  <c r="CT244" i="21" s="1"/>
  <c r="CS244" i="21" s="1"/>
  <c r="CR244" i="21" s="1"/>
  <c r="CQ244" i="21" s="1"/>
  <c r="CP244" i="21" s="1"/>
  <c r="CO244" i="21" s="1"/>
  <c r="CN244" i="21" s="1"/>
  <c r="CM244" i="21" s="1"/>
  <c r="CL244" i="21" s="1"/>
  <c r="CK244" i="21" s="1"/>
  <c r="CJ244" i="21" s="1"/>
  <c r="CI244" i="21" s="1"/>
  <c r="CH244" i="21" s="1"/>
  <c r="CG244" i="21" s="1"/>
  <c r="CF244" i="21" s="1"/>
  <c r="CE244" i="21" s="1"/>
  <c r="CD244" i="21" s="1"/>
  <c r="CC244" i="21" s="1"/>
  <c r="CB244" i="21" s="1"/>
  <c r="CA244" i="21" s="1"/>
  <c r="BZ244" i="21" s="1"/>
  <c r="BY244" i="21" s="1"/>
  <c r="BX244" i="21" s="1"/>
  <c r="BW244" i="21" s="1"/>
  <c r="BV244" i="21" s="1"/>
  <c r="BU244" i="21" s="1"/>
  <c r="BT244" i="21" s="1"/>
  <c r="BS244" i="21" s="1"/>
  <c r="BR244" i="21" s="1"/>
  <c r="BQ244" i="21" s="1"/>
  <c r="BP244" i="21" s="1"/>
  <c r="BO244" i="21" s="1"/>
  <c r="BN244" i="21" s="1"/>
  <c r="BM244" i="21" s="1"/>
  <c r="BL244" i="21" s="1"/>
  <c r="BK244" i="21" s="1"/>
  <c r="BJ244" i="21" s="1"/>
  <c r="BI244" i="21" s="1"/>
  <c r="BH244" i="21" s="1"/>
  <c r="BG244" i="21" s="1"/>
  <c r="BF244" i="21" s="1"/>
  <c r="BE244" i="21" s="1"/>
  <c r="BD244" i="21" s="1"/>
  <c r="BC244" i="21" s="1"/>
  <c r="BB244" i="21" s="1"/>
  <c r="BA244" i="21" s="1"/>
  <c r="AZ244" i="21" s="1"/>
  <c r="AY244" i="21" s="1"/>
  <c r="AX244" i="21" s="1"/>
  <c r="AW244" i="21" s="1"/>
  <c r="AV244" i="21" s="1"/>
  <c r="AU244" i="21" s="1"/>
  <c r="AT244" i="21" s="1"/>
  <c r="AS244" i="21" s="1"/>
  <c r="AR244" i="21" s="1"/>
  <c r="AQ244" i="21" s="1"/>
  <c r="AP244" i="21" s="1"/>
  <c r="AO244" i="21" s="1"/>
  <c r="AN244" i="21" s="1"/>
  <c r="AM244" i="21" s="1"/>
  <c r="AL244" i="21" s="1"/>
  <c r="AK244" i="21" s="1"/>
  <c r="AJ244" i="21" s="1"/>
  <c r="AI244" i="21" s="1"/>
  <c r="AH244" i="21" s="1"/>
  <c r="AG244" i="21" s="1"/>
  <c r="AF244" i="21" s="1"/>
  <c r="AE244" i="21" s="1"/>
  <c r="AD244" i="21" s="1"/>
  <c r="AC244" i="21" s="1"/>
  <c r="AB244" i="21" s="1"/>
  <c r="AA244" i="21" s="1"/>
  <c r="Z244" i="21" s="1"/>
  <c r="Y244" i="21" s="1"/>
  <c r="X244" i="21" s="1"/>
  <c r="W244" i="21" s="1"/>
  <c r="V244" i="21" s="1"/>
  <c r="U244" i="21" s="1"/>
  <c r="T244" i="21" s="1"/>
  <c r="S244" i="21" s="1"/>
  <c r="R244" i="21" s="1"/>
  <c r="Q244" i="21" s="1"/>
  <c r="P244" i="21" s="1"/>
  <c r="O244" i="21" s="1"/>
  <c r="N244" i="21" s="1"/>
  <c r="M244" i="21" s="1"/>
  <c r="L244" i="21" s="1"/>
  <c r="K244" i="21" s="1"/>
  <c r="J244" i="21" s="1"/>
  <c r="I244" i="21" s="1"/>
  <c r="H244" i="21" s="1"/>
  <c r="G244" i="21" s="1"/>
  <c r="F244" i="21" s="1"/>
  <c r="E244" i="21" s="1"/>
  <c r="D244" i="21" s="1"/>
  <c r="C244" i="21" s="1"/>
  <c r="B244" i="21" s="1"/>
  <c r="FY205" i="21"/>
  <c r="FX205" i="21" s="1"/>
  <c r="FW205" i="21" s="1"/>
  <c r="FV205" i="21" s="1"/>
  <c r="FU205" i="21" s="1"/>
  <c r="FT205" i="21" s="1"/>
  <c r="FS205" i="21" s="1"/>
  <c r="FR205" i="21" s="1"/>
  <c r="FQ205" i="21" s="1"/>
  <c r="FP205" i="21" s="1"/>
  <c r="FO205" i="21" s="1"/>
  <c r="FN205" i="21" s="1"/>
  <c r="FM205" i="21" s="1"/>
  <c r="FL205" i="21" s="1"/>
  <c r="FK205" i="21" s="1"/>
  <c r="FJ205" i="21" s="1"/>
  <c r="FI205" i="21" s="1"/>
  <c r="FH205" i="21" s="1"/>
  <c r="FG205" i="21" s="1"/>
  <c r="FF205" i="21" s="1"/>
  <c r="FE205" i="21" s="1"/>
  <c r="FD205" i="21" s="1"/>
  <c r="FC205" i="21" s="1"/>
  <c r="FB205" i="21" s="1"/>
  <c r="FA205" i="21" s="1"/>
  <c r="EZ205" i="21" s="1"/>
  <c r="EY205" i="21" s="1"/>
  <c r="EX205" i="21" s="1"/>
  <c r="EW205" i="21" s="1"/>
  <c r="EV205" i="21" s="1"/>
  <c r="EU205" i="21" s="1"/>
  <c r="ET205" i="21" s="1"/>
  <c r="ES205" i="21" s="1"/>
  <c r="ER205" i="21" s="1"/>
  <c r="EQ205" i="21" s="1"/>
  <c r="EP205" i="21" s="1"/>
  <c r="EO205" i="21" s="1"/>
  <c r="EN205" i="21" s="1"/>
  <c r="EM205" i="21" s="1"/>
  <c r="EL205" i="21" s="1"/>
  <c r="EK205" i="21" s="1"/>
  <c r="EJ205" i="21" s="1"/>
  <c r="EI205" i="21" s="1"/>
  <c r="EH205" i="21" s="1"/>
  <c r="EG205" i="21" s="1"/>
  <c r="EF205" i="21" s="1"/>
  <c r="EE205" i="21" s="1"/>
  <c r="ED205" i="21" s="1"/>
  <c r="EC205" i="21" s="1"/>
  <c r="EB205" i="21" s="1"/>
  <c r="EA205" i="21" s="1"/>
  <c r="DZ205" i="21" s="1"/>
  <c r="DY205" i="21" s="1"/>
  <c r="DX205" i="21" s="1"/>
  <c r="DW205" i="21" s="1"/>
  <c r="DV205" i="21" s="1"/>
  <c r="DU205" i="21" s="1"/>
  <c r="DT205" i="21" s="1"/>
  <c r="DS205" i="21" s="1"/>
  <c r="DR205" i="21" s="1"/>
  <c r="DQ205" i="21" s="1"/>
  <c r="DP205" i="21" s="1"/>
  <c r="DO205" i="21" s="1"/>
  <c r="DN205" i="21" s="1"/>
  <c r="DM205" i="21" s="1"/>
  <c r="DL205" i="21" s="1"/>
  <c r="DK205" i="21" s="1"/>
  <c r="DJ205" i="21" s="1"/>
  <c r="DI205" i="21" s="1"/>
  <c r="DH205" i="21" s="1"/>
  <c r="DG205" i="21" s="1"/>
  <c r="DF205" i="21" s="1"/>
  <c r="DE205" i="21" s="1"/>
  <c r="DD205" i="21" s="1"/>
  <c r="DC205" i="21" s="1"/>
  <c r="DB205" i="21" s="1"/>
  <c r="DA205" i="21" s="1"/>
  <c r="CZ205" i="21" s="1"/>
  <c r="CY205" i="21" s="1"/>
  <c r="CX205" i="21" s="1"/>
  <c r="CW205" i="21" s="1"/>
  <c r="CV205" i="21" s="1"/>
  <c r="CU205" i="21" s="1"/>
  <c r="CT205" i="21" s="1"/>
  <c r="CS205" i="21" s="1"/>
  <c r="CR205" i="21" s="1"/>
  <c r="CQ205" i="21" s="1"/>
  <c r="CP205" i="21" s="1"/>
  <c r="CO205" i="21" s="1"/>
  <c r="CN205" i="21" s="1"/>
  <c r="CM205" i="21" s="1"/>
  <c r="CL205" i="21" s="1"/>
  <c r="CK205" i="21" s="1"/>
  <c r="CJ205" i="21" s="1"/>
  <c r="CI205" i="21" s="1"/>
  <c r="CH205" i="21" s="1"/>
  <c r="CG205" i="21" s="1"/>
  <c r="CF205" i="21" s="1"/>
  <c r="CE205" i="21" s="1"/>
  <c r="CD205" i="21" s="1"/>
  <c r="CC205" i="21" s="1"/>
  <c r="CB205" i="21" s="1"/>
  <c r="CA205" i="21" s="1"/>
  <c r="BZ205" i="21" s="1"/>
  <c r="BY205" i="21" s="1"/>
  <c r="BX205" i="21" s="1"/>
  <c r="BW205" i="21" s="1"/>
  <c r="BV205" i="21" s="1"/>
  <c r="BU205" i="21" s="1"/>
  <c r="BT205" i="21" s="1"/>
  <c r="BS205" i="21" s="1"/>
  <c r="BR205" i="21" s="1"/>
  <c r="BQ205" i="21" s="1"/>
  <c r="BP205" i="21" s="1"/>
  <c r="BO205" i="21" s="1"/>
  <c r="BN205" i="21" s="1"/>
  <c r="BM205" i="21" s="1"/>
  <c r="BL205" i="21" s="1"/>
  <c r="BK205" i="21" s="1"/>
  <c r="BJ205" i="21" s="1"/>
  <c r="BI205" i="21" s="1"/>
  <c r="BH205" i="21" s="1"/>
  <c r="BG205" i="21" s="1"/>
  <c r="BF205" i="21" s="1"/>
  <c r="BE205" i="21" s="1"/>
  <c r="BD205" i="21" s="1"/>
  <c r="BC205" i="21" s="1"/>
  <c r="BB205" i="21" s="1"/>
  <c r="BA205" i="21" s="1"/>
  <c r="AZ205" i="21" s="1"/>
  <c r="AY205" i="21" s="1"/>
  <c r="AX205" i="21" s="1"/>
  <c r="AW205" i="21" s="1"/>
  <c r="AV205" i="21" s="1"/>
  <c r="AU205" i="21" s="1"/>
  <c r="AT205" i="21" s="1"/>
  <c r="AS205" i="21" s="1"/>
  <c r="AR205" i="21" s="1"/>
  <c r="AQ205" i="21" s="1"/>
  <c r="AP205" i="21" s="1"/>
  <c r="AO205" i="21" s="1"/>
  <c r="AN205" i="21" s="1"/>
  <c r="AM205" i="21" s="1"/>
  <c r="AL205" i="21" s="1"/>
  <c r="AK205" i="21" s="1"/>
  <c r="AJ205" i="21" s="1"/>
  <c r="AI205" i="21" s="1"/>
  <c r="AH205" i="21" s="1"/>
  <c r="AG205" i="21" s="1"/>
  <c r="AF205" i="21" s="1"/>
  <c r="AE205" i="21" s="1"/>
  <c r="AD205" i="21" s="1"/>
  <c r="AC205" i="21" s="1"/>
  <c r="AB205" i="21" s="1"/>
  <c r="AA205" i="21" s="1"/>
  <c r="Z205" i="21" s="1"/>
  <c r="Y205" i="21" s="1"/>
  <c r="X205" i="21" s="1"/>
  <c r="W205" i="21" s="1"/>
  <c r="V205" i="21" s="1"/>
  <c r="U205" i="21" s="1"/>
  <c r="T205" i="21" s="1"/>
  <c r="S205" i="21" s="1"/>
  <c r="R205" i="21" s="1"/>
  <c r="Q205" i="21" s="1"/>
  <c r="P205" i="21" s="1"/>
  <c r="O205" i="21" s="1"/>
  <c r="N205" i="21" s="1"/>
  <c r="M205" i="21" s="1"/>
  <c r="L205" i="21" s="1"/>
  <c r="K205" i="21" s="1"/>
  <c r="J205" i="21" s="1"/>
  <c r="I205" i="21" s="1"/>
  <c r="H205" i="21" s="1"/>
  <c r="G205" i="21" s="1"/>
  <c r="F205" i="21" s="1"/>
  <c r="E205" i="21" s="1"/>
  <c r="D205" i="21" s="1"/>
  <c r="C205" i="21" s="1"/>
  <c r="B205" i="21" s="1"/>
  <c r="BW45" i="12" l="1"/>
  <c r="BU45" i="12"/>
  <c r="BT45" i="12"/>
  <c r="CA45" i="12"/>
  <c r="BZ44" i="12"/>
  <c r="BX44" i="12"/>
  <c r="BV45" i="12"/>
  <c r="BY46" i="12"/>
  <c r="BP56" i="5"/>
  <c r="CH56" i="5" s="1"/>
  <c r="BS191" i="12"/>
  <c r="CB191" i="12" s="1"/>
  <c r="AF57" i="5"/>
  <c r="BD57" i="5" s="1"/>
  <c r="AD57" i="5"/>
  <c r="BA57" i="5" s="1"/>
  <c r="Z57" i="5"/>
  <c r="BI57" i="5" s="1"/>
  <c r="Y57" i="5"/>
  <c r="BG57" i="5" s="1"/>
  <c r="BK57" i="5" s="1"/>
  <c r="AE57" i="5"/>
  <c r="BB57" i="5" s="1"/>
  <c r="X57" i="5"/>
  <c r="W57" i="5"/>
  <c r="AB57" i="5"/>
  <c r="AG57" i="5"/>
  <c r="BE57" i="5" s="1"/>
  <c r="AC57" i="5"/>
  <c r="AZ57" i="5" s="1"/>
  <c r="BH56" i="5"/>
  <c r="BJ56" i="5" s="1"/>
  <c r="CJ56" i="5" s="1"/>
  <c r="AH57" i="5"/>
  <c r="BF57" i="5" s="1"/>
  <c r="FX195" i="21"/>
  <c r="FW234" i="21"/>
  <c r="B46" i="21"/>
  <c r="J46" i="21"/>
  <c r="AT46" i="21"/>
  <c r="CC46" i="21"/>
  <c r="DC46" i="21"/>
  <c r="EC46" i="21"/>
  <c r="FJ46" i="21"/>
  <c r="L46" i="21"/>
  <c r="AW46" i="21"/>
  <c r="CG46" i="21"/>
  <c r="DO46" i="21"/>
  <c r="EW46" i="21"/>
  <c r="FX46" i="21"/>
  <c r="M46" i="21"/>
  <c r="BF46" i="21"/>
  <c r="CO46" i="21"/>
  <c r="DP46" i="21"/>
  <c r="EX46" i="21"/>
  <c r="FY46" i="21"/>
  <c r="V46" i="21"/>
  <c r="BG46" i="21"/>
  <c r="CP46" i="21"/>
  <c r="DQ46" i="21"/>
  <c r="EY46" i="21"/>
  <c r="AJ46" i="21"/>
  <c r="CF46" i="21"/>
  <c r="EA46" i="21"/>
  <c r="FM46" i="21"/>
  <c r="AV46" i="21"/>
  <c r="CS46" i="21"/>
  <c r="EL46" i="21"/>
  <c r="FW46" i="21"/>
  <c r="AK46" i="21"/>
  <c r="CQ46" i="21"/>
  <c r="EB46" i="21"/>
  <c r="FU46" i="21"/>
  <c r="AU46" i="21"/>
  <c r="CR46" i="21"/>
  <c r="EK46" i="21"/>
  <c r="FV46" i="21"/>
  <c r="BS46" i="21"/>
  <c r="DZ46" i="21"/>
  <c r="K46" i="21"/>
  <c r="CE46" i="21"/>
  <c r="FA46" i="21"/>
  <c r="W46" i="21"/>
  <c r="DA46" i="21"/>
  <c r="FI46" i="21"/>
  <c r="X46" i="21"/>
  <c r="DB46" i="21"/>
  <c r="FK46" i="21"/>
  <c r="AI46" i="21"/>
  <c r="DM46" i="21"/>
  <c r="BH46" i="21"/>
  <c r="EO46" i="21"/>
  <c r="BI46" i="21"/>
  <c r="EZ46" i="21"/>
  <c r="BR46" i="21"/>
  <c r="FL46" i="21"/>
  <c r="BT46" i="21"/>
  <c r="BU46" i="21"/>
  <c r="CD46" i="21"/>
  <c r="DD46" i="21"/>
  <c r="DE46" i="21"/>
  <c r="DN46" i="21"/>
  <c r="DY46" i="21"/>
  <c r="EM46" i="21"/>
  <c r="EN46" i="21"/>
  <c r="Y46" i="21"/>
  <c r="AH46" i="21"/>
  <c r="U46" i="21"/>
  <c r="AR46" i="21"/>
  <c r="BO46" i="21"/>
  <c r="CX46" i="21"/>
  <c r="DU46" i="21"/>
  <c r="DH46" i="21"/>
  <c r="CU46" i="21"/>
  <c r="Q46" i="21"/>
  <c r="DR46" i="21"/>
  <c r="I46" i="21"/>
  <c r="AF46" i="21"/>
  <c r="BC46" i="21"/>
  <c r="BZ46" i="21"/>
  <c r="DI46" i="21"/>
  <c r="CV46" i="21"/>
  <c r="CI46" i="21"/>
  <c r="FP46" i="21"/>
  <c r="DF46" i="21"/>
  <c r="FT46" i="21"/>
  <c r="T46" i="21"/>
  <c r="AQ46" i="21"/>
  <c r="BN46" i="21"/>
  <c r="CW46" i="21"/>
  <c r="BX46" i="21"/>
  <c r="BW46" i="21"/>
  <c r="ER46" i="21"/>
  <c r="CT46" i="21"/>
  <c r="EJ46" i="21"/>
  <c r="FG46" i="21"/>
  <c r="G46" i="21"/>
  <c r="AD46" i="21"/>
  <c r="BM46" i="21"/>
  <c r="P46" i="21"/>
  <c r="AM46" i="21"/>
  <c r="AZ46" i="21"/>
  <c r="BJ46" i="21"/>
  <c r="DL46" i="21"/>
  <c r="DW46" i="21"/>
  <c r="FF46" i="21"/>
  <c r="F46" i="21"/>
  <c r="AO46" i="21"/>
  <c r="FC46" i="21"/>
  <c r="O46" i="21"/>
  <c r="D46" i="21"/>
  <c r="AL46" i="21"/>
  <c r="EV46" i="21"/>
  <c r="CA46" i="21"/>
  <c r="FE46" i="21"/>
  <c r="FO46" i="21"/>
  <c r="DT46" i="21"/>
  <c r="DX46" i="21"/>
  <c r="AE46" i="21"/>
  <c r="ES46" i="21"/>
  <c r="EQ46" i="21"/>
  <c r="CJ46" i="21"/>
  <c r="CZ46" i="21"/>
  <c r="S46" i="21"/>
  <c r="EG46" i="21"/>
  <c r="EE46" i="21"/>
  <c r="AB46" i="21"/>
  <c r="CN46" i="21"/>
  <c r="FR46" i="21"/>
  <c r="CK46" i="21"/>
  <c r="DS46" i="21"/>
  <c r="FN46" i="21"/>
  <c r="CB46" i="21"/>
  <c r="ET46" i="21"/>
  <c r="BY46" i="21"/>
  <c r="DG46" i="21"/>
  <c r="FB46" i="21"/>
  <c r="AS46" i="21"/>
  <c r="DK46" i="21"/>
  <c r="AP46" i="21"/>
  <c r="EF46" i="21"/>
  <c r="BP46" i="21"/>
  <c r="AX46" i="21"/>
  <c r="AG46" i="21"/>
  <c r="CY46" i="21"/>
  <c r="R46" i="21"/>
  <c r="BL46" i="21"/>
  <c r="EI46" i="21"/>
  <c r="Z46" i="21"/>
  <c r="FH46" i="21"/>
  <c r="CM46" i="21"/>
  <c r="FQ46" i="21"/>
  <c r="AN46" i="21"/>
  <c r="CL46" i="21"/>
  <c r="N46" i="21"/>
  <c r="BD46" i="21"/>
  <c r="EH46" i="21"/>
  <c r="BA46" i="21"/>
  <c r="BK46" i="21"/>
  <c r="EP46" i="21"/>
  <c r="H46" i="21"/>
  <c r="DV46" i="21"/>
  <c r="AC46" i="21"/>
  <c r="AY46" i="21"/>
  <c r="ED46" i="21"/>
  <c r="BE46" i="21"/>
  <c r="BQ46" i="21"/>
  <c r="FS46" i="21"/>
  <c r="DJ46" i="21"/>
  <c r="E46" i="21"/>
  <c r="AA46" i="21"/>
  <c r="CH46" i="21"/>
  <c r="EU46" i="21"/>
  <c r="BB46" i="21"/>
  <c r="FD46" i="21"/>
  <c r="C46" i="21"/>
  <c r="BV46" i="21"/>
  <c r="CK57" i="5" l="1"/>
  <c r="CA44" i="12"/>
  <c r="BV44" i="12"/>
  <c r="BT44" i="12"/>
  <c r="BY45" i="12"/>
  <c r="BX43" i="12"/>
  <c r="BU44" i="12"/>
  <c r="BZ43" i="12"/>
  <c r="BW44" i="12"/>
  <c r="BS190" i="12"/>
  <c r="CB190" i="12" s="1"/>
  <c r="BQ57" i="5"/>
  <c r="BO57" i="5"/>
  <c r="BL57" i="5"/>
  <c r="CG57" i="5" s="1"/>
  <c r="BN57" i="5"/>
  <c r="BR57" i="5"/>
  <c r="CF57" i="5" s="1"/>
  <c r="BM57" i="5"/>
  <c r="CI57" i="5" s="1"/>
  <c r="AA57" i="5"/>
  <c r="BC57" i="5"/>
  <c r="AX57" i="5"/>
  <c r="FW195" i="21"/>
  <c r="FY197" i="21"/>
  <c r="FY236" i="21"/>
  <c r="FV234" i="21"/>
  <c r="BW43" i="12" l="1"/>
  <c r="BT43" i="12"/>
  <c r="BY44" i="12"/>
  <c r="BZ42" i="12"/>
  <c r="BU43" i="12"/>
  <c r="BV43" i="12"/>
  <c r="BX42" i="12"/>
  <c r="CA43" i="12"/>
  <c r="BS189" i="12"/>
  <c r="CB189" i="12" s="1"/>
  <c r="AC58" i="5"/>
  <c r="AZ58" i="5" s="1"/>
  <c r="W58" i="5"/>
  <c r="AH58" i="5"/>
  <c r="BF58" i="5" s="1"/>
  <c r="AE58" i="5"/>
  <c r="BB58" i="5" s="1"/>
  <c r="Y58" i="5"/>
  <c r="BG58" i="5" s="1"/>
  <c r="BK58" i="5" s="1"/>
  <c r="X58" i="5"/>
  <c r="BH57" i="5"/>
  <c r="BJ57" i="5" s="1"/>
  <c r="CJ57" i="5" s="1"/>
  <c r="AB58" i="5"/>
  <c r="AD58" i="5"/>
  <c r="BA58" i="5" s="1"/>
  <c r="AG58" i="5"/>
  <c r="BE58" i="5" s="1"/>
  <c r="Z58" i="5"/>
  <c r="BI58" i="5" s="1"/>
  <c r="AF58" i="5"/>
  <c r="BD58" i="5" s="1"/>
  <c r="BP57" i="5"/>
  <c r="CH57" i="5" s="1"/>
  <c r="FX236" i="21"/>
  <c r="FU234" i="21"/>
  <c r="FV195" i="21"/>
  <c r="FX197" i="21"/>
  <c r="CK58" i="5" l="1"/>
  <c r="CA42" i="12"/>
  <c r="BZ41" i="12"/>
  <c r="BX41" i="12"/>
  <c r="BY43" i="12"/>
  <c r="BV42" i="12"/>
  <c r="BT42" i="12"/>
  <c r="BU42" i="12"/>
  <c r="BW42" i="12"/>
  <c r="BS188" i="12"/>
  <c r="BS187" i="12" s="1"/>
  <c r="BC58" i="5"/>
  <c r="AX58" i="5"/>
  <c r="BN58" i="5"/>
  <c r="BL58" i="5"/>
  <c r="CG58" i="5" s="1"/>
  <c r="BO58" i="5"/>
  <c r="BR58" i="5"/>
  <c r="CF58" i="5" s="1"/>
  <c r="BQ58" i="5"/>
  <c r="AA58" i="5"/>
  <c r="BM58" i="5"/>
  <c r="CI58" i="5" s="1"/>
  <c r="FW197" i="21"/>
  <c r="FU195" i="21"/>
  <c r="FT234" i="21"/>
  <c r="FW236" i="21"/>
  <c r="BY42" i="12" l="1"/>
  <c r="BX40" i="12"/>
  <c r="BZ40" i="12"/>
  <c r="BW41" i="12"/>
  <c r="BU41" i="12"/>
  <c r="BT41" i="12"/>
  <c r="BV41" i="12"/>
  <c r="CA41" i="12"/>
  <c r="CB188" i="12"/>
  <c r="AC59" i="5"/>
  <c r="AZ59" i="5" s="1"/>
  <c r="AD59" i="5"/>
  <c r="BA59" i="5" s="1"/>
  <c r="BH58" i="5"/>
  <c r="BJ58" i="5" s="1"/>
  <c r="CJ58" i="5" s="1"/>
  <c r="Z59" i="5"/>
  <c r="BI59" i="5" s="1"/>
  <c r="AE59" i="5"/>
  <c r="BB59" i="5" s="1"/>
  <c r="AB59" i="5"/>
  <c r="Y59" i="5"/>
  <c r="BG59" i="5" s="1"/>
  <c r="BK59" i="5" s="1"/>
  <c r="AH59" i="5"/>
  <c r="BF59" i="5" s="1"/>
  <c r="W59" i="5"/>
  <c r="X59" i="5"/>
  <c r="AF59" i="5"/>
  <c r="BD59" i="5" s="1"/>
  <c r="AG59" i="5"/>
  <c r="BE59" i="5" s="1"/>
  <c r="BP58" i="5"/>
  <c r="CH58" i="5" s="1"/>
  <c r="FV236" i="21"/>
  <c r="FS234" i="21"/>
  <c r="FT195" i="21"/>
  <c r="FV197" i="21"/>
  <c r="CB187" i="12"/>
  <c r="BS186" i="12"/>
  <c r="CK59" i="5" l="1"/>
  <c r="BW40" i="12"/>
  <c r="CA40" i="12"/>
  <c r="BV40" i="12"/>
  <c r="BZ39" i="12"/>
  <c r="BT40" i="12"/>
  <c r="BX39" i="12"/>
  <c r="BU40" i="12"/>
  <c r="BY41" i="12"/>
  <c r="BC59" i="5"/>
  <c r="AX59" i="5"/>
  <c r="AA59" i="5"/>
  <c r="BN59" i="5"/>
  <c r="BR59" i="5"/>
  <c r="CF59" i="5" s="1"/>
  <c r="BL59" i="5"/>
  <c r="CG59" i="5" s="1"/>
  <c r="BO59" i="5"/>
  <c r="BM59" i="5"/>
  <c r="CI59" i="5" s="1"/>
  <c r="BQ59" i="5"/>
  <c r="FU197" i="21"/>
  <c r="FS195" i="21"/>
  <c r="FR234" i="21"/>
  <c r="FU236" i="21"/>
  <c r="CB186" i="12"/>
  <c r="BS185" i="12"/>
  <c r="BY40" i="12" l="1"/>
  <c r="BZ38" i="12"/>
  <c r="BU39" i="12"/>
  <c r="BV39" i="12"/>
  <c r="BX38" i="12"/>
  <c r="CA39" i="12"/>
  <c r="BT39" i="12"/>
  <c r="BW39" i="12"/>
  <c r="AD60" i="5"/>
  <c r="BA60" i="5" s="1"/>
  <c r="AE60" i="5"/>
  <c r="BB60" i="5" s="1"/>
  <c r="AC60" i="5"/>
  <c r="AZ60" i="5" s="1"/>
  <c r="W60" i="5"/>
  <c r="AB60" i="5"/>
  <c r="AH60" i="5"/>
  <c r="BF60" i="5" s="1"/>
  <c r="AF60" i="5"/>
  <c r="BD60" i="5" s="1"/>
  <c r="BH59" i="5"/>
  <c r="BJ59" i="5" s="1"/>
  <c r="CJ59" i="5" s="1"/>
  <c r="X60" i="5"/>
  <c r="Y60" i="5"/>
  <c r="BG60" i="5" s="1"/>
  <c r="BK60" i="5" s="1"/>
  <c r="AG60" i="5"/>
  <c r="BE60" i="5" s="1"/>
  <c r="Z60" i="5"/>
  <c r="BI60" i="5" s="1"/>
  <c r="BP59" i="5"/>
  <c r="CH59" i="5" s="1"/>
  <c r="FT236" i="21"/>
  <c r="FQ234" i="21"/>
  <c r="FR195" i="21"/>
  <c r="FT197" i="21"/>
  <c r="CB185" i="12"/>
  <c r="BS184" i="12"/>
  <c r="CK60" i="5" l="1"/>
  <c r="BU38" i="12"/>
  <c r="BW38" i="12"/>
  <c r="BV38" i="12"/>
  <c r="BT38" i="12"/>
  <c r="CA38" i="12"/>
  <c r="BZ37" i="12"/>
  <c r="BX37" i="12"/>
  <c r="BY39" i="12"/>
  <c r="BC60" i="5"/>
  <c r="AX60" i="5"/>
  <c r="BQ60" i="5"/>
  <c r="BM60" i="5"/>
  <c r="CI60" i="5" s="1"/>
  <c r="BO60" i="5"/>
  <c r="BN60" i="5"/>
  <c r="BR60" i="5"/>
  <c r="CF60" i="5" s="1"/>
  <c r="BL60" i="5"/>
  <c r="CG60" i="5" s="1"/>
  <c r="AA60" i="5"/>
  <c r="FS197" i="21"/>
  <c r="FQ195" i="21"/>
  <c r="FP234" i="21"/>
  <c r="FS236" i="21"/>
  <c r="CB184" i="12"/>
  <c r="BS183" i="12"/>
  <c r="BY38" i="12" l="1"/>
  <c r="BT37" i="12"/>
  <c r="BX36" i="12"/>
  <c r="BV37" i="12"/>
  <c r="BZ36" i="12"/>
  <c r="BW37" i="12"/>
  <c r="CA37" i="12"/>
  <c r="BU37" i="12"/>
  <c r="AF61" i="5"/>
  <c r="BD61" i="5" s="1"/>
  <c r="X61" i="5"/>
  <c r="AC61" i="5"/>
  <c r="AZ61" i="5" s="1"/>
  <c r="AH61" i="5"/>
  <c r="BF61" i="5" s="1"/>
  <c r="Y61" i="5"/>
  <c r="BG61" i="5" s="1"/>
  <c r="BK61" i="5" s="1"/>
  <c r="W61" i="5"/>
  <c r="AG61" i="5"/>
  <c r="BE61" i="5" s="1"/>
  <c r="AB61" i="5"/>
  <c r="AD61" i="5"/>
  <c r="BA61" i="5" s="1"/>
  <c r="BH60" i="5"/>
  <c r="BJ60" i="5" s="1"/>
  <c r="CJ60" i="5" s="1"/>
  <c r="Z61" i="5"/>
  <c r="BI61" i="5" s="1"/>
  <c r="AE61" i="5"/>
  <c r="BB61" i="5" s="1"/>
  <c r="BP60" i="5"/>
  <c r="CH60" i="5" s="1"/>
  <c r="FR236" i="21"/>
  <c r="FO234" i="21"/>
  <c r="FP195" i="21"/>
  <c r="FR197" i="21"/>
  <c r="CB183" i="12"/>
  <c r="BS182" i="12"/>
  <c r="CK61" i="5" l="1"/>
  <c r="BU36" i="12"/>
  <c r="BV36" i="12"/>
  <c r="CA36" i="12"/>
  <c r="BX35" i="12"/>
  <c r="BW36" i="12"/>
  <c r="BT36" i="12"/>
  <c r="BZ35" i="12"/>
  <c r="BY37" i="12"/>
  <c r="AX61" i="5"/>
  <c r="BC61" i="5"/>
  <c r="BO61" i="5"/>
  <c r="BN61" i="5"/>
  <c r="AA61" i="5"/>
  <c r="BR61" i="5"/>
  <c r="CF61" i="5" s="1"/>
  <c r="BL61" i="5"/>
  <c r="CG61" i="5" s="1"/>
  <c r="BQ61" i="5"/>
  <c r="BM61" i="5"/>
  <c r="CI61" i="5" s="1"/>
  <c r="FQ197" i="21"/>
  <c r="FO195" i="21"/>
  <c r="FN234" i="21"/>
  <c r="FQ236" i="21"/>
  <c r="CB182" i="12"/>
  <c r="BS181" i="12"/>
  <c r="BX34" i="12" l="1"/>
  <c r="BY36" i="12"/>
  <c r="BZ34" i="12"/>
  <c r="CA35" i="12"/>
  <c r="BT35" i="12"/>
  <c r="BV35" i="12"/>
  <c r="BW35" i="12"/>
  <c r="BU35" i="12"/>
  <c r="BP61" i="5"/>
  <c r="CH61" i="5" s="1"/>
  <c r="BH61" i="5"/>
  <c r="BJ61" i="5" s="1"/>
  <c r="CJ61" i="5" s="1"/>
  <c r="AG62" i="5"/>
  <c r="BE62" i="5" s="1"/>
  <c r="AF62" i="5"/>
  <c r="BD62" i="5" s="1"/>
  <c r="Z62" i="5"/>
  <c r="BI62" i="5" s="1"/>
  <c r="AB62" i="5"/>
  <c r="X62" i="5"/>
  <c r="Y62" i="5"/>
  <c r="BG62" i="5" s="1"/>
  <c r="BK62" i="5" s="1"/>
  <c r="CK62" i="5" s="1"/>
  <c r="AE62" i="5"/>
  <c r="BB62" i="5" s="1"/>
  <c r="W62" i="5"/>
  <c r="AH62" i="5"/>
  <c r="BF62" i="5" s="1"/>
  <c r="AD62" i="5"/>
  <c r="BA62" i="5" s="1"/>
  <c r="AC62" i="5"/>
  <c r="AZ62" i="5" s="1"/>
  <c r="FP236" i="21"/>
  <c r="FM234" i="21"/>
  <c r="FN195" i="21"/>
  <c r="FP197" i="21"/>
  <c r="CB181" i="12"/>
  <c r="BS180" i="12"/>
  <c r="BW34" i="12" l="1"/>
  <c r="BU34" i="12"/>
  <c r="CA34" i="12"/>
  <c r="BZ33" i="12"/>
  <c r="BV34" i="12"/>
  <c r="BY35" i="12"/>
  <c r="BT34" i="12"/>
  <c r="BX33" i="12"/>
  <c r="AX62" i="5"/>
  <c r="BC62" i="5"/>
  <c r="BM62" i="5"/>
  <c r="CI62" i="5" s="1"/>
  <c r="BL62" i="5"/>
  <c r="CG62" i="5" s="1"/>
  <c r="BQ62" i="5"/>
  <c r="BO62" i="5"/>
  <c r="AA62" i="5"/>
  <c r="BN62" i="5"/>
  <c r="BR62" i="5"/>
  <c r="CF62" i="5" s="1"/>
  <c r="FO197" i="21"/>
  <c r="FM195" i="21"/>
  <c r="FL234" i="21"/>
  <c r="FO236" i="21"/>
  <c r="CB180" i="12"/>
  <c r="BS179" i="12"/>
  <c r="BZ32" i="12" l="1"/>
  <c r="BT33" i="12"/>
  <c r="BX32" i="12"/>
  <c r="CA33" i="12"/>
  <c r="BY34" i="12"/>
  <c r="BU33" i="12"/>
  <c r="BV33" i="12"/>
  <c r="BW33" i="12"/>
  <c r="BP62" i="5"/>
  <c r="CH62" i="5" s="1"/>
  <c r="AC63" i="5"/>
  <c r="AZ63" i="5" s="1"/>
  <c r="AE63" i="5"/>
  <c r="BB63" i="5" s="1"/>
  <c r="BH62" i="5"/>
  <c r="BJ62" i="5" s="1"/>
  <c r="CJ62" i="5" s="1"/>
  <c r="Y63" i="5"/>
  <c r="BG63" i="5" s="1"/>
  <c r="BK63" i="5" s="1"/>
  <c r="AG63" i="5"/>
  <c r="BE63" i="5" s="1"/>
  <c r="AB63" i="5"/>
  <c r="X63" i="5"/>
  <c r="AF63" i="5"/>
  <c r="BD63" i="5" s="1"/>
  <c r="AD63" i="5"/>
  <c r="BA63" i="5" s="1"/>
  <c r="W63" i="5"/>
  <c r="AH63" i="5"/>
  <c r="BF63" i="5" s="1"/>
  <c r="Z63" i="5"/>
  <c r="BI63" i="5" s="1"/>
  <c r="FN236" i="21"/>
  <c r="FK234" i="21"/>
  <c r="FL195" i="21"/>
  <c r="FN197" i="21"/>
  <c r="CB179" i="12"/>
  <c r="BS178" i="12"/>
  <c r="CK63" i="5" l="1"/>
  <c r="BW32" i="12"/>
  <c r="CA32" i="12"/>
  <c r="BV32" i="12"/>
  <c r="BX31" i="12"/>
  <c r="BU32" i="12"/>
  <c r="BT32" i="12"/>
  <c r="BY33" i="12"/>
  <c r="BZ31" i="12"/>
  <c r="AX63" i="5"/>
  <c r="BC63" i="5"/>
  <c r="BM63" i="5"/>
  <c r="CI63" i="5" s="1"/>
  <c r="BQ63" i="5"/>
  <c r="BL63" i="5"/>
  <c r="CG63" i="5" s="1"/>
  <c r="AA63" i="5"/>
  <c r="BO63" i="5"/>
  <c r="BN63" i="5"/>
  <c r="BR63" i="5"/>
  <c r="CF63" i="5" s="1"/>
  <c r="FM197" i="21"/>
  <c r="FK195" i="21"/>
  <c r="FJ234" i="21"/>
  <c r="FM236" i="21"/>
  <c r="CB178" i="12"/>
  <c r="BS177" i="12"/>
  <c r="BZ30" i="12" l="1"/>
  <c r="BX30" i="12"/>
  <c r="BY32" i="12"/>
  <c r="BV31" i="12"/>
  <c r="BT31" i="12"/>
  <c r="CA31" i="12"/>
  <c r="BU31" i="12"/>
  <c r="BW31" i="12"/>
  <c r="Z64" i="5"/>
  <c r="BI64" i="5" s="1"/>
  <c r="AC64" i="5"/>
  <c r="AZ64" i="5" s="1"/>
  <c r="AE64" i="5"/>
  <c r="BB64" i="5" s="1"/>
  <c r="AF64" i="5"/>
  <c r="BD64" i="5" s="1"/>
  <c r="AG64" i="5"/>
  <c r="BE64" i="5" s="1"/>
  <c r="AD64" i="5"/>
  <c r="BA64" i="5" s="1"/>
  <c r="Y64" i="5"/>
  <c r="BG64" i="5" s="1"/>
  <c r="BK64" i="5" s="1"/>
  <c r="AB64" i="5"/>
  <c r="BH63" i="5"/>
  <c r="BJ63" i="5" s="1"/>
  <c r="CJ63" i="5" s="1"/>
  <c r="X64" i="5"/>
  <c r="W64" i="5"/>
  <c r="AH64" i="5"/>
  <c r="BF64" i="5" s="1"/>
  <c r="BP63" i="5"/>
  <c r="CH63" i="5" s="1"/>
  <c r="FL236" i="21"/>
  <c r="FI234" i="21"/>
  <c r="FJ195" i="21"/>
  <c r="FL197" i="21"/>
  <c r="CB177" i="12"/>
  <c r="BS176" i="12"/>
  <c r="CK64" i="5" l="1"/>
  <c r="BV30" i="12"/>
  <c r="BW30" i="12"/>
  <c r="BU30" i="12"/>
  <c r="BY31" i="12"/>
  <c r="CA30" i="12"/>
  <c r="BX29" i="12"/>
  <c r="BT30" i="12"/>
  <c r="BZ29" i="12"/>
  <c r="BR64" i="5"/>
  <c r="CF64" i="5" s="1"/>
  <c r="BO64" i="5"/>
  <c r="AA64" i="5"/>
  <c r="BQ64" i="5"/>
  <c r="BM64" i="5"/>
  <c r="CI64" i="5" s="1"/>
  <c r="BL64" i="5"/>
  <c r="CG64" i="5" s="1"/>
  <c r="BN64" i="5"/>
  <c r="BC64" i="5"/>
  <c r="AX64" i="5"/>
  <c r="FK197" i="21"/>
  <c r="FI195" i="21"/>
  <c r="FH234" i="21"/>
  <c r="FK236" i="21"/>
  <c r="CB176" i="12"/>
  <c r="BS175" i="12"/>
  <c r="BY30" i="12" l="1"/>
  <c r="BZ28" i="12"/>
  <c r="BT29" i="12"/>
  <c r="BU29" i="12"/>
  <c r="BX28" i="12"/>
  <c r="BW29" i="12"/>
  <c r="CA29" i="12"/>
  <c r="BV29" i="12"/>
  <c r="BP64" i="5"/>
  <c r="CH64" i="5" s="1"/>
  <c r="Y65" i="5"/>
  <c r="BG65" i="5" s="1"/>
  <c r="BK65" i="5" s="1"/>
  <c r="AE65" i="5"/>
  <c r="BB65" i="5" s="1"/>
  <c r="AG65" i="5"/>
  <c r="BE65" i="5" s="1"/>
  <c r="AC65" i="5"/>
  <c r="AZ65" i="5" s="1"/>
  <c r="W65" i="5"/>
  <c r="Z65" i="5"/>
  <c r="BI65" i="5" s="1"/>
  <c r="AB65" i="5"/>
  <c r="X65" i="5"/>
  <c r="AH65" i="5"/>
  <c r="BF65" i="5" s="1"/>
  <c r="BH64" i="5"/>
  <c r="BJ64" i="5" s="1"/>
  <c r="CJ64" i="5" s="1"/>
  <c r="AD65" i="5"/>
  <c r="BA65" i="5" s="1"/>
  <c r="AF65" i="5"/>
  <c r="BD65" i="5" s="1"/>
  <c r="FJ236" i="21"/>
  <c r="FG234" i="21"/>
  <c r="FH195" i="21"/>
  <c r="FJ197" i="21"/>
  <c r="CB175" i="12"/>
  <c r="BS174" i="12"/>
  <c r="CK65" i="5" l="1"/>
  <c r="BV28" i="12"/>
  <c r="BU28" i="12"/>
  <c r="CA28" i="12"/>
  <c r="BT28" i="12"/>
  <c r="BW28" i="12"/>
  <c r="BZ27" i="12"/>
  <c r="BX27" i="12"/>
  <c r="BY29" i="12"/>
  <c r="BQ65" i="5"/>
  <c r="BL65" i="5"/>
  <c r="CG65" i="5" s="1"/>
  <c r="BN65" i="5"/>
  <c r="BO65" i="5"/>
  <c r="BM65" i="5"/>
  <c r="CI65" i="5" s="1"/>
  <c r="AA65" i="5"/>
  <c r="BR65" i="5"/>
  <c r="CF65" i="5" s="1"/>
  <c r="AX65" i="5"/>
  <c r="BC65" i="5"/>
  <c r="FI197" i="21"/>
  <c r="FG195" i="21"/>
  <c r="FF234" i="21"/>
  <c r="FI236" i="21"/>
  <c r="CB174" i="12"/>
  <c r="BS173" i="12"/>
  <c r="BT27" i="12" l="1"/>
  <c r="BY28" i="12"/>
  <c r="BX26" i="12"/>
  <c r="CA27" i="12"/>
  <c r="BZ26" i="12"/>
  <c r="BU27" i="12"/>
  <c r="BW27" i="12"/>
  <c r="BV27" i="12"/>
  <c r="BP65" i="5"/>
  <c r="CH65" i="5" s="1"/>
  <c r="AE66" i="5"/>
  <c r="BB66" i="5" s="1"/>
  <c r="AD66" i="5"/>
  <c r="BA66" i="5" s="1"/>
  <c r="AH66" i="5"/>
  <c r="BF66" i="5" s="1"/>
  <c r="Z66" i="5"/>
  <c r="BI66" i="5" s="1"/>
  <c r="AF66" i="5"/>
  <c r="BD66" i="5" s="1"/>
  <c r="AB66" i="5"/>
  <c r="X66" i="5"/>
  <c r="AG66" i="5"/>
  <c r="BE66" i="5" s="1"/>
  <c r="AC66" i="5"/>
  <c r="AZ66" i="5" s="1"/>
  <c r="Y66" i="5"/>
  <c r="BG66" i="5" s="1"/>
  <c r="BK66" i="5" s="1"/>
  <c r="W66" i="5"/>
  <c r="BH65" i="5"/>
  <c r="BJ65" i="5" s="1"/>
  <c r="CJ65" i="5" s="1"/>
  <c r="FH236" i="21"/>
  <c r="FE234" i="21"/>
  <c r="FF195" i="21"/>
  <c r="FH197" i="21"/>
  <c r="CB173" i="12"/>
  <c r="BS172" i="12"/>
  <c r="CK66" i="5" l="1"/>
  <c r="BV26" i="12"/>
  <c r="CA26" i="12"/>
  <c r="BW26" i="12"/>
  <c r="BX25" i="12"/>
  <c r="BU26" i="12"/>
  <c r="BY27" i="12"/>
  <c r="BZ25" i="12"/>
  <c r="BT26" i="12"/>
  <c r="BC66" i="5"/>
  <c r="AX66" i="5"/>
  <c r="BN66" i="5"/>
  <c r="BQ66" i="5"/>
  <c r="BM66" i="5"/>
  <c r="CI66" i="5" s="1"/>
  <c r="BL66" i="5"/>
  <c r="CG66" i="5" s="1"/>
  <c r="AA66" i="5"/>
  <c r="BO66" i="5"/>
  <c r="BR66" i="5"/>
  <c r="CF66" i="5" s="1"/>
  <c r="FG197" i="21"/>
  <c r="FE195" i="21"/>
  <c r="FD234" i="21"/>
  <c r="FG236" i="21"/>
  <c r="CB172" i="12"/>
  <c r="BS171" i="12"/>
  <c r="BT25" i="12" l="1"/>
  <c r="BX24" i="12"/>
  <c r="BZ24" i="12"/>
  <c r="BW25" i="12"/>
  <c r="BY26" i="12"/>
  <c r="CA25" i="12"/>
  <c r="BU25" i="12"/>
  <c r="BV25" i="12"/>
  <c r="BP66" i="5"/>
  <c r="CH66" i="5" s="1"/>
  <c r="AH67" i="5"/>
  <c r="BF67" i="5" s="1"/>
  <c r="X67" i="5"/>
  <c r="BH66" i="5"/>
  <c r="BJ66" i="5" s="1"/>
  <c r="CJ66" i="5" s="1"/>
  <c r="Z67" i="5"/>
  <c r="BI67" i="5" s="1"/>
  <c r="AB67" i="5"/>
  <c r="W67" i="5"/>
  <c r="AE67" i="5"/>
  <c r="BB67" i="5" s="1"/>
  <c r="AC67" i="5"/>
  <c r="AZ67" i="5" s="1"/>
  <c r="AD67" i="5"/>
  <c r="BA67" i="5" s="1"/>
  <c r="Y67" i="5"/>
  <c r="BG67" i="5" s="1"/>
  <c r="BK67" i="5" s="1"/>
  <c r="AF67" i="5"/>
  <c r="BD67" i="5" s="1"/>
  <c r="AG67" i="5"/>
  <c r="BE67" i="5" s="1"/>
  <c r="FF236" i="21"/>
  <c r="FC234" i="21"/>
  <c r="FD195" i="21"/>
  <c r="FF197" i="21"/>
  <c r="CB171" i="12"/>
  <c r="BS170" i="12"/>
  <c r="CK67" i="5" l="1"/>
  <c r="BV24" i="12"/>
  <c r="BW24" i="12"/>
  <c r="BU24" i="12"/>
  <c r="BZ23" i="12"/>
  <c r="CA24" i="12"/>
  <c r="BX23" i="12"/>
  <c r="BY25" i="12"/>
  <c r="BT24" i="12"/>
  <c r="BC67" i="5"/>
  <c r="AX67" i="5"/>
  <c r="BL67" i="5"/>
  <c r="CG67" i="5" s="1"/>
  <c r="BR67" i="5"/>
  <c r="CF67" i="5" s="1"/>
  <c r="BM67" i="5"/>
  <c r="CI67" i="5" s="1"/>
  <c r="AA67" i="5"/>
  <c r="BQ67" i="5"/>
  <c r="BN67" i="5"/>
  <c r="BO67" i="5"/>
  <c r="FE197" i="21"/>
  <c r="FC195" i="21"/>
  <c r="FB234" i="21"/>
  <c r="FE236" i="21"/>
  <c r="CB170" i="12"/>
  <c r="BS169" i="12"/>
  <c r="BT23" i="12" l="1"/>
  <c r="BZ22" i="12"/>
  <c r="BY24" i="12"/>
  <c r="BU23" i="12"/>
  <c r="BX22" i="12"/>
  <c r="BW23" i="12"/>
  <c r="CA23" i="12"/>
  <c r="BV23" i="12"/>
  <c r="BP67" i="5"/>
  <c r="CH67" i="5" s="1"/>
  <c r="Y68" i="5"/>
  <c r="BG68" i="5" s="1"/>
  <c r="BK68" i="5" s="1"/>
  <c r="X68" i="5"/>
  <c r="W68" i="5"/>
  <c r="AE68" i="5"/>
  <c r="BB68" i="5" s="1"/>
  <c r="AB68" i="5"/>
  <c r="BH67" i="5"/>
  <c r="BJ67" i="5" s="1"/>
  <c r="CJ67" i="5" s="1"/>
  <c r="Z68" i="5"/>
  <c r="BI68" i="5" s="1"/>
  <c r="AH68" i="5"/>
  <c r="BF68" i="5" s="1"/>
  <c r="AD68" i="5"/>
  <c r="BA68" i="5" s="1"/>
  <c r="AF68" i="5"/>
  <c r="BD68" i="5" s="1"/>
  <c r="AC68" i="5"/>
  <c r="AZ68" i="5" s="1"/>
  <c r="AG68" i="5"/>
  <c r="BE68" i="5" s="1"/>
  <c r="FD236" i="21"/>
  <c r="FA234" i="21"/>
  <c r="FB195" i="21"/>
  <c r="FD197" i="21"/>
  <c r="CB169" i="12"/>
  <c r="BS168" i="12"/>
  <c r="CK68" i="5" l="1"/>
  <c r="BU22" i="12"/>
  <c r="BV22" i="12"/>
  <c r="CA22" i="12"/>
  <c r="BY23" i="12"/>
  <c r="BW22" i="12"/>
  <c r="BZ21" i="12"/>
  <c r="BX21" i="12"/>
  <c r="BT22" i="12"/>
  <c r="AA68" i="5"/>
  <c r="BL68" i="5"/>
  <c r="CG68" i="5" s="1"/>
  <c r="BN68" i="5"/>
  <c r="BO68" i="5"/>
  <c r="BQ68" i="5"/>
  <c r="BM68" i="5"/>
  <c r="CI68" i="5" s="1"/>
  <c r="BR68" i="5"/>
  <c r="CF68" i="5" s="1"/>
  <c r="BC68" i="5"/>
  <c r="AX68" i="5"/>
  <c r="FC197" i="21"/>
  <c r="FA195" i="21"/>
  <c r="EZ234" i="21"/>
  <c r="FC236" i="21"/>
  <c r="CB168" i="12"/>
  <c r="BS167" i="12"/>
  <c r="BT21" i="12" l="1"/>
  <c r="CA21" i="12"/>
  <c r="BY22" i="12"/>
  <c r="BX20" i="12"/>
  <c r="BZ20" i="12"/>
  <c r="BV21" i="12"/>
  <c r="BW21" i="12"/>
  <c r="BU21" i="12"/>
  <c r="BP68" i="5"/>
  <c r="CH68" i="5" s="1"/>
  <c r="AC69" i="5"/>
  <c r="AZ69" i="5" s="1"/>
  <c r="AF69" i="5"/>
  <c r="BD69" i="5" s="1"/>
  <c r="AE69" i="5"/>
  <c r="BB69" i="5" s="1"/>
  <c r="AD69" i="5"/>
  <c r="BA69" i="5" s="1"/>
  <c r="AH69" i="5"/>
  <c r="BF69" i="5" s="1"/>
  <c r="AB69" i="5"/>
  <c r="Z69" i="5"/>
  <c r="BI69" i="5" s="1"/>
  <c r="AG69" i="5"/>
  <c r="BE69" i="5" s="1"/>
  <c r="X69" i="5"/>
  <c r="BH68" i="5"/>
  <c r="BJ68" i="5" s="1"/>
  <c r="CJ68" i="5" s="1"/>
  <c r="W69" i="5"/>
  <c r="Y69" i="5"/>
  <c r="BG69" i="5" s="1"/>
  <c r="BK69" i="5" s="1"/>
  <c r="CK69" i="5" s="1"/>
  <c r="FB236" i="21"/>
  <c r="EZ195" i="21"/>
  <c r="EY234" i="21"/>
  <c r="FB197" i="21"/>
  <c r="CB167" i="12"/>
  <c r="BS166" i="12"/>
  <c r="BU20" i="12" l="1"/>
  <c r="BX19" i="12"/>
  <c r="BW20" i="12"/>
  <c r="BY21" i="12"/>
  <c r="BV20" i="12"/>
  <c r="CA20" i="12"/>
  <c r="BZ19" i="12"/>
  <c r="BT20" i="12"/>
  <c r="BL69" i="5"/>
  <c r="CG69" i="5" s="1"/>
  <c r="BO69" i="5"/>
  <c r="AA69" i="5"/>
  <c r="BR69" i="5"/>
  <c r="CF69" i="5" s="1"/>
  <c r="BM69" i="5"/>
  <c r="CI69" i="5" s="1"/>
  <c r="BQ69" i="5"/>
  <c r="BN69" i="5"/>
  <c r="AX69" i="5"/>
  <c r="BC69" i="5"/>
  <c r="FA197" i="21"/>
  <c r="EX234" i="21"/>
  <c r="EY195" i="21"/>
  <c r="FA236" i="21"/>
  <c r="CB166" i="12"/>
  <c r="BS165" i="12"/>
  <c r="BT19" i="12" l="1"/>
  <c r="BY20" i="12"/>
  <c r="BZ18" i="12"/>
  <c r="BW19" i="12"/>
  <c r="CA19" i="12"/>
  <c r="BX18" i="12"/>
  <c r="BV19" i="12"/>
  <c r="BU19" i="12"/>
  <c r="BP69" i="5"/>
  <c r="CH69" i="5" s="1"/>
  <c r="AH70" i="5"/>
  <c r="BF70" i="5" s="1"/>
  <c r="BH69" i="5"/>
  <c r="BJ69" i="5" s="1"/>
  <c r="CJ69" i="5" s="1"/>
  <c r="AB70" i="5"/>
  <c r="W70" i="5"/>
  <c r="AE70" i="5"/>
  <c r="BB70" i="5" s="1"/>
  <c r="Y70" i="5"/>
  <c r="BG70" i="5" s="1"/>
  <c r="BK70" i="5" s="1"/>
  <c r="CK70" i="5" s="1"/>
  <c r="AC70" i="5"/>
  <c r="AZ70" i="5" s="1"/>
  <c r="AD70" i="5"/>
  <c r="BA70" i="5" s="1"/>
  <c r="Z70" i="5"/>
  <c r="BI70" i="5" s="1"/>
  <c r="AF70" i="5"/>
  <c r="BD70" i="5" s="1"/>
  <c r="AG70" i="5"/>
  <c r="BE70" i="5" s="1"/>
  <c r="X70" i="5"/>
  <c r="EZ236" i="21"/>
  <c r="EX195" i="21"/>
  <c r="EW234" i="21"/>
  <c r="EZ197" i="21"/>
  <c r="CB165" i="12"/>
  <c r="BS164" i="12"/>
  <c r="BW18" i="12" l="1"/>
  <c r="BU18" i="12"/>
  <c r="BV18" i="12"/>
  <c r="BZ17" i="12"/>
  <c r="BX17" i="12"/>
  <c r="BY19" i="12"/>
  <c r="CA18" i="12"/>
  <c r="BT18" i="12"/>
  <c r="AX70" i="5"/>
  <c r="BC70" i="5"/>
  <c r="BQ70" i="5"/>
  <c r="BR70" i="5"/>
  <c r="CF70" i="5" s="1"/>
  <c r="AA70" i="5"/>
  <c r="BN70" i="5"/>
  <c r="BL70" i="5"/>
  <c r="CG70" i="5" s="1"/>
  <c r="BM70" i="5"/>
  <c r="CI70" i="5" s="1"/>
  <c r="BO70" i="5"/>
  <c r="EY197" i="21"/>
  <c r="EV234" i="21"/>
  <c r="EW195" i="21"/>
  <c r="EY236" i="21"/>
  <c r="CB164" i="12"/>
  <c r="BS163" i="12"/>
  <c r="BZ16" i="12" l="1"/>
  <c r="BT17" i="12"/>
  <c r="CA17" i="12"/>
  <c r="BV17" i="12"/>
  <c r="BY18" i="12"/>
  <c r="BU17" i="12"/>
  <c r="BX16" i="12"/>
  <c r="BW17" i="12"/>
  <c r="BP70" i="5"/>
  <c r="CH70" i="5" s="1"/>
  <c r="AG71" i="5"/>
  <c r="BE71" i="5" s="1"/>
  <c r="X71" i="5"/>
  <c r="AF71" i="5"/>
  <c r="BD71" i="5" s="1"/>
  <c r="AB71" i="5"/>
  <c r="BH70" i="5"/>
  <c r="BJ70" i="5" s="1"/>
  <c r="CJ70" i="5" s="1"/>
  <c r="AH71" i="5"/>
  <c r="BF71" i="5" s="1"/>
  <c r="AE71" i="5"/>
  <c r="BB71" i="5" s="1"/>
  <c r="Z71" i="5"/>
  <c r="BI71" i="5" s="1"/>
  <c r="Y71" i="5"/>
  <c r="BG71" i="5" s="1"/>
  <c r="BK71" i="5" s="1"/>
  <c r="AC71" i="5"/>
  <c r="AZ71" i="5" s="1"/>
  <c r="W71" i="5"/>
  <c r="AD71" i="5"/>
  <c r="BA71" i="5" s="1"/>
  <c r="EX236" i="21"/>
  <c r="EV195" i="21"/>
  <c r="EU234" i="21"/>
  <c r="EX197" i="21"/>
  <c r="CB163" i="12"/>
  <c r="BS162" i="12"/>
  <c r="CK71" i="5" l="1"/>
  <c r="BV16" i="12"/>
  <c r="BW16" i="12"/>
  <c r="BX15" i="12"/>
  <c r="CA16" i="12"/>
  <c r="BU16" i="12"/>
  <c r="BT16" i="12"/>
  <c r="BY17" i="12"/>
  <c r="BZ15" i="12"/>
  <c r="AX71" i="5"/>
  <c r="BC71" i="5"/>
  <c r="BN71" i="5"/>
  <c r="BL71" i="5"/>
  <c r="CG71" i="5" s="1"/>
  <c r="AA71" i="5"/>
  <c r="BR71" i="5"/>
  <c r="CF71" i="5" s="1"/>
  <c r="BQ71" i="5"/>
  <c r="BM71" i="5"/>
  <c r="CI71" i="5" s="1"/>
  <c r="BO71" i="5"/>
  <c r="EW197" i="21"/>
  <c r="ET234" i="21"/>
  <c r="EU195" i="21"/>
  <c r="EW236" i="21"/>
  <c r="CB162" i="12"/>
  <c r="BS161" i="12"/>
  <c r="BZ14" i="12" l="1"/>
  <c r="CA15" i="12"/>
  <c r="BY16" i="12"/>
  <c r="BX14" i="12"/>
  <c r="BT15" i="12"/>
  <c r="BW15" i="12"/>
  <c r="BU15" i="12"/>
  <c r="BV15" i="12"/>
  <c r="BP71" i="5"/>
  <c r="CH71" i="5" s="1"/>
  <c r="Z72" i="5"/>
  <c r="BI72" i="5" s="1"/>
  <c r="AE72" i="5"/>
  <c r="BB72" i="5" s="1"/>
  <c r="W72" i="5"/>
  <c r="X72" i="5"/>
  <c r="AD72" i="5"/>
  <c r="BA72" i="5" s="1"/>
  <c r="BH71" i="5"/>
  <c r="BJ71" i="5" s="1"/>
  <c r="CJ71" i="5" s="1"/>
  <c r="AG72" i="5"/>
  <c r="BE72" i="5" s="1"/>
  <c r="AB72" i="5"/>
  <c r="AF72" i="5"/>
  <c r="BD72" i="5" s="1"/>
  <c r="AC72" i="5"/>
  <c r="AZ72" i="5" s="1"/>
  <c r="AH72" i="5"/>
  <c r="BF72" i="5" s="1"/>
  <c r="Y72" i="5"/>
  <c r="BG72" i="5" s="1"/>
  <c r="BK72" i="5" s="1"/>
  <c r="EV236" i="21"/>
  <c r="ET195" i="21"/>
  <c r="ES234" i="21"/>
  <c r="EV197" i="21"/>
  <c r="CB161" i="12"/>
  <c r="BS160" i="12"/>
  <c r="CK72" i="5" l="1"/>
  <c r="BV14" i="12"/>
  <c r="BU14" i="12"/>
  <c r="BY15" i="12"/>
  <c r="BW14" i="12"/>
  <c r="CA14" i="12"/>
  <c r="BT14" i="12"/>
  <c r="BR72" i="5"/>
  <c r="CF72" i="5" s="1"/>
  <c r="AA72" i="5"/>
  <c r="BO72" i="5"/>
  <c r="BQ72" i="5"/>
  <c r="BM72" i="5"/>
  <c r="CI72" i="5" s="1"/>
  <c r="BN72" i="5"/>
  <c r="BL72" i="5"/>
  <c r="CG72" i="5" s="1"/>
  <c r="BC72" i="5"/>
  <c r="AX72" i="5"/>
  <c r="EU197" i="21"/>
  <c r="ER234" i="21"/>
  <c r="ES195" i="21"/>
  <c r="EU236" i="21"/>
  <c r="CB160" i="12"/>
  <c r="BS159" i="12"/>
  <c r="BY14" i="12" l="1"/>
  <c r="BT13" i="12"/>
  <c r="BU13" i="12"/>
  <c r="CA13" i="12"/>
  <c r="BV13" i="12"/>
  <c r="Z73" i="5"/>
  <c r="BI73" i="5" s="1"/>
  <c r="AF73" i="5"/>
  <c r="BD73" i="5" s="1"/>
  <c r="AB73" i="5"/>
  <c r="X73" i="5"/>
  <c r="AD73" i="5"/>
  <c r="BA73" i="5" s="1"/>
  <c r="AE73" i="5"/>
  <c r="BB73" i="5" s="1"/>
  <c r="Y73" i="5"/>
  <c r="BG73" i="5" s="1"/>
  <c r="BK73" i="5" s="1"/>
  <c r="AG73" i="5"/>
  <c r="BE73" i="5" s="1"/>
  <c r="BH72" i="5"/>
  <c r="BJ72" i="5" s="1"/>
  <c r="CJ72" i="5" s="1"/>
  <c r="AH73" i="5"/>
  <c r="BF73" i="5" s="1"/>
  <c r="W73" i="5"/>
  <c r="AC73" i="5"/>
  <c r="AZ73" i="5" s="1"/>
  <c r="BP72" i="5"/>
  <c r="CH72" i="5" s="1"/>
  <c r="ET236" i="21"/>
  <c r="ER195" i="21"/>
  <c r="EQ234" i="21"/>
  <c r="ET197" i="21"/>
  <c r="CB159" i="12"/>
  <c r="BS158" i="12"/>
  <c r="CK73" i="5" l="1"/>
  <c r="BC73" i="5"/>
  <c r="AX73" i="5"/>
  <c r="BO73" i="5"/>
  <c r="BR73" i="5"/>
  <c r="CF73" i="5" s="1"/>
  <c r="BM73" i="5"/>
  <c r="CI73" i="5" s="1"/>
  <c r="BN73" i="5"/>
  <c r="AA73" i="5"/>
  <c r="BQ73" i="5"/>
  <c r="BL73" i="5"/>
  <c r="CG73" i="5" s="1"/>
  <c r="ES197" i="21"/>
  <c r="EP234" i="21"/>
  <c r="EQ195" i="21"/>
  <c r="ES236" i="21"/>
  <c r="CB158" i="12"/>
  <c r="BS157" i="12"/>
  <c r="BP73" i="5" l="1"/>
  <c r="CH73" i="5" s="1"/>
  <c r="AH74" i="5"/>
  <c r="BF74" i="5" s="1"/>
  <c r="Z74" i="5"/>
  <c r="BI74" i="5" s="1"/>
  <c r="AF74" i="5"/>
  <c r="BD74" i="5" s="1"/>
  <c r="AE74" i="5"/>
  <c r="BB74" i="5" s="1"/>
  <c r="AD74" i="5"/>
  <c r="BA74" i="5" s="1"/>
  <c r="AC74" i="5"/>
  <c r="AZ74" i="5" s="1"/>
  <c r="W74" i="5"/>
  <c r="BH73" i="5"/>
  <c r="BJ73" i="5" s="1"/>
  <c r="CJ73" i="5" s="1"/>
  <c r="Y74" i="5"/>
  <c r="BG74" i="5" s="1"/>
  <c r="BK74" i="5" s="1"/>
  <c r="X74" i="5"/>
  <c r="AG74" i="5"/>
  <c r="BE74" i="5" s="1"/>
  <c r="AB74" i="5"/>
  <c r="ER236" i="21"/>
  <c r="EP195" i="21"/>
  <c r="EO234" i="21"/>
  <c r="ER197" i="21"/>
  <c r="CB157" i="12"/>
  <c r="BS156" i="12"/>
  <c r="CK74" i="5" l="1"/>
  <c r="AX74" i="5"/>
  <c r="BC74" i="5"/>
  <c r="BR74" i="5"/>
  <c r="CF74" i="5" s="1"/>
  <c r="BO74" i="5"/>
  <c r="BL74" i="5"/>
  <c r="CG74" i="5" s="1"/>
  <c r="BN74" i="5"/>
  <c r="AA74" i="5"/>
  <c r="BQ74" i="5"/>
  <c r="BM74" i="5"/>
  <c r="CI74" i="5" s="1"/>
  <c r="EQ197" i="21"/>
  <c r="EN234" i="21"/>
  <c r="EO195" i="21"/>
  <c r="EQ236" i="21"/>
  <c r="CB156" i="12"/>
  <c r="BS155" i="12"/>
  <c r="BP74" i="5" l="1"/>
  <c r="CH74" i="5" s="1"/>
  <c r="AC75" i="5"/>
  <c r="AZ75" i="5" s="1"/>
  <c r="AF75" i="5"/>
  <c r="BD75" i="5" s="1"/>
  <c r="BH74" i="5"/>
  <c r="BJ74" i="5" s="1"/>
  <c r="CJ74" i="5" s="1"/>
  <c r="Z75" i="5"/>
  <c r="BI75" i="5" s="1"/>
  <c r="AB75" i="5"/>
  <c r="W75" i="5"/>
  <c r="AH75" i="5"/>
  <c r="BF75" i="5" s="1"/>
  <c r="X75" i="5"/>
  <c r="Y75" i="5"/>
  <c r="BG75" i="5" s="1"/>
  <c r="BK75" i="5" s="1"/>
  <c r="AG75" i="5"/>
  <c r="BE75" i="5" s="1"/>
  <c r="AD75" i="5"/>
  <c r="BA75" i="5" s="1"/>
  <c r="AE75" i="5"/>
  <c r="BB75" i="5" s="1"/>
  <c r="EP236" i="21"/>
  <c r="EN195" i="21"/>
  <c r="EM234" i="21"/>
  <c r="EP197" i="21"/>
  <c r="CB155" i="12"/>
  <c r="BS154" i="12"/>
  <c r="CK75" i="5" l="1"/>
  <c r="BL75" i="5"/>
  <c r="CG75" i="5" s="1"/>
  <c r="BN75" i="5"/>
  <c r="BO75" i="5"/>
  <c r="BM75" i="5"/>
  <c r="CI75" i="5" s="1"/>
  <c r="BQ75" i="5"/>
  <c r="BR75" i="5"/>
  <c r="CF75" i="5" s="1"/>
  <c r="AA75" i="5"/>
  <c r="BC75" i="5"/>
  <c r="AX75" i="5"/>
  <c r="EO197" i="21"/>
  <c r="EL234" i="21"/>
  <c r="EM195" i="21"/>
  <c r="EO236" i="21"/>
  <c r="CB154" i="12"/>
  <c r="BS153" i="12"/>
  <c r="AE76" i="5" l="1"/>
  <c r="BB76" i="5" s="1"/>
  <c r="AC76" i="5"/>
  <c r="AZ76" i="5" s="1"/>
  <c r="X76" i="5"/>
  <c r="AG76" i="5"/>
  <c r="BE76" i="5" s="1"/>
  <c r="AD76" i="5"/>
  <c r="BA76" i="5" s="1"/>
  <c r="W76" i="5"/>
  <c r="AH76" i="5"/>
  <c r="BF76" i="5" s="1"/>
  <c r="Z76" i="5"/>
  <c r="BI76" i="5" s="1"/>
  <c r="BH75" i="5"/>
  <c r="BJ75" i="5" s="1"/>
  <c r="CJ75" i="5" s="1"/>
  <c r="AF76" i="5"/>
  <c r="BD76" i="5" s="1"/>
  <c r="AB76" i="5"/>
  <c r="Y76" i="5"/>
  <c r="BG76" i="5" s="1"/>
  <c r="BK76" i="5" s="1"/>
  <c r="BP75" i="5"/>
  <c r="CH75" i="5" s="1"/>
  <c r="EN236" i="21"/>
  <c r="EL195" i="21"/>
  <c r="EK234" i="21"/>
  <c r="EN197" i="21"/>
  <c r="CB153" i="12"/>
  <c r="BS152" i="12"/>
  <c r="CK76" i="5" l="1"/>
  <c r="AX76" i="5"/>
  <c r="BC76" i="5"/>
  <c r="AA76" i="5"/>
  <c r="BO76" i="5"/>
  <c r="BR76" i="5"/>
  <c r="CF76" i="5" s="1"/>
  <c r="BL76" i="5"/>
  <c r="CG76" i="5" s="1"/>
  <c r="BN76" i="5"/>
  <c r="BM76" i="5"/>
  <c r="CI76" i="5" s="1"/>
  <c r="BQ76" i="5"/>
  <c r="EM197" i="21"/>
  <c r="EJ234" i="21"/>
  <c r="EK195" i="21"/>
  <c r="EM236" i="21"/>
  <c r="CB152" i="12"/>
  <c r="BS151" i="12"/>
  <c r="Y77" i="5" l="1"/>
  <c r="BG77" i="5" s="1"/>
  <c r="BK77" i="5" s="1"/>
  <c r="W77" i="5"/>
  <c r="BH76" i="5"/>
  <c r="BJ76" i="5" s="1"/>
  <c r="CJ76" i="5" s="1"/>
  <c r="AG77" i="5"/>
  <c r="BE77" i="5" s="1"/>
  <c r="AF77" i="5"/>
  <c r="BD77" i="5" s="1"/>
  <c r="AB77" i="5"/>
  <c r="AE77" i="5"/>
  <c r="BB77" i="5" s="1"/>
  <c r="AD77" i="5"/>
  <c r="BA77" i="5" s="1"/>
  <c r="Z77" i="5"/>
  <c r="BI77" i="5" s="1"/>
  <c r="X77" i="5"/>
  <c r="AC77" i="5"/>
  <c r="AZ77" i="5" s="1"/>
  <c r="AH77" i="5"/>
  <c r="BF77" i="5" s="1"/>
  <c r="BP76" i="5"/>
  <c r="CH76" i="5" s="1"/>
  <c r="EL236" i="21"/>
  <c r="EJ195" i="21"/>
  <c r="EI234" i="21"/>
  <c r="EL197" i="21"/>
  <c r="CB151" i="12"/>
  <c r="BS150" i="12"/>
  <c r="CK77" i="5" l="1"/>
  <c r="AX77" i="5"/>
  <c r="BC77" i="5"/>
  <c r="BR77" i="5"/>
  <c r="CF77" i="5" s="1"/>
  <c r="BN77" i="5"/>
  <c r="BM77" i="5"/>
  <c r="CI77" i="5" s="1"/>
  <c r="BQ77" i="5"/>
  <c r="BL77" i="5"/>
  <c r="CG77" i="5" s="1"/>
  <c r="BO77" i="5"/>
  <c r="AA77" i="5"/>
  <c r="EK197" i="21"/>
  <c r="EH234" i="21"/>
  <c r="EI195" i="21"/>
  <c r="EK236" i="21"/>
  <c r="CB150" i="12"/>
  <c r="BS149" i="12"/>
  <c r="BP77" i="5" l="1"/>
  <c r="CH77" i="5" s="1"/>
  <c r="X78" i="5"/>
  <c r="BH77" i="5"/>
  <c r="BJ77" i="5" s="1"/>
  <c r="CJ77" i="5" s="1"/>
  <c r="AF78" i="5"/>
  <c r="BD78" i="5" s="1"/>
  <c r="AH78" i="5"/>
  <c r="BF78" i="5" s="1"/>
  <c r="AB78" i="5"/>
  <c r="AD78" i="5"/>
  <c r="BA78" i="5" s="1"/>
  <c r="AC78" i="5"/>
  <c r="AZ78" i="5" s="1"/>
  <c r="W78" i="5"/>
  <c r="Z78" i="5"/>
  <c r="BI78" i="5" s="1"/>
  <c r="AG78" i="5"/>
  <c r="BE78" i="5" s="1"/>
  <c r="AE78" i="5"/>
  <c r="BB78" i="5" s="1"/>
  <c r="Y78" i="5"/>
  <c r="BG78" i="5" s="1"/>
  <c r="BK78" i="5" s="1"/>
  <c r="EJ236" i="21"/>
  <c r="EH195" i="21"/>
  <c r="EG234" i="21"/>
  <c r="EJ197" i="21"/>
  <c r="CB149" i="12"/>
  <c r="BS148" i="12"/>
  <c r="CK78" i="5" l="1"/>
  <c r="AX78" i="5"/>
  <c r="BC78" i="5"/>
  <c r="BR78" i="5"/>
  <c r="CF78" i="5" s="1"/>
  <c r="BN78" i="5"/>
  <c r="BL78" i="5"/>
  <c r="CG78" i="5" s="1"/>
  <c r="AA78" i="5"/>
  <c r="BM78" i="5"/>
  <c r="CI78" i="5" s="1"/>
  <c r="BQ78" i="5"/>
  <c r="BO78" i="5"/>
  <c r="EI197" i="21"/>
  <c r="EF234" i="21"/>
  <c r="EG195" i="21"/>
  <c r="EI236" i="21"/>
  <c r="CB148" i="12"/>
  <c r="BS147" i="12"/>
  <c r="BP78" i="5" l="1"/>
  <c r="CH78" i="5" s="1"/>
  <c r="AF79" i="5"/>
  <c r="BD79" i="5" s="1"/>
  <c r="Z79" i="5"/>
  <c r="BI79" i="5" s="1"/>
  <c r="AC79" i="5"/>
  <c r="AZ79" i="5" s="1"/>
  <c r="Y79" i="5"/>
  <c r="BG79" i="5" s="1"/>
  <c r="BK79" i="5" s="1"/>
  <c r="X79" i="5"/>
  <c r="W79" i="5"/>
  <c r="AD79" i="5"/>
  <c r="BA79" i="5" s="1"/>
  <c r="BH78" i="5"/>
  <c r="BJ78" i="5" s="1"/>
  <c r="CJ78" i="5" s="1"/>
  <c r="AH79" i="5"/>
  <c r="BF79" i="5" s="1"/>
  <c r="AB79" i="5"/>
  <c r="AE79" i="5"/>
  <c r="BB79" i="5" s="1"/>
  <c r="AG79" i="5"/>
  <c r="BE79" i="5" s="1"/>
  <c r="EH236" i="21"/>
  <c r="EF195" i="21"/>
  <c r="EE234" i="21"/>
  <c r="EH197" i="21"/>
  <c r="CB147" i="12"/>
  <c r="BS146" i="12"/>
  <c r="CK79" i="5" l="1"/>
  <c r="BQ79" i="5"/>
  <c r="BR79" i="5"/>
  <c r="CF79" i="5" s="1"/>
  <c r="BO79" i="5"/>
  <c r="BL79" i="5"/>
  <c r="CG79" i="5" s="1"/>
  <c r="BN79" i="5"/>
  <c r="AA79" i="5"/>
  <c r="BM79" i="5"/>
  <c r="CI79" i="5" s="1"/>
  <c r="AX79" i="5"/>
  <c r="BC79" i="5"/>
  <c r="EG197" i="21"/>
  <c r="ED234" i="21"/>
  <c r="EE195" i="21"/>
  <c r="EG236" i="21"/>
  <c r="CB146" i="12"/>
  <c r="BS145" i="12"/>
  <c r="BP79" i="5" l="1"/>
  <c r="CH79" i="5" s="1"/>
  <c r="AG80" i="5"/>
  <c r="BE80" i="5" s="1"/>
  <c r="X80" i="5"/>
  <c r="AF80" i="5"/>
  <c r="BD80" i="5" s="1"/>
  <c r="W80" i="5"/>
  <c r="BH79" i="5"/>
  <c r="BJ79" i="5" s="1"/>
  <c r="CJ79" i="5" s="1"/>
  <c r="AE80" i="5"/>
  <c r="BB80" i="5" s="1"/>
  <c r="Z80" i="5"/>
  <c r="BI80" i="5" s="1"/>
  <c r="AH80" i="5"/>
  <c r="BF80" i="5" s="1"/>
  <c r="AC80" i="5"/>
  <c r="AZ80" i="5" s="1"/>
  <c r="Y80" i="5"/>
  <c r="BG80" i="5" s="1"/>
  <c r="BK80" i="5" s="1"/>
  <c r="AD80" i="5"/>
  <c r="BA80" i="5" s="1"/>
  <c r="AB80" i="5"/>
  <c r="EF236" i="21"/>
  <c r="ED195" i="21"/>
  <c r="EC234" i="21"/>
  <c r="EF197" i="21"/>
  <c r="CB145" i="12"/>
  <c r="BS144" i="12"/>
  <c r="CK80" i="5" l="1"/>
  <c r="BC80" i="5"/>
  <c r="AX80" i="5"/>
  <c r="AA80" i="5"/>
  <c r="BN80" i="5"/>
  <c r="BQ80" i="5"/>
  <c r="BR80" i="5"/>
  <c r="CF80" i="5" s="1"/>
  <c r="BL80" i="5"/>
  <c r="CG80" i="5" s="1"/>
  <c r="BO80" i="5"/>
  <c r="BM80" i="5"/>
  <c r="CI80" i="5" s="1"/>
  <c r="EE197" i="21"/>
  <c r="EB234" i="21"/>
  <c r="EC195" i="21"/>
  <c r="EE236" i="21"/>
  <c r="CB144" i="12"/>
  <c r="BS143" i="12"/>
  <c r="W81" i="5" l="1"/>
  <c r="AH81" i="5"/>
  <c r="BF81" i="5" s="1"/>
  <c r="AF81" i="5"/>
  <c r="BD81" i="5" s="1"/>
  <c r="AC81" i="5"/>
  <c r="AZ81" i="5" s="1"/>
  <c r="X81" i="5"/>
  <c r="AE81" i="5"/>
  <c r="BB81" i="5" s="1"/>
  <c r="AD81" i="5"/>
  <c r="BA81" i="5" s="1"/>
  <c r="Z81" i="5"/>
  <c r="BI81" i="5" s="1"/>
  <c r="AG81" i="5"/>
  <c r="BE81" i="5" s="1"/>
  <c r="BH80" i="5"/>
  <c r="BJ80" i="5" s="1"/>
  <c r="CJ80" i="5" s="1"/>
  <c r="AB81" i="5"/>
  <c r="Y81" i="5"/>
  <c r="BG81" i="5" s="1"/>
  <c r="BK81" i="5" s="1"/>
  <c r="CK81" i="5" s="1"/>
  <c r="BP80" i="5"/>
  <c r="CH80" i="5" s="1"/>
  <c r="ED236" i="21"/>
  <c r="EB195" i="21"/>
  <c r="EA234" i="21"/>
  <c r="ED197" i="21"/>
  <c r="CB143" i="12"/>
  <c r="BS142" i="12"/>
  <c r="BL81" i="5" l="1"/>
  <c r="CG81" i="5" s="1"/>
  <c r="BR81" i="5"/>
  <c r="CF81" i="5" s="1"/>
  <c r="BN81" i="5"/>
  <c r="BQ81" i="5"/>
  <c r="BO81" i="5"/>
  <c r="BM81" i="5"/>
  <c r="CI81" i="5" s="1"/>
  <c r="AA81" i="5"/>
  <c r="BC81" i="5"/>
  <c r="AX81" i="5"/>
  <c r="DZ234" i="21"/>
  <c r="EA195" i="21"/>
  <c r="EC197" i="21"/>
  <c r="EC236" i="21"/>
  <c r="CB142" i="12"/>
  <c r="BS141" i="12"/>
  <c r="BP81" i="5" l="1"/>
  <c r="CH81" i="5" s="1"/>
  <c r="AB82" i="5"/>
  <c r="Z82" i="5"/>
  <c r="BI82" i="5" s="1"/>
  <c r="AG82" i="5"/>
  <c r="BE82" i="5" s="1"/>
  <c r="W82" i="5"/>
  <c r="AC82" i="5"/>
  <c r="AZ82" i="5" s="1"/>
  <c r="AF82" i="5"/>
  <c r="BD82" i="5" s="1"/>
  <c r="AH82" i="5"/>
  <c r="BF82" i="5" s="1"/>
  <c r="X82" i="5"/>
  <c r="BH81" i="5"/>
  <c r="BJ81" i="5" s="1"/>
  <c r="CJ81" i="5" s="1"/>
  <c r="AD82" i="5"/>
  <c r="BA82" i="5" s="1"/>
  <c r="Y82" i="5"/>
  <c r="BG82" i="5" s="1"/>
  <c r="BK82" i="5" s="1"/>
  <c r="CK82" i="5" s="1"/>
  <c r="AE82" i="5"/>
  <c r="BB82" i="5" s="1"/>
  <c r="EB236" i="21"/>
  <c r="EB197" i="21"/>
  <c r="DZ195" i="21"/>
  <c r="DY234" i="21"/>
  <c r="CB141" i="12"/>
  <c r="BS140" i="12"/>
  <c r="AX82" i="5" l="1"/>
  <c r="BC82" i="5"/>
  <c r="AA82" i="5"/>
  <c r="BL82" i="5"/>
  <c r="CG82" i="5" s="1"/>
  <c r="BQ82" i="5"/>
  <c r="BM82" i="5"/>
  <c r="CI82" i="5" s="1"/>
  <c r="BO82" i="5"/>
  <c r="BR82" i="5"/>
  <c r="CF82" i="5" s="1"/>
  <c r="BN82" i="5"/>
  <c r="DX234" i="21"/>
  <c r="DY195" i="21"/>
  <c r="EA197" i="21"/>
  <c r="EA236" i="21"/>
  <c r="CB140" i="12"/>
  <c r="BS139" i="12"/>
  <c r="BH82" i="5" l="1"/>
  <c r="BJ82" i="5" s="1"/>
  <c r="CJ82" i="5" s="1"/>
  <c r="Y83" i="5"/>
  <c r="BG83" i="5" s="1"/>
  <c r="BK83" i="5" s="1"/>
  <c r="AB83" i="5"/>
  <c r="AE83" i="5"/>
  <c r="BB83" i="5" s="1"/>
  <c r="W83" i="5"/>
  <c r="AF83" i="5"/>
  <c r="BD83" i="5" s="1"/>
  <c r="AD83" i="5"/>
  <c r="BA83" i="5" s="1"/>
  <c r="AH83" i="5"/>
  <c r="BF83" i="5" s="1"/>
  <c r="AG83" i="5"/>
  <c r="BE83" i="5" s="1"/>
  <c r="AC83" i="5"/>
  <c r="AZ83" i="5" s="1"/>
  <c r="Z83" i="5"/>
  <c r="BI83" i="5" s="1"/>
  <c r="X83" i="5"/>
  <c r="BP82" i="5"/>
  <c r="CH82" i="5" s="1"/>
  <c r="DZ236" i="21"/>
  <c r="DZ197" i="21"/>
  <c r="DX195" i="21"/>
  <c r="DW234" i="21"/>
  <c r="CB139" i="12"/>
  <c r="BS138" i="12"/>
  <c r="CK83" i="5" l="1"/>
  <c r="AX83" i="5"/>
  <c r="BC83" i="5"/>
  <c r="BO83" i="5"/>
  <c r="BR83" i="5"/>
  <c r="CF83" i="5" s="1"/>
  <c r="AA83" i="5"/>
  <c r="BQ83" i="5"/>
  <c r="BL83" i="5"/>
  <c r="CG83" i="5" s="1"/>
  <c r="BM83" i="5"/>
  <c r="CI83" i="5" s="1"/>
  <c r="BN83" i="5"/>
  <c r="DV234" i="21"/>
  <c r="DW195" i="21"/>
  <c r="DY197" i="21"/>
  <c r="DY236" i="21"/>
  <c r="CB138" i="12"/>
  <c r="BS137" i="12"/>
  <c r="BP83" i="5" l="1"/>
  <c r="CH83" i="5" s="1"/>
  <c r="AF84" i="5"/>
  <c r="BD84" i="5" s="1"/>
  <c r="AH84" i="5"/>
  <c r="BF84" i="5" s="1"/>
  <c r="AD84" i="5"/>
  <c r="BA84" i="5" s="1"/>
  <c r="X84" i="5"/>
  <c r="BH83" i="5"/>
  <c r="BJ83" i="5" s="1"/>
  <c r="CJ83" i="5" s="1"/>
  <c r="AC84" i="5"/>
  <c r="AZ84" i="5" s="1"/>
  <c r="W84" i="5"/>
  <c r="AE84" i="5"/>
  <c r="BB84" i="5" s="1"/>
  <c r="AG84" i="5"/>
  <c r="BE84" i="5" s="1"/>
  <c r="Z84" i="5"/>
  <c r="BI84" i="5" s="1"/>
  <c r="AB84" i="5"/>
  <c r="Y84" i="5"/>
  <c r="BG84" i="5" s="1"/>
  <c r="BK84" i="5" s="1"/>
  <c r="DX236" i="21"/>
  <c r="DX197" i="21"/>
  <c r="DV195" i="21"/>
  <c r="DU234" i="21"/>
  <c r="CB137" i="12"/>
  <c r="BS136" i="12"/>
  <c r="CK84" i="5" l="1"/>
  <c r="BQ84" i="5"/>
  <c r="BM84" i="5"/>
  <c r="CI84" i="5" s="1"/>
  <c r="AA84" i="5"/>
  <c r="BL84" i="5"/>
  <c r="CG84" i="5" s="1"/>
  <c r="BN84" i="5"/>
  <c r="BO84" i="5"/>
  <c r="BR84" i="5"/>
  <c r="CF84" i="5" s="1"/>
  <c r="BC84" i="5"/>
  <c r="AX84" i="5"/>
  <c r="DU195" i="21"/>
  <c r="DT234" i="21"/>
  <c r="DW197" i="21"/>
  <c r="DW236" i="21"/>
  <c r="CB136" i="12"/>
  <c r="BS135" i="12"/>
  <c r="AB85" i="5" l="1"/>
  <c r="Z85" i="5"/>
  <c r="BI85" i="5" s="1"/>
  <c r="AG85" i="5"/>
  <c r="BE85" i="5" s="1"/>
  <c r="BH84" i="5"/>
  <c r="BJ84" i="5" s="1"/>
  <c r="CJ84" i="5" s="1"/>
  <c r="AH85" i="5"/>
  <c r="BF85" i="5" s="1"/>
  <c r="AC85" i="5"/>
  <c r="AZ85" i="5" s="1"/>
  <c r="AF85" i="5"/>
  <c r="BD85" i="5" s="1"/>
  <c r="Y85" i="5"/>
  <c r="BG85" i="5" s="1"/>
  <c r="BK85" i="5" s="1"/>
  <c r="X85" i="5"/>
  <c r="AD85" i="5"/>
  <c r="BA85" i="5" s="1"/>
  <c r="W85" i="5"/>
  <c r="AE85" i="5"/>
  <c r="BB85" i="5" s="1"/>
  <c r="BP84" i="5"/>
  <c r="CH84" i="5" s="1"/>
  <c r="DV236" i="21"/>
  <c r="DV197" i="21"/>
  <c r="DS234" i="21"/>
  <c r="DT195" i="21"/>
  <c r="CB135" i="12"/>
  <c r="BS134" i="12"/>
  <c r="CK85" i="5" l="1"/>
  <c r="BM85" i="5"/>
  <c r="CI85" i="5" s="1"/>
  <c r="BN85" i="5"/>
  <c r="BQ85" i="5"/>
  <c r="BR85" i="5"/>
  <c r="CF85" i="5" s="1"/>
  <c r="BO85" i="5"/>
  <c r="BL85" i="5"/>
  <c r="CG85" i="5" s="1"/>
  <c r="AA85" i="5"/>
  <c r="BC85" i="5"/>
  <c r="AX85" i="5"/>
  <c r="DS195" i="21"/>
  <c r="DR234" i="21"/>
  <c r="DU197" i="21"/>
  <c r="DU236" i="21"/>
  <c r="CB134" i="12"/>
  <c r="BS133" i="12"/>
  <c r="Z86" i="5" l="1"/>
  <c r="BI86" i="5" s="1"/>
  <c r="BH85" i="5"/>
  <c r="BJ85" i="5" s="1"/>
  <c r="CJ85" i="5" s="1"/>
  <c r="AE86" i="5"/>
  <c r="BB86" i="5" s="1"/>
  <c r="AD86" i="5"/>
  <c r="BA86" i="5" s="1"/>
  <c r="AB86" i="5"/>
  <c r="AC86" i="5"/>
  <c r="AZ86" i="5" s="1"/>
  <c r="X86" i="5"/>
  <c r="W86" i="5"/>
  <c r="AF86" i="5"/>
  <c r="BD86" i="5" s="1"/>
  <c r="AG86" i="5"/>
  <c r="BE86" i="5" s="1"/>
  <c r="Y86" i="5"/>
  <c r="BG86" i="5" s="1"/>
  <c r="BK86" i="5" s="1"/>
  <c r="AH86" i="5"/>
  <c r="BF86" i="5" s="1"/>
  <c r="BP85" i="5"/>
  <c r="CH85" i="5" s="1"/>
  <c r="DT236" i="21"/>
  <c r="DT197" i="21"/>
  <c r="DQ234" i="21"/>
  <c r="DR195" i="21"/>
  <c r="CB133" i="12"/>
  <c r="BS132" i="12"/>
  <c r="CK86" i="5" l="1"/>
  <c r="BM86" i="5"/>
  <c r="CI86" i="5" s="1"/>
  <c r="BR86" i="5"/>
  <c r="CF86" i="5" s="1"/>
  <c r="BQ86" i="5"/>
  <c r="AA86" i="5"/>
  <c r="BN86" i="5"/>
  <c r="BO86" i="5"/>
  <c r="BL86" i="5"/>
  <c r="CG86" i="5" s="1"/>
  <c r="BC86" i="5"/>
  <c r="AX86" i="5"/>
  <c r="DQ195" i="21"/>
  <c r="DP234" i="21"/>
  <c r="DO234" i="21" s="1"/>
  <c r="DN234" i="21" s="1"/>
  <c r="DM234" i="21" s="1"/>
  <c r="DL234" i="21" s="1"/>
  <c r="DK234" i="21" s="1"/>
  <c r="DJ234" i="21" s="1"/>
  <c r="DI234" i="21" s="1"/>
  <c r="DH234" i="21" s="1"/>
  <c r="DG234" i="21" s="1"/>
  <c r="DF234" i="21" s="1"/>
  <c r="DE234" i="21" s="1"/>
  <c r="DD234" i="21" s="1"/>
  <c r="DC234" i="21" s="1"/>
  <c r="DB234" i="21" s="1"/>
  <c r="DA234" i="21" s="1"/>
  <c r="CZ234" i="21" s="1"/>
  <c r="CY234" i="21" s="1"/>
  <c r="CX234" i="21" s="1"/>
  <c r="CW234" i="21" s="1"/>
  <c r="CV234" i="21" s="1"/>
  <c r="CU234" i="21" s="1"/>
  <c r="CT234" i="21" s="1"/>
  <c r="CS234" i="21" s="1"/>
  <c r="CR234" i="21" s="1"/>
  <c r="CQ234" i="21" s="1"/>
  <c r="CP234" i="21" s="1"/>
  <c r="CO234" i="21" s="1"/>
  <c r="CN234" i="21" s="1"/>
  <c r="CM234" i="21" s="1"/>
  <c r="CL234" i="21" s="1"/>
  <c r="CK234" i="21" s="1"/>
  <c r="CJ234" i="21" s="1"/>
  <c r="CI234" i="21" s="1"/>
  <c r="CH234" i="21" s="1"/>
  <c r="CG234" i="21" s="1"/>
  <c r="CF234" i="21" s="1"/>
  <c r="CE234" i="21" s="1"/>
  <c r="CD234" i="21" s="1"/>
  <c r="CC234" i="21" s="1"/>
  <c r="CB234" i="21" s="1"/>
  <c r="CA234" i="21" s="1"/>
  <c r="BZ234" i="21" s="1"/>
  <c r="BY234" i="21" s="1"/>
  <c r="BX234" i="21" s="1"/>
  <c r="BW234" i="21" s="1"/>
  <c r="BV234" i="21" s="1"/>
  <c r="BU234" i="21" s="1"/>
  <c r="BT234" i="21" s="1"/>
  <c r="BS234" i="21" s="1"/>
  <c r="BR234" i="21" s="1"/>
  <c r="BQ234" i="21" s="1"/>
  <c r="BP234" i="21" s="1"/>
  <c r="BO234" i="21" s="1"/>
  <c r="BN234" i="21" s="1"/>
  <c r="BM234" i="21" s="1"/>
  <c r="BL234" i="21" s="1"/>
  <c r="BK234" i="21" s="1"/>
  <c r="BJ234" i="21" s="1"/>
  <c r="BI234" i="21" s="1"/>
  <c r="BH234" i="21" s="1"/>
  <c r="BG234" i="21" s="1"/>
  <c r="BF234" i="21" s="1"/>
  <c r="BE234" i="21" s="1"/>
  <c r="BD234" i="21" s="1"/>
  <c r="BC234" i="21" s="1"/>
  <c r="BB234" i="21" s="1"/>
  <c r="BA234" i="21" s="1"/>
  <c r="AZ234" i="21" s="1"/>
  <c r="AY234" i="21" s="1"/>
  <c r="AX234" i="21" s="1"/>
  <c r="AW234" i="21" s="1"/>
  <c r="AV234" i="21" s="1"/>
  <c r="AU234" i="21" s="1"/>
  <c r="AT234" i="21" s="1"/>
  <c r="AS234" i="21" s="1"/>
  <c r="AR234" i="21" s="1"/>
  <c r="AQ234" i="21" s="1"/>
  <c r="AP234" i="21" s="1"/>
  <c r="AO234" i="21" s="1"/>
  <c r="AN234" i="21" s="1"/>
  <c r="AM234" i="21" s="1"/>
  <c r="AL234" i="21" s="1"/>
  <c r="AK234" i="21" s="1"/>
  <c r="AJ234" i="21" s="1"/>
  <c r="AI234" i="21" s="1"/>
  <c r="AH234" i="21" s="1"/>
  <c r="AG234" i="21" s="1"/>
  <c r="AF234" i="21" s="1"/>
  <c r="AE234" i="21" s="1"/>
  <c r="AD234" i="21" s="1"/>
  <c r="AC234" i="21" s="1"/>
  <c r="AB234" i="21" s="1"/>
  <c r="AA234" i="21" s="1"/>
  <c r="Z234" i="21" s="1"/>
  <c r="Y234" i="21" s="1"/>
  <c r="X234" i="21" s="1"/>
  <c r="W234" i="21" s="1"/>
  <c r="V234" i="21" s="1"/>
  <c r="U234" i="21" s="1"/>
  <c r="T234" i="21" s="1"/>
  <c r="S234" i="21" s="1"/>
  <c r="R234" i="21" s="1"/>
  <c r="Q234" i="21" s="1"/>
  <c r="P234" i="21" s="1"/>
  <c r="O234" i="21" s="1"/>
  <c r="N234" i="21" s="1"/>
  <c r="M234" i="21" s="1"/>
  <c r="L234" i="21" s="1"/>
  <c r="K234" i="21" s="1"/>
  <c r="J234" i="21" s="1"/>
  <c r="I234" i="21" s="1"/>
  <c r="H234" i="21" s="1"/>
  <c r="G234" i="21" s="1"/>
  <c r="F234" i="21" s="1"/>
  <c r="E234" i="21" s="1"/>
  <c r="D234" i="21" s="1"/>
  <c r="C234" i="21" s="1"/>
  <c r="B234" i="21" s="1"/>
  <c r="DS197" i="21"/>
  <c r="DS236" i="21"/>
  <c r="CB132" i="12"/>
  <c r="BS131" i="12"/>
  <c r="BP86" i="5" l="1"/>
  <c r="CH86" i="5" s="1"/>
  <c r="Z87" i="5"/>
  <c r="BI87" i="5" s="1"/>
  <c r="Y87" i="5"/>
  <c r="BG87" i="5" s="1"/>
  <c r="BK87" i="5" s="1"/>
  <c r="AE87" i="5"/>
  <c r="BB87" i="5" s="1"/>
  <c r="AG87" i="5"/>
  <c r="BE87" i="5" s="1"/>
  <c r="AC87" i="5"/>
  <c r="AZ87" i="5" s="1"/>
  <c r="X87" i="5"/>
  <c r="BH86" i="5"/>
  <c r="BJ86" i="5" s="1"/>
  <c r="CJ86" i="5" s="1"/>
  <c r="AD87" i="5"/>
  <c r="BA87" i="5" s="1"/>
  <c r="AB87" i="5"/>
  <c r="AH87" i="5"/>
  <c r="BF87" i="5" s="1"/>
  <c r="W87" i="5"/>
  <c r="AF87" i="5"/>
  <c r="BD87" i="5" s="1"/>
  <c r="DR197" i="21"/>
  <c r="DR236" i="21"/>
  <c r="DP195" i="21"/>
  <c r="DO195" i="21" s="1"/>
  <c r="DN195" i="21" s="1"/>
  <c r="DM195" i="21" s="1"/>
  <c r="DL195" i="21" s="1"/>
  <c r="DK195" i="21" s="1"/>
  <c r="DJ195" i="21" s="1"/>
  <c r="DI195" i="21" s="1"/>
  <c r="DH195" i="21" s="1"/>
  <c r="DG195" i="21" s="1"/>
  <c r="DF195" i="21" s="1"/>
  <c r="DE195" i="21" s="1"/>
  <c r="DD195" i="21" s="1"/>
  <c r="DC195" i="21" s="1"/>
  <c r="DB195" i="21" s="1"/>
  <c r="DA195" i="21" s="1"/>
  <c r="CZ195" i="21" s="1"/>
  <c r="CY195" i="21" s="1"/>
  <c r="CX195" i="21" s="1"/>
  <c r="CW195" i="21" s="1"/>
  <c r="CV195" i="21" s="1"/>
  <c r="CU195" i="21" s="1"/>
  <c r="CT195" i="21" s="1"/>
  <c r="CS195" i="21" s="1"/>
  <c r="CR195" i="21" s="1"/>
  <c r="CQ195" i="21" s="1"/>
  <c r="CP195" i="21" s="1"/>
  <c r="CO195" i="21" s="1"/>
  <c r="CN195" i="21" s="1"/>
  <c r="CM195" i="21" s="1"/>
  <c r="CL195" i="21" s="1"/>
  <c r="CK195" i="21" s="1"/>
  <c r="CJ195" i="21" s="1"/>
  <c r="CI195" i="21" s="1"/>
  <c r="CH195" i="21" s="1"/>
  <c r="CG195" i="21" s="1"/>
  <c r="CF195" i="21" s="1"/>
  <c r="CE195" i="21" s="1"/>
  <c r="CD195" i="21" s="1"/>
  <c r="CC195" i="21" s="1"/>
  <c r="CB195" i="21" s="1"/>
  <c r="CA195" i="21" s="1"/>
  <c r="BZ195" i="21" s="1"/>
  <c r="BY195" i="21" s="1"/>
  <c r="BX195" i="21" s="1"/>
  <c r="BW195" i="21" s="1"/>
  <c r="BV195" i="21" s="1"/>
  <c r="BU195" i="21" s="1"/>
  <c r="BT195" i="21" s="1"/>
  <c r="BS195" i="21" s="1"/>
  <c r="BR195" i="21" s="1"/>
  <c r="BQ195" i="21" s="1"/>
  <c r="BP195" i="21" s="1"/>
  <c r="BO195" i="21" s="1"/>
  <c r="BN195" i="21" s="1"/>
  <c r="BM195" i="21" s="1"/>
  <c r="BL195" i="21" s="1"/>
  <c r="BK195" i="21" s="1"/>
  <c r="BJ195" i="21" s="1"/>
  <c r="BI195" i="21" s="1"/>
  <c r="BH195" i="21" s="1"/>
  <c r="BG195" i="21" s="1"/>
  <c r="BF195" i="21" s="1"/>
  <c r="BE195" i="21" s="1"/>
  <c r="BD195" i="21" s="1"/>
  <c r="BC195" i="21" s="1"/>
  <c r="BB195" i="21" s="1"/>
  <c r="BA195" i="21" s="1"/>
  <c r="AZ195" i="21" s="1"/>
  <c r="AY195" i="21" s="1"/>
  <c r="AX195" i="21" s="1"/>
  <c r="AW195" i="21" s="1"/>
  <c r="AV195" i="21" s="1"/>
  <c r="AU195" i="21" s="1"/>
  <c r="AT195" i="21" s="1"/>
  <c r="AS195" i="21" s="1"/>
  <c r="AR195" i="21" s="1"/>
  <c r="AQ195" i="21" s="1"/>
  <c r="AP195" i="21" s="1"/>
  <c r="AO195" i="21" s="1"/>
  <c r="AN195" i="21" s="1"/>
  <c r="AM195" i="21" s="1"/>
  <c r="AL195" i="21" s="1"/>
  <c r="AK195" i="21" s="1"/>
  <c r="AJ195" i="21" s="1"/>
  <c r="AI195" i="21" s="1"/>
  <c r="AH195" i="21" s="1"/>
  <c r="AG195" i="21" s="1"/>
  <c r="AF195" i="21" s="1"/>
  <c r="AE195" i="21" s="1"/>
  <c r="AD195" i="21" s="1"/>
  <c r="AC195" i="21" s="1"/>
  <c r="AB195" i="21" s="1"/>
  <c r="AA195" i="21" s="1"/>
  <c r="Z195" i="21" s="1"/>
  <c r="Y195" i="21" s="1"/>
  <c r="X195" i="21" s="1"/>
  <c r="W195" i="21" s="1"/>
  <c r="V195" i="21" s="1"/>
  <c r="U195" i="21" s="1"/>
  <c r="T195" i="21" s="1"/>
  <c r="S195" i="21" s="1"/>
  <c r="R195" i="21" s="1"/>
  <c r="Q195" i="21" s="1"/>
  <c r="P195" i="21" s="1"/>
  <c r="O195" i="21" s="1"/>
  <c r="N195" i="21" s="1"/>
  <c r="M195" i="21" s="1"/>
  <c r="L195" i="21" s="1"/>
  <c r="K195" i="21" s="1"/>
  <c r="J195" i="21" s="1"/>
  <c r="I195" i="21" s="1"/>
  <c r="H195" i="21" s="1"/>
  <c r="G195" i="21" s="1"/>
  <c r="F195" i="21" s="1"/>
  <c r="E195" i="21" s="1"/>
  <c r="D195" i="21" s="1"/>
  <c r="C195" i="21" s="1"/>
  <c r="B195" i="21" s="1"/>
  <c r="CB131" i="12"/>
  <c r="BS130" i="12"/>
  <c r="CK87" i="5" l="1"/>
  <c r="AX87" i="5"/>
  <c r="BC87" i="5"/>
  <c r="AA87" i="5"/>
  <c r="BO87" i="5"/>
  <c r="BM87" i="5"/>
  <c r="CI87" i="5" s="1"/>
  <c r="BQ87" i="5"/>
  <c r="BL87" i="5"/>
  <c r="CG87" i="5" s="1"/>
  <c r="BN87" i="5"/>
  <c r="BR87" i="5"/>
  <c r="CF87" i="5" s="1"/>
  <c r="DQ236" i="21"/>
  <c r="DQ197" i="21"/>
  <c r="CB130" i="12"/>
  <c r="BS129" i="12"/>
  <c r="BP87" i="5" l="1"/>
  <c r="CH87" i="5" s="1"/>
  <c r="Z88" i="5"/>
  <c r="BI88" i="5" s="1"/>
  <c r="X88" i="5"/>
  <c r="BH87" i="5"/>
  <c r="BJ87" i="5" s="1"/>
  <c r="CJ87" i="5" s="1"/>
  <c r="AB88" i="5"/>
  <c r="Y88" i="5"/>
  <c r="BG88" i="5" s="1"/>
  <c r="BK88" i="5" s="1"/>
  <c r="AC88" i="5"/>
  <c r="AZ88" i="5" s="1"/>
  <c r="W88" i="5"/>
  <c r="AE88" i="5"/>
  <c r="BB88" i="5" s="1"/>
  <c r="AH88" i="5"/>
  <c r="BF88" i="5" s="1"/>
  <c r="AD88" i="5"/>
  <c r="BA88" i="5" s="1"/>
  <c r="AF88" i="5"/>
  <c r="BD88" i="5" s="1"/>
  <c r="AG88" i="5"/>
  <c r="BE88" i="5" s="1"/>
  <c r="DP197" i="21"/>
  <c r="DO197" i="21" s="1"/>
  <c r="DN197" i="21" s="1"/>
  <c r="DM197" i="21" s="1"/>
  <c r="DL197" i="21" s="1"/>
  <c r="DK197" i="21" s="1"/>
  <c r="DJ197" i="21" s="1"/>
  <c r="DI197" i="21" s="1"/>
  <c r="DH197" i="21" s="1"/>
  <c r="DG197" i="21" s="1"/>
  <c r="DF197" i="21" s="1"/>
  <c r="DE197" i="21" s="1"/>
  <c r="DD197" i="21" s="1"/>
  <c r="DC197" i="21" s="1"/>
  <c r="DB197" i="21" s="1"/>
  <c r="DA197" i="21" s="1"/>
  <c r="CZ197" i="21" s="1"/>
  <c r="CY197" i="21" s="1"/>
  <c r="CX197" i="21" s="1"/>
  <c r="CW197" i="21" s="1"/>
  <c r="CV197" i="21" s="1"/>
  <c r="CU197" i="21" s="1"/>
  <c r="CT197" i="21" s="1"/>
  <c r="CS197" i="21" s="1"/>
  <c r="CR197" i="21" s="1"/>
  <c r="CQ197" i="21" s="1"/>
  <c r="CP197" i="21" s="1"/>
  <c r="CO197" i="21" s="1"/>
  <c r="CN197" i="21" s="1"/>
  <c r="CM197" i="21" s="1"/>
  <c r="CL197" i="21" s="1"/>
  <c r="CK197" i="21" s="1"/>
  <c r="CJ197" i="21" s="1"/>
  <c r="CI197" i="21" s="1"/>
  <c r="CH197" i="21" s="1"/>
  <c r="CG197" i="21" s="1"/>
  <c r="CF197" i="21" s="1"/>
  <c r="CE197" i="21" s="1"/>
  <c r="CD197" i="21" s="1"/>
  <c r="CC197" i="21" s="1"/>
  <c r="CB197" i="21" s="1"/>
  <c r="CA197" i="21" s="1"/>
  <c r="BZ197" i="21" s="1"/>
  <c r="BY197" i="21" s="1"/>
  <c r="BX197" i="21" s="1"/>
  <c r="BW197" i="21" s="1"/>
  <c r="BV197" i="21" s="1"/>
  <c r="BU197" i="21" s="1"/>
  <c r="BT197" i="21" s="1"/>
  <c r="BS197" i="21" s="1"/>
  <c r="BR197" i="21" s="1"/>
  <c r="BQ197" i="21" s="1"/>
  <c r="BP197" i="21" s="1"/>
  <c r="BO197" i="21" s="1"/>
  <c r="BN197" i="21" s="1"/>
  <c r="BM197" i="21" s="1"/>
  <c r="BL197" i="21" s="1"/>
  <c r="BK197" i="21" s="1"/>
  <c r="BJ197" i="21" s="1"/>
  <c r="BI197" i="21" s="1"/>
  <c r="BH197" i="21" s="1"/>
  <c r="BG197" i="21" s="1"/>
  <c r="BF197" i="21" s="1"/>
  <c r="BE197" i="21" s="1"/>
  <c r="BD197" i="21" s="1"/>
  <c r="BC197" i="21" s="1"/>
  <c r="BB197" i="21" s="1"/>
  <c r="BA197" i="21" s="1"/>
  <c r="AZ197" i="21" s="1"/>
  <c r="AY197" i="21" s="1"/>
  <c r="AX197" i="21" s="1"/>
  <c r="AW197" i="21" s="1"/>
  <c r="AV197" i="21" s="1"/>
  <c r="AU197" i="21" s="1"/>
  <c r="AT197" i="21" s="1"/>
  <c r="AS197" i="21" s="1"/>
  <c r="AR197" i="21" s="1"/>
  <c r="AQ197" i="21" s="1"/>
  <c r="AP197" i="21" s="1"/>
  <c r="AO197" i="21" s="1"/>
  <c r="AN197" i="21" s="1"/>
  <c r="AM197" i="21" s="1"/>
  <c r="AL197" i="21" s="1"/>
  <c r="AK197" i="21" s="1"/>
  <c r="AJ197" i="21" s="1"/>
  <c r="AI197" i="21" s="1"/>
  <c r="AH197" i="21" s="1"/>
  <c r="AG197" i="21" s="1"/>
  <c r="AF197" i="21" s="1"/>
  <c r="AE197" i="21" s="1"/>
  <c r="AD197" i="21" s="1"/>
  <c r="AC197" i="21" s="1"/>
  <c r="AB197" i="21" s="1"/>
  <c r="AA197" i="21" s="1"/>
  <c r="Z197" i="21" s="1"/>
  <c r="Y197" i="21" s="1"/>
  <c r="X197" i="21" s="1"/>
  <c r="W197" i="21" s="1"/>
  <c r="V197" i="21" s="1"/>
  <c r="U197" i="21" s="1"/>
  <c r="T197" i="21" s="1"/>
  <c r="S197" i="21" s="1"/>
  <c r="R197" i="21" s="1"/>
  <c r="Q197" i="21" s="1"/>
  <c r="P197" i="21" s="1"/>
  <c r="O197" i="21" s="1"/>
  <c r="N197" i="21" s="1"/>
  <c r="M197" i="21" s="1"/>
  <c r="L197" i="21" s="1"/>
  <c r="K197" i="21" s="1"/>
  <c r="J197" i="21" s="1"/>
  <c r="I197" i="21" s="1"/>
  <c r="H197" i="21" s="1"/>
  <c r="G197" i="21" s="1"/>
  <c r="F197" i="21" s="1"/>
  <c r="E197" i="21" s="1"/>
  <c r="D197" i="21" s="1"/>
  <c r="C197" i="21" s="1"/>
  <c r="B197" i="21" s="1"/>
  <c r="DP236" i="21"/>
  <c r="DO236" i="21" s="1"/>
  <c r="DN236" i="21" s="1"/>
  <c r="DM236" i="21" s="1"/>
  <c r="DL236" i="21" s="1"/>
  <c r="DK236" i="21" s="1"/>
  <c r="DJ236" i="21" s="1"/>
  <c r="DI236" i="21" s="1"/>
  <c r="DH236" i="21" s="1"/>
  <c r="DG236" i="21" s="1"/>
  <c r="DF236" i="21" s="1"/>
  <c r="DE236" i="21" s="1"/>
  <c r="DD236" i="21" s="1"/>
  <c r="DC236" i="21" s="1"/>
  <c r="DB236" i="21" s="1"/>
  <c r="DA236" i="21" s="1"/>
  <c r="CZ236" i="21" s="1"/>
  <c r="CY236" i="21" s="1"/>
  <c r="CX236" i="21" s="1"/>
  <c r="CW236" i="21" s="1"/>
  <c r="CV236" i="21" s="1"/>
  <c r="CU236" i="21" s="1"/>
  <c r="CT236" i="21" s="1"/>
  <c r="CS236" i="21" s="1"/>
  <c r="CR236" i="21" s="1"/>
  <c r="CQ236" i="21" s="1"/>
  <c r="CP236" i="21" s="1"/>
  <c r="CO236" i="21" s="1"/>
  <c r="CN236" i="21" s="1"/>
  <c r="CM236" i="21" s="1"/>
  <c r="CL236" i="21" s="1"/>
  <c r="CK236" i="21" s="1"/>
  <c r="CJ236" i="21" s="1"/>
  <c r="CI236" i="21" s="1"/>
  <c r="CH236" i="21" s="1"/>
  <c r="CG236" i="21" s="1"/>
  <c r="CF236" i="21" s="1"/>
  <c r="CE236" i="21" s="1"/>
  <c r="CD236" i="21" s="1"/>
  <c r="CC236" i="21" s="1"/>
  <c r="CB236" i="21" s="1"/>
  <c r="CA236" i="21" s="1"/>
  <c r="BZ236" i="21" s="1"/>
  <c r="BY236" i="21" s="1"/>
  <c r="BX236" i="21" s="1"/>
  <c r="BW236" i="21" s="1"/>
  <c r="BV236" i="21" s="1"/>
  <c r="BU236" i="21" s="1"/>
  <c r="BT236" i="21" s="1"/>
  <c r="BS236" i="21" s="1"/>
  <c r="BR236" i="21" s="1"/>
  <c r="BQ236" i="21" s="1"/>
  <c r="BP236" i="21" s="1"/>
  <c r="BO236" i="21" s="1"/>
  <c r="BN236" i="21" s="1"/>
  <c r="BM236" i="21" s="1"/>
  <c r="BL236" i="21" s="1"/>
  <c r="BK236" i="21" s="1"/>
  <c r="BJ236" i="21" s="1"/>
  <c r="BI236" i="21" s="1"/>
  <c r="BH236" i="21" s="1"/>
  <c r="BG236" i="21" s="1"/>
  <c r="BF236" i="21" s="1"/>
  <c r="BE236" i="21" s="1"/>
  <c r="BD236" i="21" s="1"/>
  <c r="BC236" i="21" s="1"/>
  <c r="BB236" i="21" s="1"/>
  <c r="BA236" i="21" s="1"/>
  <c r="AZ236" i="21" s="1"/>
  <c r="AY236" i="21" s="1"/>
  <c r="AX236" i="21" s="1"/>
  <c r="AW236" i="21" s="1"/>
  <c r="AV236" i="21" s="1"/>
  <c r="AU236" i="21" s="1"/>
  <c r="AT236" i="21" s="1"/>
  <c r="AS236" i="21" s="1"/>
  <c r="AR236" i="21" s="1"/>
  <c r="AQ236" i="21" s="1"/>
  <c r="AP236" i="21" s="1"/>
  <c r="AO236" i="21" s="1"/>
  <c r="AN236" i="21" s="1"/>
  <c r="AM236" i="21" s="1"/>
  <c r="AL236" i="21" s="1"/>
  <c r="AK236" i="21" s="1"/>
  <c r="AJ236" i="21" s="1"/>
  <c r="AI236" i="21" s="1"/>
  <c r="AH236" i="21" s="1"/>
  <c r="AG236" i="21" s="1"/>
  <c r="AF236" i="21" s="1"/>
  <c r="AE236" i="21" s="1"/>
  <c r="AD236" i="21" s="1"/>
  <c r="AC236" i="21" s="1"/>
  <c r="AB236" i="21" s="1"/>
  <c r="AA236" i="21" s="1"/>
  <c r="Z236" i="21" s="1"/>
  <c r="Y236" i="21" s="1"/>
  <c r="X236" i="21" s="1"/>
  <c r="W236" i="21" s="1"/>
  <c r="V236" i="21" s="1"/>
  <c r="U236" i="21" s="1"/>
  <c r="T236" i="21" s="1"/>
  <c r="S236" i="21" s="1"/>
  <c r="R236" i="21" s="1"/>
  <c r="Q236" i="21" s="1"/>
  <c r="P236" i="21" s="1"/>
  <c r="O236" i="21" s="1"/>
  <c r="N236" i="21" s="1"/>
  <c r="M236" i="21" s="1"/>
  <c r="L236" i="21" s="1"/>
  <c r="K236" i="21" s="1"/>
  <c r="J236" i="21" s="1"/>
  <c r="I236" i="21" s="1"/>
  <c r="H236" i="21" s="1"/>
  <c r="G236" i="21" s="1"/>
  <c r="F236" i="21" s="1"/>
  <c r="E236" i="21" s="1"/>
  <c r="D236" i="21" s="1"/>
  <c r="C236" i="21" s="1"/>
  <c r="B236" i="21" s="1"/>
  <c r="CB129" i="12"/>
  <c r="BS128" i="12"/>
  <c r="CK88" i="5" l="1"/>
  <c r="AX88" i="5"/>
  <c r="BC88" i="5"/>
  <c r="BQ88" i="5"/>
  <c r="BO88" i="5"/>
  <c r="AA88" i="5"/>
  <c r="BR88" i="5"/>
  <c r="CF88" i="5" s="1"/>
  <c r="BM88" i="5"/>
  <c r="CI88" i="5" s="1"/>
  <c r="BN88" i="5"/>
  <c r="BL88" i="5"/>
  <c r="CG88" i="5" s="1"/>
  <c r="CB128" i="12"/>
  <c r="BS127" i="12"/>
  <c r="BP88" i="5" l="1"/>
  <c r="CH88" i="5" s="1"/>
  <c r="AH89" i="5"/>
  <c r="BF89" i="5" s="1"/>
  <c r="AD89" i="5"/>
  <c r="BA89" i="5" s="1"/>
  <c r="Z89" i="5"/>
  <c r="BI89" i="5" s="1"/>
  <c r="X89" i="5"/>
  <c r="AC89" i="5"/>
  <c r="AZ89" i="5" s="1"/>
  <c r="AG89" i="5"/>
  <c r="BE89" i="5" s="1"/>
  <c r="W89" i="5"/>
  <c r="AE89" i="5"/>
  <c r="BB89" i="5" s="1"/>
  <c r="AB89" i="5"/>
  <c r="BH88" i="5"/>
  <c r="BJ88" i="5" s="1"/>
  <c r="CJ88" i="5" s="1"/>
  <c r="AF89" i="5"/>
  <c r="BD89" i="5" s="1"/>
  <c r="Y89" i="5"/>
  <c r="BG89" i="5" s="1"/>
  <c r="BK89" i="5" s="1"/>
  <c r="BS126" i="12"/>
  <c r="CB127" i="12"/>
  <c r="CK89" i="5" l="1"/>
  <c r="AX89" i="5"/>
  <c r="BC89" i="5"/>
  <c r="AA89" i="5"/>
  <c r="BM89" i="5"/>
  <c r="CI89" i="5" s="1"/>
  <c r="BQ89" i="5"/>
  <c r="BO89" i="5"/>
  <c r="BR89" i="5"/>
  <c r="CF89" i="5" s="1"/>
  <c r="BL89" i="5"/>
  <c r="CG89" i="5" s="1"/>
  <c r="BN89" i="5"/>
  <c r="BS125" i="12"/>
  <c r="CB126" i="12"/>
  <c r="AD90" i="5" l="1"/>
  <c r="BA90" i="5" s="1"/>
  <c r="Y90" i="5"/>
  <c r="BG90" i="5" s="1"/>
  <c r="BK90" i="5" s="1"/>
  <c r="AH90" i="5"/>
  <c r="BF90" i="5" s="1"/>
  <c r="AC90" i="5"/>
  <c r="AZ90" i="5" s="1"/>
  <c r="W90" i="5"/>
  <c r="BH89" i="5"/>
  <c r="BJ89" i="5" s="1"/>
  <c r="CJ89" i="5" s="1"/>
  <c r="AG90" i="5"/>
  <c r="BE90" i="5" s="1"/>
  <c r="X90" i="5"/>
  <c r="Z90" i="5"/>
  <c r="BI90" i="5" s="1"/>
  <c r="AF90" i="5"/>
  <c r="BD90" i="5" s="1"/>
  <c r="AB90" i="5"/>
  <c r="AE90" i="5"/>
  <c r="BB90" i="5" s="1"/>
  <c r="BP89" i="5"/>
  <c r="CH89" i="5" s="1"/>
  <c r="CB125" i="12"/>
  <c r="BS124" i="12"/>
  <c r="CK90" i="5" l="1"/>
  <c r="AX90" i="5"/>
  <c r="BC90" i="5"/>
  <c r="BR90" i="5"/>
  <c r="CF90" i="5" s="1"/>
  <c r="AA90" i="5"/>
  <c r="BN90" i="5"/>
  <c r="BM90" i="5"/>
  <c r="CI90" i="5" s="1"/>
  <c r="BQ90" i="5"/>
  <c r="BO90" i="5"/>
  <c r="BL90" i="5"/>
  <c r="CG90" i="5" s="1"/>
  <c r="CB124" i="12"/>
  <c r="BS123" i="12"/>
  <c r="BP90" i="5" l="1"/>
  <c r="CH90" i="5" s="1"/>
  <c r="Z91" i="5"/>
  <c r="BI91" i="5" s="1"/>
  <c r="Y91" i="5"/>
  <c r="BG91" i="5" s="1"/>
  <c r="BK91" i="5" s="1"/>
  <c r="AF91" i="5"/>
  <c r="BD91" i="5" s="1"/>
  <c r="AH91" i="5"/>
  <c r="BF91" i="5" s="1"/>
  <c r="W91" i="5"/>
  <c r="AD91" i="5"/>
  <c r="BA91" i="5" s="1"/>
  <c r="AC91" i="5"/>
  <c r="AZ91" i="5" s="1"/>
  <c r="AB91" i="5"/>
  <c r="AG91" i="5"/>
  <c r="BE91" i="5" s="1"/>
  <c r="BH90" i="5"/>
  <c r="BJ90" i="5" s="1"/>
  <c r="CJ90" i="5" s="1"/>
  <c r="X91" i="5"/>
  <c r="AE91" i="5"/>
  <c r="BB91" i="5" s="1"/>
  <c r="CB123" i="12"/>
  <c r="BS122" i="12"/>
  <c r="CK91" i="5" l="1"/>
  <c r="BC91" i="5"/>
  <c r="AX91" i="5"/>
  <c r="BQ91" i="5"/>
  <c r="BN91" i="5"/>
  <c r="AA91" i="5"/>
  <c r="BM91" i="5"/>
  <c r="CI91" i="5" s="1"/>
  <c r="BR91" i="5"/>
  <c r="CF91" i="5" s="1"/>
  <c r="BO91" i="5"/>
  <c r="BL91" i="5"/>
  <c r="CG91" i="5" s="1"/>
  <c r="BS121" i="12"/>
  <c r="CB122" i="12"/>
  <c r="BP91" i="5" l="1"/>
  <c r="CH91" i="5" s="1"/>
  <c r="AD92" i="5"/>
  <c r="BA92" i="5" s="1"/>
  <c r="Y92" i="5"/>
  <c r="BG92" i="5" s="1"/>
  <c r="BK92" i="5" s="1"/>
  <c r="Z92" i="5"/>
  <c r="BI92" i="5" s="1"/>
  <c r="AF92" i="5"/>
  <c r="BD92" i="5" s="1"/>
  <c r="AC92" i="5"/>
  <c r="AZ92" i="5" s="1"/>
  <c r="AB92" i="5"/>
  <c r="X92" i="5"/>
  <c r="W92" i="5"/>
  <c r="BH91" i="5"/>
  <c r="BJ91" i="5" s="1"/>
  <c r="CJ91" i="5" s="1"/>
  <c r="AE92" i="5"/>
  <c r="BB92" i="5" s="1"/>
  <c r="AH92" i="5"/>
  <c r="BF92" i="5" s="1"/>
  <c r="AG92" i="5"/>
  <c r="BE92" i="5" s="1"/>
  <c r="CB121" i="12"/>
  <c r="BS120" i="12"/>
  <c r="CK92" i="5" l="1"/>
  <c r="BC92" i="5"/>
  <c r="AX92" i="5"/>
  <c r="BR92" i="5"/>
  <c r="CF92" i="5" s="1"/>
  <c r="BN92" i="5"/>
  <c r="BO92" i="5"/>
  <c r="BM92" i="5"/>
  <c r="CI92" i="5" s="1"/>
  <c r="BQ92" i="5"/>
  <c r="AA92" i="5"/>
  <c r="BL92" i="5"/>
  <c r="CG92" i="5" s="1"/>
  <c r="BS119" i="12"/>
  <c r="CB120" i="12"/>
  <c r="BH92" i="5" l="1"/>
  <c r="BJ92" i="5" s="1"/>
  <c r="CJ92" i="5" s="1"/>
  <c r="AB93" i="5"/>
  <c r="AE93" i="5"/>
  <c r="BB93" i="5" s="1"/>
  <c r="AF93" i="5"/>
  <c r="BD93" i="5" s="1"/>
  <c r="AG93" i="5"/>
  <c r="BE93" i="5" s="1"/>
  <c r="Z93" i="5"/>
  <c r="BI93" i="5" s="1"/>
  <c r="AH93" i="5"/>
  <c r="BF93" i="5" s="1"/>
  <c r="X93" i="5"/>
  <c r="AC93" i="5"/>
  <c r="AZ93" i="5" s="1"/>
  <c r="AD93" i="5"/>
  <c r="BA93" i="5" s="1"/>
  <c r="W93" i="5"/>
  <c r="Y93" i="5"/>
  <c r="BG93" i="5" s="1"/>
  <c r="BK93" i="5" s="1"/>
  <c r="BP92" i="5"/>
  <c r="CH92" i="5" s="1"/>
  <c r="CB119" i="12"/>
  <c r="BS118" i="12"/>
  <c r="CK93" i="5" l="1"/>
  <c r="BQ93" i="5"/>
  <c r="AA93" i="5"/>
  <c r="BO93" i="5"/>
  <c r="BL93" i="5"/>
  <c r="CG93" i="5" s="1"/>
  <c r="BM93" i="5"/>
  <c r="CI93" i="5" s="1"/>
  <c r="BN93" i="5"/>
  <c r="BR93" i="5"/>
  <c r="CF93" i="5" s="1"/>
  <c r="AX93" i="5"/>
  <c r="BC93" i="5"/>
  <c r="BS117" i="12"/>
  <c r="CB118" i="12"/>
  <c r="BP93" i="5" l="1"/>
  <c r="CH93" i="5" s="1"/>
  <c r="AH94" i="5"/>
  <c r="BF94" i="5" s="1"/>
  <c r="BH93" i="5"/>
  <c r="BJ93" i="5" s="1"/>
  <c r="CJ93" i="5" s="1"/>
  <c r="AD94" i="5"/>
  <c r="BA94" i="5" s="1"/>
  <c r="AB94" i="5"/>
  <c r="Y94" i="5"/>
  <c r="BG94" i="5" s="1"/>
  <c r="BK94" i="5" s="1"/>
  <c r="AF94" i="5"/>
  <c r="BD94" i="5" s="1"/>
  <c r="Z94" i="5"/>
  <c r="BI94" i="5" s="1"/>
  <c r="W94" i="5"/>
  <c r="X94" i="5"/>
  <c r="AG94" i="5"/>
  <c r="BE94" i="5" s="1"/>
  <c r="AE94" i="5"/>
  <c r="BB94" i="5" s="1"/>
  <c r="AC94" i="5"/>
  <c r="AZ94" i="5" s="1"/>
  <c r="BS116" i="12"/>
  <c r="CB117" i="12"/>
  <c r="CK94" i="5" l="1"/>
  <c r="BC94" i="5"/>
  <c r="AX94" i="5"/>
  <c r="BM94" i="5"/>
  <c r="CI94" i="5" s="1"/>
  <c r="BO94" i="5"/>
  <c r="AA94" i="5"/>
  <c r="BQ94" i="5"/>
  <c r="BN94" i="5"/>
  <c r="BL94" i="5"/>
  <c r="CG94" i="5" s="1"/>
  <c r="BR94" i="5"/>
  <c r="CF94" i="5" s="1"/>
  <c r="BS115" i="12"/>
  <c r="CB116" i="12"/>
  <c r="AB95" i="5" l="1"/>
  <c r="Y95" i="5"/>
  <c r="BG95" i="5" s="1"/>
  <c r="BK95" i="5" s="1"/>
  <c r="AD95" i="5"/>
  <c r="BA95" i="5" s="1"/>
  <c r="AC95" i="5"/>
  <c r="AZ95" i="5" s="1"/>
  <c r="X95" i="5"/>
  <c r="W95" i="5"/>
  <c r="AH95" i="5"/>
  <c r="BF95" i="5" s="1"/>
  <c r="BH94" i="5"/>
  <c r="BJ94" i="5" s="1"/>
  <c r="CJ94" i="5" s="1"/>
  <c r="Z95" i="5"/>
  <c r="BI95" i="5" s="1"/>
  <c r="AE95" i="5"/>
  <c r="BB95" i="5" s="1"/>
  <c r="AF95" i="5"/>
  <c r="BD95" i="5" s="1"/>
  <c r="AG95" i="5"/>
  <c r="BE95" i="5" s="1"/>
  <c r="BP94" i="5"/>
  <c r="CH94" i="5" s="1"/>
  <c r="BS114" i="12"/>
  <c r="CB115" i="12"/>
  <c r="CK95" i="5" l="1"/>
  <c r="AX95" i="5"/>
  <c r="BC95" i="5"/>
  <c r="BL95" i="5"/>
  <c r="CG95" i="5" s="1"/>
  <c r="BM95" i="5"/>
  <c r="CI95" i="5" s="1"/>
  <c r="BN95" i="5"/>
  <c r="AA95" i="5"/>
  <c r="BO95" i="5"/>
  <c r="BR95" i="5"/>
  <c r="CF95" i="5" s="1"/>
  <c r="BQ95" i="5"/>
  <c r="CB114" i="12"/>
  <c r="BS113" i="12"/>
  <c r="BP95" i="5" l="1"/>
  <c r="CH95" i="5" s="1"/>
  <c r="AB96" i="5"/>
  <c r="X96" i="5"/>
  <c r="AH96" i="5"/>
  <c r="BF96" i="5" s="1"/>
  <c r="AG96" i="5"/>
  <c r="BE96" i="5" s="1"/>
  <c r="BH95" i="5"/>
  <c r="BJ95" i="5" s="1"/>
  <c r="CJ95" i="5" s="1"/>
  <c r="AF96" i="5"/>
  <c r="BD96" i="5" s="1"/>
  <c r="AC96" i="5"/>
  <c r="AZ96" i="5" s="1"/>
  <c r="Z96" i="5"/>
  <c r="BI96" i="5" s="1"/>
  <c r="AE96" i="5"/>
  <c r="BB96" i="5" s="1"/>
  <c r="Y96" i="5"/>
  <c r="BG96" i="5" s="1"/>
  <c r="BK96" i="5" s="1"/>
  <c r="W96" i="5"/>
  <c r="AD96" i="5"/>
  <c r="BA96" i="5" s="1"/>
  <c r="CB113" i="12"/>
  <c r="BS112" i="12"/>
  <c r="CK96" i="5" l="1"/>
  <c r="BQ96" i="5"/>
  <c r="BR96" i="5"/>
  <c r="CF96" i="5" s="1"/>
  <c r="BL96" i="5"/>
  <c r="CG96" i="5" s="1"/>
  <c r="BN96" i="5"/>
  <c r="AA96" i="5"/>
  <c r="BM96" i="5"/>
  <c r="CI96" i="5" s="1"/>
  <c r="BO96" i="5"/>
  <c r="AX96" i="5"/>
  <c r="BC96" i="5"/>
  <c r="CB112" i="12"/>
  <c r="BS111" i="12"/>
  <c r="BH96" i="5" l="1"/>
  <c r="BJ96" i="5" s="1"/>
  <c r="CJ96" i="5" s="1"/>
  <c r="AH97" i="5"/>
  <c r="BF97" i="5" s="1"/>
  <c r="X97" i="5"/>
  <c r="AG97" i="5"/>
  <c r="BE97" i="5" s="1"/>
  <c r="AD97" i="5"/>
  <c r="BA97" i="5" s="1"/>
  <c r="Z97" i="5"/>
  <c r="BI97" i="5" s="1"/>
  <c r="AE97" i="5"/>
  <c r="BB97" i="5" s="1"/>
  <c r="AC97" i="5"/>
  <c r="AZ97" i="5" s="1"/>
  <c r="Y97" i="5"/>
  <c r="BG97" i="5" s="1"/>
  <c r="BK97" i="5" s="1"/>
  <c r="AB97" i="5"/>
  <c r="W97" i="5"/>
  <c r="AF97" i="5"/>
  <c r="BD97" i="5" s="1"/>
  <c r="BP96" i="5"/>
  <c r="CH96" i="5" s="1"/>
  <c r="CB111" i="12"/>
  <c r="BS110" i="12"/>
  <c r="CK97" i="5" l="1"/>
  <c r="BM97" i="5"/>
  <c r="CI97" i="5" s="1"/>
  <c r="BQ97" i="5"/>
  <c r="BO97" i="5"/>
  <c r="BR97" i="5"/>
  <c r="CF97" i="5" s="1"/>
  <c r="AA97" i="5"/>
  <c r="BN97" i="5"/>
  <c r="BL97" i="5"/>
  <c r="CG97" i="5" s="1"/>
  <c r="BC97" i="5"/>
  <c r="AX97" i="5"/>
  <c r="CB110" i="12"/>
  <c r="BS109" i="12"/>
  <c r="AC98" i="5" l="1"/>
  <c r="AZ98" i="5" s="1"/>
  <c r="AB98" i="5"/>
  <c r="AH98" i="5"/>
  <c r="BF98" i="5" s="1"/>
  <c r="AE98" i="5"/>
  <c r="BB98" i="5" s="1"/>
  <c r="AF98" i="5"/>
  <c r="BD98" i="5" s="1"/>
  <c r="AD98" i="5"/>
  <c r="BA98" i="5" s="1"/>
  <c r="AG98" i="5"/>
  <c r="BE98" i="5" s="1"/>
  <c r="X98" i="5"/>
  <c r="BH97" i="5"/>
  <c r="BJ97" i="5" s="1"/>
  <c r="CJ97" i="5" s="1"/>
  <c r="Z98" i="5"/>
  <c r="BI98" i="5" s="1"/>
  <c r="Y98" i="5"/>
  <c r="BG98" i="5" s="1"/>
  <c r="BK98" i="5" s="1"/>
  <c r="W98" i="5"/>
  <c r="BP97" i="5"/>
  <c r="CH97" i="5" s="1"/>
  <c r="CB109" i="12"/>
  <c r="BS108" i="12"/>
  <c r="CK98" i="5" l="1"/>
  <c r="AX98" i="5"/>
  <c r="BC98" i="5"/>
  <c r="BM98" i="5"/>
  <c r="CI98" i="5" s="1"/>
  <c r="BO98" i="5"/>
  <c r="BL98" i="5"/>
  <c r="CG98" i="5" s="1"/>
  <c r="BN98" i="5"/>
  <c r="AA98" i="5"/>
  <c r="BQ98" i="5"/>
  <c r="BR98" i="5"/>
  <c r="CF98" i="5" s="1"/>
  <c r="BS107" i="12"/>
  <c r="CB108" i="12"/>
  <c r="Z99" i="5" l="1"/>
  <c r="BI99" i="5" s="1"/>
  <c r="AE99" i="5"/>
  <c r="BB99" i="5" s="1"/>
  <c r="AG99" i="5"/>
  <c r="BE99" i="5" s="1"/>
  <c r="AF99" i="5"/>
  <c r="BD99" i="5" s="1"/>
  <c r="AD99" i="5"/>
  <c r="BA99" i="5" s="1"/>
  <c r="W99" i="5"/>
  <c r="AC99" i="5"/>
  <c r="AZ99" i="5" s="1"/>
  <c r="AB99" i="5"/>
  <c r="Y99" i="5"/>
  <c r="BG99" i="5" s="1"/>
  <c r="BK99" i="5" s="1"/>
  <c r="X99" i="5"/>
  <c r="AH99" i="5"/>
  <c r="BF99" i="5" s="1"/>
  <c r="BH98" i="5"/>
  <c r="BJ98" i="5" s="1"/>
  <c r="CJ98" i="5" s="1"/>
  <c r="BP98" i="5"/>
  <c r="CH98" i="5" s="1"/>
  <c r="BS106" i="12"/>
  <c r="CB107" i="12"/>
  <c r="CK99" i="5" l="1"/>
  <c r="AA99" i="5"/>
  <c r="BM99" i="5"/>
  <c r="CI99" i="5" s="1"/>
  <c r="BN99" i="5"/>
  <c r="BR99" i="5"/>
  <c r="CF99" i="5" s="1"/>
  <c r="BQ99" i="5"/>
  <c r="BO99" i="5"/>
  <c r="BL99" i="5"/>
  <c r="CG99" i="5" s="1"/>
  <c r="BC99" i="5"/>
  <c r="AX99" i="5"/>
  <c r="BS105" i="12"/>
  <c r="CB106" i="12"/>
  <c r="BP99" i="5" l="1"/>
  <c r="CH99" i="5" s="1"/>
  <c r="X100" i="5"/>
  <c r="AH100" i="5"/>
  <c r="BF100" i="5" s="1"/>
  <c r="AE100" i="5"/>
  <c r="BB100" i="5" s="1"/>
  <c r="AB100" i="5"/>
  <c r="AF100" i="5"/>
  <c r="BD100" i="5" s="1"/>
  <c r="W100" i="5"/>
  <c r="BH99" i="5"/>
  <c r="BJ99" i="5" s="1"/>
  <c r="CJ99" i="5" s="1"/>
  <c r="Z100" i="5"/>
  <c r="BI100" i="5" s="1"/>
  <c r="AC100" i="5"/>
  <c r="AZ100" i="5" s="1"/>
  <c r="Y100" i="5"/>
  <c r="BG100" i="5" s="1"/>
  <c r="BK100" i="5" s="1"/>
  <c r="AD100" i="5"/>
  <c r="BA100" i="5" s="1"/>
  <c r="AG100" i="5"/>
  <c r="BE100" i="5" s="1"/>
  <c r="CB105" i="12"/>
  <c r="BS104" i="12"/>
  <c r="CK100" i="5" l="1"/>
  <c r="BL100" i="5"/>
  <c r="CG100" i="5" s="1"/>
  <c r="AA100" i="5"/>
  <c r="BM100" i="5"/>
  <c r="CI100" i="5" s="1"/>
  <c r="BN100" i="5"/>
  <c r="BQ100" i="5"/>
  <c r="BO100" i="5"/>
  <c r="BR100" i="5"/>
  <c r="CF100" i="5" s="1"/>
  <c r="BC100" i="5"/>
  <c r="AX100" i="5"/>
  <c r="CB104" i="12"/>
  <c r="BS103" i="12"/>
  <c r="BP100" i="5" l="1"/>
  <c r="CH100" i="5" s="1"/>
  <c r="AD101" i="5"/>
  <c r="BA101" i="5" s="1"/>
  <c r="BH100" i="5"/>
  <c r="BJ100" i="5" s="1"/>
  <c r="CJ100" i="5" s="1"/>
  <c r="AF101" i="5"/>
  <c r="BD101" i="5" s="1"/>
  <c r="W101" i="5"/>
  <c r="AH101" i="5"/>
  <c r="BF101" i="5" s="1"/>
  <c r="AG101" i="5"/>
  <c r="BE101" i="5" s="1"/>
  <c r="AC101" i="5"/>
  <c r="AZ101" i="5" s="1"/>
  <c r="AE101" i="5"/>
  <c r="BB101" i="5" s="1"/>
  <c r="Y101" i="5"/>
  <c r="BG101" i="5" s="1"/>
  <c r="BK101" i="5" s="1"/>
  <c r="AB101" i="5"/>
  <c r="X101" i="5"/>
  <c r="Z101" i="5"/>
  <c r="BI101" i="5" s="1"/>
  <c r="CB103" i="12"/>
  <c r="BS102" i="12"/>
  <c r="CK101" i="5" l="1"/>
  <c r="BL101" i="5"/>
  <c r="CG101" i="5" s="1"/>
  <c r="AA101" i="5"/>
  <c r="BN101" i="5"/>
  <c r="BR101" i="5"/>
  <c r="CF101" i="5" s="1"/>
  <c r="BM101" i="5"/>
  <c r="CI101" i="5" s="1"/>
  <c r="BQ101" i="5"/>
  <c r="BO101" i="5"/>
  <c r="BC101" i="5"/>
  <c r="AX101" i="5"/>
  <c r="CB102" i="12"/>
  <c r="BS101" i="12"/>
  <c r="BP101" i="5" l="1"/>
  <c r="CH101" i="5" s="1"/>
  <c r="AE102" i="5"/>
  <c r="BB102" i="5" s="1"/>
  <c r="Y102" i="5"/>
  <c r="BG102" i="5" s="1"/>
  <c r="BK102" i="5" s="1"/>
  <c r="AF102" i="5"/>
  <c r="BD102" i="5" s="1"/>
  <c r="AC102" i="5"/>
  <c r="AZ102" i="5" s="1"/>
  <c r="AB102" i="5"/>
  <c r="W102" i="5"/>
  <c r="AD102" i="5"/>
  <c r="BA102" i="5" s="1"/>
  <c r="BH101" i="5"/>
  <c r="BJ101" i="5" s="1"/>
  <c r="CJ101" i="5" s="1"/>
  <c r="Z102" i="5"/>
  <c r="BI102" i="5" s="1"/>
  <c r="AG102" i="5"/>
  <c r="BE102" i="5" s="1"/>
  <c r="AH102" i="5"/>
  <c r="BF102" i="5" s="1"/>
  <c r="X102" i="5"/>
  <c r="BS100" i="12"/>
  <c r="CB101" i="12"/>
  <c r="CK102" i="5" l="1"/>
  <c r="BR102" i="5"/>
  <c r="CF102" i="5" s="1"/>
  <c r="BM102" i="5"/>
  <c r="CI102" i="5" s="1"/>
  <c r="BO102" i="5"/>
  <c r="BL102" i="5"/>
  <c r="CG102" i="5" s="1"/>
  <c r="BN102" i="5"/>
  <c r="AA102" i="5"/>
  <c r="BQ102" i="5"/>
  <c r="BC102" i="5"/>
  <c r="AX102" i="5"/>
  <c r="CB100" i="12"/>
  <c r="BS99" i="12"/>
  <c r="AB103" i="5" l="1"/>
  <c r="AF103" i="5"/>
  <c r="BD103" i="5" s="1"/>
  <c r="BH102" i="5"/>
  <c r="BJ102" i="5" s="1"/>
  <c r="CJ102" i="5" s="1"/>
  <c r="AG103" i="5"/>
  <c r="BE103" i="5" s="1"/>
  <c r="Y103" i="5"/>
  <c r="BG103" i="5" s="1"/>
  <c r="BK103" i="5" s="1"/>
  <c r="AH103" i="5"/>
  <c r="BF103" i="5" s="1"/>
  <c r="AC103" i="5"/>
  <c r="AZ103" i="5" s="1"/>
  <c r="Z103" i="5"/>
  <c r="BI103" i="5" s="1"/>
  <c r="AE103" i="5"/>
  <c r="BB103" i="5" s="1"/>
  <c r="W103" i="5"/>
  <c r="X103" i="5"/>
  <c r="AD103" i="5"/>
  <c r="BA103" i="5" s="1"/>
  <c r="BP102" i="5"/>
  <c r="CH102" i="5" s="1"/>
  <c r="CB99" i="12"/>
  <c r="BS98" i="12"/>
  <c r="CK103" i="5" l="1"/>
  <c r="AX103" i="5"/>
  <c r="BC103" i="5"/>
  <c r="BO103" i="5"/>
  <c r="BL103" i="5"/>
  <c r="CG103" i="5" s="1"/>
  <c r="AA103" i="5"/>
  <c r="BN103" i="5"/>
  <c r="BQ103" i="5"/>
  <c r="BR103" i="5"/>
  <c r="CF103" i="5" s="1"/>
  <c r="BM103" i="5"/>
  <c r="CI103" i="5" s="1"/>
  <c r="CB98" i="12"/>
  <c r="BS97" i="12"/>
  <c r="Z104" i="5" l="1"/>
  <c r="BI104" i="5" s="1"/>
  <c r="BH103" i="5"/>
  <c r="BJ103" i="5" s="1"/>
  <c r="CJ103" i="5" s="1"/>
  <c r="AB104" i="5"/>
  <c r="AC104" i="5"/>
  <c r="AZ104" i="5" s="1"/>
  <c r="X104" i="5"/>
  <c r="AE104" i="5"/>
  <c r="BB104" i="5" s="1"/>
  <c r="AD104" i="5"/>
  <c r="BA104" i="5" s="1"/>
  <c r="AF104" i="5"/>
  <c r="BD104" i="5" s="1"/>
  <c r="AG104" i="5"/>
  <c r="BE104" i="5" s="1"/>
  <c r="AH104" i="5"/>
  <c r="BF104" i="5" s="1"/>
  <c r="W104" i="5"/>
  <c r="Y104" i="5"/>
  <c r="BG104" i="5" s="1"/>
  <c r="BK104" i="5" s="1"/>
  <c r="CK104" i="5" s="1"/>
  <c r="BP103" i="5"/>
  <c r="CH103" i="5" s="1"/>
  <c r="CB97" i="12"/>
  <c r="BS96" i="12"/>
  <c r="BL104" i="5" l="1"/>
  <c r="CG104" i="5" s="1"/>
  <c r="BQ104" i="5"/>
  <c r="BN104" i="5"/>
  <c r="BM104" i="5"/>
  <c r="CI104" i="5" s="1"/>
  <c r="BR104" i="5"/>
  <c r="CF104" i="5" s="1"/>
  <c r="BO104" i="5"/>
  <c r="AA104" i="5"/>
  <c r="AX104" i="5"/>
  <c r="BC104" i="5"/>
  <c r="CB96" i="12"/>
  <c r="BS95" i="12"/>
  <c r="BP104" i="5" l="1"/>
  <c r="CH104" i="5" s="1"/>
  <c r="W105" i="5"/>
  <c r="AH105" i="5"/>
  <c r="BF105" i="5" s="1"/>
  <c r="BH104" i="5"/>
  <c r="BJ104" i="5" s="1"/>
  <c r="CJ104" i="5" s="1"/>
  <c r="AF105" i="5"/>
  <c r="BD105" i="5" s="1"/>
  <c r="AG105" i="5"/>
  <c r="BE105" i="5" s="1"/>
  <c r="AD105" i="5"/>
  <c r="BA105" i="5" s="1"/>
  <c r="AB105" i="5"/>
  <c r="Y105" i="5"/>
  <c r="BG105" i="5" s="1"/>
  <c r="BK105" i="5" s="1"/>
  <c r="CK105" i="5" s="1"/>
  <c r="Z105" i="5"/>
  <c r="BI105" i="5" s="1"/>
  <c r="AE105" i="5"/>
  <c r="BB105" i="5" s="1"/>
  <c r="X105" i="5"/>
  <c r="AC105" i="5"/>
  <c r="AZ105" i="5" s="1"/>
  <c r="BS94" i="12"/>
  <c r="CB95" i="12"/>
  <c r="BC105" i="5" l="1"/>
  <c r="AX105" i="5"/>
  <c r="BL105" i="5"/>
  <c r="CG105" i="5" s="1"/>
  <c r="BR105" i="5"/>
  <c r="CF105" i="5" s="1"/>
  <c r="AA105" i="5"/>
  <c r="BM105" i="5"/>
  <c r="CI105" i="5" s="1"/>
  <c r="BQ105" i="5"/>
  <c r="BO105" i="5"/>
  <c r="BN105" i="5"/>
  <c r="BS93" i="12"/>
  <c r="CB94" i="12"/>
  <c r="AE106" i="5" l="1"/>
  <c r="BB106" i="5" s="1"/>
  <c r="Z106" i="5"/>
  <c r="BI106" i="5" s="1"/>
  <c r="AD106" i="5"/>
  <c r="BA106" i="5" s="1"/>
  <c r="Y106" i="5"/>
  <c r="BG106" i="5" s="1"/>
  <c r="BK106" i="5" s="1"/>
  <c r="AB106" i="5"/>
  <c r="AC106" i="5"/>
  <c r="AZ106" i="5" s="1"/>
  <c r="AG106" i="5"/>
  <c r="BE106" i="5" s="1"/>
  <c r="AH106" i="5"/>
  <c r="BF106" i="5" s="1"/>
  <c r="AF106" i="5"/>
  <c r="BD106" i="5" s="1"/>
  <c r="X106" i="5"/>
  <c r="W106" i="5"/>
  <c r="BH105" i="5"/>
  <c r="BJ105" i="5" s="1"/>
  <c r="CJ105" i="5" s="1"/>
  <c r="BP105" i="5"/>
  <c r="CH105" i="5" s="1"/>
  <c r="CB93" i="12"/>
  <c r="BS92" i="12"/>
  <c r="CK106" i="5" l="1"/>
  <c r="BO106" i="5"/>
  <c r="BQ106" i="5"/>
  <c r="BR106" i="5"/>
  <c r="CF106" i="5" s="1"/>
  <c r="AA106" i="5"/>
  <c r="BN106" i="5"/>
  <c r="BL106" i="5"/>
  <c r="CG106" i="5" s="1"/>
  <c r="BM106" i="5"/>
  <c r="CI106" i="5" s="1"/>
  <c r="BC106" i="5"/>
  <c r="AX106" i="5"/>
  <c r="BS91" i="12"/>
  <c r="CB92" i="12"/>
  <c r="BP106" i="5" l="1"/>
  <c r="CH106" i="5" s="1"/>
  <c r="X107" i="5"/>
  <c r="W107" i="5"/>
  <c r="AB107" i="5"/>
  <c r="Y107" i="5"/>
  <c r="BG107" i="5" s="1"/>
  <c r="BK107" i="5" s="1"/>
  <c r="CK107" i="5" s="1"/>
  <c r="BH106" i="5"/>
  <c r="BJ106" i="5" s="1"/>
  <c r="CJ106" i="5" s="1"/>
  <c r="AE107" i="5"/>
  <c r="BB107" i="5" s="1"/>
  <c r="AG107" i="5"/>
  <c r="BE107" i="5" s="1"/>
  <c r="AH107" i="5"/>
  <c r="BF107" i="5" s="1"/>
  <c r="AF107" i="5"/>
  <c r="BD107" i="5" s="1"/>
  <c r="AC107" i="5"/>
  <c r="AZ107" i="5" s="1"/>
  <c r="AD107" i="5"/>
  <c r="BA107" i="5" s="1"/>
  <c r="Z107" i="5"/>
  <c r="BI107" i="5" s="1"/>
  <c r="CB91" i="12"/>
  <c r="BS90" i="12"/>
  <c r="BR107" i="5" l="1"/>
  <c r="CF107" i="5" s="1"/>
  <c r="AA107" i="5"/>
  <c r="BM107" i="5"/>
  <c r="CI107" i="5" s="1"/>
  <c r="BN107" i="5"/>
  <c r="BL107" i="5"/>
  <c r="CG107" i="5" s="1"/>
  <c r="BQ107" i="5"/>
  <c r="BO107" i="5"/>
  <c r="BC107" i="5"/>
  <c r="AX107" i="5"/>
  <c r="CB90" i="12"/>
  <c r="BS89" i="12"/>
  <c r="BP107" i="5" l="1"/>
  <c r="CH107" i="5" s="1"/>
  <c r="AB108" i="5"/>
  <c r="AF108" i="5"/>
  <c r="BD108" i="5" s="1"/>
  <c r="AH108" i="5"/>
  <c r="BF108" i="5" s="1"/>
  <c r="W108" i="5"/>
  <c r="AE108" i="5"/>
  <c r="BB108" i="5" s="1"/>
  <c r="AC108" i="5"/>
  <c r="AZ108" i="5" s="1"/>
  <c r="Z108" i="5"/>
  <c r="BI108" i="5" s="1"/>
  <c r="X108" i="5"/>
  <c r="Y108" i="5"/>
  <c r="BG108" i="5" s="1"/>
  <c r="BK108" i="5" s="1"/>
  <c r="AG108" i="5"/>
  <c r="BE108" i="5" s="1"/>
  <c r="BH107" i="5"/>
  <c r="BJ107" i="5" s="1"/>
  <c r="CJ107" i="5" s="1"/>
  <c r="AD108" i="5"/>
  <c r="BA108" i="5" s="1"/>
  <c r="BS88" i="12"/>
  <c r="CB89" i="12"/>
  <c r="CK108" i="5" l="1"/>
  <c r="BC108" i="5"/>
  <c r="AX108" i="5"/>
  <c r="AA108" i="5"/>
  <c r="BL108" i="5"/>
  <c r="CG108" i="5" s="1"/>
  <c r="BO108" i="5"/>
  <c r="BN108" i="5"/>
  <c r="BQ108" i="5"/>
  <c r="BM108" i="5"/>
  <c r="CI108" i="5" s="1"/>
  <c r="BR108" i="5"/>
  <c r="CF108" i="5" s="1"/>
  <c r="CB88" i="12"/>
  <c r="BS87" i="12"/>
  <c r="BP108" i="5" l="1"/>
  <c r="CH108" i="5" s="1"/>
  <c r="AB109" i="5"/>
  <c r="AH109" i="5"/>
  <c r="BF109" i="5" s="1"/>
  <c r="AF109" i="5"/>
  <c r="BD109" i="5" s="1"/>
  <c r="AG109" i="5"/>
  <c r="BE109" i="5" s="1"/>
  <c r="BH108" i="5"/>
  <c r="BJ108" i="5" s="1"/>
  <c r="CJ108" i="5" s="1"/>
  <c r="Z109" i="5"/>
  <c r="BI109" i="5" s="1"/>
  <c r="X109" i="5"/>
  <c r="Y109" i="5"/>
  <c r="BG109" i="5" s="1"/>
  <c r="BK109" i="5" s="1"/>
  <c r="AD109" i="5"/>
  <c r="BA109" i="5" s="1"/>
  <c r="W109" i="5"/>
  <c r="AE109" i="5"/>
  <c r="BB109" i="5" s="1"/>
  <c r="AC109" i="5"/>
  <c r="AZ109" i="5" s="1"/>
  <c r="BS86" i="12"/>
  <c r="CB87" i="12"/>
  <c r="CK109" i="5" l="1"/>
  <c r="BQ109" i="5"/>
  <c r="BN109" i="5"/>
  <c r="AA109" i="5"/>
  <c r="BO109" i="5"/>
  <c r="BL109" i="5"/>
  <c r="CG109" i="5" s="1"/>
  <c r="BM109" i="5"/>
  <c r="CI109" i="5" s="1"/>
  <c r="BR109" i="5"/>
  <c r="CF109" i="5" s="1"/>
  <c r="BC109" i="5"/>
  <c r="AX109" i="5"/>
  <c r="BS85" i="12"/>
  <c r="CB86" i="12"/>
  <c r="AB110" i="5" l="1"/>
  <c r="AC110" i="5"/>
  <c r="AZ110" i="5" s="1"/>
  <c r="BH109" i="5"/>
  <c r="BJ109" i="5" s="1"/>
  <c r="CJ109" i="5" s="1"/>
  <c r="AH110" i="5"/>
  <c r="BF110" i="5" s="1"/>
  <c r="X110" i="5"/>
  <c r="AF110" i="5"/>
  <c r="BD110" i="5" s="1"/>
  <c r="AD110" i="5"/>
  <c r="BA110" i="5" s="1"/>
  <c r="AG110" i="5"/>
  <c r="BE110" i="5" s="1"/>
  <c r="Z110" i="5"/>
  <c r="BI110" i="5" s="1"/>
  <c r="AE110" i="5"/>
  <c r="BB110" i="5" s="1"/>
  <c r="Y110" i="5"/>
  <c r="BG110" i="5" s="1"/>
  <c r="BK110" i="5" s="1"/>
  <c r="W110" i="5"/>
  <c r="BP109" i="5"/>
  <c r="CH109" i="5" s="1"/>
  <c r="CB85" i="12"/>
  <c r="BS84" i="12"/>
  <c r="CK110" i="5" l="1"/>
  <c r="BC110" i="5"/>
  <c r="AX110" i="5"/>
  <c r="BO110" i="5"/>
  <c r="BL110" i="5"/>
  <c r="CG110" i="5" s="1"/>
  <c r="BR110" i="5"/>
  <c r="CF110" i="5" s="1"/>
  <c r="BQ110" i="5"/>
  <c r="BN110" i="5"/>
  <c r="BM110" i="5"/>
  <c r="CI110" i="5" s="1"/>
  <c r="AA110" i="5"/>
  <c r="CB84" i="12"/>
  <c r="BS83" i="12"/>
  <c r="BP110" i="5" l="1"/>
  <c r="CH110" i="5" s="1"/>
  <c r="X111" i="5"/>
  <c r="AH111" i="5"/>
  <c r="BF111" i="5" s="1"/>
  <c r="Y111" i="5"/>
  <c r="BG111" i="5" s="1"/>
  <c r="BK111" i="5" s="1"/>
  <c r="BH110" i="5"/>
  <c r="BJ110" i="5" s="1"/>
  <c r="CJ110" i="5" s="1"/>
  <c r="AF111" i="5"/>
  <c r="BD111" i="5" s="1"/>
  <c r="W111" i="5"/>
  <c r="AG111" i="5"/>
  <c r="BE111" i="5" s="1"/>
  <c r="AE111" i="5"/>
  <c r="BB111" i="5" s="1"/>
  <c r="Z111" i="5"/>
  <c r="BI111" i="5" s="1"/>
  <c r="AC111" i="5"/>
  <c r="AZ111" i="5" s="1"/>
  <c r="AB111" i="5"/>
  <c r="AD111" i="5"/>
  <c r="BA111" i="5" s="1"/>
  <c r="CB83" i="12"/>
  <c r="BS82" i="12"/>
  <c r="CK111" i="5" l="1"/>
  <c r="BO111" i="5"/>
  <c r="BR111" i="5"/>
  <c r="CF111" i="5" s="1"/>
  <c r="BQ111" i="5"/>
  <c r="BN111" i="5"/>
  <c r="BM111" i="5"/>
  <c r="CI111" i="5" s="1"/>
  <c r="BL111" i="5"/>
  <c r="CG111" i="5" s="1"/>
  <c r="AA111" i="5"/>
  <c r="BC111" i="5"/>
  <c r="AX111" i="5"/>
  <c r="CB82" i="12"/>
  <c r="BS81" i="12"/>
  <c r="AB112" i="5" l="1"/>
  <c r="W112" i="5"/>
  <c r="BH111" i="5"/>
  <c r="BJ111" i="5" s="1"/>
  <c r="CJ111" i="5" s="1"/>
  <c r="Z112" i="5"/>
  <c r="BI112" i="5" s="1"/>
  <c r="AG112" i="5"/>
  <c r="BE112" i="5" s="1"/>
  <c r="AD112" i="5"/>
  <c r="BA112" i="5" s="1"/>
  <c r="AC112" i="5"/>
  <c r="AZ112" i="5" s="1"/>
  <c r="AE112" i="5"/>
  <c r="BB112" i="5" s="1"/>
  <c r="Y112" i="5"/>
  <c r="BG112" i="5" s="1"/>
  <c r="BK112" i="5" s="1"/>
  <c r="AH112" i="5"/>
  <c r="BF112" i="5" s="1"/>
  <c r="AF112" i="5"/>
  <c r="BD112" i="5" s="1"/>
  <c r="X112" i="5"/>
  <c r="BP111" i="5"/>
  <c r="CH111" i="5" s="1"/>
  <c r="CB81" i="12"/>
  <c r="BS80" i="12"/>
  <c r="CK112" i="5" l="1"/>
  <c r="AX112" i="5"/>
  <c r="BC112" i="5"/>
  <c r="BO112" i="5"/>
  <c r="BL112" i="5"/>
  <c r="CG112" i="5" s="1"/>
  <c r="AA112" i="5"/>
  <c r="BQ112" i="5"/>
  <c r="BR112" i="5"/>
  <c r="CF112" i="5" s="1"/>
  <c r="BN112" i="5"/>
  <c r="BM112" i="5"/>
  <c r="CI112" i="5" s="1"/>
  <c r="BS79" i="12"/>
  <c r="CB80" i="12"/>
  <c r="AD113" i="5" l="1"/>
  <c r="BA113" i="5" s="1"/>
  <c r="W113" i="5"/>
  <c r="AG113" i="5"/>
  <c r="BE113" i="5" s="1"/>
  <c r="Z113" i="5"/>
  <c r="BI113" i="5" s="1"/>
  <c r="X113" i="5"/>
  <c r="AE113" i="5"/>
  <c r="BB113" i="5" s="1"/>
  <c r="AF113" i="5"/>
  <c r="BD113" i="5" s="1"/>
  <c r="AC113" i="5"/>
  <c r="AZ113" i="5" s="1"/>
  <c r="AH113" i="5"/>
  <c r="BF113" i="5" s="1"/>
  <c r="AB113" i="5"/>
  <c r="Y113" i="5"/>
  <c r="BG113" i="5" s="1"/>
  <c r="BK113" i="5" s="1"/>
  <c r="CK113" i="5" s="1"/>
  <c r="BH112" i="5"/>
  <c r="BJ112" i="5" s="1"/>
  <c r="CJ112" i="5" s="1"/>
  <c r="BP112" i="5"/>
  <c r="CH112" i="5" s="1"/>
  <c r="CB79" i="12"/>
  <c r="BS78" i="12"/>
  <c r="BC113" i="5" l="1"/>
  <c r="AX113" i="5"/>
  <c r="BL113" i="5"/>
  <c r="CG113" i="5" s="1"/>
  <c r="BQ113" i="5"/>
  <c r="BM113" i="5"/>
  <c r="CI113" i="5" s="1"/>
  <c r="BR113" i="5"/>
  <c r="CF113" i="5" s="1"/>
  <c r="AA113" i="5"/>
  <c r="BO113" i="5"/>
  <c r="BN113" i="5"/>
  <c r="CB78" i="12"/>
  <c r="BS77" i="12"/>
  <c r="W114" i="5" l="1"/>
  <c r="AD114" i="5"/>
  <c r="BA114" i="5" s="1"/>
  <c r="AG114" i="5"/>
  <c r="BE114" i="5" s="1"/>
  <c r="BH113" i="5"/>
  <c r="BJ113" i="5" s="1"/>
  <c r="CJ113" i="5" s="1"/>
  <c r="AC114" i="5"/>
  <c r="AZ114" i="5" s="1"/>
  <c r="Y114" i="5"/>
  <c r="BG114" i="5" s="1"/>
  <c r="BK114" i="5" s="1"/>
  <c r="CK114" i="5" s="1"/>
  <c r="AE114" i="5"/>
  <c r="BB114" i="5" s="1"/>
  <c r="Z114" i="5"/>
  <c r="BI114" i="5" s="1"/>
  <c r="AF114" i="5"/>
  <c r="BD114" i="5" s="1"/>
  <c r="AB114" i="5"/>
  <c r="AH114" i="5"/>
  <c r="BF114" i="5" s="1"/>
  <c r="X114" i="5"/>
  <c r="BP113" i="5"/>
  <c r="CH113" i="5" s="1"/>
  <c r="BS76" i="12"/>
  <c r="CB77" i="12"/>
  <c r="BC114" i="5" l="1"/>
  <c r="AX114" i="5"/>
  <c r="BN114" i="5"/>
  <c r="BR114" i="5"/>
  <c r="CF114" i="5" s="1"/>
  <c r="BM114" i="5"/>
  <c r="CI114" i="5" s="1"/>
  <c r="AA114" i="5"/>
  <c r="BO114" i="5"/>
  <c r="BL114" i="5"/>
  <c r="CG114" i="5" s="1"/>
  <c r="BQ114" i="5"/>
  <c r="CB76" i="12"/>
  <c r="BS75" i="12"/>
  <c r="AE115" i="5" l="1"/>
  <c r="BB115" i="5" s="1"/>
  <c r="AH115" i="5"/>
  <c r="BF115" i="5" s="1"/>
  <c r="Z115" i="5"/>
  <c r="BI115" i="5" s="1"/>
  <c r="AG115" i="5"/>
  <c r="BE115" i="5" s="1"/>
  <c r="AC115" i="5"/>
  <c r="AZ115" i="5" s="1"/>
  <c r="AD115" i="5"/>
  <c r="BA115" i="5" s="1"/>
  <c r="W115" i="5"/>
  <c r="BH114" i="5"/>
  <c r="BJ114" i="5" s="1"/>
  <c r="CJ114" i="5" s="1"/>
  <c r="AF115" i="5"/>
  <c r="BD115" i="5" s="1"/>
  <c r="AB115" i="5"/>
  <c r="X115" i="5"/>
  <c r="Y115" i="5"/>
  <c r="BG115" i="5" s="1"/>
  <c r="BK115" i="5" s="1"/>
  <c r="BP114" i="5"/>
  <c r="CH114" i="5" s="1"/>
  <c r="BS74" i="12"/>
  <c r="CB75" i="12"/>
  <c r="CK115" i="5" l="1"/>
  <c r="BC115" i="5"/>
  <c r="AX115" i="5"/>
  <c r="BM115" i="5"/>
  <c r="CI115" i="5" s="1"/>
  <c r="BN115" i="5"/>
  <c r="BO115" i="5"/>
  <c r="AA115" i="5"/>
  <c r="BL115" i="5"/>
  <c r="CG115" i="5" s="1"/>
  <c r="BR115" i="5"/>
  <c r="CF115" i="5" s="1"/>
  <c r="BQ115" i="5"/>
  <c r="CB74" i="12"/>
  <c r="BS73" i="12"/>
  <c r="BP115" i="5" l="1"/>
  <c r="CH115" i="5" s="1"/>
  <c r="AH116" i="5"/>
  <c r="BF116" i="5" s="1"/>
  <c r="AC116" i="5"/>
  <c r="AZ116" i="5" s="1"/>
  <c r="Z116" i="5"/>
  <c r="BI116" i="5" s="1"/>
  <c r="W116" i="5"/>
  <c r="AF116" i="5"/>
  <c r="BD116" i="5" s="1"/>
  <c r="AB116" i="5"/>
  <c r="AE116" i="5"/>
  <c r="BB116" i="5" s="1"/>
  <c r="AD116" i="5"/>
  <c r="BA116" i="5" s="1"/>
  <c r="BH115" i="5"/>
  <c r="BJ115" i="5" s="1"/>
  <c r="CJ115" i="5" s="1"/>
  <c r="AG116" i="5"/>
  <c r="BE116" i="5" s="1"/>
  <c r="X116" i="5"/>
  <c r="Y116" i="5"/>
  <c r="BG116" i="5" s="1"/>
  <c r="BK116" i="5" s="1"/>
  <c r="BS72" i="12"/>
  <c r="CB73" i="12"/>
  <c r="CK116" i="5" l="1"/>
  <c r="BR116" i="5"/>
  <c r="CF116" i="5" s="1"/>
  <c r="BN116" i="5"/>
  <c r="BO116" i="5"/>
  <c r="AA116" i="5"/>
  <c r="BQ116" i="5"/>
  <c r="BL116" i="5"/>
  <c r="CG116" i="5" s="1"/>
  <c r="BM116" i="5"/>
  <c r="CI116" i="5" s="1"/>
  <c r="AX116" i="5"/>
  <c r="BC116" i="5"/>
  <c r="CB72" i="12"/>
  <c r="BS71" i="12"/>
  <c r="BP116" i="5" l="1"/>
  <c r="CH116" i="5" s="1"/>
  <c r="AE117" i="5"/>
  <c r="BB117" i="5" s="1"/>
  <c r="AG117" i="5"/>
  <c r="BE117" i="5" s="1"/>
  <c r="AC117" i="5"/>
  <c r="AZ117" i="5" s="1"/>
  <c r="AF117" i="5"/>
  <c r="BD117" i="5" s="1"/>
  <c r="AD117" i="5"/>
  <c r="BA117" i="5" s="1"/>
  <c r="X117" i="5"/>
  <c r="Y117" i="5"/>
  <c r="BG117" i="5" s="1"/>
  <c r="BK117" i="5" s="1"/>
  <c r="AH117" i="5"/>
  <c r="BF117" i="5" s="1"/>
  <c r="W117" i="5"/>
  <c r="AB117" i="5"/>
  <c r="Z117" i="5"/>
  <c r="BI117" i="5" s="1"/>
  <c r="BH116" i="5"/>
  <c r="BJ116" i="5" s="1"/>
  <c r="CJ116" i="5" s="1"/>
  <c r="CB71" i="12"/>
  <c r="BS70" i="12"/>
  <c r="CK117" i="5" l="1"/>
  <c r="BM117" i="5"/>
  <c r="CI117" i="5" s="1"/>
  <c r="BL117" i="5"/>
  <c r="CG117" i="5" s="1"/>
  <c r="AA117" i="5"/>
  <c r="BQ117" i="5"/>
  <c r="BO117" i="5"/>
  <c r="BN117" i="5"/>
  <c r="BR117" i="5"/>
  <c r="CF117" i="5" s="1"/>
  <c r="AX117" i="5"/>
  <c r="BC117" i="5"/>
  <c r="CB70" i="12"/>
  <c r="BS69" i="12"/>
  <c r="BP117" i="5" l="1"/>
  <c r="CH117" i="5" s="1"/>
  <c r="AH118" i="5"/>
  <c r="BF118" i="5" s="1"/>
  <c r="Y118" i="5"/>
  <c r="BG118" i="5" s="1"/>
  <c r="BK118" i="5" s="1"/>
  <c r="AF118" i="5"/>
  <c r="BD118" i="5" s="1"/>
  <c r="AG118" i="5"/>
  <c r="BE118" i="5" s="1"/>
  <c r="AD118" i="5"/>
  <c r="BA118" i="5" s="1"/>
  <c r="X118" i="5"/>
  <c r="W118" i="5"/>
  <c r="BH117" i="5"/>
  <c r="BJ117" i="5" s="1"/>
  <c r="CJ117" i="5" s="1"/>
  <c r="Z118" i="5"/>
  <c r="BI118" i="5" s="1"/>
  <c r="AE118" i="5"/>
  <c r="BB118" i="5" s="1"/>
  <c r="AC118" i="5"/>
  <c r="AZ118" i="5" s="1"/>
  <c r="AB118" i="5"/>
  <c r="BS68" i="12"/>
  <c r="CB69" i="12"/>
  <c r="CK118" i="5" l="1"/>
  <c r="AX118" i="5"/>
  <c r="BC118" i="5"/>
  <c r="BM118" i="5"/>
  <c r="CI118" i="5" s="1"/>
  <c r="BQ118" i="5"/>
  <c r="BO118" i="5"/>
  <c r="BN118" i="5"/>
  <c r="BL118" i="5"/>
  <c r="CG118" i="5" s="1"/>
  <c r="BR118" i="5"/>
  <c r="CF118" i="5" s="1"/>
  <c r="AA118" i="5"/>
  <c r="BS67" i="12"/>
  <c r="CB68" i="12"/>
  <c r="BP118" i="5" l="1"/>
  <c r="CH118" i="5" s="1"/>
  <c r="W119" i="5"/>
  <c r="AC119" i="5"/>
  <c r="AZ119" i="5" s="1"/>
  <c r="AH119" i="5"/>
  <c r="BF119" i="5" s="1"/>
  <c r="Z119" i="5"/>
  <c r="BI119" i="5" s="1"/>
  <c r="AG119" i="5"/>
  <c r="BE119" i="5" s="1"/>
  <c r="AE119" i="5"/>
  <c r="BB119" i="5" s="1"/>
  <c r="AF119" i="5"/>
  <c r="BD119" i="5" s="1"/>
  <c r="X119" i="5"/>
  <c r="Y119" i="5"/>
  <c r="BG119" i="5" s="1"/>
  <c r="BK119" i="5" s="1"/>
  <c r="CK119" i="5" s="1"/>
  <c r="AB119" i="5"/>
  <c r="BH118" i="5"/>
  <c r="BJ118" i="5" s="1"/>
  <c r="CJ118" i="5" s="1"/>
  <c r="AD119" i="5"/>
  <c r="BA119" i="5" s="1"/>
  <c r="BS66" i="12"/>
  <c r="CB67" i="12"/>
  <c r="BC119" i="5" l="1"/>
  <c r="AX119" i="5"/>
  <c r="BN119" i="5"/>
  <c r="BL119" i="5"/>
  <c r="CG119" i="5" s="1"/>
  <c r="BQ119" i="5"/>
  <c r="BR119" i="5"/>
  <c r="CF119" i="5" s="1"/>
  <c r="AA119" i="5"/>
  <c r="BM119" i="5"/>
  <c r="CI119" i="5" s="1"/>
  <c r="BO119" i="5"/>
  <c r="CB66" i="12"/>
  <c r="BS65" i="12"/>
  <c r="BP119" i="5" l="1"/>
  <c r="CH119" i="5" s="1"/>
  <c r="BH119" i="5"/>
  <c r="BJ119" i="5" s="1"/>
  <c r="CJ119" i="5" s="1"/>
  <c r="AG120" i="5"/>
  <c r="BE120" i="5" s="1"/>
  <c r="AB120" i="5"/>
  <c r="AH120" i="5"/>
  <c r="BF120" i="5" s="1"/>
  <c r="W120" i="5"/>
  <c r="Z120" i="5"/>
  <c r="BI120" i="5" s="1"/>
  <c r="AE120" i="5"/>
  <c r="BB120" i="5" s="1"/>
  <c r="AF120" i="5"/>
  <c r="BD120" i="5" s="1"/>
  <c r="AC120" i="5"/>
  <c r="AZ120" i="5" s="1"/>
  <c r="AD120" i="5"/>
  <c r="BA120" i="5" s="1"/>
  <c r="X120" i="5"/>
  <c r="Y120" i="5"/>
  <c r="BG120" i="5" s="1"/>
  <c r="BK120" i="5" s="1"/>
  <c r="CB65" i="12"/>
  <c r="BS64" i="12"/>
  <c r="CK120" i="5" l="1"/>
  <c r="BL120" i="5"/>
  <c r="CG120" i="5" s="1"/>
  <c r="AA120" i="5"/>
  <c r="BR120" i="5"/>
  <c r="CF120" i="5" s="1"/>
  <c r="BO120" i="5"/>
  <c r="BN120" i="5"/>
  <c r="BQ120" i="5"/>
  <c r="BM120" i="5"/>
  <c r="CI120" i="5" s="1"/>
  <c r="AX120" i="5"/>
  <c r="BC120" i="5"/>
  <c r="BS63" i="12"/>
  <c r="CB64" i="12"/>
  <c r="AH121" i="5" l="1"/>
  <c r="BF121" i="5" s="1"/>
  <c r="Z121" i="5"/>
  <c r="BI121" i="5" s="1"/>
  <c r="AF121" i="5"/>
  <c r="BD121" i="5" s="1"/>
  <c r="AE121" i="5"/>
  <c r="BB121" i="5" s="1"/>
  <c r="X121" i="5"/>
  <c r="AC121" i="5"/>
  <c r="AZ121" i="5" s="1"/>
  <c r="AD121" i="5"/>
  <c r="BA121" i="5" s="1"/>
  <c r="Y121" i="5"/>
  <c r="BG121" i="5" s="1"/>
  <c r="BK121" i="5" s="1"/>
  <c r="AB121" i="5"/>
  <c r="BH120" i="5"/>
  <c r="BJ120" i="5" s="1"/>
  <c r="CJ120" i="5" s="1"/>
  <c r="W121" i="5"/>
  <c r="AG121" i="5"/>
  <c r="BE121" i="5" s="1"/>
  <c r="BP120" i="5"/>
  <c r="CH120" i="5" s="1"/>
  <c r="BS62" i="12"/>
  <c r="CB63" i="12"/>
  <c r="CK121" i="5" l="1"/>
  <c r="AX121" i="5"/>
  <c r="BC121" i="5"/>
  <c r="BO121" i="5"/>
  <c r="BL121" i="5"/>
  <c r="CG121" i="5" s="1"/>
  <c r="BN121" i="5"/>
  <c r="AA121" i="5"/>
  <c r="BQ121" i="5"/>
  <c r="BR121" i="5"/>
  <c r="CF121" i="5" s="1"/>
  <c r="BM121" i="5"/>
  <c r="CI121" i="5" s="1"/>
  <c r="CB62" i="12"/>
  <c r="BS61" i="12"/>
  <c r="Z122" i="5" l="1"/>
  <c r="BI122" i="5" s="1"/>
  <c r="AD122" i="5"/>
  <c r="BA122" i="5" s="1"/>
  <c r="W122" i="5"/>
  <c r="AC122" i="5"/>
  <c r="AZ122" i="5" s="1"/>
  <c r="AG122" i="5"/>
  <c r="BE122" i="5" s="1"/>
  <c r="AE122" i="5"/>
  <c r="BB122" i="5" s="1"/>
  <c r="AB122" i="5"/>
  <c r="BH121" i="5"/>
  <c r="BJ121" i="5" s="1"/>
  <c r="CJ121" i="5" s="1"/>
  <c r="X122" i="5"/>
  <c r="AH122" i="5"/>
  <c r="BF122" i="5" s="1"/>
  <c r="AF122" i="5"/>
  <c r="BD122" i="5" s="1"/>
  <c r="Y122" i="5"/>
  <c r="BG122" i="5" s="1"/>
  <c r="BK122" i="5" s="1"/>
  <c r="CK122" i="5" s="1"/>
  <c r="BP121" i="5"/>
  <c r="CH121" i="5" s="1"/>
  <c r="CB61" i="12"/>
  <c r="BS60" i="12"/>
  <c r="AX122" i="5" l="1"/>
  <c r="BC122" i="5"/>
  <c r="BL122" i="5"/>
  <c r="CG122" i="5" s="1"/>
  <c r="BQ122" i="5"/>
  <c r="BR122" i="5"/>
  <c r="CF122" i="5" s="1"/>
  <c r="BN122" i="5"/>
  <c r="BM122" i="5"/>
  <c r="CI122" i="5" s="1"/>
  <c r="BO122" i="5"/>
  <c r="AA122" i="5"/>
  <c r="CB60" i="12"/>
  <c r="BS59" i="12"/>
  <c r="BP122" i="5" l="1"/>
  <c r="CH122" i="5" s="1"/>
  <c r="AB123" i="5"/>
  <c r="AG123" i="5"/>
  <c r="BE123" i="5" s="1"/>
  <c r="AE123" i="5"/>
  <c r="BB123" i="5" s="1"/>
  <c r="AD123" i="5"/>
  <c r="BA123" i="5" s="1"/>
  <c r="Z123" i="5"/>
  <c r="BI123" i="5" s="1"/>
  <c r="AF123" i="5"/>
  <c r="BD123" i="5" s="1"/>
  <c r="BH122" i="5"/>
  <c r="BJ122" i="5" s="1"/>
  <c r="CJ122" i="5" s="1"/>
  <c r="W123" i="5"/>
  <c r="AH123" i="5"/>
  <c r="BF123" i="5" s="1"/>
  <c r="X123" i="5"/>
  <c r="Y123" i="5"/>
  <c r="BG123" i="5" s="1"/>
  <c r="BK123" i="5" s="1"/>
  <c r="CK123" i="5" s="1"/>
  <c r="AC123" i="5"/>
  <c r="AZ123" i="5" s="1"/>
  <c r="BS58" i="12"/>
  <c r="CB59" i="12"/>
  <c r="BL123" i="5" l="1"/>
  <c r="CG123" i="5" s="1"/>
  <c r="BN123" i="5"/>
  <c r="BM123" i="5"/>
  <c r="CI123" i="5" s="1"/>
  <c r="AA123" i="5"/>
  <c r="BR123" i="5"/>
  <c r="CF123" i="5" s="1"/>
  <c r="BO123" i="5"/>
  <c r="BQ123" i="5"/>
  <c r="BC123" i="5"/>
  <c r="AX123" i="5"/>
  <c r="BS57" i="12"/>
  <c r="CB58" i="12"/>
  <c r="BP123" i="5" l="1"/>
  <c r="CH123" i="5" s="1"/>
  <c r="Y124" i="5"/>
  <c r="BG124" i="5" s="1"/>
  <c r="BK124" i="5" s="1"/>
  <c r="AC124" i="5"/>
  <c r="AZ124" i="5" s="1"/>
  <c r="X124" i="5"/>
  <c r="W124" i="5"/>
  <c r="BH123" i="5"/>
  <c r="BJ123" i="5" s="1"/>
  <c r="CJ123" i="5" s="1"/>
  <c r="Z124" i="5"/>
  <c r="BI124" i="5" s="1"/>
  <c r="AB124" i="5"/>
  <c r="AG124" i="5"/>
  <c r="BE124" i="5" s="1"/>
  <c r="AE124" i="5"/>
  <c r="BB124" i="5" s="1"/>
  <c r="AD124" i="5"/>
  <c r="BA124" i="5" s="1"/>
  <c r="AH124" i="5"/>
  <c r="BF124" i="5" s="1"/>
  <c r="AF124" i="5"/>
  <c r="BD124" i="5" s="1"/>
  <c r="CB57" i="12"/>
  <c r="BS56" i="12"/>
  <c r="CK124" i="5" l="1"/>
  <c r="BO124" i="5"/>
  <c r="BQ124" i="5"/>
  <c r="BL124" i="5"/>
  <c r="CG124" i="5" s="1"/>
  <c r="BR124" i="5"/>
  <c r="CF124" i="5" s="1"/>
  <c r="BN124" i="5"/>
  <c r="AA124" i="5"/>
  <c r="BM124" i="5"/>
  <c r="CI124" i="5" s="1"/>
  <c r="AX124" i="5"/>
  <c r="BC124" i="5"/>
  <c r="BS55" i="12"/>
  <c r="CB56" i="12"/>
  <c r="BP124" i="5" l="1"/>
  <c r="CH124" i="5" s="1"/>
  <c r="AF125" i="5"/>
  <c r="BD125" i="5" s="1"/>
  <c r="Z125" i="5"/>
  <c r="BI125" i="5" s="1"/>
  <c r="BH124" i="5"/>
  <c r="BJ124" i="5" s="1"/>
  <c r="CJ124" i="5" s="1"/>
  <c r="AH125" i="5"/>
  <c r="BF125" i="5" s="1"/>
  <c r="X125" i="5"/>
  <c r="Y125" i="5"/>
  <c r="BG125" i="5" s="1"/>
  <c r="BK125" i="5" s="1"/>
  <c r="AC125" i="5"/>
  <c r="AZ125" i="5" s="1"/>
  <c r="AD125" i="5"/>
  <c r="BA125" i="5" s="1"/>
  <c r="AB125" i="5"/>
  <c r="AG125" i="5"/>
  <c r="BE125" i="5" s="1"/>
  <c r="W125" i="5"/>
  <c r="AE125" i="5"/>
  <c r="BB125" i="5" s="1"/>
  <c r="BS54" i="12"/>
  <c r="CB55" i="12"/>
  <c r="CK125" i="5" l="1"/>
  <c r="AX125" i="5"/>
  <c r="BC125" i="5"/>
  <c r="BQ125" i="5"/>
  <c r="BN125" i="5"/>
  <c r="BO125" i="5"/>
  <c r="BM125" i="5"/>
  <c r="CI125" i="5" s="1"/>
  <c r="BR125" i="5"/>
  <c r="CF125" i="5" s="1"/>
  <c r="AA125" i="5"/>
  <c r="BL125" i="5"/>
  <c r="CG125" i="5" s="1"/>
  <c r="CB54" i="12"/>
  <c r="BS53" i="12"/>
  <c r="AD126" i="5" l="1"/>
  <c r="BA126" i="5" s="1"/>
  <c r="Y126" i="5"/>
  <c r="BG126" i="5" s="1"/>
  <c r="BK126" i="5" s="1"/>
  <c r="AC126" i="5"/>
  <c r="AZ126" i="5" s="1"/>
  <c r="AF126" i="5"/>
  <c r="BD126" i="5" s="1"/>
  <c r="AE126" i="5"/>
  <c r="BB126" i="5" s="1"/>
  <c r="AB126" i="5"/>
  <c r="W126" i="5"/>
  <c r="AH126" i="5"/>
  <c r="BF126" i="5" s="1"/>
  <c r="Z126" i="5"/>
  <c r="BI126" i="5" s="1"/>
  <c r="X126" i="5"/>
  <c r="BH125" i="5"/>
  <c r="BJ125" i="5" s="1"/>
  <c r="CJ125" i="5" s="1"/>
  <c r="AG126" i="5"/>
  <c r="BE126" i="5" s="1"/>
  <c r="BP125" i="5"/>
  <c r="CH125" i="5" s="1"/>
  <c r="BS52" i="12"/>
  <c r="CB53" i="12"/>
  <c r="CK126" i="5" l="1"/>
  <c r="AX126" i="5"/>
  <c r="BC126" i="5"/>
  <c r="BO126" i="5"/>
  <c r="BR126" i="5"/>
  <c r="CF126" i="5" s="1"/>
  <c r="AA126" i="5"/>
  <c r="BL126" i="5"/>
  <c r="CG126" i="5" s="1"/>
  <c r="BQ126" i="5"/>
  <c r="BN126" i="5"/>
  <c r="BM126" i="5"/>
  <c r="CI126" i="5" s="1"/>
  <c r="CB52" i="12"/>
  <c r="BS51" i="12"/>
  <c r="Y127" i="5" l="1"/>
  <c r="BG127" i="5" s="1"/>
  <c r="BK127" i="5" s="1"/>
  <c r="AC127" i="5"/>
  <c r="AZ127" i="5" s="1"/>
  <c r="X127" i="5"/>
  <c r="AH127" i="5"/>
  <c r="BF127" i="5" s="1"/>
  <c r="W127" i="5"/>
  <c r="AB127" i="5"/>
  <c r="Z127" i="5"/>
  <c r="BI127" i="5" s="1"/>
  <c r="AG127" i="5"/>
  <c r="BE127" i="5" s="1"/>
  <c r="BH126" i="5"/>
  <c r="BJ126" i="5" s="1"/>
  <c r="CJ126" i="5" s="1"/>
  <c r="AE127" i="5"/>
  <c r="BB127" i="5" s="1"/>
  <c r="AF127" i="5"/>
  <c r="BD127" i="5" s="1"/>
  <c r="AD127" i="5"/>
  <c r="BA127" i="5" s="1"/>
  <c r="BP126" i="5"/>
  <c r="CH126" i="5" s="1"/>
  <c r="BS50" i="12"/>
  <c r="CB51" i="12"/>
  <c r="CK127" i="5" l="1"/>
  <c r="BC127" i="5"/>
  <c r="AX127" i="5"/>
  <c r="BO127" i="5"/>
  <c r="BQ127" i="5"/>
  <c r="BL127" i="5"/>
  <c r="CG127" i="5" s="1"/>
  <c r="BM127" i="5"/>
  <c r="CI127" i="5" s="1"/>
  <c r="BN127" i="5"/>
  <c r="AA127" i="5"/>
  <c r="BR127" i="5"/>
  <c r="CF127" i="5" s="1"/>
  <c r="BS49" i="12"/>
  <c r="CB50" i="12"/>
  <c r="Y128" i="5" l="1"/>
  <c r="BG128" i="5" s="1"/>
  <c r="BK128" i="5" s="1"/>
  <c r="X128" i="5"/>
  <c r="AB128" i="5"/>
  <c r="BH127" i="5"/>
  <c r="BJ127" i="5" s="1"/>
  <c r="CJ127" i="5" s="1"/>
  <c r="AC128" i="5"/>
  <c r="AZ128" i="5" s="1"/>
  <c r="AH128" i="5"/>
  <c r="BF128" i="5" s="1"/>
  <c r="AE128" i="5"/>
  <c r="BB128" i="5" s="1"/>
  <c r="W128" i="5"/>
  <c r="Z128" i="5"/>
  <c r="BI128" i="5" s="1"/>
  <c r="AF128" i="5"/>
  <c r="BD128" i="5" s="1"/>
  <c r="AG128" i="5"/>
  <c r="BE128" i="5" s="1"/>
  <c r="AD128" i="5"/>
  <c r="BA128" i="5" s="1"/>
  <c r="BP127" i="5"/>
  <c r="CH127" i="5" s="1"/>
  <c r="CB49" i="12"/>
  <c r="BS48" i="12"/>
  <c r="H13" i="12"/>
  <c r="I13" i="5"/>
  <c r="G13" i="12"/>
  <c r="CK128" i="5" l="1"/>
  <c r="BC128" i="5"/>
  <c r="AX128" i="5"/>
  <c r="BR128" i="5"/>
  <c r="CF128" i="5" s="1"/>
  <c r="BO128" i="5"/>
  <c r="BM128" i="5"/>
  <c r="CI128" i="5" s="1"/>
  <c r="AA128" i="5"/>
  <c r="BL128" i="5"/>
  <c r="CG128" i="5" s="1"/>
  <c r="BN128" i="5"/>
  <c r="BQ128" i="5"/>
  <c r="BS47" i="12"/>
  <c r="CB48" i="12"/>
  <c r="I13" i="12"/>
  <c r="BN13" i="12"/>
  <c r="BQ13" i="5"/>
  <c r="BO13" i="5"/>
  <c r="BP13" i="5" s="1"/>
  <c r="CH13" i="5" s="1"/>
  <c r="BP128" i="5" l="1"/>
  <c r="CH128" i="5" s="1"/>
  <c r="Y129" i="5"/>
  <c r="BG129" i="5" s="1"/>
  <c r="BK129" i="5" s="1"/>
  <c r="AG129" i="5"/>
  <c r="BE129" i="5" s="1"/>
  <c r="Z129" i="5"/>
  <c r="BI129" i="5" s="1"/>
  <c r="AE129" i="5"/>
  <c r="BB129" i="5" s="1"/>
  <c r="W129" i="5"/>
  <c r="AD129" i="5"/>
  <c r="BA129" i="5" s="1"/>
  <c r="AH129" i="5"/>
  <c r="BF129" i="5" s="1"/>
  <c r="AC129" i="5"/>
  <c r="AZ129" i="5" s="1"/>
  <c r="X129" i="5"/>
  <c r="AF129" i="5"/>
  <c r="BD129" i="5" s="1"/>
  <c r="AB129" i="5"/>
  <c r="BH128" i="5"/>
  <c r="BJ128" i="5" s="1"/>
  <c r="CJ128" i="5" s="1"/>
  <c r="CB47" i="12"/>
  <c r="BS46" i="12"/>
  <c r="BQ13" i="12"/>
  <c r="BZ13" i="12" s="1"/>
  <c r="BO13" i="12"/>
  <c r="BX13" i="12" s="1"/>
  <c r="BW13" i="12"/>
  <c r="CK129" i="5" l="1"/>
  <c r="BM129" i="5"/>
  <c r="CI129" i="5" s="1"/>
  <c r="BN129" i="5"/>
  <c r="BQ129" i="5"/>
  <c r="BL129" i="5"/>
  <c r="CG129" i="5" s="1"/>
  <c r="BR129" i="5"/>
  <c r="CF129" i="5" s="1"/>
  <c r="AA129" i="5"/>
  <c r="BO129" i="5"/>
  <c r="BC129" i="5"/>
  <c r="AX129" i="5"/>
  <c r="BP13" i="12"/>
  <c r="B49" i="21" s="1" a="1"/>
  <c r="CB46" i="12"/>
  <c r="BS45" i="12"/>
  <c r="Z130" i="5" l="1"/>
  <c r="BI130" i="5" s="1"/>
  <c r="AH130" i="5"/>
  <c r="BF130" i="5" s="1"/>
  <c r="Y130" i="5"/>
  <c r="BG130" i="5" s="1"/>
  <c r="BK130" i="5" s="1"/>
  <c r="X130" i="5"/>
  <c r="AE130" i="5"/>
  <c r="BB130" i="5" s="1"/>
  <c r="AG130" i="5"/>
  <c r="BE130" i="5" s="1"/>
  <c r="AB130" i="5"/>
  <c r="AC130" i="5"/>
  <c r="AZ130" i="5" s="1"/>
  <c r="AF130" i="5"/>
  <c r="BD130" i="5" s="1"/>
  <c r="AD130" i="5"/>
  <c r="BA130" i="5" s="1"/>
  <c r="BH129" i="5"/>
  <c r="BJ129" i="5" s="1"/>
  <c r="CJ129" i="5" s="1"/>
  <c r="W130" i="5"/>
  <c r="BP129" i="5"/>
  <c r="CH129" i="5" s="1"/>
  <c r="BY13" i="12"/>
  <c r="C49" i="21"/>
  <c r="EQ49" i="21"/>
  <c r="EB49" i="21"/>
  <c r="DC49" i="21"/>
  <c r="CD49" i="21"/>
  <c r="CK49" i="21"/>
  <c r="DH49" i="21"/>
  <c r="DV49" i="21"/>
  <c r="EM49" i="21"/>
  <c r="BN49" i="21"/>
  <c r="BY49" i="21"/>
  <c r="DJ49" i="21"/>
  <c r="DM49" i="21"/>
  <c r="FM49" i="21"/>
  <c r="CR49" i="21"/>
  <c r="B49" i="21"/>
  <c r="DK49" i="21"/>
  <c r="CU49" i="21"/>
  <c r="AN49" i="21"/>
  <c r="EV49" i="21"/>
  <c r="DL49" i="21"/>
  <c r="EJ49" i="21"/>
  <c r="BJ49" i="21"/>
  <c r="O49" i="21"/>
  <c r="FC49" i="21"/>
  <c r="EO49" i="21"/>
  <c r="DP49" i="21"/>
  <c r="CQ49" i="21"/>
  <c r="DA49" i="21"/>
  <c r="DX49" i="21"/>
  <c r="EL49" i="21"/>
  <c r="FG49" i="21"/>
  <c r="CT49" i="21"/>
  <c r="CX49" i="21"/>
  <c r="EU49" i="21"/>
  <c r="FJ49" i="21"/>
  <c r="AV49" i="21"/>
  <c r="EI49" i="21"/>
  <c r="AB49" i="21"/>
  <c r="Y49" i="21"/>
  <c r="P49" i="21"/>
  <c r="BW49" i="21"/>
  <c r="D49" i="21"/>
  <c r="FE49" i="21"/>
  <c r="G49" i="21"/>
  <c r="U49" i="21"/>
  <c r="CV49" i="21"/>
  <c r="CE49" i="21"/>
  <c r="AW49" i="21"/>
  <c r="AP49" i="21"/>
  <c r="BC49" i="21"/>
  <c r="T49" i="21"/>
  <c r="BV49" i="21"/>
  <c r="EH49" i="21"/>
  <c r="DG49" i="21"/>
  <c r="BP49" i="21"/>
  <c r="AQ49" i="21"/>
  <c r="AJ49" i="21"/>
  <c r="BG49" i="21"/>
  <c r="BU49" i="21"/>
  <c r="CM49" i="21"/>
  <c r="FT49" i="21"/>
  <c r="EY49" i="21"/>
  <c r="FK49" i="21"/>
  <c r="FI49" i="21"/>
  <c r="FS49" i="21"/>
  <c r="CY49" i="21"/>
  <c r="BX49" i="21"/>
  <c r="AA49" i="21"/>
  <c r="FO49" i="21"/>
  <c r="FB49" i="21"/>
  <c r="EC49" i="21"/>
  <c r="DD49" i="21"/>
  <c r="DU49" i="21"/>
  <c r="EN49" i="21"/>
  <c r="FF49" i="21"/>
  <c r="FW49" i="21"/>
  <c r="DY49" i="21"/>
  <c r="EA49" i="21"/>
  <c r="AE49" i="21"/>
  <c r="AH49" i="21"/>
  <c r="CH49" i="21"/>
  <c r="FY49" i="21"/>
  <c r="FD49" i="21"/>
  <c r="AO49" i="21"/>
  <c r="ER49" i="21"/>
  <c r="E49" i="21"/>
  <c r="AS49" i="21"/>
  <c r="FL49" i="21"/>
  <c r="X49" i="21"/>
  <c r="AC49" i="21"/>
  <c r="CI49" i="21"/>
  <c r="Q49" i="21"/>
  <c r="W49" i="21"/>
  <c r="BF49" i="21"/>
  <c r="DI49" i="21"/>
  <c r="CJ49" i="21"/>
  <c r="AD49" i="21"/>
  <c r="BE49" i="21"/>
  <c r="DZ49" i="21"/>
  <c r="EG49" i="21"/>
  <c r="CO49" i="21"/>
  <c r="AI49" i="21"/>
  <c r="DB49" i="21"/>
  <c r="DO49" i="21"/>
  <c r="CP49" i="21"/>
  <c r="BT49" i="21"/>
  <c r="DE49" i="21"/>
  <c r="AT49" i="21"/>
  <c r="DR49" i="21"/>
  <c r="ES49" i="21"/>
  <c r="AM49" i="21"/>
  <c r="N49" i="21"/>
  <c r="FP49" i="21"/>
  <c r="EP49" i="21"/>
  <c r="DQ49" i="21"/>
  <c r="EK49" i="21"/>
  <c r="FH49" i="21"/>
  <c r="FV49" i="21"/>
  <c r="S49" i="21"/>
  <c r="EX49" i="21"/>
  <c r="EZ49" i="21"/>
  <c r="BM49" i="21"/>
  <c r="CF49" i="21"/>
  <c r="EF49" i="21"/>
  <c r="J49" i="21"/>
  <c r="AY49" i="21"/>
  <c r="ED49" i="21"/>
  <c r="FA49" i="21"/>
  <c r="FX49" i="21"/>
  <c r="F49" i="21"/>
  <c r="AU49" i="21"/>
  <c r="L49" i="21"/>
  <c r="DN49" i="21"/>
  <c r="FN49" i="21"/>
  <c r="R49" i="21"/>
  <c r="BK49" i="21"/>
  <c r="FQ49" i="21"/>
  <c r="FU49" i="21"/>
  <c r="V49" i="21"/>
  <c r="BS49" i="21"/>
  <c r="AX49" i="21"/>
  <c r="EW49" i="21"/>
  <c r="H49" i="21"/>
  <c r="BB49" i="21"/>
  <c r="AL49" i="21"/>
  <c r="BR49" i="21"/>
  <c r="AF49" i="21"/>
  <c r="BH49" i="21"/>
  <c r="BI49" i="21"/>
  <c r="BO49" i="21"/>
  <c r="FR49" i="21"/>
  <c r="AK49" i="21"/>
  <c r="DT49" i="21"/>
  <c r="CW49" i="21"/>
  <c r="BZ49" i="21"/>
  <c r="CS49" i="21"/>
  <c r="ET49" i="21"/>
  <c r="CB49" i="21"/>
  <c r="DS49" i="21"/>
  <c r="CC49" i="21"/>
  <c r="BD49" i="21"/>
  <c r="BA49" i="21"/>
  <c r="CL49" i="21"/>
  <c r="DF49" i="21"/>
  <c r="K49" i="21"/>
  <c r="M49" i="21"/>
  <c r="Z49" i="21"/>
  <c r="AG49" i="21"/>
  <c r="CG49" i="21"/>
  <c r="I49" i="21"/>
  <c r="CZ49" i="21"/>
  <c r="EE49" i="21"/>
  <c r="BQ49" i="21"/>
  <c r="CN49" i="21"/>
  <c r="DW49" i="21"/>
  <c r="AR49" i="21"/>
  <c r="BL49" i="21"/>
  <c r="CA49" i="21"/>
  <c r="AZ49" i="21"/>
  <c r="CB45" i="12"/>
  <c r="BS44" i="12"/>
  <c r="CK130" i="5" l="1"/>
  <c r="BQ130" i="5"/>
  <c r="AA130" i="5"/>
  <c r="BR130" i="5"/>
  <c r="CF130" i="5" s="1"/>
  <c r="BO130" i="5"/>
  <c r="BM130" i="5"/>
  <c r="CI130" i="5" s="1"/>
  <c r="BL130" i="5"/>
  <c r="CG130" i="5" s="1"/>
  <c r="BN130" i="5"/>
  <c r="BC130" i="5"/>
  <c r="AX130" i="5"/>
  <c r="FY239" i="21"/>
  <c r="FY200" i="21"/>
  <c r="BS43" i="12"/>
  <c r="CB44" i="12"/>
  <c r="Y131" i="5" l="1"/>
  <c r="BG131" i="5" s="1"/>
  <c r="BK131" i="5" s="1"/>
  <c r="AB131" i="5"/>
  <c r="Z131" i="5"/>
  <c r="BI131" i="5" s="1"/>
  <c r="X131" i="5"/>
  <c r="BH130" i="5"/>
  <c r="BJ130" i="5" s="1"/>
  <c r="CJ130" i="5" s="1"/>
  <c r="AE131" i="5"/>
  <c r="BB131" i="5" s="1"/>
  <c r="AH131" i="5"/>
  <c r="BF131" i="5" s="1"/>
  <c r="AF131" i="5"/>
  <c r="BD131" i="5" s="1"/>
  <c r="AG131" i="5"/>
  <c r="BE131" i="5" s="1"/>
  <c r="AD131" i="5"/>
  <c r="BA131" i="5" s="1"/>
  <c r="AC131" i="5"/>
  <c r="AZ131" i="5" s="1"/>
  <c r="W131" i="5"/>
  <c r="BP130" i="5"/>
  <c r="CH130" i="5" s="1"/>
  <c r="FX200" i="21"/>
  <c r="FY208" i="21"/>
  <c r="FX239" i="21"/>
  <c r="FY247" i="21"/>
  <c r="CB43" i="12"/>
  <c r="BS42" i="12"/>
  <c r="CK131" i="5" l="1"/>
  <c r="BM131" i="5"/>
  <c r="CI131" i="5" s="1"/>
  <c r="BL131" i="5"/>
  <c r="CG131" i="5" s="1"/>
  <c r="BR131" i="5"/>
  <c r="CF131" i="5" s="1"/>
  <c r="BN131" i="5"/>
  <c r="AA131" i="5"/>
  <c r="BQ131" i="5"/>
  <c r="BO131" i="5"/>
  <c r="BC131" i="5"/>
  <c r="AX131" i="5"/>
  <c r="FW239" i="21"/>
  <c r="FX247" i="21"/>
  <c r="FW200" i="21"/>
  <c r="FX208" i="21"/>
  <c r="CB42" i="12"/>
  <c r="BS41" i="12"/>
  <c r="Y132" i="5" l="1"/>
  <c r="BG132" i="5" s="1"/>
  <c r="BK132" i="5" s="1"/>
  <c r="AG132" i="5"/>
  <c r="BE132" i="5" s="1"/>
  <c r="Z132" i="5"/>
  <c r="BI132" i="5" s="1"/>
  <c r="X132" i="5"/>
  <c r="AE132" i="5"/>
  <c r="BB132" i="5" s="1"/>
  <c r="AH132" i="5"/>
  <c r="BF132" i="5" s="1"/>
  <c r="BH131" i="5"/>
  <c r="BJ131" i="5" s="1"/>
  <c r="CJ131" i="5" s="1"/>
  <c r="W132" i="5"/>
  <c r="AB132" i="5"/>
  <c r="AC132" i="5"/>
  <c r="AZ132" i="5" s="1"/>
  <c r="AD132" i="5"/>
  <c r="BA132" i="5" s="1"/>
  <c r="AF132" i="5"/>
  <c r="BD132" i="5" s="1"/>
  <c r="BP131" i="5"/>
  <c r="CH131" i="5" s="1"/>
  <c r="FV200" i="21"/>
  <c r="FW208" i="21"/>
  <c r="FV239" i="21"/>
  <c r="FW247" i="21"/>
  <c r="CB41" i="12"/>
  <c r="BS40" i="12"/>
  <c r="CK132" i="5" l="1"/>
  <c r="AX132" i="5"/>
  <c r="BC132" i="5"/>
  <c r="BL132" i="5"/>
  <c r="CG132" i="5" s="1"/>
  <c r="BO132" i="5"/>
  <c r="BR132" i="5"/>
  <c r="CF132" i="5" s="1"/>
  <c r="BM132" i="5"/>
  <c r="CI132" i="5" s="1"/>
  <c r="BN132" i="5"/>
  <c r="AA132" i="5"/>
  <c r="BQ132" i="5"/>
  <c r="FU239" i="21"/>
  <c r="FV247" i="21"/>
  <c r="FU200" i="21"/>
  <c r="FV208" i="21"/>
  <c r="BS39" i="12"/>
  <c r="CB40" i="12"/>
  <c r="W133" i="5" l="1"/>
  <c r="AD133" i="5"/>
  <c r="BA133" i="5" s="1"/>
  <c r="AB133" i="5"/>
  <c r="AG133" i="5"/>
  <c r="BE133" i="5" s="1"/>
  <c r="BH132" i="5"/>
  <c r="BJ132" i="5" s="1"/>
  <c r="CJ132" i="5" s="1"/>
  <c r="AF133" i="5"/>
  <c r="BD133" i="5" s="1"/>
  <c r="AC133" i="5"/>
  <c r="AZ133" i="5" s="1"/>
  <c r="Z133" i="5"/>
  <c r="BI133" i="5" s="1"/>
  <c r="X133" i="5"/>
  <c r="AE133" i="5"/>
  <c r="BB133" i="5" s="1"/>
  <c r="Y133" i="5"/>
  <c r="BG133" i="5" s="1"/>
  <c r="BK133" i="5" s="1"/>
  <c r="CK133" i="5" s="1"/>
  <c r="AH133" i="5"/>
  <c r="BF133" i="5" s="1"/>
  <c r="BP132" i="5"/>
  <c r="CH132" i="5" s="1"/>
  <c r="FT200" i="21"/>
  <c r="FU208" i="21"/>
  <c r="FT239" i="21"/>
  <c r="FU247" i="21"/>
  <c r="BS38" i="12"/>
  <c r="CB39" i="12"/>
  <c r="BL133" i="5" l="1"/>
  <c r="CG133" i="5" s="1"/>
  <c r="BO133" i="5"/>
  <c r="BQ133" i="5"/>
  <c r="BM133" i="5"/>
  <c r="CI133" i="5" s="1"/>
  <c r="AA133" i="5"/>
  <c r="BN133" i="5"/>
  <c r="BR133" i="5"/>
  <c r="CF133" i="5" s="1"/>
  <c r="AX133" i="5"/>
  <c r="BC133" i="5"/>
  <c r="FS239" i="21"/>
  <c r="FT247" i="21"/>
  <c r="FS200" i="21"/>
  <c r="FT208" i="21"/>
  <c r="CB38" i="12"/>
  <c r="BS37" i="12"/>
  <c r="BH133" i="5" l="1"/>
  <c r="BJ133" i="5" s="1"/>
  <c r="CJ133" i="5" s="1"/>
  <c r="AD134" i="5"/>
  <c r="BA134" i="5" s="1"/>
  <c r="Z134" i="5"/>
  <c r="BI134" i="5" s="1"/>
  <c r="AG134" i="5"/>
  <c r="BE134" i="5" s="1"/>
  <c r="AC134" i="5"/>
  <c r="AZ134" i="5" s="1"/>
  <c r="X134" i="5"/>
  <c r="AB134" i="5"/>
  <c r="AF134" i="5"/>
  <c r="BD134" i="5" s="1"/>
  <c r="AE134" i="5"/>
  <c r="BB134" i="5" s="1"/>
  <c r="W134" i="5"/>
  <c r="AH134" i="5"/>
  <c r="BF134" i="5" s="1"/>
  <c r="Y134" i="5"/>
  <c r="BG134" i="5" s="1"/>
  <c r="BK134" i="5" s="1"/>
  <c r="BP133" i="5"/>
  <c r="CH133" i="5" s="1"/>
  <c r="FR200" i="21"/>
  <c r="FS208" i="21"/>
  <c r="FR239" i="21"/>
  <c r="FS247" i="21"/>
  <c r="CB37" i="12"/>
  <c r="BS36" i="12"/>
  <c r="CK134" i="5" l="1"/>
  <c r="BC134" i="5"/>
  <c r="AX134" i="5"/>
  <c r="BN134" i="5"/>
  <c r="BQ134" i="5"/>
  <c r="BL134" i="5"/>
  <c r="CG134" i="5" s="1"/>
  <c r="BR134" i="5"/>
  <c r="CF134" i="5" s="1"/>
  <c r="AA134" i="5"/>
  <c r="BO134" i="5"/>
  <c r="BM134" i="5"/>
  <c r="CI134" i="5" s="1"/>
  <c r="FQ239" i="21"/>
  <c r="FR247" i="21"/>
  <c r="FQ200" i="21"/>
  <c r="FR208" i="21"/>
  <c r="CB36" i="12"/>
  <c r="BS35" i="12"/>
  <c r="BP134" i="5" l="1"/>
  <c r="CH134" i="5" s="1"/>
  <c r="W135" i="5"/>
  <c r="AC135" i="5"/>
  <c r="AZ135" i="5" s="1"/>
  <c r="Y135" i="5"/>
  <c r="BG135" i="5" s="1"/>
  <c r="BK135" i="5" s="1"/>
  <c r="CK135" i="5" s="1"/>
  <c r="Z135" i="5"/>
  <c r="BI135" i="5" s="1"/>
  <c r="X135" i="5"/>
  <c r="AB135" i="5"/>
  <c r="AF135" i="5"/>
  <c r="BD135" i="5" s="1"/>
  <c r="AD135" i="5"/>
  <c r="BA135" i="5" s="1"/>
  <c r="AE135" i="5"/>
  <c r="BB135" i="5" s="1"/>
  <c r="BH134" i="5"/>
  <c r="BJ134" i="5" s="1"/>
  <c r="CJ134" i="5" s="1"/>
  <c r="AG135" i="5"/>
  <c r="BE135" i="5" s="1"/>
  <c r="AH135" i="5"/>
  <c r="BF135" i="5" s="1"/>
  <c r="FP200" i="21"/>
  <c r="FQ208" i="21"/>
  <c r="FP239" i="21"/>
  <c r="FQ247" i="21"/>
  <c r="CB35" i="12"/>
  <c r="BS34" i="12"/>
  <c r="AA135" i="5" l="1"/>
  <c r="BN135" i="5"/>
  <c r="BL135" i="5"/>
  <c r="CG135" i="5" s="1"/>
  <c r="BQ135" i="5"/>
  <c r="BM135" i="5"/>
  <c r="CI135" i="5" s="1"/>
  <c r="BO135" i="5"/>
  <c r="BR135" i="5"/>
  <c r="CF135" i="5" s="1"/>
  <c r="BC135" i="5"/>
  <c r="AX135" i="5"/>
  <c r="FO239" i="21"/>
  <c r="FP247" i="21"/>
  <c r="FO200" i="21"/>
  <c r="FP208" i="21"/>
  <c r="CB34" i="12"/>
  <c r="BS33" i="12"/>
  <c r="BH135" i="5" l="1"/>
  <c r="BJ135" i="5" s="1"/>
  <c r="CJ135" i="5" s="1"/>
  <c r="AC136" i="5"/>
  <c r="AZ136" i="5" s="1"/>
  <c r="Z136" i="5"/>
  <c r="BI136" i="5" s="1"/>
  <c r="AE136" i="5"/>
  <c r="BB136" i="5" s="1"/>
  <c r="AH136" i="5"/>
  <c r="BF136" i="5" s="1"/>
  <c r="AD136" i="5"/>
  <c r="BA136" i="5" s="1"/>
  <c r="Y136" i="5"/>
  <c r="BG136" i="5" s="1"/>
  <c r="BK136" i="5" s="1"/>
  <c r="AF136" i="5"/>
  <c r="BD136" i="5" s="1"/>
  <c r="AB136" i="5"/>
  <c r="X136" i="5"/>
  <c r="AG136" i="5"/>
  <c r="BE136" i="5" s="1"/>
  <c r="W136" i="5"/>
  <c r="BP135" i="5"/>
  <c r="CH135" i="5" s="1"/>
  <c r="FN200" i="21"/>
  <c r="FO208" i="21"/>
  <c r="FN239" i="21"/>
  <c r="FO247" i="21"/>
  <c r="CB33" i="12"/>
  <c r="BS32" i="12"/>
  <c r="CK136" i="5" l="1"/>
  <c r="AX136" i="5"/>
  <c r="BC136" i="5"/>
  <c r="BN136" i="5"/>
  <c r="BR136" i="5"/>
  <c r="CF136" i="5" s="1"/>
  <c r="BQ136" i="5"/>
  <c r="BM136" i="5"/>
  <c r="CI136" i="5" s="1"/>
  <c r="BO136" i="5"/>
  <c r="AA136" i="5"/>
  <c r="BL136" i="5"/>
  <c r="CG136" i="5" s="1"/>
  <c r="FM239" i="21"/>
  <c r="FN247" i="21"/>
  <c r="FM200" i="21"/>
  <c r="FN208" i="21"/>
  <c r="BS31" i="12"/>
  <c r="CB32" i="12"/>
  <c r="Y137" i="5" l="1"/>
  <c r="BG137" i="5" s="1"/>
  <c r="BK137" i="5" s="1"/>
  <c r="AC137" i="5"/>
  <c r="AZ137" i="5" s="1"/>
  <c r="BH136" i="5"/>
  <c r="BJ136" i="5" s="1"/>
  <c r="CJ136" i="5" s="1"/>
  <c r="X137" i="5"/>
  <c r="AB137" i="5"/>
  <c r="W137" i="5"/>
  <c r="AD137" i="5"/>
  <c r="BA137" i="5" s="1"/>
  <c r="AH137" i="5"/>
  <c r="BF137" i="5" s="1"/>
  <c r="Z137" i="5"/>
  <c r="BI137" i="5" s="1"/>
  <c r="AE137" i="5"/>
  <c r="BB137" i="5" s="1"/>
  <c r="AG137" i="5"/>
  <c r="BE137" i="5" s="1"/>
  <c r="AF137" i="5"/>
  <c r="BD137" i="5" s="1"/>
  <c r="BP136" i="5"/>
  <c r="CH136" i="5" s="1"/>
  <c r="FL200" i="21"/>
  <c r="FM208" i="21"/>
  <c r="FL239" i="21"/>
  <c r="FM247" i="21"/>
  <c r="BS30" i="12"/>
  <c r="CB31" i="12"/>
  <c r="CK137" i="5" l="1"/>
  <c r="BR137" i="5"/>
  <c r="CF137" i="5" s="1"/>
  <c r="AA137" i="5"/>
  <c r="BN137" i="5"/>
  <c r="BO137" i="5"/>
  <c r="BM137" i="5"/>
  <c r="CI137" i="5" s="1"/>
  <c r="BL137" i="5"/>
  <c r="CG137" i="5" s="1"/>
  <c r="BQ137" i="5"/>
  <c r="AX137" i="5"/>
  <c r="BC137" i="5"/>
  <c r="FK239" i="21"/>
  <c r="FL247" i="21"/>
  <c r="FK200" i="21"/>
  <c r="FL208" i="21"/>
  <c r="BS29" i="12"/>
  <c r="CB30" i="12"/>
  <c r="BP137" i="5" l="1"/>
  <c r="CH137" i="5" s="1"/>
  <c r="BH137" i="5"/>
  <c r="BJ137" i="5" s="1"/>
  <c r="CJ137" i="5" s="1"/>
  <c r="AG138" i="5"/>
  <c r="BE138" i="5" s="1"/>
  <c r="X138" i="5"/>
  <c r="AF138" i="5"/>
  <c r="BD138" i="5" s="1"/>
  <c r="AH138" i="5"/>
  <c r="BF138" i="5" s="1"/>
  <c r="W138" i="5"/>
  <c r="AD138" i="5"/>
  <c r="BA138" i="5" s="1"/>
  <c r="Z138" i="5"/>
  <c r="BI138" i="5" s="1"/>
  <c r="AE138" i="5"/>
  <c r="BB138" i="5" s="1"/>
  <c r="AC138" i="5"/>
  <c r="AZ138" i="5" s="1"/>
  <c r="AB138" i="5"/>
  <c r="Y138" i="5"/>
  <c r="BG138" i="5" s="1"/>
  <c r="BK138" i="5" s="1"/>
  <c r="FJ200" i="21"/>
  <c r="FK208" i="21"/>
  <c r="FJ239" i="21"/>
  <c r="FK247" i="21"/>
  <c r="CB29" i="12"/>
  <c r="BS28" i="12"/>
  <c r="CK138" i="5" l="1"/>
  <c r="BC138" i="5"/>
  <c r="AX138" i="5"/>
  <c r="BL138" i="5"/>
  <c r="CG138" i="5" s="1"/>
  <c r="BN138" i="5"/>
  <c r="BQ138" i="5"/>
  <c r="BR138" i="5"/>
  <c r="CF138" i="5" s="1"/>
  <c r="AA138" i="5"/>
  <c r="BM138" i="5"/>
  <c r="CI138" i="5" s="1"/>
  <c r="BO138" i="5"/>
  <c r="FI239" i="21"/>
  <c r="FJ247" i="21"/>
  <c r="FI200" i="21"/>
  <c r="FJ208" i="21"/>
  <c r="CB28" i="12"/>
  <c r="BS27" i="12"/>
  <c r="BH138" i="5" l="1"/>
  <c r="BJ138" i="5" s="1"/>
  <c r="CJ138" i="5" s="1"/>
  <c r="AF139" i="5"/>
  <c r="BD139" i="5" s="1"/>
  <c r="Z139" i="5"/>
  <c r="BI139" i="5" s="1"/>
  <c r="AH139" i="5"/>
  <c r="BF139" i="5" s="1"/>
  <c r="AD139" i="5"/>
  <c r="BA139" i="5" s="1"/>
  <c r="AB139" i="5"/>
  <c r="X139" i="5"/>
  <c r="AG139" i="5"/>
  <c r="BE139" i="5" s="1"/>
  <c r="AE139" i="5"/>
  <c r="BB139" i="5" s="1"/>
  <c r="Y139" i="5"/>
  <c r="BG139" i="5" s="1"/>
  <c r="BK139" i="5" s="1"/>
  <c r="AC139" i="5"/>
  <c r="AZ139" i="5" s="1"/>
  <c r="W139" i="5"/>
  <c r="BP138" i="5"/>
  <c r="CH138" i="5" s="1"/>
  <c r="FH200" i="21"/>
  <c r="FI208" i="21"/>
  <c r="FH239" i="21"/>
  <c r="FI247" i="21"/>
  <c r="CB27" i="12"/>
  <c r="BS26" i="12"/>
  <c r="CK139" i="5" l="1"/>
  <c r="BC139" i="5"/>
  <c r="AX139" i="5"/>
  <c r="BN139" i="5"/>
  <c r="BL139" i="5"/>
  <c r="CG139" i="5" s="1"/>
  <c r="AA139" i="5"/>
  <c r="BM139" i="5"/>
  <c r="CI139" i="5" s="1"/>
  <c r="BQ139" i="5"/>
  <c r="BO139" i="5"/>
  <c r="BR139" i="5"/>
  <c r="CF139" i="5" s="1"/>
  <c r="FG239" i="21"/>
  <c r="FH247" i="21"/>
  <c r="FG200" i="21"/>
  <c r="FH208" i="21"/>
  <c r="CB26" i="12"/>
  <c r="BS25" i="12"/>
  <c r="BP139" i="5" l="1"/>
  <c r="CH139" i="5" s="1"/>
  <c r="Z140" i="5"/>
  <c r="BI140" i="5" s="1"/>
  <c r="AH140" i="5"/>
  <c r="BF140" i="5" s="1"/>
  <c r="AC140" i="5"/>
  <c r="AZ140" i="5" s="1"/>
  <c r="Y140" i="5"/>
  <c r="BG140" i="5" s="1"/>
  <c r="BK140" i="5" s="1"/>
  <c r="AE140" i="5"/>
  <c r="BB140" i="5" s="1"/>
  <c r="AB140" i="5"/>
  <c r="AF140" i="5"/>
  <c r="BD140" i="5" s="1"/>
  <c r="AG140" i="5"/>
  <c r="BE140" i="5" s="1"/>
  <c r="W140" i="5"/>
  <c r="AD140" i="5"/>
  <c r="BA140" i="5" s="1"/>
  <c r="BH139" i="5"/>
  <c r="BJ139" i="5" s="1"/>
  <c r="CJ139" i="5" s="1"/>
  <c r="X140" i="5"/>
  <c r="FF200" i="21"/>
  <c r="FG208" i="21"/>
  <c r="FF239" i="21"/>
  <c r="FG247" i="21"/>
  <c r="CB25" i="12"/>
  <c r="BS24" i="12"/>
  <c r="CK140" i="5" l="1"/>
  <c r="AX140" i="5"/>
  <c r="BC140" i="5"/>
  <c r="BN140" i="5"/>
  <c r="BQ140" i="5"/>
  <c r="AA140" i="5"/>
  <c r="BR140" i="5"/>
  <c r="CF140" i="5" s="1"/>
  <c r="BO140" i="5"/>
  <c r="BM140" i="5"/>
  <c r="CI140" i="5" s="1"/>
  <c r="BL140" i="5"/>
  <c r="CG140" i="5" s="1"/>
  <c r="FE239" i="21"/>
  <c r="FF247" i="21"/>
  <c r="FE200" i="21"/>
  <c r="FF208" i="21"/>
  <c r="BS23" i="12"/>
  <c r="CB24" i="12"/>
  <c r="Y141" i="5" l="1"/>
  <c r="BG141" i="5" s="1"/>
  <c r="BK141" i="5" s="1"/>
  <c r="AF141" i="5"/>
  <c r="BD141" i="5" s="1"/>
  <c r="X141" i="5"/>
  <c r="AE141" i="5"/>
  <c r="BB141" i="5" s="1"/>
  <c r="Z141" i="5"/>
  <c r="BI141" i="5" s="1"/>
  <c r="AB141" i="5"/>
  <c r="W141" i="5"/>
  <c r="AH141" i="5"/>
  <c r="BF141" i="5" s="1"/>
  <c r="AG141" i="5"/>
  <c r="BE141" i="5" s="1"/>
  <c r="BH140" i="5"/>
  <c r="BJ140" i="5" s="1"/>
  <c r="CJ140" i="5" s="1"/>
  <c r="AD141" i="5"/>
  <c r="BA141" i="5" s="1"/>
  <c r="AC141" i="5"/>
  <c r="AZ141" i="5" s="1"/>
  <c r="BP140" i="5"/>
  <c r="CH140" i="5" s="1"/>
  <c r="FD200" i="21"/>
  <c r="FE208" i="21"/>
  <c r="FD239" i="21"/>
  <c r="FE247" i="21"/>
  <c r="CB23" i="12"/>
  <c r="BS22" i="12"/>
  <c r="CK141" i="5" l="1"/>
  <c r="BC141" i="5"/>
  <c r="AX141" i="5"/>
  <c r="BN141" i="5"/>
  <c r="AA141" i="5"/>
  <c r="BL141" i="5"/>
  <c r="CG141" i="5" s="1"/>
  <c r="BM141" i="5"/>
  <c r="CI141" i="5" s="1"/>
  <c r="BQ141" i="5"/>
  <c r="BO141" i="5"/>
  <c r="BR141" i="5"/>
  <c r="CF141" i="5" s="1"/>
  <c r="FC239" i="21"/>
  <c r="FD247" i="21"/>
  <c r="FC200" i="21"/>
  <c r="FD208" i="21"/>
  <c r="CB22" i="12"/>
  <c r="BS21" i="12"/>
  <c r="BP141" i="5" l="1"/>
  <c r="CH141" i="5" s="1"/>
  <c r="Y142" i="5"/>
  <c r="BG142" i="5" s="1"/>
  <c r="BK142" i="5" s="1"/>
  <c r="AB142" i="5"/>
  <c r="AH142" i="5"/>
  <c r="BF142" i="5" s="1"/>
  <c r="AD142" i="5"/>
  <c r="BA142" i="5" s="1"/>
  <c r="Z142" i="5"/>
  <c r="BI142" i="5" s="1"/>
  <c r="X142" i="5"/>
  <c r="AE142" i="5"/>
  <c r="BB142" i="5" s="1"/>
  <c r="AG142" i="5"/>
  <c r="BE142" i="5" s="1"/>
  <c r="W142" i="5"/>
  <c r="AF142" i="5"/>
  <c r="BD142" i="5" s="1"/>
  <c r="AC142" i="5"/>
  <c r="AZ142" i="5" s="1"/>
  <c r="BH141" i="5"/>
  <c r="BJ141" i="5" s="1"/>
  <c r="CJ141" i="5" s="1"/>
  <c r="FB200" i="21"/>
  <c r="FC208" i="21"/>
  <c r="FB239" i="21"/>
  <c r="FC247" i="21"/>
  <c r="CB21" i="12"/>
  <c r="BS20" i="12"/>
  <c r="CK142" i="5" l="1"/>
  <c r="BC142" i="5"/>
  <c r="AX142" i="5"/>
  <c r="BO142" i="5"/>
  <c r="BM142" i="5"/>
  <c r="CI142" i="5" s="1"/>
  <c r="AA142" i="5"/>
  <c r="BQ142" i="5"/>
  <c r="BR142" i="5"/>
  <c r="CF142" i="5" s="1"/>
  <c r="BN142" i="5"/>
  <c r="BL142" i="5"/>
  <c r="CG142" i="5" s="1"/>
  <c r="FA239" i="21"/>
  <c r="FB247" i="21"/>
  <c r="FA200" i="21"/>
  <c r="FB208" i="21"/>
  <c r="CB20" i="12"/>
  <c r="BS19" i="12"/>
  <c r="BH142" i="5" l="1"/>
  <c r="BJ142" i="5" s="1"/>
  <c r="CJ142" i="5" s="1"/>
  <c r="AH143" i="5"/>
  <c r="BF143" i="5" s="1"/>
  <c r="AB143" i="5"/>
  <c r="X143" i="5"/>
  <c r="AE143" i="5"/>
  <c r="BB143" i="5" s="1"/>
  <c r="AD143" i="5"/>
  <c r="BA143" i="5" s="1"/>
  <c r="AF143" i="5"/>
  <c r="BD143" i="5" s="1"/>
  <c r="Y143" i="5"/>
  <c r="BG143" i="5" s="1"/>
  <c r="BK143" i="5" s="1"/>
  <c r="Z143" i="5"/>
  <c r="BI143" i="5" s="1"/>
  <c r="AC143" i="5"/>
  <c r="AZ143" i="5" s="1"/>
  <c r="AG143" i="5"/>
  <c r="BE143" i="5" s="1"/>
  <c r="W143" i="5"/>
  <c r="BP142" i="5"/>
  <c r="CH142" i="5" s="1"/>
  <c r="EZ200" i="21"/>
  <c r="FA208" i="21"/>
  <c r="EZ239" i="21"/>
  <c r="FA247" i="21"/>
  <c r="CB19" i="12"/>
  <c r="BS18" i="12"/>
  <c r="CK143" i="5" l="1"/>
  <c r="BM143" i="5"/>
  <c r="CI143" i="5" s="1"/>
  <c r="AA143" i="5"/>
  <c r="BN143" i="5"/>
  <c r="BO143" i="5"/>
  <c r="BR143" i="5"/>
  <c r="CF143" i="5" s="1"/>
  <c r="BL143" i="5"/>
  <c r="CG143" i="5" s="1"/>
  <c r="BQ143" i="5"/>
  <c r="BC143" i="5"/>
  <c r="AX143" i="5"/>
  <c r="EY239" i="21"/>
  <c r="EZ247" i="21"/>
  <c r="EY200" i="21"/>
  <c r="EZ208" i="21"/>
  <c r="BS17" i="12"/>
  <c r="CB18" i="12"/>
  <c r="BP143" i="5" l="1"/>
  <c r="CH143" i="5" s="1"/>
  <c r="Y144" i="5"/>
  <c r="BG144" i="5" s="1"/>
  <c r="BK144" i="5" s="1"/>
  <c r="AD144" i="5"/>
  <c r="BA144" i="5" s="1"/>
  <c r="Z144" i="5"/>
  <c r="BI144" i="5" s="1"/>
  <c r="X144" i="5"/>
  <c r="AE144" i="5"/>
  <c r="BB144" i="5" s="1"/>
  <c r="AG144" i="5"/>
  <c r="BE144" i="5" s="1"/>
  <c r="BH143" i="5"/>
  <c r="BJ143" i="5" s="1"/>
  <c r="CJ143" i="5" s="1"/>
  <c r="AC144" i="5"/>
  <c r="AZ144" i="5" s="1"/>
  <c r="AB144" i="5"/>
  <c r="W144" i="5"/>
  <c r="AF144" i="5"/>
  <c r="BD144" i="5" s="1"/>
  <c r="AH144" i="5"/>
  <c r="BF144" i="5" s="1"/>
  <c r="EX200" i="21"/>
  <c r="EY208" i="21"/>
  <c r="EX239" i="21"/>
  <c r="EY247" i="21"/>
  <c r="BS16" i="12"/>
  <c r="CB17" i="12"/>
  <c r="CK144" i="5" l="1"/>
  <c r="AX144" i="5"/>
  <c r="BC144" i="5"/>
  <c r="BR144" i="5"/>
  <c r="CF144" i="5" s="1"/>
  <c r="BN144" i="5"/>
  <c r="AA144" i="5"/>
  <c r="BQ144" i="5"/>
  <c r="BO144" i="5"/>
  <c r="BL144" i="5"/>
  <c r="CG144" i="5" s="1"/>
  <c r="BM144" i="5"/>
  <c r="CI144" i="5" s="1"/>
  <c r="EW239" i="21"/>
  <c r="EX247" i="21"/>
  <c r="EW200" i="21"/>
  <c r="EX208" i="21"/>
  <c r="BS15" i="12"/>
  <c r="CB16" i="12"/>
  <c r="Z145" i="5" l="1"/>
  <c r="BI145" i="5" s="1"/>
  <c r="AH145" i="5"/>
  <c r="BF145" i="5" s="1"/>
  <c r="AB145" i="5"/>
  <c r="BH144" i="5"/>
  <c r="BJ144" i="5" s="1"/>
  <c r="CJ144" i="5" s="1"/>
  <c r="AE145" i="5"/>
  <c r="BB145" i="5" s="1"/>
  <c r="Y145" i="5"/>
  <c r="BG145" i="5" s="1"/>
  <c r="BK145" i="5" s="1"/>
  <c r="X145" i="5"/>
  <c r="AF145" i="5"/>
  <c r="BD145" i="5" s="1"/>
  <c r="AC145" i="5"/>
  <c r="AZ145" i="5" s="1"/>
  <c r="W145" i="5"/>
  <c r="AD145" i="5"/>
  <c r="BA145" i="5" s="1"/>
  <c r="AG145" i="5"/>
  <c r="BE145" i="5" s="1"/>
  <c r="BP144" i="5"/>
  <c r="CH144" i="5" s="1"/>
  <c r="EV200" i="21"/>
  <c r="EW208" i="21"/>
  <c r="EV239" i="21"/>
  <c r="EW247" i="21"/>
  <c r="BS14" i="12"/>
  <c r="CB15" i="12"/>
  <c r="CK145" i="5" l="1"/>
  <c r="AA145" i="5"/>
  <c r="BM145" i="5"/>
  <c r="CI145" i="5" s="1"/>
  <c r="BR145" i="5"/>
  <c r="CF145" i="5" s="1"/>
  <c r="BO145" i="5"/>
  <c r="BL145" i="5"/>
  <c r="CG145" i="5" s="1"/>
  <c r="BQ145" i="5"/>
  <c r="BN145" i="5"/>
  <c r="BC145" i="5"/>
  <c r="AX145" i="5"/>
  <c r="EU239" i="21"/>
  <c r="EV247" i="21"/>
  <c r="EU200" i="21"/>
  <c r="EV208" i="21"/>
  <c r="CB14" i="12"/>
  <c r="BS13" i="12"/>
  <c r="CB13" i="12" l="1"/>
  <c r="BP145" i="5"/>
  <c r="CH145" i="5" s="1"/>
  <c r="Y146" i="5"/>
  <c r="BG146" i="5" s="1"/>
  <c r="BK146" i="5" s="1"/>
  <c r="AB146" i="5"/>
  <c r="AH146" i="5"/>
  <c r="BF146" i="5" s="1"/>
  <c r="AG146" i="5"/>
  <c r="BE146" i="5" s="1"/>
  <c r="BH145" i="5"/>
  <c r="BJ145" i="5" s="1"/>
  <c r="CJ145" i="5" s="1"/>
  <c r="X146" i="5"/>
  <c r="Z146" i="5"/>
  <c r="BI146" i="5" s="1"/>
  <c r="AE146" i="5"/>
  <c r="BB146" i="5" s="1"/>
  <c r="AD146" i="5"/>
  <c r="BA146" i="5" s="1"/>
  <c r="AF146" i="5"/>
  <c r="BD146" i="5" s="1"/>
  <c r="W146" i="5"/>
  <c r="AC146" i="5"/>
  <c r="AZ146" i="5" s="1"/>
  <c r="ET200" i="21"/>
  <c r="EU208" i="21"/>
  <c r="ET239" i="21"/>
  <c r="EU247" i="21"/>
  <c r="CK146" i="5" l="1"/>
  <c r="BR146" i="5"/>
  <c r="CF146" i="5" s="1"/>
  <c r="BQ146" i="5"/>
  <c r="BN146" i="5"/>
  <c r="AA146" i="5"/>
  <c r="BM146" i="5"/>
  <c r="CI146" i="5" s="1"/>
  <c r="BL146" i="5"/>
  <c r="CG146" i="5" s="1"/>
  <c r="BO146" i="5"/>
  <c r="BC146" i="5"/>
  <c r="AX146" i="5"/>
  <c r="ES239" i="21"/>
  <c r="ET247" i="21"/>
  <c r="ES200" i="21"/>
  <c r="ET208" i="21"/>
  <c r="BP146" i="5" l="1"/>
  <c r="CH146" i="5" s="1"/>
  <c r="Z147" i="5"/>
  <c r="BI147" i="5" s="1"/>
  <c r="AB147" i="5"/>
  <c r="X147" i="5"/>
  <c r="Y147" i="5"/>
  <c r="BG147" i="5" s="1"/>
  <c r="BK147" i="5" s="1"/>
  <c r="BH146" i="5"/>
  <c r="BJ146" i="5" s="1"/>
  <c r="CJ146" i="5" s="1"/>
  <c r="AH147" i="5"/>
  <c r="BF147" i="5" s="1"/>
  <c r="AE147" i="5"/>
  <c r="BB147" i="5" s="1"/>
  <c r="AC147" i="5"/>
  <c r="AZ147" i="5" s="1"/>
  <c r="AG147" i="5"/>
  <c r="BE147" i="5" s="1"/>
  <c r="AF147" i="5"/>
  <c r="BD147" i="5" s="1"/>
  <c r="AD147" i="5"/>
  <c r="BA147" i="5" s="1"/>
  <c r="W147" i="5"/>
  <c r="ER200" i="21"/>
  <c r="ES208" i="21"/>
  <c r="ER239" i="21"/>
  <c r="ES247" i="21"/>
  <c r="CK147" i="5" l="1"/>
  <c r="BO147" i="5"/>
  <c r="BN147" i="5"/>
  <c r="BR147" i="5"/>
  <c r="CF147" i="5" s="1"/>
  <c r="BL147" i="5"/>
  <c r="CG147" i="5" s="1"/>
  <c r="BM147" i="5"/>
  <c r="CI147" i="5" s="1"/>
  <c r="BQ147" i="5"/>
  <c r="AA147" i="5"/>
  <c r="AX147" i="5"/>
  <c r="BC147" i="5"/>
  <c r="EQ239" i="21"/>
  <c r="ER247" i="21"/>
  <c r="EQ200" i="21"/>
  <c r="ER208" i="21"/>
  <c r="BP147" i="5" l="1"/>
  <c r="CH147" i="5" s="1"/>
  <c r="Z148" i="5"/>
  <c r="BI148" i="5" s="1"/>
  <c r="AG148" i="5"/>
  <c r="BE148" i="5" s="1"/>
  <c r="AC148" i="5"/>
  <c r="AZ148" i="5" s="1"/>
  <c r="BH147" i="5"/>
  <c r="BJ147" i="5" s="1"/>
  <c r="CJ147" i="5" s="1"/>
  <c r="AE148" i="5"/>
  <c r="BB148" i="5" s="1"/>
  <c r="AD148" i="5"/>
  <c r="BA148" i="5" s="1"/>
  <c r="Y148" i="5"/>
  <c r="BG148" i="5" s="1"/>
  <c r="BK148" i="5" s="1"/>
  <c r="X148" i="5"/>
  <c r="W148" i="5"/>
  <c r="AF148" i="5"/>
  <c r="BD148" i="5" s="1"/>
  <c r="AH148" i="5"/>
  <c r="BF148" i="5" s="1"/>
  <c r="AB148" i="5"/>
  <c r="EP200" i="21"/>
  <c r="EQ208" i="21"/>
  <c r="EP239" i="21"/>
  <c r="EQ247" i="21"/>
  <c r="CK148" i="5" l="1"/>
  <c r="BC148" i="5"/>
  <c r="AX148" i="5"/>
  <c r="AA148" i="5"/>
  <c r="BO148" i="5"/>
  <c r="BR148" i="5"/>
  <c r="CF148" i="5" s="1"/>
  <c r="BQ148" i="5"/>
  <c r="BN148" i="5"/>
  <c r="BM148" i="5"/>
  <c r="CI148" i="5" s="1"/>
  <c r="BL148" i="5"/>
  <c r="CG148" i="5" s="1"/>
  <c r="EO239" i="21"/>
  <c r="EP247" i="21"/>
  <c r="EO200" i="21"/>
  <c r="EP208" i="21"/>
  <c r="BH148" i="5" l="1"/>
  <c r="BJ148" i="5" s="1"/>
  <c r="CJ148" i="5" s="1"/>
  <c r="AC149" i="5"/>
  <c r="AZ149" i="5" s="1"/>
  <c r="AD149" i="5"/>
  <c r="BA149" i="5" s="1"/>
  <c r="Y149" i="5"/>
  <c r="BG149" i="5" s="1"/>
  <c r="BK149" i="5" s="1"/>
  <c r="AG149" i="5"/>
  <c r="BE149" i="5" s="1"/>
  <c r="AB149" i="5"/>
  <c r="W149" i="5"/>
  <c r="AH149" i="5"/>
  <c r="BF149" i="5" s="1"/>
  <c r="Z149" i="5"/>
  <c r="BI149" i="5" s="1"/>
  <c r="AE149" i="5"/>
  <c r="BB149" i="5" s="1"/>
  <c r="X149" i="5"/>
  <c r="AF149" i="5"/>
  <c r="BD149" i="5" s="1"/>
  <c r="BP148" i="5"/>
  <c r="CH148" i="5" s="1"/>
  <c r="EN200" i="21"/>
  <c r="EO208" i="21"/>
  <c r="EN239" i="21"/>
  <c r="EO247" i="21"/>
  <c r="CK149" i="5" l="1"/>
  <c r="BC149" i="5"/>
  <c r="AX149" i="5"/>
  <c r="BM149" i="5"/>
  <c r="CI149" i="5" s="1"/>
  <c r="BQ149" i="5"/>
  <c r="BO149" i="5"/>
  <c r="BN149" i="5"/>
  <c r="BR149" i="5"/>
  <c r="CF149" i="5" s="1"/>
  <c r="BL149" i="5"/>
  <c r="CG149" i="5" s="1"/>
  <c r="AA149" i="5"/>
  <c r="EM239" i="21"/>
  <c r="EN247" i="21"/>
  <c r="EM200" i="21"/>
  <c r="EN208" i="21"/>
  <c r="BP149" i="5" l="1"/>
  <c r="CH149" i="5" s="1"/>
  <c r="Z150" i="5"/>
  <c r="BI150" i="5" s="1"/>
  <c r="AC150" i="5"/>
  <c r="AZ150" i="5" s="1"/>
  <c r="Y150" i="5"/>
  <c r="BG150" i="5" s="1"/>
  <c r="BK150" i="5" s="1"/>
  <c r="AB150" i="5"/>
  <c r="X150" i="5"/>
  <c r="AG150" i="5"/>
  <c r="BE150" i="5" s="1"/>
  <c r="AE150" i="5"/>
  <c r="BB150" i="5" s="1"/>
  <c r="AF150" i="5"/>
  <c r="BD150" i="5" s="1"/>
  <c r="BH149" i="5"/>
  <c r="BJ149" i="5" s="1"/>
  <c r="CJ149" i="5" s="1"/>
  <c r="AD150" i="5"/>
  <c r="BA150" i="5" s="1"/>
  <c r="W150" i="5"/>
  <c r="AH150" i="5"/>
  <c r="BF150" i="5" s="1"/>
  <c r="EL200" i="21"/>
  <c r="EM208" i="21"/>
  <c r="EL239" i="21"/>
  <c r="EM247" i="21"/>
  <c r="CK150" i="5" l="1"/>
  <c r="BC150" i="5"/>
  <c r="AX150" i="5"/>
  <c r="BL150" i="5"/>
  <c r="CG150" i="5" s="1"/>
  <c r="BM150" i="5"/>
  <c r="CI150" i="5" s="1"/>
  <c r="AA150" i="5"/>
  <c r="BQ150" i="5"/>
  <c r="BO150" i="5"/>
  <c r="BN150" i="5"/>
  <c r="BR150" i="5"/>
  <c r="CF150" i="5" s="1"/>
  <c r="EK239" i="21"/>
  <c r="EL247" i="21"/>
  <c r="EK200" i="21"/>
  <c r="EL208" i="21"/>
  <c r="Z151" i="5" l="1"/>
  <c r="BI151" i="5" s="1"/>
  <c r="AD151" i="5"/>
  <c r="BA151" i="5" s="1"/>
  <c r="AG151" i="5"/>
  <c r="BE151" i="5" s="1"/>
  <c r="Y151" i="5"/>
  <c r="BG151" i="5" s="1"/>
  <c r="BK151" i="5" s="1"/>
  <c r="AC151" i="5"/>
  <c r="AZ151" i="5" s="1"/>
  <c r="BH150" i="5"/>
  <c r="BJ150" i="5" s="1"/>
  <c r="CJ150" i="5" s="1"/>
  <c r="X151" i="5"/>
  <c r="AB151" i="5"/>
  <c r="AH151" i="5"/>
  <c r="BF151" i="5" s="1"/>
  <c r="AE151" i="5"/>
  <c r="BB151" i="5" s="1"/>
  <c r="AF151" i="5"/>
  <c r="BD151" i="5" s="1"/>
  <c r="W151" i="5"/>
  <c r="BP150" i="5"/>
  <c r="CH150" i="5" s="1"/>
  <c r="EJ239" i="21"/>
  <c r="EK247" i="21"/>
  <c r="EJ200" i="21"/>
  <c r="EK208" i="21"/>
  <c r="CK151" i="5" l="1"/>
  <c r="AX151" i="5"/>
  <c r="BC151" i="5"/>
  <c r="BR151" i="5"/>
  <c r="CF151" i="5" s="1"/>
  <c r="BQ151" i="5"/>
  <c r="BL151" i="5"/>
  <c r="CG151" i="5" s="1"/>
  <c r="AA151" i="5"/>
  <c r="BN151" i="5"/>
  <c r="BO151" i="5"/>
  <c r="BM151" i="5"/>
  <c r="CI151" i="5" s="1"/>
  <c r="EI200" i="21"/>
  <c r="EJ208" i="21"/>
  <c r="EI239" i="21"/>
  <c r="EJ247" i="21"/>
  <c r="BH151" i="5" l="1"/>
  <c r="BJ151" i="5" s="1"/>
  <c r="CJ151" i="5" s="1"/>
  <c r="AB152" i="5"/>
  <c r="Y152" i="5"/>
  <c r="BG152" i="5" s="1"/>
  <c r="BK152" i="5" s="1"/>
  <c r="AG152" i="5"/>
  <c r="BE152" i="5" s="1"/>
  <c r="AC152" i="5"/>
  <c r="AZ152" i="5" s="1"/>
  <c r="X152" i="5"/>
  <c r="AE152" i="5"/>
  <c r="BB152" i="5" s="1"/>
  <c r="AH152" i="5"/>
  <c r="BF152" i="5" s="1"/>
  <c r="AF152" i="5"/>
  <c r="BD152" i="5" s="1"/>
  <c r="Z152" i="5"/>
  <c r="BI152" i="5" s="1"/>
  <c r="AD152" i="5"/>
  <c r="BA152" i="5" s="1"/>
  <c r="W152" i="5"/>
  <c r="BP151" i="5"/>
  <c r="CH151" i="5" s="1"/>
  <c r="EH239" i="21"/>
  <c r="EI247" i="21"/>
  <c r="EH200" i="21"/>
  <c r="EI208" i="21"/>
  <c r="CK152" i="5" l="1"/>
  <c r="AX152" i="5"/>
  <c r="BC152" i="5"/>
  <c r="BL152" i="5"/>
  <c r="CG152" i="5" s="1"/>
  <c r="BM152" i="5"/>
  <c r="CI152" i="5" s="1"/>
  <c r="BR152" i="5"/>
  <c r="CF152" i="5" s="1"/>
  <c r="BO152" i="5"/>
  <c r="BN152" i="5"/>
  <c r="BQ152" i="5"/>
  <c r="AA152" i="5"/>
  <c r="EG200" i="21"/>
  <c r="EH208" i="21"/>
  <c r="EG239" i="21"/>
  <c r="EH247" i="21"/>
  <c r="BP152" i="5" l="1"/>
  <c r="CH152" i="5" s="1"/>
  <c r="Z153" i="5"/>
  <c r="BI153" i="5" s="1"/>
  <c r="AC153" i="5"/>
  <c r="AZ153" i="5" s="1"/>
  <c r="AH153" i="5"/>
  <c r="BF153" i="5" s="1"/>
  <c r="Y153" i="5"/>
  <c r="BG153" i="5" s="1"/>
  <c r="BK153" i="5" s="1"/>
  <c r="BH152" i="5"/>
  <c r="BJ152" i="5" s="1"/>
  <c r="CJ152" i="5" s="1"/>
  <c r="X153" i="5"/>
  <c r="AD153" i="5"/>
  <c r="BA153" i="5" s="1"/>
  <c r="AE153" i="5"/>
  <c r="BB153" i="5" s="1"/>
  <c r="AG153" i="5"/>
  <c r="BE153" i="5" s="1"/>
  <c r="W153" i="5"/>
  <c r="AF153" i="5"/>
  <c r="BD153" i="5" s="1"/>
  <c r="AB153" i="5"/>
  <c r="EF239" i="21"/>
  <c r="EG247" i="21"/>
  <c r="EF200" i="21"/>
  <c r="EG208" i="21"/>
  <c r="CK153" i="5" l="1"/>
  <c r="BL153" i="5"/>
  <c r="CG153" i="5" s="1"/>
  <c r="AA153" i="5"/>
  <c r="BN153" i="5"/>
  <c r="BR153" i="5"/>
  <c r="CF153" i="5" s="1"/>
  <c r="BO153" i="5"/>
  <c r="BM153" i="5"/>
  <c r="CI153" i="5" s="1"/>
  <c r="BQ153" i="5"/>
  <c r="AX153" i="5"/>
  <c r="BC153" i="5"/>
  <c r="EE200" i="21"/>
  <c r="EF208" i="21"/>
  <c r="EE239" i="21"/>
  <c r="EF247" i="21"/>
  <c r="BP153" i="5" l="1"/>
  <c r="CH153" i="5" s="1"/>
  <c r="BH153" i="5"/>
  <c r="BJ153" i="5" s="1"/>
  <c r="CJ153" i="5" s="1"/>
  <c r="AB154" i="5"/>
  <c r="AG154" i="5"/>
  <c r="BE154" i="5" s="1"/>
  <c r="W154" i="5"/>
  <c r="AH154" i="5"/>
  <c r="BF154" i="5" s="1"/>
  <c r="Z154" i="5"/>
  <c r="BI154" i="5" s="1"/>
  <c r="X154" i="5"/>
  <c r="AE154" i="5"/>
  <c r="BB154" i="5" s="1"/>
  <c r="AF154" i="5"/>
  <c r="BD154" i="5" s="1"/>
  <c r="AD154" i="5"/>
  <c r="BA154" i="5" s="1"/>
  <c r="AC154" i="5"/>
  <c r="AZ154" i="5" s="1"/>
  <c r="Y154" i="5"/>
  <c r="BG154" i="5" s="1"/>
  <c r="BK154" i="5" s="1"/>
  <c r="CK154" i="5" s="1"/>
  <c r="ED239" i="21"/>
  <c r="EE247" i="21"/>
  <c r="ED200" i="21"/>
  <c r="EE208" i="21"/>
  <c r="BC154" i="5" l="1"/>
  <c r="AX154" i="5"/>
  <c r="BL154" i="5"/>
  <c r="CG154" i="5" s="1"/>
  <c r="BM154" i="5"/>
  <c r="CI154" i="5" s="1"/>
  <c r="BN154" i="5"/>
  <c r="BR154" i="5"/>
  <c r="CF154" i="5" s="1"/>
  <c r="BO154" i="5"/>
  <c r="AA154" i="5"/>
  <c r="BQ154" i="5"/>
  <c r="EC200" i="21"/>
  <c r="ED208" i="21"/>
  <c r="EC239" i="21"/>
  <c r="ED247" i="21"/>
  <c r="BP154" i="5" l="1"/>
  <c r="CH154" i="5" s="1"/>
  <c r="Y155" i="5"/>
  <c r="BG155" i="5" s="1"/>
  <c r="BK155" i="5" s="1"/>
  <c r="AH155" i="5"/>
  <c r="BF155" i="5" s="1"/>
  <c r="BH154" i="5"/>
  <c r="BJ154" i="5" s="1"/>
  <c r="CJ154" i="5" s="1"/>
  <c r="AC155" i="5"/>
  <c r="AZ155" i="5" s="1"/>
  <c r="X155" i="5"/>
  <c r="AD155" i="5"/>
  <c r="BA155" i="5" s="1"/>
  <c r="AF155" i="5"/>
  <c r="BD155" i="5" s="1"/>
  <c r="AG155" i="5"/>
  <c r="BE155" i="5" s="1"/>
  <c r="AE155" i="5"/>
  <c r="BB155" i="5" s="1"/>
  <c r="W155" i="5"/>
  <c r="Z155" i="5"/>
  <c r="BI155" i="5" s="1"/>
  <c r="AB155" i="5"/>
  <c r="EB239" i="21"/>
  <c r="EC247" i="21"/>
  <c r="EB200" i="21"/>
  <c r="EC208" i="21"/>
  <c r="CK155" i="5" l="1"/>
  <c r="AX155" i="5"/>
  <c r="BC155" i="5"/>
  <c r="BL155" i="5"/>
  <c r="CG155" i="5" s="1"/>
  <c r="BQ155" i="5"/>
  <c r="BR155" i="5"/>
  <c r="CF155" i="5" s="1"/>
  <c r="BM155" i="5"/>
  <c r="CI155" i="5" s="1"/>
  <c r="BN155" i="5"/>
  <c r="BO155" i="5"/>
  <c r="AA155" i="5"/>
  <c r="EA200" i="21"/>
  <c r="EB208" i="21"/>
  <c r="EA239" i="21"/>
  <c r="EB247" i="21"/>
  <c r="Z156" i="5" l="1"/>
  <c r="BI156" i="5" s="1"/>
  <c r="AG156" i="5"/>
  <c r="BE156" i="5" s="1"/>
  <c r="X156" i="5"/>
  <c r="AF156" i="5"/>
  <c r="BD156" i="5" s="1"/>
  <c r="W156" i="5"/>
  <c r="BH155" i="5"/>
  <c r="BJ155" i="5" s="1"/>
  <c r="CJ155" i="5" s="1"/>
  <c r="AE156" i="5"/>
  <c r="BB156" i="5" s="1"/>
  <c r="AB156" i="5"/>
  <c r="AC156" i="5"/>
  <c r="AZ156" i="5" s="1"/>
  <c r="Y156" i="5"/>
  <c r="BG156" i="5" s="1"/>
  <c r="BK156" i="5" s="1"/>
  <c r="AH156" i="5"/>
  <c r="BF156" i="5" s="1"/>
  <c r="AD156" i="5"/>
  <c r="BA156" i="5" s="1"/>
  <c r="BP155" i="5"/>
  <c r="CH155" i="5" s="1"/>
  <c r="DZ239" i="21"/>
  <c r="EA247" i="21"/>
  <c r="DZ200" i="21"/>
  <c r="EA208" i="21"/>
  <c r="CK156" i="5" l="1"/>
  <c r="BN156" i="5"/>
  <c r="BM156" i="5"/>
  <c r="CI156" i="5" s="1"/>
  <c r="BR156" i="5"/>
  <c r="CF156" i="5" s="1"/>
  <c r="BO156" i="5"/>
  <c r="AA156" i="5"/>
  <c r="BQ156" i="5"/>
  <c r="BL156" i="5"/>
  <c r="CG156" i="5" s="1"/>
  <c r="BC156" i="5"/>
  <c r="AX156" i="5"/>
  <c r="DY200" i="21"/>
  <c r="DZ208" i="21"/>
  <c r="DY239" i="21"/>
  <c r="DZ247" i="21"/>
  <c r="Y157" i="5" l="1"/>
  <c r="BG157" i="5" s="1"/>
  <c r="BK157" i="5" s="1"/>
  <c r="AD157" i="5"/>
  <c r="BA157" i="5" s="1"/>
  <c r="X157" i="5"/>
  <c r="AC157" i="5"/>
  <c r="AZ157" i="5" s="1"/>
  <c r="AB157" i="5"/>
  <c r="AG157" i="5"/>
  <c r="BE157" i="5" s="1"/>
  <c r="Z157" i="5"/>
  <c r="BI157" i="5" s="1"/>
  <c r="AE157" i="5"/>
  <c r="BB157" i="5" s="1"/>
  <c r="AH157" i="5"/>
  <c r="BF157" i="5" s="1"/>
  <c r="W157" i="5"/>
  <c r="BH156" i="5"/>
  <c r="BJ156" i="5" s="1"/>
  <c r="CJ156" i="5" s="1"/>
  <c r="AF157" i="5"/>
  <c r="BD157" i="5" s="1"/>
  <c r="BP156" i="5"/>
  <c r="CH156" i="5" s="1"/>
  <c r="DX239" i="21"/>
  <c r="DY247" i="21"/>
  <c r="DX200" i="21"/>
  <c r="DY208" i="21"/>
  <c r="CK157" i="5" l="1"/>
  <c r="BN157" i="5"/>
  <c r="BM157" i="5"/>
  <c r="CI157" i="5" s="1"/>
  <c r="BR157" i="5"/>
  <c r="CF157" i="5" s="1"/>
  <c r="BQ157" i="5"/>
  <c r="BO157" i="5"/>
  <c r="BL157" i="5"/>
  <c r="CG157" i="5" s="1"/>
  <c r="AA157" i="5"/>
  <c r="BC157" i="5"/>
  <c r="AX157" i="5"/>
  <c r="DW200" i="21"/>
  <c r="DX208" i="21"/>
  <c r="DW239" i="21"/>
  <c r="DX247" i="21"/>
  <c r="BP157" i="5" l="1"/>
  <c r="CH157" i="5" s="1"/>
  <c r="BH157" i="5"/>
  <c r="BJ157" i="5" s="1"/>
  <c r="CJ157" i="5" s="1"/>
  <c r="AD158" i="5"/>
  <c r="BA158" i="5" s="1"/>
  <c r="Y158" i="5"/>
  <c r="BG158" i="5" s="1"/>
  <c r="BK158" i="5" s="1"/>
  <c r="AH158" i="5"/>
  <c r="BF158" i="5" s="1"/>
  <c r="AE158" i="5"/>
  <c r="BB158" i="5" s="1"/>
  <c r="AF158" i="5"/>
  <c r="BD158" i="5" s="1"/>
  <c r="AC158" i="5"/>
  <c r="AZ158" i="5" s="1"/>
  <c r="Z158" i="5"/>
  <c r="BI158" i="5" s="1"/>
  <c r="X158" i="5"/>
  <c r="AG158" i="5"/>
  <c r="BE158" i="5" s="1"/>
  <c r="W158" i="5"/>
  <c r="AB158" i="5"/>
  <c r="DV239" i="21"/>
  <c r="DW247" i="21"/>
  <c r="DV200" i="21"/>
  <c r="DW208" i="21"/>
  <c r="CK158" i="5" l="1"/>
  <c r="AA158" i="5"/>
  <c r="BR158" i="5"/>
  <c r="CF158" i="5" s="1"/>
  <c r="BL158" i="5"/>
  <c r="CG158" i="5" s="1"/>
  <c r="BM158" i="5"/>
  <c r="CI158" i="5" s="1"/>
  <c r="BN158" i="5"/>
  <c r="BQ158" i="5"/>
  <c r="BO158" i="5"/>
  <c r="AX158" i="5"/>
  <c r="BC158" i="5"/>
  <c r="DU200" i="21"/>
  <c r="DV208" i="21"/>
  <c r="DU239" i="21"/>
  <c r="DV247" i="21"/>
  <c r="BP158" i="5" l="1"/>
  <c r="CH158" i="5" s="1"/>
  <c r="W159" i="5"/>
  <c r="AD159" i="5"/>
  <c r="BA159" i="5" s="1"/>
  <c r="Y159" i="5"/>
  <c r="BG159" i="5" s="1"/>
  <c r="BK159" i="5" s="1"/>
  <c r="CK159" i="5" s="1"/>
  <c r="BH158" i="5"/>
  <c r="BJ158" i="5" s="1"/>
  <c r="CJ158" i="5" s="1"/>
  <c r="AE159" i="5"/>
  <c r="BB159" i="5" s="1"/>
  <c r="AB159" i="5"/>
  <c r="AG159" i="5"/>
  <c r="BE159" i="5" s="1"/>
  <c r="AF159" i="5"/>
  <c r="BD159" i="5" s="1"/>
  <c r="AH159" i="5"/>
  <c r="BF159" i="5" s="1"/>
  <c r="X159" i="5"/>
  <c r="AC159" i="5"/>
  <c r="AZ159" i="5" s="1"/>
  <c r="Z159" i="5"/>
  <c r="BI159" i="5" s="1"/>
  <c r="DT239" i="21"/>
  <c r="DU247" i="21"/>
  <c r="DT200" i="21"/>
  <c r="DU208" i="21"/>
  <c r="BM159" i="5" l="1"/>
  <c r="CI159" i="5" s="1"/>
  <c r="AA159" i="5"/>
  <c r="BR159" i="5"/>
  <c r="CF159" i="5" s="1"/>
  <c r="BN159" i="5"/>
  <c r="BQ159" i="5"/>
  <c r="BO159" i="5"/>
  <c r="BL159" i="5"/>
  <c r="CG159" i="5" s="1"/>
  <c r="BC159" i="5"/>
  <c r="AX159" i="5"/>
  <c r="DS200" i="21"/>
  <c r="DT208" i="21"/>
  <c r="DS239" i="21"/>
  <c r="DT247" i="21"/>
  <c r="BP159" i="5" l="1"/>
  <c r="CH159" i="5" s="1"/>
  <c r="AD160" i="5"/>
  <c r="BA160" i="5" s="1"/>
  <c r="AH160" i="5"/>
  <c r="BF160" i="5" s="1"/>
  <c r="AF160" i="5"/>
  <c r="BD160" i="5" s="1"/>
  <c r="AG160" i="5"/>
  <c r="BE160" i="5" s="1"/>
  <c r="Z160" i="5"/>
  <c r="BI160" i="5" s="1"/>
  <c r="W160" i="5"/>
  <c r="AB160" i="5"/>
  <c r="Y160" i="5"/>
  <c r="BG160" i="5" s="1"/>
  <c r="BK160" i="5" s="1"/>
  <c r="AC160" i="5"/>
  <c r="AZ160" i="5" s="1"/>
  <c r="BH159" i="5"/>
  <c r="BJ159" i="5" s="1"/>
  <c r="CJ159" i="5" s="1"/>
  <c r="X160" i="5"/>
  <c r="AE160" i="5"/>
  <c r="BB160" i="5" s="1"/>
  <c r="DR239" i="21"/>
  <c r="DS247" i="21"/>
  <c r="DR200" i="21"/>
  <c r="DS208" i="21"/>
  <c r="CK160" i="5" l="1"/>
  <c r="BN160" i="5"/>
  <c r="BL160" i="5"/>
  <c r="CG160" i="5" s="1"/>
  <c r="AA160" i="5"/>
  <c r="BM160" i="5"/>
  <c r="CI160" i="5" s="1"/>
  <c r="BO160" i="5"/>
  <c r="BR160" i="5"/>
  <c r="CF160" i="5" s="1"/>
  <c r="BQ160" i="5"/>
  <c r="BC160" i="5"/>
  <c r="AX160" i="5"/>
  <c r="DQ200" i="21"/>
  <c r="DR208" i="21"/>
  <c r="DQ239" i="21"/>
  <c r="DR247" i="21"/>
  <c r="AG161" i="5" l="1"/>
  <c r="BE161" i="5" s="1"/>
  <c r="AD161" i="5"/>
  <c r="BA161" i="5" s="1"/>
  <c r="AH161" i="5"/>
  <c r="BF161" i="5" s="1"/>
  <c r="W161" i="5"/>
  <c r="AC161" i="5"/>
  <c r="AZ161" i="5" s="1"/>
  <c r="Y161" i="5"/>
  <c r="BG161" i="5" s="1"/>
  <c r="BK161" i="5" s="1"/>
  <c r="CK161" i="5" s="1"/>
  <c r="BH160" i="5"/>
  <c r="BJ160" i="5" s="1"/>
  <c r="CJ160" i="5" s="1"/>
  <c r="AB161" i="5"/>
  <c r="AF161" i="5"/>
  <c r="BD161" i="5" s="1"/>
  <c r="X161" i="5"/>
  <c r="AE161" i="5"/>
  <c r="BB161" i="5" s="1"/>
  <c r="Z161" i="5"/>
  <c r="BI161" i="5" s="1"/>
  <c r="BP160" i="5"/>
  <c r="CH160" i="5" s="1"/>
  <c r="DP239" i="21"/>
  <c r="DQ247" i="21"/>
  <c r="DP200" i="21"/>
  <c r="DQ208" i="21"/>
  <c r="AX161" i="5" l="1"/>
  <c r="BC161" i="5"/>
  <c r="BR161" i="5"/>
  <c r="CF161" i="5" s="1"/>
  <c r="AA161" i="5"/>
  <c r="BQ161" i="5"/>
  <c r="BO161" i="5"/>
  <c r="BN161" i="5"/>
  <c r="BM161" i="5"/>
  <c r="CI161" i="5" s="1"/>
  <c r="BL161" i="5"/>
  <c r="CG161" i="5" s="1"/>
  <c r="DO200" i="21"/>
  <c r="DP208" i="21"/>
  <c r="DO239" i="21"/>
  <c r="DP247" i="21"/>
  <c r="AF162" i="5" l="1"/>
  <c r="BD162" i="5" s="1"/>
  <c r="AD162" i="5"/>
  <c r="BA162" i="5" s="1"/>
  <c r="X162" i="5"/>
  <c r="AE162" i="5"/>
  <c r="BB162" i="5" s="1"/>
  <c r="AB162" i="5"/>
  <c r="AC162" i="5"/>
  <c r="AZ162" i="5" s="1"/>
  <c r="W162" i="5"/>
  <c r="BH161" i="5"/>
  <c r="BJ161" i="5" s="1"/>
  <c r="CJ161" i="5" s="1"/>
  <c r="AH162" i="5"/>
  <c r="BF162" i="5" s="1"/>
  <c r="AG162" i="5"/>
  <c r="BE162" i="5" s="1"/>
  <c r="Y162" i="5"/>
  <c r="BG162" i="5" s="1"/>
  <c r="BK162" i="5" s="1"/>
  <c r="Z162" i="5"/>
  <c r="BI162" i="5" s="1"/>
  <c r="BP161" i="5"/>
  <c r="CH161" i="5" s="1"/>
  <c r="DN239" i="21"/>
  <c r="DO247" i="21"/>
  <c r="DN200" i="21"/>
  <c r="DO208" i="21"/>
  <c r="CK162" i="5" l="1"/>
  <c r="AX162" i="5"/>
  <c r="BC162" i="5"/>
  <c r="BQ162" i="5"/>
  <c r="BL162" i="5"/>
  <c r="CG162" i="5" s="1"/>
  <c r="AA162" i="5"/>
  <c r="BO162" i="5"/>
  <c r="BR162" i="5"/>
  <c r="CF162" i="5" s="1"/>
  <c r="BN162" i="5"/>
  <c r="BM162" i="5"/>
  <c r="CI162" i="5" s="1"/>
  <c r="DM200" i="21"/>
  <c r="DN208" i="21"/>
  <c r="DM239" i="21"/>
  <c r="DN247" i="21"/>
  <c r="AD163" i="5" l="1"/>
  <c r="BA163" i="5" s="1"/>
  <c r="AB163" i="5"/>
  <c r="Z163" i="5"/>
  <c r="BI163" i="5" s="1"/>
  <c r="AF163" i="5"/>
  <c r="BD163" i="5" s="1"/>
  <c r="Y163" i="5"/>
  <c r="BG163" i="5" s="1"/>
  <c r="BK163" i="5" s="1"/>
  <c r="AG163" i="5"/>
  <c r="BE163" i="5" s="1"/>
  <c r="AC163" i="5"/>
  <c r="AZ163" i="5" s="1"/>
  <c r="BH162" i="5"/>
  <c r="BJ162" i="5" s="1"/>
  <c r="CJ162" i="5" s="1"/>
  <c r="X163" i="5"/>
  <c r="W163" i="5"/>
  <c r="AH163" i="5"/>
  <c r="BF163" i="5" s="1"/>
  <c r="AE163" i="5"/>
  <c r="BB163" i="5" s="1"/>
  <c r="BP162" i="5"/>
  <c r="CH162" i="5" s="1"/>
  <c r="DL239" i="21"/>
  <c r="DM247" i="21"/>
  <c r="DL200" i="21"/>
  <c r="DM208" i="21"/>
  <c r="CK163" i="5" l="1"/>
  <c r="BO163" i="5"/>
  <c r="BM163" i="5"/>
  <c r="CI163" i="5" s="1"/>
  <c r="BN163" i="5"/>
  <c r="BL163" i="5"/>
  <c r="CG163" i="5" s="1"/>
  <c r="BQ163" i="5"/>
  <c r="AA163" i="5"/>
  <c r="BR163" i="5"/>
  <c r="CF163" i="5" s="1"/>
  <c r="AX163" i="5"/>
  <c r="BC163" i="5"/>
  <c r="DK200" i="21"/>
  <c r="DL208" i="21"/>
  <c r="DK239" i="21"/>
  <c r="DL247" i="21"/>
  <c r="BP163" i="5" l="1"/>
  <c r="CH163" i="5" s="1"/>
  <c r="AF164" i="5"/>
  <c r="BD164" i="5" s="1"/>
  <c r="AD164" i="5"/>
  <c r="BA164" i="5" s="1"/>
  <c r="BH163" i="5"/>
  <c r="BJ163" i="5" s="1"/>
  <c r="CJ163" i="5" s="1"/>
  <c r="Z164" i="5"/>
  <c r="BI164" i="5" s="1"/>
  <c r="AC164" i="5"/>
  <c r="AZ164" i="5" s="1"/>
  <c r="Y164" i="5"/>
  <c r="BG164" i="5" s="1"/>
  <c r="BK164" i="5" s="1"/>
  <c r="AH164" i="5"/>
  <c r="BF164" i="5" s="1"/>
  <c r="W164" i="5"/>
  <c r="AB164" i="5"/>
  <c r="X164" i="5"/>
  <c r="AE164" i="5"/>
  <c r="BB164" i="5" s="1"/>
  <c r="AG164" i="5"/>
  <c r="BE164" i="5" s="1"/>
  <c r="DJ239" i="21"/>
  <c r="DK247" i="21"/>
  <c r="DJ200" i="21"/>
  <c r="DK208" i="21"/>
  <c r="CK164" i="5" l="1"/>
  <c r="AX164" i="5"/>
  <c r="BC164" i="5"/>
  <c r="BQ164" i="5"/>
  <c r="BO164" i="5"/>
  <c r="AA164" i="5"/>
  <c r="BM164" i="5"/>
  <c r="CI164" i="5" s="1"/>
  <c r="BR164" i="5"/>
  <c r="CF164" i="5" s="1"/>
  <c r="BL164" i="5"/>
  <c r="CG164" i="5" s="1"/>
  <c r="BN164" i="5"/>
  <c r="DI200" i="21"/>
  <c r="DJ208" i="21"/>
  <c r="DI239" i="21"/>
  <c r="DJ247" i="21"/>
  <c r="AD165" i="5" l="1"/>
  <c r="BA165" i="5" s="1"/>
  <c r="AF165" i="5"/>
  <c r="BD165" i="5" s="1"/>
  <c r="W165" i="5"/>
  <c r="AC165" i="5"/>
  <c r="AZ165" i="5" s="1"/>
  <c r="AH165" i="5"/>
  <c r="BF165" i="5" s="1"/>
  <c r="Y165" i="5"/>
  <c r="BG165" i="5" s="1"/>
  <c r="BK165" i="5" s="1"/>
  <c r="CK165" i="5" s="1"/>
  <c r="AE165" i="5"/>
  <c r="BB165" i="5" s="1"/>
  <c r="AB165" i="5"/>
  <c r="AG165" i="5"/>
  <c r="BE165" i="5" s="1"/>
  <c r="Z165" i="5"/>
  <c r="BI165" i="5" s="1"/>
  <c r="X165" i="5"/>
  <c r="BH164" i="5"/>
  <c r="BJ164" i="5" s="1"/>
  <c r="CJ164" i="5" s="1"/>
  <c r="BP164" i="5"/>
  <c r="CH164" i="5" s="1"/>
  <c r="DH239" i="21"/>
  <c r="DI247" i="21"/>
  <c r="DH200" i="21"/>
  <c r="DI208" i="21"/>
  <c r="AX165" i="5" l="1"/>
  <c r="BC165" i="5"/>
  <c r="BM165" i="5"/>
  <c r="CI165" i="5" s="1"/>
  <c r="BN165" i="5"/>
  <c r="BL165" i="5"/>
  <c r="CG165" i="5" s="1"/>
  <c r="AA165" i="5"/>
  <c r="BQ165" i="5"/>
  <c r="BR165" i="5"/>
  <c r="CF165" i="5" s="1"/>
  <c r="BO165" i="5"/>
  <c r="DG200" i="21"/>
  <c r="DH208" i="21"/>
  <c r="DG239" i="21"/>
  <c r="DH247" i="21"/>
  <c r="AC166" i="5" l="1"/>
  <c r="AZ166" i="5" s="1"/>
  <c r="AH166" i="5"/>
  <c r="BF166" i="5" s="1"/>
  <c r="AF166" i="5"/>
  <c r="BD166" i="5" s="1"/>
  <c r="W166" i="5"/>
  <c r="AB166" i="5"/>
  <c r="AD166" i="5"/>
  <c r="BA166" i="5" s="1"/>
  <c r="AE166" i="5"/>
  <c r="BB166" i="5" s="1"/>
  <c r="Y166" i="5"/>
  <c r="BG166" i="5" s="1"/>
  <c r="BK166" i="5" s="1"/>
  <c r="CK166" i="5" s="1"/>
  <c r="X166" i="5"/>
  <c r="AG166" i="5"/>
  <c r="BE166" i="5" s="1"/>
  <c r="Z166" i="5"/>
  <c r="BI166" i="5" s="1"/>
  <c r="BH165" i="5"/>
  <c r="BJ165" i="5" s="1"/>
  <c r="CJ165" i="5" s="1"/>
  <c r="BP165" i="5"/>
  <c r="CH165" i="5" s="1"/>
  <c r="DF239" i="21"/>
  <c r="DG247" i="21"/>
  <c r="DF200" i="21"/>
  <c r="DG208" i="21"/>
  <c r="BQ166" i="5" l="1"/>
  <c r="BR166" i="5"/>
  <c r="CF166" i="5" s="1"/>
  <c r="BO166" i="5"/>
  <c r="AA166" i="5"/>
  <c r="BM166" i="5"/>
  <c r="CI166" i="5" s="1"/>
  <c r="BN166" i="5"/>
  <c r="BL166" i="5"/>
  <c r="CG166" i="5" s="1"/>
  <c r="AX166" i="5"/>
  <c r="BC166" i="5"/>
  <c r="DE200" i="21"/>
  <c r="DF208" i="21"/>
  <c r="DE239" i="21"/>
  <c r="DF247" i="21"/>
  <c r="AG167" i="5" l="1"/>
  <c r="BE167" i="5" s="1"/>
  <c r="AB167" i="5"/>
  <c r="AH167" i="5"/>
  <c r="BF167" i="5" s="1"/>
  <c r="AC167" i="5"/>
  <c r="AZ167" i="5" s="1"/>
  <c r="AD167" i="5"/>
  <c r="BA167" i="5" s="1"/>
  <c r="AF167" i="5"/>
  <c r="BD167" i="5" s="1"/>
  <c r="X167" i="5"/>
  <c r="W167" i="5"/>
  <c r="BH166" i="5"/>
  <c r="BJ166" i="5" s="1"/>
  <c r="CJ166" i="5" s="1"/>
  <c r="Y167" i="5"/>
  <c r="BG167" i="5" s="1"/>
  <c r="BK167" i="5" s="1"/>
  <c r="Z167" i="5"/>
  <c r="BI167" i="5" s="1"/>
  <c r="AE167" i="5"/>
  <c r="BB167" i="5" s="1"/>
  <c r="BP166" i="5"/>
  <c r="CH166" i="5" s="1"/>
  <c r="DD239" i="21"/>
  <c r="DE247" i="21"/>
  <c r="DD200" i="21"/>
  <c r="DE208" i="21"/>
  <c r="CK167" i="5" l="1"/>
  <c r="BL167" i="5"/>
  <c r="CG167" i="5" s="1"/>
  <c r="BO167" i="5"/>
  <c r="AA167" i="5"/>
  <c r="BQ167" i="5"/>
  <c r="BR167" i="5"/>
  <c r="CF167" i="5" s="1"/>
  <c r="BN167" i="5"/>
  <c r="BM167" i="5"/>
  <c r="CI167" i="5" s="1"/>
  <c r="BC167" i="5"/>
  <c r="AX167" i="5"/>
  <c r="DC200" i="21"/>
  <c r="DD208" i="21"/>
  <c r="DC239" i="21"/>
  <c r="DD247" i="21"/>
  <c r="AD168" i="5" l="1"/>
  <c r="BA168" i="5" s="1"/>
  <c r="AH168" i="5"/>
  <c r="BF168" i="5" s="1"/>
  <c r="W168" i="5"/>
  <c r="Y168" i="5"/>
  <c r="BG168" i="5" s="1"/>
  <c r="BK168" i="5" s="1"/>
  <c r="AE168" i="5"/>
  <c r="BB168" i="5" s="1"/>
  <c r="BH167" i="5"/>
  <c r="BJ167" i="5" s="1"/>
  <c r="CJ167" i="5" s="1"/>
  <c r="AF168" i="5"/>
  <c r="BD168" i="5" s="1"/>
  <c r="Z168" i="5"/>
  <c r="BI168" i="5" s="1"/>
  <c r="X168" i="5"/>
  <c r="AC168" i="5"/>
  <c r="AZ168" i="5" s="1"/>
  <c r="AB168" i="5"/>
  <c r="AG168" i="5"/>
  <c r="BE168" i="5" s="1"/>
  <c r="BP167" i="5"/>
  <c r="CH167" i="5" s="1"/>
  <c r="DB239" i="21"/>
  <c r="DC247" i="21"/>
  <c r="DB200" i="21"/>
  <c r="DC208" i="21"/>
  <c r="CK168" i="5" l="1"/>
  <c r="BC168" i="5"/>
  <c r="AX168" i="5"/>
  <c r="BL168" i="5"/>
  <c r="CG168" i="5" s="1"/>
  <c r="AA168" i="5"/>
  <c r="BM168" i="5"/>
  <c r="CI168" i="5" s="1"/>
  <c r="BN168" i="5"/>
  <c r="BQ168" i="5"/>
  <c r="BR168" i="5"/>
  <c r="CF168" i="5" s="1"/>
  <c r="BO168" i="5"/>
  <c r="DA200" i="21"/>
  <c r="DB208" i="21"/>
  <c r="DA239" i="21"/>
  <c r="DB247" i="21"/>
  <c r="AD169" i="5" l="1"/>
  <c r="BA169" i="5" s="1"/>
  <c r="AG169" i="5"/>
  <c r="BE169" i="5" s="1"/>
  <c r="AF169" i="5"/>
  <c r="BD169" i="5" s="1"/>
  <c r="AB169" i="5"/>
  <c r="AC169" i="5"/>
  <c r="AZ169" i="5" s="1"/>
  <c r="BH168" i="5"/>
  <c r="BJ168" i="5" s="1"/>
  <c r="CJ168" i="5" s="1"/>
  <c r="W169" i="5"/>
  <c r="Y169" i="5"/>
  <c r="BG169" i="5" s="1"/>
  <c r="BK169" i="5" s="1"/>
  <c r="X169" i="5"/>
  <c r="AE169" i="5"/>
  <c r="BB169" i="5" s="1"/>
  <c r="Z169" i="5"/>
  <c r="BI169" i="5" s="1"/>
  <c r="AH169" i="5"/>
  <c r="BF169" i="5" s="1"/>
  <c r="BP168" i="5"/>
  <c r="CH168" i="5" s="1"/>
  <c r="CZ239" i="21"/>
  <c r="DA247" i="21"/>
  <c r="CZ200" i="21"/>
  <c r="DA208" i="21"/>
  <c r="CK169" i="5" l="1"/>
  <c r="BO169" i="5"/>
  <c r="BM169" i="5"/>
  <c r="CI169" i="5" s="1"/>
  <c r="AA169" i="5"/>
  <c r="BN169" i="5"/>
  <c r="BL169" i="5"/>
  <c r="CG169" i="5" s="1"/>
  <c r="BR169" i="5"/>
  <c r="CF169" i="5" s="1"/>
  <c r="BQ169" i="5"/>
  <c r="BC169" i="5"/>
  <c r="AX169" i="5"/>
  <c r="CY200" i="21"/>
  <c r="CZ208" i="21"/>
  <c r="CY239" i="21"/>
  <c r="CZ247" i="21"/>
  <c r="AF170" i="5" l="1"/>
  <c r="BD170" i="5" s="1"/>
  <c r="AD170" i="5"/>
  <c r="BA170" i="5" s="1"/>
  <c r="AH170" i="5"/>
  <c r="BF170" i="5" s="1"/>
  <c r="AB170" i="5"/>
  <c r="Z170" i="5"/>
  <c r="BI170" i="5" s="1"/>
  <c r="W170" i="5"/>
  <c r="AC170" i="5"/>
  <c r="AZ170" i="5" s="1"/>
  <c r="BH169" i="5"/>
  <c r="BJ169" i="5" s="1"/>
  <c r="CJ169" i="5" s="1"/>
  <c r="X170" i="5"/>
  <c r="AE170" i="5"/>
  <c r="BB170" i="5" s="1"/>
  <c r="AG170" i="5"/>
  <c r="BE170" i="5" s="1"/>
  <c r="Y170" i="5"/>
  <c r="BG170" i="5" s="1"/>
  <c r="BK170" i="5" s="1"/>
  <c r="BP169" i="5"/>
  <c r="CH169" i="5" s="1"/>
  <c r="CX239" i="21"/>
  <c r="CY247" i="21"/>
  <c r="CX200" i="21"/>
  <c r="CY208" i="21"/>
  <c r="CK170" i="5" l="1"/>
  <c r="BQ170" i="5"/>
  <c r="BN170" i="5"/>
  <c r="BL170" i="5"/>
  <c r="CG170" i="5" s="1"/>
  <c r="AA170" i="5"/>
  <c r="BM170" i="5"/>
  <c r="CI170" i="5" s="1"/>
  <c r="BR170" i="5"/>
  <c r="CF170" i="5" s="1"/>
  <c r="BO170" i="5"/>
  <c r="BC170" i="5"/>
  <c r="AX170" i="5"/>
  <c r="CW200" i="21"/>
  <c r="CX208" i="21"/>
  <c r="CW239" i="21"/>
  <c r="CX247" i="21"/>
  <c r="AB171" i="5" l="1"/>
  <c r="AD171" i="5"/>
  <c r="BA171" i="5" s="1"/>
  <c r="Y171" i="5"/>
  <c r="BG171" i="5" s="1"/>
  <c r="BK171" i="5" s="1"/>
  <c r="AG171" i="5"/>
  <c r="BE171" i="5" s="1"/>
  <c r="BH170" i="5"/>
  <c r="BJ170" i="5" s="1"/>
  <c r="CJ170" i="5" s="1"/>
  <c r="X171" i="5"/>
  <c r="W171" i="5"/>
  <c r="AF171" i="5"/>
  <c r="BD171" i="5" s="1"/>
  <c r="AC171" i="5"/>
  <c r="AZ171" i="5" s="1"/>
  <c r="Z171" i="5"/>
  <c r="BI171" i="5" s="1"/>
  <c r="AE171" i="5"/>
  <c r="BB171" i="5" s="1"/>
  <c r="AH171" i="5"/>
  <c r="BF171" i="5" s="1"/>
  <c r="BP170" i="5"/>
  <c r="CH170" i="5" s="1"/>
  <c r="CV239" i="21"/>
  <c r="CW247" i="21"/>
  <c r="CV200" i="21"/>
  <c r="CW208" i="21"/>
  <c r="CK171" i="5" l="1"/>
  <c r="BC171" i="5"/>
  <c r="AX171" i="5"/>
  <c r="BQ171" i="5"/>
  <c r="BO171" i="5"/>
  <c r="BM171" i="5"/>
  <c r="CI171" i="5" s="1"/>
  <c r="BR171" i="5"/>
  <c r="CF171" i="5" s="1"/>
  <c r="BL171" i="5"/>
  <c r="CG171" i="5" s="1"/>
  <c r="AA171" i="5"/>
  <c r="BN171" i="5"/>
  <c r="CU200" i="21"/>
  <c r="CV208" i="21"/>
  <c r="CU239" i="21"/>
  <c r="CV247" i="21"/>
  <c r="BP171" i="5" l="1"/>
  <c r="CH171" i="5" s="1"/>
  <c r="AE172" i="5"/>
  <c r="BB172" i="5" s="1"/>
  <c r="AG172" i="5"/>
  <c r="BE172" i="5" s="1"/>
  <c r="AB172" i="5"/>
  <c r="Y172" i="5"/>
  <c r="BG172" i="5" s="1"/>
  <c r="BK172" i="5" s="1"/>
  <c r="BH171" i="5"/>
  <c r="BJ171" i="5" s="1"/>
  <c r="CJ171" i="5" s="1"/>
  <c r="X172" i="5"/>
  <c r="Z172" i="5"/>
  <c r="BI172" i="5" s="1"/>
  <c r="AC172" i="5"/>
  <c r="AZ172" i="5" s="1"/>
  <c r="AD172" i="5"/>
  <c r="BA172" i="5" s="1"/>
  <c r="AF172" i="5"/>
  <c r="BD172" i="5" s="1"/>
  <c r="AH172" i="5"/>
  <c r="BF172" i="5" s="1"/>
  <c r="W172" i="5"/>
  <c r="CT239" i="21"/>
  <c r="CU247" i="21"/>
  <c r="CT200" i="21"/>
  <c r="CU208" i="21"/>
  <c r="CK172" i="5" l="1"/>
  <c r="BC172" i="5"/>
  <c r="AX172" i="5"/>
  <c r="BM172" i="5"/>
  <c r="CI172" i="5" s="1"/>
  <c r="BN172" i="5"/>
  <c r="BR172" i="5"/>
  <c r="CF172" i="5" s="1"/>
  <c r="BQ172" i="5"/>
  <c r="BO172" i="5"/>
  <c r="BL172" i="5"/>
  <c r="CG172" i="5" s="1"/>
  <c r="AA172" i="5"/>
  <c r="CS200" i="21"/>
  <c r="CT208" i="21"/>
  <c r="CS239" i="21"/>
  <c r="CT247" i="21"/>
  <c r="BP172" i="5" l="1"/>
  <c r="CH172" i="5" s="1"/>
  <c r="AD173" i="5"/>
  <c r="BA173" i="5" s="1"/>
  <c r="AH173" i="5"/>
  <c r="BF173" i="5" s="1"/>
  <c r="AB173" i="5"/>
  <c r="AF173" i="5"/>
  <c r="BD173" i="5" s="1"/>
  <c r="BH172" i="5"/>
  <c r="BJ172" i="5" s="1"/>
  <c r="CJ172" i="5" s="1"/>
  <c r="Z173" i="5"/>
  <c r="BI173" i="5" s="1"/>
  <c r="W173" i="5"/>
  <c r="AG173" i="5"/>
  <c r="BE173" i="5" s="1"/>
  <c r="AC173" i="5"/>
  <c r="AZ173" i="5" s="1"/>
  <c r="Y173" i="5"/>
  <c r="BG173" i="5" s="1"/>
  <c r="BK173" i="5" s="1"/>
  <c r="X173" i="5"/>
  <c r="AE173" i="5"/>
  <c r="BB173" i="5" s="1"/>
  <c r="CR239" i="21"/>
  <c r="CS247" i="21"/>
  <c r="CR200" i="21"/>
  <c r="CS208" i="21"/>
  <c r="CK173" i="5" l="1"/>
  <c r="BO173" i="5"/>
  <c r="BL173" i="5"/>
  <c r="CG173" i="5" s="1"/>
  <c r="BQ173" i="5"/>
  <c r="BM173" i="5"/>
  <c r="CI173" i="5" s="1"/>
  <c r="BN173" i="5"/>
  <c r="AA173" i="5"/>
  <c r="BR173" i="5"/>
  <c r="CF173" i="5" s="1"/>
  <c r="AX173" i="5"/>
  <c r="BC173" i="5"/>
  <c r="CQ200" i="21"/>
  <c r="CR208" i="21"/>
  <c r="CQ239" i="21"/>
  <c r="CR247" i="21"/>
  <c r="AE174" i="5" l="1"/>
  <c r="BB174" i="5" s="1"/>
  <c r="W174" i="5"/>
  <c r="AG174" i="5"/>
  <c r="BE174" i="5" s="1"/>
  <c r="AD174" i="5"/>
  <c r="BA174" i="5" s="1"/>
  <c r="AB174" i="5"/>
  <c r="Y174" i="5"/>
  <c r="BG174" i="5" s="1"/>
  <c r="BK174" i="5" s="1"/>
  <c r="CK174" i="5" s="1"/>
  <c r="Z174" i="5"/>
  <c r="BI174" i="5" s="1"/>
  <c r="AH174" i="5"/>
  <c r="BF174" i="5" s="1"/>
  <c r="AF174" i="5"/>
  <c r="BD174" i="5" s="1"/>
  <c r="AC174" i="5"/>
  <c r="AZ174" i="5" s="1"/>
  <c r="X174" i="5"/>
  <c r="BH173" i="5"/>
  <c r="BJ173" i="5" s="1"/>
  <c r="CJ173" i="5" s="1"/>
  <c r="BP173" i="5"/>
  <c r="CH173" i="5" s="1"/>
  <c r="CP239" i="21"/>
  <c r="CQ247" i="21"/>
  <c r="CP200" i="21"/>
  <c r="CQ208" i="21"/>
  <c r="BC174" i="5" l="1"/>
  <c r="AX174" i="5"/>
  <c r="AA174" i="5"/>
  <c r="BO174" i="5"/>
  <c r="BN174" i="5"/>
  <c r="BM174" i="5"/>
  <c r="CI174" i="5" s="1"/>
  <c r="BR174" i="5"/>
  <c r="CF174" i="5" s="1"/>
  <c r="BL174" i="5"/>
  <c r="CG174" i="5" s="1"/>
  <c r="BQ174" i="5"/>
  <c r="CO200" i="21"/>
  <c r="CP208" i="21"/>
  <c r="CO239" i="21"/>
  <c r="CP247" i="21"/>
  <c r="BP174" i="5" l="1"/>
  <c r="CH174" i="5" s="1"/>
  <c r="AG175" i="5"/>
  <c r="BE175" i="5" s="1"/>
  <c r="AB175" i="5"/>
  <c r="W175" i="5"/>
  <c r="AF175" i="5"/>
  <c r="BD175" i="5" s="1"/>
  <c r="AE175" i="5"/>
  <c r="BB175" i="5" s="1"/>
  <c r="AH175" i="5"/>
  <c r="BF175" i="5" s="1"/>
  <c r="AD175" i="5"/>
  <c r="BA175" i="5" s="1"/>
  <c r="AC175" i="5"/>
  <c r="AZ175" i="5" s="1"/>
  <c r="X175" i="5"/>
  <c r="BH174" i="5"/>
  <c r="BJ174" i="5" s="1"/>
  <c r="CJ174" i="5" s="1"/>
  <c r="Y175" i="5"/>
  <c r="BG175" i="5" s="1"/>
  <c r="BK175" i="5" s="1"/>
  <c r="CK175" i="5" s="1"/>
  <c r="Z175" i="5"/>
  <c r="BI175" i="5" s="1"/>
  <c r="CN239" i="21"/>
  <c r="CO247" i="21"/>
  <c r="CN200" i="21"/>
  <c r="CO208" i="21"/>
  <c r="BC175" i="5" l="1"/>
  <c r="AX175" i="5"/>
  <c r="BO175" i="5"/>
  <c r="BR175" i="5"/>
  <c r="CF175" i="5" s="1"/>
  <c r="BL175" i="5"/>
  <c r="CG175" i="5" s="1"/>
  <c r="BN175" i="5"/>
  <c r="BM175" i="5"/>
  <c r="CI175" i="5" s="1"/>
  <c r="AA175" i="5"/>
  <c r="BQ175" i="5"/>
  <c r="CM200" i="21"/>
  <c r="CN208" i="21"/>
  <c r="CM239" i="21"/>
  <c r="CN247" i="21"/>
  <c r="BP175" i="5" l="1"/>
  <c r="CH175" i="5" s="1"/>
  <c r="W176" i="5"/>
  <c r="AC176" i="5"/>
  <c r="AZ176" i="5" s="1"/>
  <c r="Z176" i="5"/>
  <c r="BI176" i="5" s="1"/>
  <c r="X176" i="5"/>
  <c r="BH175" i="5"/>
  <c r="BJ175" i="5" s="1"/>
  <c r="CJ175" i="5" s="1"/>
  <c r="AG176" i="5"/>
  <c r="BE176" i="5" s="1"/>
  <c r="AD176" i="5"/>
  <c r="BA176" i="5" s="1"/>
  <c r="Y176" i="5"/>
  <c r="BG176" i="5" s="1"/>
  <c r="BK176" i="5" s="1"/>
  <c r="CK176" i="5" s="1"/>
  <c r="AF176" i="5"/>
  <c r="BD176" i="5" s="1"/>
  <c r="AH176" i="5"/>
  <c r="BF176" i="5" s="1"/>
  <c r="AB176" i="5"/>
  <c r="AE176" i="5"/>
  <c r="BB176" i="5" s="1"/>
  <c r="CL239" i="21"/>
  <c r="CM247" i="21"/>
  <c r="CL200" i="21"/>
  <c r="CM208" i="21"/>
  <c r="AX176" i="5" l="1"/>
  <c r="BC176" i="5"/>
  <c r="BN176" i="5"/>
  <c r="BL176" i="5"/>
  <c r="CG176" i="5" s="1"/>
  <c r="AA176" i="5"/>
  <c r="BO176" i="5"/>
  <c r="BR176" i="5"/>
  <c r="CF176" i="5" s="1"/>
  <c r="BM176" i="5"/>
  <c r="CI176" i="5" s="1"/>
  <c r="BQ176" i="5"/>
  <c r="CK200" i="21"/>
  <c r="CL208" i="21"/>
  <c r="CK239" i="21"/>
  <c r="CL247" i="21"/>
  <c r="BP176" i="5" l="1"/>
  <c r="CH176" i="5" s="1"/>
  <c r="AB177" i="5"/>
  <c r="BH176" i="5"/>
  <c r="BJ176" i="5" s="1"/>
  <c r="CJ176" i="5" s="1"/>
  <c r="W177" i="5"/>
  <c r="AH177" i="5"/>
  <c r="BF177" i="5" s="1"/>
  <c r="X177" i="5"/>
  <c r="AG177" i="5"/>
  <c r="BE177" i="5" s="1"/>
  <c r="Y177" i="5"/>
  <c r="BG177" i="5" s="1"/>
  <c r="BK177" i="5" s="1"/>
  <c r="CK177" i="5" s="1"/>
  <c r="Z177" i="5"/>
  <c r="BI177" i="5" s="1"/>
  <c r="AD177" i="5"/>
  <c r="BA177" i="5" s="1"/>
  <c r="AC177" i="5"/>
  <c r="AZ177" i="5" s="1"/>
  <c r="AE177" i="5"/>
  <c r="BB177" i="5" s="1"/>
  <c r="AF177" i="5"/>
  <c r="BD177" i="5" s="1"/>
  <c r="CJ239" i="21"/>
  <c r="CK247" i="21"/>
  <c r="CJ200" i="21"/>
  <c r="CK208" i="21"/>
  <c r="AX177" i="5" l="1"/>
  <c r="BC177" i="5"/>
  <c r="BL177" i="5"/>
  <c r="CG177" i="5" s="1"/>
  <c r="BR177" i="5"/>
  <c r="CF177" i="5" s="1"/>
  <c r="BN177" i="5"/>
  <c r="AA177" i="5"/>
  <c r="BM177" i="5"/>
  <c r="CI177" i="5" s="1"/>
  <c r="BO177" i="5"/>
  <c r="BQ177" i="5"/>
  <c r="CI200" i="21"/>
  <c r="CJ208" i="21"/>
  <c r="CI239" i="21"/>
  <c r="CJ247" i="21"/>
  <c r="BP177" i="5" l="1"/>
  <c r="CH177" i="5" s="1"/>
  <c r="W178" i="5"/>
  <c r="AB178" i="5"/>
  <c r="Z178" i="5"/>
  <c r="BI178" i="5" s="1"/>
  <c r="AG178" i="5"/>
  <c r="BE178" i="5" s="1"/>
  <c r="BH177" i="5"/>
  <c r="BJ177" i="5" s="1"/>
  <c r="CJ177" i="5" s="1"/>
  <c r="AD178" i="5"/>
  <c r="BA178" i="5" s="1"/>
  <c r="X178" i="5"/>
  <c r="AH178" i="5"/>
  <c r="BF178" i="5" s="1"/>
  <c r="Y178" i="5"/>
  <c r="BG178" i="5" s="1"/>
  <c r="BK178" i="5" s="1"/>
  <c r="CK178" i="5" s="1"/>
  <c r="AE178" i="5"/>
  <c r="BB178" i="5" s="1"/>
  <c r="AC178" i="5"/>
  <c r="AZ178" i="5" s="1"/>
  <c r="AF178" i="5"/>
  <c r="BD178" i="5" s="1"/>
  <c r="CH200" i="21"/>
  <c r="CI208" i="21"/>
  <c r="CH239" i="21"/>
  <c r="CI247" i="21"/>
  <c r="AX178" i="5" l="1"/>
  <c r="BC178" i="5"/>
  <c r="BO178" i="5"/>
  <c r="BR178" i="5"/>
  <c r="CF178" i="5" s="1"/>
  <c r="BM178" i="5"/>
  <c r="CI178" i="5" s="1"/>
  <c r="AA178" i="5"/>
  <c r="BN178" i="5"/>
  <c r="BQ178" i="5"/>
  <c r="BL178" i="5"/>
  <c r="CG178" i="5" s="1"/>
  <c r="CG239" i="21"/>
  <c r="CH247" i="21"/>
  <c r="CG200" i="21"/>
  <c r="CH208" i="21"/>
  <c r="BP178" i="5" l="1"/>
  <c r="CH178" i="5" s="1"/>
  <c r="AC179" i="5"/>
  <c r="AZ179" i="5" s="1"/>
  <c r="W179" i="5"/>
  <c r="AD179" i="5"/>
  <c r="BA179" i="5" s="1"/>
  <c r="AH179" i="5"/>
  <c r="BF179" i="5" s="1"/>
  <c r="AG179" i="5"/>
  <c r="BE179" i="5" s="1"/>
  <c r="X179" i="5"/>
  <c r="BH178" i="5"/>
  <c r="BJ178" i="5" s="1"/>
  <c r="CJ178" i="5" s="1"/>
  <c r="Y179" i="5"/>
  <c r="BG179" i="5" s="1"/>
  <c r="BK179" i="5" s="1"/>
  <c r="Z179" i="5"/>
  <c r="BI179" i="5" s="1"/>
  <c r="AB179" i="5"/>
  <c r="AF179" i="5"/>
  <c r="BD179" i="5" s="1"/>
  <c r="AE179" i="5"/>
  <c r="BB179" i="5" s="1"/>
  <c r="CF200" i="21"/>
  <c r="CG208" i="21"/>
  <c r="CF239" i="21"/>
  <c r="CG247" i="21"/>
  <c r="CK179" i="5" l="1"/>
  <c r="BC179" i="5"/>
  <c r="AX179" i="5"/>
  <c r="BR179" i="5"/>
  <c r="CF179" i="5" s="1"/>
  <c r="BQ179" i="5"/>
  <c r="BM179" i="5"/>
  <c r="CI179" i="5" s="1"/>
  <c r="BL179" i="5"/>
  <c r="CG179" i="5" s="1"/>
  <c r="AA179" i="5"/>
  <c r="BO179" i="5"/>
  <c r="BN179" i="5"/>
  <c r="CE239" i="21"/>
  <c r="CF247" i="21"/>
  <c r="CE200" i="21"/>
  <c r="CF208" i="21"/>
  <c r="BP179" i="5" l="1"/>
  <c r="CH179" i="5" s="1"/>
  <c r="AB180" i="5"/>
  <c r="AC180" i="5"/>
  <c r="AZ180" i="5" s="1"/>
  <c r="BH179" i="5"/>
  <c r="BJ179" i="5" s="1"/>
  <c r="CJ179" i="5" s="1"/>
  <c r="AF180" i="5"/>
  <c r="BD180" i="5" s="1"/>
  <c r="AD180" i="5"/>
  <c r="BA180" i="5" s="1"/>
  <c r="W180" i="5"/>
  <c r="AH180" i="5"/>
  <c r="BF180" i="5" s="1"/>
  <c r="Z180" i="5"/>
  <c r="BI180" i="5" s="1"/>
  <c r="AG180" i="5"/>
  <c r="BE180" i="5" s="1"/>
  <c r="Y180" i="5"/>
  <c r="BG180" i="5" s="1"/>
  <c r="BK180" i="5" s="1"/>
  <c r="X180" i="5"/>
  <c r="AE180" i="5"/>
  <c r="BB180" i="5" s="1"/>
  <c r="CD200" i="21"/>
  <c r="CE208" i="21"/>
  <c r="CD239" i="21"/>
  <c r="CE247" i="21"/>
  <c r="CK180" i="5" l="1"/>
  <c r="BM180" i="5"/>
  <c r="CI180" i="5" s="1"/>
  <c r="BQ180" i="5"/>
  <c r="BN180" i="5"/>
  <c r="BR180" i="5"/>
  <c r="CF180" i="5" s="1"/>
  <c r="BL180" i="5"/>
  <c r="CG180" i="5" s="1"/>
  <c r="AA180" i="5"/>
  <c r="BO180" i="5"/>
  <c r="AX180" i="5"/>
  <c r="BC180" i="5"/>
  <c r="CC239" i="21"/>
  <c r="CD247" i="21"/>
  <c r="CC200" i="21"/>
  <c r="CD208" i="21"/>
  <c r="BP180" i="5" l="1"/>
  <c r="CH180" i="5" s="1"/>
  <c r="W181" i="5"/>
  <c r="AB181" i="5"/>
  <c r="Y181" i="5"/>
  <c r="BG181" i="5" s="1"/>
  <c r="BK181" i="5" s="1"/>
  <c r="CK181" i="5" s="1"/>
  <c r="AF181" i="5"/>
  <c r="BD181" i="5" s="1"/>
  <c r="BH180" i="5"/>
  <c r="BJ180" i="5" s="1"/>
  <c r="CJ180" i="5" s="1"/>
  <c r="AH181" i="5"/>
  <c r="BF181" i="5" s="1"/>
  <c r="AG181" i="5"/>
  <c r="BE181" i="5" s="1"/>
  <c r="Z181" i="5"/>
  <c r="BI181" i="5" s="1"/>
  <c r="X181" i="5"/>
  <c r="AE181" i="5"/>
  <c r="BB181" i="5" s="1"/>
  <c r="AC181" i="5"/>
  <c r="AZ181" i="5" s="1"/>
  <c r="AD181" i="5"/>
  <c r="BA181" i="5" s="1"/>
  <c r="CB200" i="21"/>
  <c r="CC208" i="21"/>
  <c r="CB239" i="21"/>
  <c r="CC247" i="21"/>
  <c r="AA181" i="5" l="1"/>
  <c r="BR181" i="5"/>
  <c r="CF181" i="5" s="1"/>
  <c r="BQ181" i="5"/>
  <c r="BM181" i="5"/>
  <c r="CI181" i="5" s="1"/>
  <c r="BN181" i="5"/>
  <c r="BL181" i="5"/>
  <c r="CG181" i="5" s="1"/>
  <c r="BO181" i="5"/>
  <c r="BC181" i="5"/>
  <c r="AX181" i="5"/>
  <c r="CA239" i="21"/>
  <c r="CB247" i="21"/>
  <c r="CA200" i="21"/>
  <c r="CB208" i="21"/>
  <c r="BP181" i="5" l="1"/>
  <c r="CH181" i="5" s="1"/>
  <c r="AB182" i="5"/>
  <c r="AD182" i="5"/>
  <c r="BA182" i="5" s="1"/>
  <c r="Z182" i="5"/>
  <c r="BI182" i="5" s="1"/>
  <c r="AF182" i="5"/>
  <c r="BD182" i="5" s="1"/>
  <c r="BH181" i="5"/>
  <c r="BJ181" i="5" s="1"/>
  <c r="CJ181" i="5" s="1"/>
  <c r="X182" i="5"/>
  <c r="AC182" i="5"/>
  <c r="AZ182" i="5" s="1"/>
  <c r="Y182" i="5"/>
  <c r="BG182" i="5" s="1"/>
  <c r="BK182" i="5" s="1"/>
  <c r="AH182" i="5"/>
  <c r="BF182" i="5" s="1"/>
  <c r="AG182" i="5"/>
  <c r="BE182" i="5" s="1"/>
  <c r="W182" i="5"/>
  <c r="AE182" i="5"/>
  <c r="BB182" i="5" s="1"/>
  <c r="BZ200" i="21"/>
  <c r="CA208" i="21"/>
  <c r="BZ239" i="21"/>
  <c r="CA247" i="21"/>
  <c r="CK182" i="5" l="1"/>
  <c r="BC182" i="5"/>
  <c r="AX182" i="5"/>
  <c r="BN182" i="5"/>
  <c r="BQ182" i="5"/>
  <c r="BR182" i="5"/>
  <c r="CF182" i="5" s="1"/>
  <c r="BM182" i="5"/>
  <c r="CI182" i="5" s="1"/>
  <c r="BL182" i="5"/>
  <c r="CG182" i="5" s="1"/>
  <c r="AA182" i="5"/>
  <c r="BO182" i="5"/>
  <c r="BY239" i="21"/>
  <c r="BZ247" i="21"/>
  <c r="BY200" i="21"/>
  <c r="BZ208" i="21"/>
  <c r="BP182" i="5" l="1"/>
  <c r="CH182" i="5" s="1"/>
  <c r="AH183" i="5"/>
  <c r="BF183" i="5" s="1"/>
  <c r="W183" i="5"/>
  <c r="AG183" i="5"/>
  <c r="BE183" i="5" s="1"/>
  <c r="Z183" i="5"/>
  <c r="BI183" i="5" s="1"/>
  <c r="BH182" i="5"/>
  <c r="BJ182" i="5" s="1"/>
  <c r="CJ182" i="5" s="1"/>
  <c r="X183" i="5"/>
  <c r="AE183" i="5"/>
  <c r="BB183" i="5" s="1"/>
  <c r="AD183" i="5"/>
  <c r="BA183" i="5" s="1"/>
  <c r="AF183" i="5"/>
  <c r="BD183" i="5" s="1"/>
  <c r="AB183" i="5"/>
  <c r="Y183" i="5"/>
  <c r="BG183" i="5" s="1"/>
  <c r="BK183" i="5" s="1"/>
  <c r="CK183" i="5" s="1"/>
  <c r="AC183" i="5"/>
  <c r="AZ183" i="5" s="1"/>
  <c r="BX200" i="21"/>
  <c r="BY208" i="21"/>
  <c r="BX239" i="21"/>
  <c r="BY247" i="21"/>
  <c r="AA183" i="5" l="1"/>
  <c r="BO183" i="5"/>
  <c r="BQ183" i="5"/>
  <c r="BR183" i="5"/>
  <c r="CF183" i="5" s="1"/>
  <c r="BM183" i="5"/>
  <c r="CI183" i="5" s="1"/>
  <c r="BN183" i="5"/>
  <c r="BL183" i="5"/>
  <c r="CG183" i="5" s="1"/>
  <c r="BC183" i="5"/>
  <c r="AX183" i="5"/>
  <c r="BW200" i="21"/>
  <c r="BX208" i="21"/>
  <c r="BW239" i="21"/>
  <c r="BX247" i="21"/>
  <c r="BP183" i="5" l="1"/>
  <c r="CH183" i="5" s="1"/>
  <c r="AH184" i="5"/>
  <c r="BF184" i="5" s="1"/>
  <c r="AF184" i="5"/>
  <c r="BD184" i="5" s="1"/>
  <c r="AD184" i="5"/>
  <c r="BA184" i="5" s="1"/>
  <c r="AC184" i="5"/>
  <c r="AZ184" i="5" s="1"/>
  <c r="W184" i="5"/>
  <c r="BH183" i="5"/>
  <c r="BJ183" i="5" s="1"/>
  <c r="CJ183" i="5" s="1"/>
  <c r="AG184" i="5"/>
  <c r="BE184" i="5" s="1"/>
  <c r="Y184" i="5"/>
  <c r="BG184" i="5" s="1"/>
  <c r="BK184" i="5" s="1"/>
  <c r="X184" i="5"/>
  <c r="AE184" i="5"/>
  <c r="BB184" i="5" s="1"/>
  <c r="AB184" i="5"/>
  <c r="Z184" i="5"/>
  <c r="BI184" i="5" s="1"/>
  <c r="BV239" i="21"/>
  <c r="BW247" i="21"/>
  <c r="BV200" i="21"/>
  <c r="BW208" i="21"/>
  <c r="CK184" i="5" l="1"/>
  <c r="BL184" i="5"/>
  <c r="CG184" i="5" s="1"/>
  <c r="BM184" i="5"/>
  <c r="CI184" i="5" s="1"/>
  <c r="BN184" i="5"/>
  <c r="BQ184" i="5"/>
  <c r="BO184" i="5"/>
  <c r="BR184" i="5"/>
  <c r="CF184" i="5" s="1"/>
  <c r="AA184" i="5"/>
  <c r="AX184" i="5"/>
  <c r="BC184" i="5"/>
  <c r="BU200" i="21"/>
  <c r="BV208" i="21"/>
  <c r="BU239" i="21"/>
  <c r="BV247" i="21"/>
  <c r="BP184" i="5" l="1"/>
  <c r="CH184" i="5" s="1"/>
  <c r="AC185" i="5"/>
  <c r="AZ185" i="5" s="1"/>
  <c r="W185" i="5"/>
  <c r="Z185" i="5"/>
  <c r="BI185" i="5" s="1"/>
  <c r="AF185" i="5"/>
  <c r="BD185" i="5" s="1"/>
  <c r="Y185" i="5"/>
  <c r="BG185" i="5" s="1"/>
  <c r="BK185" i="5" s="1"/>
  <c r="CK185" i="5" s="1"/>
  <c r="AB185" i="5"/>
  <c r="AD185" i="5"/>
  <c r="BA185" i="5" s="1"/>
  <c r="AH185" i="5"/>
  <c r="BF185" i="5" s="1"/>
  <c r="BH184" i="5"/>
  <c r="BJ184" i="5" s="1"/>
  <c r="CJ184" i="5" s="1"/>
  <c r="X185" i="5"/>
  <c r="AG185" i="5"/>
  <c r="BE185" i="5" s="1"/>
  <c r="AE185" i="5"/>
  <c r="BB185" i="5" s="1"/>
  <c r="BT239" i="21"/>
  <c r="BU247" i="21"/>
  <c r="BT200" i="21"/>
  <c r="BU208" i="21"/>
  <c r="BC185" i="5" l="1"/>
  <c r="AX185" i="5"/>
  <c r="BL185" i="5"/>
  <c r="CG185" i="5" s="1"/>
  <c r="BO185" i="5"/>
  <c r="BR185" i="5"/>
  <c r="CF185" i="5" s="1"/>
  <c r="BQ185" i="5"/>
  <c r="BN185" i="5"/>
  <c r="BM185" i="5"/>
  <c r="CI185" i="5" s="1"/>
  <c r="AA185" i="5"/>
  <c r="BS200" i="21"/>
  <c r="BT208" i="21"/>
  <c r="BS239" i="21"/>
  <c r="BT247" i="21"/>
  <c r="AH186" i="5" l="1"/>
  <c r="BF186" i="5" s="1"/>
  <c r="AF186" i="5"/>
  <c r="BD186" i="5" s="1"/>
  <c r="X186" i="5"/>
  <c r="W186" i="5"/>
  <c r="BH185" i="5"/>
  <c r="BJ185" i="5" s="1"/>
  <c r="CJ185" i="5" s="1"/>
  <c r="AE186" i="5"/>
  <c r="BB186" i="5" s="1"/>
  <c r="AG186" i="5"/>
  <c r="BE186" i="5" s="1"/>
  <c r="Z186" i="5"/>
  <c r="BI186" i="5" s="1"/>
  <c r="AD186" i="5"/>
  <c r="BA186" i="5" s="1"/>
  <c r="Y186" i="5"/>
  <c r="BG186" i="5" s="1"/>
  <c r="BK186" i="5" s="1"/>
  <c r="AC186" i="5"/>
  <c r="AZ186" i="5" s="1"/>
  <c r="AB186" i="5"/>
  <c r="BP185" i="5"/>
  <c r="CH185" i="5" s="1"/>
  <c r="BR239" i="21"/>
  <c r="BS247" i="21"/>
  <c r="BR200" i="21"/>
  <c r="BS208" i="21"/>
  <c r="CK186" i="5" l="1"/>
  <c r="AX186" i="5"/>
  <c r="BC186" i="5"/>
  <c r="AA186" i="5"/>
  <c r="BN186" i="5"/>
  <c r="BM186" i="5"/>
  <c r="CI186" i="5" s="1"/>
  <c r="BO186" i="5"/>
  <c r="BL186" i="5"/>
  <c r="CG186" i="5" s="1"/>
  <c r="BR186" i="5"/>
  <c r="CF186" i="5" s="1"/>
  <c r="BQ186" i="5"/>
  <c r="BQ200" i="21"/>
  <c r="BR208" i="21"/>
  <c r="BQ239" i="21"/>
  <c r="BR247" i="21"/>
  <c r="W187" i="5" l="1"/>
  <c r="AG187" i="5"/>
  <c r="BE187" i="5" s="1"/>
  <c r="AH187" i="5"/>
  <c r="BF187" i="5" s="1"/>
  <c r="X187" i="5"/>
  <c r="AE187" i="5"/>
  <c r="BB187" i="5" s="1"/>
  <c r="Y187" i="5"/>
  <c r="BG187" i="5" s="1"/>
  <c r="BK187" i="5" s="1"/>
  <c r="CK187" i="5" s="1"/>
  <c r="BH186" i="5"/>
  <c r="BJ186" i="5" s="1"/>
  <c r="CJ186" i="5" s="1"/>
  <c r="Z187" i="5"/>
  <c r="BI187" i="5" s="1"/>
  <c r="AF187" i="5"/>
  <c r="BD187" i="5" s="1"/>
  <c r="AB187" i="5"/>
  <c r="AC187" i="5"/>
  <c r="AZ187" i="5" s="1"/>
  <c r="AD187" i="5"/>
  <c r="BA187" i="5" s="1"/>
  <c r="BP186" i="5"/>
  <c r="CH186" i="5" s="1"/>
  <c r="BP239" i="21"/>
  <c r="BQ247" i="21"/>
  <c r="BP200" i="21"/>
  <c r="BQ208" i="21"/>
  <c r="BC187" i="5" l="1"/>
  <c r="AX187" i="5"/>
  <c r="AA187" i="5"/>
  <c r="BN187" i="5"/>
  <c r="BL187" i="5"/>
  <c r="CG187" i="5" s="1"/>
  <c r="BM187" i="5"/>
  <c r="CI187" i="5" s="1"/>
  <c r="BR187" i="5"/>
  <c r="CF187" i="5" s="1"/>
  <c r="BO187" i="5"/>
  <c r="BQ187" i="5"/>
  <c r="BO200" i="21"/>
  <c r="BP208" i="21"/>
  <c r="BO239" i="21"/>
  <c r="BP247" i="21"/>
  <c r="AF188" i="5" l="1"/>
  <c r="BD188" i="5" s="1"/>
  <c r="AC188" i="5"/>
  <c r="AZ188" i="5" s="1"/>
  <c r="AG188" i="5"/>
  <c r="BE188" i="5" s="1"/>
  <c r="Y188" i="5"/>
  <c r="BG188" i="5" s="1"/>
  <c r="BK188" i="5" s="1"/>
  <c r="BH187" i="5"/>
  <c r="BJ187" i="5" s="1"/>
  <c r="CJ187" i="5" s="1"/>
  <c r="W188" i="5"/>
  <c r="Z188" i="5"/>
  <c r="BI188" i="5" s="1"/>
  <c r="AB188" i="5"/>
  <c r="AD188" i="5"/>
  <c r="BA188" i="5" s="1"/>
  <c r="X188" i="5"/>
  <c r="AH188" i="5"/>
  <c r="BF188" i="5" s="1"/>
  <c r="AE188" i="5"/>
  <c r="BB188" i="5" s="1"/>
  <c r="BP187" i="5"/>
  <c r="CH187" i="5" s="1"/>
  <c r="BN239" i="21"/>
  <c r="BO247" i="21"/>
  <c r="BN200" i="21"/>
  <c r="BO208" i="21"/>
  <c r="CK188" i="5" l="1"/>
  <c r="BQ188" i="5"/>
  <c r="BR188" i="5"/>
  <c r="CF188" i="5" s="1"/>
  <c r="AA188" i="5"/>
  <c r="BM188" i="5"/>
  <c r="CI188" i="5" s="1"/>
  <c r="BN188" i="5"/>
  <c r="BL188" i="5"/>
  <c r="CG188" i="5" s="1"/>
  <c r="BO188" i="5"/>
  <c r="BC188" i="5"/>
  <c r="AX188" i="5"/>
  <c r="BM200" i="21"/>
  <c r="BN208" i="21"/>
  <c r="BM239" i="21"/>
  <c r="BN247" i="21"/>
  <c r="BP188" i="5" l="1"/>
  <c r="CH188" i="5" s="1"/>
  <c r="W189" i="5"/>
  <c r="AC189" i="5"/>
  <c r="AZ189" i="5" s="1"/>
  <c r="AG189" i="5"/>
  <c r="BE189" i="5" s="1"/>
  <c r="BH188" i="5"/>
  <c r="BJ188" i="5" s="1"/>
  <c r="CJ188" i="5" s="1"/>
  <c r="AF189" i="5"/>
  <c r="BD189" i="5" s="1"/>
  <c r="Z189" i="5"/>
  <c r="BI189" i="5" s="1"/>
  <c r="AH189" i="5"/>
  <c r="BF189" i="5" s="1"/>
  <c r="AD189" i="5"/>
  <c r="BA189" i="5" s="1"/>
  <c r="Y189" i="5"/>
  <c r="BG189" i="5" s="1"/>
  <c r="BK189" i="5" s="1"/>
  <c r="CK189" i="5" s="1"/>
  <c r="X189" i="5"/>
  <c r="AE189" i="5"/>
  <c r="BB189" i="5" s="1"/>
  <c r="AB189" i="5"/>
  <c r="BL239" i="21"/>
  <c r="BM247" i="21"/>
  <c r="BL200" i="21"/>
  <c r="BM208" i="21"/>
  <c r="BN189" i="5" l="1"/>
  <c r="AA189" i="5"/>
  <c r="BM189" i="5"/>
  <c r="CI189" i="5" s="1"/>
  <c r="BR189" i="5"/>
  <c r="CF189" i="5" s="1"/>
  <c r="BL189" i="5"/>
  <c r="CG189" i="5" s="1"/>
  <c r="BQ189" i="5"/>
  <c r="BO189" i="5"/>
  <c r="AX189" i="5"/>
  <c r="BC189" i="5"/>
  <c r="BK200" i="21"/>
  <c r="BL208" i="21"/>
  <c r="BK239" i="21"/>
  <c r="BL247" i="21"/>
  <c r="AG190" i="5" l="1"/>
  <c r="BE190" i="5" s="1"/>
  <c r="W190" i="5"/>
  <c r="AF190" i="5"/>
  <c r="BD190" i="5" s="1"/>
  <c r="Z190" i="5"/>
  <c r="BI190" i="5" s="1"/>
  <c r="AB190" i="5"/>
  <c r="X190" i="5"/>
  <c r="AC190" i="5"/>
  <c r="AZ190" i="5" s="1"/>
  <c r="Y190" i="5"/>
  <c r="BG190" i="5" s="1"/>
  <c r="BK190" i="5" s="1"/>
  <c r="CK190" i="5" s="1"/>
  <c r="AD190" i="5"/>
  <c r="BA190" i="5" s="1"/>
  <c r="BH189" i="5"/>
  <c r="BJ189" i="5" s="1"/>
  <c r="CJ189" i="5" s="1"/>
  <c r="AE190" i="5"/>
  <c r="BB190" i="5" s="1"/>
  <c r="AH190" i="5"/>
  <c r="BF190" i="5" s="1"/>
  <c r="BP189" i="5"/>
  <c r="CH189" i="5" s="1"/>
  <c r="BJ239" i="21"/>
  <c r="BK247" i="21"/>
  <c r="BJ200" i="21"/>
  <c r="BK208" i="21"/>
  <c r="BN190" i="5" l="1"/>
  <c r="AA190" i="5"/>
  <c r="BQ190" i="5"/>
  <c r="BO190" i="5"/>
  <c r="BL190" i="5"/>
  <c r="CG190" i="5" s="1"/>
  <c r="BM190" i="5"/>
  <c r="CI190" i="5" s="1"/>
  <c r="BR190" i="5"/>
  <c r="CF190" i="5" s="1"/>
  <c r="BC190" i="5"/>
  <c r="AX190" i="5"/>
  <c r="BI200" i="21"/>
  <c r="BJ208" i="21"/>
  <c r="BI239" i="21"/>
  <c r="BJ247" i="21"/>
  <c r="W191" i="5" l="1"/>
  <c r="AB191" i="5"/>
  <c r="Z191" i="5"/>
  <c r="BI191" i="5" s="1"/>
  <c r="AC191" i="5"/>
  <c r="AZ191" i="5" s="1"/>
  <c r="AH191" i="5"/>
  <c r="BF191" i="5" s="1"/>
  <c r="AD191" i="5"/>
  <c r="BA191" i="5" s="1"/>
  <c r="Y191" i="5"/>
  <c r="BG191" i="5" s="1"/>
  <c r="BK191" i="5" s="1"/>
  <c r="CK191" i="5" s="1"/>
  <c r="AG191" i="5"/>
  <c r="BE191" i="5" s="1"/>
  <c r="BH190" i="5"/>
  <c r="BJ190" i="5" s="1"/>
  <c r="CJ190" i="5" s="1"/>
  <c r="AF191" i="5"/>
  <c r="BD191" i="5" s="1"/>
  <c r="X191" i="5"/>
  <c r="AE191" i="5"/>
  <c r="BB191" i="5" s="1"/>
  <c r="BP190" i="5"/>
  <c r="CH190" i="5" s="1"/>
  <c r="BH239" i="21"/>
  <c r="BI247" i="21"/>
  <c r="BH200" i="21"/>
  <c r="BI208" i="21"/>
  <c r="BN191" i="5" l="1"/>
  <c r="AA191" i="5"/>
  <c r="BL191" i="5"/>
  <c r="CG191" i="5" s="1"/>
  <c r="BO191" i="5"/>
  <c r="BR191" i="5"/>
  <c r="CF191" i="5" s="1"/>
  <c r="BQ191" i="5"/>
  <c r="BM191" i="5"/>
  <c r="CI191" i="5" s="1"/>
  <c r="AX191" i="5"/>
  <c r="BC191" i="5"/>
  <c r="BG200" i="21"/>
  <c r="BH208" i="21"/>
  <c r="BG239" i="21"/>
  <c r="BH247" i="21"/>
  <c r="AG192" i="5" l="1"/>
  <c r="BE192" i="5" s="1"/>
  <c r="X192" i="5"/>
  <c r="AE192" i="5"/>
  <c r="BB192" i="5" s="1"/>
  <c r="BH191" i="5"/>
  <c r="BJ191" i="5" s="1"/>
  <c r="CJ191" i="5" s="1"/>
  <c r="AB192" i="5"/>
  <c r="AH192" i="5"/>
  <c r="BF192" i="5" s="1"/>
  <c r="W192" i="5"/>
  <c r="AC192" i="5"/>
  <c r="AZ192" i="5" s="1"/>
  <c r="Z192" i="5"/>
  <c r="BI192" i="5" s="1"/>
  <c r="AF192" i="5"/>
  <c r="BD192" i="5" s="1"/>
  <c r="Y192" i="5"/>
  <c r="BG192" i="5" s="1"/>
  <c r="BK192" i="5" s="1"/>
  <c r="AD192" i="5"/>
  <c r="BA192" i="5" s="1"/>
  <c r="BP191" i="5"/>
  <c r="CH191" i="5" s="1"/>
  <c r="BF239" i="21"/>
  <c r="BG247" i="21"/>
  <c r="BF200" i="21"/>
  <c r="BG208" i="21"/>
  <c r="CK192" i="5" l="1"/>
  <c r="B209" i="21" a="1"/>
  <c r="BM192" i="5"/>
  <c r="CI192" i="5" s="1"/>
  <c r="BQ192" i="5"/>
  <c r="BZ192" i="5" s="1"/>
  <c r="BZ191" i="5" s="1"/>
  <c r="BZ190" i="5" s="1"/>
  <c r="BZ189" i="5" s="1"/>
  <c r="BZ188" i="5" s="1"/>
  <c r="BZ187" i="5" s="1"/>
  <c r="BZ186" i="5" s="1"/>
  <c r="BZ185" i="5" s="1"/>
  <c r="BZ184" i="5" s="1"/>
  <c r="BZ183" i="5" s="1"/>
  <c r="BZ182" i="5" s="1"/>
  <c r="BZ181" i="5" s="1"/>
  <c r="BZ180" i="5" s="1"/>
  <c r="BZ179" i="5" s="1"/>
  <c r="BZ178" i="5" s="1"/>
  <c r="BZ177" i="5" s="1"/>
  <c r="BZ176" i="5" s="1"/>
  <c r="BZ175" i="5" s="1"/>
  <c r="BZ174" i="5" s="1"/>
  <c r="BZ173" i="5" s="1"/>
  <c r="BZ172" i="5" s="1"/>
  <c r="BZ171" i="5" s="1"/>
  <c r="BZ170" i="5" s="1"/>
  <c r="BZ169" i="5" s="1"/>
  <c r="BZ168" i="5" s="1"/>
  <c r="BZ167" i="5" s="1"/>
  <c r="BZ166" i="5" s="1"/>
  <c r="BZ165" i="5" s="1"/>
  <c r="BZ164" i="5" s="1"/>
  <c r="BZ163" i="5" s="1"/>
  <c r="BZ162" i="5" s="1"/>
  <c r="BZ161" i="5" s="1"/>
  <c r="BZ160" i="5" s="1"/>
  <c r="BZ159" i="5" s="1"/>
  <c r="BZ158" i="5" s="1"/>
  <c r="BZ157" i="5" s="1"/>
  <c r="BZ156" i="5" s="1"/>
  <c r="BZ155" i="5" s="1"/>
  <c r="BZ154" i="5" s="1"/>
  <c r="BZ153" i="5" s="1"/>
  <c r="BZ152" i="5" s="1"/>
  <c r="BZ151" i="5" s="1"/>
  <c r="BZ150" i="5" s="1"/>
  <c r="BZ149" i="5" s="1"/>
  <c r="BZ148" i="5" s="1"/>
  <c r="BZ147" i="5" s="1"/>
  <c r="BZ146" i="5" s="1"/>
  <c r="BZ145" i="5" s="1"/>
  <c r="BZ144" i="5" s="1"/>
  <c r="BZ143" i="5" s="1"/>
  <c r="BZ142" i="5" s="1"/>
  <c r="BZ141" i="5" s="1"/>
  <c r="BZ140" i="5" s="1"/>
  <c r="BZ139" i="5" s="1"/>
  <c r="BZ138" i="5" s="1"/>
  <c r="BZ137" i="5" s="1"/>
  <c r="BZ136" i="5" s="1"/>
  <c r="BZ135" i="5" s="1"/>
  <c r="BZ134" i="5" s="1"/>
  <c r="BZ133" i="5" s="1"/>
  <c r="BZ132" i="5" s="1"/>
  <c r="BZ131" i="5" s="1"/>
  <c r="BZ130" i="5" s="1"/>
  <c r="BZ129" i="5" s="1"/>
  <c r="BZ128" i="5" s="1"/>
  <c r="BZ127" i="5" s="1"/>
  <c r="BZ126" i="5" s="1"/>
  <c r="BZ125" i="5" s="1"/>
  <c r="BZ124" i="5" s="1"/>
  <c r="BZ123" i="5" s="1"/>
  <c r="BZ122" i="5" s="1"/>
  <c r="BZ121" i="5" s="1"/>
  <c r="BZ120" i="5" s="1"/>
  <c r="BZ119" i="5" s="1"/>
  <c r="BZ118" i="5" s="1"/>
  <c r="BZ117" i="5" s="1"/>
  <c r="BZ116" i="5" s="1"/>
  <c r="BZ115" i="5" s="1"/>
  <c r="BZ114" i="5" s="1"/>
  <c r="BZ113" i="5" s="1"/>
  <c r="BZ112" i="5" s="1"/>
  <c r="BZ111" i="5" s="1"/>
  <c r="BZ110" i="5" s="1"/>
  <c r="BZ109" i="5" s="1"/>
  <c r="BZ108" i="5" s="1"/>
  <c r="BZ107" i="5" s="1"/>
  <c r="BZ106" i="5" s="1"/>
  <c r="BZ105" i="5" s="1"/>
  <c r="BZ104" i="5" s="1"/>
  <c r="BZ103" i="5" s="1"/>
  <c r="BZ102" i="5" s="1"/>
  <c r="BZ101" i="5" s="1"/>
  <c r="BZ100" i="5" s="1"/>
  <c r="BZ99" i="5" s="1"/>
  <c r="BZ98" i="5" s="1"/>
  <c r="BZ97" i="5" s="1"/>
  <c r="BZ96" i="5" s="1"/>
  <c r="BZ95" i="5" s="1"/>
  <c r="BZ94" i="5" s="1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BZ65" i="5" s="1"/>
  <c r="BZ64" i="5" s="1"/>
  <c r="BZ63" i="5" s="1"/>
  <c r="BZ62" i="5" s="1"/>
  <c r="BZ61" i="5" s="1"/>
  <c r="BZ60" i="5" s="1"/>
  <c r="BZ59" i="5" s="1"/>
  <c r="BZ58" i="5" s="1"/>
  <c r="BZ57" i="5" s="1"/>
  <c r="BZ56" i="5" s="1"/>
  <c r="BZ55" i="5" s="1"/>
  <c r="BZ54" i="5" s="1"/>
  <c r="BZ53" i="5" s="1"/>
  <c r="BZ52" i="5" s="1"/>
  <c r="BZ51" i="5" s="1"/>
  <c r="BZ50" i="5" s="1"/>
  <c r="BZ49" i="5" s="1"/>
  <c r="BZ48" i="5" s="1"/>
  <c r="BL192" i="5"/>
  <c r="CG192" i="5" s="1"/>
  <c r="BR192" i="5"/>
  <c r="CF192" i="5" s="1"/>
  <c r="BN192" i="5"/>
  <c r="AA192" i="5"/>
  <c r="BO192" i="5"/>
  <c r="BX192" i="5" s="1"/>
  <c r="BX191" i="5" s="1"/>
  <c r="BX190" i="5" s="1"/>
  <c r="BX189" i="5" s="1"/>
  <c r="BX188" i="5" s="1"/>
  <c r="BX187" i="5" s="1"/>
  <c r="BX186" i="5" s="1"/>
  <c r="BX185" i="5" s="1"/>
  <c r="BX184" i="5" s="1"/>
  <c r="BX183" i="5" s="1"/>
  <c r="BX182" i="5" s="1"/>
  <c r="BX181" i="5" s="1"/>
  <c r="BX180" i="5" s="1"/>
  <c r="BX179" i="5" s="1"/>
  <c r="BX178" i="5" s="1"/>
  <c r="BX177" i="5" s="1"/>
  <c r="BX176" i="5" s="1"/>
  <c r="BX175" i="5" s="1"/>
  <c r="BX174" i="5" s="1"/>
  <c r="BX173" i="5" s="1"/>
  <c r="BX172" i="5" s="1"/>
  <c r="BX171" i="5" s="1"/>
  <c r="BX170" i="5" s="1"/>
  <c r="BX169" i="5" s="1"/>
  <c r="BX168" i="5" s="1"/>
  <c r="BX167" i="5" s="1"/>
  <c r="BX166" i="5" s="1"/>
  <c r="BX165" i="5" s="1"/>
  <c r="BX164" i="5" s="1"/>
  <c r="BX163" i="5" s="1"/>
  <c r="BX162" i="5" s="1"/>
  <c r="BX161" i="5" s="1"/>
  <c r="BX160" i="5" s="1"/>
  <c r="BX159" i="5" s="1"/>
  <c r="BX158" i="5" s="1"/>
  <c r="BX157" i="5" s="1"/>
  <c r="BX156" i="5" s="1"/>
  <c r="BX155" i="5" s="1"/>
  <c r="BX154" i="5" s="1"/>
  <c r="BX153" i="5" s="1"/>
  <c r="BX152" i="5" s="1"/>
  <c r="BX151" i="5" s="1"/>
  <c r="BX150" i="5" s="1"/>
  <c r="BX149" i="5" s="1"/>
  <c r="BX148" i="5" s="1"/>
  <c r="BX147" i="5" s="1"/>
  <c r="BX146" i="5" s="1"/>
  <c r="BX145" i="5" s="1"/>
  <c r="BX144" i="5" s="1"/>
  <c r="BX143" i="5" s="1"/>
  <c r="BX142" i="5" s="1"/>
  <c r="BX141" i="5" s="1"/>
  <c r="BX140" i="5" s="1"/>
  <c r="BX139" i="5" s="1"/>
  <c r="BX138" i="5" s="1"/>
  <c r="BX137" i="5" s="1"/>
  <c r="BX136" i="5" s="1"/>
  <c r="BX135" i="5" s="1"/>
  <c r="BX134" i="5" s="1"/>
  <c r="BX133" i="5" s="1"/>
  <c r="BX132" i="5" s="1"/>
  <c r="BX131" i="5" s="1"/>
  <c r="BX130" i="5" s="1"/>
  <c r="BX129" i="5" s="1"/>
  <c r="BX128" i="5" s="1"/>
  <c r="BX127" i="5" s="1"/>
  <c r="BX126" i="5" s="1"/>
  <c r="BX125" i="5" s="1"/>
  <c r="BX124" i="5" s="1"/>
  <c r="BX123" i="5" s="1"/>
  <c r="BX122" i="5" s="1"/>
  <c r="BX121" i="5" s="1"/>
  <c r="BX120" i="5" s="1"/>
  <c r="BX119" i="5" s="1"/>
  <c r="BX118" i="5" s="1"/>
  <c r="BX117" i="5" s="1"/>
  <c r="BX116" i="5" s="1"/>
  <c r="BX115" i="5" s="1"/>
  <c r="BX114" i="5" s="1"/>
  <c r="BX113" i="5" s="1"/>
  <c r="BX112" i="5" s="1"/>
  <c r="BX111" i="5" s="1"/>
  <c r="BX110" i="5" s="1"/>
  <c r="BX109" i="5" s="1"/>
  <c r="BX108" i="5" s="1"/>
  <c r="BX107" i="5" s="1"/>
  <c r="BX106" i="5" s="1"/>
  <c r="BX105" i="5" s="1"/>
  <c r="BX104" i="5" s="1"/>
  <c r="BX103" i="5" s="1"/>
  <c r="BX102" i="5" s="1"/>
  <c r="BX101" i="5" s="1"/>
  <c r="BX100" i="5" s="1"/>
  <c r="BX99" i="5" s="1"/>
  <c r="BX98" i="5" s="1"/>
  <c r="BX97" i="5" s="1"/>
  <c r="BX96" i="5" s="1"/>
  <c r="BX95" i="5" s="1"/>
  <c r="BX94" i="5" s="1"/>
  <c r="BX93" i="5" s="1"/>
  <c r="BX92" i="5" s="1"/>
  <c r="BX91" i="5" s="1"/>
  <c r="BX90" i="5" s="1"/>
  <c r="BX89" i="5" s="1"/>
  <c r="BX88" i="5" s="1"/>
  <c r="BX87" i="5" s="1"/>
  <c r="BX86" i="5" s="1"/>
  <c r="BX85" i="5" s="1"/>
  <c r="BX84" i="5" s="1"/>
  <c r="BX83" i="5" s="1"/>
  <c r="BX82" i="5" s="1"/>
  <c r="BX81" i="5" s="1"/>
  <c r="BX80" i="5" s="1"/>
  <c r="BX79" i="5" s="1"/>
  <c r="BX78" i="5" s="1"/>
  <c r="BX77" i="5" s="1"/>
  <c r="BX76" i="5" s="1"/>
  <c r="BX75" i="5" s="1"/>
  <c r="BX74" i="5" s="1"/>
  <c r="BX73" i="5" s="1"/>
  <c r="BX72" i="5" s="1"/>
  <c r="BX71" i="5" s="1"/>
  <c r="BX70" i="5" s="1"/>
  <c r="BX69" i="5" s="1"/>
  <c r="BX68" i="5" s="1"/>
  <c r="BX67" i="5" s="1"/>
  <c r="BX66" i="5" s="1"/>
  <c r="BX65" i="5" s="1"/>
  <c r="BX64" i="5" s="1"/>
  <c r="BX63" i="5" s="1"/>
  <c r="BX62" i="5" s="1"/>
  <c r="BX61" i="5" s="1"/>
  <c r="BX60" i="5" s="1"/>
  <c r="BX59" i="5" s="1"/>
  <c r="BX58" i="5" s="1"/>
  <c r="BX57" i="5" s="1"/>
  <c r="BX56" i="5" s="1"/>
  <c r="BX55" i="5" s="1"/>
  <c r="BX54" i="5" s="1"/>
  <c r="BX53" i="5" s="1"/>
  <c r="BX52" i="5" s="1"/>
  <c r="BX51" i="5" s="1"/>
  <c r="BX50" i="5" s="1"/>
  <c r="BX49" i="5" s="1"/>
  <c r="BX48" i="5" s="1"/>
  <c r="BT192" i="5"/>
  <c r="BT191" i="5" s="1"/>
  <c r="BT190" i="5" s="1"/>
  <c r="BT189" i="5" s="1"/>
  <c r="BT188" i="5" s="1"/>
  <c r="BT187" i="5" s="1"/>
  <c r="BT186" i="5" s="1"/>
  <c r="BT185" i="5" s="1"/>
  <c r="BT184" i="5" s="1"/>
  <c r="BT183" i="5" s="1"/>
  <c r="BT182" i="5" s="1"/>
  <c r="BT181" i="5" s="1"/>
  <c r="BT180" i="5" s="1"/>
  <c r="BT179" i="5" s="1"/>
  <c r="BT178" i="5" s="1"/>
  <c r="BT177" i="5" s="1"/>
  <c r="BT176" i="5" s="1"/>
  <c r="BT175" i="5" s="1"/>
  <c r="BT174" i="5" s="1"/>
  <c r="BT173" i="5" s="1"/>
  <c r="BT172" i="5" s="1"/>
  <c r="BT171" i="5" s="1"/>
  <c r="BT170" i="5" s="1"/>
  <c r="BT169" i="5" s="1"/>
  <c r="BT168" i="5" s="1"/>
  <c r="BT167" i="5" s="1"/>
  <c r="BT166" i="5" s="1"/>
  <c r="BT165" i="5" s="1"/>
  <c r="BT164" i="5" s="1"/>
  <c r="BT163" i="5" s="1"/>
  <c r="BT162" i="5" s="1"/>
  <c r="BT161" i="5" s="1"/>
  <c r="BT160" i="5" s="1"/>
  <c r="BT159" i="5" s="1"/>
  <c r="BT158" i="5" s="1"/>
  <c r="BT157" i="5" s="1"/>
  <c r="BT156" i="5" s="1"/>
  <c r="BT155" i="5" s="1"/>
  <c r="BT154" i="5" s="1"/>
  <c r="BT153" i="5" s="1"/>
  <c r="BT152" i="5" s="1"/>
  <c r="BT151" i="5" s="1"/>
  <c r="BT150" i="5" s="1"/>
  <c r="BT149" i="5" s="1"/>
  <c r="BT148" i="5" s="1"/>
  <c r="BT147" i="5" s="1"/>
  <c r="BT146" i="5" s="1"/>
  <c r="BT145" i="5" s="1"/>
  <c r="BT144" i="5" s="1"/>
  <c r="BT143" i="5" s="1"/>
  <c r="BT142" i="5" s="1"/>
  <c r="BT141" i="5" s="1"/>
  <c r="BT140" i="5" s="1"/>
  <c r="BT139" i="5" s="1"/>
  <c r="BT138" i="5" s="1"/>
  <c r="BT137" i="5" s="1"/>
  <c r="BT136" i="5" s="1"/>
  <c r="BT135" i="5" s="1"/>
  <c r="BT134" i="5" s="1"/>
  <c r="BT133" i="5" s="1"/>
  <c r="BT132" i="5" s="1"/>
  <c r="BT131" i="5" s="1"/>
  <c r="BT130" i="5" s="1"/>
  <c r="BT129" i="5" s="1"/>
  <c r="BT128" i="5" s="1"/>
  <c r="BT127" i="5" s="1"/>
  <c r="BT126" i="5" s="1"/>
  <c r="BT125" i="5" s="1"/>
  <c r="BT124" i="5" s="1"/>
  <c r="BT123" i="5" s="1"/>
  <c r="BT122" i="5" s="1"/>
  <c r="BT121" i="5" s="1"/>
  <c r="BT120" i="5" s="1"/>
  <c r="BT119" i="5" s="1"/>
  <c r="BT118" i="5" s="1"/>
  <c r="BT117" i="5" s="1"/>
  <c r="BT116" i="5" s="1"/>
  <c r="BT115" i="5" s="1"/>
  <c r="BT114" i="5" s="1"/>
  <c r="BT113" i="5" s="1"/>
  <c r="BT112" i="5" s="1"/>
  <c r="BT111" i="5" s="1"/>
  <c r="BT110" i="5" s="1"/>
  <c r="BT109" i="5" s="1"/>
  <c r="BT108" i="5" s="1"/>
  <c r="BT107" i="5" s="1"/>
  <c r="BT106" i="5" s="1"/>
  <c r="BT105" i="5" s="1"/>
  <c r="BT104" i="5" s="1"/>
  <c r="BT103" i="5" s="1"/>
  <c r="BT102" i="5" s="1"/>
  <c r="BT101" i="5" s="1"/>
  <c r="BT100" i="5" s="1"/>
  <c r="BT99" i="5" s="1"/>
  <c r="BT98" i="5" s="1"/>
  <c r="BT97" i="5" s="1"/>
  <c r="BT96" i="5" s="1"/>
  <c r="BT95" i="5" s="1"/>
  <c r="BT94" i="5" s="1"/>
  <c r="BT93" i="5" s="1"/>
  <c r="BT92" i="5" s="1"/>
  <c r="BT91" i="5" s="1"/>
  <c r="BT90" i="5" s="1"/>
  <c r="BT89" i="5" s="1"/>
  <c r="BT88" i="5" s="1"/>
  <c r="BT87" i="5" s="1"/>
  <c r="BT86" i="5" s="1"/>
  <c r="BT85" i="5" s="1"/>
  <c r="BT84" i="5" s="1"/>
  <c r="BT83" i="5" s="1"/>
  <c r="BT82" i="5" s="1"/>
  <c r="BT81" i="5" s="1"/>
  <c r="BT80" i="5" s="1"/>
  <c r="BT79" i="5" s="1"/>
  <c r="BT78" i="5" s="1"/>
  <c r="BT77" i="5" s="1"/>
  <c r="BT76" i="5" s="1"/>
  <c r="BT75" i="5" s="1"/>
  <c r="BT74" i="5" s="1"/>
  <c r="BT73" i="5" s="1"/>
  <c r="BT72" i="5" s="1"/>
  <c r="BT71" i="5" s="1"/>
  <c r="BT70" i="5" s="1"/>
  <c r="BT69" i="5" s="1"/>
  <c r="BT68" i="5" s="1"/>
  <c r="BT67" i="5" s="1"/>
  <c r="BT66" i="5" s="1"/>
  <c r="BT65" i="5" s="1"/>
  <c r="BT64" i="5" s="1"/>
  <c r="BT63" i="5" s="1"/>
  <c r="BT62" i="5" s="1"/>
  <c r="BT61" i="5" s="1"/>
  <c r="BT60" i="5" s="1"/>
  <c r="BT59" i="5" s="1"/>
  <c r="BT58" i="5" s="1"/>
  <c r="BT57" i="5" s="1"/>
  <c r="BT56" i="5" s="1"/>
  <c r="BT55" i="5" s="1"/>
  <c r="BT54" i="5" s="1"/>
  <c r="BT53" i="5" s="1"/>
  <c r="BT52" i="5" s="1"/>
  <c r="BT51" i="5" s="1"/>
  <c r="BT50" i="5" s="1"/>
  <c r="BT49" i="5" s="1"/>
  <c r="BT48" i="5" s="1"/>
  <c r="B40" i="21" a="1"/>
  <c r="AX192" i="5"/>
  <c r="BC192" i="5"/>
  <c r="BE200" i="21"/>
  <c r="BF208" i="21"/>
  <c r="BE239" i="21"/>
  <c r="BF247" i="21"/>
  <c r="BX47" i="5" l="1"/>
  <c r="BZ47" i="5"/>
  <c r="BT47" i="5"/>
  <c r="BH192" i="5"/>
  <c r="BJ192" i="5" s="1"/>
  <c r="B210" i="21" a="1"/>
  <c r="BP192" i="5"/>
  <c r="CH192" i="5" s="1"/>
  <c r="BW192" i="5"/>
  <c r="CA192" i="5"/>
  <c r="B30" i="21" a="1"/>
  <c r="BU192" i="5"/>
  <c r="B31" i="21" a="1"/>
  <c r="B36" i="21" a="1"/>
  <c r="BV192" i="5"/>
  <c r="AE40" i="21"/>
  <c r="DW40" i="21"/>
  <c r="AP40" i="21"/>
  <c r="EQ40" i="21"/>
  <c r="BS40" i="21"/>
  <c r="FT40" i="21"/>
  <c r="CR40" i="21"/>
  <c r="V40" i="21"/>
  <c r="FC40" i="21"/>
  <c r="DG40" i="21"/>
  <c r="BH40" i="21"/>
  <c r="T40" i="21"/>
  <c r="AH40" i="21"/>
  <c r="BJ40" i="21"/>
  <c r="CI40" i="21"/>
  <c r="DO40" i="21"/>
  <c r="Y40" i="21"/>
  <c r="EK40" i="21"/>
  <c r="BT40" i="21"/>
  <c r="BY40" i="21"/>
  <c r="CB40" i="21"/>
  <c r="M40" i="21"/>
  <c r="CP40" i="21"/>
  <c r="FS40" i="21"/>
  <c r="R40" i="21"/>
  <c r="ER40" i="21"/>
  <c r="AM40" i="21"/>
  <c r="DJ40" i="21"/>
  <c r="FJ40" i="21"/>
  <c r="FP40" i="21"/>
  <c r="BZ40" i="21"/>
  <c r="AQ40" i="21"/>
  <c r="EI40" i="21"/>
  <c r="BD40" i="21"/>
  <c r="FD40" i="21"/>
  <c r="CF40" i="21"/>
  <c r="D40" i="21"/>
  <c r="DE40" i="21"/>
  <c r="AL40" i="21"/>
  <c r="FW40" i="21"/>
  <c r="DX40" i="21"/>
  <c r="BX40" i="21"/>
  <c r="AT40" i="21"/>
  <c r="BI40" i="21"/>
  <c r="CH40" i="21"/>
  <c r="DL40" i="21"/>
  <c r="EP40" i="21"/>
  <c r="BA40" i="21"/>
  <c r="FU40" i="21"/>
  <c r="CZ40" i="21"/>
  <c r="DM40" i="21"/>
  <c r="DP40" i="21"/>
  <c r="N40" i="21"/>
  <c r="DU40" i="21"/>
  <c r="CA40" i="21"/>
  <c r="CQ40" i="21"/>
  <c r="DS40" i="21"/>
  <c r="CL40" i="21"/>
  <c r="FX40" i="21"/>
  <c r="EC40" i="21"/>
  <c r="AZ40" i="21"/>
  <c r="BU40" i="21"/>
  <c r="FL40" i="21"/>
  <c r="CM40" i="21"/>
  <c r="DD40" i="21"/>
  <c r="EF40" i="21"/>
  <c r="FE40" i="21"/>
  <c r="BG40" i="21"/>
  <c r="EO40" i="21"/>
  <c r="FB40" i="21"/>
  <c r="AU40" i="21"/>
  <c r="Z40" i="21"/>
  <c r="EL40" i="21"/>
  <c r="DN40" i="21"/>
  <c r="FM40" i="21"/>
  <c r="G40" i="21"/>
  <c r="CY40" i="21"/>
  <c r="P40" i="21"/>
  <c r="P270" i="21" s="1"/>
  <c r="DQ40" i="21"/>
  <c r="DQ270" i="21" s="1"/>
  <c r="AS40" i="21"/>
  <c r="ES40" i="21"/>
  <c r="ES270" i="21" s="1"/>
  <c r="BR40" i="21"/>
  <c r="FR40" i="21"/>
  <c r="DV40" i="21"/>
  <c r="BW40" i="21"/>
  <c r="X40" i="21"/>
  <c r="FI40" i="21"/>
  <c r="FA40" i="21"/>
  <c r="K40" i="21"/>
  <c r="AJ40" i="21"/>
  <c r="BP40" i="21"/>
  <c r="EA40" i="21"/>
  <c r="BL40" i="21"/>
  <c r="FV40" i="21"/>
  <c r="EV40" i="21"/>
  <c r="EX40" i="21"/>
  <c r="DT40" i="21"/>
  <c r="AY40" i="21"/>
  <c r="S40" i="21"/>
  <c r="DK40" i="21"/>
  <c r="AC40" i="21"/>
  <c r="ED40" i="21"/>
  <c r="BF40" i="21"/>
  <c r="FF40" i="21"/>
  <c r="FF270" i="21" s="1"/>
  <c r="CE40" i="21"/>
  <c r="B40" i="21"/>
  <c r="EM40" i="21"/>
  <c r="CN40" i="21"/>
  <c r="AN40" i="21"/>
  <c r="FY40" i="21"/>
  <c r="J40" i="21"/>
  <c r="AI40" i="21"/>
  <c r="BK40" i="21"/>
  <c r="CT40" i="21"/>
  <c r="FO40" i="21"/>
  <c r="CW40" i="21"/>
  <c r="AB40" i="21"/>
  <c r="BC40" i="21"/>
  <c r="EU40" i="21"/>
  <c r="BQ40" i="21"/>
  <c r="FQ40" i="21"/>
  <c r="CS40" i="21"/>
  <c r="Q40" i="21"/>
  <c r="DR40" i="21"/>
  <c r="BB40" i="21"/>
  <c r="F40" i="21"/>
  <c r="EN40" i="21"/>
  <c r="CO40" i="21"/>
  <c r="CO270" i="21" s="1"/>
  <c r="BM40" i="21"/>
  <c r="CG40" i="21"/>
  <c r="CG270" i="21" s="1"/>
  <c r="DI40" i="21"/>
  <c r="EJ40" i="21"/>
  <c r="FN40" i="21"/>
  <c r="CV40" i="21"/>
  <c r="AA40" i="21"/>
  <c r="ET40" i="21"/>
  <c r="EW40" i="21"/>
  <c r="EY40" i="21"/>
  <c r="EY270" i="21" s="1"/>
  <c r="AX40" i="21"/>
  <c r="AR40" i="21"/>
  <c r="DY40" i="21"/>
  <c r="O40" i="21"/>
  <c r="CX40" i="21"/>
  <c r="AW40" i="21"/>
  <c r="C40" i="21"/>
  <c r="AF40" i="21"/>
  <c r="BE40" i="21"/>
  <c r="DC40" i="21"/>
  <c r="H40" i="21"/>
  <c r="EG40" i="21"/>
  <c r="L40" i="21"/>
  <c r="CU40" i="21"/>
  <c r="DA40" i="21"/>
  <c r="CC40" i="21"/>
  <c r="CC270" i="21" s="1"/>
  <c r="BO40" i="21"/>
  <c r="FG40" i="21"/>
  <c r="CD40" i="21"/>
  <c r="E40" i="21"/>
  <c r="DF40" i="21"/>
  <c r="AD40" i="21"/>
  <c r="EE40" i="21"/>
  <c r="BV40" i="21"/>
  <c r="BV270" i="21" s="1"/>
  <c r="W40" i="21"/>
  <c r="FH40" i="21"/>
  <c r="DH40" i="21"/>
  <c r="CJ40" i="21"/>
  <c r="DB40" i="21"/>
  <c r="EH40" i="21"/>
  <c r="FK40" i="21"/>
  <c r="U40" i="21"/>
  <c r="EB40" i="21"/>
  <c r="BN40" i="21"/>
  <c r="AG40" i="21"/>
  <c r="AO40" i="21"/>
  <c r="I40" i="21"/>
  <c r="DZ40" i="21"/>
  <c r="AK40" i="21"/>
  <c r="AK270" i="21" s="1"/>
  <c r="EZ40" i="21"/>
  <c r="EZ270" i="21" s="1"/>
  <c r="AV40" i="21"/>
  <c r="CK40" i="21"/>
  <c r="AE209" i="21"/>
  <c r="AE248" i="21" s="1"/>
  <c r="I209" i="21"/>
  <c r="I248" i="21" s="1"/>
  <c r="H209" i="21"/>
  <c r="H248" i="21" s="1"/>
  <c r="CH209" i="21"/>
  <c r="CH248" i="21" s="1"/>
  <c r="FM209" i="21"/>
  <c r="FM248" i="21" s="1"/>
  <c r="AY209" i="21"/>
  <c r="AY248" i="21" s="1"/>
  <c r="CD209" i="21"/>
  <c r="CD248" i="21" s="1"/>
  <c r="BW209" i="21"/>
  <c r="BW248" i="21" s="1"/>
  <c r="X209" i="21"/>
  <c r="X248" i="21" s="1"/>
  <c r="FR209" i="21"/>
  <c r="FR248" i="21" s="1"/>
  <c r="BL209" i="21"/>
  <c r="BL248" i="21" s="1"/>
  <c r="BX209" i="21"/>
  <c r="BX248" i="21" s="1"/>
  <c r="CJ209" i="21"/>
  <c r="CJ248" i="21" s="1"/>
  <c r="AM209" i="21"/>
  <c r="AM248" i="21" s="1"/>
  <c r="DF209" i="21"/>
  <c r="DF248" i="21" s="1"/>
  <c r="AI209" i="21"/>
  <c r="AI248" i="21" s="1"/>
  <c r="DQ209" i="21"/>
  <c r="DQ248" i="21" s="1"/>
  <c r="BQ209" i="21"/>
  <c r="BQ248" i="21" s="1"/>
  <c r="CC209" i="21"/>
  <c r="CC248" i="21" s="1"/>
  <c r="BF209" i="21"/>
  <c r="BF248" i="21" s="1"/>
  <c r="EU209" i="21"/>
  <c r="EU248" i="21" s="1"/>
  <c r="CX209" i="21"/>
  <c r="CX248" i="21" s="1"/>
  <c r="FS209" i="21"/>
  <c r="FS248" i="21" s="1"/>
  <c r="BV209" i="21"/>
  <c r="BV248" i="21" s="1"/>
  <c r="FH209" i="21"/>
  <c r="FH248" i="21" s="1"/>
  <c r="O209" i="21"/>
  <c r="O248" i="21" s="1"/>
  <c r="FK209" i="21"/>
  <c r="FK248" i="21" s="1"/>
  <c r="AB209" i="21"/>
  <c r="AB248" i="21" s="1"/>
  <c r="BU209" i="21"/>
  <c r="BU248" i="21" s="1"/>
  <c r="AZ209" i="21"/>
  <c r="AZ248" i="21" s="1"/>
  <c r="V209" i="21"/>
  <c r="V248" i="21" s="1"/>
  <c r="CZ209" i="21"/>
  <c r="CZ248" i="21" s="1"/>
  <c r="EG209" i="21"/>
  <c r="EG248" i="21" s="1"/>
  <c r="FE209" i="21"/>
  <c r="FE248" i="21" s="1"/>
  <c r="F209" i="21"/>
  <c r="F248" i="21" s="1"/>
  <c r="CV209" i="21"/>
  <c r="CV248" i="21" s="1"/>
  <c r="DS209" i="21"/>
  <c r="DS248" i="21" s="1"/>
  <c r="ED209" i="21"/>
  <c r="ED248" i="21" s="1"/>
  <c r="DN209" i="21"/>
  <c r="DN248" i="21" s="1"/>
  <c r="CG209" i="21"/>
  <c r="CG248" i="21" s="1"/>
  <c r="FX209" i="21"/>
  <c r="FX248" i="21" s="1"/>
  <c r="EB209" i="21"/>
  <c r="EB248" i="21" s="1"/>
  <c r="FL209" i="21"/>
  <c r="FL248" i="21" s="1"/>
  <c r="FG209" i="21"/>
  <c r="FG248" i="21" s="1"/>
  <c r="DJ209" i="21"/>
  <c r="DJ248" i="21" s="1"/>
  <c r="BD209" i="21"/>
  <c r="BD248" i="21" s="1"/>
  <c r="AF209" i="21"/>
  <c r="AF248" i="21" s="1"/>
  <c r="ER209" i="21"/>
  <c r="ER248" i="21" s="1"/>
  <c r="CO209" i="21"/>
  <c r="CO248" i="21" s="1"/>
  <c r="CP209" i="21"/>
  <c r="CP248" i="21" s="1"/>
  <c r="FN209" i="21"/>
  <c r="FN248" i="21" s="1"/>
  <c r="EZ209" i="21"/>
  <c r="EZ248" i="21" s="1"/>
  <c r="BS209" i="21"/>
  <c r="BS248" i="21" s="1"/>
  <c r="DE209" i="21"/>
  <c r="DE248" i="21" s="1"/>
  <c r="AD209" i="21"/>
  <c r="AD248" i="21" s="1"/>
  <c r="CU209" i="21"/>
  <c r="CU248" i="21" s="1"/>
  <c r="BH209" i="21"/>
  <c r="BH248" i="21" s="1"/>
  <c r="CR209" i="21"/>
  <c r="CR248" i="21" s="1"/>
  <c r="DP209" i="21"/>
  <c r="DP248" i="21" s="1"/>
  <c r="EN209" i="21"/>
  <c r="EN248" i="21" s="1"/>
  <c r="B209" i="21"/>
  <c r="B248" i="21" s="1"/>
  <c r="AN209" i="21"/>
  <c r="AN248" i="21" s="1"/>
  <c r="FV209" i="21"/>
  <c r="FV248" i="21" s="1"/>
  <c r="M209" i="21"/>
  <c r="M248" i="21" s="1"/>
  <c r="EK209" i="21"/>
  <c r="EK248" i="21" s="1"/>
  <c r="E209" i="21"/>
  <c r="E248" i="21" s="1"/>
  <c r="BB209" i="21"/>
  <c r="BB248" i="21" s="1"/>
  <c r="EW209" i="21"/>
  <c r="EW248" i="21" s="1"/>
  <c r="FT209" i="21"/>
  <c r="FT248" i="21" s="1"/>
  <c r="T209" i="21"/>
  <c r="T248" i="21" s="1"/>
  <c r="CF209" i="21"/>
  <c r="CF248" i="21" s="1"/>
  <c r="AG209" i="21"/>
  <c r="AG248" i="21" s="1"/>
  <c r="P209" i="21"/>
  <c r="P248" i="21" s="1"/>
  <c r="AA209" i="21"/>
  <c r="AA248" i="21" s="1"/>
  <c r="AJ209" i="21"/>
  <c r="AJ248" i="21" s="1"/>
  <c r="EA209" i="21"/>
  <c r="EA248" i="21" s="1"/>
  <c r="DM209" i="21"/>
  <c r="DM248" i="21" s="1"/>
  <c r="CL209" i="21"/>
  <c r="CL248" i="21" s="1"/>
  <c r="BJ209" i="21"/>
  <c r="BJ248" i="21" s="1"/>
  <c r="EV209" i="21"/>
  <c r="EV248" i="21" s="1"/>
  <c r="C209" i="21"/>
  <c r="C248" i="21" s="1"/>
  <c r="Y209" i="21"/>
  <c r="Y248" i="21" s="1"/>
  <c r="FC209" i="21"/>
  <c r="FC248" i="21" s="1"/>
  <c r="FI209" i="21"/>
  <c r="FI248" i="21" s="1"/>
  <c r="FP209" i="21"/>
  <c r="FP248" i="21" s="1"/>
  <c r="CS209" i="21"/>
  <c r="CS248" i="21" s="1"/>
  <c r="AC209" i="21"/>
  <c r="AC248" i="21" s="1"/>
  <c r="AT209" i="21"/>
  <c r="AT248" i="21" s="1"/>
  <c r="DD209" i="21"/>
  <c r="DD248" i="21" s="1"/>
  <c r="G209" i="21"/>
  <c r="G248" i="21" s="1"/>
  <c r="BO209" i="21"/>
  <c r="BO248" i="21" s="1"/>
  <c r="CA209" i="21"/>
  <c r="CA248" i="21" s="1"/>
  <c r="R209" i="21"/>
  <c r="R248" i="21" s="1"/>
  <c r="BA209" i="21"/>
  <c r="BA248" i="21" s="1"/>
  <c r="FO209" i="21"/>
  <c r="FO248" i="21" s="1"/>
  <c r="D209" i="21"/>
  <c r="D248" i="21" s="1"/>
  <c r="Z209" i="21"/>
  <c r="Z248" i="21" s="1"/>
  <c r="FU209" i="21"/>
  <c r="FU248" i="21" s="1"/>
  <c r="EY209" i="21"/>
  <c r="EY248" i="21" s="1"/>
  <c r="DB209" i="21"/>
  <c r="DB248" i="21" s="1"/>
  <c r="EL209" i="21"/>
  <c r="EL248" i="21" s="1"/>
  <c r="CY209" i="21"/>
  <c r="CY248" i="21" s="1"/>
  <c r="BM209" i="21"/>
  <c r="BM248" i="21" s="1"/>
  <c r="BK209" i="21"/>
  <c r="BK248" i="21" s="1"/>
  <c r="AL209" i="21"/>
  <c r="AL248" i="21" s="1"/>
  <c r="DY209" i="21"/>
  <c r="DY248" i="21" s="1"/>
  <c r="DT209" i="21"/>
  <c r="DT248" i="21" s="1"/>
  <c r="AS209" i="21"/>
  <c r="AS248" i="21" s="1"/>
  <c r="J209" i="21"/>
  <c r="J248" i="21" s="1"/>
  <c r="EO209" i="21"/>
  <c r="EO248" i="21" s="1"/>
  <c r="FJ209" i="21"/>
  <c r="FJ248" i="21" s="1"/>
  <c r="EM209" i="21"/>
  <c r="EM248" i="21" s="1"/>
  <c r="FF209" i="21"/>
  <c r="FF248" i="21" s="1"/>
  <c r="AX209" i="21"/>
  <c r="AX248" i="21" s="1"/>
  <c r="DH209" i="21"/>
  <c r="DH248" i="21" s="1"/>
  <c r="AU209" i="21"/>
  <c r="AU248" i="21" s="1"/>
  <c r="CW209" i="21"/>
  <c r="CW248" i="21" s="1"/>
  <c r="BR209" i="21"/>
  <c r="BR248" i="21" s="1"/>
  <c r="BZ209" i="21"/>
  <c r="BZ248" i="21" s="1"/>
  <c r="CM209" i="21"/>
  <c r="CM248" i="21" s="1"/>
  <c r="BG209" i="21"/>
  <c r="BG248" i="21" s="1"/>
  <c r="DK209" i="21"/>
  <c r="DK248" i="21" s="1"/>
  <c r="AH209" i="21"/>
  <c r="AH248" i="21" s="1"/>
  <c r="DZ209" i="21"/>
  <c r="DZ248" i="21" s="1"/>
  <c r="DC209" i="21"/>
  <c r="DC248" i="21" s="1"/>
  <c r="CB209" i="21"/>
  <c r="CB248" i="21" s="1"/>
  <c r="FD209" i="21"/>
  <c r="FD248" i="21" s="1"/>
  <c r="CT209" i="21"/>
  <c r="CT248" i="21" s="1"/>
  <c r="CK209" i="21"/>
  <c r="CK248" i="21" s="1"/>
  <c r="BN209" i="21"/>
  <c r="BN248" i="21" s="1"/>
  <c r="BC209" i="21"/>
  <c r="BC248" i="21" s="1"/>
  <c r="BP209" i="21"/>
  <c r="BP248" i="21" s="1"/>
  <c r="CN209" i="21"/>
  <c r="CN248" i="21" s="1"/>
  <c r="K209" i="21"/>
  <c r="K248" i="21" s="1"/>
  <c r="BI209" i="21"/>
  <c r="BI248" i="21" s="1"/>
  <c r="CE209" i="21"/>
  <c r="CE248" i="21" s="1"/>
  <c r="AP209" i="21"/>
  <c r="AP248" i="21" s="1"/>
  <c r="S209" i="21"/>
  <c r="S248" i="21" s="1"/>
  <c r="BE209" i="21"/>
  <c r="BE248" i="21" s="1"/>
  <c r="EQ209" i="21"/>
  <c r="EQ248" i="21" s="1"/>
  <c r="W209" i="21"/>
  <c r="W248" i="21" s="1"/>
  <c r="EF209" i="21"/>
  <c r="EF248" i="21" s="1"/>
  <c r="FY209" i="21"/>
  <c r="FY248" i="21" s="1"/>
  <c r="ES209" i="21"/>
  <c r="ES248" i="21" s="1"/>
  <c r="EX209" i="21"/>
  <c r="EX248" i="21" s="1"/>
  <c r="FQ209" i="21"/>
  <c r="FQ248" i="21" s="1"/>
  <c r="CQ209" i="21"/>
  <c r="CQ248" i="21" s="1"/>
  <c r="BT209" i="21"/>
  <c r="BT248" i="21" s="1"/>
  <c r="DL209" i="21"/>
  <c r="DL248" i="21" s="1"/>
  <c r="DX209" i="21"/>
  <c r="DX248" i="21" s="1"/>
  <c r="EJ209" i="21"/>
  <c r="EJ248" i="21" s="1"/>
  <c r="DV209" i="21"/>
  <c r="DV248" i="21" s="1"/>
  <c r="BY209" i="21"/>
  <c r="BY248" i="21" s="1"/>
  <c r="DO209" i="21"/>
  <c r="DO248" i="21" s="1"/>
  <c r="AV209" i="21"/>
  <c r="AV248" i="21" s="1"/>
  <c r="EE209" i="21"/>
  <c r="EE248" i="21" s="1"/>
  <c r="AW209" i="21"/>
  <c r="AW248" i="21" s="1"/>
  <c r="U209" i="21"/>
  <c r="U248" i="21" s="1"/>
  <c r="DI209" i="21"/>
  <c r="DI248" i="21" s="1"/>
  <c r="EH209" i="21"/>
  <c r="EH248" i="21" s="1"/>
  <c r="AK209" i="21"/>
  <c r="AK248" i="21" s="1"/>
  <c r="EC209" i="21"/>
  <c r="EC248" i="21" s="1"/>
  <c r="ET209" i="21"/>
  <c r="ET248" i="21" s="1"/>
  <c r="CI209" i="21"/>
  <c r="CI248" i="21" s="1"/>
  <c r="L209" i="21"/>
  <c r="L248" i="21" s="1"/>
  <c r="AR209" i="21"/>
  <c r="AR248" i="21" s="1"/>
  <c r="FB209" i="21"/>
  <c r="FB248" i="21" s="1"/>
  <c r="FA209" i="21"/>
  <c r="FA248" i="21" s="1"/>
  <c r="DW209" i="21"/>
  <c r="DW248" i="21" s="1"/>
  <c r="DG209" i="21"/>
  <c r="DG248" i="21" s="1"/>
  <c r="AQ209" i="21"/>
  <c r="AQ248" i="21" s="1"/>
  <c r="DR209" i="21"/>
  <c r="DR248" i="21" s="1"/>
  <c r="EP209" i="21"/>
  <c r="EP248" i="21" s="1"/>
  <c r="DU209" i="21"/>
  <c r="DU248" i="21" s="1"/>
  <c r="Q209" i="21"/>
  <c r="Q248" i="21" s="1"/>
  <c r="N209" i="21"/>
  <c r="N248" i="21" s="1"/>
  <c r="FW209" i="21"/>
  <c r="FW248" i="21" s="1"/>
  <c r="DA209" i="21"/>
  <c r="DA248" i="21" s="1"/>
  <c r="EI209" i="21"/>
  <c r="EI248" i="21" s="1"/>
  <c r="AO209" i="21"/>
  <c r="AO248" i="21" s="1"/>
  <c r="BD239" i="21"/>
  <c r="BE247" i="21"/>
  <c r="BD200" i="21"/>
  <c r="BE208" i="21"/>
  <c r="BP270" i="21" l="1"/>
  <c r="AJ270" i="21"/>
  <c r="DG270" i="21"/>
  <c r="FH270" i="21"/>
  <c r="BG270" i="21"/>
  <c r="CE270" i="21"/>
  <c r="AX270" i="21"/>
  <c r="AT270" i="21"/>
  <c r="BT270" i="21"/>
  <c r="EE270" i="21"/>
  <c r="EI270" i="21"/>
  <c r="FC270" i="21"/>
  <c r="FA270" i="21"/>
  <c r="CM270" i="21"/>
  <c r="CQ270" i="21"/>
  <c r="AQ270" i="21"/>
  <c r="F270" i="21"/>
  <c r="BC270" i="21"/>
  <c r="M270" i="21"/>
  <c r="K270" i="21"/>
  <c r="I270" i="21"/>
  <c r="AA270" i="21"/>
  <c r="EN270" i="21"/>
  <c r="BZ270" i="21"/>
  <c r="BJ7" i="5"/>
  <c r="CJ192" i="5"/>
  <c r="FO270" i="21"/>
  <c r="CL270" i="21"/>
  <c r="AG270" i="21"/>
  <c r="DH270" i="21"/>
  <c r="H270" i="21"/>
  <c r="AB270" i="21"/>
  <c r="AC270" i="21"/>
  <c r="BL270" i="21"/>
  <c r="EO270" i="21"/>
  <c r="CH270" i="21"/>
  <c r="CB270" i="21"/>
  <c r="BM270" i="21"/>
  <c r="DS270" i="21"/>
  <c r="DZ270" i="21"/>
  <c r="AS270" i="21"/>
  <c r="FS270" i="21"/>
  <c r="V270" i="21"/>
  <c r="AO270" i="21"/>
  <c r="CJ270" i="21"/>
  <c r="O270" i="21"/>
  <c r="ED270" i="21"/>
  <c r="FV270" i="21"/>
  <c r="FB270" i="21"/>
  <c r="DL270" i="21"/>
  <c r="FP270" i="21"/>
  <c r="DK270" i="21"/>
  <c r="EA270" i="21"/>
  <c r="DP270" i="21"/>
  <c r="BI270" i="21"/>
  <c r="BX270" i="21"/>
  <c r="EK270" i="21"/>
  <c r="FJ270" i="21"/>
  <c r="AI270" i="21"/>
  <c r="FK270" i="21"/>
  <c r="FN270" i="21"/>
  <c r="FQ270" i="21"/>
  <c r="AN270" i="21"/>
  <c r="DT270" i="21"/>
  <c r="FT270" i="21"/>
  <c r="B270" i="21"/>
  <c r="W270" i="21"/>
  <c r="BF270" i="21"/>
  <c r="DU270" i="21"/>
  <c r="CA270" i="21"/>
  <c r="CR270" i="21"/>
  <c r="BK270" i="21"/>
  <c r="AD270" i="21"/>
  <c r="DR270" i="21"/>
  <c r="G270" i="21"/>
  <c r="DO270" i="21"/>
  <c r="EB270" i="21"/>
  <c r="DF270" i="21"/>
  <c r="BE270" i="21"/>
  <c r="Q270" i="21"/>
  <c r="J270" i="21"/>
  <c r="S270" i="21"/>
  <c r="FI270" i="21"/>
  <c r="FM270" i="21"/>
  <c r="FL270" i="21"/>
  <c r="DM270" i="21"/>
  <c r="AL270" i="21"/>
  <c r="AM270" i="21"/>
  <c r="CI270" i="21"/>
  <c r="AP270" i="21"/>
  <c r="CW270" i="21"/>
  <c r="EG270" i="21"/>
  <c r="N270" i="21"/>
  <c r="BN270" i="21"/>
  <c r="ET270" i="21"/>
  <c r="FW270" i="21"/>
  <c r="DJ270" i="21"/>
  <c r="EQ270" i="21"/>
  <c r="U270" i="21"/>
  <c r="E270" i="21"/>
  <c r="AF270" i="21"/>
  <c r="CV270" i="21"/>
  <c r="CS270" i="21"/>
  <c r="FY270" i="21"/>
  <c r="AY270" i="21"/>
  <c r="X270" i="21"/>
  <c r="DN270" i="21"/>
  <c r="BU270" i="21"/>
  <c r="CZ270" i="21"/>
  <c r="DE270" i="21"/>
  <c r="ER270" i="21"/>
  <c r="BJ270" i="21"/>
  <c r="DW270" i="21"/>
  <c r="BR270" i="21"/>
  <c r="BD270" i="21"/>
  <c r="DY270" i="21"/>
  <c r="AR270" i="21"/>
  <c r="BS270" i="21"/>
  <c r="DC270" i="21"/>
  <c r="CD270" i="21"/>
  <c r="C270" i="21"/>
  <c r="BW270" i="21"/>
  <c r="EL270" i="21"/>
  <c r="AZ270" i="21"/>
  <c r="FU270" i="21"/>
  <c r="D270" i="21"/>
  <c r="R270" i="21"/>
  <c r="AH270" i="21"/>
  <c r="AE270" i="21"/>
  <c r="DA270" i="21"/>
  <c r="CT270" i="21"/>
  <c r="EF270" i="21"/>
  <c r="BB270" i="21"/>
  <c r="CY270" i="21"/>
  <c r="DX270" i="21"/>
  <c r="Y270" i="21"/>
  <c r="EH270" i="21"/>
  <c r="FG270" i="21"/>
  <c r="AW270" i="21"/>
  <c r="EJ270" i="21"/>
  <c r="CN270" i="21"/>
  <c r="EX270" i="21"/>
  <c r="DV270" i="21"/>
  <c r="Z270" i="21"/>
  <c r="EC270" i="21"/>
  <c r="BA270" i="21"/>
  <c r="CF270" i="21"/>
  <c r="T270" i="21"/>
  <c r="CU270" i="21"/>
  <c r="BY270" i="21"/>
  <c r="L270" i="21"/>
  <c r="FE270" i="21"/>
  <c r="EW270" i="21"/>
  <c r="DD270" i="21"/>
  <c r="CK270" i="21"/>
  <c r="BQ270" i="21"/>
  <c r="AV270" i="21"/>
  <c r="DB270" i="21"/>
  <c r="BO270" i="21"/>
  <c r="CX270" i="21"/>
  <c r="DI270" i="21"/>
  <c r="EU270" i="21"/>
  <c r="EM270" i="21"/>
  <c r="EV270" i="21"/>
  <c r="FR270" i="21"/>
  <c r="AU270" i="21"/>
  <c r="FX270" i="21"/>
  <c r="EP270" i="21"/>
  <c r="FD270" i="21"/>
  <c r="CP270" i="21"/>
  <c r="BH270" i="21"/>
  <c r="BT46" i="5"/>
  <c r="BZ46" i="5"/>
  <c r="BX46" i="5"/>
  <c r="B36" i="21"/>
  <c r="FS36" i="21"/>
  <c r="FS268" i="21" s="1"/>
  <c r="T36" i="21"/>
  <c r="T268" i="21" s="1"/>
  <c r="AR36" i="21"/>
  <c r="AR268" i="21" s="1"/>
  <c r="CZ36" i="21"/>
  <c r="CZ268" i="21" s="1"/>
  <c r="AH36" i="21"/>
  <c r="AH268" i="21" s="1"/>
  <c r="EN36" i="21"/>
  <c r="EN268" i="21" s="1"/>
  <c r="DM36" i="21"/>
  <c r="DM268" i="21" s="1"/>
  <c r="DY36" i="21"/>
  <c r="DY268" i="21" s="1"/>
  <c r="CC36" i="21"/>
  <c r="CC268" i="21" s="1"/>
  <c r="CN36" i="21"/>
  <c r="CN268" i="21" s="1"/>
  <c r="AT36" i="21"/>
  <c r="AT268" i="21" s="1"/>
  <c r="FR36" i="21"/>
  <c r="FR268" i="21" s="1"/>
  <c r="FF36" i="21"/>
  <c r="FF268" i="21" s="1"/>
  <c r="ET36" i="21"/>
  <c r="ET268" i="21" s="1"/>
  <c r="FQ36" i="21"/>
  <c r="FQ268" i="21" s="1"/>
  <c r="Q36" i="21"/>
  <c r="Q268" i="21" s="1"/>
  <c r="AE36" i="21"/>
  <c r="AE268" i="21" s="1"/>
  <c r="CK36" i="21"/>
  <c r="CK268" i="21" s="1"/>
  <c r="DH36" i="21"/>
  <c r="DH268" i="21" s="1"/>
  <c r="BW36" i="21"/>
  <c r="BW268" i="21" s="1"/>
  <c r="CT36" i="21"/>
  <c r="CT268" i="21" s="1"/>
  <c r="FD36" i="21"/>
  <c r="FD268" i="21" s="1"/>
  <c r="DP36" i="21"/>
  <c r="DP268" i="21" s="1"/>
  <c r="BS36" i="21"/>
  <c r="BS268" i="21" s="1"/>
  <c r="DQ36" i="21"/>
  <c r="DQ268" i="21" s="1"/>
  <c r="I36" i="21"/>
  <c r="I268" i="21" s="1"/>
  <c r="AV36" i="21"/>
  <c r="AV268" i="21" s="1"/>
  <c r="DG36" i="21"/>
  <c r="DG268" i="21" s="1"/>
  <c r="ED36" i="21"/>
  <c r="ED268" i="21" s="1"/>
  <c r="AX36" i="21"/>
  <c r="AX268" i="21" s="1"/>
  <c r="BN36" i="21"/>
  <c r="BN268" i="21" s="1"/>
  <c r="ER36" i="21"/>
  <c r="ER268" i="21" s="1"/>
  <c r="L36" i="21"/>
  <c r="L268" i="21" s="1"/>
  <c r="K36" i="21"/>
  <c r="K268" i="21" s="1"/>
  <c r="AS36" i="21"/>
  <c r="AS268" i="21" s="1"/>
  <c r="BQ36" i="21"/>
  <c r="BQ268" i="21" s="1"/>
  <c r="EB36" i="21"/>
  <c r="EB268" i="21" s="1"/>
  <c r="BT36" i="21"/>
  <c r="BT268" i="21" s="1"/>
  <c r="FW36" i="21"/>
  <c r="FW268" i="21" s="1"/>
  <c r="EZ36" i="21"/>
  <c r="EZ268" i="21" s="1"/>
  <c r="FU36" i="21"/>
  <c r="FU268" i="21" s="1"/>
  <c r="EU36" i="21"/>
  <c r="EU268" i="21" s="1"/>
  <c r="FM36" i="21"/>
  <c r="FM268" i="21" s="1"/>
  <c r="DE36" i="21"/>
  <c r="DE268" i="21" s="1"/>
  <c r="AD36" i="21"/>
  <c r="AD268" i="21" s="1"/>
  <c r="R36" i="21"/>
  <c r="R268" i="21" s="1"/>
  <c r="F36" i="21"/>
  <c r="F268" i="21" s="1"/>
  <c r="AC36" i="21"/>
  <c r="AC268" i="21" s="1"/>
  <c r="AZ36" i="21"/>
  <c r="AZ268" i="21" s="1"/>
  <c r="CW36" i="21"/>
  <c r="CW268" i="21" s="1"/>
  <c r="DT36" i="21"/>
  <c r="DT268" i="21" s="1"/>
  <c r="C36" i="21"/>
  <c r="C268" i="21" s="1"/>
  <c r="DF36" i="21"/>
  <c r="DF268" i="21" s="1"/>
  <c r="AQ36" i="21"/>
  <c r="AQ268" i="21" s="1"/>
  <c r="P36" i="21"/>
  <c r="P268" i="21" s="1"/>
  <c r="CF36" i="21"/>
  <c r="CF268" i="21" s="1"/>
  <c r="CO36" i="21"/>
  <c r="CO268" i="21" s="1"/>
  <c r="EL36" i="21"/>
  <c r="EL268" i="21" s="1"/>
  <c r="FL36" i="21"/>
  <c r="FL268" i="21" s="1"/>
  <c r="BE36" i="21"/>
  <c r="BE268" i="21" s="1"/>
  <c r="FT36" i="21"/>
  <c r="FT268" i="21" s="1"/>
  <c r="DS36" i="21"/>
  <c r="DS268" i="21" s="1"/>
  <c r="AA36" i="21"/>
  <c r="AA268" i="21" s="1"/>
  <c r="EG36" i="21"/>
  <c r="EG268" i="21" s="1"/>
  <c r="DA36" i="21"/>
  <c r="DA268" i="21" s="1"/>
  <c r="EJ36" i="21"/>
  <c r="EJ268" i="21" s="1"/>
  <c r="DW36" i="21"/>
  <c r="DW268" i="21" s="1"/>
  <c r="FB36" i="21"/>
  <c r="FB268" i="21" s="1"/>
  <c r="CM36" i="21"/>
  <c r="CM268" i="21" s="1"/>
  <c r="G36" i="21"/>
  <c r="G268" i="21" s="1"/>
  <c r="FP36" i="21"/>
  <c r="FP268" i="21" s="1"/>
  <c r="EA36" i="21"/>
  <c r="EA268" i="21" s="1"/>
  <c r="EK36" i="21"/>
  <c r="EK268" i="21" s="1"/>
  <c r="FJ36" i="21"/>
  <c r="FJ268" i="21" s="1"/>
  <c r="AF36" i="21"/>
  <c r="AF268" i="21" s="1"/>
  <c r="EC36" i="21"/>
  <c r="EC268" i="21" s="1"/>
  <c r="AW36" i="21"/>
  <c r="AW268" i="21" s="1"/>
  <c r="U36" i="21"/>
  <c r="U268" i="21" s="1"/>
  <c r="Y36" i="21"/>
  <c r="Y268" i="21" s="1"/>
  <c r="CB36" i="21"/>
  <c r="CB268" i="21" s="1"/>
  <c r="EX36" i="21"/>
  <c r="EX268" i="21" s="1"/>
  <c r="DC36" i="21"/>
  <c r="DC268" i="21" s="1"/>
  <c r="DX36" i="21"/>
  <c r="DX268" i="21" s="1"/>
  <c r="Z36" i="21"/>
  <c r="Z268" i="21" s="1"/>
  <c r="N36" i="21"/>
  <c r="N268" i="21" s="1"/>
  <c r="CY36" i="21"/>
  <c r="CY268" i="21" s="1"/>
  <c r="DV36" i="21"/>
  <c r="DV268" i="21" s="1"/>
  <c r="D36" i="21"/>
  <c r="D268" i="21" s="1"/>
  <c r="S36" i="21"/>
  <c r="S268" i="21" s="1"/>
  <c r="AP36" i="21"/>
  <c r="AP268" i="21" s="1"/>
  <c r="E36" i="21"/>
  <c r="E268" i="21" s="1"/>
  <c r="AB36" i="21"/>
  <c r="AB268" i="21" s="1"/>
  <c r="CL36" i="21"/>
  <c r="CL268" i="21" s="1"/>
  <c r="EW36" i="21"/>
  <c r="EW268" i="21" s="1"/>
  <c r="FH36" i="21"/>
  <c r="FH268" i="21" s="1"/>
  <c r="M36" i="21"/>
  <c r="M268" i="21" s="1"/>
  <c r="BI36" i="21"/>
  <c r="BI268" i="21" s="1"/>
  <c r="FK36" i="21"/>
  <c r="FK268" i="21" s="1"/>
  <c r="CR36" i="21"/>
  <c r="CR268" i="21" s="1"/>
  <c r="BG36" i="21"/>
  <c r="BG268" i="21" s="1"/>
  <c r="CD36" i="21"/>
  <c r="CD268" i="21" s="1"/>
  <c r="EO36" i="21"/>
  <c r="EO268" i="21" s="1"/>
  <c r="W36" i="21"/>
  <c r="W268" i="21" s="1"/>
  <c r="FV36" i="21"/>
  <c r="FV268" i="21" s="1"/>
  <c r="FY36" i="21"/>
  <c r="FY268" i="21" s="1"/>
  <c r="EQ36" i="21"/>
  <c r="EQ268" i="21" s="1"/>
  <c r="DK36" i="21"/>
  <c r="DK268" i="21" s="1"/>
  <c r="EH36" i="21"/>
  <c r="EH268" i="21" s="1"/>
  <c r="FE36" i="21"/>
  <c r="FE268" i="21" s="1"/>
  <c r="AM36" i="21"/>
  <c r="AM268" i="21" s="1"/>
  <c r="BY36" i="21"/>
  <c r="BY268" i="21" s="1"/>
  <c r="AN36" i="21"/>
  <c r="AN268" i="21" s="1"/>
  <c r="BK36" i="21"/>
  <c r="BK268" i="21" s="1"/>
  <c r="DU36" i="21"/>
  <c r="DU268" i="21" s="1"/>
  <c r="AJ36" i="21"/>
  <c r="AJ268" i="21" s="1"/>
  <c r="AK36" i="21"/>
  <c r="AK268" i="21" s="1"/>
  <c r="BR36" i="21"/>
  <c r="BR268" i="21" s="1"/>
  <c r="CP36" i="21"/>
  <c r="CP268" i="21" s="1"/>
  <c r="FG36" i="21"/>
  <c r="FG268" i="21" s="1"/>
  <c r="DB36" i="21"/>
  <c r="DB268" i="21" s="1"/>
  <c r="J36" i="21"/>
  <c r="J268" i="21" s="1"/>
  <c r="V36" i="21"/>
  <c r="V268" i="21" s="1"/>
  <c r="BD36" i="21"/>
  <c r="BD268" i="21" s="1"/>
  <c r="CE36" i="21"/>
  <c r="CE268" i="21" s="1"/>
  <c r="X36" i="21"/>
  <c r="X268" i="21" s="1"/>
  <c r="FX36" i="21"/>
  <c r="FX268" i="21" s="1"/>
  <c r="BM36" i="21"/>
  <c r="BM268" i="21" s="1"/>
  <c r="BA36" i="21"/>
  <c r="BA268" i="21" s="1"/>
  <c r="AO36" i="21"/>
  <c r="AO268" i="21" s="1"/>
  <c r="BL36" i="21"/>
  <c r="BL268" i="21" s="1"/>
  <c r="CI36" i="21"/>
  <c r="CI268" i="21" s="1"/>
  <c r="EF36" i="21"/>
  <c r="EF268" i="21" s="1"/>
  <c r="FC36" i="21"/>
  <c r="FC268" i="21" s="1"/>
  <c r="AL36" i="21"/>
  <c r="AL268" i="21" s="1"/>
  <c r="BO36" i="21"/>
  <c r="BO268" i="21" s="1"/>
  <c r="DI36" i="21"/>
  <c r="DI268" i="21" s="1"/>
  <c r="AY36" i="21"/>
  <c r="AY268" i="21" s="1"/>
  <c r="DL36" i="21"/>
  <c r="DL268" i="21" s="1"/>
  <c r="EE36" i="21"/>
  <c r="EE268" i="21" s="1"/>
  <c r="BZ36" i="21"/>
  <c r="BZ268" i="21" s="1"/>
  <c r="DJ36" i="21"/>
  <c r="DJ268" i="21" s="1"/>
  <c r="DD36" i="21"/>
  <c r="DD268" i="21" s="1"/>
  <c r="DN36" i="21"/>
  <c r="DN268" i="21" s="1"/>
  <c r="EM36" i="21"/>
  <c r="EM268" i="21" s="1"/>
  <c r="FI36" i="21"/>
  <c r="FI268" i="21" s="1"/>
  <c r="H36" i="21"/>
  <c r="H268" i="21" s="1"/>
  <c r="EY36" i="21"/>
  <c r="EY268" i="21" s="1"/>
  <c r="FA36" i="21"/>
  <c r="FA268" i="21" s="1"/>
  <c r="CG36" i="21"/>
  <c r="CG268" i="21" s="1"/>
  <c r="AI36" i="21"/>
  <c r="AI268" i="21" s="1"/>
  <c r="FN36" i="21"/>
  <c r="FN268" i="21" s="1"/>
  <c r="EP36" i="21"/>
  <c r="EP268" i="21" s="1"/>
  <c r="BJ36" i="21"/>
  <c r="BJ268" i="21" s="1"/>
  <c r="ES36" i="21"/>
  <c r="ES268" i="21" s="1"/>
  <c r="BC36" i="21"/>
  <c r="BC268" i="21" s="1"/>
  <c r="BH36" i="21"/>
  <c r="BH268" i="21" s="1"/>
  <c r="BP36" i="21"/>
  <c r="BP268" i="21" s="1"/>
  <c r="CQ36" i="21"/>
  <c r="CQ268" i="21" s="1"/>
  <c r="DO36" i="21"/>
  <c r="DO268" i="21" s="1"/>
  <c r="AG36" i="21"/>
  <c r="AG268" i="21" s="1"/>
  <c r="EI36" i="21"/>
  <c r="EI268" i="21" s="1"/>
  <c r="BF36" i="21"/>
  <c r="BF268" i="21" s="1"/>
  <c r="BU36" i="21"/>
  <c r="BU268" i="21" s="1"/>
  <c r="DZ36" i="21"/>
  <c r="DZ268" i="21" s="1"/>
  <c r="EV36" i="21"/>
  <c r="EV268" i="21" s="1"/>
  <c r="CS36" i="21"/>
  <c r="CS268" i="21" s="1"/>
  <c r="AU36" i="21"/>
  <c r="AU268" i="21" s="1"/>
  <c r="CV36" i="21"/>
  <c r="CV268" i="21" s="1"/>
  <c r="CJ36" i="21"/>
  <c r="CJ268" i="21" s="1"/>
  <c r="BX36" i="21"/>
  <c r="BX268" i="21" s="1"/>
  <c r="CU36" i="21"/>
  <c r="CU268" i="21" s="1"/>
  <c r="DR36" i="21"/>
  <c r="DR268" i="21" s="1"/>
  <c r="FO36" i="21"/>
  <c r="FO268" i="21" s="1"/>
  <c r="O36" i="21"/>
  <c r="O268" i="21" s="1"/>
  <c r="CA36" i="21"/>
  <c r="CA268" i="21" s="1"/>
  <c r="CX36" i="21"/>
  <c r="CX268" i="21" s="1"/>
  <c r="BV36" i="21"/>
  <c r="BV268" i="21" s="1"/>
  <c r="CH36" i="21"/>
  <c r="CH268" i="21" s="1"/>
  <c r="BB36" i="21"/>
  <c r="BB268" i="21" s="1"/>
  <c r="CK290" i="21"/>
  <c r="BN290" i="21"/>
  <c r="FH290" i="21"/>
  <c r="FG290" i="21"/>
  <c r="DC290" i="21"/>
  <c r="AR290" i="21"/>
  <c r="EJ290" i="21"/>
  <c r="DR290" i="21"/>
  <c r="CW290" i="21"/>
  <c r="CN290" i="21"/>
  <c r="DK290" i="21"/>
  <c r="EA290" i="21"/>
  <c r="DV290" i="21"/>
  <c r="G290" i="21"/>
  <c r="BG290" i="21"/>
  <c r="EC290" i="21"/>
  <c r="DP290" i="21"/>
  <c r="BI290" i="21"/>
  <c r="CF290" i="21"/>
  <c r="DJ290" i="21"/>
  <c r="BY290" i="21"/>
  <c r="T290" i="21"/>
  <c r="EQ290" i="21"/>
  <c r="BW191" i="5"/>
  <c r="AV290" i="21"/>
  <c r="EB290" i="21"/>
  <c r="W290" i="21"/>
  <c r="BO290" i="21"/>
  <c r="BE290" i="21"/>
  <c r="AX290" i="21"/>
  <c r="DI290" i="21"/>
  <c r="Q290" i="21"/>
  <c r="FO290" i="21"/>
  <c r="EM290" i="21"/>
  <c r="S290" i="21"/>
  <c r="BP290" i="21"/>
  <c r="FR290" i="21"/>
  <c r="FM290" i="21"/>
  <c r="FE290" i="21"/>
  <c r="FX290" i="21"/>
  <c r="DM290" i="21"/>
  <c r="AT290" i="21"/>
  <c r="FD290" i="21"/>
  <c r="AM290" i="21"/>
  <c r="BT290" i="21"/>
  <c r="BH290" i="21"/>
  <c r="AP290" i="21"/>
  <c r="BU191" i="5"/>
  <c r="B35" i="21" a="1"/>
  <c r="BY192" i="5"/>
  <c r="BY191" i="5" s="1"/>
  <c r="BY190" i="5" s="1"/>
  <c r="BY189" i="5" s="1"/>
  <c r="BY188" i="5" s="1"/>
  <c r="BY187" i="5" s="1"/>
  <c r="BY186" i="5" s="1"/>
  <c r="BY185" i="5" s="1"/>
  <c r="BY184" i="5" s="1"/>
  <c r="BY183" i="5" s="1"/>
  <c r="BY182" i="5" s="1"/>
  <c r="BY181" i="5" s="1"/>
  <c r="BY180" i="5" s="1"/>
  <c r="BY179" i="5" s="1"/>
  <c r="BY178" i="5" s="1"/>
  <c r="BY177" i="5" s="1"/>
  <c r="BY176" i="5" s="1"/>
  <c r="BY175" i="5" s="1"/>
  <c r="BY174" i="5" s="1"/>
  <c r="BY173" i="5" s="1"/>
  <c r="BY172" i="5" s="1"/>
  <c r="BY171" i="5" s="1"/>
  <c r="BY170" i="5" s="1"/>
  <c r="BY169" i="5" s="1"/>
  <c r="BY168" i="5" s="1"/>
  <c r="BY167" i="5" s="1"/>
  <c r="BY166" i="5" s="1"/>
  <c r="BY165" i="5" s="1"/>
  <c r="BY164" i="5" s="1"/>
  <c r="BY163" i="5" s="1"/>
  <c r="BY162" i="5" s="1"/>
  <c r="BY161" i="5" s="1"/>
  <c r="BY160" i="5" s="1"/>
  <c r="BY159" i="5" s="1"/>
  <c r="BY158" i="5" s="1"/>
  <c r="BY157" i="5" s="1"/>
  <c r="BY156" i="5" s="1"/>
  <c r="BY155" i="5" s="1"/>
  <c r="BY154" i="5" s="1"/>
  <c r="BY153" i="5" s="1"/>
  <c r="BY152" i="5" s="1"/>
  <c r="BY151" i="5" s="1"/>
  <c r="BY150" i="5" s="1"/>
  <c r="BY149" i="5" s="1"/>
  <c r="BY148" i="5" s="1"/>
  <c r="BY147" i="5" s="1"/>
  <c r="BY146" i="5" s="1"/>
  <c r="BY145" i="5" s="1"/>
  <c r="BY144" i="5" s="1"/>
  <c r="BY143" i="5" s="1"/>
  <c r="BY142" i="5" s="1"/>
  <c r="BY141" i="5" s="1"/>
  <c r="BY140" i="5" s="1"/>
  <c r="BY139" i="5" s="1"/>
  <c r="BY138" i="5" s="1"/>
  <c r="BY137" i="5" s="1"/>
  <c r="BY136" i="5" s="1"/>
  <c r="BY135" i="5" s="1"/>
  <c r="BY134" i="5" s="1"/>
  <c r="BY133" i="5" s="1"/>
  <c r="BY132" i="5" s="1"/>
  <c r="BY131" i="5" s="1"/>
  <c r="BY130" i="5" s="1"/>
  <c r="BY129" i="5" s="1"/>
  <c r="BY128" i="5" s="1"/>
  <c r="BY127" i="5" s="1"/>
  <c r="BY126" i="5" s="1"/>
  <c r="BY125" i="5" s="1"/>
  <c r="BY124" i="5" s="1"/>
  <c r="BY123" i="5" s="1"/>
  <c r="BY122" i="5" s="1"/>
  <c r="BY121" i="5" s="1"/>
  <c r="BY120" i="5" s="1"/>
  <c r="BY119" i="5" s="1"/>
  <c r="BY118" i="5" s="1"/>
  <c r="BY117" i="5" s="1"/>
  <c r="BY116" i="5" s="1"/>
  <c r="BY115" i="5" s="1"/>
  <c r="BY114" i="5" s="1"/>
  <c r="BY113" i="5" s="1"/>
  <c r="BY112" i="5" s="1"/>
  <c r="BY111" i="5" s="1"/>
  <c r="BY110" i="5" s="1"/>
  <c r="BY109" i="5" s="1"/>
  <c r="BY108" i="5" s="1"/>
  <c r="BY107" i="5" s="1"/>
  <c r="BY106" i="5" s="1"/>
  <c r="BY105" i="5" s="1"/>
  <c r="BY104" i="5" s="1"/>
  <c r="BY103" i="5" s="1"/>
  <c r="BY102" i="5" s="1"/>
  <c r="BY101" i="5" s="1"/>
  <c r="BY100" i="5" s="1"/>
  <c r="BY99" i="5" s="1"/>
  <c r="BY98" i="5" s="1"/>
  <c r="BY97" i="5" s="1"/>
  <c r="BY96" i="5" s="1"/>
  <c r="BY95" i="5" s="1"/>
  <c r="BY94" i="5" s="1"/>
  <c r="BY93" i="5" s="1"/>
  <c r="BY92" i="5" s="1"/>
  <c r="BY91" i="5" s="1"/>
  <c r="BY90" i="5" s="1"/>
  <c r="BY89" i="5" s="1"/>
  <c r="BY88" i="5" s="1"/>
  <c r="BY87" i="5" s="1"/>
  <c r="BY86" i="5" s="1"/>
  <c r="BY85" i="5" s="1"/>
  <c r="BY84" i="5" s="1"/>
  <c r="BY83" i="5" s="1"/>
  <c r="BY82" i="5" s="1"/>
  <c r="BY81" i="5" s="1"/>
  <c r="BY80" i="5" s="1"/>
  <c r="BY79" i="5" s="1"/>
  <c r="BY78" i="5" s="1"/>
  <c r="BY77" i="5" s="1"/>
  <c r="BY76" i="5" s="1"/>
  <c r="BY75" i="5" s="1"/>
  <c r="BY74" i="5" s="1"/>
  <c r="BY73" i="5" s="1"/>
  <c r="BY72" i="5" s="1"/>
  <c r="BY71" i="5" s="1"/>
  <c r="BY70" i="5" s="1"/>
  <c r="BY69" i="5" s="1"/>
  <c r="BY68" i="5" s="1"/>
  <c r="BY67" i="5" s="1"/>
  <c r="BY66" i="5" s="1"/>
  <c r="BY65" i="5" s="1"/>
  <c r="BY64" i="5" s="1"/>
  <c r="BY63" i="5" s="1"/>
  <c r="BY62" i="5" s="1"/>
  <c r="BY61" i="5" s="1"/>
  <c r="BY60" i="5" s="1"/>
  <c r="BY59" i="5" s="1"/>
  <c r="BY58" i="5" s="1"/>
  <c r="BY57" i="5" s="1"/>
  <c r="BY56" i="5" s="1"/>
  <c r="BY55" i="5" s="1"/>
  <c r="BY54" i="5" s="1"/>
  <c r="BY53" i="5" s="1"/>
  <c r="BY52" i="5" s="1"/>
  <c r="BY51" i="5" s="1"/>
  <c r="BY50" i="5" s="1"/>
  <c r="BY49" i="5" s="1"/>
  <c r="BY48" i="5" s="1"/>
  <c r="EU290" i="21"/>
  <c r="BV191" i="5"/>
  <c r="AO290" i="21"/>
  <c r="CJ290" i="21"/>
  <c r="E290" i="21"/>
  <c r="EG290" i="21"/>
  <c r="CV290" i="21"/>
  <c r="BC290" i="21"/>
  <c r="FY193" i="21"/>
  <c r="FX193" i="21" s="1"/>
  <c r="FW193" i="21" s="1"/>
  <c r="FV193" i="21" s="1"/>
  <c r="FU193" i="21" s="1"/>
  <c r="FT193" i="21" s="1"/>
  <c r="FS193" i="21" s="1"/>
  <c r="FR193" i="21" s="1"/>
  <c r="FQ193" i="21" s="1"/>
  <c r="FP193" i="21" s="1"/>
  <c r="FO193" i="21" s="1"/>
  <c r="FN193" i="21" s="1"/>
  <c r="FM193" i="21" s="1"/>
  <c r="FL193" i="21" s="1"/>
  <c r="FK193" i="21" s="1"/>
  <c r="FJ193" i="21" s="1"/>
  <c r="FI193" i="21" s="1"/>
  <c r="FH193" i="21" s="1"/>
  <c r="FG193" i="21" s="1"/>
  <c r="FF193" i="21" s="1"/>
  <c r="FE193" i="21" s="1"/>
  <c r="FD193" i="21" s="1"/>
  <c r="FC193" i="21" s="1"/>
  <c r="FB193" i="21" s="1"/>
  <c r="FA193" i="21" s="1"/>
  <c r="EZ193" i="21" s="1"/>
  <c r="EY193" i="21" s="1"/>
  <c r="EX193" i="21" s="1"/>
  <c r="EW193" i="21" s="1"/>
  <c r="EV193" i="21" s="1"/>
  <c r="EU193" i="21" s="1"/>
  <c r="ET193" i="21" s="1"/>
  <c r="ES193" i="21" s="1"/>
  <c r="ER193" i="21" s="1"/>
  <c r="EQ193" i="21" s="1"/>
  <c r="EP193" i="21" s="1"/>
  <c r="EO193" i="21" s="1"/>
  <c r="EN193" i="21" s="1"/>
  <c r="EM193" i="21" s="1"/>
  <c r="EL193" i="21" s="1"/>
  <c r="EK193" i="21" s="1"/>
  <c r="EJ193" i="21" s="1"/>
  <c r="EI193" i="21" s="1"/>
  <c r="EH193" i="21" s="1"/>
  <c r="EG193" i="21" s="1"/>
  <c r="EF193" i="21" s="1"/>
  <c r="EE193" i="21" s="1"/>
  <c r="ED193" i="21" s="1"/>
  <c r="EC193" i="21" s="1"/>
  <c r="EB193" i="21" s="1"/>
  <c r="EA193" i="21" s="1"/>
  <c r="DZ193" i="21" s="1"/>
  <c r="DY193" i="21" s="1"/>
  <c r="DX193" i="21" s="1"/>
  <c r="DW193" i="21" s="1"/>
  <c r="DV193" i="21" s="1"/>
  <c r="DU193" i="21" s="1"/>
  <c r="DT193" i="21" s="1"/>
  <c r="DS193" i="21" s="1"/>
  <c r="DR193" i="21" s="1"/>
  <c r="DQ193" i="21" s="1"/>
  <c r="DP193" i="21" s="1"/>
  <c r="DO193" i="21" s="1"/>
  <c r="DN193" i="21" s="1"/>
  <c r="DM193" i="21" s="1"/>
  <c r="DL193" i="21" s="1"/>
  <c r="DK193" i="21" s="1"/>
  <c r="DJ193" i="21" s="1"/>
  <c r="DI193" i="21" s="1"/>
  <c r="DH193" i="21" s="1"/>
  <c r="DG193" i="21" s="1"/>
  <c r="DF193" i="21" s="1"/>
  <c r="DE193" i="21" s="1"/>
  <c r="DD193" i="21" s="1"/>
  <c r="DC193" i="21" s="1"/>
  <c r="DB193" i="21" s="1"/>
  <c r="DA193" i="21" s="1"/>
  <c r="CZ193" i="21" s="1"/>
  <c r="CY193" i="21" s="1"/>
  <c r="CX193" i="21" s="1"/>
  <c r="CW193" i="21" s="1"/>
  <c r="CV193" i="21" s="1"/>
  <c r="CU193" i="21" s="1"/>
  <c r="CT193" i="21" s="1"/>
  <c r="CS193" i="21" s="1"/>
  <c r="CR193" i="21" s="1"/>
  <c r="CQ193" i="21" s="1"/>
  <c r="CP193" i="21" s="1"/>
  <c r="CO193" i="21" s="1"/>
  <c r="CN193" i="21" s="1"/>
  <c r="CM193" i="21" s="1"/>
  <c r="CL193" i="21" s="1"/>
  <c r="CK193" i="21" s="1"/>
  <c r="CJ193" i="21" s="1"/>
  <c r="CI193" i="21" s="1"/>
  <c r="CH193" i="21" s="1"/>
  <c r="CG193" i="21" s="1"/>
  <c r="CF193" i="21" s="1"/>
  <c r="CE193" i="21" s="1"/>
  <c r="CD193" i="21" s="1"/>
  <c r="CC193" i="21" s="1"/>
  <c r="CB193" i="21" s="1"/>
  <c r="CA193" i="21" s="1"/>
  <c r="BZ193" i="21" s="1"/>
  <c r="BY193" i="21" s="1"/>
  <c r="BX193" i="21" s="1"/>
  <c r="BW193" i="21" s="1"/>
  <c r="BV193" i="21" s="1"/>
  <c r="BU193" i="21" s="1"/>
  <c r="BT193" i="21" s="1"/>
  <c r="BS193" i="21" s="1"/>
  <c r="BR193" i="21" s="1"/>
  <c r="BQ193" i="21" s="1"/>
  <c r="BP193" i="21" s="1"/>
  <c r="BO193" i="21" s="1"/>
  <c r="BN193" i="21" s="1"/>
  <c r="BM193" i="21" s="1"/>
  <c r="BL193" i="21" s="1"/>
  <c r="BK193" i="21" s="1"/>
  <c r="BJ193" i="21" s="1"/>
  <c r="BI193" i="21" s="1"/>
  <c r="BH193" i="21" s="1"/>
  <c r="BG193" i="21" s="1"/>
  <c r="BF193" i="21" s="1"/>
  <c r="BE193" i="21" s="1"/>
  <c r="BD193" i="21" s="1"/>
  <c r="BC193" i="21" s="1"/>
  <c r="BB193" i="21" s="1"/>
  <c r="BA193" i="21" s="1"/>
  <c r="AZ193" i="21" s="1"/>
  <c r="AY193" i="21" s="1"/>
  <c r="AX193" i="21" s="1"/>
  <c r="AW193" i="21" s="1"/>
  <c r="AV193" i="21" s="1"/>
  <c r="AU193" i="21" s="1"/>
  <c r="AT193" i="21" s="1"/>
  <c r="AS193" i="21" s="1"/>
  <c r="AR193" i="21" s="1"/>
  <c r="AQ193" i="21" s="1"/>
  <c r="AP193" i="21" s="1"/>
  <c r="AO193" i="21" s="1"/>
  <c r="AN193" i="21" s="1"/>
  <c r="AM193" i="21" s="1"/>
  <c r="AL193" i="21" s="1"/>
  <c r="AK193" i="21" s="1"/>
  <c r="AJ193" i="21" s="1"/>
  <c r="AI193" i="21" s="1"/>
  <c r="AH193" i="21" s="1"/>
  <c r="AG193" i="21" s="1"/>
  <c r="AF193" i="21" s="1"/>
  <c r="AE193" i="21" s="1"/>
  <c r="AD193" i="21" s="1"/>
  <c r="AC193" i="21" s="1"/>
  <c r="AB193" i="21" s="1"/>
  <c r="AA193" i="21" s="1"/>
  <c r="Z193" i="21" s="1"/>
  <c r="Y193" i="21" s="1"/>
  <c r="X193" i="21" s="1"/>
  <c r="W193" i="21" s="1"/>
  <c r="V193" i="21" s="1"/>
  <c r="U193" i="21" s="1"/>
  <c r="T193" i="21" s="1"/>
  <c r="S193" i="21" s="1"/>
  <c r="R193" i="21" s="1"/>
  <c r="Q193" i="21" s="1"/>
  <c r="P193" i="21" s="1"/>
  <c r="O193" i="21" s="1"/>
  <c r="N193" i="21" s="1"/>
  <c r="M193" i="21" s="1"/>
  <c r="L193" i="21" s="1"/>
  <c r="K193" i="21" s="1"/>
  <c r="J193" i="21" s="1"/>
  <c r="I193" i="21" s="1"/>
  <c r="H193" i="21" s="1"/>
  <c r="G193" i="21" s="1"/>
  <c r="F193" i="21" s="1"/>
  <c r="E193" i="21" s="1"/>
  <c r="D193" i="21" s="1"/>
  <c r="C193" i="21" s="1"/>
  <c r="B193" i="21" s="1"/>
  <c r="FY290" i="21"/>
  <c r="FY232" i="21"/>
  <c r="FX232" i="21" s="1"/>
  <c r="FW232" i="21" s="1"/>
  <c r="FV232" i="21" s="1"/>
  <c r="FU232" i="21" s="1"/>
  <c r="FT232" i="21" s="1"/>
  <c r="FS232" i="21" s="1"/>
  <c r="FR232" i="21" s="1"/>
  <c r="FQ232" i="21" s="1"/>
  <c r="FP232" i="21" s="1"/>
  <c r="FO232" i="21" s="1"/>
  <c r="FN232" i="21" s="1"/>
  <c r="FM232" i="21" s="1"/>
  <c r="FL232" i="21" s="1"/>
  <c r="FK232" i="21" s="1"/>
  <c r="FJ232" i="21" s="1"/>
  <c r="FI232" i="21" s="1"/>
  <c r="FH232" i="21" s="1"/>
  <c r="FG232" i="21" s="1"/>
  <c r="FF232" i="21" s="1"/>
  <c r="FE232" i="21" s="1"/>
  <c r="FD232" i="21" s="1"/>
  <c r="FC232" i="21" s="1"/>
  <c r="FB232" i="21" s="1"/>
  <c r="FA232" i="21" s="1"/>
  <c r="EZ232" i="21" s="1"/>
  <c r="EY232" i="21" s="1"/>
  <c r="EX232" i="21" s="1"/>
  <c r="EW232" i="21" s="1"/>
  <c r="EV232" i="21" s="1"/>
  <c r="EU232" i="21" s="1"/>
  <c r="ET232" i="21" s="1"/>
  <c r="ES232" i="21" s="1"/>
  <c r="ER232" i="21" s="1"/>
  <c r="EQ232" i="21" s="1"/>
  <c r="EP232" i="21" s="1"/>
  <c r="EO232" i="21" s="1"/>
  <c r="EN232" i="21" s="1"/>
  <c r="EM232" i="21" s="1"/>
  <c r="EL232" i="21" s="1"/>
  <c r="EK232" i="21" s="1"/>
  <c r="EJ232" i="21" s="1"/>
  <c r="EI232" i="21" s="1"/>
  <c r="EH232" i="21" s="1"/>
  <c r="EG232" i="21" s="1"/>
  <c r="EF232" i="21" s="1"/>
  <c r="EE232" i="21" s="1"/>
  <c r="ED232" i="21" s="1"/>
  <c r="EC232" i="21" s="1"/>
  <c r="EB232" i="21" s="1"/>
  <c r="EA232" i="21" s="1"/>
  <c r="DZ232" i="21" s="1"/>
  <c r="DY232" i="21" s="1"/>
  <c r="DX232" i="21" s="1"/>
  <c r="DW232" i="21" s="1"/>
  <c r="DV232" i="21" s="1"/>
  <c r="DU232" i="21" s="1"/>
  <c r="DT232" i="21" s="1"/>
  <c r="DS232" i="21" s="1"/>
  <c r="DR232" i="21" s="1"/>
  <c r="DQ232" i="21" s="1"/>
  <c r="DP232" i="21" s="1"/>
  <c r="DO232" i="21" s="1"/>
  <c r="DN232" i="21" s="1"/>
  <c r="DM232" i="21" s="1"/>
  <c r="DL232" i="21" s="1"/>
  <c r="DK232" i="21" s="1"/>
  <c r="DJ232" i="21" s="1"/>
  <c r="DI232" i="21" s="1"/>
  <c r="DH232" i="21" s="1"/>
  <c r="DG232" i="21" s="1"/>
  <c r="DF232" i="21" s="1"/>
  <c r="DE232" i="21" s="1"/>
  <c r="DD232" i="21" s="1"/>
  <c r="DC232" i="21" s="1"/>
  <c r="DB232" i="21" s="1"/>
  <c r="DA232" i="21" s="1"/>
  <c r="CZ232" i="21" s="1"/>
  <c r="CY232" i="21" s="1"/>
  <c r="CX232" i="21" s="1"/>
  <c r="CW232" i="21" s="1"/>
  <c r="CV232" i="21" s="1"/>
  <c r="CU232" i="21" s="1"/>
  <c r="CT232" i="21" s="1"/>
  <c r="CS232" i="21" s="1"/>
  <c r="CR232" i="21" s="1"/>
  <c r="CQ232" i="21" s="1"/>
  <c r="CP232" i="21" s="1"/>
  <c r="CO232" i="21" s="1"/>
  <c r="CN232" i="21" s="1"/>
  <c r="CM232" i="21" s="1"/>
  <c r="CL232" i="21" s="1"/>
  <c r="CK232" i="21" s="1"/>
  <c r="CJ232" i="21" s="1"/>
  <c r="CI232" i="21" s="1"/>
  <c r="CH232" i="21" s="1"/>
  <c r="CG232" i="21" s="1"/>
  <c r="CF232" i="21" s="1"/>
  <c r="CE232" i="21" s="1"/>
  <c r="CD232" i="21" s="1"/>
  <c r="CC232" i="21" s="1"/>
  <c r="CB232" i="21" s="1"/>
  <c r="CA232" i="21" s="1"/>
  <c r="BZ232" i="21" s="1"/>
  <c r="BY232" i="21" s="1"/>
  <c r="BX232" i="21" s="1"/>
  <c r="BW232" i="21" s="1"/>
  <c r="BV232" i="21" s="1"/>
  <c r="BU232" i="21" s="1"/>
  <c r="BT232" i="21" s="1"/>
  <c r="BS232" i="21" s="1"/>
  <c r="BR232" i="21" s="1"/>
  <c r="BQ232" i="21" s="1"/>
  <c r="BP232" i="21" s="1"/>
  <c r="BO232" i="21" s="1"/>
  <c r="BN232" i="21" s="1"/>
  <c r="BM232" i="21" s="1"/>
  <c r="BL232" i="21" s="1"/>
  <c r="BK232" i="21" s="1"/>
  <c r="BJ232" i="21" s="1"/>
  <c r="BI232" i="21" s="1"/>
  <c r="BH232" i="21" s="1"/>
  <c r="BG232" i="21" s="1"/>
  <c r="BF232" i="21" s="1"/>
  <c r="BE232" i="21" s="1"/>
  <c r="BD232" i="21" s="1"/>
  <c r="BC232" i="21" s="1"/>
  <c r="BB232" i="21" s="1"/>
  <c r="BA232" i="21" s="1"/>
  <c r="AZ232" i="21" s="1"/>
  <c r="AY232" i="21" s="1"/>
  <c r="AX232" i="21" s="1"/>
  <c r="AW232" i="21" s="1"/>
  <c r="AV232" i="21" s="1"/>
  <c r="AU232" i="21" s="1"/>
  <c r="AT232" i="21" s="1"/>
  <c r="AS232" i="21" s="1"/>
  <c r="AR232" i="21" s="1"/>
  <c r="AQ232" i="21" s="1"/>
  <c r="AP232" i="21" s="1"/>
  <c r="AO232" i="21" s="1"/>
  <c r="AN232" i="21" s="1"/>
  <c r="AM232" i="21" s="1"/>
  <c r="AL232" i="21" s="1"/>
  <c r="AK232" i="21" s="1"/>
  <c r="AJ232" i="21" s="1"/>
  <c r="AI232" i="21" s="1"/>
  <c r="AH232" i="21" s="1"/>
  <c r="AG232" i="21" s="1"/>
  <c r="AF232" i="21" s="1"/>
  <c r="AE232" i="21" s="1"/>
  <c r="AD232" i="21" s="1"/>
  <c r="AC232" i="21" s="1"/>
  <c r="AB232" i="21" s="1"/>
  <c r="AA232" i="21" s="1"/>
  <c r="Z232" i="21" s="1"/>
  <c r="Y232" i="21" s="1"/>
  <c r="X232" i="21" s="1"/>
  <c r="W232" i="21" s="1"/>
  <c r="V232" i="21" s="1"/>
  <c r="U232" i="21" s="1"/>
  <c r="T232" i="21" s="1"/>
  <c r="S232" i="21" s="1"/>
  <c r="R232" i="21" s="1"/>
  <c r="Q232" i="21" s="1"/>
  <c r="P232" i="21" s="1"/>
  <c r="O232" i="21" s="1"/>
  <c r="N232" i="21" s="1"/>
  <c r="M232" i="21" s="1"/>
  <c r="L232" i="21" s="1"/>
  <c r="K232" i="21" s="1"/>
  <c r="J232" i="21" s="1"/>
  <c r="I232" i="21" s="1"/>
  <c r="H232" i="21" s="1"/>
  <c r="G232" i="21" s="1"/>
  <c r="F232" i="21" s="1"/>
  <c r="E232" i="21" s="1"/>
  <c r="D232" i="21" s="1"/>
  <c r="C232" i="21" s="1"/>
  <c r="B232" i="21" s="1"/>
  <c r="ED290" i="21"/>
  <c r="FV290" i="21"/>
  <c r="X290" i="21"/>
  <c r="P290" i="21"/>
  <c r="FB290" i="21"/>
  <c r="BU290" i="21"/>
  <c r="DU290" i="21"/>
  <c r="DL290" i="21"/>
  <c r="DE290" i="21"/>
  <c r="FP290" i="21"/>
  <c r="M290" i="21"/>
  <c r="BJ290" i="21"/>
  <c r="FT290" i="21"/>
  <c r="AX31" i="21"/>
  <c r="AX264" i="21" s="1"/>
  <c r="FE31" i="21"/>
  <c r="FE264" i="21" s="1"/>
  <c r="I31" i="21"/>
  <c r="I264" i="21" s="1"/>
  <c r="FM31" i="21"/>
  <c r="FM264" i="21" s="1"/>
  <c r="C31" i="21"/>
  <c r="C264" i="21" s="1"/>
  <c r="FB31" i="21"/>
  <c r="FB264" i="21" s="1"/>
  <c r="BP31" i="21"/>
  <c r="BP264" i="21" s="1"/>
  <c r="AK31" i="21"/>
  <c r="AK264" i="21" s="1"/>
  <c r="J31" i="21"/>
  <c r="J264" i="21" s="1"/>
  <c r="D31" i="21"/>
  <c r="D264" i="21" s="1"/>
  <c r="FY31" i="21"/>
  <c r="FY264" i="21" s="1"/>
  <c r="FS31" i="21"/>
  <c r="FS264" i="21" s="1"/>
  <c r="CF31" i="21"/>
  <c r="CF264" i="21" s="1"/>
  <c r="CD31" i="21"/>
  <c r="CD264" i="21" s="1"/>
  <c r="CL31" i="21"/>
  <c r="CL264" i="21" s="1"/>
  <c r="AM31" i="21"/>
  <c r="AM264" i="21" s="1"/>
  <c r="X31" i="21"/>
  <c r="X264" i="21" s="1"/>
  <c r="AH31" i="21"/>
  <c r="AH264" i="21" s="1"/>
  <c r="EO31" i="21"/>
  <c r="EO264" i="21" s="1"/>
  <c r="EG31" i="21"/>
  <c r="EG264" i="21" s="1"/>
  <c r="FO31" i="21"/>
  <c r="FO264" i="21" s="1"/>
  <c r="CO31" i="21"/>
  <c r="CO264" i="21" s="1"/>
  <c r="E31" i="21"/>
  <c r="E264" i="21" s="1"/>
  <c r="CT31" i="21"/>
  <c r="CT264" i="21" s="1"/>
  <c r="Y31" i="21"/>
  <c r="Y264" i="21" s="1"/>
  <c r="EW31" i="21"/>
  <c r="EW264" i="21" s="1"/>
  <c r="BX31" i="21"/>
  <c r="BX264" i="21" s="1"/>
  <c r="DV31" i="21"/>
  <c r="DV264" i="21" s="1"/>
  <c r="BL31" i="21"/>
  <c r="BL264" i="21" s="1"/>
  <c r="AG31" i="21"/>
  <c r="AG264" i="21" s="1"/>
  <c r="DU31" i="21"/>
  <c r="DU264" i="21" s="1"/>
  <c r="EX31" i="21"/>
  <c r="EX264" i="21" s="1"/>
  <c r="R31" i="21"/>
  <c r="R264" i="21" s="1"/>
  <c r="CK31" i="21"/>
  <c r="CK264" i="21" s="1"/>
  <c r="EJ31" i="21"/>
  <c r="EJ264" i="21" s="1"/>
  <c r="FL31" i="21"/>
  <c r="FL264" i="21" s="1"/>
  <c r="AU31" i="21"/>
  <c r="AU264" i="21" s="1"/>
  <c r="BC31" i="21"/>
  <c r="BC264" i="21" s="1"/>
  <c r="EB31" i="21"/>
  <c r="EB264" i="21" s="1"/>
  <c r="O31" i="21"/>
  <c r="O264" i="21" s="1"/>
  <c r="FV31" i="21"/>
  <c r="FV264" i="21" s="1"/>
  <c r="AP31" i="21"/>
  <c r="AP264" i="21" s="1"/>
  <c r="AO31" i="21"/>
  <c r="AO264" i="21" s="1"/>
  <c r="EP31" i="21"/>
  <c r="EP264" i="21" s="1"/>
  <c r="BF31" i="21"/>
  <c r="BF264" i="21" s="1"/>
  <c r="CU31" i="21"/>
  <c r="CU264" i="21" s="1"/>
  <c r="DR31" i="21"/>
  <c r="DR264" i="21" s="1"/>
  <c r="Z31" i="21"/>
  <c r="Z264" i="21" s="1"/>
  <c r="DN31" i="21"/>
  <c r="DN264" i="21" s="1"/>
  <c r="BO31" i="21"/>
  <c r="BO264" i="21" s="1"/>
  <c r="CM31" i="21"/>
  <c r="CM264" i="21" s="1"/>
  <c r="EY31" i="21"/>
  <c r="EY264" i="21" s="1"/>
  <c r="FU31" i="21"/>
  <c r="FU264" i="21" s="1"/>
  <c r="AB31" i="21"/>
  <c r="AB264" i="21" s="1"/>
  <c r="DO31" i="21"/>
  <c r="DO264" i="21" s="1"/>
  <c r="FF31" i="21"/>
  <c r="FF264" i="21" s="1"/>
  <c r="FQ31" i="21"/>
  <c r="FQ264" i="21" s="1"/>
  <c r="DA31" i="21"/>
  <c r="DA264" i="21" s="1"/>
  <c r="BW31" i="21"/>
  <c r="BW264" i="21" s="1"/>
  <c r="BT31" i="21"/>
  <c r="BT264" i="21" s="1"/>
  <c r="T31" i="21"/>
  <c r="T264" i="21" s="1"/>
  <c r="AJ31" i="21"/>
  <c r="AJ264" i="21" s="1"/>
  <c r="CV31" i="21"/>
  <c r="CV264" i="21" s="1"/>
  <c r="FC31" i="21"/>
  <c r="FC264" i="21" s="1"/>
  <c r="G31" i="21"/>
  <c r="G264" i="21" s="1"/>
  <c r="ED31" i="21"/>
  <c r="ED264" i="21" s="1"/>
  <c r="AV31" i="21"/>
  <c r="AV264" i="21" s="1"/>
  <c r="W31" i="21"/>
  <c r="W264" i="21" s="1"/>
  <c r="DQ31" i="21"/>
  <c r="DQ264" i="21" s="1"/>
  <c r="EN31" i="21"/>
  <c r="EN264" i="21" s="1"/>
  <c r="CE31" i="21"/>
  <c r="CE264" i="21" s="1"/>
  <c r="AF31" i="21"/>
  <c r="AF264" i="21" s="1"/>
  <c r="BD31" i="21"/>
  <c r="BD264" i="21" s="1"/>
  <c r="BI31" i="21"/>
  <c r="BI264" i="21" s="1"/>
  <c r="EL31" i="21"/>
  <c r="EL264" i="21" s="1"/>
  <c r="F31" i="21"/>
  <c r="F264" i="21" s="1"/>
  <c r="DI31" i="21"/>
  <c r="DI264" i="21" s="1"/>
  <c r="DW31" i="21"/>
  <c r="DW264" i="21" s="1"/>
  <c r="CH31" i="21"/>
  <c r="CH264" i="21" s="1"/>
  <c r="BR31" i="21"/>
  <c r="BR264" i="21" s="1"/>
  <c r="BZ31" i="21"/>
  <c r="BZ264" i="21" s="1"/>
  <c r="FA31" i="21"/>
  <c r="FA264" i="21" s="1"/>
  <c r="FH31" i="21"/>
  <c r="FH264" i="21" s="1"/>
  <c r="DT31" i="21"/>
  <c r="DT264" i="21" s="1"/>
  <c r="AD31" i="21"/>
  <c r="AD264" i="21" s="1"/>
  <c r="BM31" i="21"/>
  <c r="BM264" i="21" s="1"/>
  <c r="EU31" i="21"/>
  <c r="EU264" i="21" s="1"/>
  <c r="AL31" i="21"/>
  <c r="AL264" i="21" s="1"/>
  <c r="L31" i="21"/>
  <c r="L264" i="21" s="1"/>
  <c r="DP31" i="21"/>
  <c r="DP264" i="21" s="1"/>
  <c r="B31" i="21"/>
  <c r="FX31" i="21"/>
  <c r="FX264" i="21" s="1"/>
  <c r="U31" i="21"/>
  <c r="U264" i="21" s="1"/>
  <c r="DC31" i="21"/>
  <c r="DC264" i="21" s="1"/>
  <c r="P31" i="21"/>
  <c r="P264" i="21" s="1"/>
  <c r="FN31" i="21"/>
  <c r="FN264" i="21" s="1"/>
  <c r="AQ31" i="21"/>
  <c r="AQ264" i="21" s="1"/>
  <c r="DY31" i="21"/>
  <c r="DY264" i="21" s="1"/>
  <c r="FR31" i="21"/>
  <c r="FR264" i="21" s="1"/>
  <c r="DL31" i="21"/>
  <c r="DL264" i="21" s="1"/>
  <c r="BB31" i="21"/>
  <c r="BB264" i="21" s="1"/>
  <c r="AI31" i="21"/>
  <c r="AI264" i="21" s="1"/>
  <c r="CX31" i="21"/>
  <c r="CX264" i="21" s="1"/>
  <c r="BV31" i="21"/>
  <c r="BV264" i="21" s="1"/>
  <c r="CJ31" i="21"/>
  <c r="CJ264" i="21" s="1"/>
  <c r="FI31" i="21"/>
  <c r="FI264" i="21" s="1"/>
  <c r="EF31" i="21"/>
  <c r="EF264" i="21" s="1"/>
  <c r="DF31" i="21"/>
  <c r="DF264" i="21" s="1"/>
  <c r="BY31" i="21"/>
  <c r="BY264" i="21" s="1"/>
  <c r="H31" i="21"/>
  <c r="H264" i="21" s="1"/>
  <c r="CP31" i="21"/>
  <c r="CP264" i="21" s="1"/>
  <c r="EI31" i="21"/>
  <c r="EI264" i="21" s="1"/>
  <c r="CC31" i="21"/>
  <c r="CC264" i="21" s="1"/>
  <c r="S31" i="21"/>
  <c r="S264" i="21" s="1"/>
  <c r="FD31" i="21"/>
  <c r="FD264" i="21" s="1"/>
  <c r="EK31" i="21"/>
  <c r="EK264" i="21" s="1"/>
  <c r="ET31" i="21"/>
  <c r="ET264" i="21" s="1"/>
  <c r="AA31" i="21"/>
  <c r="AA264" i="21" s="1"/>
  <c r="Q31" i="21"/>
  <c r="Q264" i="21" s="1"/>
  <c r="DK31" i="21"/>
  <c r="DK264" i="21" s="1"/>
  <c r="BJ31" i="21"/>
  <c r="BJ264" i="21" s="1"/>
  <c r="CS31" i="21"/>
  <c r="CS264" i="21" s="1"/>
  <c r="FP31" i="21"/>
  <c r="FP264" i="21" s="1"/>
  <c r="DZ31" i="21"/>
  <c r="DZ264" i="21" s="1"/>
  <c r="AN31" i="21"/>
  <c r="AN264" i="21" s="1"/>
  <c r="M31" i="21"/>
  <c r="M264" i="21" s="1"/>
  <c r="FK31" i="21"/>
  <c r="FK264" i="21" s="1"/>
  <c r="EV31" i="21"/>
  <c r="EV264" i="21" s="1"/>
  <c r="BG31" i="21"/>
  <c r="BG264" i="21" s="1"/>
  <c r="CZ31" i="21"/>
  <c r="CZ264" i="21" s="1"/>
  <c r="AT31" i="21"/>
  <c r="AT264" i="21" s="1"/>
  <c r="FG31" i="21"/>
  <c r="FG264" i="21" s="1"/>
  <c r="CN31" i="21"/>
  <c r="CN264" i="21" s="1"/>
  <c r="EA31" i="21"/>
  <c r="EA264" i="21" s="1"/>
  <c r="AZ31" i="21"/>
  <c r="AZ264" i="21" s="1"/>
  <c r="CR31" i="21"/>
  <c r="CR264" i="21" s="1"/>
  <c r="AC31" i="21"/>
  <c r="AC264" i="21" s="1"/>
  <c r="EM31" i="21"/>
  <c r="EM264" i="21" s="1"/>
  <c r="CG31" i="21"/>
  <c r="CG264" i="21" s="1"/>
  <c r="CQ31" i="21"/>
  <c r="CQ264" i="21" s="1"/>
  <c r="EC31" i="21"/>
  <c r="EC264" i="21" s="1"/>
  <c r="CW31" i="21"/>
  <c r="CW264" i="21" s="1"/>
  <c r="AE31" i="21"/>
  <c r="AE264" i="21" s="1"/>
  <c r="DM31" i="21"/>
  <c r="DM264" i="21" s="1"/>
  <c r="EE31" i="21"/>
  <c r="EE264" i="21" s="1"/>
  <c r="BQ31" i="21"/>
  <c r="BQ264" i="21" s="1"/>
  <c r="K31" i="21"/>
  <c r="K264" i="21" s="1"/>
  <c r="DX31" i="21"/>
  <c r="DX264" i="21" s="1"/>
  <c r="EQ31" i="21"/>
  <c r="EQ264" i="21" s="1"/>
  <c r="BK31" i="21"/>
  <c r="BK264" i="21" s="1"/>
  <c r="EZ31" i="21"/>
  <c r="EZ264" i="21" s="1"/>
  <c r="DJ31" i="21"/>
  <c r="DJ264" i="21" s="1"/>
  <c r="BS31" i="21"/>
  <c r="BS264" i="21" s="1"/>
  <c r="BE31" i="21"/>
  <c r="BE264" i="21" s="1"/>
  <c r="ES31" i="21"/>
  <c r="ES264" i="21" s="1"/>
  <c r="DG31" i="21"/>
  <c r="DG264" i="21" s="1"/>
  <c r="AW31" i="21"/>
  <c r="AW264" i="21" s="1"/>
  <c r="CB31" i="21"/>
  <c r="CB264" i="21" s="1"/>
  <c r="FT31" i="21"/>
  <c r="FT264" i="21" s="1"/>
  <c r="FW31" i="21"/>
  <c r="FW264" i="21" s="1"/>
  <c r="BU31" i="21"/>
  <c r="BU264" i="21" s="1"/>
  <c r="AS31" i="21"/>
  <c r="AS264" i="21" s="1"/>
  <c r="DB31" i="21"/>
  <c r="DB264" i="21" s="1"/>
  <c r="DH31" i="21"/>
  <c r="DH264" i="21" s="1"/>
  <c r="DS31" i="21"/>
  <c r="DS264" i="21" s="1"/>
  <c r="BN31" i="21"/>
  <c r="BN264" i="21" s="1"/>
  <c r="CA31" i="21"/>
  <c r="CA264" i="21" s="1"/>
  <c r="V31" i="21"/>
  <c r="V264" i="21" s="1"/>
  <c r="ER31" i="21"/>
  <c r="ER264" i="21" s="1"/>
  <c r="DE31" i="21"/>
  <c r="DE264" i="21" s="1"/>
  <c r="BH31" i="21"/>
  <c r="BH264" i="21" s="1"/>
  <c r="CY31" i="21"/>
  <c r="CY264" i="21" s="1"/>
  <c r="DD31" i="21"/>
  <c r="DD264" i="21" s="1"/>
  <c r="AR31" i="21"/>
  <c r="AR264" i="21" s="1"/>
  <c r="FJ31" i="21"/>
  <c r="FJ264" i="21" s="1"/>
  <c r="BA31" i="21"/>
  <c r="BA264" i="21" s="1"/>
  <c r="CI31" i="21"/>
  <c r="CI264" i="21" s="1"/>
  <c r="EH31" i="21"/>
  <c r="EH264" i="21" s="1"/>
  <c r="N31" i="21"/>
  <c r="N264" i="21" s="1"/>
  <c r="AY31" i="21"/>
  <c r="AY264" i="21" s="1"/>
  <c r="EZ290" i="21"/>
  <c r="U290" i="21"/>
  <c r="BV290" i="21"/>
  <c r="CC290" i="21"/>
  <c r="AF290" i="21"/>
  <c r="EY290" i="21"/>
  <c r="CG290" i="21"/>
  <c r="CS290" i="21"/>
  <c r="CT290" i="21"/>
  <c r="B290" i="21"/>
  <c r="AY290" i="21"/>
  <c r="AJ290" i="21"/>
  <c r="BR290" i="21"/>
  <c r="DN290" i="21"/>
  <c r="EF290" i="21"/>
  <c r="CL290" i="21"/>
  <c r="CZ290" i="21"/>
  <c r="BX290" i="21"/>
  <c r="BD290" i="21"/>
  <c r="ER290" i="21"/>
  <c r="EK290" i="21"/>
  <c r="DG290" i="21"/>
  <c r="DW290" i="21"/>
  <c r="I290" i="21"/>
  <c r="DB290" i="21"/>
  <c r="DF290" i="21"/>
  <c r="L290" i="21"/>
  <c r="CX290" i="21"/>
  <c r="AA290" i="21"/>
  <c r="EN290" i="21"/>
  <c r="J290" i="21"/>
  <c r="BF290" i="21"/>
  <c r="EV290" i="21"/>
  <c r="DQ290" i="21"/>
  <c r="AU290" i="21"/>
  <c r="FL290" i="21"/>
  <c r="CA290" i="21"/>
  <c r="EP290" i="21"/>
  <c r="AL290" i="21"/>
  <c r="BZ290" i="21"/>
  <c r="CP290" i="21"/>
  <c r="CI290" i="21"/>
  <c r="CR290" i="21"/>
  <c r="O290" i="21"/>
  <c r="AG290" i="21"/>
  <c r="DH290" i="21"/>
  <c r="H290" i="21"/>
  <c r="DY290" i="21"/>
  <c r="FN290" i="21"/>
  <c r="BB290" i="21"/>
  <c r="AB290" i="21"/>
  <c r="AN290" i="21"/>
  <c r="AC290" i="21"/>
  <c r="BL290" i="21"/>
  <c r="BW290" i="21"/>
  <c r="CY290" i="21"/>
  <c r="AZ290" i="21"/>
  <c r="N290" i="21"/>
  <c r="CH290" i="21"/>
  <c r="D290" i="21"/>
  <c r="FJ290" i="21"/>
  <c r="CB290" i="21"/>
  <c r="AH290" i="21"/>
  <c r="BS290" i="21"/>
  <c r="AK290" i="21"/>
  <c r="FK290" i="21"/>
  <c r="EE290" i="21"/>
  <c r="DA290" i="21"/>
  <c r="C290" i="21"/>
  <c r="EW290" i="21"/>
  <c r="BM290" i="21"/>
  <c r="FQ290" i="21"/>
  <c r="BK290" i="21"/>
  <c r="CE290" i="21"/>
  <c r="DT290" i="21"/>
  <c r="K290" i="21"/>
  <c r="ES290" i="21"/>
  <c r="EL290" i="21"/>
  <c r="DD290" i="21"/>
  <c r="DS290" i="21"/>
  <c r="FU290" i="21"/>
  <c r="DX290" i="21"/>
  <c r="EI290" i="21"/>
  <c r="R290" i="21"/>
  <c r="Y290" i="21"/>
  <c r="FC290" i="21"/>
  <c r="AE290" i="21"/>
  <c r="CC210" i="21"/>
  <c r="CC249" i="21" s="1"/>
  <c r="CO210" i="21"/>
  <c r="CO249" i="21" s="1"/>
  <c r="DO210" i="21"/>
  <c r="DO249" i="21" s="1"/>
  <c r="EM210" i="21"/>
  <c r="EM249" i="21" s="1"/>
  <c r="BU210" i="21"/>
  <c r="BU249" i="21" s="1"/>
  <c r="FL210" i="21"/>
  <c r="FL249" i="21" s="1"/>
  <c r="EW210" i="21"/>
  <c r="EW249" i="21" s="1"/>
  <c r="BF210" i="21"/>
  <c r="BF249" i="21" s="1"/>
  <c r="CN210" i="21"/>
  <c r="CN249" i="21" s="1"/>
  <c r="Y210" i="21"/>
  <c r="Y249" i="21" s="1"/>
  <c r="EN210" i="21"/>
  <c r="EN249" i="21" s="1"/>
  <c r="CF210" i="21"/>
  <c r="CF249" i="21" s="1"/>
  <c r="P210" i="21"/>
  <c r="P249" i="21" s="1"/>
  <c r="AM210" i="21"/>
  <c r="AM249" i="21" s="1"/>
  <c r="BJ210" i="21"/>
  <c r="BJ249" i="21" s="1"/>
  <c r="DK210" i="21"/>
  <c r="DK249" i="21" s="1"/>
  <c r="AC210" i="21"/>
  <c r="AC249" i="21" s="1"/>
  <c r="E210" i="21"/>
  <c r="E249" i="21" s="1"/>
  <c r="CM210" i="21"/>
  <c r="CM249" i="21" s="1"/>
  <c r="EH210" i="21"/>
  <c r="EH249" i="21" s="1"/>
  <c r="CA210" i="21"/>
  <c r="CA249" i="21" s="1"/>
  <c r="S210" i="21"/>
  <c r="S249" i="21" s="1"/>
  <c r="DA210" i="21"/>
  <c r="DA249" i="21" s="1"/>
  <c r="DN210" i="21"/>
  <c r="DN249" i="21" s="1"/>
  <c r="EL210" i="21"/>
  <c r="EL249" i="21" s="1"/>
  <c r="FJ210" i="21"/>
  <c r="FJ249" i="21" s="1"/>
  <c r="DD210" i="21"/>
  <c r="DD249" i="21" s="1"/>
  <c r="AI210" i="21"/>
  <c r="AI249" i="21" s="1"/>
  <c r="AV210" i="21"/>
  <c r="AV249" i="21" s="1"/>
  <c r="DM210" i="21"/>
  <c r="DM249" i="21" s="1"/>
  <c r="FW210" i="21"/>
  <c r="FW249" i="21" s="1"/>
  <c r="DW210" i="21"/>
  <c r="DW249" i="21" s="1"/>
  <c r="BH210" i="21"/>
  <c r="BH249" i="21" s="1"/>
  <c r="CG210" i="21"/>
  <c r="CG249" i="21" s="1"/>
  <c r="AY210" i="21"/>
  <c r="AY249" i="21" s="1"/>
  <c r="BV210" i="21"/>
  <c r="BV249" i="21" s="1"/>
  <c r="FR210" i="21"/>
  <c r="FR249" i="21" s="1"/>
  <c r="ET210" i="21"/>
  <c r="ET249" i="21" s="1"/>
  <c r="EQ210" i="21"/>
  <c r="EQ249" i="21" s="1"/>
  <c r="CU210" i="21"/>
  <c r="CU249" i="21" s="1"/>
  <c r="R210" i="21"/>
  <c r="R249" i="21" s="1"/>
  <c r="BY210" i="21"/>
  <c r="BY249" i="21" s="1"/>
  <c r="FQ210" i="21"/>
  <c r="FQ249" i="21" s="1"/>
  <c r="ES210" i="21"/>
  <c r="ES249" i="21" s="1"/>
  <c r="DX210" i="21"/>
  <c r="DX249" i="21" s="1"/>
  <c r="EK210" i="21"/>
  <c r="EK249" i="21" s="1"/>
  <c r="FI210" i="21"/>
  <c r="FI249" i="21" s="1"/>
  <c r="AF210" i="21"/>
  <c r="AF249" i="21" s="1"/>
  <c r="EJ210" i="21"/>
  <c r="EJ249" i="21" s="1"/>
  <c r="BT210" i="21"/>
  <c r="BT249" i="21" s="1"/>
  <c r="DE210" i="21"/>
  <c r="DE249" i="21" s="1"/>
  <c r="FA210" i="21"/>
  <c r="FA249" i="21" s="1"/>
  <c r="W210" i="21"/>
  <c r="W249" i="21" s="1"/>
  <c r="AT210" i="21"/>
  <c r="AT249" i="21" s="1"/>
  <c r="EU210" i="21"/>
  <c r="EU249" i="21" s="1"/>
  <c r="FT210" i="21"/>
  <c r="FT249" i="21" s="1"/>
  <c r="CH210" i="21"/>
  <c r="CH249" i="21" s="1"/>
  <c r="AE210" i="21"/>
  <c r="AE249" i="21" s="1"/>
  <c r="AD210" i="21"/>
  <c r="AD249" i="21" s="1"/>
  <c r="F210" i="21"/>
  <c r="F249" i="21" s="1"/>
  <c r="CT210" i="21"/>
  <c r="CT249" i="21" s="1"/>
  <c r="AL210" i="21"/>
  <c r="AL249" i="21" s="1"/>
  <c r="DT210" i="21"/>
  <c r="DT249" i="21" s="1"/>
  <c r="AB210" i="21"/>
  <c r="AB249" i="21" s="1"/>
  <c r="DH210" i="21"/>
  <c r="DH249" i="21" s="1"/>
  <c r="BL210" i="21"/>
  <c r="BL249" i="21" s="1"/>
  <c r="EO210" i="21"/>
  <c r="EO249" i="21" s="1"/>
  <c r="FH210" i="21"/>
  <c r="FH249" i="21" s="1"/>
  <c r="T210" i="21"/>
  <c r="T249" i="21" s="1"/>
  <c r="BI210" i="21"/>
  <c r="BI249" i="21" s="1"/>
  <c r="FS210" i="21"/>
  <c r="FS249" i="21" s="1"/>
  <c r="DC210" i="21"/>
  <c r="DC249" i="21" s="1"/>
  <c r="EY210" i="21"/>
  <c r="EY249" i="21" s="1"/>
  <c r="U210" i="21"/>
  <c r="U249" i="21" s="1"/>
  <c r="CR210" i="21"/>
  <c r="CR249" i="21" s="1"/>
  <c r="DZ210" i="21"/>
  <c r="DZ249" i="21" s="1"/>
  <c r="CD210" i="21"/>
  <c r="CD249" i="21" s="1"/>
  <c r="FU210" i="21"/>
  <c r="FU249" i="21" s="1"/>
  <c r="AQ210" i="21"/>
  <c r="AQ249" i="21" s="1"/>
  <c r="BN210" i="21"/>
  <c r="BN249" i="21" s="1"/>
  <c r="BM210" i="21"/>
  <c r="BM249" i="21" s="1"/>
  <c r="AO210" i="21"/>
  <c r="AO249" i="21" s="1"/>
  <c r="CX210" i="21"/>
  <c r="CX249" i="21" s="1"/>
  <c r="CY210" i="21"/>
  <c r="CY249" i="21" s="1"/>
  <c r="BW210" i="21"/>
  <c r="BW249" i="21" s="1"/>
  <c r="DR210" i="21"/>
  <c r="DR249" i="21" s="1"/>
  <c r="BK210" i="21"/>
  <c r="BK249" i="21" s="1"/>
  <c r="C210" i="21"/>
  <c r="C249" i="21" s="1"/>
  <c r="BP210" i="21"/>
  <c r="BP249" i="21" s="1"/>
  <c r="DP210" i="21"/>
  <c r="DP249" i="21" s="1"/>
  <c r="EC210" i="21"/>
  <c r="EC249" i="21" s="1"/>
  <c r="H210" i="21"/>
  <c r="H249" i="21" s="1"/>
  <c r="FY210" i="21"/>
  <c r="FY249" i="21" s="1"/>
  <c r="K210" i="21"/>
  <c r="K249" i="21" s="1"/>
  <c r="D210" i="21"/>
  <c r="D249" i="21" s="1"/>
  <c r="Z210" i="21"/>
  <c r="Z249" i="21" s="1"/>
  <c r="BB210" i="21"/>
  <c r="BB249" i="21" s="1"/>
  <c r="ED210" i="21"/>
  <c r="ED249" i="21" s="1"/>
  <c r="O210" i="21"/>
  <c r="O249" i="21" s="1"/>
  <c r="B210" i="21"/>
  <c r="B249" i="21" s="1"/>
  <c r="M210" i="21"/>
  <c r="M249" i="21" s="1"/>
  <c r="CZ210" i="21"/>
  <c r="CZ249" i="21" s="1"/>
  <c r="EI210" i="21"/>
  <c r="EI249" i="21" s="1"/>
  <c r="CB210" i="21"/>
  <c r="CB249" i="21" s="1"/>
  <c r="EX210" i="21"/>
  <c r="EX249" i="21" s="1"/>
  <c r="BC210" i="21"/>
  <c r="BC249" i="21" s="1"/>
  <c r="CW210" i="21"/>
  <c r="CW249" i="21" s="1"/>
  <c r="BX210" i="21"/>
  <c r="BX249" i="21" s="1"/>
  <c r="AP210" i="21"/>
  <c r="AP249" i="21" s="1"/>
  <c r="DV210" i="21"/>
  <c r="DV249" i="21" s="1"/>
  <c r="G210" i="21"/>
  <c r="G249" i="21" s="1"/>
  <c r="I210" i="21"/>
  <c r="I249" i="21" s="1"/>
  <c r="AR210" i="21"/>
  <c r="AR249" i="21" s="1"/>
  <c r="EB210" i="21"/>
  <c r="EB249" i="21" s="1"/>
  <c r="FM210" i="21"/>
  <c r="FM249" i="21" s="1"/>
  <c r="DY210" i="21"/>
  <c r="DY249" i="21" s="1"/>
  <c r="AU210" i="21"/>
  <c r="AU249" i="21" s="1"/>
  <c r="CL210" i="21"/>
  <c r="CL249" i="21" s="1"/>
  <c r="EF210" i="21"/>
  <c r="EF249" i="21" s="1"/>
  <c r="DG210" i="21"/>
  <c r="DG249" i="21" s="1"/>
  <c r="FP210" i="21"/>
  <c r="FP249" i="21" s="1"/>
  <c r="BA210" i="21"/>
  <c r="BA249" i="21" s="1"/>
  <c r="EG210" i="21"/>
  <c r="EG249" i="21" s="1"/>
  <c r="AG210" i="21"/>
  <c r="AG249" i="21" s="1"/>
  <c r="BQ210" i="21"/>
  <c r="BQ249" i="21" s="1"/>
  <c r="FG210" i="21"/>
  <c r="FG249" i="21" s="1"/>
  <c r="AW210" i="21"/>
  <c r="AW249" i="21" s="1"/>
  <c r="FV210" i="21"/>
  <c r="FV249" i="21" s="1"/>
  <c r="EA210" i="21"/>
  <c r="EA249" i="21" s="1"/>
  <c r="DU210" i="21"/>
  <c r="DU249" i="21" s="1"/>
  <c r="FO210" i="21"/>
  <c r="FO249" i="21" s="1"/>
  <c r="EP210" i="21"/>
  <c r="EP249" i="21" s="1"/>
  <c r="CI210" i="21"/>
  <c r="CI249" i="21" s="1"/>
  <c r="FC210" i="21"/>
  <c r="FC249" i="21" s="1"/>
  <c r="AZ210" i="21"/>
  <c r="AZ249" i="21" s="1"/>
  <c r="CP210" i="21"/>
  <c r="CP249" i="21" s="1"/>
  <c r="CS210" i="21"/>
  <c r="CS249" i="21" s="1"/>
  <c r="BG210" i="21"/>
  <c r="BG249" i="21" s="1"/>
  <c r="AA210" i="21"/>
  <c r="AA249" i="21" s="1"/>
  <c r="N210" i="21"/>
  <c r="N249" i="21" s="1"/>
  <c r="FB210" i="21"/>
  <c r="FB249" i="21" s="1"/>
  <c r="DI210" i="21"/>
  <c r="DI249" i="21" s="1"/>
  <c r="AS210" i="21"/>
  <c r="AS249" i="21" s="1"/>
  <c r="BD210" i="21"/>
  <c r="BD249" i="21" s="1"/>
  <c r="EV210" i="21"/>
  <c r="EV249" i="21" s="1"/>
  <c r="CV210" i="21"/>
  <c r="CV249" i="21" s="1"/>
  <c r="FF210" i="21"/>
  <c r="FF249" i="21" s="1"/>
  <c r="BE210" i="21"/>
  <c r="BE249" i="21" s="1"/>
  <c r="V210" i="21"/>
  <c r="V249" i="21" s="1"/>
  <c r="DF210" i="21"/>
  <c r="DF249" i="21" s="1"/>
  <c r="AH210" i="21"/>
  <c r="AH249" i="21" s="1"/>
  <c r="BS210" i="21"/>
  <c r="BS249" i="21" s="1"/>
  <c r="DS210" i="21"/>
  <c r="DS249" i="21" s="1"/>
  <c r="BR210" i="21"/>
  <c r="BR249" i="21" s="1"/>
  <c r="DL210" i="21"/>
  <c r="DL249" i="21" s="1"/>
  <c r="CE210" i="21"/>
  <c r="CE249" i="21" s="1"/>
  <c r="EE210" i="21"/>
  <c r="EE249" i="21" s="1"/>
  <c r="CK210" i="21"/>
  <c r="CK249" i="21" s="1"/>
  <c r="DJ210" i="21"/>
  <c r="DJ249" i="21" s="1"/>
  <c r="FX210" i="21"/>
  <c r="FX249" i="21" s="1"/>
  <c r="Q210" i="21"/>
  <c r="Q249" i="21" s="1"/>
  <c r="L210" i="21"/>
  <c r="L249" i="21" s="1"/>
  <c r="X210" i="21"/>
  <c r="X249" i="21" s="1"/>
  <c r="FE210" i="21"/>
  <c r="FE249" i="21" s="1"/>
  <c r="CQ210" i="21"/>
  <c r="CQ249" i="21" s="1"/>
  <c r="EZ210" i="21"/>
  <c r="EZ249" i="21" s="1"/>
  <c r="J210" i="21"/>
  <c r="J249" i="21" s="1"/>
  <c r="FN210" i="21"/>
  <c r="FN249" i="21" s="1"/>
  <c r="AN210" i="21"/>
  <c r="AN249" i="21" s="1"/>
  <c r="AJ210" i="21"/>
  <c r="AJ249" i="21" s="1"/>
  <c r="FD210" i="21"/>
  <c r="FD249" i="21" s="1"/>
  <c r="FK210" i="21"/>
  <c r="FK249" i="21" s="1"/>
  <c r="BZ210" i="21"/>
  <c r="BZ249" i="21" s="1"/>
  <c r="BO210" i="21"/>
  <c r="BO249" i="21" s="1"/>
  <c r="CJ210" i="21"/>
  <c r="CJ249" i="21" s="1"/>
  <c r="AK210" i="21"/>
  <c r="AK249" i="21" s="1"/>
  <c r="DQ210" i="21"/>
  <c r="DQ249" i="21" s="1"/>
  <c r="ER210" i="21"/>
  <c r="ER249" i="21" s="1"/>
  <c r="DB210" i="21"/>
  <c r="DB249" i="21" s="1"/>
  <c r="AX210" i="21"/>
  <c r="AX249" i="21" s="1"/>
  <c r="FI290" i="21"/>
  <c r="CA191" i="5"/>
  <c r="F290" i="21"/>
  <c r="CD290" i="21"/>
  <c r="EO290" i="21"/>
  <c r="DZ290" i="21"/>
  <c r="EH290" i="21"/>
  <c r="AD290" i="21"/>
  <c r="CU290" i="21"/>
  <c r="AW290" i="21"/>
  <c r="ET290" i="21"/>
  <c r="CO290" i="21"/>
  <c r="BQ290" i="21"/>
  <c r="AI290" i="21"/>
  <c r="FF290" i="21"/>
  <c r="EX290" i="21"/>
  <c r="FA290" i="21"/>
  <c r="AS290" i="21"/>
  <c r="Z290" i="21"/>
  <c r="CM290" i="21"/>
  <c r="CQ290" i="21"/>
  <c r="BA290" i="21"/>
  <c r="FW290" i="21"/>
  <c r="AQ290" i="21"/>
  <c r="FS290" i="21"/>
  <c r="DO290" i="21"/>
  <c r="V290" i="21"/>
  <c r="B30" i="21"/>
  <c r="DX30" i="21"/>
  <c r="DX263" i="21" s="1"/>
  <c r="CO30" i="21"/>
  <c r="CO263" i="21" s="1"/>
  <c r="BF30" i="21"/>
  <c r="BF263" i="21" s="1"/>
  <c r="W30" i="21"/>
  <c r="W263" i="21" s="1"/>
  <c r="FS30" i="21"/>
  <c r="FS263" i="21" s="1"/>
  <c r="FA30" i="21"/>
  <c r="FA263" i="21" s="1"/>
  <c r="FG30" i="21"/>
  <c r="FG263" i="21" s="1"/>
  <c r="EL30" i="21"/>
  <c r="EL263" i="21" s="1"/>
  <c r="DV30" i="21"/>
  <c r="DV263" i="21" s="1"/>
  <c r="DL30" i="21"/>
  <c r="DL263" i="21" s="1"/>
  <c r="CC30" i="21"/>
  <c r="CC263" i="21" s="1"/>
  <c r="AT30" i="21"/>
  <c r="AT263" i="21" s="1"/>
  <c r="EJ30" i="21"/>
  <c r="EJ263" i="21" s="1"/>
  <c r="BC30" i="21"/>
  <c r="BC263" i="21" s="1"/>
  <c r="BY30" i="21"/>
  <c r="BY263" i="21" s="1"/>
  <c r="ED30" i="21"/>
  <c r="ED263" i="21" s="1"/>
  <c r="FF30" i="21"/>
  <c r="FF263" i="21" s="1"/>
  <c r="CI30" i="21"/>
  <c r="CI263" i="21" s="1"/>
  <c r="BK30" i="21"/>
  <c r="BK263" i="21" s="1"/>
  <c r="AM30" i="21"/>
  <c r="AM263" i="21" s="1"/>
  <c r="O30" i="21"/>
  <c r="O263" i="21" s="1"/>
  <c r="DH30" i="21"/>
  <c r="DH263" i="21" s="1"/>
  <c r="E30" i="21"/>
  <c r="E263" i="21" s="1"/>
  <c r="EO30" i="21"/>
  <c r="EO263" i="21" s="1"/>
  <c r="DE30" i="21"/>
  <c r="DE263" i="21" s="1"/>
  <c r="BZ30" i="21"/>
  <c r="BZ263" i="21" s="1"/>
  <c r="AQ30" i="21"/>
  <c r="AQ263" i="21" s="1"/>
  <c r="L30" i="21"/>
  <c r="L263" i="21" s="1"/>
  <c r="FW30" i="21"/>
  <c r="FW263" i="21" s="1"/>
  <c r="FX30" i="21"/>
  <c r="FX263" i="21" s="1"/>
  <c r="FH30" i="21"/>
  <c r="FH263" i="21" s="1"/>
  <c r="EM30" i="21"/>
  <c r="EM263" i="21" s="1"/>
  <c r="EB30" i="21"/>
  <c r="EB263" i="21" s="1"/>
  <c r="CS30" i="21"/>
  <c r="CS263" i="21" s="1"/>
  <c r="BN30" i="21"/>
  <c r="BN263" i="21" s="1"/>
  <c r="AF30" i="21"/>
  <c r="AF263" i="21" s="1"/>
  <c r="BS30" i="21"/>
  <c r="BS263" i="21" s="1"/>
  <c r="CV30" i="21"/>
  <c r="CV263" i="21" s="1"/>
  <c r="AO30" i="21"/>
  <c r="AO263" i="21" s="1"/>
  <c r="BM30" i="21"/>
  <c r="BM263" i="21" s="1"/>
  <c r="DR30" i="21"/>
  <c r="DR263" i="21" s="1"/>
  <c r="CT30" i="21"/>
  <c r="CT263" i="21" s="1"/>
  <c r="BV30" i="21"/>
  <c r="BV263" i="21" s="1"/>
  <c r="AX30" i="21"/>
  <c r="AX263" i="21" s="1"/>
  <c r="EE30" i="21"/>
  <c r="EE263" i="21" s="1"/>
  <c r="T30" i="21"/>
  <c r="T263" i="21" s="1"/>
  <c r="FK30" i="21"/>
  <c r="FK263" i="21" s="1"/>
  <c r="DY30" i="21"/>
  <c r="DY263" i="21" s="1"/>
  <c r="CP30" i="21"/>
  <c r="CP263" i="21" s="1"/>
  <c r="BG30" i="21"/>
  <c r="BG263" i="21" s="1"/>
  <c r="AE30" i="21"/>
  <c r="AE263" i="21" s="1"/>
  <c r="M30" i="21"/>
  <c r="M263" i="21" s="1"/>
  <c r="P30" i="21"/>
  <c r="P263" i="21" s="1"/>
  <c r="FY30" i="21"/>
  <c r="FY263" i="21" s="1"/>
  <c r="I30" i="21"/>
  <c r="I263" i="21" s="1"/>
  <c r="EX30" i="21"/>
  <c r="EX263" i="21" s="1"/>
  <c r="DM30" i="21"/>
  <c r="DM263" i="21" s="1"/>
  <c r="CD30" i="21"/>
  <c r="CD263" i="21" s="1"/>
  <c r="DP30" i="21"/>
  <c r="DP263" i="21" s="1"/>
  <c r="CM30" i="21"/>
  <c r="CM263" i="21" s="1"/>
  <c r="DS30" i="21"/>
  <c r="DS263" i="21" s="1"/>
  <c r="AC30" i="21"/>
  <c r="AC263" i="21" s="1"/>
  <c r="CJ30" i="21"/>
  <c r="CJ263" i="21" s="1"/>
  <c r="FQ30" i="21"/>
  <c r="FQ263" i="21" s="1"/>
  <c r="ES30" i="21"/>
  <c r="ES263" i="21" s="1"/>
  <c r="DU30" i="21"/>
  <c r="DU263" i="21" s="1"/>
  <c r="CW30" i="21"/>
  <c r="CW263" i="21" s="1"/>
  <c r="FN30" i="21"/>
  <c r="FN263" i="21" s="1"/>
  <c r="AJ30" i="21"/>
  <c r="AJ263" i="21" s="1"/>
  <c r="F30" i="21"/>
  <c r="F263" i="21" s="1"/>
  <c r="EU30" i="21"/>
  <c r="EU263" i="21" s="1"/>
  <c r="DJ30" i="21"/>
  <c r="DJ263" i="21" s="1"/>
  <c r="CA30" i="21"/>
  <c r="CA263" i="21" s="1"/>
  <c r="AU30" i="21"/>
  <c r="AU263" i="21" s="1"/>
  <c r="AV30" i="21"/>
  <c r="AV263" i="21" s="1"/>
  <c r="AW30" i="21"/>
  <c r="AW263" i="21" s="1"/>
  <c r="R30" i="21"/>
  <c r="R263" i="21" s="1"/>
  <c r="X30" i="21"/>
  <c r="X263" i="21" s="1"/>
  <c r="FT30" i="21"/>
  <c r="FT263" i="21" s="1"/>
  <c r="EC30" i="21"/>
  <c r="EC263" i="21" s="1"/>
  <c r="CX30" i="21"/>
  <c r="CX263" i="21" s="1"/>
  <c r="AG30" i="21"/>
  <c r="AG263" i="21" s="1"/>
  <c r="DC30" i="21"/>
  <c r="DC263" i="21" s="1"/>
  <c r="FB30" i="21"/>
  <c r="FB263" i="21" s="1"/>
  <c r="Q30" i="21"/>
  <c r="Q263" i="21" s="1"/>
  <c r="DG30" i="21"/>
  <c r="DG263" i="21" s="1"/>
  <c r="AZ30" i="21"/>
  <c r="AZ263" i="21" s="1"/>
  <c r="AB30" i="21"/>
  <c r="AB263" i="21" s="1"/>
  <c r="FO30" i="21"/>
  <c r="FO263" i="21" s="1"/>
  <c r="DT30" i="21"/>
  <c r="DT263" i="21" s="1"/>
  <c r="Z30" i="21"/>
  <c r="Z263" i="21" s="1"/>
  <c r="DD30" i="21"/>
  <c r="DD263" i="21" s="1"/>
  <c r="AP30" i="21"/>
  <c r="AP263" i="21" s="1"/>
  <c r="EW30" i="21"/>
  <c r="EW263" i="21" s="1"/>
  <c r="EK30" i="21"/>
  <c r="EK263" i="21" s="1"/>
  <c r="DB30" i="21"/>
  <c r="DB263" i="21" s="1"/>
  <c r="BI30" i="21"/>
  <c r="BI263" i="21" s="1"/>
  <c r="FV30" i="21"/>
  <c r="FV263" i="21" s="1"/>
  <c r="FR30" i="21"/>
  <c r="FR263" i="21" s="1"/>
  <c r="EF30" i="21"/>
  <c r="EF263" i="21" s="1"/>
  <c r="AN30" i="21"/>
  <c r="AN263" i="21" s="1"/>
  <c r="FC30" i="21"/>
  <c r="FC263" i="21" s="1"/>
  <c r="U30" i="21"/>
  <c r="U263" i="21" s="1"/>
  <c r="DZ30" i="21"/>
  <c r="DZ263" i="21" s="1"/>
  <c r="BO30" i="21"/>
  <c r="BO263" i="21" s="1"/>
  <c r="BQ30" i="21"/>
  <c r="BQ263" i="21" s="1"/>
  <c r="AR30" i="21"/>
  <c r="AR263" i="21" s="1"/>
  <c r="EY30" i="21"/>
  <c r="EY263" i="21" s="1"/>
  <c r="AH30" i="21"/>
  <c r="AH263" i="21" s="1"/>
  <c r="N30" i="21"/>
  <c r="N263" i="21" s="1"/>
  <c r="EP30" i="21"/>
  <c r="EP263" i="21" s="1"/>
  <c r="AY30" i="21"/>
  <c r="AY263" i="21" s="1"/>
  <c r="EQ30" i="21"/>
  <c r="EQ263" i="21" s="1"/>
  <c r="AK30" i="21"/>
  <c r="AK263" i="21" s="1"/>
  <c r="EV30" i="21"/>
  <c r="EV263" i="21" s="1"/>
  <c r="CE30" i="21"/>
  <c r="CE263" i="21" s="1"/>
  <c r="CG30" i="21"/>
  <c r="CG263" i="21" s="1"/>
  <c r="BH30" i="21"/>
  <c r="BH263" i="21" s="1"/>
  <c r="FU30" i="21"/>
  <c r="FU263" i="21" s="1"/>
  <c r="FI30" i="21"/>
  <c r="FI263" i="21" s="1"/>
  <c r="BA30" i="21"/>
  <c r="BA263" i="21" s="1"/>
  <c r="ET30" i="21"/>
  <c r="ET263" i="21" s="1"/>
  <c r="CH30" i="21"/>
  <c r="CH263" i="21" s="1"/>
  <c r="C30" i="21"/>
  <c r="C263" i="21" s="1"/>
  <c r="BE30" i="21"/>
  <c r="BE263" i="21" s="1"/>
  <c r="FM30" i="21"/>
  <c r="FM263" i="21" s="1"/>
  <c r="CY30" i="21"/>
  <c r="CY263" i="21" s="1"/>
  <c r="DA30" i="21"/>
  <c r="DA263" i="21" s="1"/>
  <c r="CB30" i="21"/>
  <c r="CB263" i="21" s="1"/>
  <c r="K30" i="21"/>
  <c r="K263" i="21" s="1"/>
  <c r="S30" i="21"/>
  <c r="S263" i="21" s="1"/>
  <c r="BX30" i="21"/>
  <c r="BX263" i="21" s="1"/>
  <c r="EH30" i="21"/>
  <c r="EH263" i="21" s="1"/>
  <c r="EG30" i="21"/>
  <c r="EG263" i="21" s="1"/>
  <c r="AL30" i="21"/>
  <c r="AL263" i="21" s="1"/>
  <c r="H30" i="21"/>
  <c r="H263" i="21" s="1"/>
  <c r="DQ30" i="21"/>
  <c r="DQ263" i="21" s="1"/>
  <c r="AD30" i="21"/>
  <c r="AD263" i="21" s="1"/>
  <c r="CU30" i="21"/>
  <c r="CU263" i="21" s="1"/>
  <c r="D30" i="21"/>
  <c r="D263" i="21" s="1"/>
  <c r="Y30" i="21"/>
  <c r="Y263" i="21" s="1"/>
  <c r="BD30" i="21"/>
  <c r="BD263" i="21" s="1"/>
  <c r="CQ30" i="21"/>
  <c r="CQ263" i="21" s="1"/>
  <c r="BB30" i="21"/>
  <c r="BB263" i="21" s="1"/>
  <c r="DN30" i="21"/>
  <c r="DN263" i="21" s="1"/>
  <c r="FP30" i="21"/>
  <c r="FP263" i="21" s="1"/>
  <c r="AA30" i="21"/>
  <c r="AA263" i="21" s="1"/>
  <c r="CF30" i="21"/>
  <c r="CF263" i="21" s="1"/>
  <c r="DF30" i="21"/>
  <c r="DF263" i="21" s="1"/>
  <c r="BT30" i="21"/>
  <c r="BT263" i="21" s="1"/>
  <c r="DK30" i="21"/>
  <c r="DK263" i="21" s="1"/>
  <c r="BR30" i="21"/>
  <c r="BR263" i="21" s="1"/>
  <c r="EI30" i="21"/>
  <c r="EI263" i="21" s="1"/>
  <c r="FD30" i="21"/>
  <c r="FD263" i="21" s="1"/>
  <c r="BJ30" i="21"/>
  <c r="BJ263" i="21" s="1"/>
  <c r="FL30" i="21"/>
  <c r="FL263" i="21" s="1"/>
  <c r="J30" i="21"/>
  <c r="J263" i="21" s="1"/>
  <c r="BW30" i="21"/>
  <c r="BW263" i="21" s="1"/>
  <c r="G30" i="21"/>
  <c r="G263" i="21" s="1"/>
  <c r="EN30" i="21"/>
  <c r="EN263" i="21" s="1"/>
  <c r="CN30" i="21"/>
  <c r="CN263" i="21" s="1"/>
  <c r="EA30" i="21"/>
  <c r="EA263" i="21" s="1"/>
  <c r="CL30" i="21"/>
  <c r="CL263" i="21" s="1"/>
  <c r="EZ30" i="21"/>
  <c r="EZ263" i="21" s="1"/>
  <c r="ER30" i="21"/>
  <c r="ER263" i="21" s="1"/>
  <c r="DI30" i="21"/>
  <c r="DI263" i="21" s="1"/>
  <c r="BU30" i="21"/>
  <c r="BU263" i="21" s="1"/>
  <c r="DO30" i="21"/>
  <c r="DO263" i="21" s="1"/>
  <c r="CR30" i="21"/>
  <c r="CR263" i="21" s="1"/>
  <c r="AI30" i="21"/>
  <c r="AI263" i="21" s="1"/>
  <c r="BL30" i="21"/>
  <c r="BL263" i="21" s="1"/>
  <c r="CK30" i="21"/>
  <c r="CK263" i="21" s="1"/>
  <c r="BP30" i="21"/>
  <c r="BP263" i="21" s="1"/>
  <c r="DW30" i="21"/>
  <c r="DW263" i="21" s="1"/>
  <c r="AS30" i="21"/>
  <c r="AS263" i="21" s="1"/>
  <c r="FJ30" i="21"/>
  <c r="FJ263" i="21" s="1"/>
  <c r="CZ30" i="21"/>
  <c r="CZ263" i="21" s="1"/>
  <c r="FE30" i="21"/>
  <c r="FE263" i="21" s="1"/>
  <c r="V30" i="21"/>
  <c r="V263" i="21" s="1"/>
  <c r="BS192" i="5"/>
  <c r="B32" i="21" a="1"/>
  <c r="BC200" i="21"/>
  <c r="BD208" i="21"/>
  <c r="BC239" i="21"/>
  <c r="BD247" i="21"/>
  <c r="B268" i="21" l="1"/>
  <c r="B263" i="21"/>
  <c r="B310" i="21"/>
  <c r="B264" i="21"/>
  <c r="BX45" i="5"/>
  <c r="BY47" i="5"/>
  <c r="BZ45" i="5"/>
  <c r="BT45" i="5"/>
  <c r="FD288" i="21"/>
  <c r="K284" i="21"/>
  <c r="AU284" i="21"/>
  <c r="CI284" i="21"/>
  <c r="CA285" i="21"/>
  <c r="EZ285" i="21"/>
  <c r="AE285" i="21"/>
  <c r="FK285" i="21"/>
  <c r="CP285" i="21"/>
  <c r="P285" i="21"/>
  <c r="CV285" i="21"/>
  <c r="EB285" i="21"/>
  <c r="E285" i="21"/>
  <c r="BP285" i="21"/>
  <c r="EV288" i="21"/>
  <c r="BP288" i="21"/>
  <c r="DJ288" i="21"/>
  <c r="FC288" i="21"/>
  <c r="BR288" i="21"/>
  <c r="CD288" i="21"/>
  <c r="N288" i="21"/>
  <c r="CM288" i="21"/>
  <c r="FT288" i="21"/>
  <c r="AD288" i="21"/>
  <c r="EB288" i="21"/>
  <c r="FF288" i="21"/>
  <c r="CN284" i="21"/>
  <c r="DQ284" i="21"/>
  <c r="BA284" i="21"/>
  <c r="BO284" i="21"/>
  <c r="FO284" i="21"/>
  <c r="CA284" i="21"/>
  <c r="ES284" i="21"/>
  <c r="CP284" i="21"/>
  <c r="FF284" i="21"/>
  <c r="DX284" i="21"/>
  <c r="BK285" i="21"/>
  <c r="BM285" i="21"/>
  <c r="AG285" i="21"/>
  <c r="DR288" i="21"/>
  <c r="DZ288" i="21"/>
  <c r="BH288" i="21"/>
  <c r="FA288" i="21"/>
  <c r="BZ288" i="21"/>
  <c r="EF288" i="21"/>
  <c r="CE288" i="21"/>
  <c r="AK288" i="21"/>
  <c r="EH288" i="21"/>
  <c r="BG288" i="21"/>
  <c r="AB288" i="21"/>
  <c r="Z288" i="21"/>
  <c r="EC288" i="21"/>
  <c r="FB288" i="21"/>
  <c r="BE288" i="21"/>
  <c r="C288" i="21"/>
  <c r="DE288" i="21"/>
  <c r="BQ288" i="21"/>
  <c r="DG288" i="21"/>
  <c r="FR288" i="21"/>
  <c r="FJ284" i="21"/>
  <c r="DO284" i="21"/>
  <c r="EN284" i="21"/>
  <c r="BR284" i="21"/>
  <c r="BB284" i="21"/>
  <c r="H284" i="21"/>
  <c r="DA284" i="21"/>
  <c r="FI284" i="21"/>
  <c r="AY284" i="21"/>
  <c r="DZ284" i="21"/>
  <c r="DB284" i="21"/>
  <c r="AB284" i="21"/>
  <c r="EC284" i="21"/>
  <c r="DJ284" i="21"/>
  <c r="FQ284" i="21"/>
  <c r="EX284" i="21"/>
  <c r="DY284" i="21"/>
  <c r="BM284" i="21"/>
  <c r="EM284" i="21"/>
  <c r="EO284" i="21"/>
  <c r="ED284" i="21"/>
  <c r="EL284" i="21"/>
  <c r="B284" i="21"/>
  <c r="DD285" i="21"/>
  <c r="DS285" i="21"/>
  <c r="AW285" i="21"/>
  <c r="EQ285" i="21"/>
  <c r="EC285" i="21"/>
  <c r="CN285" i="21"/>
  <c r="AN285" i="21"/>
  <c r="ET285" i="21"/>
  <c r="BY285" i="21"/>
  <c r="BB285" i="21"/>
  <c r="U285" i="21"/>
  <c r="AD285" i="21"/>
  <c r="DI285" i="21"/>
  <c r="DQ285" i="21"/>
  <c r="T285" i="21"/>
  <c r="FU285" i="21"/>
  <c r="BF285" i="21"/>
  <c r="AU285" i="21"/>
  <c r="BL285" i="21"/>
  <c r="FO285" i="21"/>
  <c r="CF285" i="21"/>
  <c r="C285" i="21"/>
  <c r="BU190" i="5"/>
  <c r="BB288" i="21"/>
  <c r="CU288" i="21"/>
  <c r="BU288" i="21"/>
  <c r="BC288" i="21"/>
  <c r="EY288" i="21"/>
  <c r="EE288" i="21"/>
  <c r="CI288" i="21"/>
  <c r="BD288" i="21"/>
  <c r="AJ288" i="21"/>
  <c r="DK288" i="21"/>
  <c r="CR288" i="21"/>
  <c r="E288" i="21"/>
  <c r="DX288" i="21"/>
  <c r="AF288" i="21"/>
  <c r="DW288" i="21"/>
  <c r="FL288" i="21"/>
  <c r="DT288" i="21"/>
  <c r="FM288" i="21"/>
  <c r="AS288" i="21"/>
  <c r="AV288" i="21"/>
  <c r="DH288" i="21"/>
  <c r="AT288" i="21"/>
  <c r="AR288" i="21"/>
  <c r="CK284" i="21"/>
  <c r="FL284" i="21"/>
  <c r="CF284" i="21"/>
  <c r="D284" i="21"/>
  <c r="BX284" i="21"/>
  <c r="CE284" i="21"/>
  <c r="EY284" i="21"/>
  <c r="EF284" i="21"/>
  <c r="DD284" i="21"/>
  <c r="AW284" i="21"/>
  <c r="FN284" i="21"/>
  <c r="CM284" i="21"/>
  <c r="AX284" i="21"/>
  <c r="AF284" i="21"/>
  <c r="AM284" i="21"/>
  <c r="AT284" i="21"/>
  <c r="W284" i="21"/>
  <c r="CA190" i="5"/>
  <c r="CI285" i="21"/>
  <c r="ER285" i="21"/>
  <c r="BU285" i="21"/>
  <c r="BS285" i="21"/>
  <c r="EE285" i="21"/>
  <c r="AC285" i="21"/>
  <c r="BG285" i="21"/>
  <c r="BJ285" i="21"/>
  <c r="CC285" i="21"/>
  <c r="CJ285" i="21"/>
  <c r="AQ285" i="21"/>
  <c r="BZ285" i="21"/>
  <c r="BD285" i="21"/>
  <c r="G285" i="21"/>
  <c r="FQ285" i="21"/>
  <c r="DN285" i="21"/>
  <c r="FV285" i="21"/>
  <c r="Y285" i="21"/>
  <c r="X285" i="21"/>
  <c r="J285" i="21"/>
  <c r="AX285" i="21"/>
  <c r="DO288" i="21"/>
  <c r="BO288" i="21"/>
  <c r="FH288" i="21"/>
  <c r="P288" i="21"/>
  <c r="DM288" i="21"/>
  <c r="V284" i="21"/>
  <c r="CL284" i="21"/>
  <c r="AA284" i="21"/>
  <c r="CU284" i="21"/>
  <c r="S284" i="21"/>
  <c r="EV284" i="21"/>
  <c r="FR284" i="21"/>
  <c r="Z284" i="21"/>
  <c r="DC284" i="21"/>
  <c r="CW284" i="21"/>
  <c r="AE284" i="21"/>
  <c r="BV284" i="21"/>
  <c r="AQ284" i="21"/>
  <c r="CC284" i="21"/>
  <c r="BF284" i="21"/>
  <c r="DJ285" i="21"/>
  <c r="EI285" i="21"/>
  <c r="BR285" i="21"/>
  <c r="FF285" i="21"/>
  <c r="EX285" i="21"/>
  <c r="AM285" i="21"/>
  <c r="CS288" i="21"/>
  <c r="CQ288" i="21"/>
  <c r="AI288" i="21"/>
  <c r="DD288" i="21"/>
  <c r="FX288" i="21"/>
  <c r="CP288" i="21"/>
  <c r="AM288" i="21"/>
  <c r="EO288" i="21"/>
  <c r="EW288" i="21"/>
  <c r="CY288" i="21"/>
  <c r="U288" i="21"/>
  <c r="G288" i="21"/>
  <c r="DS288" i="21"/>
  <c r="AQ288" i="21"/>
  <c r="R288" i="21"/>
  <c r="BT288" i="21"/>
  <c r="AX288" i="21"/>
  <c r="EN288" i="21"/>
  <c r="FE284" i="21"/>
  <c r="AI284" i="21"/>
  <c r="EA284" i="21"/>
  <c r="FD284" i="21"/>
  <c r="AD284" i="21"/>
  <c r="ET284" i="21"/>
  <c r="AK284" i="21"/>
  <c r="BQ284" i="21"/>
  <c r="FV284" i="21"/>
  <c r="AG284" i="21"/>
  <c r="DU284" i="21"/>
  <c r="CD284" i="21"/>
  <c r="BG284" i="21"/>
  <c r="CT284" i="21"/>
  <c r="BZ284" i="21"/>
  <c r="DL284" i="21"/>
  <c r="CO284" i="21"/>
  <c r="FJ285" i="21"/>
  <c r="CH285" i="21"/>
  <c r="ED288" i="21"/>
  <c r="EI284" i="21"/>
  <c r="DE284" i="21"/>
  <c r="DQ32" i="21"/>
  <c r="DQ266" i="21" s="1"/>
  <c r="AW32" i="21"/>
  <c r="AW266" i="21" s="1"/>
  <c r="B32" i="21"/>
  <c r="FG32" i="21"/>
  <c r="FG266" i="21" s="1"/>
  <c r="BF32" i="21"/>
  <c r="BF266" i="21" s="1"/>
  <c r="EF32" i="21"/>
  <c r="EF266" i="21" s="1"/>
  <c r="AT32" i="21"/>
  <c r="AT266" i="21" s="1"/>
  <c r="BZ32" i="21"/>
  <c r="BZ266" i="21" s="1"/>
  <c r="M32" i="21"/>
  <c r="M266" i="21" s="1"/>
  <c r="T32" i="21"/>
  <c r="T266" i="21" s="1"/>
  <c r="AB32" i="21"/>
  <c r="AB266" i="21" s="1"/>
  <c r="BS32" i="21"/>
  <c r="BS266" i="21" s="1"/>
  <c r="CB32" i="21"/>
  <c r="CB266" i="21" s="1"/>
  <c r="BA32" i="21"/>
  <c r="BA266" i="21" s="1"/>
  <c r="AM32" i="21"/>
  <c r="AM266" i="21" s="1"/>
  <c r="BQ32" i="21"/>
  <c r="BQ266" i="21" s="1"/>
  <c r="AP32" i="21"/>
  <c r="AP266" i="21" s="1"/>
  <c r="CA32" i="21"/>
  <c r="CA266" i="21" s="1"/>
  <c r="AI32" i="21"/>
  <c r="AI266" i="21" s="1"/>
  <c r="DP32" i="21"/>
  <c r="DP266" i="21" s="1"/>
  <c r="AJ32" i="21"/>
  <c r="AJ266" i="21" s="1"/>
  <c r="BP32" i="21"/>
  <c r="BP266" i="21" s="1"/>
  <c r="DK32" i="21"/>
  <c r="DK266" i="21" s="1"/>
  <c r="AA32" i="21"/>
  <c r="AA266" i="21" s="1"/>
  <c r="AY32" i="21"/>
  <c r="AY266" i="21" s="1"/>
  <c r="AX32" i="21"/>
  <c r="AX266" i="21" s="1"/>
  <c r="DX32" i="21"/>
  <c r="DX266" i="21" s="1"/>
  <c r="BY32" i="21"/>
  <c r="BY266" i="21" s="1"/>
  <c r="CW32" i="21"/>
  <c r="CW266" i="21" s="1"/>
  <c r="EC32" i="21"/>
  <c r="EC266" i="21" s="1"/>
  <c r="AQ32" i="21"/>
  <c r="AQ266" i="21" s="1"/>
  <c r="DC32" i="21"/>
  <c r="DC266" i="21" s="1"/>
  <c r="FH32" i="21"/>
  <c r="FH266" i="21" s="1"/>
  <c r="FP32" i="21"/>
  <c r="FP266" i="21" s="1"/>
  <c r="EZ32" i="21"/>
  <c r="EZ266" i="21" s="1"/>
  <c r="AS32" i="21"/>
  <c r="AS266" i="21" s="1"/>
  <c r="R32" i="21"/>
  <c r="R266" i="21" s="1"/>
  <c r="EB32" i="21"/>
  <c r="EB266" i="21" s="1"/>
  <c r="X32" i="21"/>
  <c r="X266" i="21" s="1"/>
  <c r="DL32" i="21"/>
  <c r="DL266" i="21" s="1"/>
  <c r="AR32" i="21"/>
  <c r="AR266" i="21" s="1"/>
  <c r="AZ32" i="21"/>
  <c r="AZ266" i="21" s="1"/>
  <c r="W32" i="21"/>
  <c r="W266" i="21" s="1"/>
  <c r="FR32" i="21"/>
  <c r="FR266" i="21" s="1"/>
  <c r="AG32" i="21"/>
  <c r="AG266" i="21" s="1"/>
  <c r="EM32" i="21"/>
  <c r="EM266" i="21" s="1"/>
  <c r="BU32" i="21"/>
  <c r="BU266" i="21" s="1"/>
  <c r="BW32" i="21"/>
  <c r="BW266" i="21" s="1"/>
  <c r="CO32" i="21"/>
  <c r="CO266" i="21" s="1"/>
  <c r="EU32" i="21"/>
  <c r="EU266" i="21" s="1"/>
  <c r="BN32" i="21"/>
  <c r="BN266" i="21" s="1"/>
  <c r="AK32" i="21"/>
  <c r="AK266" i="21" s="1"/>
  <c r="H32" i="21"/>
  <c r="H266" i="21" s="1"/>
  <c r="J32" i="21"/>
  <c r="J266" i="21" s="1"/>
  <c r="FY32" i="21"/>
  <c r="FY266" i="21" s="1"/>
  <c r="EG32" i="21"/>
  <c r="EG266" i="21" s="1"/>
  <c r="BJ32" i="21"/>
  <c r="BJ266" i="21" s="1"/>
  <c r="FA32" i="21"/>
  <c r="FA266" i="21" s="1"/>
  <c r="FF32" i="21"/>
  <c r="FF266" i="21" s="1"/>
  <c r="DY32" i="21"/>
  <c r="DY266" i="21" s="1"/>
  <c r="DN32" i="21"/>
  <c r="DN266" i="21" s="1"/>
  <c r="FX32" i="21"/>
  <c r="FX266" i="21" s="1"/>
  <c r="I32" i="21"/>
  <c r="I266" i="21" s="1"/>
  <c r="Q32" i="21"/>
  <c r="Q266" i="21" s="1"/>
  <c r="DG32" i="21"/>
  <c r="DG266" i="21" s="1"/>
  <c r="G32" i="21"/>
  <c r="G266" i="21" s="1"/>
  <c r="CR32" i="21"/>
  <c r="CR266" i="21" s="1"/>
  <c r="Y32" i="21"/>
  <c r="Y266" i="21" s="1"/>
  <c r="BV32" i="21"/>
  <c r="BV266" i="21" s="1"/>
  <c r="CS32" i="21"/>
  <c r="CS266" i="21" s="1"/>
  <c r="FB32" i="21"/>
  <c r="FB266" i="21" s="1"/>
  <c r="CC32" i="21"/>
  <c r="CC266" i="21" s="1"/>
  <c r="AE32" i="21"/>
  <c r="AE266" i="21" s="1"/>
  <c r="DZ32" i="21"/>
  <c r="DZ266" i="21" s="1"/>
  <c r="EV32" i="21"/>
  <c r="EV266" i="21" s="1"/>
  <c r="P32" i="21"/>
  <c r="P266" i="21" s="1"/>
  <c r="CQ32" i="21"/>
  <c r="CQ266" i="21" s="1"/>
  <c r="CX32" i="21"/>
  <c r="CX266" i="21" s="1"/>
  <c r="EW32" i="21"/>
  <c r="EW266" i="21" s="1"/>
  <c r="BK32" i="21"/>
  <c r="BK266" i="21" s="1"/>
  <c r="DW32" i="21"/>
  <c r="DW266" i="21" s="1"/>
  <c r="CV32" i="21"/>
  <c r="CV266" i="21" s="1"/>
  <c r="O32" i="21"/>
  <c r="O266" i="21" s="1"/>
  <c r="CG32" i="21"/>
  <c r="CG266" i="21" s="1"/>
  <c r="EL32" i="21"/>
  <c r="EL266" i="21" s="1"/>
  <c r="FE32" i="21"/>
  <c r="FE266" i="21" s="1"/>
  <c r="N32" i="21"/>
  <c r="N266" i="21" s="1"/>
  <c r="BL32" i="21"/>
  <c r="BL266" i="21" s="1"/>
  <c r="FW32" i="21"/>
  <c r="FW266" i="21" s="1"/>
  <c r="DR32" i="21"/>
  <c r="DR266" i="21" s="1"/>
  <c r="FJ32" i="21"/>
  <c r="FJ266" i="21" s="1"/>
  <c r="BI32" i="21"/>
  <c r="BI266" i="21" s="1"/>
  <c r="DA32" i="21"/>
  <c r="DA266" i="21" s="1"/>
  <c r="V32" i="21"/>
  <c r="V266" i="21" s="1"/>
  <c r="FN32" i="21"/>
  <c r="FN266" i="21" s="1"/>
  <c r="AO32" i="21"/>
  <c r="AO266" i="21" s="1"/>
  <c r="AV32" i="21"/>
  <c r="AV266" i="21" s="1"/>
  <c r="DB32" i="21"/>
  <c r="DB266" i="21" s="1"/>
  <c r="AL32" i="21"/>
  <c r="AL266" i="21" s="1"/>
  <c r="ET32" i="21"/>
  <c r="ET266" i="21" s="1"/>
  <c r="CF32" i="21"/>
  <c r="CF266" i="21" s="1"/>
  <c r="D32" i="21"/>
  <c r="D266" i="21" s="1"/>
  <c r="BH32" i="21"/>
  <c r="BH266" i="21" s="1"/>
  <c r="E32" i="21"/>
  <c r="E266" i="21" s="1"/>
  <c r="C32" i="21"/>
  <c r="C266" i="21" s="1"/>
  <c r="FK32" i="21"/>
  <c r="FK266" i="21" s="1"/>
  <c r="EQ32" i="21"/>
  <c r="EQ266" i="21" s="1"/>
  <c r="EK32" i="21"/>
  <c r="EK266" i="21" s="1"/>
  <c r="DF32" i="21"/>
  <c r="DF266" i="21" s="1"/>
  <c r="CE32" i="21"/>
  <c r="CE266" i="21" s="1"/>
  <c r="F32" i="21"/>
  <c r="F266" i="21" s="1"/>
  <c r="EE32" i="21"/>
  <c r="EE266" i="21" s="1"/>
  <c r="DH32" i="21"/>
  <c r="DH266" i="21" s="1"/>
  <c r="EA32" i="21"/>
  <c r="EA266" i="21" s="1"/>
  <c r="BT32" i="21"/>
  <c r="BT266" i="21" s="1"/>
  <c r="FL32" i="21"/>
  <c r="FL266" i="21" s="1"/>
  <c r="CU32" i="21"/>
  <c r="CU266" i="21" s="1"/>
  <c r="FU32" i="21"/>
  <c r="FU266" i="21" s="1"/>
  <c r="DU32" i="21"/>
  <c r="DU266" i="21" s="1"/>
  <c r="AD32" i="21"/>
  <c r="AD266" i="21" s="1"/>
  <c r="FQ32" i="21"/>
  <c r="FQ266" i="21" s="1"/>
  <c r="DS32" i="21"/>
  <c r="DS266" i="21" s="1"/>
  <c r="DT32" i="21"/>
  <c r="DT266" i="21" s="1"/>
  <c r="CP32" i="21"/>
  <c r="CP266" i="21" s="1"/>
  <c r="AH32" i="21"/>
  <c r="AH266" i="21" s="1"/>
  <c r="FD32" i="21"/>
  <c r="FD266" i="21" s="1"/>
  <c r="BO32" i="21"/>
  <c r="BO266" i="21" s="1"/>
  <c r="EX32" i="21"/>
  <c r="EX266" i="21" s="1"/>
  <c r="BM32" i="21"/>
  <c r="BM266" i="21" s="1"/>
  <c r="AN32" i="21"/>
  <c r="AN266" i="21" s="1"/>
  <c r="DV32" i="21"/>
  <c r="DV266" i="21" s="1"/>
  <c r="AC32" i="21"/>
  <c r="AC266" i="21" s="1"/>
  <c r="CK32" i="21"/>
  <c r="CK266" i="21" s="1"/>
  <c r="AF32" i="21"/>
  <c r="AF266" i="21" s="1"/>
  <c r="CM32" i="21"/>
  <c r="CM266" i="21" s="1"/>
  <c r="EN32" i="21"/>
  <c r="EN266" i="21" s="1"/>
  <c r="S32" i="21"/>
  <c r="S266" i="21" s="1"/>
  <c r="CD32" i="21"/>
  <c r="CD266" i="21" s="1"/>
  <c r="DI32" i="21"/>
  <c r="DI266" i="21" s="1"/>
  <c r="BC32" i="21"/>
  <c r="BC266" i="21" s="1"/>
  <c r="FC32" i="21"/>
  <c r="FC266" i="21" s="1"/>
  <c r="CJ32" i="21"/>
  <c r="CJ266" i="21" s="1"/>
  <c r="CZ32" i="21"/>
  <c r="CZ266" i="21" s="1"/>
  <c r="DJ32" i="21"/>
  <c r="DJ266" i="21" s="1"/>
  <c r="U32" i="21"/>
  <c r="U266" i="21" s="1"/>
  <c r="CY32" i="21"/>
  <c r="CY266" i="21" s="1"/>
  <c r="BB32" i="21"/>
  <c r="BB266" i="21" s="1"/>
  <c r="DO32" i="21"/>
  <c r="DO266" i="21" s="1"/>
  <c r="CN32" i="21"/>
  <c r="CN266" i="21" s="1"/>
  <c r="BD32" i="21"/>
  <c r="BD266" i="21" s="1"/>
  <c r="DE32" i="21"/>
  <c r="DE266" i="21" s="1"/>
  <c r="DM32" i="21"/>
  <c r="DM266" i="21" s="1"/>
  <c r="BR32" i="21"/>
  <c r="BR266" i="21" s="1"/>
  <c r="CL32" i="21"/>
  <c r="CL266" i="21" s="1"/>
  <c r="BE32" i="21"/>
  <c r="BE266" i="21" s="1"/>
  <c r="DD32" i="21"/>
  <c r="DD266" i="21" s="1"/>
  <c r="FM32" i="21"/>
  <c r="FM266" i="21" s="1"/>
  <c r="CH32" i="21"/>
  <c r="CH266" i="21" s="1"/>
  <c r="EH32" i="21"/>
  <c r="EH266" i="21" s="1"/>
  <c r="Z32" i="21"/>
  <c r="Z266" i="21" s="1"/>
  <c r="FT32" i="21"/>
  <c r="FT266" i="21" s="1"/>
  <c r="CI32" i="21"/>
  <c r="CI266" i="21" s="1"/>
  <c r="EP32" i="21"/>
  <c r="EP266" i="21" s="1"/>
  <c r="EY32" i="21"/>
  <c r="EY266" i="21" s="1"/>
  <c r="FV32" i="21"/>
  <c r="FV266" i="21" s="1"/>
  <c r="EI32" i="21"/>
  <c r="EI266" i="21" s="1"/>
  <c r="K32" i="21"/>
  <c r="K266" i="21" s="1"/>
  <c r="FS32" i="21"/>
  <c r="FS266" i="21" s="1"/>
  <c r="L32" i="21"/>
  <c r="L266" i="21" s="1"/>
  <c r="FI32" i="21"/>
  <c r="FI266" i="21" s="1"/>
  <c r="ED32" i="21"/>
  <c r="ED266" i="21" s="1"/>
  <c r="EO32" i="21"/>
  <c r="EO266" i="21" s="1"/>
  <c r="EJ32" i="21"/>
  <c r="EJ266" i="21" s="1"/>
  <c r="BG32" i="21"/>
  <c r="BG266" i="21" s="1"/>
  <c r="ES32" i="21"/>
  <c r="ES266" i="21" s="1"/>
  <c r="FO32" i="21"/>
  <c r="FO266" i="21" s="1"/>
  <c r="CT32" i="21"/>
  <c r="CT266" i="21" s="1"/>
  <c r="ER32" i="21"/>
  <c r="ER266" i="21" s="1"/>
  <c r="BX32" i="21"/>
  <c r="BX266" i="21" s="1"/>
  <c r="AU32" i="21"/>
  <c r="AU266" i="21" s="1"/>
  <c r="AS284" i="21"/>
  <c r="BU284" i="21"/>
  <c r="G284" i="21"/>
  <c r="CQ284" i="21"/>
  <c r="AL284" i="21"/>
  <c r="CY284" i="21"/>
  <c r="FU284" i="21"/>
  <c r="EP284" i="21"/>
  <c r="U284" i="21"/>
  <c r="EK284" i="21"/>
  <c r="AZ284" i="21"/>
  <c r="FT284" i="21"/>
  <c r="EU284" i="21"/>
  <c r="CJ284" i="21"/>
  <c r="I284" i="21"/>
  <c r="FK284" i="21"/>
  <c r="AO284" i="21"/>
  <c r="FH284" i="21"/>
  <c r="E284" i="21"/>
  <c r="BY284" i="21"/>
  <c r="FG284" i="21"/>
  <c r="AY285" i="21"/>
  <c r="CY285" i="21"/>
  <c r="DH285" i="21"/>
  <c r="DG285" i="21"/>
  <c r="DX285" i="21"/>
  <c r="CQ285" i="21"/>
  <c r="FG285" i="21"/>
  <c r="DZ285" i="21"/>
  <c r="EK285" i="21"/>
  <c r="DF285" i="21"/>
  <c r="DL285" i="21"/>
  <c r="FX285" i="21"/>
  <c r="DT285" i="21"/>
  <c r="F285" i="21"/>
  <c r="W285" i="21"/>
  <c r="BT285" i="21"/>
  <c r="EY285" i="21"/>
  <c r="EP285" i="21"/>
  <c r="FL285" i="21"/>
  <c r="DV285" i="21"/>
  <c r="EG285" i="21"/>
  <c r="FS285" i="21"/>
  <c r="FM285" i="21"/>
  <c r="BV190" i="5"/>
  <c r="BW190" i="5"/>
  <c r="CH288" i="21"/>
  <c r="BX288" i="21"/>
  <c r="BF288" i="21"/>
  <c r="ES288" i="21"/>
  <c r="H288" i="21"/>
  <c r="DL288" i="21"/>
  <c r="BL288" i="21"/>
  <c r="V288" i="21"/>
  <c r="DU288" i="21"/>
  <c r="EQ288" i="21"/>
  <c r="FK288" i="21"/>
  <c r="AP288" i="21"/>
  <c r="DC288" i="21"/>
  <c r="FJ288" i="21"/>
  <c r="EJ288" i="21"/>
  <c r="EL288" i="21"/>
  <c r="CW288" i="21"/>
  <c r="EU288" i="21"/>
  <c r="K288" i="21"/>
  <c r="I288" i="21"/>
  <c r="CK288" i="21"/>
  <c r="CN288" i="21"/>
  <c r="T288" i="21"/>
  <c r="AU288" i="21"/>
  <c r="FN288" i="21"/>
  <c r="BM288" i="21"/>
  <c r="BY288" i="21"/>
  <c r="DV288" i="21"/>
  <c r="FP288" i="21"/>
  <c r="F288" i="21"/>
  <c r="BN288" i="21"/>
  <c r="FQ288" i="21"/>
  <c r="BJ284" i="21"/>
  <c r="AR284" i="21"/>
  <c r="DP284" i="21"/>
  <c r="BK284" i="21"/>
  <c r="BA285" i="21"/>
  <c r="V285" i="21"/>
  <c r="FW285" i="21"/>
  <c r="DM285" i="21"/>
  <c r="CR285" i="21"/>
  <c r="EV285" i="21"/>
  <c r="DK285" i="21"/>
  <c r="BV285" i="21"/>
  <c r="AL285" i="21"/>
  <c r="AF285" i="21"/>
  <c r="FC285" i="21"/>
  <c r="Z285" i="21"/>
  <c r="O285" i="21"/>
  <c r="CT285" i="21"/>
  <c r="AL288" i="21"/>
  <c r="ET288" i="21"/>
  <c r="FP284" i="21"/>
  <c r="DT284" i="21"/>
  <c r="CS284" i="21"/>
  <c r="FT285" i="21"/>
  <c r="AZ285" i="21"/>
  <c r="Q285" i="21"/>
  <c r="CX285" i="21"/>
  <c r="EU285" i="21"/>
  <c r="CE285" i="21"/>
  <c r="DO285" i="21"/>
  <c r="DR285" i="21"/>
  <c r="DU285" i="21"/>
  <c r="CL285" i="21"/>
  <c r="FO288" i="21"/>
  <c r="CG288" i="21"/>
  <c r="X288" i="21"/>
  <c r="FE288" i="21"/>
  <c r="AW288" i="21"/>
  <c r="DF288" i="21"/>
  <c r="CT288" i="21"/>
  <c r="CZ284" i="21"/>
  <c r="BI284" i="21"/>
  <c r="DR284" i="21"/>
  <c r="AA285" i="21"/>
  <c r="AB285" i="21"/>
  <c r="BW288" i="21"/>
  <c r="F284" i="21"/>
  <c r="FA284" i="21"/>
  <c r="N285" i="21"/>
  <c r="BH285" i="21"/>
  <c r="DB285" i="21"/>
  <c r="ES285" i="21"/>
  <c r="K285" i="21"/>
  <c r="CG285" i="21"/>
  <c r="AT285" i="21"/>
  <c r="FP285" i="21"/>
  <c r="FD285" i="21"/>
  <c r="EF285" i="21"/>
  <c r="FR285" i="21"/>
  <c r="B285" i="21"/>
  <c r="FH285" i="21"/>
  <c r="EL285" i="21"/>
  <c r="AV285" i="21"/>
  <c r="BW285" i="21"/>
  <c r="CM285" i="21"/>
  <c r="AO285" i="21"/>
  <c r="EJ285" i="21"/>
  <c r="BX285" i="21"/>
  <c r="EO285" i="21"/>
  <c r="FY285" i="21"/>
  <c r="FY184" i="21"/>
  <c r="FX184" i="21" s="1"/>
  <c r="FW184" i="21" s="1"/>
  <c r="FV184" i="21" s="1"/>
  <c r="FU184" i="21" s="1"/>
  <c r="FT184" i="21" s="1"/>
  <c r="FS184" i="21" s="1"/>
  <c r="FR184" i="21" s="1"/>
  <c r="FQ184" i="21" s="1"/>
  <c r="FP184" i="21" s="1"/>
  <c r="FO184" i="21" s="1"/>
  <c r="FN184" i="21" s="1"/>
  <c r="FM184" i="21" s="1"/>
  <c r="FL184" i="21" s="1"/>
  <c r="FK184" i="21" s="1"/>
  <c r="FJ184" i="21" s="1"/>
  <c r="FI184" i="21" s="1"/>
  <c r="FH184" i="21" s="1"/>
  <c r="FG184" i="21" s="1"/>
  <c r="FF184" i="21" s="1"/>
  <c r="FE184" i="21" s="1"/>
  <c r="FD184" i="21" s="1"/>
  <c r="FC184" i="21" s="1"/>
  <c r="FB184" i="21" s="1"/>
  <c r="FA184" i="21" s="1"/>
  <c r="EZ184" i="21" s="1"/>
  <c r="EY184" i="21" s="1"/>
  <c r="EX184" i="21" s="1"/>
  <c r="EW184" i="21" s="1"/>
  <c r="EV184" i="21" s="1"/>
  <c r="EU184" i="21" s="1"/>
  <c r="ET184" i="21" s="1"/>
  <c r="ES184" i="21" s="1"/>
  <c r="ER184" i="21" s="1"/>
  <c r="EQ184" i="21" s="1"/>
  <c r="EP184" i="21" s="1"/>
  <c r="EO184" i="21" s="1"/>
  <c r="EN184" i="21" s="1"/>
  <c r="EM184" i="21" s="1"/>
  <c r="EL184" i="21" s="1"/>
  <c r="EK184" i="21" s="1"/>
  <c r="EJ184" i="21" s="1"/>
  <c r="EI184" i="21" s="1"/>
  <c r="EH184" i="21" s="1"/>
  <c r="EG184" i="21" s="1"/>
  <c r="EF184" i="21" s="1"/>
  <c r="EE184" i="21" s="1"/>
  <c r="ED184" i="21" s="1"/>
  <c r="EC184" i="21" s="1"/>
  <c r="EB184" i="21" s="1"/>
  <c r="EA184" i="21" s="1"/>
  <c r="DZ184" i="21" s="1"/>
  <c r="DY184" i="21" s="1"/>
  <c r="DX184" i="21" s="1"/>
  <c r="DW184" i="21" s="1"/>
  <c r="DV184" i="21" s="1"/>
  <c r="DU184" i="21" s="1"/>
  <c r="DT184" i="21" s="1"/>
  <c r="DS184" i="21" s="1"/>
  <c r="DR184" i="21" s="1"/>
  <c r="DQ184" i="21" s="1"/>
  <c r="DP184" i="21" s="1"/>
  <c r="DO184" i="21" s="1"/>
  <c r="DN184" i="21" s="1"/>
  <c r="DM184" i="21" s="1"/>
  <c r="DL184" i="21" s="1"/>
  <c r="DK184" i="21" s="1"/>
  <c r="DJ184" i="21" s="1"/>
  <c r="DI184" i="21" s="1"/>
  <c r="DH184" i="21" s="1"/>
  <c r="DG184" i="21" s="1"/>
  <c r="DF184" i="21" s="1"/>
  <c r="DE184" i="21" s="1"/>
  <c r="DD184" i="21" s="1"/>
  <c r="DC184" i="21" s="1"/>
  <c r="DB184" i="21" s="1"/>
  <c r="DA184" i="21" s="1"/>
  <c r="CZ184" i="21" s="1"/>
  <c r="CY184" i="21" s="1"/>
  <c r="CX184" i="21" s="1"/>
  <c r="CW184" i="21" s="1"/>
  <c r="CV184" i="21" s="1"/>
  <c r="CU184" i="21" s="1"/>
  <c r="CT184" i="21" s="1"/>
  <c r="CS184" i="21" s="1"/>
  <c r="CR184" i="21" s="1"/>
  <c r="CQ184" i="21" s="1"/>
  <c r="CP184" i="21" s="1"/>
  <c r="CO184" i="21" s="1"/>
  <c r="CN184" i="21" s="1"/>
  <c r="CM184" i="21" s="1"/>
  <c r="CL184" i="21" s="1"/>
  <c r="CK184" i="21" s="1"/>
  <c r="CJ184" i="21" s="1"/>
  <c r="CI184" i="21" s="1"/>
  <c r="CH184" i="21" s="1"/>
  <c r="CG184" i="21" s="1"/>
  <c r="CF184" i="21" s="1"/>
  <c r="CE184" i="21" s="1"/>
  <c r="CD184" i="21" s="1"/>
  <c r="CC184" i="21" s="1"/>
  <c r="CB184" i="21" s="1"/>
  <c r="CA184" i="21" s="1"/>
  <c r="BZ184" i="21" s="1"/>
  <c r="BY184" i="21" s="1"/>
  <c r="BX184" i="21" s="1"/>
  <c r="BW184" i="21" s="1"/>
  <c r="BV184" i="21" s="1"/>
  <c r="BU184" i="21" s="1"/>
  <c r="BT184" i="21" s="1"/>
  <c r="BS184" i="21" s="1"/>
  <c r="BR184" i="21" s="1"/>
  <c r="BQ184" i="21" s="1"/>
  <c r="BP184" i="21" s="1"/>
  <c r="BO184" i="21" s="1"/>
  <c r="BN184" i="21" s="1"/>
  <c r="BM184" i="21" s="1"/>
  <c r="BL184" i="21" s="1"/>
  <c r="BK184" i="21" s="1"/>
  <c r="BJ184" i="21" s="1"/>
  <c r="BI184" i="21" s="1"/>
  <c r="BH184" i="21" s="1"/>
  <c r="BG184" i="21" s="1"/>
  <c r="BF184" i="21" s="1"/>
  <c r="BE184" i="21" s="1"/>
  <c r="BD184" i="21" s="1"/>
  <c r="BC184" i="21" s="1"/>
  <c r="BB184" i="21" s="1"/>
  <c r="BA184" i="21" s="1"/>
  <c r="AZ184" i="21" s="1"/>
  <c r="AY184" i="21" s="1"/>
  <c r="AX184" i="21" s="1"/>
  <c r="AW184" i="21" s="1"/>
  <c r="AV184" i="21" s="1"/>
  <c r="AU184" i="21" s="1"/>
  <c r="AT184" i="21" s="1"/>
  <c r="AS184" i="21" s="1"/>
  <c r="AR184" i="21" s="1"/>
  <c r="AQ184" i="21" s="1"/>
  <c r="AP184" i="21" s="1"/>
  <c r="AO184" i="21" s="1"/>
  <c r="AN184" i="21" s="1"/>
  <c r="AM184" i="21" s="1"/>
  <c r="AL184" i="21" s="1"/>
  <c r="AK184" i="21" s="1"/>
  <c r="AJ184" i="21" s="1"/>
  <c r="AI184" i="21" s="1"/>
  <c r="AH184" i="21" s="1"/>
  <c r="AG184" i="21" s="1"/>
  <c r="AF184" i="21" s="1"/>
  <c r="AE184" i="21" s="1"/>
  <c r="AD184" i="21" s="1"/>
  <c r="AC184" i="21" s="1"/>
  <c r="AB184" i="21" s="1"/>
  <c r="AA184" i="21" s="1"/>
  <c r="Z184" i="21" s="1"/>
  <c r="Y184" i="21" s="1"/>
  <c r="X184" i="21" s="1"/>
  <c r="W184" i="21" s="1"/>
  <c r="V184" i="21" s="1"/>
  <c r="U184" i="21" s="1"/>
  <c r="T184" i="21" s="1"/>
  <c r="S184" i="21" s="1"/>
  <c r="R184" i="21" s="1"/>
  <c r="Q184" i="21" s="1"/>
  <c r="P184" i="21" s="1"/>
  <c r="O184" i="21" s="1"/>
  <c r="N184" i="21" s="1"/>
  <c r="M184" i="21" s="1"/>
  <c r="L184" i="21" s="1"/>
  <c r="K184" i="21" s="1"/>
  <c r="J184" i="21" s="1"/>
  <c r="I184" i="21" s="1"/>
  <c r="H184" i="21" s="1"/>
  <c r="G184" i="21" s="1"/>
  <c r="F184" i="21" s="1"/>
  <c r="E184" i="21" s="1"/>
  <c r="D184" i="21" s="1"/>
  <c r="C184" i="21" s="1"/>
  <c r="B184" i="21" s="1"/>
  <c r="FY223" i="21"/>
  <c r="FX223" i="21" s="1"/>
  <c r="FW223" i="21" s="1"/>
  <c r="FV223" i="21" s="1"/>
  <c r="FU223" i="21" s="1"/>
  <c r="FT223" i="21" s="1"/>
  <c r="FS223" i="21" s="1"/>
  <c r="FR223" i="21" s="1"/>
  <c r="FQ223" i="21" s="1"/>
  <c r="FP223" i="21" s="1"/>
  <c r="FO223" i="21" s="1"/>
  <c r="FN223" i="21" s="1"/>
  <c r="FM223" i="21" s="1"/>
  <c r="FL223" i="21" s="1"/>
  <c r="FK223" i="21" s="1"/>
  <c r="FJ223" i="21" s="1"/>
  <c r="FI223" i="21" s="1"/>
  <c r="FH223" i="21" s="1"/>
  <c r="FG223" i="21" s="1"/>
  <c r="FF223" i="21" s="1"/>
  <c r="FE223" i="21" s="1"/>
  <c r="FD223" i="21" s="1"/>
  <c r="FC223" i="21" s="1"/>
  <c r="FB223" i="21" s="1"/>
  <c r="FA223" i="21" s="1"/>
  <c r="EZ223" i="21" s="1"/>
  <c r="EY223" i="21" s="1"/>
  <c r="EX223" i="21" s="1"/>
  <c r="EW223" i="21" s="1"/>
  <c r="EV223" i="21" s="1"/>
  <c r="EU223" i="21" s="1"/>
  <c r="ET223" i="21" s="1"/>
  <c r="ES223" i="21" s="1"/>
  <c r="ER223" i="21" s="1"/>
  <c r="EQ223" i="21" s="1"/>
  <c r="EP223" i="21" s="1"/>
  <c r="EO223" i="21" s="1"/>
  <c r="EN223" i="21" s="1"/>
  <c r="EM223" i="21" s="1"/>
  <c r="EL223" i="21" s="1"/>
  <c r="EK223" i="21" s="1"/>
  <c r="EJ223" i="21" s="1"/>
  <c r="EI223" i="21" s="1"/>
  <c r="EH223" i="21" s="1"/>
  <c r="EG223" i="21" s="1"/>
  <c r="EF223" i="21" s="1"/>
  <c r="EE223" i="21" s="1"/>
  <c r="ED223" i="21" s="1"/>
  <c r="EC223" i="21" s="1"/>
  <c r="EB223" i="21" s="1"/>
  <c r="EA223" i="21" s="1"/>
  <c r="DZ223" i="21" s="1"/>
  <c r="DY223" i="21" s="1"/>
  <c r="DX223" i="21" s="1"/>
  <c r="DW223" i="21" s="1"/>
  <c r="DV223" i="21" s="1"/>
  <c r="DU223" i="21" s="1"/>
  <c r="DT223" i="21" s="1"/>
  <c r="DS223" i="21" s="1"/>
  <c r="DR223" i="21" s="1"/>
  <c r="DQ223" i="21" s="1"/>
  <c r="DP223" i="21" s="1"/>
  <c r="DO223" i="21" s="1"/>
  <c r="DN223" i="21" s="1"/>
  <c r="DM223" i="21" s="1"/>
  <c r="DL223" i="21" s="1"/>
  <c r="DK223" i="21" s="1"/>
  <c r="DJ223" i="21" s="1"/>
  <c r="DI223" i="21" s="1"/>
  <c r="DH223" i="21" s="1"/>
  <c r="DG223" i="21" s="1"/>
  <c r="DF223" i="21" s="1"/>
  <c r="DE223" i="21" s="1"/>
  <c r="DD223" i="21" s="1"/>
  <c r="DC223" i="21" s="1"/>
  <c r="DB223" i="21" s="1"/>
  <c r="DA223" i="21" s="1"/>
  <c r="CZ223" i="21" s="1"/>
  <c r="CY223" i="21" s="1"/>
  <c r="CX223" i="21" s="1"/>
  <c r="CW223" i="21" s="1"/>
  <c r="CV223" i="21" s="1"/>
  <c r="CU223" i="21" s="1"/>
  <c r="CT223" i="21" s="1"/>
  <c r="CS223" i="21" s="1"/>
  <c r="CR223" i="21" s="1"/>
  <c r="CQ223" i="21" s="1"/>
  <c r="CP223" i="21" s="1"/>
  <c r="CO223" i="21" s="1"/>
  <c r="CN223" i="21" s="1"/>
  <c r="CM223" i="21" s="1"/>
  <c r="CL223" i="21" s="1"/>
  <c r="CK223" i="21" s="1"/>
  <c r="CJ223" i="21" s="1"/>
  <c r="CI223" i="21" s="1"/>
  <c r="CH223" i="21" s="1"/>
  <c r="CG223" i="21" s="1"/>
  <c r="CF223" i="21" s="1"/>
  <c r="CE223" i="21" s="1"/>
  <c r="CD223" i="21" s="1"/>
  <c r="CC223" i="21" s="1"/>
  <c r="CB223" i="21" s="1"/>
  <c r="CA223" i="21" s="1"/>
  <c r="BZ223" i="21" s="1"/>
  <c r="BY223" i="21" s="1"/>
  <c r="BX223" i="21" s="1"/>
  <c r="BW223" i="21" s="1"/>
  <c r="BV223" i="21" s="1"/>
  <c r="BU223" i="21" s="1"/>
  <c r="BT223" i="21" s="1"/>
  <c r="BS223" i="21" s="1"/>
  <c r="BR223" i="21" s="1"/>
  <c r="BQ223" i="21" s="1"/>
  <c r="BP223" i="21" s="1"/>
  <c r="BO223" i="21" s="1"/>
  <c r="BN223" i="21" s="1"/>
  <c r="BM223" i="21" s="1"/>
  <c r="BL223" i="21" s="1"/>
  <c r="BK223" i="21" s="1"/>
  <c r="BJ223" i="21" s="1"/>
  <c r="BI223" i="21" s="1"/>
  <c r="BH223" i="21" s="1"/>
  <c r="BG223" i="21" s="1"/>
  <c r="BF223" i="21" s="1"/>
  <c r="BE223" i="21" s="1"/>
  <c r="BD223" i="21" s="1"/>
  <c r="BC223" i="21" s="1"/>
  <c r="BB223" i="21" s="1"/>
  <c r="BA223" i="21" s="1"/>
  <c r="AZ223" i="21" s="1"/>
  <c r="AY223" i="21" s="1"/>
  <c r="AX223" i="21" s="1"/>
  <c r="AW223" i="21" s="1"/>
  <c r="AV223" i="21" s="1"/>
  <c r="AU223" i="21" s="1"/>
  <c r="AT223" i="21" s="1"/>
  <c r="AS223" i="21" s="1"/>
  <c r="AR223" i="21" s="1"/>
  <c r="AQ223" i="21" s="1"/>
  <c r="AP223" i="21" s="1"/>
  <c r="AO223" i="21" s="1"/>
  <c r="AN223" i="21" s="1"/>
  <c r="AM223" i="21" s="1"/>
  <c r="AL223" i="21" s="1"/>
  <c r="AK223" i="21" s="1"/>
  <c r="AJ223" i="21" s="1"/>
  <c r="AI223" i="21" s="1"/>
  <c r="AH223" i="21" s="1"/>
  <c r="AG223" i="21" s="1"/>
  <c r="AF223" i="21" s="1"/>
  <c r="AE223" i="21" s="1"/>
  <c r="AD223" i="21" s="1"/>
  <c r="AC223" i="21" s="1"/>
  <c r="AB223" i="21" s="1"/>
  <c r="AA223" i="21" s="1"/>
  <c r="Z223" i="21" s="1"/>
  <c r="Y223" i="21" s="1"/>
  <c r="X223" i="21" s="1"/>
  <c r="W223" i="21" s="1"/>
  <c r="V223" i="21" s="1"/>
  <c r="U223" i="21" s="1"/>
  <c r="T223" i="21" s="1"/>
  <c r="S223" i="21" s="1"/>
  <c r="R223" i="21" s="1"/>
  <c r="Q223" i="21" s="1"/>
  <c r="P223" i="21" s="1"/>
  <c r="O223" i="21" s="1"/>
  <c r="N223" i="21" s="1"/>
  <c r="M223" i="21" s="1"/>
  <c r="L223" i="21" s="1"/>
  <c r="K223" i="21" s="1"/>
  <c r="J223" i="21" s="1"/>
  <c r="I223" i="21" s="1"/>
  <c r="H223" i="21" s="1"/>
  <c r="G223" i="21" s="1"/>
  <c r="F223" i="21" s="1"/>
  <c r="E223" i="21" s="1"/>
  <c r="D223" i="21" s="1"/>
  <c r="C223" i="21" s="1"/>
  <c r="B223" i="21" s="1"/>
  <c r="I285" i="21"/>
  <c r="BV288" i="21"/>
  <c r="CJ288" i="21"/>
  <c r="EI288" i="21"/>
  <c r="BJ288" i="21"/>
  <c r="FI288" i="21"/>
  <c r="AY288" i="21"/>
  <c r="AO288" i="21"/>
  <c r="J288" i="21"/>
  <c r="BK288" i="21"/>
  <c r="FY288" i="21"/>
  <c r="FY189" i="21"/>
  <c r="FX189" i="21" s="1"/>
  <c r="FW189" i="21" s="1"/>
  <c r="FV189" i="21" s="1"/>
  <c r="FU189" i="21" s="1"/>
  <c r="FT189" i="21" s="1"/>
  <c r="FS189" i="21" s="1"/>
  <c r="FR189" i="21" s="1"/>
  <c r="FQ189" i="21" s="1"/>
  <c r="FP189" i="21" s="1"/>
  <c r="FO189" i="21" s="1"/>
  <c r="FN189" i="21" s="1"/>
  <c r="FM189" i="21" s="1"/>
  <c r="FL189" i="21" s="1"/>
  <c r="FK189" i="21" s="1"/>
  <c r="FJ189" i="21" s="1"/>
  <c r="FI189" i="21" s="1"/>
  <c r="FH189" i="21" s="1"/>
  <c r="FG189" i="21" s="1"/>
  <c r="FF189" i="21" s="1"/>
  <c r="FE189" i="21" s="1"/>
  <c r="FD189" i="21" s="1"/>
  <c r="FC189" i="21" s="1"/>
  <c r="FB189" i="21" s="1"/>
  <c r="FA189" i="21" s="1"/>
  <c r="EZ189" i="21" s="1"/>
  <c r="EY189" i="21" s="1"/>
  <c r="EX189" i="21" s="1"/>
  <c r="EW189" i="21" s="1"/>
  <c r="EV189" i="21" s="1"/>
  <c r="EU189" i="21" s="1"/>
  <c r="ET189" i="21" s="1"/>
  <c r="ES189" i="21" s="1"/>
  <c r="ER189" i="21" s="1"/>
  <c r="EQ189" i="21" s="1"/>
  <c r="EP189" i="21" s="1"/>
  <c r="EO189" i="21" s="1"/>
  <c r="EN189" i="21" s="1"/>
  <c r="EM189" i="21" s="1"/>
  <c r="EL189" i="21" s="1"/>
  <c r="EK189" i="21" s="1"/>
  <c r="EJ189" i="21" s="1"/>
  <c r="EI189" i="21" s="1"/>
  <c r="EH189" i="21" s="1"/>
  <c r="EG189" i="21" s="1"/>
  <c r="EF189" i="21" s="1"/>
  <c r="EE189" i="21" s="1"/>
  <c r="ED189" i="21" s="1"/>
  <c r="EC189" i="21" s="1"/>
  <c r="EB189" i="21" s="1"/>
  <c r="EA189" i="21" s="1"/>
  <c r="DZ189" i="21" s="1"/>
  <c r="DY189" i="21" s="1"/>
  <c r="DX189" i="21" s="1"/>
  <c r="DW189" i="21" s="1"/>
  <c r="DV189" i="21" s="1"/>
  <c r="DU189" i="21" s="1"/>
  <c r="DT189" i="21" s="1"/>
  <c r="DS189" i="21" s="1"/>
  <c r="DR189" i="21" s="1"/>
  <c r="DQ189" i="21" s="1"/>
  <c r="DP189" i="21" s="1"/>
  <c r="DO189" i="21" s="1"/>
  <c r="DN189" i="21" s="1"/>
  <c r="DM189" i="21" s="1"/>
  <c r="DL189" i="21" s="1"/>
  <c r="DK189" i="21" s="1"/>
  <c r="DJ189" i="21" s="1"/>
  <c r="DI189" i="21" s="1"/>
  <c r="DH189" i="21" s="1"/>
  <c r="DG189" i="21" s="1"/>
  <c r="DF189" i="21" s="1"/>
  <c r="DE189" i="21" s="1"/>
  <c r="DD189" i="21" s="1"/>
  <c r="DC189" i="21" s="1"/>
  <c r="DB189" i="21" s="1"/>
  <c r="DA189" i="21" s="1"/>
  <c r="CZ189" i="21" s="1"/>
  <c r="CY189" i="21" s="1"/>
  <c r="CX189" i="21" s="1"/>
  <c r="CW189" i="21" s="1"/>
  <c r="CV189" i="21" s="1"/>
  <c r="CU189" i="21" s="1"/>
  <c r="CT189" i="21" s="1"/>
  <c r="CS189" i="21" s="1"/>
  <c r="CR189" i="21" s="1"/>
  <c r="CQ189" i="21" s="1"/>
  <c r="CP189" i="21" s="1"/>
  <c r="CO189" i="21" s="1"/>
  <c r="CN189" i="21" s="1"/>
  <c r="CM189" i="21" s="1"/>
  <c r="CL189" i="21" s="1"/>
  <c r="CK189" i="21" s="1"/>
  <c r="CJ189" i="21" s="1"/>
  <c r="CI189" i="21" s="1"/>
  <c r="CH189" i="21" s="1"/>
  <c r="CG189" i="21" s="1"/>
  <c r="CF189" i="21" s="1"/>
  <c r="CE189" i="21" s="1"/>
  <c r="CD189" i="21" s="1"/>
  <c r="CC189" i="21" s="1"/>
  <c r="CB189" i="21" s="1"/>
  <c r="CA189" i="21" s="1"/>
  <c r="BZ189" i="21" s="1"/>
  <c r="BY189" i="21" s="1"/>
  <c r="BX189" i="21" s="1"/>
  <c r="BW189" i="21" s="1"/>
  <c r="BV189" i="21" s="1"/>
  <c r="BU189" i="21" s="1"/>
  <c r="BT189" i="21" s="1"/>
  <c r="BS189" i="21" s="1"/>
  <c r="BR189" i="21" s="1"/>
  <c r="BQ189" i="21" s="1"/>
  <c r="BP189" i="21" s="1"/>
  <c r="BO189" i="21" s="1"/>
  <c r="BN189" i="21" s="1"/>
  <c r="BM189" i="21" s="1"/>
  <c r="BL189" i="21" s="1"/>
  <c r="BK189" i="21" s="1"/>
  <c r="BJ189" i="21" s="1"/>
  <c r="BI189" i="21" s="1"/>
  <c r="BH189" i="21" s="1"/>
  <c r="BG189" i="21" s="1"/>
  <c r="BF189" i="21" s="1"/>
  <c r="BE189" i="21" s="1"/>
  <c r="BD189" i="21" s="1"/>
  <c r="BC189" i="21" s="1"/>
  <c r="BB189" i="21" s="1"/>
  <c r="BA189" i="21" s="1"/>
  <c r="AZ189" i="21" s="1"/>
  <c r="AY189" i="21" s="1"/>
  <c r="AX189" i="21" s="1"/>
  <c r="AW189" i="21" s="1"/>
  <c r="AV189" i="21" s="1"/>
  <c r="AU189" i="21" s="1"/>
  <c r="AT189" i="21" s="1"/>
  <c r="AS189" i="21" s="1"/>
  <c r="AR189" i="21" s="1"/>
  <c r="AQ189" i="21" s="1"/>
  <c r="AP189" i="21" s="1"/>
  <c r="AO189" i="21" s="1"/>
  <c r="AN189" i="21" s="1"/>
  <c r="AM189" i="21" s="1"/>
  <c r="AL189" i="21" s="1"/>
  <c r="AK189" i="21" s="1"/>
  <c r="AJ189" i="21" s="1"/>
  <c r="AI189" i="21" s="1"/>
  <c r="AH189" i="21" s="1"/>
  <c r="AG189" i="21" s="1"/>
  <c r="AF189" i="21" s="1"/>
  <c r="AE189" i="21" s="1"/>
  <c r="AD189" i="21" s="1"/>
  <c r="AC189" i="21" s="1"/>
  <c r="AB189" i="21" s="1"/>
  <c r="AA189" i="21" s="1"/>
  <c r="Z189" i="21" s="1"/>
  <c r="Y189" i="21" s="1"/>
  <c r="X189" i="21" s="1"/>
  <c r="W189" i="21" s="1"/>
  <c r="V189" i="21" s="1"/>
  <c r="U189" i="21" s="1"/>
  <c r="T189" i="21" s="1"/>
  <c r="S189" i="21" s="1"/>
  <c r="R189" i="21" s="1"/>
  <c r="Q189" i="21" s="1"/>
  <c r="P189" i="21" s="1"/>
  <c r="O189" i="21" s="1"/>
  <c r="N189" i="21" s="1"/>
  <c r="M189" i="21" s="1"/>
  <c r="L189" i="21" s="1"/>
  <c r="K189" i="21" s="1"/>
  <c r="J189" i="21" s="1"/>
  <c r="I189" i="21" s="1"/>
  <c r="H189" i="21" s="1"/>
  <c r="G189" i="21" s="1"/>
  <c r="F189" i="21" s="1"/>
  <c r="E189" i="21" s="1"/>
  <c r="D189" i="21" s="1"/>
  <c r="C189" i="21" s="1"/>
  <c r="B189" i="21" s="1"/>
  <c r="FY228" i="21"/>
  <c r="FX228" i="21" s="1"/>
  <c r="FW228" i="21" s="1"/>
  <c r="FV228" i="21" s="1"/>
  <c r="FU228" i="21" s="1"/>
  <c r="FT228" i="21" s="1"/>
  <c r="FS228" i="21" s="1"/>
  <c r="FR228" i="21" s="1"/>
  <c r="FQ228" i="21" s="1"/>
  <c r="FP228" i="21" s="1"/>
  <c r="FO228" i="21" s="1"/>
  <c r="FN228" i="21" s="1"/>
  <c r="FM228" i="21" s="1"/>
  <c r="FL228" i="21" s="1"/>
  <c r="FK228" i="21" s="1"/>
  <c r="FJ228" i="21" s="1"/>
  <c r="FI228" i="21" s="1"/>
  <c r="FH228" i="21" s="1"/>
  <c r="FG228" i="21" s="1"/>
  <c r="FF228" i="21" s="1"/>
  <c r="FE228" i="21" s="1"/>
  <c r="FD228" i="21" s="1"/>
  <c r="FC228" i="21" s="1"/>
  <c r="FB228" i="21" s="1"/>
  <c r="FA228" i="21" s="1"/>
  <c r="EZ228" i="21" s="1"/>
  <c r="EY228" i="21" s="1"/>
  <c r="EX228" i="21" s="1"/>
  <c r="EW228" i="21" s="1"/>
  <c r="EV228" i="21" s="1"/>
  <c r="EU228" i="21" s="1"/>
  <c r="ET228" i="21" s="1"/>
  <c r="ES228" i="21" s="1"/>
  <c r="ER228" i="21" s="1"/>
  <c r="EQ228" i="21" s="1"/>
  <c r="EP228" i="21" s="1"/>
  <c r="EO228" i="21" s="1"/>
  <c r="EN228" i="21" s="1"/>
  <c r="EM228" i="21" s="1"/>
  <c r="EL228" i="21" s="1"/>
  <c r="EK228" i="21" s="1"/>
  <c r="EJ228" i="21" s="1"/>
  <c r="EI228" i="21" s="1"/>
  <c r="EH228" i="21" s="1"/>
  <c r="EG228" i="21" s="1"/>
  <c r="EF228" i="21" s="1"/>
  <c r="EE228" i="21" s="1"/>
  <c r="ED228" i="21" s="1"/>
  <c r="EC228" i="21" s="1"/>
  <c r="EB228" i="21" s="1"/>
  <c r="EA228" i="21" s="1"/>
  <c r="DZ228" i="21" s="1"/>
  <c r="DY228" i="21" s="1"/>
  <c r="DX228" i="21" s="1"/>
  <c r="DW228" i="21" s="1"/>
  <c r="DV228" i="21" s="1"/>
  <c r="DU228" i="21" s="1"/>
  <c r="DT228" i="21" s="1"/>
  <c r="DS228" i="21" s="1"/>
  <c r="DR228" i="21" s="1"/>
  <c r="DQ228" i="21" s="1"/>
  <c r="DP228" i="21" s="1"/>
  <c r="DO228" i="21" s="1"/>
  <c r="DN228" i="21" s="1"/>
  <c r="DM228" i="21" s="1"/>
  <c r="DL228" i="21" s="1"/>
  <c r="DK228" i="21" s="1"/>
  <c r="DJ228" i="21" s="1"/>
  <c r="DI228" i="21" s="1"/>
  <c r="DH228" i="21" s="1"/>
  <c r="DG228" i="21" s="1"/>
  <c r="DF228" i="21" s="1"/>
  <c r="DE228" i="21" s="1"/>
  <c r="DD228" i="21" s="1"/>
  <c r="DC228" i="21" s="1"/>
  <c r="DB228" i="21" s="1"/>
  <c r="DA228" i="21" s="1"/>
  <c r="CZ228" i="21" s="1"/>
  <c r="CY228" i="21" s="1"/>
  <c r="CX228" i="21" s="1"/>
  <c r="CW228" i="21" s="1"/>
  <c r="CV228" i="21" s="1"/>
  <c r="CU228" i="21" s="1"/>
  <c r="CT228" i="21" s="1"/>
  <c r="CS228" i="21" s="1"/>
  <c r="CR228" i="21" s="1"/>
  <c r="CQ228" i="21" s="1"/>
  <c r="CP228" i="21" s="1"/>
  <c r="CO228" i="21" s="1"/>
  <c r="CN228" i="21" s="1"/>
  <c r="CM228" i="21" s="1"/>
  <c r="CL228" i="21" s="1"/>
  <c r="CK228" i="21" s="1"/>
  <c r="CJ228" i="21" s="1"/>
  <c r="CI228" i="21" s="1"/>
  <c r="CH228" i="21" s="1"/>
  <c r="CG228" i="21" s="1"/>
  <c r="CF228" i="21" s="1"/>
  <c r="CE228" i="21" s="1"/>
  <c r="CD228" i="21" s="1"/>
  <c r="CC228" i="21" s="1"/>
  <c r="CB228" i="21" s="1"/>
  <c r="CA228" i="21" s="1"/>
  <c r="BZ228" i="21" s="1"/>
  <c r="BY228" i="21" s="1"/>
  <c r="BX228" i="21" s="1"/>
  <c r="BW228" i="21" s="1"/>
  <c r="BV228" i="21" s="1"/>
  <c r="BU228" i="21" s="1"/>
  <c r="BT228" i="21" s="1"/>
  <c r="BS228" i="21" s="1"/>
  <c r="BR228" i="21" s="1"/>
  <c r="BQ228" i="21" s="1"/>
  <c r="BP228" i="21" s="1"/>
  <c r="BO228" i="21" s="1"/>
  <c r="BN228" i="21" s="1"/>
  <c r="BM228" i="21" s="1"/>
  <c r="BL228" i="21" s="1"/>
  <c r="BK228" i="21" s="1"/>
  <c r="BJ228" i="21" s="1"/>
  <c r="BI228" i="21" s="1"/>
  <c r="BH228" i="21" s="1"/>
  <c r="BG228" i="21" s="1"/>
  <c r="BF228" i="21" s="1"/>
  <c r="BE228" i="21" s="1"/>
  <c r="BD228" i="21" s="1"/>
  <c r="BC228" i="21" s="1"/>
  <c r="BB228" i="21" s="1"/>
  <c r="BA228" i="21" s="1"/>
  <c r="AZ228" i="21" s="1"/>
  <c r="AY228" i="21" s="1"/>
  <c r="AX228" i="21" s="1"/>
  <c r="AW228" i="21" s="1"/>
  <c r="AV228" i="21" s="1"/>
  <c r="AU228" i="21" s="1"/>
  <c r="AT228" i="21" s="1"/>
  <c r="AS228" i="21" s="1"/>
  <c r="AR228" i="21" s="1"/>
  <c r="AQ228" i="21" s="1"/>
  <c r="AP228" i="21" s="1"/>
  <c r="AO228" i="21" s="1"/>
  <c r="AN228" i="21" s="1"/>
  <c r="AM228" i="21" s="1"/>
  <c r="AL228" i="21" s="1"/>
  <c r="AK228" i="21" s="1"/>
  <c r="AJ228" i="21" s="1"/>
  <c r="AI228" i="21" s="1"/>
  <c r="AH228" i="21" s="1"/>
  <c r="AG228" i="21" s="1"/>
  <c r="AF228" i="21" s="1"/>
  <c r="AE228" i="21" s="1"/>
  <c r="AD228" i="21" s="1"/>
  <c r="AC228" i="21" s="1"/>
  <c r="AB228" i="21" s="1"/>
  <c r="AA228" i="21" s="1"/>
  <c r="Z228" i="21" s="1"/>
  <c r="Y228" i="21" s="1"/>
  <c r="X228" i="21" s="1"/>
  <c r="W228" i="21" s="1"/>
  <c r="V228" i="21" s="1"/>
  <c r="U228" i="21" s="1"/>
  <c r="T228" i="21" s="1"/>
  <c r="S228" i="21" s="1"/>
  <c r="R228" i="21" s="1"/>
  <c r="Q228" i="21" s="1"/>
  <c r="P228" i="21" s="1"/>
  <c r="O228" i="21" s="1"/>
  <c r="N228" i="21" s="1"/>
  <c r="M228" i="21" s="1"/>
  <c r="L228" i="21" s="1"/>
  <c r="K228" i="21" s="1"/>
  <c r="J228" i="21" s="1"/>
  <c r="I228" i="21" s="1"/>
  <c r="H228" i="21" s="1"/>
  <c r="G228" i="21" s="1"/>
  <c r="F228" i="21" s="1"/>
  <c r="E228" i="21" s="1"/>
  <c r="D228" i="21" s="1"/>
  <c r="C228" i="21" s="1"/>
  <c r="B228" i="21" s="1"/>
  <c r="BI288" i="21"/>
  <c r="S288" i="21"/>
  <c r="EX288" i="21"/>
  <c r="EK288" i="21"/>
  <c r="DA288" i="21"/>
  <c r="CO288" i="21"/>
  <c r="AZ288" i="21"/>
  <c r="FU288" i="21"/>
  <c r="L288" i="21"/>
  <c r="DQ288" i="21"/>
  <c r="AE288" i="21"/>
  <c r="CC288" i="21"/>
  <c r="FS288" i="21"/>
  <c r="EZ284" i="21"/>
  <c r="C284" i="21"/>
  <c r="FB284" i="21"/>
  <c r="M284" i="21"/>
  <c r="L284" i="21"/>
  <c r="L285" i="21"/>
  <c r="R285" i="21"/>
  <c r="CA288" i="21"/>
  <c r="DN288" i="21"/>
  <c r="FG288" i="21"/>
  <c r="W288" i="21"/>
  <c r="Y288" i="21"/>
  <c r="AA288" i="21"/>
  <c r="FW288" i="21"/>
  <c r="DP288" i="21"/>
  <c r="BL284" i="21"/>
  <c r="CH284" i="21"/>
  <c r="AV284" i="21"/>
  <c r="BN284" i="21"/>
  <c r="FN285" i="21"/>
  <c r="AK285" i="21"/>
  <c r="O288" i="21"/>
  <c r="R35" i="21"/>
  <c r="R267" i="21" s="1"/>
  <c r="DJ35" i="21"/>
  <c r="DJ267" i="21" s="1"/>
  <c r="AN35" i="21"/>
  <c r="AN267" i="21" s="1"/>
  <c r="EO35" i="21"/>
  <c r="EO267" i="21" s="1"/>
  <c r="BQ35" i="21"/>
  <c r="BQ267" i="21" s="1"/>
  <c r="FQ35" i="21"/>
  <c r="FQ267" i="21" s="1"/>
  <c r="CP35" i="21"/>
  <c r="CP267" i="21" s="1"/>
  <c r="W35" i="21"/>
  <c r="W267" i="21" s="1"/>
  <c r="FH35" i="21"/>
  <c r="FH267" i="21" s="1"/>
  <c r="DH35" i="21"/>
  <c r="DH267" i="21" s="1"/>
  <c r="BI35" i="21"/>
  <c r="BI267" i="21" s="1"/>
  <c r="AU35" i="21"/>
  <c r="AU267" i="21" s="1"/>
  <c r="BJ35" i="21"/>
  <c r="BJ267" i="21" s="1"/>
  <c r="CI35" i="21"/>
  <c r="CI267" i="21" s="1"/>
  <c r="DM35" i="21"/>
  <c r="DM267" i="21" s="1"/>
  <c r="EU35" i="21"/>
  <c r="EU267" i="21" s="1"/>
  <c r="AX35" i="21"/>
  <c r="AX267" i="21" s="1"/>
  <c r="FM35" i="21"/>
  <c r="FM267" i="21" s="1"/>
  <c r="CV35" i="21"/>
  <c r="CV267" i="21" s="1"/>
  <c r="AE35" i="21"/>
  <c r="AE267" i="21" s="1"/>
  <c r="EM35" i="21"/>
  <c r="EM267" i="21" s="1"/>
  <c r="DE35" i="21"/>
  <c r="DE267" i="21" s="1"/>
  <c r="AL35" i="21"/>
  <c r="AL267" i="21" s="1"/>
  <c r="CO35" i="21"/>
  <c r="CO267" i="21" s="1"/>
  <c r="AO35" i="21"/>
  <c r="AO267" i="21" s="1"/>
  <c r="FY35" i="21"/>
  <c r="FY267" i="21" s="1"/>
  <c r="M35" i="21"/>
  <c r="M267" i="21" s="1"/>
  <c r="Q35" i="21"/>
  <c r="Q267" i="21" s="1"/>
  <c r="DA35" i="21"/>
  <c r="DA267" i="21" s="1"/>
  <c r="EV35" i="21"/>
  <c r="EV267" i="21" s="1"/>
  <c r="AD35" i="21"/>
  <c r="AD267" i="21" s="1"/>
  <c r="DV35" i="21"/>
  <c r="DV267" i="21" s="1"/>
  <c r="BA35" i="21"/>
  <c r="BA267" i="21" s="1"/>
  <c r="FB35" i="21"/>
  <c r="FB267" i="21" s="1"/>
  <c r="CD35" i="21"/>
  <c r="CD267" i="21" s="1"/>
  <c r="B35" i="21"/>
  <c r="DC35" i="21"/>
  <c r="DC267" i="21" s="1"/>
  <c r="AM35" i="21"/>
  <c r="AM267" i="21" s="1"/>
  <c r="FX35" i="21"/>
  <c r="FX267" i="21" s="1"/>
  <c r="DY35" i="21"/>
  <c r="DY267" i="21" s="1"/>
  <c r="BY35" i="21"/>
  <c r="BY267" i="21" s="1"/>
  <c r="BR35" i="21"/>
  <c r="BR267" i="21" s="1"/>
  <c r="CH35" i="21"/>
  <c r="CH267" i="21" s="1"/>
  <c r="DK35" i="21"/>
  <c r="DK267" i="21" s="1"/>
  <c r="EK35" i="21"/>
  <c r="EK267" i="21" s="1"/>
  <c r="FS35" i="21"/>
  <c r="FS267" i="21" s="1"/>
  <c r="CG35" i="21"/>
  <c r="CG267" i="21" s="1"/>
  <c r="S35" i="21"/>
  <c r="S267" i="21" s="1"/>
  <c r="EE35" i="21"/>
  <c r="EE267" i="21" s="1"/>
  <c r="BM35" i="21"/>
  <c r="BM267" i="21" s="1"/>
  <c r="FW35" i="21"/>
  <c r="FW267" i="21" s="1"/>
  <c r="EW35" i="21"/>
  <c r="EW267" i="21" s="1"/>
  <c r="AT35" i="21"/>
  <c r="AT267" i="21" s="1"/>
  <c r="FF35" i="21"/>
  <c r="FF267" i="21" s="1"/>
  <c r="DQ35" i="21"/>
  <c r="DQ267" i="21" s="1"/>
  <c r="AR35" i="21"/>
  <c r="AR267" i="21" s="1"/>
  <c r="FG35" i="21"/>
  <c r="FG267" i="21" s="1"/>
  <c r="CF35" i="21"/>
  <c r="CF267" i="21" s="1"/>
  <c r="FV35" i="21"/>
  <c r="FV267" i="21" s="1"/>
  <c r="AC35" i="21"/>
  <c r="AC267" i="21" s="1"/>
  <c r="FC35" i="21"/>
  <c r="FC267" i="21" s="1"/>
  <c r="I35" i="21"/>
  <c r="I267" i="21" s="1"/>
  <c r="L35" i="21"/>
  <c r="L267" i="21" s="1"/>
  <c r="DT35" i="21"/>
  <c r="DT267" i="21" s="1"/>
  <c r="AF35" i="21"/>
  <c r="AF267" i="21" s="1"/>
  <c r="AP35" i="21"/>
  <c r="AP267" i="21" s="1"/>
  <c r="EH35" i="21"/>
  <c r="EH267" i="21" s="1"/>
  <c r="BO35" i="21"/>
  <c r="BO267" i="21" s="1"/>
  <c r="FO35" i="21"/>
  <c r="FO267" i="21" s="1"/>
  <c r="CQ35" i="21"/>
  <c r="CQ267" i="21" s="1"/>
  <c r="O35" i="21"/>
  <c r="O267" i="21" s="1"/>
  <c r="DP35" i="21"/>
  <c r="DP267" i="21" s="1"/>
  <c r="BG35" i="21"/>
  <c r="BG267" i="21" s="1"/>
  <c r="H35" i="21"/>
  <c r="H267" i="21" s="1"/>
  <c r="ER35" i="21"/>
  <c r="ER267" i="21" s="1"/>
  <c r="CS35" i="21"/>
  <c r="CS267" i="21" s="1"/>
  <c r="CK35" i="21"/>
  <c r="CK267" i="21" s="1"/>
  <c r="DF35" i="21"/>
  <c r="DF267" i="21" s="1"/>
  <c r="EJ35" i="21"/>
  <c r="EJ267" i="21" s="1"/>
  <c r="FL35" i="21"/>
  <c r="FL267" i="21" s="1"/>
  <c r="E35" i="21"/>
  <c r="E267" i="21" s="1"/>
  <c r="DU35" i="21"/>
  <c r="DU267" i="21" s="1"/>
  <c r="AZ35" i="21"/>
  <c r="AZ267" i="21" s="1"/>
  <c r="FT35" i="21"/>
  <c r="FT267" i="21" s="1"/>
  <c r="CY35" i="21"/>
  <c r="CY267" i="21" s="1"/>
  <c r="AG35" i="21"/>
  <c r="AG267" i="21" s="1"/>
  <c r="EX35" i="21"/>
  <c r="EX267" i="21" s="1"/>
  <c r="CA35" i="21"/>
  <c r="CA267" i="21" s="1"/>
  <c r="EP35" i="21"/>
  <c r="EP267" i="21" s="1"/>
  <c r="EI35" i="21"/>
  <c r="EI267" i="21" s="1"/>
  <c r="EA35" i="21"/>
  <c r="EA267" i="21" s="1"/>
  <c r="FR35" i="21"/>
  <c r="FR267" i="21" s="1"/>
  <c r="BC35" i="21"/>
  <c r="BC267" i="21" s="1"/>
  <c r="BH35" i="21"/>
  <c r="BH267" i="21" s="1"/>
  <c r="FE35" i="21"/>
  <c r="FE267" i="21" s="1"/>
  <c r="BT35" i="21"/>
  <c r="BT267" i="21" s="1"/>
  <c r="FN35" i="21"/>
  <c r="FN267" i="21" s="1"/>
  <c r="BB35" i="21"/>
  <c r="BB267" i="21" s="1"/>
  <c r="ET35" i="21"/>
  <c r="ET267" i="21" s="1"/>
  <c r="CB35" i="21"/>
  <c r="CB267" i="21" s="1"/>
  <c r="C35" i="21"/>
  <c r="C267" i="21" s="1"/>
  <c r="DD35" i="21"/>
  <c r="DD267" i="21" s="1"/>
  <c r="AB35" i="21"/>
  <c r="AB267" i="21" s="1"/>
  <c r="EC35" i="21"/>
  <c r="EC267" i="21" s="1"/>
  <c r="BW35" i="21"/>
  <c r="BW267" i="21" s="1"/>
  <c r="X35" i="21"/>
  <c r="X267" i="21" s="1"/>
  <c r="FI35" i="21"/>
  <c r="FI267" i="21" s="1"/>
  <c r="DI35" i="21"/>
  <c r="DI267" i="21" s="1"/>
  <c r="DL35" i="21"/>
  <c r="DL267" i="21" s="1"/>
  <c r="EG35" i="21"/>
  <c r="EG267" i="21" s="1"/>
  <c r="FK35" i="21"/>
  <c r="FK267" i="21" s="1"/>
  <c r="T35" i="21"/>
  <c r="T267" i="21" s="1"/>
  <c r="AW35" i="21"/>
  <c r="AW267" i="21" s="1"/>
  <c r="FA35" i="21"/>
  <c r="FA267" i="21" s="1"/>
  <c r="CT35" i="21"/>
  <c r="CT267" i="21" s="1"/>
  <c r="Z35" i="21"/>
  <c r="Z267" i="21" s="1"/>
  <c r="EL35" i="21"/>
  <c r="EL267" i="21" s="1"/>
  <c r="BU35" i="21"/>
  <c r="BU267" i="21" s="1"/>
  <c r="EY35" i="21"/>
  <c r="EY267" i="21" s="1"/>
  <c r="BN35" i="21"/>
  <c r="BN267" i="21" s="1"/>
  <c r="P35" i="21"/>
  <c r="P267" i="21" s="1"/>
  <c r="CN35" i="21"/>
  <c r="CN267" i="21" s="1"/>
  <c r="DZ35" i="21"/>
  <c r="DZ267" i="21" s="1"/>
  <c r="AV35" i="21"/>
  <c r="AV267" i="21" s="1"/>
  <c r="BF35" i="21"/>
  <c r="BF267" i="21" s="1"/>
  <c r="CE35" i="21"/>
  <c r="CE267" i="21" s="1"/>
  <c r="BZ35" i="21"/>
  <c r="BZ267" i="21" s="1"/>
  <c r="DB35" i="21"/>
  <c r="DB267" i="21" s="1"/>
  <c r="ED35" i="21"/>
  <c r="ED267" i="21" s="1"/>
  <c r="DG35" i="21"/>
  <c r="DG267" i="21" s="1"/>
  <c r="ES35" i="21"/>
  <c r="ES267" i="21" s="1"/>
  <c r="AK35" i="21"/>
  <c r="AK267" i="21" s="1"/>
  <c r="AY35" i="21"/>
  <c r="AY267" i="21" s="1"/>
  <c r="CW35" i="21"/>
  <c r="CW267" i="21" s="1"/>
  <c r="DN35" i="21"/>
  <c r="DN267" i="21" s="1"/>
  <c r="CL35" i="21"/>
  <c r="CL267" i="21" s="1"/>
  <c r="EQ35" i="21"/>
  <c r="EQ267" i="21" s="1"/>
  <c r="BX35" i="21"/>
  <c r="BX267" i="21" s="1"/>
  <c r="AJ35" i="21"/>
  <c r="AJ267" i="21" s="1"/>
  <c r="CM35" i="21"/>
  <c r="CM267" i="21" s="1"/>
  <c r="AH35" i="21"/>
  <c r="AH267" i="21" s="1"/>
  <c r="EF35" i="21"/>
  <c r="EF267" i="21" s="1"/>
  <c r="EB35" i="21"/>
  <c r="EB267" i="21" s="1"/>
  <c r="U35" i="21"/>
  <c r="U267" i="21" s="1"/>
  <c r="EZ35" i="21"/>
  <c r="EZ267" i="21" s="1"/>
  <c r="EN35" i="21"/>
  <c r="EN267" i="21" s="1"/>
  <c r="CX35" i="21"/>
  <c r="CX267" i="21" s="1"/>
  <c r="FD35" i="21"/>
  <c r="FD267" i="21" s="1"/>
  <c r="CR35" i="21"/>
  <c r="CR267" i="21" s="1"/>
  <c r="BK35" i="21"/>
  <c r="BK267" i="21" s="1"/>
  <c r="DW35" i="21"/>
  <c r="DW267" i="21" s="1"/>
  <c r="BV35" i="21"/>
  <c r="BV267" i="21" s="1"/>
  <c r="DO35" i="21"/>
  <c r="DO267" i="21" s="1"/>
  <c r="FJ35" i="21"/>
  <c r="FJ267" i="21" s="1"/>
  <c r="G35" i="21"/>
  <c r="G267" i="21" s="1"/>
  <c r="FU35" i="21"/>
  <c r="FU267" i="21" s="1"/>
  <c r="DX35" i="21"/>
  <c r="DX267" i="21" s="1"/>
  <c r="BD35" i="21"/>
  <c r="BD267" i="21" s="1"/>
  <c r="J35" i="21"/>
  <c r="J267" i="21" s="1"/>
  <c r="N35" i="21"/>
  <c r="N267" i="21" s="1"/>
  <c r="BP35" i="21"/>
  <c r="BP267" i="21" s="1"/>
  <c r="Y35" i="21"/>
  <c r="Y267" i="21" s="1"/>
  <c r="BL35" i="21"/>
  <c r="BL267" i="21" s="1"/>
  <c r="V35" i="21"/>
  <c r="V267" i="21" s="1"/>
  <c r="DR35" i="21"/>
  <c r="DR267" i="21" s="1"/>
  <c r="CU35" i="21"/>
  <c r="CU267" i="21" s="1"/>
  <c r="DS35" i="21"/>
  <c r="DS267" i="21" s="1"/>
  <c r="AI35" i="21"/>
  <c r="AI267" i="21" s="1"/>
  <c r="AA35" i="21"/>
  <c r="AA267" i="21" s="1"/>
  <c r="CC35" i="21"/>
  <c r="CC267" i="21" s="1"/>
  <c r="AS35" i="21"/>
  <c r="AS267" i="21" s="1"/>
  <c r="CJ35" i="21"/>
  <c r="CJ267" i="21" s="1"/>
  <c r="BE35" i="21"/>
  <c r="BE267" i="21" s="1"/>
  <c r="D35" i="21"/>
  <c r="D267" i="21" s="1"/>
  <c r="FP35" i="21"/>
  <c r="FP267" i="21" s="1"/>
  <c r="AQ35" i="21"/>
  <c r="AQ267" i="21" s="1"/>
  <c r="K35" i="21"/>
  <c r="K267" i="21" s="1"/>
  <c r="BS35" i="21"/>
  <c r="BS267" i="21" s="1"/>
  <c r="F35" i="21"/>
  <c r="F267" i="21" s="1"/>
  <c r="CZ35" i="21"/>
  <c r="CZ267" i="21" s="1"/>
  <c r="CL288" i="21"/>
  <c r="AH288" i="21"/>
  <c r="CR284" i="21"/>
  <c r="DN284" i="21"/>
  <c r="CB284" i="21"/>
  <c r="EQ284" i="21"/>
  <c r="CX284" i="21"/>
  <c r="DM284" i="21"/>
  <c r="EB284" i="21"/>
  <c r="DV284" i="21"/>
  <c r="AR285" i="21"/>
  <c r="BN285" i="21"/>
  <c r="CB285" i="21"/>
  <c r="CW285" i="21"/>
  <c r="EA285" i="21"/>
  <c r="M285" i="21"/>
  <c r="H285" i="21"/>
  <c r="AI285" i="21"/>
  <c r="DC285" i="21"/>
  <c r="DW285" i="21"/>
  <c r="EN285" i="21"/>
  <c r="AJ285" i="21"/>
  <c r="CU285" i="21"/>
  <c r="BC285" i="21"/>
  <c r="CO285" i="21"/>
  <c r="CD285" i="21"/>
  <c r="FB285" i="21"/>
  <c r="CZ288" i="21"/>
  <c r="DK284" i="21"/>
  <c r="CB192" i="5"/>
  <c r="BS191" i="5"/>
  <c r="DW284" i="21"/>
  <c r="DI284" i="21"/>
  <c r="BW284" i="21"/>
  <c r="BT284" i="21"/>
  <c r="BD284" i="21"/>
  <c r="EG284" i="21"/>
  <c r="FM284" i="21"/>
  <c r="BH284" i="21"/>
  <c r="N284" i="21"/>
  <c r="FC284" i="21"/>
  <c r="EW284" i="21"/>
  <c r="DG284" i="21"/>
  <c r="X284" i="21"/>
  <c r="AC284" i="21"/>
  <c r="FY222" i="21"/>
  <c r="FY284" i="21"/>
  <c r="FY183" i="21"/>
  <c r="T284" i="21"/>
  <c r="CV284" i="21"/>
  <c r="FX284" i="21"/>
  <c r="DH284" i="21"/>
  <c r="BC284" i="21"/>
  <c r="BP284" i="21"/>
  <c r="ER284" i="21"/>
  <c r="J284" i="21"/>
  <c r="DF284" i="21"/>
  <c r="Y284" i="21"/>
  <c r="EH284" i="21"/>
  <c r="BE284" i="21"/>
  <c r="CG284" i="21"/>
  <c r="AH284" i="21"/>
  <c r="AN284" i="21"/>
  <c r="AP284" i="21"/>
  <c r="Q284" i="21"/>
  <c r="R284" i="21"/>
  <c r="AJ284" i="21"/>
  <c r="DS284" i="21"/>
  <c r="P284" i="21"/>
  <c r="EE284" i="21"/>
  <c r="BS284" i="21"/>
  <c r="FW284" i="21"/>
  <c r="O284" i="21"/>
  <c r="EJ284" i="21"/>
  <c r="FS284" i="21"/>
  <c r="EH285" i="21"/>
  <c r="DE285" i="21"/>
  <c r="AS285" i="21"/>
  <c r="BE285" i="21"/>
  <c r="BQ285" i="21"/>
  <c r="EM285" i="21"/>
  <c r="CZ285" i="21"/>
  <c r="CS285" i="21"/>
  <c r="S285" i="21"/>
  <c r="FI285" i="21"/>
  <c r="DY285" i="21"/>
  <c r="DP285" i="21"/>
  <c r="FA285" i="21"/>
  <c r="BI285" i="21"/>
  <c r="ED285" i="21"/>
  <c r="DA285" i="21"/>
  <c r="BO285" i="21"/>
  <c r="AP285" i="21"/>
  <c r="CK285" i="21"/>
  <c r="EW285" i="21"/>
  <c r="AH285" i="21"/>
  <c r="D285" i="21"/>
  <c r="FE285" i="21"/>
  <c r="CX288" i="21"/>
  <c r="CV288" i="21"/>
  <c r="AG288" i="21"/>
  <c r="EP288" i="21"/>
  <c r="EM288" i="21"/>
  <c r="DI288" i="21"/>
  <c r="BA288" i="21"/>
  <c r="DB288" i="21"/>
  <c r="AN288" i="21"/>
  <c r="FV288" i="21"/>
  <c r="M288" i="21"/>
  <c r="D288" i="21"/>
  <c r="CB288" i="21"/>
  <c r="EA288" i="21"/>
  <c r="EG288" i="21"/>
  <c r="CF288" i="21"/>
  <c r="AC288" i="21"/>
  <c r="EZ288" i="21"/>
  <c r="ER288" i="21"/>
  <c r="BS288" i="21"/>
  <c r="Q288" i="21"/>
  <c r="DY288" i="21"/>
  <c r="B288" i="21"/>
  <c r="BB239" i="21"/>
  <c r="BC247" i="21"/>
  <c r="BB200" i="21"/>
  <c r="BC208" i="21"/>
  <c r="B267" i="21" l="1"/>
  <c r="C310" i="21"/>
  <c r="D310" i="21" s="1"/>
  <c r="E310" i="21" s="1"/>
  <c r="F310" i="21" s="1"/>
  <c r="G310" i="21" s="1"/>
  <c r="H310" i="21" s="1"/>
  <c r="I310" i="21" s="1"/>
  <c r="J310" i="21" s="1"/>
  <c r="K310" i="21" s="1"/>
  <c r="L310" i="21" s="1"/>
  <c r="M310" i="21" s="1"/>
  <c r="N310" i="21" s="1"/>
  <c r="O310" i="21" s="1"/>
  <c r="P310" i="21" s="1"/>
  <c r="Q310" i="21" s="1"/>
  <c r="R310" i="21" s="1"/>
  <c r="S310" i="21" s="1"/>
  <c r="T310" i="21" s="1"/>
  <c r="U310" i="21" s="1"/>
  <c r="V310" i="21" s="1"/>
  <c r="W310" i="21" s="1"/>
  <c r="X310" i="21" s="1"/>
  <c r="Y310" i="21" s="1"/>
  <c r="Z310" i="21" s="1"/>
  <c r="AA310" i="21" s="1"/>
  <c r="AB310" i="21" s="1"/>
  <c r="AC310" i="21" s="1"/>
  <c r="AD310" i="21" s="1"/>
  <c r="AE310" i="21" s="1"/>
  <c r="AF310" i="21" s="1"/>
  <c r="AG310" i="21" s="1"/>
  <c r="AH310" i="21" s="1"/>
  <c r="AI310" i="21" s="1"/>
  <c r="AJ310" i="21" s="1"/>
  <c r="AK310" i="21" s="1"/>
  <c r="AL310" i="21" s="1"/>
  <c r="AM310" i="21" s="1"/>
  <c r="AN310" i="21" s="1"/>
  <c r="AO310" i="21" s="1"/>
  <c r="AP310" i="21" s="1"/>
  <c r="AQ310" i="21" s="1"/>
  <c r="AR310" i="21" s="1"/>
  <c r="AS310" i="21" s="1"/>
  <c r="AT310" i="21" s="1"/>
  <c r="AU310" i="21" s="1"/>
  <c r="AV310" i="21" s="1"/>
  <c r="AW310" i="21" s="1"/>
  <c r="AX310" i="21" s="1"/>
  <c r="AY310" i="21" s="1"/>
  <c r="AZ310" i="21" s="1"/>
  <c r="BA310" i="21" s="1"/>
  <c r="BB310" i="21" s="1"/>
  <c r="BC310" i="21" s="1"/>
  <c r="BD310" i="21" s="1"/>
  <c r="BE310" i="21" s="1"/>
  <c r="BF310" i="21" s="1"/>
  <c r="BG310" i="21" s="1"/>
  <c r="BH310" i="21" s="1"/>
  <c r="BI310" i="21" s="1"/>
  <c r="BJ310" i="21" s="1"/>
  <c r="BK310" i="21" s="1"/>
  <c r="BL310" i="21" s="1"/>
  <c r="BM310" i="21" s="1"/>
  <c r="BN310" i="21" s="1"/>
  <c r="BO310" i="21" s="1"/>
  <c r="BP310" i="21" s="1"/>
  <c r="BQ310" i="21" s="1"/>
  <c r="BR310" i="21" s="1"/>
  <c r="BS310" i="21" s="1"/>
  <c r="BT310" i="21" s="1"/>
  <c r="BU310" i="21" s="1"/>
  <c r="BV310" i="21" s="1"/>
  <c r="BW310" i="21" s="1"/>
  <c r="BX310" i="21" s="1"/>
  <c r="BY310" i="21" s="1"/>
  <c r="BZ310" i="21" s="1"/>
  <c r="CA310" i="21" s="1"/>
  <c r="CB310" i="21" s="1"/>
  <c r="CC310" i="21" s="1"/>
  <c r="CD310" i="21" s="1"/>
  <c r="CE310" i="21" s="1"/>
  <c r="CF310" i="21" s="1"/>
  <c r="CG310" i="21" s="1"/>
  <c r="CH310" i="21" s="1"/>
  <c r="CI310" i="21" s="1"/>
  <c r="CJ310" i="21" s="1"/>
  <c r="CK310" i="21" s="1"/>
  <c r="CL310" i="21" s="1"/>
  <c r="CM310" i="21" s="1"/>
  <c r="CN310" i="21" s="1"/>
  <c r="CO310" i="21" s="1"/>
  <c r="CP310" i="21" s="1"/>
  <c r="CQ310" i="21" s="1"/>
  <c r="CR310" i="21" s="1"/>
  <c r="CS310" i="21" s="1"/>
  <c r="CT310" i="21" s="1"/>
  <c r="CU310" i="21" s="1"/>
  <c r="CV310" i="21" s="1"/>
  <c r="CW310" i="21" s="1"/>
  <c r="CX310" i="21" s="1"/>
  <c r="CY310" i="21" s="1"/>
  <c r="CZ310" i="21" s="1"/>
  <c r="DA310" i="21" s="1"/>
  <c r="DB310" i="21" s="1"/>
  <c r="DC310" i="21" s="1"/>
  <c r="DD310" i="21" s="1"/>
  <c r="DE310" i="21" s="1"/>
  <c r="DF310" i="21" s="1"/>
  <c r="DG310" i="21" s="1"/>
  <c r="DH310" i="21" s="1"/>
  <c r="DI310" i="21" s="1"/>
  <c r="DJ310" i="21" s="1"/>
  <c r="DK310" i="21" s="1"/>
  <c r="DL310" i="21" s="1"/>
  <c r="DM310" i="21" s="1"/>
  <c r="DN310" i="21" s="1"/>
  <c r="DO310" i="21" s="1"/>
  <c r="DP310" i="21" s="1"/>
  <c r="DQ310" i="21" s="1"/>
  <c r="DR310" i="21" s="1"/>
  <c r="DS310" i="21" s="1"/>
  <c r="DT310" i="21" s="1"/>
  <c r="DU310" i="21" s="1"/>
  <c r="DV310" i="21" s="1"/>
  <c r="DW310" i="21" s="1"/>
  <c r="DX310" i="21" s="1"/>
  <c r="DY310" i="21" s="1"/>
  <c r="DZ310" i="21" s="1"/>
  <c r="EA310" i="21" s="1"/>
  <c r="EB310" i="21" s="1"/>
  <c r="EC310" i="21" s="1"/>
  <c r="ED310" i="21" s="1"/>
  <c r="EE310" i="21" s="1"/>
  <c r="EF310" i="21" s="1"/>
  <c r="EG310" i="21" s="1"/>
  <c r="EH310" i="21" s="1"/>
  <c r="EI310" i="21" s="1"/>
  <c r="EJ310" i="21" s="1"/>
  <c r="EK310" i="21" s="1"/>
  <c r="EL310" i="21" s="1"/>
  <c r="EM310" i="21" s="1"/>
  <c r="EN310" i="21" s="1"/>
  <c r="EO310" i="21" s="1"/>
  <c r="EP310" i="21" s="1"/>
  <c r="EQ310" i="21" s="1"/>
  <c r="ER310" i="21" s="1"/>
  <c r="ES310" i="21" s="1"/>
  <c r="ET310" i="21" s="1"/>
  <c r="EU310" i="21" s="1"/>
  <c r="EV310" i="21" s="1"/>
  <c r="EW310" i="21" s="1"/>
  <c r="EX310" i="21" s="1"/>
  <c r="EY310" i="21" s="1"/>
  <c r="EZ310" i="21" s="1"/>
  <c r="FA310" i="21" s="1"/>
  <c r="FB310" i="21" s="1"/>
  <c r="FC310" i="21" s="1"/>
  <c r="FD310" i="21" s="1"/>
  <c r="FE310" i="21" s="1"/>
  <c r="FF310" i="21" s="1"/>
  <c r="FG310" i="21" s="1"/>
  <c r="FH310" i="21" s="1"/>
  <c r="FI310" i="21" s="1"/>
  <c r="FJ310" i="21" s="1"/>
  <c r="FK310" i="21" s="1"/>
  <c r="FL310" i="21" s="1"/>
  <c r="FM310" i="21" s="1"/>
  <c r="FN310" i="21" s="1"/>
  <c r="FO310" i="21" s="1"/>
  <c r="FP310" i="21" s="1"/>
  <c r="FQ310" i="21" s="1"/>
  <c r="FR310" i="21" s="1"/>
  <c r="FS310" i="21" s="1"/>
  <c r="FT310" i="21" s="1"/>
  <c r="FU310" i="21" s="1"/>
  <c r="FV310" i="21" s="1"/>
  <c r="FW310" i="21" s="1"/>
  <c r="FX310" i="21" s="1"/>
  <c r="FY310" i="21" s="1"/>
  <c r="B266" i="21"/>
  <c r="BT44" i="5"/>
  <c r="BZ44" i="5"/>
  <c r="BY46" i="5"/>
  <c r="BX44" i="5"/>
  <c r="CC287" i="21"/>
  <c r="EN287" i="21"/>
  <c r="CN287" i="21"/>
  <c r="X287" i="21"/>
  <c r="DU287" i="21"/>
  <c r="CF287" i="21"/>
  <c r="FB287" i="21"/>
  <c r="DH287" i="21"/>
  <c r="FM286" i="21"/>
  <c r="CK286" i="21"/>
  <c r="DF286" i="21"/>
  <c r="DA286" i="21"/>
  <c r="CQ286" i="21"/>
  <c r="DN286" i="21"/>
  <c r="AG286" i="21"/>
  <c r="CW286" i="21"/>
  <c r="BF286" i="21"/>
  <c r="E287" i="21"/>
  <c r="AO287" i="21"/>
  <c r="AU286" i="21"/>
  <c r="EO286" i="21"/>
  <c r="EY286" i="21"/>
  <c r="DD286" i="21"/>
  <c r="BC286" i="21"/>
  <c r="AC286" i="21"/>
  <c r="CP286" i="21"/>
  <c r="FL286" i="21"/>
  <c r="EK286" i="21"/>
  <c r="BI286" i="21"/>
  <c r="CG286" i="21"/>
  <c r="P286" i="21"/>
  <c r="DY286" i="21"/>
  <c r="FR286" i="21"/>
  <c r="AS286" i="21"/>
  <c r="DP286" i="21"/>
  <c r="FG286" i="21"/>
  <c r="ER286" i="21"/>
  <c r="CL286" i="21"/>
  <c r="AN286" i="21"/>
  <c r="EA286" i="21"/>
  <c r="DR286" i="21"/>
  <c r="DZ286" i="21"/>
  <c r="FA286" i="21"/>
  <c r="AZ286" i="21"/>
  <c r="CA286" i="21"/>
  <c r="AW286" i="21"/>
  <c r="CA189" i="5"/>
  <c r="D287" i="21"/>
  <c r="CU287" i="21"/>
  <c r="BD287" i="21"/>
  <c r="BK287" i="21"/>
  <c r="EF287" i="21"/>
  <c r="CW287" i="21"/>
  <c r="CE287" i="21"/>
  <c r="BU287" i="21"/>
  <c r="EG287" i="21"/>
  <c r="DD287" i="21"/>
  <c r="BH287" i="21"/>
  <c r="AG287" i="21"/>
  <c r="DF287" i="21"/>
  <c r="CQ287" i="21"/>
  <c r="I287" i="21"/>
  <c r="FF287" i="21"/>
  <c r="FS287" i="21"/>
  <c r="AM287" i="21"/>
  <c r="EV287" i="21"/>
  <c r="DE287" i="21"/>
  <c r="CI287" i="21"/>
  <c r="FQ287" i="21"/>
  <c r="CT286" i="21"/>
  <c r="L286" i="21"/>
  <c r="FT286" i="21"/>
  <c r="BR286" i="21"/>
  <c r="U286" i="21"/>
  <c r="S286" i="21"/>
  <c r="BM286" i="21"/>
  <c r="FQ286" i="21"/>
  <c r="DH286" i="21"/>
  <c r="C286" i="21"/>
  <c r="AV286" i="21"/>
  <c r="FW286" i="21"/>
  <c r="DW286" i="21"/>
  <c r="AE286" i="21"/>
  <c r="DG286" i="21"/>
  <c r="BJ286" i="21"/>
  <c r="CO286" i="21"/>
  <c r="AR286" i="21"/>
  <c r="FH286" i="21"/>
  <c r="AY286" i="21"/>
  <c r="AP286" i="21"/>
  <c r="M286" i="21"/>
  <c r="DQ286" i="21"/>
  <c r="BS287" i="21"/>
  <c r="FJ287" i="21"/>
  <c r="DG287" i="21"/>
  <c r="BB287" i="21"/>
  <c r="AP287" i="21"/>
  <c r="FY188" i="21"/>
  <c r="FX188" i="21" s="1"/>
  <c r="FW188" i="21" s="1"/>
  <c r="FV188" i="21" s="1"/>
  <c r="FU188" i="21" s="1"/>
  <c r="FT188" i="21" s="1"/>
  <c r="FS188" i="21" s="1"/>
  <c r="FR188" i="21" s="1"/>
  <c r="FQ188" i="21" s="1"/>
  <c r="FP188" i="21" s="1"/>
  <c r="FO188" i="21" s="1"/>
  <c r="FN188" i="21" s="1"/>
  <c r="FM188" i="21" s="1"/>
  <c r="FL188" i="21" s="1"/>
  <c r="FK188" i="21" s="1"/>
  <c r="FJ188" i="21" s="1"/>
  <c r="FI188" i="21" s="1"/>
  <c r="FH188" i="21" s="1"/>
  <c r="FG188" i="21" s="1"/>
  <c r="FF188" i="21" s="1"/>
  <c r="FE188" i="21" s="1"/>
  <c r="FD188" i="21" s="1"/>
  <c r="FC188" i="21" s="1"/>
  <c r="FB188" i="21" s="1"/>
  <c r="FA188" i="21" s="1"/>
  <c r="EZ188" i="21" s="1"/>
  <c r="EY188" i="21" s="1"/>
  <c r="EX188" i="21" s="1"/>
  <c r="EW188" i="21" s="1"/>
  <c r="EV188" i="21" s="1"/>
  <c r="EU188" i="21" s="1"/>
  <c r="ET188" i="21" s="1"/>
  <c r="ES188" i="21" s="1"/>
  <c r="ER188" i="21" s="1"/>
  <c r="EQ188" i="21" s="1"/>
  <c r="EP188" i="21" s="1"/>
  <c r="EO188" i="21" s="1"/>
  <c r="EN188" i="21" s="1"/>
  <c r="EM188" i="21" s="1"/>
  <c r="EL188" i="21" s="1"/>
  <c r="EK188" i="21" s="1"/>
  <c r="EJ188" i="21" s="1"/>
  <c r="EI188" i="21" s="1"/>
  <c r="EH188" i="21" s="1"/>
  <c r="EG188" i="21" s="1"/>
  <c r="EF188" i="21" s="1"/>
  <c r="EE188" i="21" s="1"/>
  <c r="ED188" i="21" s="1"/>
  <c r="EC188" i="21" s="1"/>
  <c r="EB188" i="21" s="1"/>
  <c r="EA188" i="21" s="1"/>
  <c r="DZ188" i="21" s="1"/>
  <c r="DY188" i="21" s="1"/>
  <c r="DX188" i="21" s="1"/>
  <c r="DW188" i="21" s="1"/>
  <c r="DV188" i="21" s="1"/>
  <c r="DU188" i="21" s="1"/>
  <c r="DT188" i="21" s="1"/>
  <c r="DS188" i="21" s="1"/>
  <c r="DR188" i="21" s="1"/>
  <c r="DQ188" i="21" s="1"/>
  <c r="DP188" i="21" s="1"/>
  <c r="DO188" i="21" s="1"/>
  <c r="DN188" i="21" s="1"/>
  <c r="DM188" i="21" s="1"/>
  <c r="DL188" i="21" s="1"/>
  <c r="DK188" i="21" s="1"/>
  <c r="DJ188" i="21" s="1"/>
  <c r="DI188" i="21" s="1"/>
  <c r="DH188" i="21" s="1"/>
  <c r="DG188" i="21" s="1"/>
  <c r="DF188" i="21" s="1"/>
  <c r="DE188" i="21" s="1"/>
  <c r="DD188" i="21" s="1"/>
  <c r="DC188" i="21" s="1"/>
  <c r="DB188" i="21" s="1"/>
  <c r="DA188" i="21" s="1"/>
  <c r="CZ188" i="21" s="1"/>
  <c r="CY188" i="21" s="1"/>
  <c r="CX188" i="21" s="1"/>
  <c r="CW188" i="21" s="1"/>
  <c r="CV188" i="21" s="1"/>
  <c r="CU188" i="21" s="1"/>
  <c r="CT188" i="21" s="1"/>
  <c r="CS188" i="21" s="1"/>
  <c r="CR188" i="21" s="1"/>
  <c r="CQ188" i="21" s="1"/>
  <c r="CP188" i="21" s="1"/>
  <c r="CO188" i="21" s="1"/>
  <c r="CN188" i="21" s="1"/>
  <c r="CM188" i="21" s="1"/>
  <c r="CL188" i="21" s="1"/>
  <c r="CK188" i="21" s="1"/>
  <c r="CJ188" i="21" s="1"/>
  <c r="CI188" i="21" s="1"/>
  <c r="CH188" i="21" s="1"/>
  <c r="CG188" i="21" s="1"/>
  <c r="CF188" i="21" s="1"/>
  <c r="CE188" i="21" s="1"/>
  <c r="CD188" i="21" s="1"/>
  <c r="CC188" i="21" s="1"/>
  <c r="CB188" i="21" s="1"/>
  <c r="CA188" i="21" s="1"/>
  <c r="BZ188" i="21" s="1"/>
  <c r="BY188" i="21" s="1"/>
  <c r="BX188" i="21" s="1"/>
  <c r="BW188" i="21" s="1"/>
  <c r="BV188" i="21" s="1"/>
  <c r="BU188" i="21" s="1"/>
  <c r="BT188" i="21" s="1"/>
  <c r="BS188" i="21" s="1"/>
  <c r="BR188" i="21" s="1"/>
  <c r="BQ188" i="21" s="1"/>
  <c r="BP188" i="21" s="1"/>
  <c r="BO188" i="21" s="1"/>
  <c r="BN188" i="21" s="1"/>
  <c r="BM188" i="21" s="1"/>
  <c r="BL188" i="21" s="1"/>
  <c r="BK188" i="21" s="1"/>
  <c r="BJ188" i="21" s="1"/>
  <c r="BI188" i="21" s="1"/>
  <c r="BH188" i="21" s="1"/>
  <c r="BG188" i="21" s="1"/>
  <c r="BF188" i="21" s="1"/>
  <c r="BE188" i="21" s="1"/>
  <c r="BD188" i="21" s="1"/>
  <c r="BC188" i="21" s="1"/>
  <c r="BB188" i="21" s="1"/>
  <c r="BA188" i="21" s="1"/>
  <c r="AZ188" i="21" s="1"/>
  <c r="AY188" i="21" s="1"/>
  <c r="AX188" i="21" s="1"/>
  <c r="AW188" i="21" s="1"/>
  <c r="AV188" i="21" s="1"/>
  <c r="AU188" i="21" s="1"/>
  <c r="AT188" i="21" s="1"/>
  <c r="AS188" i="21" s="1"/>
  <c r="AR188" i="21" s="1"/>
  <c r="AQ188" i="21" s="1"/>
  <c r="AP188" i="21" s="1"/>
  <c r="AO188" i="21" s="1"/>
  <c r="AN188" i="21" s="1"/>
  <c r="AM188" i="21" s="1"/>
  <c r="AL188" i="21" s="1"/>
  <c r="AK188" i="21" s="1"/>
  <c r="AJ188" i="21" s="1"/>
  <c r="AI188" i="21" s="1"/>
  <c r="AH188" i="21" s="1"/>
  <c r="AG188" i="21" s="1"/>
  <c r="AF188" i="21" s="1"/>
  <c r="AE188" i="21" s="1"/>
  <c r="AD188" i="21" s="1"/>
  <c r="AC188" i="21" s="1"/>
  <c r="AB188" i="21" s="1"/>
  <c r="AA188" i="21" s="1"/>
  <c r="Z188" i="21" s="1"/>
  <c r="Y188" i="21" s="1"/>
  <c r="X188" i="21" s="1"/>
  <c r="W188" i="21" s="1"/>
  <c r="V188" i="21" s="1"/>
  <c r="U188" i="21" s="1"/>
  <c r="T188" i="21" s="1"/>
  <c r="S188" i="21" s="1"/>
  <c r="R188" i="21" s="1"/>
  <c r="Q188" i="21" s="1"/>
  <c r="P188" i="21" s="1"/>
  <c r="O188" i="21" s="1"/>
  <c r="N188" i="21" s="1"/>
  <c r="M188" i="21" s="1"/>
  <c r="L188" i="21" s="1"/>
  <c r="K188" i="21" s="1"/>
  <c r="J188" i="21" s="1"/>
  <c r="I188" i="21" s="1"/>
  <c r="H188" i="21" s="1"/>
  <c r="G188" i="21" s="1"/>
  <c r="F188" i="21" s="1"/>
  <c r="E188" i="21" s="1"/>
  <c r="D188" i="21" s="1"/>
  <c r="C188" i="21" s="1"/>
  <c r="B188" i="21" s="1"/>
  <c r="FY287" i="21"/>
  <c r="FY227" i="21"/>
  <c r="FX227" i="21" s="1"/>
  <c r="FW227" i="21" s="1"/>
  <c r="FV227" i="21" s="1"/>
  <c r="FU227" i="21" s="1"/>
  <c r="FT227" i="21" s="1"/>
  <c r="FS227" i="21" s="1"/>
  <c r="FR227" i="21" s="1"/>
  <c r="FQ227" i="21" s="1"/>
  <c r="FP227" i="21" s="1"/>
  <c r="FO227" i="21" s="1"/>
  <c r="FN227" i="21" s="1"/>
  <c r="FM227" i="21" s="1"/>
  <c r="FL227" i="21" s="1"/>
  <c r="FK227" i="21" s="1"/>
  <c r="FJ227" i="21" s="1"/>
  <c r="FI227" i="21" s="1"/>
  <c r="FH227" i="21" s="1"/>
  <c r="FG227" i="21" s="1"/>
  <c r="FF227" i="21" s="1"/>
  <c r="FE227" i="21" s="1"/>
  <c r="FD227" i="21" s="1"/>
  <c r="FC227" i="21" s="1"/>
  <c r="FB227" i="21" s="1"/>
  <c r="FA227" i="21" s="1"/>
  <c r="EZ227" i="21" s="1"/>
  <c r="EY227" i="21" s="1"/>
  <c r="EX227" i="21" s="1"/>
  <c r="EW227" i="21" s="1"/>
  <c r="EV227" i="21" s="1"/>
  <c r="EU227" i="21" s="1"/>
  <c r="ET227" i="21" s="1"/>
  <c r="ES227" i="21" s="1"/>
  <c r="ER227" i="21" s="1"/>
  <c r="EQ227" i="21" s="1"/>
  <c r="EP227" i="21" s="1"/>
  <c r="EO227" i="21" s="1"/>
  <c r="EN227" i="21" s="1"/>
  <c r="EM227" i="21" s="1"/>
  <c r="EL227" i="21" s="1"/>
  <c r="EK227" i="21" s="1"/>
  <c r="EJ227" i="21" s="1"/>
  <c r="EI227" i="21" s="1"/>
  <c r="EH227" i="21" s="1"/>
  <c r="EG227" i="21" s="1"/>
  <c r="EF227" i="21" s="1"/>
  <c r="EE227" i="21" s="1"/>
  <c r="ED227" i="21" s="1"/>
  <c r="EC227" i="21" s="1"/>
  <c r="EB227" i="21" s="1"/>
  <c r="EA227" i="21" s="1"/>
  <c r="DZ227" i="21" s="1"/>
  <c r="DY227" i="21" s="1"/>
  <c r="DX227" i="21" s="1"/>
  <c r="DW227" i="21" s="1"/>
  <c r="DV227" i="21" s="1"/>
  <c r="DU227" i="21" s="1"/>
  <c r="DT227" i="21" s="1"/>
  <c r="DS227" i="21" s="1"/>
  <c r="DR227" i="21" s="1"/>
  <c r="DQ227" i="21" s="1"/>
  <c r="DP227" i="21" s="1"/>
  <c r="DO227" i="21" s="1"/>
  <c r="DN227" i="21" s="1"/>
  <c r="DM227" i="21" s="1"/>
  <c r="DL227" i="21" s="1"/>
  <c r="DK227" i="21" s="1"/>
  <c r="DJ227" i="21" s="1"/>
  <c r="DI227" i="21" s="1"/>
  <c r="DH227" i="21" s="1"/>
  <c r="DG227" i="21" s="1"/>
  <c r="DF227" i="21" s="1"/>
  <c r="DE227" i="21" s="1"/>
  <c r="DD227" i="21" s="1"/>
  <c r="DC227" i="21" s="1"/>
  <c r="DB227" i="21" s="1"/>
  <c r="DA227" i="21" s="1"/>
  <c r="CZ227" i="21" s="1"/>
  <c r="CY227" i="21" s="1"/>
  <c r="CX227" i="21" s="1"/>
  <c r="CW227" i="21" s="1"/>
  <c r="CV227" i="21" s="1"/>
  <c r="CU227" i="21" s="1"/>
  <c r="CT227" i="21" s="1"/>
  <c r="CS227" i="21" s="1"/>
  <c r="CR227" i="21" s="1"/>
  <c r="CQ227" i="21" s="1"/>
  <c r="CP227" i="21" s="1"/>
  <c r="CO227" i="21" s="1"/>
  <c r="CN227" i="21" s="1"/>
  <c r="CM227" i="21" s="1"/>
  <c r="CL227" i="21" s="1"/>
  <c r="CK227" i="21" s="1"/>
  <c r="CJ227" i="21" s="1"/>
  <c r="CI227" i="21" s="1"/>
  <c r="CH227" i="21" s="1"/>
  <c r="CG227" i="21" s="1"/>
  <c r="CF227" i="21" s="1"/>
  <c r="CE227" i="21" s="1"/>
  <c r="CD227" i="21" s="1"/>
  <c r="CC227" i="21" s="1"/>
  <c r="CB227" i="21" s="1"/>
  <c r="CA227" i="21" s="1"/>
  <c r="BZ227" i="21" s="1"/>
  <c r="BY227" i="21" s="1"/>
  <c r="BX227" i="21" s="1"/>
  <c r="BW227" i="21" s="1"/>
  <c r="BV227" i="21" s="1"/>
  <c r="BU227" i="21" s="1"/>
  <c r="BT227" i="21" s="1"/>
  <c r="BS227" i="21" s="1"/>
  <c r="BR227" i="21" s="1"/>
  <c r="BQ227" i="21" s="1"/>
  <c r="BP227" i="21" s="1"/>
  <c r="BO227" i="21" s="1"/>
  <c r="BN227" i="21" s="1"/>
  <c r="BM227" i="21" s="1"/>
  <c r="BL227" i="21" s="1"/>
  <c r="BK227" i="21" s="1"/>
  <c r="BJ227" i="21" s="1"/>
  <c r="BI227" i="21" s="1"/>
  <c r="BH227" i="21" s="1"/>
  <c r="BG227" i="21" s="1"/>
  <c r="BF227" i="21" s="1"/>
  <c r="BE227" i="21" s="1"/>
  <c r="BD227" i="21" s="1"/>
  <c r="BC227" i="21" s="1"/>
  <c r="BB227" i="21" s="1"/>
  <c r="BA227" i="21" s="1"/>
  <c r="AZ227" i="21" s="1"/>
  <c r="AY227" i="21" s="1"/>
  <c r="AX227" i="21" s="1"/>
  <c r="AW227" i="21" s="1"/>
  <c r="AV227" i="21" s="1"/>
  <c r="AU227" i="21" s="1"/>
  <c r="AT227" i="21" s="1"/>
  <c r="AS227" i="21" s="1"/>
  <c r="AR227" i="21" s="1"/>
  <c r="AQ227" i="21" s="1"/>
  <c r="AP227" i="21" s="1"/>
  <c r="AO227" i="21" s="1"/>
  <c r="AN227" i="21" s="1"/>
  <c r="AM227" i="21" s="1"/>
  <c r="AL227" i="21" s="1"/>
  <c r="AK227" i="21" s="1"/>
  <c r="AJ227" i="21" s="1"/>
  <c r="AI227" i="21" s="1"/>
  <c r="AH227" i="21" s="1"/>
  <c r="AG227" i="21" s="1"/>
  <c r="AF227" i="21" s="1"/>
  <c r="AE227" i="21" s="1"/>
  <c r="AD227" i="21" s="1"/>
  <c r="AC227" i="21" s="1"/>
  <c r="AB227" i="21" s="1"/>
  <c r="AA227" i="21" s="1"/>
  <c r="Z227" i="21" s="1"/>
  <c r="Y227" i="21" s="1"/>
  <c r="X227" i="21" s="1"/>
  <c r="W227" i="21" s="1"/>
  <c r="V227" i="21" s="1"/>
  <c r="U227" i="21" s="1"/>
  <c r="T227" i="21" s="1"/>
  <c r="S227" i="21" s="1"/>
  <c r="R227" i="21" s="1"/>
  <c r="Q227" i="21" s="1"/>
  <c r="P227" i="21" s="1"/>
  <c r="O227" i="21" s="1"/>
  <c r="N227" i="21" s="1"/>
  <c r="M227" i="21" s="1"/>
  <c r="L227" i="21" s="1"/>
  <c r="K227" i="21" s="1"/>
  <c r="J227" i="21" s="1"/>
  <c r="I227" i="21" s="1"/>
  <c r="H227" i="21" s="1"/>
  <c r="G227" i="21" s="1"/>
  <c r="F227" i="21" s="1"/>
  <c r="E227" i="21" s="1"/>
  <c r="D227" i="21" s="1"/>
  <c r="C227" i="21" s="1"/>
  <c r="B227" i="21" s="1"/>
  <c r="DJ287" i="21"/>
  <c r="FV286" i="21"/>
  <c r="FC286" i="21"/>
  <c r="CU286" i="21"/>
  <c r="EL286" i="21"/>
  <c r="H286" i="21"/>
  <c r="AJ286" i="21"/>
  <c r="K287" i="21"/>
  <c r="AA287" i="21"/>
  <c r="BP287" i="21"/>
  <c r="DO287" i="21"/>
  <c r="EZ287" i="21"/>
  <c r="EQ287" i="21"/>
  <c r="ED287" i="21"/>
  <c r="P287" i="21"/>
  <c r="AW287" i="21"/>
  <c r="BW287" i="21"/>
  <c r="FN287" i="21"/>
  <c r="EP287" i="21"/>
  <c r="BG287" i="21"/>
  <c r="AF287" i="21"/>
  <c r="FG287" i="21"/>
  <c r="EE287" i="21"/>
  <c r="BY287" i="21"/>
  <c r="BA287" i="21"/>
  <c r="AX287" i="21"/>
  <c r="FH287" i="21"/>
  <c r="R287" i="21"/>
  <c r="BW189" i="5"/>
  <c r="DO286" i="21"/>
  <c r="ET286" i="21"/>
  <c r="Y286" i="21"/>
  <c r="AK286" i="21"/>
  <c r="BY286" i="21"/>
  <c r="BS286" i="21"/>
  <c r="FX222" i="21"/>
  <c r="AI287" i="21"/>
  <c r="U287" i="21"/>
  <c r="DB287" i="21"/>
  <c r="EC287" i="21"/>
  <c r="CA287" i="21"/>
  <c r="DT287" i="21"/>
  <c r="S287" i="21"/>
  <c r="CO287" i="21"/>
  <c r="W287" i="21"/>
  <c r="ED286" i="21"/>
  <c r="BB286" i="21"/>
  <c r="BT286" i="21"/>
  <c r="FJ286" i="21"/>
  <c r="FF286" i="21"/>
  <c r="EZ286" i="21"/>
  <c r="AB286" i="21"/>
  <c r="FP287" i="21"/>
  <c r="DS287" i="21"/>
  <c r="DW287" i="21"/>
  <c r="DN287" i="21"/>
  <c r="EY287" i="21"/>
  <c r="AB287" i="21"/>
  <c r="EX287" i="21"/>
  <c r="O287" i="21"/>
  <c r="DQ287" i="21"/>
  <c r="FX287" i="21"/>
  <c r="AL287" i="21"/>
  <c r="CP287" i="21"/>
  <c r="CI286" i="21"/>
  <c r="CD286" i="21"/>
  <c r="FK286" i="21"/>
  <c r="CV286" i="21"/>
  <c r="EU286" i="21"/>
  <c r="FP286" i="21"/>
  <c r="T286" i="21"/>
  <c r="BE287" i="21"/>
  <c r="DR287" i="21"/>
  <c r="DX287" i="21"/>
  <c r="CR287" i="21"/>
  <c r="AH287" i="21"/>
  <c r="AY287" i="21"/>
  <c r="BF287" i="21"/>
  <c r="EL287" i="21"/>
  <c r="DL287" i="21"/>
  <c r="C287" i="21"/>
  <c r="BC287" i="21"/>
  <c r="CY287" i="21"/>
  <c r="CK287" i="21"/>
  <c r="FO287" i="21"/>
  <c r="FC287" i="21"/>
  <c r="AT287" i="21"/>
  <c r="EK287" i="21"/>
  <c r="DC287" i="21"/>
  <c r="DA287" i="21"/>
  <c r="EM287" i="21"/>
  <c r="BJ287" i="21"/>
  <c r="BQ287" i="21"/>
  <c r="FO286" i="21"/>
  <c r="FS286" i="21"/>
  <c r="Z286" i="21"/>
  <c r="DM286" i="21"/>
  <c r="DJ286" i="21"/>
  <c r="EN286" i="21"/>
  <c r="EX286" i="21"/>
  <c r="AD286" i="21"/>
  <c r="EE286" i="21"/>
  <c r="E286" i="21"/>
  <c r="AO286" i="21"/>
  <c r="BL286" i="21"/>
  <c r="BK286" i="21"/>
  <c r="CC286" i="21"/>
  <c r="Q286" i="21"/>
  <c r="EG286" i="21"/>
  <c r="BW286" i="21"/>
  <c r="DL286" i="21"/>
  <c r="DC286" i="21"/>
  <c r="AA286" i="21"/>
  <c r="BQ286" i="21"/>
  <c r="BZ286" i="21"/>
  <c r="BU189" i="5"/>
  <c r="FX183" i="21"/>
  <c r="Y287" i="21"/>
  <c r="BX287" i="21"/>
  <c r="FA287" i="21"/>
  <c r="EI287" i="21"/>
  <c r="H287" i="21"/>
  <c r="BM287" i="21"/>
  <c r="BR287" i="21"/>
  <c r="FM287" i="21"/>
  <c r="EJ286" i="21"/>
  <c r="CN286" i="21"/>
  <c r="AH286" i="21"/>
  <c r="CF286" i="21"/>
  <c r="BV286" i="21"/>
  <c r="R286" i="21"/>
  <c r="CB286" i="21"/>
  <c r="EP286" i="21"/>
  <c r="DI286" i="21"/>
  <c r="EQ286" i="21"/>
  <c r="EV286" i="21"/>
  <c r="BN286" i="21"/>
  <c r="AI286" i="21"/>
  <c r="CC192" i="5"/>
  <c r="CD192" i="12" s="1"/>
  <c r="CC192" i="12"/>
  <c r="CM191" i="5"/>
  <c r="J287" i="21"/>
  <c r="EB287" i="21"/>
  <c r="BZ287" i="21"/>
  <c r="FK287" i="21"/>
  <c r="FE287" i="21"/>
  <c r="EJ287" i="21"/>
  <c r="L287" i="21"/>
  <c r="CG287" i="21"/>
  <c r="AD287" i="21"/>
  <c r="DM287" i="21"/>
  <c r="FI286" i="21"/>
  <c r="CY286" i="21"/>
  <c r="DS286" i="21"/>
  <c r="DB286" i="21"/>
  <c r="G286" i="21"/>
  <c r="AX286" i="21"/>
  <c r="CZ287" i="21"/>
  <c r="CJ287" i="21"/>
  <c r="V287" i="21"/>
  <c r="FU287" i="21"/>
  <c r="FD287" i="21"/>
  <c r="CM287" i="21"/>
  <c r="AK287" i="21"/>
  <c r="AV287" i="21"/>
  <c r="Z287" i="21"/>
  <c r="DI287" i="21"/>
  <c r="CB287" i="21"/>
  <c r="FR287" i="21"/>
  <c r="FT287" i="21"/>
  <c r="CS287" i="21"/>
  <c r="BO287" i="21"/>
  <c r="AC287" i="21"/>
  <c r="EW287" i="21"/>
  <c r="DK287" i="21"/>
  <c r="B287" i="21"/>
  <c r="Q287" i="21"/>
  <c r="AE287" i="21"/>
  <c r="AU287" i="21"/>
  <c r="EO287" i="21"/>
  <c r="BV189" i="5"/>
  <c r="ES286" i="21"/>
  <c r="K286" i="21"/>
  <c r="EH286" i="21"/>
  <c r="DE286" i="21"/>
  <c r="CZ286" i="21"/>
  <c r="CM286" i="21"/>
  <c r="BO286" i="21"/>
  <c r="DU286" i="21"/>
  <c r="F286" i="21"/>
  <c r="BH286" i="21"/>
  <c r="FN286" i="21"/>
  <c r="N286" i="21"/>
  <c r="EW286" i="21"/>
  <c r="FB286" i="21"/>
  <c r="I286" i="21"/>
  <c r="FY224" i="21"/>
  <c r="FX224" i="21" s="1"/>
  <c r="FW224" i="21" s="1"/>
  <c r="FV224" i="21" s="1"/>
  <c r="FU224" i="21" s="1"/>
  <c r="FT224" i="21" s="1"/>
  <c r="FS224" i="21" s="1"/>
  <c r="FR224" i="21" s="1"/>
  <c r="FQ224" i="21" s="1"/>
  <c r="FP224" i="21" s="1"/>
  <c r="FO224" i="21" s="1"/>
  <c r="FN224" i="21" s="1"/>
  <c r="FM224" i="21" s="1"/>
  <c r="FL224" i="21" s="1"/>
  <c r="FK224" i="21" s="1"/>
  <c r="FJ224" i="21" s="1"/>
  <c r="FI224" i="21" s="1"/>
  <c r="FH224" i="21" s="1"/>
  <c r="FG224" i="21" s="1"/>
  <c r="FF224" i="21" s="1"/>
  <c r="FE224" i="21" s="1"/>
  <c r="FD224" i="21" s="1"/>
  <c r="FC224" i="21" s="1"/>
  <c r="FB224" i="21" s="1"/>
  <c r="FA224" i="21" s="1"/>
  <c r="EZ224" i="21" s="1"/>
  <c r="EY224" i="21" s="1"/>
  <c r="EX224" i="21" s="1"/>
  <c r="EW224" i="21" s="1"/>
  <c r="EV224" i="21" s="1"/>
  <c r="EU224" i="21" s="1"/>
  <c r="ET224" i="21" s="1"/>
  <c r="ES224" i="21" s="1"/>
  <c r="ER224" i="21" s="1"/>
  <c r="EQ224" i="21" s="1"/>
  <c r="EP224" i="21" s="1"/>
  <c r="EO224" i="21" s="1"/>
  <c r="EN224" i="21" s="1"/>
  <c r="EM224" i="21" s="1"/>
  <c r="EL224" i="21" s="1"/>
  <c r="EK224" i="21" s="1"/>
  <c r="EJ224" i="21" s="1"/>
  <c r="EI224" i="21" s="1"/>
  <c r="EH224" i="21" s="1"/>
  <c r="EG224" i="21" s="1"/>
  <c r="EF224" i="21" s="1"/>
  <c r="EE224" i="21" s="1"/>
  <c r="ED224" i="21" s="1"/>
  <c r="EC224" i="21" s="1"/>
  <c r="EB224" i="21" s="1"/>
  <c r="EA224" i="21" s="1"/>
  <c r="DZ224" i="21" s="1"/>
  <c r="DY224" i="21" s="1"/>
  <c r="DX224" i="21" s="1"/>
  <c r="DW224" i="21" s="1"/>
  <c r="DV224" i="21" s="1"/>
  <c r="DU224" i="21" s="1"/>
  <c r="DT224" i="21" s="1"/>
  <c r="DS224" i="21" s="1"/>
  <c r="DR224" i="21" s="1"/>
  <c r="DQ224" i="21" s="1"/>
  <c r="DP224" i="21" s="1"/>
  <c r="FY286" i="21"/>
  <c r="FY185" i="21"/>
  <c r="FX185" i="21" s="1"/>
  <c r="FW185" i="21" s="1"/>
  <c r="FV185" i="21" s="1"/>
  <c r="FU185" i="21" s="1"/>
  <c r="FT185" i="21" s="1"/>
  <c r="FS185" i="21" s="1"/>
  <c r="FR185" i="21" s="1"/>
  <c r="FQ185" i="21" s="1"/>
  <c r="FP185" i="21" s="1"/>
  <c r="FO185" i="21" s="1"/>
  <c r="FN185" i="21" s="1"/>
  <c r="FM185" i="21" s="1"/>
  <c r="FL185" i="21" s="1"/>
  <c r="FK185" i="21" s="1"/>
  <c r="FJ185" i="21" s="1"/>
  <c r="FI185" i="21" s="1"/>
  <c r="FH185" i="21" s="1"/>
  <c r="FG185" i="21" s="1"/>
  <c r="FF185" i="21" s="1"/>
  <c r="FE185" i="21" s="1"/>
  <c r="FD185" i="21" s="1"/>
  <c r="FC185" i="21" s="1"/>
  <c r="FB185" i="21" s="1"/>
  <c r="FA185" i="21" s="1"/>
  <c r="EZ185" i="21" s="1"/>
  <c r="EY185" i="21" s="1"/>
  <c r="EX185" i="21" s="1"/>
  <c r="EW185" i="21" s="1"/>
  <c r="EV185" i="21" s="1"/>
  <c r="EU185" i="21" s="1"/>
  <c r="ET185" i="21" s="1"/>
  <c r="ES185" i="21" s="1"/>
  <c r="ER185" i="21" s="1"/>
  <c r="EQ185" i="21" s="1"/>
  <c r="EP185" i="21" s="1"/>
  <c r="EO185" i="21" s="1"/>
  <c r="EN185" i="21" s="1"/>
  <c r="EM185" i="21" s="1"/>
  <c r="EL185" i="21" s="1"/>
  <c r="EK185" i="21" s="1"/>
  <c r="EJ185" i="21" s="1"/>
  <c r="EI185" i="21" s="1"/>
  <c r="EH185" i="21" s="1"/>
  <c r="EG185" i="21" s="1"/>
  <c r="EF185" i="21" s="1"/>
  <c r="EE185" i="21" s="1"/>
  <c r="ED185" i="21" s="1"/>
  <c r="EC185" i="21" s="1"/>
  <c r="EB185" i="21" s="1"/>
  <c r="EA185" i="21" s="1"/>
  <c r="DZ185" i="21" s="1"/>
  <c r="DY185" i="21" s="1"/>
  <c r="DX185" i="21" s="1"/>
  <c r="DW185" i="21" s="1"/>
  <c r="DV185" i="21" s="1"/>
  <c r="DU185" i="21" s="1"/>
  <c r="DT185" i="21" s="1"/>
  <c r="DS185" i="21" s="1"/>
  <c r="DR185" i="21" s="1"/>
  <c r="DQ185" i="21" s="1"/>
  <c r="DP185" i="21" s="1"/>
  <c r="DO185" i="21" s="1"/>
  <c r="DN185" i="21" s="1"/>
  <c r="DM185" i="21" s="1"/>
  <c r="DL185" i="21" s="1"/>
  <c r="DK185" i="21" s="1"/>
  <c r="DJ185" i="21" s="1"/>
  <c r="DI185" i="21" s="1"/>
  <c r="DH185" i="21" s="1"/>
  <c r="DG185" i="21" s="1"/>
  <c r="DF185" i="21" s="1"/>
  <c r="DE185" i="21" s="1"/>
  <c r="DD185" i="21" s="1"/>
  <c r="DC185" i="21" s="1"/>
  <c r="DB185" i="21" s="1"/>
  <c r="DA185" i="21" s="1"/>
  <c r="CZ185" i="21" s="1"/>
  <c r="CY185" i="21" s="1"/>
  <c r="CX185" i="21" s="1"/>
  <c r="CW185" i="21" s="1"/>
  <c r="CV185" i="21" s="1"/>
  <c r="CU185" i="21" s="1"/>
  <c r="CT185" i="21" s="1"/>
  <c r="CS185" i="21" s="1"/>
  <c r="CR185" i="21" s="1"/>
  <c r="CQ185" i="21" s="1"/>
  <c r="CP185" i="21" s="1"/>
  <c r="CO185" i="21" s="1"/>
  <c r="CN185" i="21" s="1"/>
  <c r="CM185" i="21" s="1"/>
  <c r="CL185" i="21" s="1"/>
  <c r="CK185" i="21" s="1"/>
  <c r="CJ185" i="21" s="1"/>
  <c r="CI185" i="21" s="1"/>
  <c r="CH185" i="21" s="1"/>
  <c r="CG185" i="21" s="1"/>
  <c r="CF185" i="21" s="1"/>
  <c r="CE185" i="21" s="1"/>
  <c r="CD185" i="21" s="1"/>
  <c r="CC185" i="21" s="1"/>
  <c r="CB185" i="21" s="1"/>
  <c r="CA185" i="21" s="1"/>
  <c r="BZ185" i="21" s="1"/>
  <c r="BY185" i="21" s="1"/>
  <c r="BX185" i="21" s="1"/>
  <c r="BW185" i="21" s="1"/>
  <c r="BV185" i="21" s="1"/>
  <c r="BU185" i="21" s="1"/>
  <c r="BT185" i="21" s="1"/>
  <c r="BS185" i="21" s="1"/>
  <c r="BR185" i="21" s="1"/>
  <c r="BQ185" i="21" s="1"/>
  <c r="BP185" i="21" s="1"/>
  <c r="BO185" i="21" s="1"/>
  <c r="BN185" i="21" s="1"/>
  <c r="BM185" i="21" s="1"/>
  <c r="BL185" i="21" s="1"/>
  <c r="BK185" i="21" s="1"/>
  <c r="BJ185" i="21" s="1"/>
  <c r="BI185" i="21" s="1"/>
  <c r="BH185" i="21" s="1"/>
  <c r="BG185" i="21" s="1"/>
  <c r="BF185" i="21" s="1"/>
  <c r="BE185" i="21" s="1"/>
  <c r="BD185" i="21" s="1"/>
  <c r="BC185" i="21" s="1"/>
  <c r="BB185" i="21" s="1"/>
  <c r="BA185" i="21" s="1"/>
  <c r="AZ185" i="21" s="1"/>
  <c r="AY185" i="21" s="1"/>
  <c r="AX185" i="21" s="1"/>
  <c r="AW185" i="21" s="1"/>
  <c r="AV185" i="21" s="1"/>
  <c r="AU185" i="21" s="1"/>
  <c r="AT185" i="21" s="1"/>
  <c r="AS185" i="21" s="1"/>
  <c r="AR185" i="21" s="1"/>
  <c r="AQ185" i="21" s="1"/>
  <c r="AP185" i="21" s="1"/>
  <c r="AO185" i="21" s="1"/>
  <c r="AN185" i="21" s="1"/>
  <c r="AM185" i="21" s="1"/>
  <c r="AL185" i="21" s="1"/>
  <c r="AK185" i="21" s="1"/>
  <c r="AJ185" i="21" s="1"/>
  <c r="AI185" i="21" s="1"/>
  <c r="AH185" i="21" s="1"/>
  <c r="AG185" i="21" s="1"/>
  <c r="AF185" i="21" s="1"/>
  <c r="AE185" i="21" s="1"/>
  <c r="AD185" i="21" s="1"/>
  <c r="AC185" i="21" s="1"/>
  <c r="AB185" i="21" s="1"/>
  <c r="AA185" i="21" s="1"/>
  <c r="Z185" i="21" s="1"/>
  <c r="Y185" i="21" s="1"/>
  <c r="X185" i="21" s="1"/>
  <c r="W185" i="21" s="1"/>
  <c r="V185" i="21" s="1"/>
  <c r="U185" i="21" s="1"/>
  <c r="T185" i="21" s="1"/>
  <c r="S185" i="21" s="1"/>
  <c r="R185" i="21" s="1"/>
  <c r="Q185" i="21" s="1"/>
  <c r="P185" i="21" s="1"/>
  <c r="O185" i="21" s="1"/>
  <c r="N185" i="21" s="1"/>
  <c r="M185" i="21" s="1"/>
  <c r="L185" i="21" s="1"/>
  <c r="K185" i="21" s="1"/>
  <c r="J185" i="21" s="1"/>
  <c r="I185" i="21" s="1"/>
  <c r="H185" i="21" s="1"/>
  <c r="G185" i="21" s="1"/>
  <c r="F185" i="21" s="1"/>
  <c r="E185" i="21" s="1"/>
  <c r="D185" i="21" s="1"/>
  <c r="C185" i="21" s="1"/>
  <c r="B185" i="21" s="1"/>
  <c r="BU286" i="21"/>
  <c r="X286" i="21"/>
  <c r="AQ286" i="21"/>
  <c r="DK286" i="21"/>
  <c r="AM286" i="21"/>
  <c r="AT286" i="21"/>
  <c r="CB191" i="5"/>
  <c r="BS190" i="5"/>
  <c r="AQ287" i="21"/>
  <c r="N287" i="21"/>
  <c r="BV287" i="21"/>
  <c r="CL287" i="21"/>
  <c r="BN287" i="21"/>
  <c r="T287" i="21"/>
  <c r="BT287" i="21"/>
  <c r="FL287" i="21"/>
  <c r="DP287" i="21"/>
  <c r="AR287" i="21"/>
  <c r="DY287" i="21"/>
  <c r="DV287" i="21"/>
  <c r="EU287" i="21"/>
  <c r="BX286" i="21"/>
  <c r="BE286" i="21"/>
  <c r="DV286" i="21"/>
  <c r="DT286" i="21"/>
  <c r="AL286" i="21"/>
  <c r="O286" i="21"/>
  <c r="CR286" i="21"/>
  <c r="W286" i="21"/>
  <c r="DX286" i="21"/>
  <c r="B286" i="21"/>
  <c r="F287" i="21"/>
  <c r="AS287" i="21"/>
  <c r="BL287" i="21"/>
  <c r="G287" i="21"/>
  <c r="CX287" i="21"/>
  <c r="AJ287" i="21"/>
  <c r="ES287" i="21"/>
  <c r="DZ287" i="21"/>
  <c r="CT287" i="21"/>
  <c r="FI287" i="21"/>
  <c r="ET287" i="21"/>
  <c r="EA287" i="21"/>
  <c r="AZ287" i="21"/>
  <c r="ER287" i="21"/>
  <c r="EH287" i="21"/>
  <c r="FV287" i="21"/>
  <c r="FW287" i="21"/>
  <c r="CH287" i="21"/>
  <c r="CD287" i="21"/>
  <c r="M287" i="21"/>
  <c r="CV287" i="21"/>
  <c r="BI287" i="21"/>
  <c r="AN287" i="21"/>
  <c r="BG286" i="21"/>
  <c r="EI286" i="21"/>
  <c r="CH286" i="21"/>
  <c r="BD286" i="21"/>
  <c r="CJ286" i="21"/>
  <c r="AF286" i="21"/>
  <c r="FD286" i="21"/>
  <c r="FU286" i="21"/>
  <c r="CE286" i="21"/>
  <c r="D286" i="21"/>
  <c r="V286" i="21"/>
  <c r="FE286" i="21"/>
  <c r="CX286" i="21"/>
  <c r="CS286" i="21"/>
  <c r="FX286" i="21"/>
  <c r="J286" i="21"/>
  <c r="EM286" i="21"/>
  <c r="EB286" i="21"/>
  <c r="EC286" i="21"/>
  <c r="BP286" i="21"/>
  <c r="BA286" i="21"/>
  <c r="EF286" i="21"/>
  <c r="BA200" i="21"/>
  <c r="BB208" i="21"/>
  <c r="BA239" i="21"/>
  <c r="BB247" i="21"/>
  <c r="BX43" i="5" l="1"/>
  <c r="BY45" i="5"/>
  <c r="BZ43" i="5"/>
  <c r="BT43" i="5"/>
  <c r="FY246" i="21"/>
  <c r="FW222" i="21"/>
  <c r="FX246" i="21"/>
  <c r="FX253" i="21" s="1"/>
  <c r="FX254" i="21" s="1"/>
  <c r="BU188" i="5"/>
  <c r="BW188" i="5"/>
  <c r="CB190" i="5"/>
  <c r="BS189" i="5"/>
  <c r="BV188" i="5"/>
  <c r="CA188" i="5"/>
  <c r="FX207" i="21"/>
  <c r="FX214" i="21" s="1"/>
  <c r="FX215" i="21" s="1"/>
  <c r="FW183" i="21"/>
  <c r="CC191" i="12"/>
  <c r="CC191" i="5"/>
  <c r="CD191" i="12" s="1"/>
  <c r="CM190" i="5"/>
  <c r="FY207" i="21"/>
  <c r="FY214" i="21" s="1"/>
  <c r="FY215" i="21" s="1"/>
  <c r="AZ239" i="21"/>
  <c r="BA247" i="21"/>
  <c r="AZ200" i="21"/>
  <c r="BA208" i="21"/>
  <c r="DO224" i="21"/>
  <c r="FY253" i="21" l="1"/>
  <c r="FY254" i="21" s="1"/>
  <c r="BT42" i="5"/>
  <c r="BZ42" i="5"/>
  <c r="BY44" i="5"/>
  <c r="BX42" i="5"/>
  <c r="CA187" i="5"/>
  <c r="BU187" i="5"/>
  <c r="FW207" i="21"/>
  <c r="FW214" i="21" s="1"/>
  <c r="FW215" i="21" s="1"/>
  <c r="FV183" i="21"/>
  <c r="CB189" i="5"/>
  <c r="BS188" i="5"/>
  <c r="BW187" i="5"/>
  <c r="FW274" i="21"/>
  <c r="CM189" i="5"/>
  <c r="CC190" i="5"/>
  <c r="CD190" i="12" s="1"/>
  <c r="CC190" i="12"/>
  <c r="FW246" i="21"/>
  <c r="FW253" i="21" s="1"/>
  <c r="FW254" i="21" s="1"/>
  <c r="FV222" i="21"/>
  <c r="BV187" i="5"/>
  <c r="FX274" i="21"/>
  <c r="FW278" i="21"/>
  <c r="AY200" i="21"/>
  <c r="AZ208" i="21"/>
  <c r="AY239" i="21"/>
  <c r="AZ247" i="21"/>
  <c r="DN224" i="21"/>
  <c r="FX278" i="21" l="1"/>
  <c r="BX41" i="5"/>
  <c r="BY43" i="5"/>
  <c r="BZ41" i="5"/>
  <c r="BT41" i="5"/>
  <c r="CC189" i="12"/>
  <c r="CM188" i="5"/>
  <c r="CC189" i="5"/>
  <c r="CD189" i="12" s="1"/>
  <c r="BW186" i="5"/>
  <c r="CB188" i="5"/>
  <c r="BS187" i="5"/>
  <c r="BU186" i="5"/>
  <c r="FW276" i="21"/>
  <c r="FW277" i="21" s="1"/>
  <c r="FX262" i="21"/>
  <c r="FV207" i="21"/>
  <c r="FV214" i="21" s="1"/>
  <c r="FV215" i="21" s="1"/>
  <c r="FU183" i="21"/>
  <c r="BV186" i="5"/>
  <c r="FV246" i="21"/>
  <c r="FV253" i="21" s="1"/>
  <c r="FV254" i="21" s="1"/>
  <c r="FU222" i="21"/>
  <c r="FV278" i="21"/>
  <c r="FY262" i="21"/>
  <c r="FY265" i="21" s="1"/>
  <c r="FX276" i="21"/>
  <c r="FX277" i="21" s="1"/>
  <c r="FV274" i="21"/>
  <c r="CA186" i="5"/>
  <c r="AX239" i="21"/>
  <c r="AY247" i="21"/>
  <c r="AX200" i="21"/>
  <c r="AY208" i="21"/>
  <c r="DM224" i="21"/>
  <c r="FX265" i="21" l="1"/>
  <c r="FX272" i="21" s="1"/>
  <c r="FX275" i="21" s="1"/>
  <c r="BT40" i="5"/>
  <c r="BZ40" i="5"/>
  <c r="BY42" i="5"/>
  <c r="BX40" i="5"/>
  <c r="CB187" i="5"/>
  <c r="BS186" i="5"/>
  <c r="FU274" i="21"/>
  <c r="BV185" i="5"/>
  <c r="BW185" i="5"/>
  <c r="FU246" i="21"/>
  <c r="FU253" i="21" s="1"/>
  <c r="FU254" i="21" s="1"/>
  <c r="FT222" i="21"/>
  <c r="FU278" i="21"/>
  <c r="CM187" i="5"/>
  <c r="CC188" i="5"/>
  <c r="CD188" i="12" s="1"/>
  <c r="CC188" i="12"/>
  <c r="FY272" i="21"/>
  <c r="FY275" i="21" s="1"/>
  <c r="FY260" i="21"/>
  <c r="CA185" i="5"/>
  <c r="FU207" i="21"/>
  <c r="FU214" i="21" s="1"/>
  <c r="FU215" i="21" s="1"/>
  <c r="FT183" i="21"/>
  <c r="FV276" i="21"/>
  <c r="FV277" i="21" s="1"/>
  <c r="FW262" i="21"/>
  <c r="BU185" i="5"/>
  <c r="AW200" i="21"/>
  <c r="AX208" i="21"/>
  <c r="AW239" i="21"/>
  <c r="AX247" i="21"/>
  <c r="DL224" i="21"/>
  <c r="FW265" i="21" l="1"/>
  <c r="FW272" i="21" s="1"/>
  <c r="FW275" i="21" s="1"/>
  <c r="BX39" i="5"/>
  <c r="BY41" i="5"/>
  <c r="BZ39" i="5"/>
  <c r="BT39" i="5"/>
  <c r="BV184" i="5"/>
  <c r="FV262" i="21"/>
  <c r="FU276" i="21"/>
  <c r="FU277" i="21" s="1"/>
  <c r="BW184" i="5"/>
  <c r="BU184" i="5"/>
  <c r="FT246" i="21"/>
  <c r="FT253" i="21" s="1"/>
  <c r="FT254" i="21" s="1"/>
  <c r="FS222" i="21"/>
  <c r="CB186" i="5"/>
  <c r="BS185" i="5"/>
  <c r="FT207" i="21"/>
  <c r="FT214" i="21" s="1"/>
  <c r="FT215" i="21" s="1"/>
  <c r="FS183" i="21"/>
  <c r="FT278" i="21"/>
  <c r="CC187" i="5"/>
  <c r="CD187" i="12" s="1"/>
  <c r="CC187" i="12"/>
  <c r="CM186" i="5"/>
  <c r="CA184" i="5"/>
  <c r="FT274" i="21"/>
  <c r="AV239" i="21"/>
  <c r="AW247" i="21"/>
  <c r="AV200" i="21"/>
  <c r="AW208" i="21"/>
  <c r="DK224" i="21"/>
  <c r="FV265" i="21" l="1"/>
  <c r="FV272" i="21" s="1"/>
  <c r="FV275" i="21" s="1"/>
  <c r="BT38" i="5"/>
  <c r="BZ38" i="5"/>
  <c r="BY40" i="5"/>
  <c r="BX38" i="5"/>
  <c r="CB185" i="5"/>
  <c r="BS184" i="5"/>
  <c r="CC186" i="5"/>
  <c r="CD186" i="12" s="1"/>
  <c r="CC186" i="12"/>
  <c r="CM185" i="5"/>
  <c r="CA183" i="5"/>
  <c r="FS278" i="21"/>
  <c r="BW183" i="5"/>
  <c r="FS207" i="21"/>
  <c r="FS214" i="21" s="1"/>
  <c r="FS215" i="21" s="1"/>
  <c r="FR183" i="21"/>
  <c r="FS246" i="21"/>
  <c r="FS253" i="21" s="1"/>
  <c r="FS254" i="21" s="1"/>
  <c r="FR222" i="21"/>
  <c r="FU262" i="21"/>
  <c r="FU265" i="21" s="1"/>
  <c r="FT276" i="21"/>
  <c r="FT277" i="21" s="1"/>
  <c r="FS274" i="21"/>
  <c r="BU183" i="5"/>
  <c r="BV183" i="5"/>
  <c r="AU200" i="21"/>
  <c r="AV208" i="21"/>
  <c r="AU239" i="21"/>
  <c r="AV247" i="21"/>
  <c r="DJ224" i="21"/>
  <c r="BX37" i="5" l="1"/>
  <c r="BY39" i="5"/>
  <c r="BZ37" i="5"/>
  <c r="BT37" i="5"/>
  <c r="FR274" i="21"/>
  <c r="BV182" i="5"/>
  <c r="BW182" i="5"/>
  <c r="CA182" i="5"/>
  <c r="FT262" i="21"/>
  <c r="FS276" i="21"/>
  <c r="FS277" i="21" s="1"/>
  <c r="BU182" i="5"/>
  <c r="CB184" i="5"/>
  <c r="BS183" i="5"/>
  <c r="FR207" i="21"/>
  <c r="FR214" i="21" s="1"/>
  <c r="FR215" i="21" s="1"/>
  <c r="FQ183" i="21"/>
  <c r="FU272" i="21"/>
  <c r="FU275" i="21" s="1"/>
  <c r="CC185" i="12"/>
  <c r="CM184" i="5"/>
  <c r="CC185" i="5"/>
  <c r="CD185" i="12" s="1"/>
  <c r="FR278" i="21"/>
  <c r="FR246" i="21"/>
  <c r="FR253" i="21" s="1"/>
  <c r="FR254" i="21" s="1"/>
  <c r="FQ222" i="21"/>
  <c r="AT239" i="21"/>
  <c r="AU247" i="21"/>
  <c r="AT200" i="21"/>
  <c r="AU208" i="21"/>
  <c r="DI224" i="21"/>
  <c r="FT265" i="21" l="1"/>
  <c r="FT272" i="21" s="1"/>
  <c r="FT275" i="21" s="1"/>
  <c r="BX36" i="5"/>
  <c r="BT36" i="5"/>
  <c r="BZ36" i="5"/>
  <c r="BY38" i="5"/>
  <c r="FQ246" i="21"/>
  <c r="FQ253" i="21" s="1"/>
  <c r="FQ254" i="21" s="1"/>
  <c r="FP222" i="21"/>
  <c r="FQ207" i="21"/>
  <c r="FQ214" i="21" s="1"/>
  <c r="FQ215" i="21" s="1"/>
  <c r="FP183" i="21"/>
  <c r="FR276" i="21"/>
  <c r="FR277" i="21" s="1"/>
  <c r="FS262" i="21"/>
  <c r="FS265" i="21" s="1"/>
  <c r="CB183" i="5"/>
  <c r="BS182" i="5"/>
  <c r="FQ278" i="21"/>
  <c r="FQ274" i="21"/>
  <c r="CM183" i="5"/>
  <c r="CC184" i="12"/>
  <c r="CC184" i="5"/>
  <c r="CD184" i="12" s="1"/>
  <c r="CA181" i="5"/>
  <c r="BU181" i="5"/>
  <c r="BV181" i="5"/>
  <c r="BW181" i="5"/>
  <c r="AS200" i="21"/>
  <c r="AT208" i="21"/>
  <c r="AS239" i="21"/>
  <c r="AT247" i="21"/>
  <c r="DH224" i="21"/>
  <c r="BY37" i="5" l="1"/>
  <c r="BZ35" i="5"/>
  <c r="BT35" i="5"/>
  <c r="BX35" i="5"/>
  <c r="BV180" i="5"/>
  <c r="BU180" i="5"/>
  <c r="FP207" i="21"/>
  <c r="FP214" i="21" s="1"/>
  <c r="FP215" i="21" s="1"/>
  <c r="FO183" i="21"/>
  <c r="FS272" i="21"/>
  <c r="FS275" i="21" s="1"/>
  <c r="FQ276" i="21"/>
  <c r="FQ277" i="21" s="1"/>
  <c r="FR262" i="21"/>
  <c r="FR265" i="21" s="1"/>
  <c r="FP274" i="21"/>
  <c r="CA180" i="5"/>
  <c r="CB182" i="5"/>
  <c r="BS181" i="5"/>
  <c r="FP246" i="21"/>
  <c r="FP253" i="21" s="1"/>
  <c r="FP254" i="21" s="1"/>
  <c r="FO222" i="21"/>
  <c r="BW180" i="5"/>
  <c r="CC183" i="12"/>
  <c r="CM182" i="5"/>
  <c r="CC183" i="5"/>
  <c r="CD183" i="12" s="1"/>
  <c r="FP278" i="21"/>
  <c r="AR239" i="21"/>
  <c r="AS247" i="21"/>
  <c r="AR200" i="21"/>
  <c r="AS208" i="21"/>
  <c r="DG224" i="21"/>
  <c r="BT34" i="5" l="1"/>
  <c r="BZ34" i="5"/>
  <c r="BX34" i="5"/>
  <c r="BY36" i="5"/>
  <c r="CA179" i="5"/>
  <c r="FO278" i="21"/>
  <c r="FO207" i="21"/>
  <c r="FO214" i="21" s="1"/>
  <c r="FO215" i="21" s="1"/>
  <c r="FN183" i="21"/>
  <c r="FP276" i="21"/>
  <c r="FP277" i="21" s="1"/>
  <c r="FQ262" i="21"/>
  <c r="CB181" i="5"/>
  <c r="BS180" i="5"/>
  <c r="BU179" i="5"/>
  <c r="FO274" i="21"/>
  <c r="BW179" i="5"/>
  <c r="CC182" i="12"/>
  <c r="CM181" i="5"/>
  <c r="CC182" i="5"/>
  <c r="CD182" i="12" s="1"/>
  <c r="FR272" i="21"/>
  <c r="FR275" i="21" s="1"/>
  <c r="FO246" i="21"/>
  <c r="FO253" i="21" s="1"/>
  <c r="FO254" i="21" s="1"/>
  <c r="FN222" i="21"/>
  <c r="BV179" i="5"/>
  <c r="AQ200" i="21"/>
  <c r="AR208" i="21"/>
  <c r="AQ239" i="21"/>
  <c r="AR247" i="21"/>
  <c r="DF224" i="21"/>
  <c r="FQ265" i="21" l="1"/>
  <c r="FQ272" i="21" s="1"/>
  <c r="FQ275" i="21" s="1"/>
  <c r="BY35" i="5"/>
  <c r="BX33" i="5"/>
  <c r="BZ33" i="5"/>
  <c r="BT33" i="5"/>
  <c r="FN246" i="21"/>
  <c r="FN253" i="21" s="1"/>
  <c r="FN254" i="21" s="1"/>
  <c r="FM222" i="21"/>
  <c r="FN278" i="21"/>
  <c r="FO276" i="21"/>
  <c r="FO277" i="21" s="1"/>
  <c r="FP262" i="21"/>
  <c r="CB180" i="5"/>
  <c r="BS179" i="5"/>
  <c r="CM180" i="5"/>
  <c r="CC181" i="5"/>
  <c r="CD181" i="12" s="1"/>
  <c r="CC181" i="12"/>
  <c r="BV178" i="5"/>
  <c r="BW178" i="5"/>
  <c r="FN207" i="21"/>
  <c r="FN214" i="21" s="1"/>
  <c r="FN215" i="21" s="1"/>
  <c r="FM183" i="21"/>
  <c r="BU178" i="5"/>
  <c r="FN274" i="21"/>
  <c r="CA178" i="5"/>
  <c r="AP239" i="21"/>
  <c r="AQ247" i="21"/>
  <c r="AP200" i="21"/>
  <c r="AQ208" i="21"/>
  <c r="DE224" i="21"/>
  <c r="FP265" i="21" l="1"/>
  <c r="FP272" i="21" s="1"/>
  <c r="FP275" i="21" s="1"/>
  <c r="BT32" i="5"/>
  <c r="BZ32" i="5"/>
  <c r="BX32" i="5"/>
  <c r="BY34" i="5"/>
  <c r="CB179" i="5"/>
  <c r="BS178" i="5"/>
  <c r="CA177" i="5"/>
  <c r="FM274" i="21"/>
  <c r="CM179" i="5"/>
  <c r="CC180" i="12"/>
  <c r="CC180" i="5"/>
  <c r="CD180" i="12" s="1"/>
  <c r="BW177" i="5"/>
  <c r="FO262" i="21"/>
  <c r="FN276" i="21"/>
  <c r="FN277" i="21" s="1"/>
  <c r="BV177" i="5"/>
  <c r="FM207" i="21"/>
  <c r="FM214" i="21" s="1"/>
  <c r="FM215" i="21" s="1"/>
  <c r="FL183" i="21"/>
  <c r="FM278" i="21"/>
  <c r="FM246" i="21"/>
  <c r="FM253" i="21" s="1"/>
  <c r="FM254" i="21" s="1"/>
  <c r="FL222" i="21"/>
  <c r="BU177" i="5"/>
  <c r="AO200" i="21"/>
  <c r="AP208" i="21"/>
  <c r="AO239" i="21"/>
  <c r="AP247" i="21"/>
  <c r="DD224" i="21"/>
  <c r="FO265" i="21" l="1"/>
  <c r="FO272" i="21" s="1"/>
  <c r="FO275" i="21" s="1"/>
  <c r="BX31" i="5"/>
  <c r="BY33" i="5"/>
  <c r="BZ31" i="5"/>
  <c r="BT31" i="5"/>
  <c r="CA176" i="5"/>
  <c r="FL278" i="21"/>
  <c r="FL207" i="21"/>
  <c r="FL214" i="21" s="1"/>
  <c r="FL215" i="21" s="1"/>
  <c r="FK183" i="21"/>
  <c r="BW176" i="5"/>
  <c r="CB178" i="5"/>
  <c r="BS177" i="5"/>
  <c r="BV176" i="5"/>
  <c r="FL246" i="21"/>
  <c r="FL253" i="21" s="1"/>
  <c r="FL254" i="21" s="1"/>
  <c r="FK222" i="21"/>
  <c r="FL274" i="21"/>
  <c r="CM178" i="5"/>
  <c r="CC179" i="12"/>
  <c r="CC179" i="5"/>
  <c r="CD179" i="12" s="1"/>
  <c r="BU176" i="5"/>
  <c r="FM276" i="21"/>
  <c r="FM277" i="21" s="1"/>
  <c r="FN262" i="21"/>
  <c r="AN239" i="21"/>
  <c r="AO247" i="21"/>
  <c r="AN200" i="21"/>
  <c r="AO208" i="21"/>
  <c r="DC224" i="21"/>
  <c r="FN265" i="21" l="1"/>
  <c r="FN272" i="21" s="1"/>
  <c r="FN275" i="21" s="1"/>
  <c r="BT30" i="5"/>
  <c r="BZ30" i="5"/>
  <c r="BY32" i="5"/>
  <c r="BX30" i="5"/>
  <c r="CB177" i="5"/>
  <c r="BS176" i="5"/>
  <c r="FL276" i="21"/>
  <c r="FL277" i="21" s="1"/>
  <c r="FM262" i="21"/>
  <c r="CM177" i="5"/>
  <c r="CC178" i="5"/>
  <c r="CD178" i="12" s="1"/>
  <c r="CC178" i="12"/>
  <c r="BW175" i="5"/>
  <c r="FK278" i="21"/>
  <c r="FK207" i="21"/>
  <c r="FK214" i="21" s="1"/>
  <c r="FK215" i="21" s="1"/>
  <c r="FJ183" i="21"/>
  <c r="FK246" i="21"/>
  <c r="FK253" i="21" s="1"/>
  <c r="FK254" i="21" s="1"/>
  <c r="FJ222" i="21"/>
  <c r="BU175" i="5"/>
  <c r="FK274" i="21"/>
  <c r="BV175" i="5"/>
  <c r="CA175" i="5"/>
  <c r="AM200" i="21"/>
  <c r="AN208" i="21"/>
  <c r="AM239" i="21"/>
  <c r="AN247" i="21"/>
  <c r="DB224" i="21"/>
  <c r="FM265" i="21" l="1"/>
  <c r="FM272" i="21" s="1"/>
  <c r="FM275" i="21" s="1"/>
  <c r="BX29" i="5"/>
  <c r="BY31" i="5"/>
  <c r="BZ29" i="5"/>
  <c r="BT29" i="5"/>
  <c r="FK276" i="21"/>
  <c r="FK277" i="21" s="1"/>
  <c r="FL262" i="21"/>
  <c r="FJ207" i="21"/>
  <c r="FJ214" i="21" s="1"/>
  <c r="FJ215" i="21" s="1"/>
  <c r="FI183" i="21"/>
  <c r="FJ246" i="21"/>
  <c r="FJ253" i="21" s="1"/>
  <c r="FJ254" i="21" s="1"/>
  <c r="FI222" i="21"/>
  <c r="FJ278" i="21"/>
  <c r="BV174" i="5"/>
  <c r="CB176" i="5"/>
  <c r="BS175" i="5"/>
  <c r="BU174" i="5"/>
  <c r="CA174" i="5"/>
  <c r="BW174" i="5"/>
  <c r="CC177" i="12"/>
  <c r="CM176" i="5"/>
  <c r="CC177" i="5"/>
  <c r="CD177" i="12" s="1"/>
  <c r="FJ274" i="21"/>
  <c r="AL239" i="21"/>
  <c r="AM247" i="21"/>
  <c r="AL200" i="21"/>
  <c r="AM208" i="21"/>
  <c r="DA224" i="21"/>
  <c r="FL265" i="21" l="1"/>
  <c r="FL272" i="21" s="1"/>
  <c r="FL275" i="21" s="1"/>
  <c r="BT28" i="5"/>
  <c r="BZ28" i="5"/>
  <c r="BY30" i="5"/>
  <c r="BX28" i="5"/>
  <c r="CA173" i="5"/>
  <c r="FI207" i="21"/>
  <c r="FI214" i="21" s="1"/>
  <c r="FI215" i="21" s="1"/>
  <c r="FH183" i="21"/>
  <c r="FI278" i="21"/>
  <c r="BU173" i="5"/>
  <c r="FI246" i="21"/>
  <c r="FI253" i="21" s="1"/>
  <c r="FI254" i="21" s="1"/>
  <c r="FH222" i="21"/>
  <c r="FI274" i="21"/>
  <c r="CB175" i="5"/>
  <c r="BS174" i="5"/>
  <c r="BV173" i="5"/>
  <c r="BW173" i="5"/>
  <c r="FJ276" i="21"/>
  <c r="FJ277" i="21" s="1"/>
  <c r="FK262" i="21"/>
  <c r="CC176" i="12"/>
  <c r="CM175" i="5"/>
  <c r="CC176" i="5"/>
  <c r="CD176" i="12" s="1"/>
  <c r="AK200" i="21"/>
  <c r="AL208" i="21"/>
  <c r="AK239" i="21"/>
  <c r="AL247" i="21"/>
  <c r="CZ224" i="21"/>
  <c r="FK265" i="21" l="1"/>
  <c r="FK272" i="21" s="1"/>
  <c r="FK275" i="21" s="1"/>
  <c r="BZ27" i="5"/>
  <c r="BX27" i="5"/>
  <c r="BY29" i="5"/>
  <c r="BT27" i="5"/>
  <c r="BW172" i="5"/>
  <c r="FH278" i="21"/>
  <c r="FI276" i="21"/>
  <c r="FI277" i="21" s="1"/>
  <c r="FJ262" i="21"/>
  <c r="CB174" i="5"/>
  <c r="BS173" i="5"/>
  <c r="BU172" i="5"/>
  <c r="FH207" i="21"/>
  <c r="FH214" i="21" s="1"/>
  <c r="FH215" i="21" s="1"/>
  <c r="FG183" i="21"/>
  <c r="FH246" i="21"/>
  <c r="FH253" i="21" s="1"/>
  <c r="FH254" i="21" s="1"/>
  <c r="FG222" i="21"/>
  <c r="BV172" i="5"/>
  <c r="CC175" i="12"/>
  <c r="CC175" i="5"/>
  <c r="CD175" i="12" s="1"/>
  <c r="CM174" i="5"/>
  <c r="FH274" i="21"/>
  <c r="CA172" i="5"/>
  <c r="AJ239" i="21"/>
  <c r="AK247" i="21"/>
  <c r="AJ200" i="21"/>
  <c r="AK208" i="21"/>
  <c r="CY224" i="21"/>
  <c r="FJ265" i="21" l="1"/>
  <c r="FJ272" i="21" s="1"/>
  <c r="FJ275" i="21" s="1"/>
  <c r="BT26" i="5"/>
  <c r="BY28" i="5"/>
  <c r="BX26" i="5"/>
  <c r="BZ26" i="5"/>
  <c r="BU171" i="5"/>
  <c r="CA171" i="5"/>
  <c r="FG246" i="21"/>
  <c r="FG253" i="21" s="1"/>
  <c r="FG254" i="21" s="1"/>
  <c r="FF222" i="21"/>
  <c r="CC174" i="12"/>
  <c r="CM173" i="5"/>
  <c r="CC174" i="5"/>
  <c r="CD174" i="12" s="1"/>
  <c r="FH276" i="21"/>
  <c r="FH277" i="21" s="1"/>
  <c r="FI262" i="21"/>
  <c r="FI265" i="21" s="1"/>
  <c r="FG278" i="21"/>
  <c r="CB173" i="5"/>
  <c r="BS172" i="5"/>
  <c r="BV171" i="5"/>
  <c r="FG207" i="21"/>
  <c r="FG214" i="21" s="1"/>
  <c r="FG215" i="21" s="1"/>
  <c r="FF183" i="21"/>
  <c r="FG274" i="21"/>
  <c r="BW171" i="5"/>
  <c r="AI200" i="21"/>
  <c r="AJ208" i="21"/>
  <c r="AI239" i="21"/>
  <c r="AJ247" i="21"/>
  <c r="CX224" i="21"/>
  <c r="BZ25" i="5" l="1"/>
  <c r="BY27" i="5"/>
  <c r="BX25" i="5"/>
  <c r="BT25" i="5"/>
  <c r="BW170" i="5"/>
  <c r="FF207" i="21"/>
  <c r="FF214" i="21" s="1"/>
  <c r="FF215" i="21" s="1"/>
  <c r="FE183" i="21"/>
  <c r="FF274" i="21"/>
  <c r="FG276" i="21"/>
  <c r="FG277" i="21" s="1"/>
  <c r="FH262" i="21"/>
  <c r="BV170" i="5"/>
  <c r="FI272" i="21"/>
  <c r="FI275" i="21" s="1"/>
  <c r="CA170" i="5"/>
  <c r="FF246" i="21"/>
  <c r="FF253" i="21" s="1"/>
  <c r="FF254" i="21" s="1"/>
  <c r="FE222" i="21"/>
  <c r="CB172" i="5"/>
  <c r="BS171" i="5"/>
  <c r="FF278" i="21"/>
  <c r="CC173" i="12"/>
  <c r="CM172" i="5"/>
  <c r="CC173" i="5"/>
  <c r="CD173" i="12" s="1"/>
  <c r="BU170" i="5"/>
  <c r="AH239" i="21"/>
  <c r="AI247" i="21"/>
  <c r="AH200" i="21"/>
  <c r="AI208" i="21"/>
  <c r="CW224" i="21"/>
  <c r="FH265" i="21" l="1"/>
  <c r="FH272" i="21" s="1"/>
  <c r="FH275" i="21" s="1"/>
  <c r="BT24" i="5"/>
  <c r="BX24" i="5"/>
  <c r="BY26" i="5"/>
  <c r="BZ24" i="5"/>
  <c r="FE207" i="21"/>
  <c r="FE214" i="21" s="1"/>
  <c r="FE215" i="21" s="1"/>
  <c r="FD183" i="21"/>
  <c r="BU169" i="5"/>
  <c r="CC172" i="5"/>
  <c r="CD172" i="12" s="1"/>
  <c r="CC172" i="12"/>
  <c r="CM171" i="5"/>
  <c r="BV169" i="5"/>
  <c r="FE278" i="21"/>
  <c r="FE274" i="21"/>
  <c r="CA169" i="5"/>
  <c r="FF276" i="21"/>
  <c r="FF277" i="21" s="1"/>
  <c r="FG262" i="21"/>
  <c r="FE246" i="21"/>
  <c r="FE253" i="21" s="1"/>
  <c r="FE254" i="21" s="1"/>
  <c r="FD222" i="21"/>
  <c r="BW169" i="5"/>
  <c r="BS170" i="5"/>
  <c r="CB171" i="5"/>
  <c r="AG200" i="21"/>
  <c r="AH208" i="21"/>
  <c r="AG239" i="21"/>
  <c r="AH247" i="21"/>
  <c r="CV224" i="21"/>
  <c r="FG265" i="21" l="1"/>
  <c r="FG272" i="21" s="1"/>
  <c r="FG275" i="21" s="1"/>
  <c r="BT23" i="5"/>
  <c r="BZ23" i="5"/>
  <c r="BY25" i="5"/>
  <c r="BX23" i="5"/>
  <c r="BV168" i="5"/>
  <c r="CA168" i="5"/>
  <c r="FD278" i="21"/>
  <c r="CM170" i="5"/>
  <c r="CC171" i="12"/>
  <c r="CC171" i="5"/>
  <c r="CD171" i="12" s="1"/>
  <c r="FF262" i="21"/>
  <c r="FE276" i="21"/>
  <c r="FE277" i="21" s="1"/>
  <c r="BS169" i="5"/>
  <c r="CB170" i="5"/>
  <c r="BU168" i="5"/>
  <c r="BW168" i="5"/>
  <c r="FD207" i="21"/>
  <c r="FD214" i="21" s="1"/>
  <c r="FD215" i="21" s="1"/>
  <c r="FC183" i="21"/>
  <c r="FD246" i="21"/>
  <c r="FD253" i="21" s="1"/>
  <c r="FD254" i="21" s="1"/>
  <c r="FC222" i="21"/>
  <c r="FD274" i="21"/>
  <c r="AF239" i="21"/>
  <c r="AG247" i="21"/>
  <c r="AF200" i="21"/>
  <c r="AG208" i="21"/>
  <c r="CU224" i="21"/>
  <c r="FF265" i="21" l="1"/>
  <c r="FF272" i="21" s="1"/>
  <c r="FF275" i="21" s="1"/>
  <c r="BX22" i="5"/>
  <c r="BY24" i="5"/>
  <c r="BZ22" i="5"/>
  <c r="BT22" i="5"/>
  <c r="BU167" i="5"/>
  <c r="CB169" i="5"/>
  <c r="BS168" i="5"/>
  <c r="FC246" i="21"/>
  <c r="FC253" i="21" s="1"/>
  <c r="FC254" i="21" s="1"/>
  <c r="FB222" i="21"/>
  <c r="CM169" i="5"/>
  <c r="CC170" i="12"/>
  <c r="CC170" i="5"/>
  <c r="CD170" i="12" s="1"/>
  <c r="FC278" i="21"/>
  <c r="CA167" i="5"/>
  <c r="FD276" i="21"/>
  <c r="FD277" i="21" s="1"/>
  <c r="FE262" i="21"/>
  <c r="FC274" i="21"/>
  <c r="BW167" i="5"/>
  <c r="FC207" i="21"/>
  <c r="FC214" i="21" s="1"/>
  <c r="FC215" i="21" s="1"/>
  <c r="FB183" i="21"/>
  <c r="BV167" i="5"/>
  <c r="AE200" i="21"/>
  <c r="AF208" i="21"/>
  <c r="AE239" i="21"/>
  <c r="AF247" i="21"/>
  <c r="CT224" i="21"/>
  <c r="FE265" i="21" l="1"/>
  <c r="FE272" i="21" s="1"/>
  <c r="FE275" i="21" s="1"/>
  <c r="BZ21" i="5"/>
  <c r="BT21" i="5"/>
  <c r="BY23" i="5"/>
  <c r="BX21" i="5"/>
  <c r="FB246" i="21"/>
  <c r="FB253" i="21" s="1"/>
  <c r="FB254" i="21" s="1"/>
  <c r="FA222" i="21"/>
  <c r="CA166" i="5"/>
  <c r="CM168" i="5"/>
  <c r="CC169" i="12"/>
  <c r="CC169" i="5"/>
  <c r="CD169" i="12" s="1"/>
  <c r="FB278" i="21"/>
  <c r="FC276" i="21"/>
  <c r="FC277" i="21" s="1"/>
  <c r="FD262" i="21"/>
  <c r="FB274" i="21"/>
  <c r="BS167" i="5"/>
  <c r="CB168" i="5"/>
  <c r="FB207" i="21"/>
  <c r="FB214" i="21" s="1"/>
  <c r="FB215" i="21" s="1"/>
  <c r="FA183" i="21"/>
  <c r="BV166" i="5"/>
  <c r="BW166" i="5"/>
  <c r="BU166" i="5"/>
  <c r="AD239" i="21"/>
  <c r="AE247" i="21"/>
  <c r="AD200" i="21"/>
  <c r="AE208" i="21"/>
  <c r="CS224" i="21"/>
  <c r="FD265" i="21" l="1"/>
  <c r="FD272" i="21" s="1"/>
  <c r="FD275" i="21" s="1"/>
  <c r="BX20" i="5"/>
  <c r="BY22" i="5"/>
  <c r="BT20" i="5"/>
  <c r="BZ20" i="5"/>
  <c r="BW165" i="5"/>
  <c r="FA207" i="21"/>
  <c r="FA214" i="21" s="1"/>
  <c r="FA215" i="21" s="1"/>
  <c r="EZ183" i="21"/>
  <c r="FA274" i="21"/>
  <c r="CA165" i="5"/>
  <c r="FC262" i="21"/>
  <c r="FC265" i="21" s="1"/>
  <c r="FB276" i="21"/>
  <c r="FB277" i="21" s="1"/>
  <c r="CC168" i="5"/>
  <c r="CD168" i="12" s="1"/>
  <c r="CC168" i="12"/>
  <c r="CM167" i="5"/>
  <c r="FA246" i="21"/>
  <c r="FA253" i="21" s="1"/>
  <c r="FA254" i="21" s="1"/>
  <c r="EZ222" i="21"/>
  <c r="BU165" i="5"/>
  <c r="BV165" i="5"/>
  <c r="CB167" i="5"/>
  <c r="BS166" i="5"/>
  <c r="FA278" i="21"/>
  <c r="AC200" i="21"/>
  <c r="AD208" i="21"/>
  <c r="AC239" i="21"/>
  <c r="AD247" i="21"/>
  <c r="CR224" i="21"/>
  <c r="BT19" i="5" l="1"/>
  <c r="BY21" i="5"/>
  <c r="BZ19" i="5"/>
  <c r="BX19" i="5"/>
  <c r="EZ278" i="21"/>
  <c r="EZ207" i="21"/>
  <c r="EZ214" i="21" s="1"/>
  <c r="EZ215" i="21" s="1"/>
  <c r="EY183" i="21"/>
  <c r="CB166" i="5"/>
  <c r="BS165" i="5"/>
  <c r="BV164" i="5"/>
  <c r="EZ274" i="21"/>
  <c r="CC167" i="5"/>
  <c r="CD167" i="12" s="1"/>
  <c r="CC167" i="12"/>
  <c r="CM166" i="5"/>
  <c r="FC272" i="21"/>
  <c r="FC275" i="21" s="1"/>
  <c r="EZ246" i="21"/>
  <c r="EZ253" i="21" s="1"/>
  <c r="EZ254" i="21" s="1"/>
  <c r="EY222" i="21"/>
  <c r="CA164" i="5"/>
  <c r="FA276" i="21"/>
  <c r="FA277" i="21" s="1"/>
  <c r="FB262" i="21"/>
  <c r="BU164" i="5"/>
  <c r="BW164" i="5"/>
  <c r="AB239" i="21"/>
  <c r="AC247" i="21"/>
  <c r="AB200" i="21"/>
  <c r="AC208" i="21"/>
  <c r="CQ224" i="21"/>
  <c r="FB265" i="21" l="1"/>
  <c r="FB272" i="21" s="1"/>
  <c r="FB275" i="21" s="1"/>
  <c r="BX18" i="5"/>
  <c r="BZ18" i="5"/>
  <c r="BY20" i="5"/>
  <c r="BT18" i="5"/>
  <c r="EY246" i="21"/>
  <c r="EY253" i="21" s="1"/>
  <c r="EY254" i="21" s="1"/>
  <c r="EX222" i="21"/>
  <c r="BS164" i="5"/>
  <c r="CB165" i="5"/>
  <c r="EY207" i="21"/>
  <c r="EY214" i="21" s="1"/>
  <c r="EY215" i="21" s="1"/>
  <c r="EX183" i="21"/>
  <c r="BW163" i="5"/>
  <c r="CC166" i="12"/>
  <c r="CM165" i="5"/>
  <c r="CC166" i="5"/>
  <c r="CD166" i="12" s="1"/>
  <c r="EY274" i="21"/>
  <c r="CA163" i="5"/>
  <c r="EZ276" i="21"/>
  <c r="EZ277" i="21" s="1"/>
  <c r="FA262" i="21"/>
  <c r="BU163" i="5"/>
  <c r="BV163" i="5"/>
  <c r="EY278" i="21"/>
  <c r="AA200" i="21"/>
  <c r="AB208" i="21"/>
  <c r="AA239" i="21"/>
  <c r="AB247" i="21"/>
  <c r="CP224" i="21"/>
  <c r="FA265" i="21" l="1"/>
  <c r="FA272" i="21" s="1"/>
  <c r="FA275" i="21" s="1"/>
  <c r="BT17" i="5"/>
  <c r="BY19" i="5"/>
  <c r="BZ17" i="5"/>
  <c r="BX17" i="5"/>
  <c r="EX274" i="21"/>
  <c r="CB164" i="5"/>
  <c r="BS163" i="5"/>
  <c r="BU162" i="5"/>
  <c r="CC165" i="5"/>
  <c r="CD165" i="12" s="1"/>
  <c r="CC165" i="12"/>
  <c r="CM164" i="5"/>
  <c r="CA162" i="5"/>
  <c r="BW162" i="5"/>
  <c r="BV162" i="5"/>
  <c r="EX246" i="21"/>
  <c r="EX253" i="21" s="1"/>
  <c r="EX254" i="21" s="1"/>
  <c r="EW222" i="21"/>
  <c r="EX207" i="21"/>
  <c r="EX214" i="21" s="1"/>
  <c r="EX215" i="21" s="1"/>
  <c r="EW183" i="21"/>
  <c r="EY276" i="21"/>
  <c r="EY277" i="21" s="1"/>
  <c r="EZ262" i="21"/>
  <c r="EX278" i="21"/>
  <c r="Z239" i="21"/>
  <c r="AA247" i="21"/>
  <c r="Z200" i="21"/>
  <c r="AA208" i="21"/>
  <c r="CO224" i="21"/>
  <c r="EZ265" i="21" l="1"/>
  <c r="EZ272" i="21" s="1"/>
  <c r="EZ275" i="21" s="1"/>
  <c r="BY18" i="5"/>
  <c r="BZ16" i="5"/>
  <c r="BX16" i="5"/>
  <c r="BT16" i="5"/>
  <c r="CA161" i="5"/>
  <c r="EW246" i="21"/>
  <c r="EW253" i="21" s="1"/>
  <c r="EW254" i="21" s="1"/>
  <c r="EV222" i="21"/>
  <c r="EW274" i="21"/>
  <c r="BV161" i="5"/>
  <c r="CC164" i="12"/>
  <c r="CC164" i="5"/>
  <c r="CD164" i="12" s="1"/>
  <c r="CM163" i="5"/>
  <c r="BU161" i="5"/>
  <c r="EW207" i="21"/>
  <c r="EW214" i="21" s="1"/>
  <c r="EW215" i="21" s="1"/>
  <c r="EV183" i="21"/>
  <c r="EW278" i="21"/>
  <c r="BW161" i="5"/>
  <c r="CB163" i="5"/>
  <c r="BS162" i="5"/>
  <c r="EX276" i="21"/>
  <c r="EX277" i="21" s="1"/>
  <c r="EY262" i="21"/>
  <c r="EY265" i="21" s="1"/>
  <c r="Y200" i="21"/>
  <c r="Z208" i="21"/>
  <c r="Y239" i="21"/>
  <c r="Z247" i="21"/>
  <c r="CN224" i="21"/>
  <c r="BX15" i="5" l="1"/>
  <c r="BZ15" i="5"/>
  <c r="BT15" i="5"/>
  <c r="BY17" i="5"/>
  <c r="EV246" i="21"/>
  <c r="EV253" i="21" s="1"/>
  <c r="EV254" i="21" s="1"/>
  <c r="EU222" i="21"/>
  <c r="EY272" i="21"/>
  <c r="EY275" i="21" s="1"/>
  <c r="CB162" i="5"/>
  <c r="BS161" i="5"/>
  <c r="EV274" i="21"/>
  <c r="EV278" i="21"/>
  <c r="BV160" i="5"/>
  <c r="BW160" i="5"/>
  <c r="CC163" i="12"/>
  <c r="CM162" i="5"/>
  <c r="CC163" i="5"/>
  <c r="CD163" i="12" s="1"/>
  <c r="EX262" i="21"/>
  <c r="EX265" i="21" s="1"/>
  <c r="EW276" i="21"/>
  <c r="EW277" i="21" s="1"/>
  <c r="EV207" i="21"/>
  <c r="EV214" i="21" s="1"/>
  <c r="EV215" i="21" s="1"/>
  <c r="EU183" i="21"/>
  <c r="BU160" i="5"/>
  <c r="CA160" i="5"/>
  <c r="X239" i="21"/>
  <c r="Y247" i="21"/>
  <c r="X200" i="21"/>
  <c r="Y208" i="21"/>
  <c r="CM224" i="21"/>
  <c r="BZ14" i="5" l="1"/>
  <c r="BT14" i="5"/>
  <c r="BY16" i="5"/>
  <c r="BX14" i="5"/>
  <c r="CA159" i="5"/>
  <c r="EX272" i="21"/>
  <c r="EX275" i="21" s="1"/>
  <c r="CB161" i="5"/>
  <c r="BS160" i="5"/>
  <c r="CM161" i="5"/>
  <c r="CC162" i="5"/>
  <c r="CD162" i="12" s="1"/>
  <c r="CC162" i="12"/>
  <c r="EU274" i="21"/>
  <c r="EU246" i="21"/>
  <c r="EU253" i="21" s="1"/>
  <c r="EU254" i="21" s="1"/>
  <c r="ET222" i="21"/>
  <c r="BW159" i="5"/>
  <c r="EU278" i="21"/>
  <c r="BU159" i="5"/>
  <c r="BV159" i="5"/>
  <c r="EU207" i="21"/>
  <c r="EU214" i="21" s="1"/>
  <c r="EU215" i="21" s="1"/>
  <c r="ET183" i="21"/>
  <c r="EW262" i="21"/>
  <c r="EV276" i="21"/>
  <c r="EV277" i="21" s="1"/>
  <c r="W200" i="21"/>
  <c r="X208" i="21"/>
  <c r="W239" i="21"/>
  <c r="X247" i="21"/>
  <c r="CL224" i="21"/>
  <c r="EW265" i="21" l="1"/>
  <c r="EW272" i="21" s="1"/>
  <c r="EW275" i="21" s="1"/>
  <c r="BT13" i="5"/>
  <c r="BX13" i="5"/>
  <c r="BY15" i="5"/>
  <c r="BZ13" i="5"/>
  <c r="ET274" i="21"/>
  <c r="BS159" i="5"/>
  <c r="CB160" i="5"/>
  <c r="BV158" i="5"/>
  <c r="BU158" i="5"/>
  <c r="BW158" i="5"/>
  <c r="ET246" i="21"/>
  <c r="ET253" i="21" s="1"/>
  <c r="ET254" i="21" s="1"/>
  <c r="ES222" i="21"/>
  <c r="CM160" i="5"/>
  <c r="CC161" i="12"/>
  <c r="CC161" i="5"/>
  <c r="CD161" i="12" s="1"/>
  <c r="EV262" i="21"/>
  <c r="EU276" i="21"/>
  <c r="EU277" i="21" s="1"/>
  <c r="ET278" i="21"/>
  <c r="ET207" i="21"/>
  <c r="ET214" i="21" s="1"/>
  <c r="ET215" i="21" s="1"/>
  <c r="ES183" i="21"/>
  <c r="CA158" i="5"/>
  <c r="V239" i="21"/>
  <c r="W247" i="21"/>
  <c r="V200" i="21"/>
  <c r="W208" i="21"/>
  <c r="CK224" i="21"/>
  <c r="EV265" i="21" l="1"/>
  <c r="EV272" i="21" s="1"/>
  <c r="EV275" i="21" s="1"/>
  <c r="BY14" i="5"/>
  <c r="CB159" i="5"/>
  <c r="BS158" i="5"/>
  <c r="ES246" i="21"/>
  <c r="ES253" i="21" s="1"/>
  <c r="ES254" i="21" s="1"/>
  <c r="ER222" i="21"/>
  <c r="ES274" i="21"/>
  <c r="BU157" i="5"/>
  <c r="CA157" i="5"/>
  <c r="CM159" i="5"/>
  <c r="CC160" i="12"/>
  <c r="CC160" i="5"/>
  <c r="CD160" i="12" s="1"/>
  <c r="ES207" i="21"/>
  <c r="ES214" i="21" s="1"/>
  <c r="ES215" i="21" s="1"/>
  <c r="ER183" i="21"/>
  <c r="BW157" i="5"/>
  <c r="BV157" i="5"/>
  <c r="ES278" i="21"/>
  <c r="ET276" i="21"/>
  <c r="ET277" i="21" s="1"/>
  <c r="EU262" i="21"/>
  <c r="U200" i="21"/>
  <c r="V208" i="21"/>
  <c r="U239" i="21"/>
  <c r="V247" i="21"/>
  <c r="CJ224" i="21"/>
  <c r="EU265" i="21" l="1"/>
  <c r="EU272" i="21" s="1"/>
  <c r="EU275" i="21" s="1"/>
  <c r="BY13" i="5"/>
  <c r="ER278" i="21"/>
  <c r="ER274" i="21"/>
  <c r="ES276" i="21"/>
  <c r="ES277" i="21" s="1"/>
  <c r="ET262" i="21"/>
  <c r="BV156" i="5"/>
  <c r="BS157" i="5"/>
  <c r="CB158" i="5"/>
  <c r="ER207" i="21"/>
  <c r="ER214" i="21" s="1"/>
  <c r="ER215" i="21" s="1"/>
  <c r="EQ183" i="21"/>
  <c r="ER246" i="21"/>
  <c r="ER253" i="21" s="1"/>
  <c r="ER254" i="21" s="1"/>
  <c r="EQ222" i="21"/>
  <c r="CA156" i="5"/>
  <c r="CC159" i="5"/>
  <c r="CD159" i="12" s="1"/>
  <c r="CC159" i="12"/>
  <c r="CM158" i="5"/>
  <c r="BU156" i="5"/>
  <c r="BW156" i="5"/>
  <c r="T239" i="21"/>
  <c r="U247" i="21"/>
  <c r="T200" i="21"/>
  <c r="U208" i="21"/>
  <c r="CI224" i="21"/>
  <c r="ET265" i="21" l="1"/>
  <c r="ET272" i="21" s="1"/>
  <c r="ET275" i="21" s="1"/>
  <c r="BU155" i="5"/>
  <c r="CB157" i="5"/>
  <c r="BS156" i="5"/>
  <c r="EQ278" i="21"/>
  <c r="EQ207" i="21"/>
  <c r="EQ214" i="21" s="1"/>
  <c r="EQ215" i="21" s="1"/>
  <c r="EP183" i="21"/>
  <c r="BW155" i="5"/>
  <c r="ES262" i="21"/>
  <c r="ER276" i="21"/>
  <c r="ER277" i="21" s="1"/>
  <c r="CA155" i="5"/>
  <c r="EQ274" i="21"/>
  <c r="CC158" i="12"/>
  <c r="CM157" i="5"/>
  <c r="CC158" i="5"/>
  <c r="CD158" i="12" s="1"/>
  <c r="EQ246" i="21"/>
  <c r="EQ253" i="21" s="1"/>
  <c r="EQ254" i="21" s="1"/>
  <c r="EP222" i="21"/>
  <c r="BV155" i="5"/>
  <c r="S200" i="21"/>
  <c r="T208" i="21"/>
  <c r="S239" i="21"/>
  <c r="T247" i="21"/>
  <c r="CH224" i="21"/>
  <c r="ES265" i="21" l="1"/>
  <c r="ES272" i="21" s="1"/>
  <c r="ES275" i="21" s="1"/>
  <c r="CM156" i="5"/>
  <c r="CC157" i="12"/>
  <c r="CC157" i="5"/>
  <c r="CD157" i="12" s="1"/>
  <c r="EP274" i="21"/>
  <c r="ER262" i="21"/>
  <c r="EQ276" i="21"/>
  <c r="EQ277" i="21" s="1"/>
  <c r="BV154" i="5"/>
  <c r="EP246" i="21"/>
  <c r="EP253" i="21" s="1"/>
  <c r="EP254" i="21" s="1"/>
  <c r="EO222" i="21"/>
  <c r="CA154" i="5"/>
  <c r="CB156" i="5"/>
  <c r="BS155" i="5"/>
  <c r="EP278" i="21"/>
  <c r="BW154" i="5"/>
  <c r="EP207" i="21"/>
  <c r="EP214" i="21" s="1"/>
  <c r="EP215" i="21" s="1"/>
  <c r="EO183" i="21"/>
  <c r="BU154" i="5"/>
  <c r="R239" i="21"/>
  <c r="S247" i="21"/>
  <c r="R200" i="21"/>
  <c r="S208" i="21"/>
  <c r="CG224" i="21"/>
  <c r="ER265" i="21" l="1"/>
  <c r="ER272" i="21" s="1"/>
  <c r="ER275" i="21" s="1"/>
  <c r="EO246" i="21"/>
  <c r="EO253" i="21" s="1"/>
  <c r="EO254" i="21" s="1"/>
  <c r="EN222" i="21"/>
  <c r="BW153" i="5"/>
  <c r="BU153" i="5"/>
  <c r="EO207" i="21"/>
  <c r="EO214" i="21" s="1"/>
  <c r="EO215" i="21" s="1"/>
  <c r="EN183" i="21"/>
  <c r="EO274" i="21"/>
  <c r="EQ262" i="21"/>
  <c r="EP276" i="21"/>
  <c r="EP277" i="21" s="1"/>
  <c r="BV153" i="5"/>
  <c r="CC156" i="12"/>
  <c r="CM155" i="5"/>
  <c r="CC156" i="5"/>
  <c r="CD156" i="12" s="1"/>
  <c r="EO278" i="21"/>
  <c r="CB155" i="5"/>
  <c r="BS154" i="5"/>
  <c r="CA153" i="5"/>
  <c r="Q200" i="21"/>
  <c r="R208" i="21"/>
  <c r="Q239" i="21"/>
  <c r="R247" i="21"/>
  <c r="CF224" i="21"/>
  <c r="EQ265" i="21" l="1"/>
  <c r="EQ272" i="21" s="1"/>
  <c r="EQ275" i="21" s="1"/>
  <c r="CM154" i="5"/>
  <c r="CC155" i="5"/>
  <c r="CD155" i="12" s="1"/>
  <c r="CC155" i="12"/>
  <c r="BV152" i="5"/>
  <c r="BU152" i="5"/>
  <c r="EN274" i="21"/>
  <c r="BW152" i="5"/>
  <c r="CB154" i="5"/>
  <c r="BS153" i="5"/>
  <c r="EP262" i="21"/>
  <c r="EO276" i="21"/>
  <c r="EO277" i="21" s="1"/>
  <c r="EN246" i="21"/>
  <c r="EN253" i="21" s="1"/>
  <c r="EN254" i="21" s="1"/>
  <c r="EM222" i="21"/>
  <c r="CA152" i="5"/>
  <c r="EN207" i="21"/>
  <c r="EN214" i="21" s="1"/>
  <c r="EN215" i="21" s="1"/>
  <c r="EM183" i="21"/>
  <c r="EN278" i="21"/>
  <c r="P239" i="21"/>
  <c r="Q247" i="21"/>
  <c r="P200" i="21"/>
  <c r="Q208" i="21"/>
  <c r="CE224" i="21"/>
  <c r="EP265" i="21" l="1"/>
  <c r="EP272" i="21" s="1"/>
  <c r="EP275" i="21" s="1"/>
  <c r="EM246" i="21"/>
  <c r="EM253" i="21" s="1"/>
  <c r="EM254" i="21" s="1"/>
  <c r="EL222" i="21"/>
  <c r="BV151" i="5"/>
  <c r="CA151" i="5"/>
  <c r="BU151" i="5"/>
  <c r="EM278" i="21"/>
  <c r="EO262" i="21"/>
  <c r="EN276" i="21"/>
  <c r="EN277" i="21" s="1"/>
  <c r="CC154" i="12"/>
  <c r="CM153" i="5"/>
  <c r="CC154" i="5"/>
  <c r="CD154" i="12" s="1"/>
  <c r="EM207" i="21"/>
  <c r="EM214" i="21" s="1"/>
  <c r="EM215" i="21" s="1"/>
  <c r="EL183" i="21"/>
  <c r="BW151" i="5"/>
  <c r="BS152" i="5"/>
  <c r="CB153" i="5"/>
  <c r="EM274" i="21"/>
  <c r="O200" i="21"/>
  <c r="P208" i="21"/>
  <c r="O239" i="21"/>
  <c r="P247" i="21"/>
  <c r="CD224" i="21"/>
  <c r="EO265" i="21" l="1"/>
  <c r="EO272" i="21" s="1"/>
  <c r="EO275" i="21" s="1"/>
  <c r="BW150" i="5"/>
  <c r="EN262" i="21"/>
  <c r="EM276" i="21"/>
  <c r="EM277" i="21" s="1"/>
  <c r="EL207" i="21"/>
  <c r="EL214" i="21" s="1"/>
  <c r="EL215" i="21" s="1"/>
  <c r="EK183" i="21"/>
  <c r="BV150" i="5"/>
  <c r="BU150" i="5"/>
  <c r="CA150" i="5"/>
  <c r="CC153" i="12"/>
  <c r="CM152" i="5"/>
  <c r="CC153" i="5"/>
  <c r="CD153" i="12" s="1"/>
  <c r="EL274" i="21"/>
  <c r="EL246" i="21"/>
  <c r="EL253" i="21" s="1"/>
  <c r="EL254" i="21" s="1"/>
  <c r="EK222" i="21"/>
  <c r="BS151" i="5"/>
  <c r="CB152" i="5"/>
  <c r="EL278" i="21"/>
  <c r="N239" i="21"/>
  <c r="O247" i="21"/>
  <c r="N200" i="21"/>
  <c r="O208" i="21"/>
  <c r="CC224" i="21"/>
  <c r="EN265" i="21" l="1"/>
  <c r="EN272" i="21" s="1"/>
  <c r="EN275" i="21" s="1"/>
  <c r="BV149" i="5"/>
  <c r="EK274" i="21"/>
  <c r="CA149" i="5"/>
  <c r="EK278" i="21"/>
  <c r="EK207" i="21"/>
  <c r="EK214" i="21" s="1"/>
  <c r="EK215" i="21" s="1"/>
  <c r="EJ183" i="21"/>
  <c r="BU149" i="5"/>
  <c r="CB151" i="5"/>
  <c r="BS150" i="5"/>
  <c r="EK246" i="21"/>
  <c r="EK253" i="21" s="1"/>
  <c r="EK254" i="21" s="1"/>
  <c r="EJ222" i="21"/>
  <c r="CM151" i="5"/>
  <c r="CC152" i="5"/>
  <c r="CD152" i="12" s="1"/>
  <c r="CC152" i="12"/>
  <c r="EM262" i="21"/>
  <c r="EL276" i="21"/>
  <c r="EL277" i="21" s="1"/>
  <c r="BW149" i="5"/>
  <c r="M200" i="21"/>
  <c r="N208" i="21"/>
  <c r="M239" i="21"/>
  <c r="N247" i="21"/>
  <c r="CB224" i="21"/>
  <c r="EM265" i="21" l="1"/>
  <c r="EM272" i="21" s="1"/>
  <c r="EM275" i="21" s="1"/>
  <c r="CC151" i="12"/>
  <c r="CC151" i="5"/>
  <c r="CD151" i="12" s="1"/>
  <c r="CM150" i="5"/>
  <c r="BU148" i="5"/>
  <c r="BW148" i="5"/>
  <c r="EJ246" i="21"/>
  <c r="EJ253" i="21" s="1"/>
  <c r="EJ254" i="21" s="1"/>
  <c r="EI222" i="21"/>
  <c r="EL262" i="21"/>
  <c r="EK276" i="21"/>
  <c r="EK277" i="21" s="1"/>
  <c r="CA148" i="5"/>
  <c r="EJ278" i="21"/>
  <c r="EJ207" i="21"/>
  <c r="EJ214" i="21" s="1"/>
  <c r="EJ215" i="21" s="1"/>
  <c r="EI183" i="21"/>
  <c r="CB150" i="5"/>
  <c r="BS149" i="5"/>
  <c r="EJ274" i="21"/>
  <c r="BV148" i="5"/>
  <c r="L239" i="21"/>
  <c r="M247" i="21"/>
  <c r="L200" i="21"/>
  <c r="M208" i="21"/>
  <c r="CA224" i="21"/>
  <c r="EL265" i="21" l="1"/>
  <c r="EL272" i="21" s="1"/>
  <c r="EL275" i="21" s="1"/>
  <c r="BS148" i="5"/>
  <c r="CB149" i="5"/>
  <c r="BU147" i="5"/>
  <c r="EI278" i="21"/>
  <c r="CA147" i="5"/>
  <c r="BV147" i="5"/>
  <c r="EI274" i="21"/>
  <c r="CC150" i="5"/>
  <c r="CD150" i="12" s="1"/>
  <c r="CC150" i="12"/>
  <c r="CM149" i="5"/>
  <c r="BW147" i="5"/>
  <c r="EI207" i="21"/>
  <c r="EI214" i="21" s="1"/>
  <c r="EI215" i="21" s="1"/>
  <c r="EH183" i="21"/>
  <c r="EK262" i="21"/>
  <c r="EK265" i="21" s="1"/>
  <c r="EJ276" i="21"/>
  <c r="EJ277" i="21" s="1"/>
  <c r="EI246" i="21"/>
  <c r="EI253" i="21" s="1"/>
  <c r="EI254" i="21" s="1"/>
  <c r="EH222" i="21"/>
  <c r="K200" i="21"/>
  <c r="L208" i="21"/>
  <c r="K239" i="21"/>
  <c r="L247" i="21"/>
  <c r="BZ224" i="21"/>
  <c r="EK272" i="21" l="1"/>
  <c r="EK275" i="21" s="1"/>
  <c r="EH207" i="21"/>
  <c r="EH214" i="21" s="1"/>
  <c r="EH215" i="21" s="1"/>
  <c r="EG183" i="21"/>
  <c r="EJ262" i="21"/>
  <c r="EI276" i="21"/>
  <c r="EI277" i="21" s="1"/>
  <c r="BU146" i="5"/>
  <c r="EH278" i="21"/>
  <c r="EH274" i="21"/>
  <c r="CC149" i="12"/>
  <c r="CM148" i="5"/>
  <c r="CC149" i="5"/>
  <c r="CD149" i="12" s="1"/>
  <c r="EH246" i="21"/>
  <c r="EH253" i="21" s="1"/>
  <c r="EH254" i="21" s="1"/>
  <c r="EG222" i="21"/>
  <c r="BV146" i="5"/>
  <c r="BS147" i="5"/>
  <c r="CB148" i="5"/>
  <c r="CA146" i="5"/>
  <c r="BW146" i="5"/>
  <c r="J239" i="21"/>
  <c r="K247" i="21"/>
  <c r="J200" i="21"/>
  <c r="K208" i="21"/>
  <c r="BY224" i="21"/>
  <c r="EJ265" i="21" l="1"/>
  <c r="EJ272" i="21" s="1"/>
  <c r="EJ275" i="21" s="1"/>
  <c r="CC148" i="12"/>
  <c r="CM147" i="5"/>
  <c r="CC148" i="5"/>
  <c r="CD148" i="12" s="1"/>
  <c r="EG274" i="21"/>
  <c r="EG246" i="21"/>
  <c r="EG253" i="21" s="1"/>
  <c r="EG254" i="21" s="1"/>
  <c r="EF222" i="21"/>
  <c r="BS146" i="5"/>
  <c r="CB147" i="5"/>
  <c r="BW145" i="5"/>
  <c r="EG207" i="21"/>
  <c r="EG214" i="21" s="1"/>
  <c r="EG215" i="21" s="1"/>
  <c r="EF183" i="21"/>
  <c r="BV145" i="5"/>
  <c r="EG278" i="21"/>
  <c r="EH276" i="21"/>
  <c r="EH277" i="21" s="1"/>
  <c r="EI262" i="21"/>
  <c r="EI265" i="21" s="1"/>
  <c r="CA145" i="5"/>
  <c r="BU145" i="5"/>
  <c r="I200" i="21"/>
  <c r="J208" i="21"/>
  <c r="I239" i="21"/>
  <c r="J247" i="21"/>
  <c r="BX224" i="21"/>
  <c r="EF278" i="21" l="1"/>
  <c r="BW144" i="5"/>
  <c r="EI272" i="21"/>
  <c r="EI275" i="21" s="1"/>
  <c r="CB146" i="5"/>
  <c r="BS145" i="5"/>
  <c r="BU144" i="5"/>
  <c r="EF274" i="21"/>
  <c r="BV144" i="5"/>
  <c r="CC147" i="12"/>
  <c r="CC147" i="5"/>
  <c r="CD147" i="12" s="1"/>
  <c r="CM146" i="5"/>
  <c r="EH262" i="21"/>
  <c r="EH265" i="21" s="1"/>
  <c r="EG276" i="21"/>
  <c r="EG277" i="21" s="1"/>
  <c r="CA144" i="5"/>
  <c r="EF207" i="21"/>
  <c r="EF214" i="21" s="1"/>
  <c r="EF215" i="21" s="1"/>
  <c r="EE183" i="21"/>
  <c r="EF246" i="21"/>
  <c r="EF253" i="21" s="1"/>
  <c r="EF254" i="21" s="1"/>
  <c r="EE222" i="21"/>
  <c r="H239" i="21"/>
  <c r="I247" i="21"/>
  <c r="H200" i="21"/>
  <c r="I208" i="21"/>
  <c r="BW224" i="21"/>
  <c r="EF276" i="21" l="1"/>
  <c r="EF277" i="21" s="1"/>
  <c r="EG262" i="21"/>
  <c r="EG265" i="21" s="1"/>
  <c r="EE207" i="21"/>
  <c r="EE214" i="21" s="1"/>
  <c r="EE215" i="21" s="1"/>
  <c r="ED183" i="21"/>
  <c r="BU143" i="5"/>
  <c r="EE246" i="21"/>
  <c r="EE253" i="21" s="1"/>
  <c r="EE254" i="21" s="1"/>
  <c r="ED222" i="21"/>
  <c r="EH272" i="21"/>
  <c r="EH275" i="21" s="1"/>
  <c r="EE274" i="21"/>
  <c r="CB145" i="5"/>
  <c r="BS144" i="5"/>
  <c r="BW143" i="5"/>
  <c r="CC146" i="12"/>
  <c r="CC146" i="5"/>
  <c r="CD146" i="12" s="1"/>
  <c r="CM145" i="5"/>
  <c r="EE278" i="21"/>
  <c r="CA143" i="5"/>
  <c r="BV143" i="5"/>
  <c r="G200" i="21"/>
  <c r="H208" i="21"/>
  <c r="G239" i="21"/>
  <c r="H247" i="21"/>
  <c r="BV224" i="21"/>
  <c r="ED278" i="21" l="1"/>
  <c r="BU142" i="5"/>
  <c r="ED274" i="21"/>
  <c r="BV142" i="5"/>
  <c r="BW142" i="5"/>
  <c r="EF262" i="21"/>
  <c r="EE276" i="21"/>
  <c r="EE277" i="21" s="1"/>
  <c r="ED207" i="21"/>
  <c r="ED214" i="21" s="1"/>
  <c r="ED215" i="21" s="1"/>
  <c r="EC183" i="21"/>
  <c r="CA142" i="5"/>
  <c r="BS143" i="5"/>
  <c r="CB144" i="5"/>
  <c r="EG272" i="21"/>
  <c r="EG275" i="21" s="1"/>
  <c r="CC145" i="12"/>
  <c r="CM144" i="5"/>
  <c r="CC145" i="5"/>
  <c r="CD145" i="12" s="1"/>
  <c r="ED246" i="21"/>
  <c r="ED253" i="21" s="1"/>
  <c r="ED254" i="21" s="1"/>
  <c r="EC222" i="21"/>
  <c r="F239" i="21"/>
  <c r="G247" i="21"/>
  <c r="F200" i="21"/>
  <c r="G208" i="21"/>
  <c r="BU224" i="21"/>
  <c r="EF265" i="21" l="1"/>
  <c r="EF272" i="21" s="1"/>
  <c r="EF275" i="21" s="1"/>
  <c r="BS142" i="5"/>
  <c r="CB143" i="5"/>
  <c r="EC278" i="21"/>
  <c r="ED276" i="21"/>
  <c r="ED277" i="21" s="1"/>
  <c r="EE262" i="21"/>
  <c r="BW141" i="5"/>
  <c r="BU141" i="5"/>
  <c r="CC144" i="5"/>
  <c r="CD144" i="12" s="1"/>
  <c r="CC144" i="12"/>
  <c r="CM143" i="5"/>
  <c r="CA141" i="5"/>
  <c r="EC274" i="21"/>
  <c r="EC246" i="21"/>
  <c r="EC253" i="21" s="1"/>
  <c r="EC254" i="21" s="1"/>
  <c r="EB222" i="21"/>
  <c r="EC207" i="21"/>
  <c r="EC214" i="21" s="1"/>
  <c r="EC215" i="21" s="1"/>
  <c r="EB183" i="21"/>
  <c r="BV141" i="5"/>
  <c r="E200" i="21"/>
  <c r="F208" i="21"/>
  <c r="E239" i="21"/>
  <c r="F247" i="21"/>
  <c r="BT224" i="21"/>
  <c r="EE265" i="21" l="1"/>
  <c r="EE272" i="21" s="1"/>
  <c r="EE275" i="21" s="1"/>
  <c r="EB278" i="21"/>
  <c r="CB142" i="5"/>
  <c r="BS141" i="5"/>
  <c r="EB246" i="21"/>
  <c r="EB253" i="21" s="1"/>
  <c r="EB254" i="21" s="1"/>
  <c r="EA222" i="21"/>
  <c r="CC143" i="12"/>
  <c r="CM142" i="5"/>
  <c r="CC143" i="5"/>
  <c r="CD143" i="12" s="1"/>
  <c r="BW140" i="5"/>
  <c r="EB274" i="21"/>
  <c r="BU140" i="5"/>
  <c r="BV140" i="5"/>
  <c r="CA140" i="5"/>
  <c r="EC276" i="21"/>
  <c r="EC277" i="21" s="1"/>
  <c r="ED262" i="21"/>
  <c r="EB207" i="21"/>
  <c r="EB214" i="21" s="1"/>
  <c r="EB215" i="21" s="1"/>
  <c r="EA183" i="21"/>
  <c r="D239" i="21"/>
  <c r="E247" i="21"/>
  <c r="D200" i="21"/>
  <c r="E208" i="21"/>
  <c r="BS224" i="21"/>
  <c r="ED265" i="21" l="1"/>
  <c r="ED272" i="21" s="1"/>
  <c r="ED275" i="21" s="1"/>
  <c r="BU139" i="5"/>
  <c r="EA246" i="21"/>
  <c r="EA253" i="21" s="1"/>
  <c r="EA254" i="21" s="1"/>
  <c r="DZ222" i="21"/>
  <c r="CM141" i="5"/>
  <c r="CC142" i="5"/>
  <c r="CD142" i="12" s="1"/>
  <c r="CC142" i="12"/>
  <c r="EA278" i="21"/>
  <c r="EB276" i="21"/>
  <c r="EB277" i="21" s="1"/>
  <c r="EC262" i="21"/>
  <c r="BW139" i="5"/>
  <c r="BS140" i="5"/>
  <c r="CB141" i="5"/>
  <c r="EA207" i="21"/>
  <c r="EA214" i="21" s="1"/>
  <c r="EA215" i="21" s="1"/>
  <c r="DZ183" i="21"/>
  <c r="BV139" i="5"/>
  <c r="CA139" i="5"/>
  <c r="EA274" i="21"/>
  <c r="D208" i="21"/>
  <c r="C200" i="21"/>
  <c r="D247" i="21"/>
  <c r="C239" i="21"/>
  <c r="BR224" i="21"/>
  <c r="EC265" i="21" l="1"/>
  <c r="EC272" i="21" s="1"/>
  <c r="EC275" i="21" s="1"/>
  <c r="BW138" i="5"/>
  <c r="DZ246" i="21"/>
  <c r="DZ253" i="21" s="1"/>
  <c r="DZ254" i="21" s="1"/>
  <c r="DY222" i="21"/>
  <c r="DZ278" i="21"/>
  <c r="EA276" i="21"/>
  <c r="EA277" i="21" s="1"/>
  <c r="EB262" i="21"/>
  <c r="BS139" i="5"/>
  <c r="CB140" i="5"/>
  <c r="BV138" i="5"/>
  <c r="DZ207" i="21"/>
  <c r="DZ214" i="21" s="1"/>
  <c r="DZ215" i="21" s="1"/>
  <c r="DY183" i="21"/>
  <c r="DZ274" i="21"/>
  <c r="CC141" i="12"/>
  <c r="CM140" i="5"/>
  <c r="CC141" i="5"/>
  <c r="CD141" i="12" s="1"/>
  <c r="CA138" i="5"/>
  <c r="BU138" i="5"/>
  <c r="C247" i="21"/>
  <c r="B239" i="21"/>
  <c r="B247" i="21" s="1"/>
  <c r="B200" i="21"/>
  <c r="B208" i="21" s="1"/>
  <c r="C208" i="21"/>
  <c r="BQ224" i="21"/>
  <c r="EB265" i="21" l="1"/>
  <c r="EB272" i="21" s="1"/>
  <c r="EB275" i="21" s="1"/>
  <c r="DY246" i="21"/>
  <c r="DY253" i="21" s="1"/>
  <c r="DY254" i="21" s="1"/>
  <c r="DX222" i="21"/>
  <c r="BU137" i="5"/>
  <c r="DY278" i="21"/>
  <c r="CC140" i="12"/>
  <c r="CM139" i="5"/>
  <c r="CC140" i="5"/>
  <c r="CD140" i="12" s="1"/>
  <c r="DY274" i="21"/>
  <c r="BV137" i="5"/>
  <c r="CB139" i="5"/>
  <c r="BS138" i="5"/>
  <c r="EA262" i="21"/>
  <c r="DZ276" i="21"/>
  <c r="DZ277" i="21" s="1"/>
  <c r="DY207" i="21"/>
  <c r="DY214" i="21" s="1"/>
  <c r="DY215" i="21" s="1"/>
  <c r="DX183" i="21"/>
  <c r="CA137" i="5"/>
  <c r="BW137" i="5"/>
  <c r="BP224" i="21"/>
  <c r="EA265" i="21" l="1"/>
  <c r="EA272" i="21" s="1"/>
  <c r="EA275" i="21" s="1"/>
  <c r="DX207" i="21"/>
  <c r="DX214" i="21" s="1"/>
  <c r="DX215" i="21" s="1"/>
  <c r="DW183" i="21"/>
  <c r="BW136" i="5"/>
  <c r="CB138" i="5"/>
  <c r="BS137" i="5"/>
  <c r="BU136" i="5"/>
  <c r="BV136" i="5"/>
  <c r="DZ262" i="21"/>
  <c r="DY276" i="21"/>
  <c r="DY277" i="21" s="1"/>
  <c r="CC139" i="12"/>
  <c r="CM138" i="5"/>
  <c r="CC139" i="5"/>
  <c r="CD139" i="12" s="1"/>
  <c r="DX246" i="21"/>
  <c r="DX253" i="21" s="1"/>
  <c r="DX254" i="21" s="1"/>
  <c r="DW222" i="21"/>
  <c r="DX274" i="21"/>
  <c r="CA136" i="5"/>
  <c r="DX278" i="21"/>
  <c r="BO224" i="21"/>
  <c r="DZ265" i="21" l="1"/>
  <c r="DZ272" i="21" s="1"/>
  <c r="DZ275" i="21" s="1"/>
  <c r="DX276" i="21"/>
  <c r="DX277" i="21" s="1"/>
  <c r="DY262" i="21"/>
  <c r="DY265" i="21" s="1"/>
  <c r="BU135" i="5"/>
  <c r="DW246" i="21"/>
  <c r="DW253" i="21" s="1"/>
  <c r="DW254" i="21" s="1"/>
  <c r="DV222" i="21"/>
  <c r="BV135" i="5"/>
  <c r="BW135" i="5"/>
  <c r="CC138" i="12"/>
  <c r="CC138" i="5"/>
  <c r="CD138" i="12" s="1"/>
  <c r="CM137" i="5"/>
  <c r="DW207" i="21"/>
  <c r="DW214" i="21" s="1"/>
  <c r="DW215" i="21" s="1"/>
  <c r="DV183" i="21"/>
  <c r="BS136" i="5"/>
  <c r="CB137" i="5"/>
  <c r="DW278" i="21"/>
  <c r="CA135" i="5"/>
  <c r="DW274" i="21"/>
  <c r="BN224" i="21"/>
  <c r="BV134" i="5" l="1"/>
  <c r="BU134" i="5"/>
  <c r="DV278" i="21"/>
  <c r="DV207" i="21"/>
  <c r="DV214" i="21" s="1"/>
  <c r="DV215" i="21" s="1"/>
  <c r="DU183" i="21"/>
  <c r="BW134" i="5"/>
  <c r="DW276" i="21"/>
  <c r="DW277" i="21" s="1"/>
  <c r="DX262" i="21"/>
  <c r="DV274" i="21"/>
  <c r="DY272" i="21"/>
  <c r="DY275" i="21" s="1"/>
  <c r="DV246" i="21"/>
  <c r="DV253" i="21" s="1"/>
  <c r="DV254" i="21" s="1"/>
  <c r="DU222" i="21"/>
  <c r="CC137" i="5"/>
  <c r="CD137" i="12" s="1"/>
  <c r="CC137" i="12"/>
  <c r="CM136" i="5"/>
  <c r="CB136" i="5"/>
  <c r="BS135" i="5"/>
  <c r="CA134" i="5"/>
  <c r="BM224" i="21"/>
  <c r="DX265" i="21" l="1"/>
  <c r="DX272" i="21" s="1"/>
  <c r="DX275" i="21" s="1"/>
  <c r="DV276" i="21"/>
  <c r="DV277" i="21" s="1"/>
  <c r="DW262" i="21"/>
  <c r="DU246" i="21"/>
  <c r="DU253" i="21" s="1"/>
  <c r="DU254" i="21" s="1"/>
  <c r="DT222" i="21"/>
  <c r="DU207" i="21"/>
  <c r="DU214" i="21" s="1"/>
  <c r="DU215" i="21" s="1"/>
  <c r="DT183" i="21"/>
  <c r="CA133" i="5"/>
  <c r="DU278" i="21"/>
  <c r="BU133" i="5"/>
  <c r="DU274" i="21"/>
  <c r="CB135" i="5"/>
  <c r="BS134" i="5"/>
  <c r="CC136" i="5"/>
  <c r="CD136" i="12" s="1"/>
  <c r="CC136" i="12"/>
  <c r="CM135" i="5"/>
  <c r="BW133" i="5"/>
  <c r="BV133" i="5"/>
  <c r="BL224" i="21"/>
  <c r="DW265" i="21" l="1"/>
  <c r="DW272" i="21" s="1"/>
  <c r="DW275" i="21" s="1"/>
  <c r="DT246" i="21"/>
  <c r="DT253" i="21" s="1"/>
  <c r="DT254" i="21" s="1"/>
  <c r="DS222" i="21"/>
  <c r="CC135" i="5"/>
  <c r="CD135" i="12" s="1"/>
  <c r="CC135" i="12"/>
  <c r="CM134" i="5"/>
  <c r="BV132" i="5"/>
  <c r="CA132" i="5"/>
  <c r="BU132" i="5"/>
  <c r="BS133" i="5"/>
  <c r="CB134" i="5"/>
  <c r="DT207" i="21"/>
  <c r="DT214" i="21" s="1"/>
  <c r="DT215" i="21" s="1"/>
  <c r="DS183" i="21"/>
  <c r="DT278" i="21"/>
  <c r="BW132" i="5"/>
  <c r="DU276" i="21"/>
  <c r="DU277" i="21" s="1"/>
  <c r="DV262" i="21"/>
  <c r="DT274" i="21"/>
  <c r="BK224" i="21"/>
  <c r="DV265" i="21" l="1"/>
  <c r="DV272" i="21" s="1"/>
  <c r="DV275" i="21" s="1"/>
  <c r="DS274" i="21"/>
  <c r="BW131" i="5"/>
  <c r="BV131" i="5"/>
  <c r="CB133" i="5"/>
  <c r="BS132" i="5"/>
  <c r="DT276" i="21"/>
  <c r="DT277" i="21" s="1"/>
  <c r="DU262" i="21"/>
  <c r="BU131" i="5"/>
  <c r="DS246" i="21"/>
  <c r="DS253" i="21" s="1"/>
  <c r="DS254" i="21" s="1"/>
  <c r="DR222" i="21"/>
  <c r="CM133" i="5"/>
  <c r="CC134" i="5"/>
  <c r="CD134" i="12" s="1"/>
  <c r="CC134" i="12"/>
  <c r="DS207" i="21"/>
  <c r="DS214" i="21" s="1"/>
  <c r="DS215" i="21" s="1"/>
  <c r="DR183" i="21"/>
  <c r="CA131" i="5"/>
  <c r="DS278" i="21"/>
  <c r="BJ224" i="21"/>
  <c r="DU265" i="21" l="1"/>
  <c r="DU272" i="21" s="1"/>
  <c r="DU275" i="21" s="1"/>
  <c r="CC133" i="5"/>
  <c r="CD133" i="12" s="1"/>
  <c r="CM132" i="5"/>
  <c r="CC133" i="12"/>
  <c r="DR278" i="21"/>
  <c r="BU130" i="5"/>
  <c r="BW130" i="5"/>
  <c r="DR274" i="21"/>
  <c r="BV130" i="5"/>
  <c r="DS276" i="21"/>
  <c r="DS277" i="21" s="1"/>
  <c r="DT262" i="21"/>
  <c r="DR207" i="21"/>
  <c r="DR214" i="21" s="1"/>
  <c r="DR215" i="21" s="1"/>
  <c r="DQ183" i="21"/>
  <c r="CA130" i="5"/>
  <c r="DQ222" i="21"/>
  <c r="DR246" i="21"/>
  <c r="DR253" i="21" s="1"/>
  <c r="DR254" i="21" s="1"/>
  <c r="BS131" i="5"/>
  <c r="CB132" i="5"/>
  <c r="BI224" i="21"/>
  <c r="DT265" i="21" l="1"/>
  <c r="DT272" i="21" s="1"/>
  <c r="DT275" i="21" s="1"/>
  <c r="DQ278" i="21"/>
  <c r="DR276" i="21"/>
  <c r="DR277" i="21" s="1"/>
  <c r="DS262" i="21"/>
  <c r="BU129" i="5"/>
  <c r="CC132" i="12"/>
  <c r="CM131" i="5"/>
  <c r="CC132" i="5"/>
  <c r="CD132" i="12" s="1"/>
  <c r="DQ274" i="21"/>
  <c r="DP222" i="21"/>
  <c r="DQ246" i="21"/>
  <c r="DQ253" i="21" s="1"/>
  <c r="DQ254" i="21" s="1"/>
  <c r="CA129" i="5"/>
  <c r="BS130" i="5"/>
  <c r="CB131" i="5"/>
  <c r="BW129" i="5"/>
  <c r="BV129" i="5"/>
  <c r="DP183" i="21"/>
  <c r="DQ207" i="21"/>
  <c r="DQ214" i="21" s="1"/>
  <c r="DQ215" i="21" s="1"/>
  <c r="BH224" i="21"/>
  <c r="DS265" i="21" l="1"/>
  <c r="DS272" i="21" s="1"/>
  <c r="DS275" i="21" s="1"/>
  <c r="CC131" i="12"/>
  <c r="CM130" i="5"/>
  <c r="CC131" i="5"/>
  <c r="CD131" i="12" s="1"/>
  <c r="DR262" i="21"/>
  <c r="DQ276" i="21"/>
  <c r="DQ277" i="21" s="1"/>
  <c r="BW128" i="5"/>
  <c r="DO222" i="21"/>
  <c r="DP246" i="21"/>
  <c r="DP253" i="21" s="1"/>
  <c r="DP254" i="21" s="1"/>
  <c r="DO183" i="21"/>
  <c r="DP207" i="21"/>
  <c r="DP214" i="21" s="1"/>
  <c r="DP215" i="21" s="1"/>
  <c r="DP278" i="21"/>
  <c r="CA128" i="5"/>
  <c r="BU128" i="5"/>
  <c r="DP274" i="21"/>
  <c r="CB130" i="5"/>
  <c r="BS129" i="5"/>
  <c r="BV128" i="5"/>
  <c r="BG224" i="21"/>
  <c r="DR265" i="21" l="1"/>
  <c r="DR272" i="21" s="1"/>
  <c r="DR275" i="21" s="1"/>
  <c r="CC130" i="12"/>
  <c r="CM129" i="5"/>
  <c r="CC130" i="5"/>
  <c r="CD130" i="12" s="1"/>
  <c r="DQ262" i="21"/>
  <c r="DP276" i="21"/>
  <c r="DP277" i="21" s="1"/>
  <c r="CA127" i="5"/>
  <c r="DN183" i="21"/>
  <c r="DO207" i="21"/>
  <c r="DO214" i="21" s="1"/>
  <c r="DO215" i="21" s="1"/>
  <c r="BW127" i="5"/>
  <c r="DO274" i="21"/>
  <c r="DO278" i="21"/>
  <c r="BU127" i="5"/>
  <c r="BV127" i="5"/>
  <c r="BS128" i="5"/>
  <c r="CB129" i="5"/>
  <c r="DN222" i="21"/>
  <c r="DO246" i="21"/>
  <c r="DO253" i="21" s="1"/>
  <c r="DO254" i="21" s="1"/>
  <c r="BF224" i="21"/>
  <c r="DQ265" i="21" l="1"/>
  <c r="DQ272" i="21" s="1"/>
  <c r="DQ275" i="21" s="1"/>
  <c r="DP262" i="21"/>
  <c r="DO276" i="21"/>
  <c r="DO277" i="21" s="1"/>
  <c r="BV126" i="5"/>
  <c r="DN278" i="21"/>
  <c r="DM222" i="21"/>
  <c r="DN246" i="21"/>
  <c r="DN253" i="21" s="1"/>
  <c r="DN254" i="21" s="1"/>
  <c r="BW126" i="5"/>
  <c r="CA126" i="5"/>
  <c r="CC129" i="12"/>
  <c r="CM128" i="5"/>
  <c r="CC129" i="5"/>
  <c r="CD129" i="12" s="1"/>
  <c r="DN274" i="21"/>
  <c r="BU126" i="5"/>
  <c r="CB128" i="5"/>
  <c r="BS127" i="5"/>
  <c r="DN207" i="21"/>
  <c r="DN214" i="21" s="1"/>
  <c r="DN215" i="21" s="1"/>
  <c r="DM183" i="21"/>
  <c r="BE224" i="21"/>
  <c r="DP265" i="21" l="1"/>
  <c r="DP272" i="21" s="1"/>
  <c r="DP275" i="21" s="1"/>
  <c r="BV125" i="5"/>
  <c r="DM278" i="21"/>
  <c r="CA125" i="5"/>
  <c r="BU125" i="5"/>
  <c r="DM207" i="21"/>
  <c r="DM214" i="21" s="1"/>
  <c r="DM215" i="21" s="1"/>
  <c r="DL183" i="21"/>
  <c r="DM274" i="21"/>
  <c r="DL222" i="21"/>
  <c r="DM246" i="21"/>
  <c r="DM253" i="21" s="1"/>
  <c r="DM254" i="21" s="1"/>
  <c r="CM127" i="5"/>
  <c r="CC128" i="12"/>
  <c r="CC128" i="5"/>
  <c r="CD128" i="12" s="1"/>
  <c r="BW125" i="5"/>
  <c r="DO262" i="21"/>
  <c r="DN276" i="21"/>
  <c r="DN277" i="21" s="1"/>
  <c r="CB127" i="5"/>
  <c r="BS126" i="5"/>
  <c r="BD224" i="21"/>
  <c r="DO265" i="21" l="1"/>
  <c r="DO272" i="21" s="1"/>
  <c r="DO275" i="21" s="1"/>
  <c r="DK222" i="21"/>
  <c r="DL246" i="21"/>
  <c r="DL253" i="21" s="1"/>
  <c r="DL254" i="21" s="1"/>
  <c r="DM276" i="21"/>
  <c r="DM277" i="21" s="1"/>
  <c r="DN262" i="21"/>
  <c r="DL207" i="21"/>
  <c r="DL214" i="21" s="1"/>
  <c r="DL215" i="21" s="1"/>
  <c r="DK183" i="21"/>
  <c r="DL278" i="21"/>
  <c r="DL274" i="21"/>
  <c r="BV124" i="5"/>
  <c r="CA124" i="5"/>
  <c r="BW124" i="5"/>
  <c r="CB126" i="5"/>
  <c r="BS125" i="5"/>
  <c r="CM126" i="5"/>
  <c r="CC127" i="12"/>
  <c r="CC127" i="5"/>
  <c r="CD127" i="12" s="1"/>
  <c r="BU124" i="5"/>
  <c r="BC224" i="21"/>
  <c r="DN265" i="21" l="1"/>
  <c r="DN272" i="21" s="1"/>
  <c r="DN275" i="21" s="1"/>
  <c r="DK207" i="21"/>
  <c r="DK214" i="21" s="1"/>
  <c r="DK215" i="21" s="1"/>
  <c r="DJ183" i="21"/>
  <c r="CB125" i="5"/>
  <c r="BS124" i="5"/>
  <c r="BV123" i="5"/>
  <c r="BU123" i="5"/>
  <c r="DM262" i="21"/>
  <c r="DM265" i="21" s="1"/>
  <c r="DL276" i="21"/>
  <c r="DL277" i="21" s="1"/>
  <c r="DK274" i="21"/>
  <c r="CM125" i="5"/>
  <c r="CC126" i="5"/>
  <c r="CD126" i="12" s="1"/>
  <c r="CC126" i="12"/>
  <c r="DK278" i="21"/>
  <c r="CA123" i="5"/>
  <c r="BW123" i="5"/>
  <c r="DJ222" i="21"/>
  <c r="DK246" i="21"/>
  <c r="DK253" i="21" s="1"/>
  <c r="DK254" i="21" s="1"/>
  <c r="BB224" i="21"/>
  <c r="CA122" i="5" l="1"/>
  <c r="DJ278" i="21"/>
  <c r="DI222" i="21"/>
  <c r="DJ246" i="21"/>
  <c r="DJ253" i="21" s="1"/>
  <c r="DJ254" i="21" s="1"/>
  <c r="DM272" i="21"/>
  <c r="DM275" i="21" s="1"/>
  <c r="CM124" i="5"/>
  <c r="CC125" i="5"/>
  <c r="CD125" i="12" s="1"/>
  <c r="CC125" i="12"/>
  <c r="BV122" i="5"/>
  <c r="DK276" i="21"/>
  <c r="DK277" i="21" s="1"/>
  <c r="DL262" i="21"/>
  <c r="DI183" i="21"/>
  <c r="DJ207" i="21"/>
  <c r="DJ214" i="21" s="1"/>
  <c r="DJ215" i="21" s="1"/>
  <c r="BS123" i="5"/>
  <c r="CB124" i="5"/>
  <c r="BW122" i="5"/>
  <c r="BU122" i="5"/>
  <c r="DJ274" i="21"/>
  <c r="BA224" i="21"/>
  <c r="DL265" i="21" l="1"/>
  <c r="DL272" i="21" s="1"/>
  <c r="DL275" i="21" s="1"/>
  <c r="DI278" i="21"/>
  <c r="DI274" i="21"/>
  <c r="DH183" i="21"/>
  <c r="DI207" i="21"/>
  <c r="DI214" i="21" s="1"/>
  <c r="DI215" i="21" s="1"/>
  <c r="DJ276" i="21"/>
  <c r="DJ277" i="21" s="1"/>
  <c r="DK262" i="21"/>
  <c r="DH222" i="21"/>
  <c r="DI246" i="21"/>
  <c r="DI253" i="21" s="1"/>
  <c r="DI254" i="21" s="1"/>
  <c r="BU121" i="5"/>
  <c r="CA121" i="5"/>
  <c r="CM123" i="5"/>
  <c r="CC124" i="5"/>
  <c r="CD124" i="12" s="1"/>
  <c r="CC124" i="12"/>
  <c r="BS122" i="5"/>
  <c r="CB123" i="5"/>
  <c r="BV121" i="5"/>
  <c r="BW121" i="5"/>
  <c r="AZ224" i="21"/>
  <c r="DK265" i="21" l="1"/>
  <c r="DK272" i="21" s="1"/>
  <c r="DK275" i="21" s="1"/>
  <c r="CM122" i="5"/>
  <c r="CC123" i="12"/>
  <c r="CC123" i="5"/>
  <c r="CD123" i="12" s="1"/>
  <c r="BU120" i="5"/>
  <c r="CB122" i="5"/>
  <c r="BS121" i="5"/>
  <c r="BW120" i="5"/>
  <c r="DI276" i="21"/>
  <c r="DI277" i="21" s="1"/>
  <c r="DJ262" i="21"/>
  <c r="DJ265" i="21" s="1"/>
  <c r="DH274" i="21"/>
  <c r="DH278" i="21"/>
  <c r="DG222" i="21"/>
  <c r="DH246" i="21"/>
  <c r="DH253" i="21" s="1"/>
  <c r="DH254" i="21" s="1"/>
  <c r="CA120" i="5"/>
  <c r="DH207" i="21"/>
  <c r="DH214" i="21" s="1"/>
  <c r="DH215" i="21" s="1"/>
  <c r="DG183" i="21"/>
  <c r="BV120" i="5"/>
  <c r="AY224" i="21"/>
  <c r="DG274" i="21" l="1"/>
  <c r="CM121" i="5"/>
  <c r="CC122" i="5"/>
  <c r="CD122" i="12" s="1"/>
  <c r="CC122" i="12"/>
  <c r="CB121" i="5"/>
  <c r="BS120" i="5"/>
  <c r="DG278" i="21"/>
  <c r="DI262" i="21"/>
  <c r="DH276" i="21"/>
  <c r="DH277" i="21" s="1"/>
  <c r="CA119" i="5"/>
  <c r="BV119" i="5"/>
  <c r="DF222" i="21"/>
  <c r="DG246" i="21"/>
  <c r="DG253" i="21" s="1"/>
  <c r="DG254" i="21" s="1"/>
  <c r="BU119" i="5"/>
  <c r="DJ272" i="21"/>
  <c r="DJ275" i="21" s="1"/>
  <c r="DF183" i="21"/>
  <c r="DG207" i="21"/>
  <c r="DG214" i="21" s="1"/>
  <c r="DG215" i="21" s="1"/>
  <c r="BW119" i="5"/>
  <c r="AX224" i="21"/>
  <c r="DI265" i="21" l="1"/>
  <c r="DI272" i="21" s="1"/>
  <c r="DI275" i="21" s="1"/>
  <c r="BU118" i="5"/>
  <c r="DF274" i="21"/>
  <c r="BV118" i="5"/>
  <c r="CM120" i="5"/>
  <c r="CC121" i="5"/>
  <c r="CD121" i="12" s="1"/>
  <c r="CC121" i="12"/>
  <c r="DE222" i="21"/>
  <c r="DF246" i="21"/>
  <c r="DF253" i="21" s="1"/>
  <c r="DF254" i="21" s="1"/>
  <c r="DE183" i="21"/>
  <c r="DF207" i="21"/>
  <c r="DF214" i="21" s="1"/>
  <c r="DF215" i="21" s="1"/>
  <c r="BS119" i="5"/>
  <c r="CB120" i="5"/>
  <c r="BW118" i="5"/>
  <c r="DF278" i="21"/>
  <c r="CA118" i="5"/>
  <c r="DG276" i="21"/>
  <c r="DG277" i="21" s="1"/>
  <c r="DH262" i="21"/>
  <c r="AW224" i="21"/>
  <c r="DH265" i="21" l="1"/>
  <c r="DH272" i="21" s="1"/>
  <c r="DH275" i="21" s="1"/>
  <c r="DE274" i="21"/>
  <c r="DE278" i="21"/>
  <c r="BW117" i="5"/>
  <c r="CM119" i="5"/>
  <c r="CC120" i="12"/>
  <c r="CC120" i="5"/>
  <c r="CD120" i="12" s="1"/>
  <c r="DD222" i="21"/>
  <c r="DE246" i="21"/>
  <c r="DE253" i="21" s="1"/>
  <c r="DE254" i="21" s="1"/>
  <c r="BS118" i="5"/>
  <c r="CB119" i="5"/>
  <c r="BV117" i="5"/>
  <c r="DE207" i="21"/>
  <c r="DE214" i="21" s="1"/>
  <c r="DE215" i="21" s="1"/>
  <c r="DD183" i="21"/>
  <c r="DG262" i="21"/>
  <c r="DF276" i="21"/>
  <c r="DF277" i="21" s="1"/>
  <c r="CA117" i="5"/>
  <c r="BU117" i="5"/>
  <c r="AV224" i="21"/>
  <c r="DG265" i="21" l="1"/>
  <c r="DG272" i="21" s="1"/>
  <c r="DG275" i="21" s="1"/>
  <c r="BU116" i="5"/>
  <c r="DE276" i="21"/>
  <c r="DE277" i="21" s="1"/>
  <c r="DF262" i="21"/>
  <c r="CM118" i="5"/>
  <c r="CC119" i="12"/>
  <c r="CC119" i="5"/>
  <c r="CD119" i="12" s="1"/>
  <c r="BS117" i="5"/>
  <c r="CB118" i="5"/>
  <c r="BW116" i="5"/>
  <c r="DD278" i="21"/>
  <c r="DC183" i="21"/>
  <c r="DD207" i="21"/>
  <c r="DD214" i="21" s="1"/>
  <c r="DD215" i="21" s="1"/>
  <c r="DC222" i="21"/>
  <c r="DD246" i="21"/>
  <c r="DD253" i="21" s="1"/>
  <c r="DD254" i="21" s="1"/>
  <c r="CA116" i="5"/>
  <c r="BV116" i="5"/>
  <c r="DD274" i="21"/>
  <c r="AU224" i="21"/>
  <c r="DF265" i="21" l="1"/>
  <c r="DF272" i="21" s="1"/>
  <c r="DF275" i="21" s="1"/>
  <c r="DB183" i="21"/>
  <c r="DC207" i="21"/>
  <c r="DC214" i="21" s="1"/>
  <c r="DC215" i="21" s="1"/>
  <c r="DD276" i="21"/>
  <c r="DD277" i="21" s="1"/>
  <c r="DE262" i="21"/>
  <c r="DC278" i="21"/>
  <c r="CM117" i="5"/>
  <c r="CC118" i="12"/>
  <c r="CC118" i="5"/>
  <c r="CD118" i="12" s="1"/>
  <c r="BV115" i="5"/>
  <c r="BW115" i="5"/>
  <c r="DB222" i="21"/>
  <c r="DC246" i="21"/>
  <c r="DC253" i="21" s="1"/>
  <c r="DC254" i="21" s="1"/>
  <c r="CA115" i="5"/>
  <c r="DC274" i="21"/>
  <c r="CB117" i="5"/>
  <c r="BS116" i="5"/>
  <c r="BU115" i="5"/>
  <c r="AT224" i="21"/>
  <c r="DE265" i="21" l="1"/>
  <c r="DE272" i="21" s="1"/>
  <c r="DE275" i="21" s="1"/>
  <c r="DA222" i="21"/>
  <c r="DB246" i="21"/>
  <c r="DB253" i="21" s="1"/>
  <c r="DB254" i="21" s="1"/>
  <c r="BW114" i="5"/>
  <c r="BU114" i="5"/>
  <c r="DD262" i="21"/>
  <c r="DC276" i="21"/>
  <c r="DC277" i="21" s="1"/>
  <c r="DB274" i="21"/>
  <c r="BV114" i="5"/>
  <c r="BS115" i="5"/>
  <c r="CB116" i="5"/>
  <c r="CA114" i="5"/>
  <c r="DA183" i="21"/>
  <c r="DB207" i="21"/>
  <c r="DB214" i="21" s="1"/>
  <c r="DB215" i="21" s="1"/>
  <c r="CM116" i="5"/>
  <c r="CC117" i="12"/>
  <c r="CC117" i="5"/>
  <c r="CD117" i="12" s="1"/>
  <c r="DB278" i="21"/>
  <c r="AS224" i="21"/>
  <c r="DD265" i="21" l="1"/>
  <c r="DD272" i="21" s="1"/>
  <c r="DD275" i="21" s="1"/>
  <c r="BU113" i="5"/>
  <c r="BW113" i="5"/>
  <c r="BV113" i="5"/>
  <c r="DA274" i="21"/>
  <c r="CZ183" i="21"/>
  <c r="DA207" i="21"/>
  <c r="DA214" i="21" s="1"/>
  <c r="DA215" i="21" s="1"/>
  <c r="CA113" i="5"/>
  <c r="DB276" i="21"/>
  <c r="DB277" i="21" s="1"/>
  <c r="DC262" i="21"/>
  <c r="DA278" i="21"/>
  <c r="BS114" i="5"/>
  <c r="CB115" i="5"/>
  <c r="CM115" i="5"/>
  <c r="CC116" i="12"/>
  <c r="CC116" i="5"/>
  <c r="CD116" i="12" s="1"/>
  <c r="CZ222" i="21"/>
  <c r="DA246" i="21"/>
  <c r="DA253" i="21" s="1"/>
  <c r="DA254" i="21" s="1"/>
  <c r="AR224" i="21"/>
  <c r="DC265" i="21" l="1"/>
  <c r="DC272" i="21" s="1"/>
  <c r="DC275" i="21" s="1"/>
  <c r="CZ278" i="21"/>
  <c r="BW112" i="5"/>
  <c r="BV112" i="5"/>
  <c r="CB114" i="5"/>
  <c r="BS113" i="5"/>
  <c r="CZ274" i="21"/>
  <c r="CA112" i="5"/>
  <c r="CY183" i="21"/>
  <c r="CZ207" i="21"/>
  <c r="CZ214" i="21" s="1"/>
  <c r="CZ215" i="21" s="1"/>
  <c r="BU112" i="5"/>
  <c r="CM114" i="5"/>
  <c r="CC115" i="5"/>
  <c r="CD115" i="12" s="1"/>
  <c r="CC115" i="12"/>
  <c r="CY222" i="21"/>
  <c r="CZ246" i="21"/>
  <c r="CZ253" i="21" s="1"/>
  <c r="CZ254" i="21" s="1"/>
  <c r="DB262" i="21"/>
  <c r="DB265" i="21" s="1"/>
  <c r="DA276" i="21"/>
  <c r="DA277" i="21" s="1"/>
  <c r="AQ224" i="21"/>
  <c r="CA111" i="5" l="1"/>
  <c r="BW111" i="5"/>
  <c r="CZ276" i="21"/>
  <c r="CZ277" i="21" s="1"/>
  <c r="DA262" i="21"/>
  <c r="BU111" i="5"/>
  <c r="CY278" i="21"/>
  <c r="CX222" i="21"/>
  <c r="CY246" i="21"/>
  <c r="CY253" i="21" s="1"/>
  <c r="CY254" i="21" s="1"/>
  <c r="DB272" i="21"/>
  <c r="DB275" i="21" s="1"/>
  <c r="CB113" i="5"/>
  <c r="BS112" i="5"/>
  <c r="CY207" i="21"/>
  <c r="CY214" i="21" s="1"/>
  <c r="CY215" i="21" s="1"/>
  <c r="CX183" i="21"/>
  <c r="BV111" i="5"/>
  <c r="CY274" i="21"/>
  <c r="CM113" i="5"/>
  <c r="CC114" i="12"/>
  <c r="CC114" i="5"/>
  <c r="CD114" i="12" s="1"/>
  <c r="AP224" i="21"/>
  <c r="DA265" i="21" l="1"/>
  <c r="DA272" i="21" s="1"/>
  <c r="DA275" i="21" s="1"/>
  <c r="CX278" i="21"/>
  <c r="CX274" i="21"/>
  <c r="BW110" i="5"/>
  <c r="CX207" i="21"/>
  <c r="CX214" i="21" s="1"/>
  <c r="CX215" i="21" s="1"/>
  <c r="CW183" i="21"/>
  <c r="CY276" i="21"/>
  <c r="CY277" i="21" s="1"/>
  <c r="CZ262" i="21"/>
  <c r="CZ265" i="21" s="1"/>
  <c r="BS111" i="5"/>
  <c r="CB112" i="5"/>
  <c r="BV110" i="5"/>
  <c r="CW222" i="21"/>
  <c r="CX246" i="21"/>
  <c r="CX253" i="21" s="1"/>
  <c r="CX254" i="21" s="1"/>
  <c r="CM112" i="5"/>
  <c r="CC113" i="12"/>
  <c r="CC113" i="5"/>
  <c r="CD113" i="12" s="1"/>
  <c r="BU110" i="5"/>
  <c r="CA110" i="5"/>
  <c r="AO224" i="21"/>
  <c r="CV183" i="21" l="1"/>
  <c r="CW207" i="21"/>
  <c r="CW214" i="21" s="1"/>
  <c r="CW215" i="21" s="1"/>
  <c r="CM111" i="5"/>
  <c r="CC112" i="12"/>
  <c r="CC112" i="5"/>
  <c r="CD112" i="12" s="1"/>
  <c r="CV222" i="21"/>
  <c r="CW246" i="21"/>
  <c r="CW253" i="21" s="1"/>
  <c r="CW254" i="21" s="1"/>
  <c r="CA109" i="5"/>
  <c r="BV109" i="5"/>
  <c r="CZ272" i="21"/>
  <c r="CZ275" i="21" s="1"/>
  <c r="CY262" i="21"/>
  <c r="CY265" i="21" s="1"/>
  <c r="CX276" i="21"/>
  <c r="CX277" i="21" s="1"/>
  <c r="CW274" i="21"/>
  <c r="CW278" i="21"/>
  <c r="CB111" i="5"/>
  <c r="BS110" i="5"/>
  <c r="BW109" i="5"/>
  <c r="BU109" i="5"/>
  <c r="AN224" i="21"/>
  <c r="CY272" i="21" l="1"/>
  <c r="CY275" i="21" s="1"/>
  <c r="CV274" i="21"/>
  <c r="CW276" i="21"/>
  <c r="CW277" i="21" s="1"/>
  <c r="CX262" i="21"/>
  <c r="CX265" i="21" s="1"/>
  <c r="CA108" i="5"/>
  <c r="CV207" i="21"/>
  <c r="CV214" i="21" s="1"/>
  <c r="CV215" i="21" s="1"/>
  <c r="CU183" i="21"/>
  <c r="BW108" i="5"/>
  <c r="CU222" i="21"/>
  <c r="CV246" i="21"/>
  <c r="CV253" i="21" s="1"/>
  <c r="CV254" i="21" s="1"/>
  <c r="CM110" i="5"/>
  <c r="CC111" i="12"/>
  <c r="CC111" i="5"/>
  <c r="CD111" i="12" s="1"/>
  <c r="BV108" i="5"/>
  <c r="BU108" i="5"/>
  <c r="BS109" i="5"/>
  <c r="CB110" i="5"/>
  <c r="CV278" i="21"/>
  <c r="AM224" i="21"/>
  <c r="BU107" i="5" l="1"/>
  <c r="BV107" i="5"/>
  <c r="CX272" i="21"/>
  <c r="CX275" i="21" s="1"/>
  <c r="CM109" i="5"/>
  <c r="CC110" i="12"/>
  <c r="CC110" i="5"/>
  <c r="CD110" i="12" s="1"/>
  <c r="CU274" i="21"/>
  <c r="CW262" i="21"/>
  <c r="CV276" i="21"/>
  <c r="CV277" i="21" s="1"/>
  <c r="BW107" i="5"/>
  <c r="CU278" i="21"/>
  <c r="CA107" i="5"/>
  <c r="CT183" i="21"/>
  <c r="CU207" i="21"/>
  <c r="CU214" i="21" s="1"/>
  <c r="CU215" i="21" s="1"/>
  <c r="BS108" i="5"/>
  <c r="CB109" i="5"/>
  <c r="CT222" i="21"/>
  <c r="CU246" i="21"/>
  <c r="CU253" i="21" s="1"/>
  <c r="CU254" i="21" s="1"/>
  <c r="AL224" i="21"/>
  <c r="CW265" i="21" l="1"/>
  <c r="CW272" i="21" s="1"/>
  <c r="CW275" i="21" s="1"/>
  <c r="CS183" i="21"/>
  <c r="CT207" i="21"/>
  <c r="CT214" i="21" s="1"/>
  <c r="CT215" i="21" s="1"/>
  <c r="CS222" i="21"/>
  <c r="CT246" i="21"/>
  <c r="CT253" i="21" s="1"/>
  <c r="CT254" i="21" s="1"/>
  <c r="CM108" i="5"/>
  <c r="CC109" i="12"/>
  <c r="CC109" i="5"/>
  <c r="CD109" i="12" s="1"/>
  <c r="BV106" i="5"/>
  <c r="CT278" i="21"/>
  <c r="BS107" i="5"/>
  <c r="CB108" i="5"/>
  <c r="BW106" i="5"/>
  <c r="CU276" i="21"/>
  <c r="CU277" i="21" s="1"/>
  <c r="CV262" i="21"/>
  <c r="CV265" i="21" s="1"/>
  <c r="CA106" i="5"/>
  <c r="CT274" i="21"/>
  <c r="BU106" i="5"/>
  <c r="AK224" i="21"/>
  <c r="CA105" i="5" l="1"/>
  <c r="CM107" i="5"/>
  <c r="CC108" i="5"/>
  <c r="CD108" i="12" s="1"/>
  <c r="CC108" i="12"/>
  <c r="CS278" i="21"/>
  <c r="CB107" i="5"/>
  <c r="BS106" i="5"/>
  <c r="CV272" i="21"/>
  <c r="CV275" i="21" s="1"/>
  <c r="BU105" i="5"/>
  <c r="CR222" i="21"/>
  <c r="CS246" i="21"/>
  <c r="CS253" i="21" s="1"/>
  <c r="CS254" i="21" s="1"/>
  <c r="CS274" i="21"/>
  <c r="CU262" i="21"/>
  <c r="CT276" i="21"/>
  <c r="CT277" i="21" s="1"/>
  <c r="BW105" i="5"/>
  <c r="BV105" i="5"/>
  <c r="CS207" i="21"/>
  <c r="CS214" i="21" s="1"/>
  <c r="CS215" i="21" s="1"/>
  <c r="CR183" i="21"/>
  <c r="AJ224" i="21"/>
  <c r="CU265" i="21" l="1"/>
  <c r="CU272" i="21" s="1"/>
  <c r="CU275" i="21" s="1"/>
  <c r="CQ222" i="21"/>
  <c r="CR246" i="21"/>
  <c r="CR253" i="21" s="1"/>
  <c r="CR254" i="21" s="1"/>
  <c r="CM106" i="5"/>
  <c r="CC107" i="12"/>
  <c r="CC107" i="5"/>
  <c r="CD107" i="12" s="1"/>
  <c r="BV104" i="5"/>
  <c r="CR207" i="21"/>
  <c r="CR214" i="21" s="1"/>
  <c r="CR215" i="21" s="1"/>
  <c r="CQ183" i="21"/>
  <c r="CS276" i="21"/>
  <c r="CS277" i="21" s="1"/>
  <c r="CT262" i="21"/>
  <c r="BS105" i="5"/>
  <c r="CB106" i="5"/>
  <c r="CA104" i="5"/>
  <c r="BU104" i="5"/>
  <c r="CR274" i="21"/>
  <c r="BW104" i="5"/>
  <c r="CR278" i="21"/>
  <c r="AI224" i="21"/>
  <c r="CT265" i="21" l="1"/>
  <c r="CT272" i="21" s="1"/>
  <c r="CT275" i="21" s="1"/>
  <c r="BU103" i="5"/>
  <c r="BV103" i="5"/>
  <c r="CA103" i="5"/>
  <c r="CQ274" i="21"/>
  <c r="CM105" i="5"/>
  <c r="CC106" i="12"/>
  <c r="CC106" i="5"/>
  <c r="CD106" i="12" s="1"/>
  <c r="CQ278" i="21"/>
  <c r="CR276" i="21"/>
  <c r="CR277" i="21" s="1"/>
  <c r="CS262" i="21"/>
  <c r="BW103" i="5"/>
  <c r="BS104" i="5"/>
  <c r="CB105" i="5"/>
  <c r="CQ207" i="21"/>
  <c r="CQ214" i="21" s="1"/>
  <c r="CQ215" i="21" s="1"/>
  <c r="CP183" i="21"/>
  <c r="CP222" i="21"/>
  <c r="CQ246" i="21"/>
  <c r="CQ253" i="21" s="1"/>
  <c r="CQ254" i="21" s="1"/>
  <c r="AH224" i="21"/>
  <c r="CS265" i="21" l="1"/>
  <c r="CS272" i="21" s="1"/>
  <c r="CS275" i="21" s="1"/>
  <c r="CB104" i="5"/>
  <c r="BS103" i="5"/>
  <c r="CO222" i="21"/>
  <c r="CP246" i="21"/>
  <c r="CP253" i="21" s="1"/>
  <c r="CP254" i="21" s="1"/>
  <c r="CQ276" i="21"/>
  <c r="CQ277" i="21" s="1"/>
  <c r="CR262" i="21"/>
  <c r="CR265" i="21" s="1"/>
  <c r="CP278" i="21"/>
  <c r="CO183" i="21"/>
  <c r="CP207" i="21"/>
  <c r="CP214" i="21" s="1"/>
  <c r="CP215" i="21" s="1"/>
  <c r="BU102" i="5"/>
  <c r="CM104" i="5"/>
  <c r="CC105" i="5"/>
  <c r="CD105" i="12" s="1"/>
  <c r="CC105" i="12"/>
  <c r="BV102" i="5"/>
  <c r="BW102" i="5"/>
  <c r="CP274" i="21"/>
  <c r="CA102" i="5"/>
  <c r="AG224" i="21"/>
  <c r="CO274" i="21" l="1"/>
  <c r="CN222" i="21"/>
  <c r="CO246" i="21"/>
  <c r="CO253" i="21" s="1"/>
  <c r="CO254" i="21" s="1"/>
  <c r="CA101" i="5"/>
  <c r="CN183" i="21"/>
  <c r="CO207" i="21"/>
  <c r="CO214" i="21" s="1"/>
  <c r="CO215" i="21" s="1"/>
  <c r="CB103" i="5"/>
  <c r="BS102" i="5"/>
  <c r="CM103" i="5"/>
  <c r="CC104" i="5"/>
  <c r="CD104" i="12" s="1"/>
  <c r="CC104" i="12"/>
  <c r="CO278" i="21"/>
  <c r="CR272" i="21"/>
  <c r="CR275" i="21" s="1"/>
  <c r="BW101" i="5"/>
  <c r="BV101" i="5"/>
  <c r="CP276" i="21"/>
  <c r="CP277" i="21" s="1"/>
  <c r="CQ262" i="21"/>
  <c r="BU101" i="5"/>
  <c r="AF224" i="21"/>
  <c r="CQ265" i="21" l="1"/>
  <c r="CQ272" i="21" s="1"/>
  <c r="CQ275" i="21" s="1"/>
  <c r="CM183" i="21"/>
  <c r="CN207" i="21"/>
  <c r="CN214" i="21" s="1"/>
  <c r="CN215" i="21" s="1"/>
  <c r="CA100" i="5"/>
  <c r="CN278" i="21"/>
  <c r="CN274" i="21"/>
  <c r="BU100" i="5"/>
  <c r="CM222" i="21"/>
  <c r="CN246" i="21"/>
  <c r="CN253" i="21" s="1"/>
  <c r="CN254" i="21" s="1"/>
  <c r="BV100" i="5"/>
  <c r="BW100" i="5"/>
  <c r="BS101" i="5"/>
  <c r="CB102" i="5"/>
  <c r="CM102" i="5"/>
  <c r="CC103" i="12"/>
  <c r="CC103" i="5"/>
  <c r="CD103" i="12" s="1"/>
  <c r="CP262" i="21"/>
  <c r="CO276" i="21"/>
  <c r="CO277" i="21" s="1"/>
  <c r="AE224" i="21"/>
  <c r="CP265" i="21" l="1"/>
  <c r="CP272" i="21" s="1"/>
  <c r="CP275" i="21" s="1"/>
  <c r="CN276" i="21"/>
  <c r="CN277" i="21" s="1"/>
  <c r="CO262" i="21"/>
  <c r="CO265" i="21" s="1"/>
  <c r="CM278" i="21"/>
  <c r="CB101" i="5"/>
  <c r="BS100" i="5"/>
  <c r="CL222" i="21"/>
  <c r="CM246" i="21"/>
  <c r="CM253" i="21" s="1"/>
  <c r="CM254" i="21" s="1"/>
  <c r="CA99" i="5"/>
  <c r="BW99" i="5"/>
  <c r="CM274" i="21"/>
  <c r="BV99" i="5"/>
  <c r="CM101" i="5"/>
  <c r="CC102" i="12"/>
  <c r="CC102" i="5"/>
  <c r="CD102" i="12" s="1"/>
  <c r="BU99" i="5"/>
  <c r="CL183" i="21"/>
  <c r="CM207" i="21"/>
  <c r="CM214" i="21" s="1"/>
  <c r="CM215" i="21" s="1"/>
  <c r="AD224" i="21"/>
  <c r="CN262" i="21" l="1"/>
  <c r="CM276" i="21"/>
  <c r="CM277" i="21" s="1"/>
  <c r="BW98" i="5"/>
  <c r="CL274" i="21"/>
  <c r="CL207" i="21"/>
  <c r="CL214" i="21" s="1"/>
  <c r="CL215" i="21" s="1"/>
  <c r="CK183" i="21"/>
  <c r="CL278" i="21"/>
  <c r="BV98" i="5"/>
  <c r="BU98" i="5"/>
  <c r="CK222" i="21"/>
  <c r="CL246" i="21"/>
  <c r="CL253" i="21" s="1"/>
  <c r="CL254" i="21" s="1"/>
  <c r="CO272" i="21"/>
  <c r="CO275" i="21" s="1"/>
  <c r="CM100" i="5"/>
  <c r="CC101" i="12"/>
  <c r="CC101" i="5"/>
  <c r="CD101" i="12" s="1"/>
  <c r="CA98" i="5"/>
  <c r="CB100" i="5"/>
  <c r="BS99" i="5"/>
  <c r="AC224" i="21"/>
  <c r="CN265" i="21" l="1"/>
  <c r="CN272" i="21" s="1"/>
  <c r="CN275" i="21" s="1"/>
  <c r="CL276" i="21"/>
  <c r="CL277" i="21" s="1"/>
  <c r="CM262" i="21"/>
  <c r="BS98" i="5"/>
  <c r="CB99" i="5"/>
  <c r="CK274" i="21"/>
  <c r="BW97" i="5"/>
  <c r="CA97" i="5"/>
  <c r="CJ222" i="21"/>
  <c r="CK246" i="21"/>
  <c r="CK253" i="21" s="1"/>
  <c r="CK254" i="21" s="1"/>
  <c r="BV97" i="5"/>
  <c r="CK278" i="21"/>
  <c r="BU97" i="5"/>
  <c r="CM99" i="5"/>
  <c r="CC100" i="5"/>
  <c r="CD100" i="12" s="1"/>
  <c r="CC100" i="12"/>
  <c r="CK207" i="21"/>
  <c r="CK214" i="21" s="1"/>
  <c r="CK215" i="21" s="1"/>
  <c r="CJ183" i="21"/>
  <c r="AB224" i="21"/>
  <c r="CM265" i="21" l="1"/>
  <c r="CM272" i="21" s="1"/>
  <c r="CM275" i="21" s="1"/>
  <c r="CJ278" i="21"/>
  <c r="BS97" i="5"/>
  <c r="CB98" i="5"/>
  <c r="CL262" i="21"/>
  <c r="CK276" i="21"/>
  <c r="CK277" i="21" s="1"/>
  <c r="CJ274" i="21"/>
  <c r="BV96" i="5"/>
  <c r="CM98" i="5"/>
  <c r="CC99" i="5"/>
  <c r="CD99" i="12" s="1"/>
  <c r="CC99" i="12"/>
  <c r="BU96" i="5"/>
  <c r="CI222" i="21"/>
  <c r="CJ246" i="21"/>
  <c r="CJ253" i="21" s="1"/>
  <c r="CJ254" i="21" s="1"/>
  <c r="CI183" i="21"/>
  <c r="CJ207" i="21"/>
  <c r="CJ214" i="21" s="1"/>
  <c r="CJ215" i="21" s="1"/>
  <c r="CA96" i="5"/>
  <c r="BW96" i="5"/>
  <c r="AA224" i="21"/>
  <c r="CL265" i="21" l="1"/>
  <c r="CL272" i="21" s="1"/>
  <c r="CL275" i="21" s="1"/>
  <c r="CA95" i="5"/>
  <c r="CI274" i="21"/>
  <c r="CI207" i="21"/>
  <c r="CI214" i="21" s="1"/>
  <c r="CI215" i="21" s="1"/>
  <c r="CH183" i="21"/>
  <c r="BW95" i="5"/>
  <c r="CI278" i="21"/>
  <c r="BV95" i="5"/>
  <c r="CM97" i="5"/>
  <c r="CC98" i="5"/>
  <c r="CD98" i="12" s="1"/>
  <c r="CC98" i="12"/>
  <c r="CH222" i="21"/>
  <c r="CI246" i="21"/>
  <c r="CI253" i="21" s="1"/>
  <c r="CI254" i="21" s="1"/>
  <c r="CK262" i="21"/>
  <c r="CK265" i="21" s="1"/>
  <c r="CJ276" i="21"/>
  <c r="CJ277" i="21" s="1"/>
  <c r="BS96" i="5"/>
  <c r="CB97" i="5"/>
  <c r="BU95" i="5"/>
  <c r="Z224" i="21"/>
  <c r="CH274" i="21" l="1"/>
  <c r="CK272" i="21"/>
  <c r="CK275" i="21" s="1"/>
  <c r="CH278" i="21"/>
  <c r="CG183" i="21"/>
  <c r="CH207" i="21"/>
  <c r="CH214" i="21" s="1"/>
  <c r="CH215" i="21" s="1"/>
  <c r="BV94" i="5"/>
  <c r="CG222" i="21"/>
  <c r="CH246" i="21"/>
  <c r="CH253" i="21" s="1"/>
  <c r="CH254" i="21" s="1"/>
  <c r="BW94" i="5"/>
  <c r="BS95" i="5"/>
  <c r="CB96" i="5"/>
  <c r="CI276" i="21"/>
  <c r="CI277" i="21" s="1"/>
  <c r="CJ262" i="21"/>
  <c r="CA94" i="5"/>
  <c r="BU94" i="5"/>
  <c r="CM96" i="5"/>
  <c r="CC97" i="5"/>
  <c r="CD97" i="12" s="1"/>
  <c r="CC97" i="12"/>
  <c r="Y224" i="21"/>
  <c r="CJ265" i="21" l="1"/>
  <c r="CJ272" i="21" s="1"/>
  <c r="CJ275" i="21" s="1"/>
  <c r="CG274" i="21"/>
  <c r="CG278" i="21"/>
  <c r="BS94" i="5"/>
  <c r="CB95" i="5"/>
  <c r="CA93" i="5"/>
  <c r="CF222" i="21"/>
  <c r="CG246" i="21"/>
  <c r="CG253" i="21" s="1"/>
  <c r="CG254" i="21" s="1"/>
  <c r="BU93" i="5"/>
  <c r="CG207" i="21"/>
  <c r="CG214" i="21" s="1"/>
  <c r="CG215" i="21" s="1"/>
  <c r="CF183" i="21"/>
  <c r="BW93" i="5"/>
  <c r="BV93" i="5"/>
  <c r="CM95" i="5"/>
  <c r="CC96" i="5"/>
  <c r="CD96" i="12" s="1"/>
  <c r="CC96" i="12"/>
  <c r="CH276" i="21"/>
  <c r="CH277" i="21" s="1"/>
  <c r="CI262" i="21"/>
  <c r="X224" i="21"/>
  <c r="CI265" i="21" l="1"/>
  <c r="CI272" i="21" s="1"/>
  <c r="CI275" i="21" s="1"/>
  <c r="CF274" i="21"/>
  <c r="BU92" i="5"/>
  <c r="BV92" i="5"/>
  <c r="CF278" i="21"/>
  <c r="CE222" i="21"/>
  <c r="CF246" i="21"/>
  <c r="CF253" i="21" s="1"/>
  <c r="CF254" i="21" s="1"/>
  <c r="CG276" i="21"/>
  <c r="CG277" i="21" s="1"/>
  <c r="CH262" i="21"/>
  <c r="CE183" i="21"/>
  <c r="CF207" i="21"/>
  <c r="CF214" i="21" s="1"/>
  <c r="CF215" i="21" s="1"/>
  <c r="CM94" i="5"/>
  <c r="CC95" i="5"/>
  <c r="CD95" i="12" s="1"/>
  <c r="CC95" i="12"/>
  <c r="CB94" i="5"/>
  <c r="BS93" i="5"/>
  <c r="BW92" i="5"/>
  <c r="CA92" i="5"/>
  <c r="W224" i="21"/>
  <c r="CH265" i="21" l="1"/>
  <c r="CH272" i="21" s="1"/>
  <c r="CH275" i="21" s="1"/>
  <c r="CD222" i="21"/>
  <c r="CE246" i="21"/>
  <c r="CE253" i="21" s="1"/>
  <c r="CE254" i="21" s="1"/>
  <c r="CM93" i="5"/>
  <c r="CC94" i="12"/>
  <c r="CC94" i="5"/>
  <c r="CD94" i="12" s="1"/>
  <c r="BV91" i="5"/>
  <c r="CE274" i="21"/>
  <c r="CG262" i="21"/>
  <c r="CF276" i="21"/>
  <c r="CF277" i="21" s="1"/>
  <c r="BS92" i="5"/>
  <c r="CB93" i="5"/>
  <c r="CE278" i="21"/>
  <c r="CA91" i="5"/>
  <c r="BU91" i="5"/>
  <c r="BW91" i="5"/>
  <c r="CD183" i="21"/>
  <c r="CE207" i="21"/>
  <c r="CE214" i="21" s="1"/>
  <c r="CE215" i="21" s="1"/>
  <c r="V224" i="21"/>
  <c r="CG265" i="21" l="1"/>
  <c r="CG272" i="21" s="1"/>
  <c r="CG275" i="21" s="1"/>
  <c r="BU90" i="5"/>
  <c r="BV90" i="5"/>
  <c r="BS91" i="5"/>
  <c r="CB92" i="5"/>
  <c r="CA90" i="5"/>
  <c r="CD274" i="21"/>
  <c r="CD278" i="21"/>
  <c r="CC183" i="21"/>
  <c r="CD207" i="21"/>
  <c r="CD214" i="21" s="1"/>
  <c r="CD215" i="21" s="1"/>
  <c r="CF262" i="21"/>
  <c r="CE276" i="21"/>
  <c r="CE277" i="21" s="1"/>
  <c r="BW90" i="5"/>
  <c r="CM92" i="5"/>
  <c r="CC93" i="5"/>
  <c r="CD93" i="12" s="1"/>
  <c r="CC93" i="12"/>
  <c r="CC222" i="21"/>
  <c r="CD246" i="21"/>
  <c r="CD253" i="21" s="1"/>
  <c r="CD254" i="21" s="1"/>
  <c r="U224" i="21"/>
  <c r="CF265" i="21" l="1"/>
  <c r="CF272" i="21" s="1"/>
  <c r="CF275" i="21" s="1"/>
  <c r="BW89" i="5"/>
  <c r="CC278" i="21"/>
  <c r="CE262" i="21"/>
  <c r="CD276" i="21"/>
  <c r="CD277" i="21" s="1"/>
  <c r="CB222" i="21"/>
  <c r="CC246" i="21"/>
  <c r="CC253" i="21" s="1"/>
  <c r="CC254" i="21" s="1"/>
  <c r="BU89" i="5"/>
  <c r="CC274" i="21"/>
  <c r="CA89" i="5"/>
  <c r="CB91" i="5"/>
  <c r="BS90" i="5"/>
  <c r="BV89" i="5"/>
  <c r="CB183" i="21"/>
  <c r="CC207" i="21"/>
  <c r="CC214" i="21" s="1"/>
  <c r="CC215" i="21" s="1"/>
  <c r="CM91" i="5"/>
  <c r="CC92" i="12"/>
  <c r="CC92" i="5"/>
  <c r="CD92" i="12" s="1"/>
  <c r="T224" i="21"/>
  <c r="CE265" i="21" l="1"/>
  <c r="CE272" i="21" s="1"/>
  <c r="CE275" i="21" s="1"/>
  <c r="CA88" i="5"/>
  <c r="CB90" i="5"/>
  <c r="BS89" i="5"/>
  <c r="CA183" i="21"/>
  <c r="CB207" i="21"/>
  <c r="CB214" i="21" s="1"/>
  <c r="CB215" i="21" s="1"/>
  <c r="CD262" i="21"/>
  <c r="CC276" i="21"/>
  <c r="CC277" i="21" s="1"/>
  <c r="BU88" i="5"/>
  <c r="CB278" i="21"/>
  <c r="BV88" i="5"/>
  <c r="CM90" i="5"/>
  <c r="CC91" i="5"/>
  <c r="CD91" i="12" s="1"/>
  <c r="CC91" i="12"/>
  <c r="BW88" i="5"/>
  <c r="CB274" i="21"/>
  <c r="CA222" i="21"/>
  <c r="CB246" i="21"/>
  <c r="CB253" i="21" s="1"/>
  <c r="CB254" i="21" s="1"/>
  <c r="S224" i="21"/>
  <c r="CD265" i="21" l="1"/>
  <c r="CD272" i="21" s="1"/>
  <c r="CD275" i="21" s="1"/>
  <c r="BV87" i="5"/>
  <c r="CA207" i="21"/>
  <c r="CA214" i="21" s="1"/>
  <c r="CA215" i="21" s="1"/>
  <c r="BZ183" i="21"/>
  <c r="CA278" i="21"/>
  <c r="BU87" i="5"/>
  <c r="CM89" i="5"/>
  <c r="CC90" i="12"/>
  <c r="CC90" i="5"/>
  <c r="CD90" i="12" s="1"/>
  <c r="CA274" i="21"/>
  <c r="BW87" i="5"/>
  <c r="CA87" i="5"/>
  <c r="CC262" i="21"/>
  <c r="CC265" i="21" s="1"/>
  <c r="CB276" i="21"/>
  <c r="CB277" i="21" s="1"/>
  <c r="CB89" i="5"/>
  <c r="BS88" i="5"/>
  <c r="BZ222" i="21"/>
  <c r="CA246" i="21"/>
  <c r="CA253" i="21" s="1"/>
  <c r="CA254" i="21" s="1"/>
  <c r="R224" i="21"/>
  <c r="CB88" i="5" l="1"/>
  <c r="BS87" i="5"/>
  <c r="BY183" i="21"/>
  <c r="BZ207" i="21"/>
  <c r="BZ214" i="21" s="1"/>
  <c r="BZ215" i="21" s="1"/>
  <c r="CM88" i="5"/>
  <c r="CC89" i="5"/>
  <c r="CD89" i="12" s="1"/>
  <c r="CC89" i="12"/>
  <c r="CB262" i="21"/>
  <c r="CA276" i="21"/>
  <c r="CA277" i="21" s="1"/>
  <c r="BZ278" i="21"/>
  <c r="CA86" i="5"/>
  <c r="BU86" i="5"/>
  <c r="BW86" i="5"/>
  <c r="CC272" i="21"/>
  <c r="CC275" i="21" s="1"/>
  <c r="BZ274" i="21"/>
  <c r="BY222" i="21"/>
  <c r="BZ246" i="21"/>
  <c r="BZ253" i="21" s="1"/>
  <c r="BZ254" i="21" s="1"/>
  <c r="BV86" i="5"/>
  <c r="Q224" i="21"/>
  <c r="CB265" i="21" l="1"/>
  <c r="CB272" i="21" s="1"/>
  <c r="CB275" i="21" s="1"/>
  <c r="CA85" i="5"/>
  <c r="BY278" i="21"/>
  <c r="BY207" i="21"/>
  <c r="BY214" i="21" s="1"/>
  <c r="BY215" i="21" s="1"/>
  <c r="BX183" i="21"/>
  <c r="BY274" i="21"/>
  <c r="BX222" i="21"/>
  <c r="BY246" i="21"/>
  <c r="BY253" i="21" s="1"/>
  <c r="BY254" i="21" s="1"/>
  <c r="BZ276" i="21"/>
  <c r="BZ277" i="21" s="1"/>
  <c r="CA262" i="21"/>
  <c r="BW85" i="5"/>
  <c r="CM87" i="5"/>
  <c r="CC88" i="5"/>
  <c r="CD88" i="12" s="1"/>
  <c r="CC88" i="12"/>
  <c r="BV85" i="5"/>
  <c r="CB87" i="5"/>
  <c r="BS86" i="5"/>
  <c r="BU85" i="5"/>
  <c r="P224" i="21"/>
  <c r="CA265" i="21" l="1"/>
  <c r="CA272" i="21" s="1"/>
  <c r="CA275" i="21" s="1"/>
  <c r="CM86" i="5"/>
  <c r="CC87" i="5"/>
  <c r="CD87" i="12" s="1"/>
  <c r="CC87" i="12"/>
  <c r="BW84" i="5"/>
  <c r="BW183" i="21"/>
  <c r="BX207" i="21"/>
  <c r="BX214" i="21" s="1"/>
  <c r="BX215" i="21" s="1"/>
  <c r="BV84" i="5"/>
  <c r="BU84" i="5"/>
  <c r="BS85" i="5"/>
  <c r="CB86" i="5"/>
  <c r="BX278" i="21"/>
  <c r="CA84" i="5"/>
  <c r="BZ262" i="21"/>
  <c r="BY276" i="21"/>
  <c r="BY277" i="21" s="1"/>
  <c r="BX274" i="21"/>
  <c r="BW222" i="21"/>
  <c r="BX246" i="21"/>
  <c r="BX253" i="21" s="1"/>
  <c r="BX254" i="21" s="1"/>
  <c r="O224" i="21"/>
  <c r="BZ265" i="21" l="1"/>
  <c r="BZ272" i="21" s="1"/>
  <c r="BZ275" i="21" s="1"/>
  <c r="BV183" i="21"/>
  <c r="BW207" i="21"/>
  <c r="BW214" i="21" s="1"/>
  <c r="BW215" i="21" s="1"/>
  <c r="BW278" i="21"/>
  <c r="BS84" i="5"/>
  <c r="CB85" i="5"/>
  <c r="BW83" i="5"/>
  <c r="CA83" i="5"/>
  <c r="BX276" i="21"/>
  <c r="BX277" i="21" s="1"/>
  <c r="BY262" i="21"/>
  <c r="BW274" i="21"/>
  <c r="CM85" i="5"/>
  <c r="CC86" i="5"/>
  <c r="CD86" i="12" s="1"/>
  <c r="CC86" i="12"/>
  <c r="BV222" i="21"/>
  <c r="BW246" i="21"/>
  <c r="BW253" i="21" s="1"/>
  <c r="BW254" i="21" s="1"/>
  <c r="BU83" i="5"/>
  <c r="BV83" i="5"/>
  <c r="N224" i="21"/>
  <c r="BY265" i="21" l="1"/>
  <c r="BY272" i="21" s="1"/>
  <c r="BY275" i="21" s="1"/>
  <c r="BV278" i="21"/>
  <c r="BW82" i="5"/>
  <c r="CM84" i="5"/>
  <c r="CC85" i="12"/>
  <c r="CC85" i="5"/>
  <c r="CD85" i="12" s="1"/>
  <c r="CA82" i="5"/>
  <c r="BX262" i="21"/>
  <c r="BW276" i="21"/>
  <c r="BW277" i="21" s="1"/>
  <c r="BU82" i="5"/>
  <c r="BV274" i="21"/>
  <c r="BU222" i="21"/>
  <c r="BV246" i="21"/>
  <c r="BV253" i="21" s="1"/>
  <c r="BV254" i="21" s="1"/>
  <c r="CB84" i="5"/>
  <c r="BS83" i="5"/>
  <c r="BV82" i="5"/>
  <c r="BU183" i="21"/>
  <c r="BV207" i="21"/>
  <c r="BV214" i="21" s="1"/>
  <c r="BV215" i="21" s="1"/>
  <c r="M224" i="21"/>
  <c r="BX265" i="21" l="1"/>
  <c r="BX272" i="21" s="1"/>
  <c r="BX275" i="21" s="1"/>
  <c r="CA81" i="5"/>
  <c r="BU274" i="21"/>
  <c r="CB83" i="5"/>
  <c r="BS82" i="5"/>
  <c r="BV81" i="5"/>
  <c r="BT183" i="21"/>
  <c r="BU207" i="21"/>
  <c r="BU214" i="21" s="1"/>
  <c r="BU215" i="21" s="1"/>
  <c r="BU278" i="21"/>
  <c r="BW262" i="21"/>
  <c r="BV276" i="21"/>
  <c r="BV277" i="21" s="1"/>
  <c r="BU81" i="5"/>
  <c r="CM83" i="5"/>
  <c r="CC84" i="5"/>
  <c r="CD84" i="12" s="1"/>
  <c r="CC84" i="12"/>
  <c r="BW81" i="5"/>
  <c r="BT222" i="21"/>
  <c r="BU246" i="21"/>
  <c r="BU253" i="21" s="1"/>
  <c r="BU254" i="21" s="1"/>
  <c r="L224" i="21"/>
  <c r="BW265" i="21" l="1"/>
  <c r="BW272" i="21" s="1"/>
  <c r="BW275" i="21" s="1"/>
  <c r="BW80" i="5"/>
  <c r="BS81" i="5"/>
  <c r="CB82" i="5"/>
  <c r="BU276" i="21"/>
  <c r="BU277" i="21" s="1"/>
  <c r="BV262" i="21"/>
  <c r="CM82" i="5"/>
  <c r="CC83" i="5"/>
  <c r="CD83" i="12" s="1"/>
  <c r="CC83" i="12"/>
  <c r="BT278" i="21"/>
  <c r="BT274" i="21"/>
  <c r="BS222" i="21"/>
  <c r="BT246" i="21"/>
  <c r="BT253" i="21" s="1"/>
  <c r="BT254" i="21" s="1"/>
  <c r="BU80" i="5"/>
  <c r="BT207" i="21"/>
  <c r="BT214" i="21" s="1"/>
  <c r="BT215" i="21" s="1"/>
  <c r="BS183" i="21"/>
  <c r="CA80" i="5"/>
  <c r="BV80" i="5"/>
  <c r="K224" i="21"/>
  <c r="BV265" i="21" l="1"/>
  <c r="BV272" i="21" s="1"/>
  <c r="BV275" i="21" s="1"/>
  <c r="BU79" i="5"/>
  <c r="CM81" i="5"/>
  <c r="CC82" i="5"/>
  <c r="CD82" i="12" s="1"/>
  <c r="CC82" i="12"/>
  <c r="BR183" i="21"/>
  <c r="BS207" i="21"/>
  <c r="BS214" i="21" s="1"/>
  <c r="BS215" i="21" s="1"/>
  <c r="BS274" i="21"/>
  <c r="BV79" i="5"/>
  <c r="BR222" i="21"/>
  <c r="BS246" i="21"/>
  <c r="BS253" i="21" s="1"/>
  <c r="BS254" i="21" s="1"/>
  <c r="BW79" i="5"/>
  <c r="CA79" i="5"/>
  <c r="BS278" i="21"/>
  <c r="BS80" i="5"/>
  <c r="CB81" i="5"/>
  <c r="BT276" i="21"/>
  <c r="BT277" i="21" s="1"/>
  <c r="BU262" i="21"/>
  <c r="J224" i="21"/>
  <c r="BU265" i="21" l="1"/>
  <c r="BU272" i="21" s="1"/>
  <c r="BU275" i="21" s="1"/>
  <c r="CA78" i="5"/>
  <c r="BQ183" i="21"/>
  <c r="BR207" i="21"/>
  <c r="BR214" i="21" s="1"/>
  <c r="BR215" i="21" s="1"/>
  <c r="BQ222" i="21"/>
  <c r="BR246" i="21"/>
  <c r="BR253" i="21" s="1"/>
  <c r="BR254" i="21" s="1"/>
  <c r="BR274" i="21"/>
  <c r="BR278" i="21"/>
  <c r="BV78" i="5"/>
  <c r="BU78" i="5"/>
  <c r="BT262" i="21"/>
  <c r="BS276" i="21"/>
  <c r="BS277" i="21" s="1"/>
  <c r="BW78" i="5"/>
  <c r="CM80" i="5"/>
  <c r="CC81" i="12"/>
  <c r="CC81" i="5"/>
  <c r="CD81" i="12" s="1"/>
  <c r="CB80" i="5"/>
  <c r="BS79" i="5"/>
  <c r="I224" i="21"/>
  <c r="BT265" i="21" l="1"/>
  <c r="BT272" i="21" s="1"/>
  <c r="BT275" i="21" s="1"/>
  <c r="BU77" i="5"/>
  <c r="BV77" i="5"/>
  <c r="BQ274" i="21"/>
  <c r="BS262" i="21"/>
  <c r="BR276" i="21"/>
  <c r="BR277" i="21" s="1"/>
  <c r="BQ278" i="21"/>
  <c r="BP222" i="21"/>
  <c r="BQ246" i="21"/>
  <c r="BQ253" i="21" s="1"/>
  <c r="BQ254" i="21" s="1"/>
  <c r="BS78" i="5"/>
  <c r="CB79" i="5"/>
  <c r="CA77" i="5"/>
  <c r="BW77" i="5"/>
  <c r="BQ207" i="21"/>
  <c r="BQ214" i="21" s="1"/>
  <c r="BQ215" i="21" s="1"/>
  <c r="BP183" i="21"/>
  <c r="CM79" i="5"/>
  <c r="CC80" i="5"/>
  <c r="CD80" i="12" s="1"/>
  <c r="CC80" i="12"/>
  <c r="H224" i="21"/>
  <c r="BS265" i="21" l="1"/>
  <c r="BS272" i="21" s="1"/>
  <c r="BS275" i="21" s="1"/>
  <c r="BW76" i="5"/>
  <c r="BO222" i="21"/>
  <c r="BP246" i="21"/>
  <c r="BP253" i="21" s="1"/>
  <c r="BP254" i="21" s="1"/>
  <c r="BS77" i="5"/>
  <c r="CB78" i="5"/>
  <c r="BP278" i="21"/>
  <c r="CA76" i="5"/>
  <c r="CM78" i="5"/>
  <c r="CC79" i="12"/>
  <c r="CC79" i="5"/>
  <c r="CD79" i="12" s="1"/>
  <c r="BO183" i="21"/>
  <c r="BP207" i="21"/>
  <c r="BP214" i="21" s="1"/>
  <c r="BP215" i="21" s="1"/>
  <c r="BP274" i="21"/>
  <c r="BQ276" i="21"/>
  <c r="BQ277" i="21" s="1"/>
  <c r="BR262" i="21"/>
  <c r="BR265" i="21" s="1"/>
  <c r="BV76" i="5"/>
  <c r="BU76" i="5"/>
  <c r="G224" i="21"/>
  <c r="BO278" i="21" l="1"/>
  <c r="BU75" i="5"/>
  <c r="BQ262" i="21"/>
  <c r="BP276" i="21"/>
  <c r="BP277" i="21" s="1"/>
  <c r="BR272" i="21"/>
  <c r="BR275" i="21" s="1"/>
  <c r="BN222" i="21"/>
  <c r="BO246" i="21"/>
  <c r="BO253" i="21" s="1"/>
  <c r="BO254" i="21" s="1"/>
  <c r="BV75" i="5"/>
  <c r="BN183" i="21"/>
  <c r="BO207" i="21"/>
  <c r="BO214" i="21" s="1"/>
  <c r="BO215" i="21" s="1"/>
  <c r="CB77" i="5"/>
  <c r="BS76" i="5"/>
  <c r="CA75" i="5"/>
  <c r="BO274" i="21"/>
  <c r="CM77" i="5"/>
  <c r="CC78" i="12"/>
  <c r="CC78" i="5"/>
  <c r="CD78" i="12" s="1"/>
  <c r="BW75" i="5"/>
  <c r="F224" i="21"/>
  <c r="BQ265" i="21" l="1"/>
  <c r="BQ272" i="21" s="1"/>
  <c r="BQ275" i="21" s="1"/>
  <c r="BW74" i="5"/>
  <c r="CB76" i="5"/>
  <c r="BS75" i="5"/>
  <c r="BV74" i="5"/>
  <c r="CA74" i="5"/>
  <c r="BN278" i="21"/>
  <c r="CM76" i="5"/>
  <c r="CC77" i="5"/>
  <c r="CD77" i="12" s="1"/>
  <c r="CC77" i="12"/>
  <c r="BM222" i="21"/>
  <c r="BN246" i="21"/>
  <c r="BN253" i="21" s="1"/>
  <c r="BN254" i="21" s="1"/>
  <c r="BU74" i="5"/>
  <c r="BN274" i="21"/>
  <c r="BP262" i="21"/>
  <c r="BO276" i="21"/>
  <c r="BO277" i="21" s="1"/>
  <c r="BN207" i="21"/>
  <c r="BN214" i="21" s="1"/>
  <c r="BN215" i="21" s="1"/>
  <c r="BM183" i="21"/>
  <c r="E224" i="21"/>
  <c r="BP265" i="21" l="1"/>
  <c r="BP272" i="21" s="1"/>
  <c r="BP275" i="21" s="1"/>
  <c r="BV73" i="5"/>
  <c r="BL183" i="21"/>
  <c r="BM207" i="21"/>
  <c r="BM214" i="21" s="1"/>
  <c r="BM215" i="21" s="1"/>
  <c r="CM75" i="5"/>
  <c r="CC76" i="12"/>
  <c r="CC76" i="5"/>
  <c r="CD76" i="12" s="1"/>
  <c r="BO262" i="21"/>
  <c r="BN276" i="21"/>
  <c r="BN277" i="21" s="1"/>
  <c r="CB75" i="5"/>
  <c r="BS74" i="5"/>
  <c r="BM274" i="21"/>
  <c r="BU73" i="5"/>
  <c r="CA73" i="5"/>
  <c r="BM278" i="21"/>
  <c r="BW73" i="5"/>
  <c r="BL222" i="21"/>
  <c r="BM246" i="21"/>
  <c r="BM253" i="21" s="1"/>
  <c r="BM254" i="21" s="1"/>
  <c r="D224" i="21"/>
  <c r="BO265" i="21" l="1"/>
  <c r="BO272" i="21" s="1"/>
  <c r="BO275" i="21" s="1"/>
  <c r="BL274" i="21"/>
  <c r="BM276" i="21"/>
  <c r="BM277" i="21" s="1"/>
  <c r="BN262" i="21"/>
  <c r="BS73" i="5"/>
  <c r="CB74" i="5"/>
  <c r="BL278" i="21"/>
  <c r="BK222" i="21"/>
  <c r="BL246" i="21"/>
  <c r="BL253" i="21" s="1"/>
  <c r="BL254" i="21" s="1"/>
  <c r="CA72" i="5"/>
  <c r="BL207" i="21"/>
  <c r="BL214" i="21" s="1"/>
  <c r="BL215" i="21" s="1"/>
  <c r="BK183" i="21"/>
  <c r="CM74" i="5"/>
  <c r="CC75" i="12"/>
  <c r="CC75" i="5"/>
  <c r="CD75" i="12" s="1"/>
  <c r="BW72" i="5"/>
  <c r="BU72" i="5"/>
  <c r="BV72" i="5"/>
  <c r="C224" i="21"/>
  <c r="BN265" i="21" l="1"/>
  <c r="BN272" i="21" s="1"/>
  <c r="BN275" i="21" s="1"/>
  <c r="CA71" i="5"/>
  <c r="BV71" i="5"/>
  <c r="BK274" i="21"/>
  <c r="BS72" i="5"/>
  <c r="CB73" i="5"/>
  <c r="BW71" i="5"/>
  <c r="BU71" i="5"/>
  <c r="BK278" i="21"/>
  <c r="BJ222" i="21"/>
  <c r="BK246" i="21"/>
  <c r="BK253" i="21" s="1"/>
  <c r="BK254" i="21" s="1"/>
  <c r="BL276" i="21"/>
  <c r="BL277" i="21" s="1"/>
  <c r="BM262" i="21"/>
  <c r="BM265" i="21" s="1"/>
  <c r="BJ183" i="21"/>
  <c r="BK207" i="21"/>
  <c r="BK214" i="21" s="1"/>
  <c r="BK215" i="21" s="1"/>
  <c r="CM73" i="5"/>
  <c r="CC74" i="12"/>
  <c r="CC74" i="5"/>
  <c r="CD74" i="12" s="1"/>
  <c r="B224" i="21"/>
  <c r="BJ207" i="21" l="1"/>
  <c r="BJ214" i="21" s="1"/>
  <c r="BJ215" i="21" s="1"/>
  <c r="BI183" i="21"/>
  <c r="BU70" i="5"/>
  <c r="BV70" i="5"/>
  <c r="CB72" i="5"/>
  <c r="BS71" i="5"/>
  <c r="BM272" i="21"/>
  <c r="BM275" i="21" s="1"/>
  <c r="BL262" i="21"/>
  <c r="BK276" i="21"/>
  <c r="BK277" i="21" s="1"/>
  <c r="BJ278" i="21"/>
  <c r="BW70" i="5"/>
  <c r="CA70" i="5"/>
  <c r="BJ274" i="21"/>
  <c r="BI222" i="21"/>
  <c r="BJ246" i="21"/>
  <c r="BJ253" i="21" s="1"/>
  <c r="BJ254" i="21" s="1"/>
  <c r="CM72" i="5"/>
  <c r="CC73" i="12"/>
  <c r="CC73" i="5"/>
  <c r="CD73" i="12" s="1"/>
  <c r="BL265" i="21" l="1"/>
  <c r="BL272" i="21" s="1"/>
  <c r="BL275" i="21" s="1"/>
  <c r="BJ276" i="21"/>
  <c r="BJ277" i="21" s="1"/>
  <c r="BK262" i="21"/>
  <c r="BV69" i="5"/>
  <c r="CA69" i="5"/>
  <c r="BW69" i="5"/>
  <c r="CB71" i="5"/>
  <c r="BS70" i="5"/>
  <c r="BH183" i="21"/>
  <c r="BI207" i="21"/>
  <c r="BI214" i="21" s="1"/>
  <c r="BI215" i="21" s="1"/>
  <c r="BI274" i="21"/>
  <c r="BU69" i="5"/>
  <c r="BI278" i="21"/>
  <c r="BH222" i="21"/>
  <c r="BI246" i="21"/>
  <c r="BI253" i="21" s="1"/>
  <c r="BI254" i="21" s="1"/>
  <c r="CM71" i="5"/>
  <c r="CC72" i="12"/>
  <c r="CC72" i="5"/>
  <c r="CD72" i="12" s="1"/>
  <c r="BK265" i="21" l="1"/>
  <c r="BK272" i="21" s="1"/>
  <c r="BK275" i="21" s="1"/>
  <c r="CA68" i="5"/>
  <c r="BG222" i="21"/>
  <c r="BH246" i="21"/>
  <c r="BH253" i="21" s="1"/>
  <c r="BH254" i="21" s="1"/>
  <c r="BV68" i="5"/>
  <c r="BH278" i="21"/>
  <c r="BG183" i="21"/>
  <c r="BH207" i="21"/>
  <c r="BH214" i="21" s="1"/>
  <c r="BH215" i="21" s="1"/>
  <c r="CB70" i="5"/>
  <c r="BS69" i="5"/>
  <c r="CM70" i="5"/>
  <c r="CC71" i="12"/>
  <c r="CC71" i="5"/>
  <c r="CD71" i="12" s="1"/>
  <c r="BW68" i="5"/>
  <c r="BH274" i="21"/>
  <c r="BU68" i="5"/>
  <c r="BI276" i="21"/>
  <c r="BI277" i="21" s="1"/>
  <c r="BJ262" i="21"/>
  <c r="BJ265" i="21" l="1"/>
  <c r="BJ272" i="21" s="1"/>
  <c r="BJ275" i="21" s="1"/>
  <c r="BG278" i="21"/>
  <c r="BU67" i="5"/>
  <c r="CB69" i="5"/>
  <c r="BS68" i="5"/>
  <c r="CM69" i="5"/>
  <c r="CC70" i="5"/>
  <c r="CD70" i="12" s="1"/>
  <c r="CC70" i="12"/>
  <c r="BF222" i="21"/>
  <c r="BG246" i="21"/>
  <c r="BG253" i="21" s="1"/>
  <c r="BG254" i="21" s="1"/>
  <c r="BV67" i="5"/>
  <c r="BW67" i="5"/>
  <c r="BG274" i="21"/>
  <c r="CA67" i="5"/>
  <c r="BI262" i="21"/>
  <c r="BH276" i="21"/>
  <c r="BF183" i="21"/>
  <c r="BG207" i="21"/>
  <c r="BG214" i="21" s="1"/>
  <c r="BG215" i="21" s="1"/>
  <c r="BI265" i="21" l="1"/>
  <c r="BI272" i="21" s="1"/>
  <c r="BI275" i="21" s="1"/>
  <c r="BF278" i="21"/>
  <c r="BU66" i="5"/>
  <c r="CB68" i="5"/>
  <c r="BS67" i="5"/>
  <c r="BV66" i="5"/>
  <c r="CA66" i="5"/>
  <c r="BE222" i="21"/>
  <c r="BF246" i="21"/>
  <c r="BF253" i="21" s="1"/>
  <c r="BF254" i="21" s="1"/>
  <c r="BH277" i="21"/>
  <c r="BF274" i="21"/>
  <c r="BG276" i="21"/>
  <c r="BG277" i="21" s="1"/>
  <c r="BH262" i="21"/>
  <c r="BW66" i="5"/>
  <c r="CM68" i="5"/>
  <c r="CC69" i="5"/>
  <c r="CD69" i="12" s="1"/>
  <c r="CC69" i="12"/>
  <c r="BE183" i="21"/>
  <c r="BF207" i="21"/>
  <c r="BF214" i="21" s="1"/>
  <c r="BF215" i="21" s="1"/>
  <c r="BH265" i="21" l="1"/>
  <c r="BH272" i="21" s="1"/>
  <c r="BH275" i="21" s="1"/>
  <c r="BE278" i="21"/>
  <c r="CM67" i="5"/>
  <c r="CC68" i="12"/>
  <c r="CC68" i="5"/>
  <c r="CD68" i="12" s="1"/>
  <c r="BD183" i="21"/>
  <c r="BE207" i="21"/>
  <c r="BE214" i="21" s="1"/>
  <c r="BE215" i="21" s="1"/>
  <c r="BD222" i="21"/>
  <c r="BE246" i="21"/>
  <c r="BE253" i="21" s="1"/>
  <c r="BE254" i="21" s="1"/>
  <c r="CA65" i="5"/>
  <c r="BU65" i="5"/>
  <c r="BW65" i="5"/>
  <c r="CB67" i="5"/>
  <c r="BS66" i="5"/>
  <c r="BG262" i="21"/>
  <c r="BF276" i="21"/>
  <c r="BF277" i="21" s="1"/>
  <c r="BE274" i="21"/>
  <c r="BV65" i="5"/>
  <c r="BG265" i="21" l="1"/>
  <c r="BG272" i="21" s="1"/>
  <c r="BG275" i="21" s="1"/>
  <c r="BU64" i="5"/>
  <c r="CB66" i="5"/>
  <c r="BS65" i="5"/>
  <c r="BC222" i="21"/>
  <c r="BD246" i="21"/>
  <c r="BD253" i="21" s="1"/>
  <c r="BD254" i="21" s="1"/>
  <c r="BD274" i="21"/>
  <c r="BV64" i="5"/>
  <c r="CM66" i="5"/>
  <c r="CC67" i="5"/>
  <c r="CD67" i="12" s="1"/>
  <c r="CC67" i="12"/>
  <c r="BC183" i="21"/>
  <c r="BD207" i="21"/>
  <c r="BD214" i="21" s="1"/>
  <c r="BD215" i="21" s="1"/>
  <c r="CA64" i="5"/>
  <c r="BE276" i="21"/>
  <c r="BF262" i="21"/>
  <c r="BW64" i="5"/>
  <c r="BD278" i="21"/>
  <c r="BF265" i="21" l="1"/>
  <c r="BF272" i="21" s="1"/>
  <c r="BF275" i="21" s="1"/>
  <c r="BS64" i="5"/>
  <c r="CB65" i="5"/>
  <c r="BE262" i="21"/>
  <c r="BE265" i="21" s="1"/>
  <c r="BD276" i="21"/>
  <c r="CA63" i="5"/>
  <c r="CM65" i="5"/>
  <c r="CC66" i="5"/>
  <c r="CD66" i="12" s="1"/>
  <c r="CC66" i="12"/>
  <c r="BB222" i="21"/>
  <c r="BC246" i="21"/>
  <c r="BC253" i="21" s="1"/>
  <c r="BC254" i="21" s="1"/>
  <c r="BE277" i="21"/>
  <c r="BC274" i="21"/>
  <c r="BV63" i="5"/>
  <c r="BU63" i="5"/>
  <c r="BC278" i="21"/>
  <c r="BW63" i="5"/>
  <c r="BC207" i="21"/>
  <c r="BC214" i="21" s="1"/>
  <c r="BC215" i="21" s="1"/>
  <c r="BB183" i="21"/>
  <c r="CA62" i="5" l="1"/>
  <c r="BU62" i="5"/>
  <c r="BB274" i="21"/>
  <c r="BB278" i="21"/>
  <c r="BV62" i="5"/>
  <c r="BW62" i="5"/>
  <c r="CM64" i="5"/>
  <c r="CC65" i="5"/>
  <c r="CD65" i="12" s="1"/>
  <c r="CC65" i="12"/>
  <c r="BB207" i="21"/>
  <c r="BB214" i="21" s="1"/>
  <c r="BB215" i="21" s="1"/>
  <c r="BA183" i="21"/>
  <c r="BE272" i="21"/>
  <c r="BE275" i="21" s="1"/>
  <c r="BC276" i="21"/>
  <c r="BD262" i="21"/>
  <c r="BD265" i="21" s="1"/>
  <c r="BA222" i="21"/>
  <c r="BB246" i="21"/>
  <c r="BB253" i="21" s="1"/>
  <c r="BB254" i="21" s="1"/>
  <c r="BD277" i="21"/>
  <c r="CB64" i="5"/>
  <c r="BS63" i="5"/>
  <c r="BS62" i="5" l="1"/>
  <c r="CB63" i="5"/>
  <c r="CM63" i="5"/>
  <c r="CC64" i="12"/>
  <c r="CC64" i="5"/>
  <c r="CD64" i="12" s="1"/>
  <c r="BW61" i="5"/>
  <c r="BD272" i="21"/>
  <c r="BD275" i="21" s="1"/>
  <c r="BA278" i="21"/>
  <c r="BA207" i="21"/>
  <c r="BA214" i="21" s="1"/>
  <c r="BA215" i="21" s="1"/>
  <c r="AZ183" i="21"/>
  <c r="BU61" i="5"/>
  <c r="BA274" i="21"/>
  <c r="BV61" i="5"/>
  <c r="CA61" i="5"/>
  <c r="BB276" i="21"/>
  <c r="BB277" i="21" s="1"/>
  <c r="BC262" i="21"/>
  <c r="AZ222" i="21"/>
  <c r="BA246" i="21"/>
  <c r="BA253" i="21" s="1"/>
  <c r="BA254" i="21" s="1"/>
  <c r="BC277" i="21"/>
  <c r="BC265" i="21" l="1"/>
  <c r="BC272" i="21" s="1"/>
  <c r="BC275" i="21" s="1"/>
  <c r="BV60" i="5"/>
  <c r="AZ207" i="21"/>
  <c r="AZ214" i="21" s="1"/>
  <c r="AZ215" i="21" s="1"/>
  <c r="AY183" i="21"/>
  <c r="BA276" i="21"/>
  <c r="BB262" i="21"/>
  <c r="AZ278" i="21"/>
  <c r="AY222" i="21"/>
  <c r="AZ246" i="21"/>
  <c r="AZ253" i="21" s="1"/>
  <c r="AZ254" i="21" s="1"/>
  <c r="BU60" i="5"/>
  <c r="CM62" i="5"/>
  <c r="CC63" i="5"/>
  <c r="CD63" i="12" s="1"/>
  <c r="CC63" i="12"/>
  <c r="AZ274" i="21"/>
  <c r="CA60" i="5"/>
  <c r="BW60" i="5"/>
  <c r="BS61" i="5"/>
  <c r="CB62" i="5"/>
  <c r="BB265" i="21" l="1"/>
  <c r="BB272" i="21" s="1"/>
  <c r="BB275" i="21" s="1"/>
  <c r="AX183" i="21"/>
  <c r="AY207" i="21"/>
  <c r="AY214" i="21" s="1"/>
  <c r="AY215" i="21" s="1"/>
  <c r="BW59" i="5"/>
  <c r="BA262" i="21"/>
  <c r="AZ276" i="21"/>
  <c r="AY278" i="21"/>
  <c r="AY274" i="21"/>
  <c r="AX222" i="21"/>
  <c r="AY246" i="21"/>
  <c r="AY253" i="21" s="1"/>
  <c r="AY254" i="21" s="1"/>
  <c r="BV59" i="5"/>
  <c r="BU59" i="5"/>
  <c r="CA59" i="5"/>
  <c r="BA277" i="21"/>
  <c r="CM61" i="5"/>
  <c r="CC62" i="5"/>
  <c r="CD62" i="12" s="1"/>
  <c r="CC62" i="12"/>
  <c r="CB61" i="5"/>
  <c r="BS60" i="5"/>
  <c r="BA265" i="21" l="1"/>
  <c r="BA272" i="21" s="1"/>
  <c r="BA275" i="21" s="1"/>
  <c r="CA58" i="5"/>
  <c r="AZ277" i="21"/>
  <c r="CB60" i="5"/>
  <c r="BS59" i="5"/>
  <c r="AZ262" i="21"/>
  <c r="AZ265" i="21" s="1"/>
  <c r="AY276" i="21"/>
  <c r="AY277" i="21" s="1"/>
  <c r="CM60" i="5"/>
  <c r="CC61" i="12"/>
  <c r="CC61" i="5"/>
  <c r="CD61" i="12" s="1"/>
  <c r="BU58" i="5"/>
  <c r="BW58" i="5"/>
  <c r="AX278" i="21"/>
  <c r="AW222" i="21"/>
  <c r="AX246" i="21"/>
  <c r="AX253" i="21" s="1"/>
  <c r="AX254" i="21" s="1"/>
  <c r="AX274" i="21"/>
  <c r="BV58" i="5"/>
  <c r="AW183" i="21"/>
  <c r="AX207" i="21"/>
  <c r="AX214" i="21" s="1"/>
  <c r="AX215" i="21" s="1"/>
  <c r="AY262" i="21" l="1"/>
  <c r="AX276" i="21"/>
  <c r="CB59" i="5"/>
  <c r="BS58" i="5"/>
  <c r="AW274" i="21"/>
  <c r="AW278" i="21"/>
  <c r="CA57" i="5"/>
  <c r="BV57" i="5"/>
  <c r="BW57" i="5"/>
  <c r="BU57" i="5"/>
  <c r="CM59" i="5"/>
  <c r="CC60" i="12"/>
  <c r="CC60" i="5"/>
  <c r="CD60" i="12" s="1"/>
  <c r="AV222" i="21"/>
  <c r="AW246" i="21"/>
  <c r="AW253" i="21" s="1"/>
  <c r="AW254" i="21" s="1"/>
  <c r="AW207" i="21"/>
  <c r="AW214" i="21" s="1"/>
  <c r="AW215" i="21" s="1"/>
  <c r="AV183" i="21"/>
  <c r="AZ272" i="21"/>
  <c r="AZ275" i="21" s="1"/>
  <c r="AY265" i="21" l="1"/>
  <c r="AY272" i="21" s="1"/>
  <c r="AY275" i="21" s="1"/>
  <c r="CM58" i="5"/>
  <c r="CC59" i="12"/>
  <c r="CC59" i="5"/>
  <c r="CD59" i="12" s="1"/>
  <c r="AW276" i="21"/>
  <c r="AW277" i="21" s="1"/>
  <c r="AX262" i="21"/>
  <c r="BV56" i="5"/>
  <c r="CB58" i="5"/>
  <c r="BS57" i="5"/>
  <c r="AV274" i="21"/>
  <c r="BU56" i="5"/>
  <c r="AV207" i="21"/>
  <c r="AV214" i="21" s="1"/>
  <c r="AV215" i="21" s="1"/>
  <c r="AU183" i="21"/>
  <c r="CA56" i="5"/>
  <c r="AV278" i="21"/>
  <c r="AU222" i="21"/>
  <c r="AV246" i="21"/>
  <c r="AV253" i="21" s="1"/>
  <c r="AV254" i="21" s="1"/>
  <c r="BW56" i="5"/>
  <c r="AX277" i="21"/>
  <c r="AX265" i="21" l="1"/>
  <c r="AX272" i="21" s="1"/>
  <c r="AX275" i="21" s="1"/>
  <c r="BW55" i="5"/>
  <c r="AT183" i="21"/>
  <c r="AU207" i="21"/>
  <c r="AU214" i="21" s="1"/>
  <c r="AU215" i="21" s="1"/>
  <c r="BV55" i="5"/>
  <c r="CA55" i="5"/>
  <c r="AU278" i="21"/>
  <c r="AU274" i="21"/>
  <c r="BS56" i="5"/>
  <c r="CB57" i="5"/>
  <c r="AV276" i="21"/>
  <c r="AW262" i="21"/>
  <c r="AT222" i="21"/>
  <c r="AU246" i="21"/>
  <c r="AU253" i="21" s="1"/>
  <c r="AU254" i="21" s="1"/>
  <c r="BU55" i="5"/>
  <c r="CM57" i="5"/>
  <c r="CC58" i="5"/>
  <c r="CD58" i="12" s="1"/>
  <c r="CC58" i="12"/>
  <c r="AW265" i="21" l="1"/>
  <c r="AW272" i="21" s="1"/>
  <c r="AW275" i="21" s="1"/>
  <c r="AT274" i="21"/>
  <c r="AS222" i="21"/>
  <c r="AT246" i="21"/>
  <c r="AT253" i="21" s="1"/>
  <c r="AT254" i="21" s="1"/>
  <c r="BW54" i="5"/>
  <c r="BU54" i="5"/>
  <c r="AU276" i="21"/>
  <c r="AU277" i="21" s="1"/>
  <c r="AV262" i="21"/>
  <c r="BV54" i="5"/>
  <c r="CM56" i="5"/>
  <c r="CC57" i="12"/>
  <c r="CC57" i="5"/>
  <c r="CD57" i="12" s="1"/>
  <c r="CA54" i="5"/>
  <c r="AT278" i="21"/>
  <c r="AS183" i="21"/>
  <c r="AT207" i="21"/>
  <c r="AT214" i="21" s="1"/>
  <c r="AT215" i="21" s="1"/>
  <c r="BS55" i="5"/>
  <c r="CB56" i="5"/>
  <c r="AV277" i="21"/>
  <c r="AV265" i="21" l="1"/>
  <c r="AV272" i="21" s="1"/>
  <c r="AV275" i="21" s="1"/>
  <c r="AR183" i="21"/>
  <c r="AS207" i="21"/>
  <c r="AS214" i="21" s="1"/>
  <c r="AS215" i="21" s="1"/>
  <c r="AS278" i="21"/>
  <c r="BV53" i="5"/>
  <c r="AR222" i="21"/>
  <c r="AS246" i="21"/>
  <c r="AS253" i="21" s="1"/>
  <c r="AS254" i="21" s="1"/>
  <c r="AU262" i="21"/>
  <c r="AT276" i="21"/>
  <c r="BU53" i="5"/>
  <c r="BW53" i="5"/>
  <c r="CA53" i="5"/>
  <c r="CM55" i="5"/>
  <c r="CC56" i="5"/>
  <c r="CD56" i="12" s="1"/>
  <c r="CC56" i="12"/>
  <c r="CB55" i="5"/>
  <c r="BS54" i="5"/>
  <c r="AS274" i="21"/>
  <c r="AU265" i="21" l="1"/>
  <c r="AU272" i="21" s="1"/>
  <c r="AU275" i="21" s="1"/>
  <c r="AR278" i="21"/>
  <c r="CB54" i="5"/>
  <c r="BS53" i="5"/>
  <c r="BU52" i="5"/>
  <c r="BW52" i="5"/>
  <c r="BV52" i="5"/>
  <c r="AR274" i="21"/>
  <c r="AQ222" i="21"/>
  <c r="AR246" i="21"/>
  <c r="AR253" i="21" s="1"/>
  <c r="AR254" i="21" s="1"/>
  <c r="CM54" i="5"/>
  <c r="CC55" i="12"/>
  <c r="CC55" i="5"/>
  <c r="CD55" i="12" s="1"/>
  <c r="AS276" i="21"/>
  <c r="AT262" i="21"/>
  <c r="AT265" i="21" s="1"/>
  <c r="CA52" i="5"/>
  <c r="AT277" i="21"/>
  <c r="AQ183" i="21"/>
  <c r="AR207" i="21"/>
  <c r="AR214" i="21" s="1"/>
  <c r="AR215" i="21" s="1"/>
  <c r="AT272" i="21" l="1"/>
  <c r="AT275" i="21" s="1"/>
  <c r="BU51" i="5"/>
  <c r="AQ274" i="21"/>
  <c r="BW51" i="5"/>
  <c r="AS277" i="21"/>
  <c r="CB53" i="5"/>
  <c r="BS52" i="5"/>
  <c r="BV51" i="5"/>
  <c r="AQ207" i="21"/>
  <c r="AQ214" i="21" s="1"/>
  <c r="AQ215" i="21" s="1"/>
  <c r="AP183" i="21"/>
  <c r="AQ278" i="21"/>
  <c r="AR276" i="21"/>
  <c r="AR277" i="21" s="1"/>
  <c r="AS262" i="21"/>
  <c r="AS265" i="21" s="1"/>
  <c r="CM53" i="5"/>
  <c r="CC54" i="5"/>
  <c r="CD54" i="12" s="1"/>
  <c r="CC54" i="12"/>
  <c r="CA51" i="5"/>
  <c r="AP222" i="21"/>
  <c r="AQ246" i="21"/>
  <c r="AQ253" i="21" s="1"/>
  <c r="AQ254" i="21" s="1"/>
  <c r="AQ276" i="21" l="1"/>
  <c r="AQ277" i="21" s="1"/>
  <c r="AR262" i="21"/>
  <c r="AO222" i="21"/>
  <c r="AP246" i="21"/>
  <c r="AP253" i="21" s="1"/>
  <c r="AP254" i="21" s="1"/>
  <c r="CM52" i="5"/>
  <c r="CC53" i="5"/>
  <c r="CD53" i="12" s="1"/>
  <c r="CC53" i="12"/>
  <c r="BU50" i="5"/>
  <c r="BS51" i="5"/>
  <c r="CB52" i="5"/>
  <c r="CA50" i="5"/>
  <c r="BV50" i="5"/>
  <c r="AS272" i="21"/>
  <c r="AS275" i="21" s="1"/>
  <c r="AO183" i="21"/>
  <c r="AP207" i="21"/>
  <c r="AP214" i="21" s="1"/>
  <c r="AP215" i="21" s="1"/>
  <c r="AP278" i="21"/>
  <c r="AP274" i="21"/>
  <c r="BW50" i="5"/>
  <c r="AR265" i="21" l="1"/>
  <c r="AR272" i="21" s="1"/>
  <c r="AR275" i="21" s="1"/>
  <c r="CA49" i="5"/>
  <c r="BS50" i="5"/>
  <c r="CB51" i="5"/>
  <c r="AO278" i="21"/>
  <c r="AO207" i="21"/>
  <c r="AO214" i="21" s="1"/>
  <c r="AO215" i="21" s="1"/>
  <c r="AN183" i="21"/>
  <c r="AP276" i="21"/>
  <c r="AP277" i="21" s="1"/>
  <c r="AQ262" i="21"/>
  <c r="BV49" i="5"/>
  <c r="CM51" i="5"/>
  <c r="CC52" i="5"/>
  <c r="CD52" i="12" s="1"/>
  <c r="CC52" i="12"/>
  <c r="BW49" i="5"/>
  <c r="BU49" i="5"/>
  <c r="AO274" i="21"/>
  <c r="AN222" i="21"/>
  <c r="AO246" i="21"/>
  <c r="AO253" i="21" s="1"/>
  <c r="AO254" i="21" s="1"/>
  <c r="AQ265" i="21" l="1"/>
  <c r="AQ272" i="21" s="1"/>
  <c r="AQ275" i="21" s="1"/>
  <c r="BV48" i="5"/>
  <c r="BW48" i="5"/>
  <c r="AM222" i="21"/>
  <c r="AN246" i="21"/>
  <c r="AN253" i="21" s="1"/>
  <c r="AN254" i="21" s="1"/>
  <c r="CB50" i="5"/>
  <c r="BS49" i="5"/>
  <c r="AN278" i="21"/>
  <c r="CM50" i="5"/>
  <c r="CC51" i="5"/>
  <c r="CD51" i="12" s="1"/>
  <c r="CC51" i="12"/>
  <c r="AP262" i="21"/>
  <c r="AO276" i="21"/>
  <c r="AM183" i="21"/>
  <c r="AN207" i="21"/>
  <c r="AN214" i="21" s="1"/>
  <c r="AN215" i="21" s="1"/>
  <c r="BU48" i="5"/>
  <c r="AN274" i="21"/>
  <c r="CA48" i="5"/>
  <c r="AP265" i="21" l="1"/>
  <c r="AP272" i="21" s="1"/>
  <c r="AP275" i="21" s="1"/>
  <c r="BU47" i="5"/>
  <c r="AL183" i="21"/>
  <c r="AM207" i="21"/>
  <c r="AM214" i="21" s="1"/>
  <c r="AM215" i="21" s="1"/>
  <c r="BW47" i="5"/>
  <c r="BS48" i="5"/>
  <c r="CB49" i="5"/>
  <c r="AO277" i="21"/>
  <c r="AM274" i="21"/>
  <c r="CM49" i="5"/>
  <c r="CC50" i="5"/>
  <c r="CD50" i="12" s="1"/>
  <c r="CC50" i="12"/>
  <c r="AL222" i="21"/>
  <c r="AM246" i="21"/>
  <c r="AM253" i="21" s="1"/>
  <c r="AM254" i="21" s="1"/>
  <c r="CA47" i="5"/>
  <c r="AN276" i="21"/>
  <c r="AO262" i="21"/>
  <c r="AM278" i="21"/>
  <c r="BV47" i="5"/>
  <c r="AO265" i="21" l="1"/>
  <c r="AO272" i="21" s="1"/>
  <c r="AO275" i="21" s="1"/>
  <c r="BV46" i="5"/>
  <c r="AN277" i="21"/>
  <c r="AN262" i="21"/>
  <c r="AM276" i="21"/>
  <c r="AM277" i="21" s="1"/>
  <c r="AL274" i="21"/>
  <c r="AK222" i="21"/>
  <c r="AL246" i="21"/>
  <c r="AL253" i="21" s="1"/>
  <c r="AL254" i="21" s="1"/>
  <c r="CB48" i="5"/>
  <c r="BS47" i="5"/>
  <c r="AK183" i="21"/>
  <c r="AL207" i="21"/>
  <c r="AL214" i="21" s="1"/>
  <c r="AL215" i="21" s="1"/>
  <c r="CA46" i="5"/>
  <c r="CM48" i="5"/>
  <c r="CC49" i="12"/>
  <c r="CC49" i="5"/>
  <c r="CD49" i="12" s="1"/>
  <c r="BU46" i="5"/>
  <c r="BW46" i="5"/>
  <c r="AL278" i="21"/>
  <c r="AN265" i="21" l="1"/>
  <c r="AN272" i="21" s="1"/>
  <c r="AN275" i="21" s="1"/>
  <c r="CB47" i="5"/>
  <c r="BS46" i="5"/>
  <c r="AJ183" i="21"/>
  <c r="AK207" i="21"/>
  <c r="AK214" i="21" s="1"/>
  <c r="AK215" i="21" s="1"/>
  <c r="AK278" i="21"/>
  <c r="BW45" i="5"/>
  <c r="AJ222" i="21"/>
  <c r="AK246" i="21"/>
  <c r="AK253" i="21" s="1"/>
  <c r="AK254" i="21" s="1"/>
  <c r="CA45" i="5"/>
  <c r="AL276" i="21"/>
  <c r="AL277" i="21" s="1"/>
  <c r="AM262" i="21"/>
  <c r="AM265" i="21" s="1"/>
  <c r="CM47" i="5"/>
  <c r="CC48" i="5"/>
  <c r="CD48" i="12" s="1"/>
  <c r="CC48" i="12"/>
  <c r="BV45" i="5"/>
  <c r="BU45" i="5"/>
  <c r="AK274" i="21"/>
  <c r="AM272" i="21" l="1"/>
  <c r="AM275" i="21" s="1"/>
  <c r="AI183" i="21"/>
  <c r="AJ207" i="21"/>
  <c r="AJ214" i="21" s="1"/>
  <c r="AJ215" i="21" s="1"/>
  <c r="CA44" i="5"/>
  <c r="AJ278" i="21"/>
  <c r="CB46" i="5"/>
  <c r="BS45" i="5"/>
  <c r="BV44" i="5"/>
  <c r="AJ274" i="21"/>
  <c r="AK276" i="21"/>
  <c r="AK277" i="21" s="1"/>
  <c r="AL262" i="21"/>
  <c r="AI222" i="21"/>
  <c r="AJ246" i="21"/>
  <c r="AJ253" i="21" s="1"/>
  <c r="AJ254" i="21" s="1"/>
  <c r="BU44" i="5"/>
  <c r="BW44" i="5"/>
  <c r="CM46" i="5"/>
  <c r="CC47" i="12"/>
  <c r="CC47" i="5"/>
  <c r="CD47" i="12" s="1"/>
  <c r="AL265" i="21" l="1"/>
  <c r="AL272" i="21" s="1"/>
  <c r="AL275" i="21" s="1"/>
  <c r="CA43" i="5"/>
  <c r="BU43" i="5"/>
  <c r="CB45" i="5"/>
  <c r="BS44" i="5"/>
  <c r="AH222" i="21"/>
  <c r="AI246" i="21"/>
  <c r="AI253" i="21" s="1"/>
  <c r="AI254" i="21" s="1"/>
  <c r="BV43" i="5"/>
  <c r="BW43" i="5"/>
  <c r="AH183" i="21"/>
  <c r="AI207" i="21"/>
  <c r="AI214" i="21" s="1"/>
  <c r="AI215" i="21" s="1"/>
  <c r="CM45" i="5"/>
  <c r="CC46" i="12"/>
  <c r="CC46" i="5"/>
  <c r="CD46" i="12" s="1"/>
  <c r="AI274" i="21"/>
  <c r="AI278" i="21"/>
  <c r="AK262" i="21"/>
  <c r="AK265" i="21" s="1"/>
  <c r="AJ276" i="21"/>
  <c r="AJ277" i="21" s="1"/>
  <c r="BW42" i="5" l="1"/>
  <c r="BU42" i="5"/>
  <c r="BV42" i="5"/>
  <c r="AG222" i="21"/>
  <c r="AH246" i="21"/>
  <c r="AH253" i="21" s="1"/>
  <c r="AH254" i="21" s="1"/>
  <c r="CM44" i="5"/>
  <c r="CC45" i="5"/>
  <c r="CD45" i="12" s="1"/>
  <c r="CC45" i="12"/>
  <c r="AH278" i="21"/>
  <c r="AH274" i="21"/>
  <c r="CB44" i="5"/>
  <c r="BS43" i="5"/>
  <c r="CA42" i="5"/>
  <c r="AK272" i="21"/>
  <c r="AK275" i="21" s="1"/>
  <c r="AJ262" i="21"/>
  <c r="AJ265" i="21" s="1"/>
  <c r="AI276" i="21"/>
  <c r="AH207" i="21"/>
  <c r="AH214" i="21" s="1"/>
  <c r="AH215" i="21" s="1"/>
  <c r="AG183" i="21"/>
  <c r="CB43" i="5" l="1"/>
  <c r="BS42" i="5"/>
  <c r="CM43" i="5"/>
  <c r="CC44" i="5"/>
  <c r="CD44" i="12" s="1"/>
  <c r="CC44" i="12"/>
  <c r="AG274" i="21"/>
  <c r="BW41" i="5"/>
  <c r="AI277" i="21"/>
  <c r="AG278" i="21"/>
  <c r="AF222" i="21"/>
  <c r="AG246" i="21"/>
  <c r="AG253" i="21" s="1"/>
  <c r="AG254" i="21" s="1"/>
  <c r="CA41" i="5"/>
  <c r="BV41" i="5"/>
  <c r="AJ272" i="21"/>
  <c r="AJ275" i="21" s="1"/>
  <c r="AI262" i="21"/>
  <c r="AH276" i="21"/>
  <c r="AH277" i="21" s="1"/>
  <c r="AG207" i="21"/>
  <c r="AG214" i="21" s="1"/>
  <c r="AG215" i="21" s="1"/>
  <c r="AF183" i="21"/>
  <c r="BU41" i="5"/>
  <c r="AI265" i="21" l="1"/>
  <c r="AI272" i="21" s="1"/>
  <c r="AI275" i="21" s="1"/>
  <c r="BV40" i="5"/>
  <c r="AE183" i="21"/>
  <c r="AF207" i="21"/>
  <c r="AF214" i="21" s="1"/>
  <c r="AF215" i="21" s="1"/>
  <c r="AF274" i="21"/>
  <c r="CA40" i="5"/>
  <c r="AE222" i="21"/>
  <c r="AF246" i="21"/>
  <c r="AF253" i="21" s="1"/>
  <c r="AF254" i="21" s="1"/>
  <c r="BW40" i="5"/>
  <c r="BU40" i="5"/>
  <c r="CB42" i="5"/>
  <c r="BS41" i="5"/>
  <c r="AF278" i="21"/>
  <c r="AG276" i="21"/>
  <c r="AH262" i="21"/>
  <c r="AH265" i="21" s="1"/>
  <c r="CM42" i="5"/>
  <c r="CC43" i="12"/>
  <c r="CC43" i="5"/>
  <c r="CD43" i="12" s="1"/>
  <c r="BU39" i="5" l="1"/>
  <c r="BS40" i="5"/>
  <c r="CB41" i="5"/>
  <c r="AG262" i="21"/>
  <c r="AG265" i="21" s="1"/>
  <c r="AF276" i="21"/>
  <c r="AE207" i="21"/>
  <c r="AE214" i="21" s="1"/>
  <c r="AE215" i="21" s="1"/>
  <c r="AD183" i="21"/>
  <c r="CA39" i="5"/>
  <c r="AH272" i="21"/>
  <c r="AH275" i="21" s="1"/>
  <c r="BW39" i="5"/>
  <c r="AE278" i="21"/>
  <c r="CM41" i="5"/>
  <c r="CC42" i="12"/>
  <c r="CC42" i="5"/>
  <c r="CD42" i="12" s="1"/>
  <c r="AE274" i="21"/>
  <c r="AG277" i="21"/>
  <c r="AD222" i="21"/>
  <c r="AE246" i="21"/>
  <c r="AE253" i="21" s="1"/>
  <c r="AE254" i="21" s="1"/>
  <c r="BV39" i="5"/>
  <c r="BS39" i="5" l="1"/>
  <c r="CB40" i="5"/>
  <c r="AD278" i="21"/>
  <c r="AE276" i="21"/>
  <c r="AF262" i="21"/>
  <c r="AF265" i="21" s="1"/>
  <c r="BW38" i="5"/>
  <c r="AD274" i="21"/>
  <c r="BV38" i="5"/>
  <c r="AG272" i="21"/>
  <c r="AG275" i="21" s="1"/>
  <c r="BU38" i="5"/>
  <c r="CA38" i="5"/>
  <c r="AC222" i="21"/>
  <c r="AD246" i="21"/>
  <c r="AD253" i="21" s="1"/>
  <c r="AD254" i="21" s="1"/>
  <c r="AD207" i="21"/>
  <c r="AD214" i="21" s="1"/>
  <c r="AD215" i="21" s="1"/>
  <c r="AC183" i="21"/>
  <c r="CM40" i="5"/>
  <c r="CC41" i="12"/>
  <c r="CC41" i="5"/>
  <c r="CD41" i="12" s="1"/>
  <c r="AF277" i="21"/>
  <c r="AC207" i="21" l="1"/>
  <c r="AC214" i="21" s="1"/>
  <c r="AC215" i="21" s="1"/>
  <c r="AB183" i="21"/>
  <c r="CM39" i="5"/>
  <c r="CC40" i="12"/>
  <c r="CC40" i="5"/>
  <c r="CD40" i="12" s="1"/>
  <c r="BS38" i="5"/>
  <c r="CB39" i="5"/>
  <c r="BV37" i="5"/>
  <c r="AB222" i="21"/>
  <c r="AC246" i="21"/>
  <c r="AC253" i="21" s="1"/>
  <c r="AC254" i="21" s="1"/>
  <c r="AF272" i="21"/>
  <c r="AF275" i="21" s="1"/>
  <c r="BU37" i="5"/>
  <c r="AC274" i="21"/>
  <c r="BW37" i="5"/>
  <c r="AC278" i="21"/>
  <c r="CA37" i="5"/>
  <c r="AD276" i="21"/>
  <c r="AE262" i="21"/>
  <c r="AE277" i="21"/>
  <c r="AE265" i="21" l="1"/>
  <c r="AE272" i="21" s="1"/>
  <c r="AE275" i="21" s="1"/>
  <c r="BW36" i="5"/>
  <c r="BU36" i="5"/>
  <c r="AC276" i="21"/>
  <c r="AD262" i="21"/>
  <c r="AA222" i="21"/>
  <c r="AB246" i="21"/>
  <c r="AB253" i="21" s="1"/>
  <c r="AB254" i="21" s="1"/>
  <c r="BS37" i="5"/>
  <c r="CB38" i="5"/>
  <c r="CA36" i="5"/>
  <c r="AB278" i="21"/>
  <c r="BV36" i="5"/>
  <c r="AA183" i="21"/>
  <c r="AB207" i="21"/>
  <c r="AB214" i="21" s="1"/>
  <c r="AB215" i="21" s="1"/>
  <c r="CM38" i="5"/>
  <c r="CC39" i="12"/>
  <c r="CC39" i="5"/>
  <c r="CD39" i="12" s="1"/>
  <c r="AD277" i="21"/>
  <c r="AB274" i="21"/>
  <c r="AD265" i="21" l="1"/>
  <c r="AD272" i="21" s="1"/>
  <c r="AD275" i="21" s="1"/>
  <c r="CA35" i="5"/>
  <c r="CM37" i="5"/>
  <c r="CC38" i="5"/>
  <c r="CD38" i="12" s="1"/>
  <c r="CC38" i="12"/>
  <c r="BS36" i="5"/>
  <c r="CB37" i="5"/>
  <c r="BU35" i="5"/>
  <c r="AC277" i="21"/>
  <c r="AA278" i="21"/>
  <c r="BW35" i="5"/>
  <c r="AB276" i="21"/>
  <c r="AB277" i="21" s="1"/>
  <c r="AC262" i="21"/>
  <c r="BV35" i="5"/>
  <c r="AA274" i="21"/>
  <c r="Z183" i="21"/>
  <c r="AA207" i="21"/>
  <c r="AA214" i="21" s="1"/>
  <c r="AA215" i="21" s="1"/>
  <c r="Z222" i="21"/>
  <c r="AA246" i="21"/>
  <c r="AA253" i="21" s="1"/>
  <c r="AA254" i="21" s="1"/>
  <c r="AC265" i="21" l="1"/>
  <c r="AC272" i="21" s="1"/>
  <c r="AC275" i="21" s="1"/>
  <c r="Z274" i="21"/>
  <c r="Y183" i="21"/>
  <c r="Z207" i="21"/>
  <c r="Z214" i="21" s="1"/>
  <c r="Z215" i="21" s="1"/>
  <c r="AA276" i="21"/>
  <c r="AB262" i="21"/>
  <c r="BU34" i="5"/>
  <c r="Z278" i="21"/>
  <c r="BV34" i="5"/>
  <c r="CM36" i="5"/>
  <c r="CC37" i="5"/>
  <c r="CD37" i="12" s="1"/>
  <c r="CC37" i="12"/>
  <c r="CA34" i="5"/>
  <c r="Y222" i="21"/>
  <c r="Z246" i="21"/>
  <c r="Z253" i="21" s="1"/>
  <c r="Z254" i="21" s="1"/>
  <c r="BW34" i="5"/>
  <c r="CB36" i="5"/>
  <c r="BS35" i="5"/>
  <c r="AB265" i="21" l="1"/>
  <c r="AB272" i="21" s="1"/>
  <c r="AB275" i="21" s="1"/>
  <c r="CB35" i="5"/>
  <c r="BS34" i="5"/>
  <c r="Y274" i="21"/>
  <c r="BW33" i="5"/>
  <c r="Y207" i="21"/>
  <c r="Y214" i="21" s="1"/>
  <c r="Y215" i="21" s="1"/>
  <c r="X183" i="21"/>
  <c r="X222" i="21"/>
  <c r="Y246" i="21"/>
  <c r="Y253" i="21" s="1"/>
  <c r="Y254" i="21" s="1"/>
  <c r="CA33" i="5"/>
  <c r="AA277" i="21"/>
  <c r="Z276" i="21"/>
  <c r="AA262" i="21"/>
  <c r="BU33" i="5"/>
  <c r="CM35" i="5"/>
  <c r="CC36" i="12"/>
  <c r="CC36" i="5"/>
  <c r="CD36" i="12" s="1"/>
  <c r="Y278" i="21"/>
  <c r="BV33" i="5"/>
  <c r="AA265" i="21" l="1"/>
  <c r="AA272" i="21" s="1"/>
  <c r="AA275" i="21" s="1"/>
  <c r="Z262" i="21"/>
  <c r="Y276" i="21"/>
  <c r="Y277" i="21" s="1"/>
  <c r="BS33" i="5"/>
  <c r="CB34" i="5"/>
  <c r="CA32" i="5"/>
  <c r="BU32" i="5"/>
  <c r="BV32" i="5"/>
  <c r="X274" i="21"/>
  <c r="BW32" i="5"/>
  <c r="CM34" i="5"/>
  <c r="CC35" i="5"/>
  <c r="CD35" i="12" s="1"/>
  <c r="CC35" i="12"/>
  <c r="X278" i="21"/>
  <c r="W222" i="21"/>
  <c r="X246" i="21"/>
  <c r="X253" i="21" s="1"/>
  <c r="X254" i="21" s="1"/>
  <c r="W183" i="21"/>
  <c r="X207" i="21"/>
  <c r="X214" i="21" s="1"/>
  <c r="X215" i="21" s="1"/>
  <c r="Z277" i="21"/>
  <c r="Z265" i="21" l="1"/>
  <c r="Z272" i="21" s="1"/>
  <c r="Z275" i="21" s="1"/>
  <c r="CA31" i="5"/>
  <c r="BW31" i="5"/>
  <c r="CM33" i="5"/>
  <c r="CC34" i="12"/>
  <c r="CC34" i="5"/>
  <c r="CD34" i="12" s="1"/>
  <c r="BS32" i="5"/>
  <c r="CB33" i="5"/>
  <c r="V222" i="21"/>
  <c r="W246" i="21"/>
  <c r="W253" i="21" s="1"/>
  <c r="W254" i="21" s="1"/>
  <c r="W274" i="21"/>
  <c r="V183" i="21"/>
  <c r="W207" i="21"/>
  <c r="W214" i="21" s="1"/>
  <c r="W215" i="21" s="1"/>
  <c r="BV31" i="5"/>
  <c r="BU31" i="5"/>
  <c r="Y262" i="21"/>
  <c r="X276" i="21"/>
  <c r="X277" i="21" s="1"/>
  <c r="W278" i="21"/>
  <c r="Y265" i="21" l="1"/>
  <c r="Y272" i="21" s="1"/>
  <c r="Y275" i="21" s="1"/>
  <c r="BV30" i="5"/>
  <c r="U222" i="21"/>
  <c r="V246" i="21"/>
  <c r="V253" i="21" s="1"/>
  <c r="V254" i="21" s="1"/>
  <c r="BW30" i="5"/>
  <c r="CB32" i="5"/>
  <c r="BS31" i="5"/>
  <c r="V278" i="21"/>
  <c r="CM32" i="5"/>
  <c r="CC33" i="5"/>
  <c r="CD33" i="12" s="1"/>
  <c r="CC33" i="12"/>
  <c r="CA30" i="5"/>
  <c r="U183" i="21"/>
  <c r="V207" i="21"/>
  <c r="V214" i="21" s="1"/>
  <c r="V215" i="21" s="1"/>
  <c r="W276" i="21"/>
  <c r="X262" i="21"/>
  <c r="X265" i="21" s="1"/>
  <c r="BU30" i="5"/>
  <c r="V274" i="21"/>
  <c r="U274" i="21" l="1"/>
  <c r="T222" i="21"/>
  <c r="U246" i="21"/>
  <c r="U253" i="21" s="1"/>
  <c r="U254" i="21" s="1"/>
  <c r="V276" i="21"/>
  <c r="V277" i="21" s="1"/>
  <c r="W262" i="21"/>
  <c r="BW29" i="5"/>
  <c r="U278" i="21"/>
  <c r="CA29" i="5"/>
  <c r="BU29" i="5"/>
  <c r="BV29" i="5"/>
  <c r="CM31" i="5"/>
  <c r="CC32" i="5"/>
  <c r="CD32" i="12" s="1"/>
  <c r="CC32" i="12"/>
  <c r="T183" i="21"/>
  <c r="U207" i="21"/>
  <c r="U214" i="21" s="1"/>
  <c r="U215" i="21" s="1"/>
  <c r="X272" i="21"/>
  <c r="X275" i="21" s="1"/>
  <c r="BS30" i="5"/>
  <c r="CB31" i="5"/>
  <c r="W277" i="21"/>
  <c r="W265" i="21" l="1"/>
  <c r="W272" i="21" s="1"/>
  <c r="W275" i="21" s="1"/>
  <c r="T274" i="21"/>
  <c r="V262" i="21"/>
  <c r="U276" i="21"/>
  <c r="U277" i="21" s="1"/>
  <c r="BW28" i="5"/>
  <c r="T207" i="21"/>
  <c r="T214" i="21" s="1"/>
  <c r="T215" i="21" s="1"/>
  <c r="S183" i="21"/>
  <c r="T278" i="21"/>
  <c r="BV28" i="5"/>
  <c r="BU28" i="5"/>
  <c r="CA28" i="5"/>
  <c r="BS29" i="5"/>
  <c r="CB30" i="5"/>
  <c r="S222" i="21"/>
  <c r="T246" i="21"/>
  <c r="T253" i="21" s="1"/>
  <c r="T254" i="21" s="1"/>
  <c r="CM30" i="5"/>
  <c r="CC31" i="5"/>
  <c r="CD31" i="12" s="1"/>
  <c r="CC31" i="12"/>
  <c r="V265" i="21" l="1"/>
  <c r="V272" i="21" s="1"/>
  <c r="V275" i="21" s="1"/>
  <c r="BV27" i="5"/>
  <c r="S207" i="21"/>
  <c r="S214" i="21" s="1"/>
  <c r="S215" i="21" s="1"/>
  <c r="R183" i="21"/>
  <c r="BW27" i="5"/>
  <c r="R222" i="21"/>
  <c r="S246" i="21"/>
  <c r="S253" i="21" s="1"/>
  <c r="S254" i="21" s="1"/>
  <c r="S274" i="21"/>
  <c r="CM29" i="5"/>
  <c r="CC30" i="12"/>
  <c r="CC30" i="5"/>
  <c r="CD30" i="12" s="1"/>
  <c r="U262" i="21"/>
  <c r="U265" i="21" s="1"/>
  <c r="T276" i="21"/>
  <c r="T277" i="21" s="1"/>
  <c r="S278" i="21"/>
  <c r="CA27" i="5"/>
  <c r="CB29" i="5"/>
  <c r="BS28" i="5"/>
  <c r="BU27" i="5"/>
  <c r="BU26" i="5" l="1"/>
  <c r="Q183" i="21"/>
  <c r="R207" i="21"/>
  <c r="R214" i="21" s="1"/>
  <c r="R215" i="21" s="1"/>
  <c r="CA26" i="5"/>
  <c r="BW26" i="5"/>
  <c r="R278" i="21"/>
  <c r="R274" i="21"/>
  <c r="S276" i="21"/>
  <c r="T262" i="21"/>
  <c r="T265" i="21" s="1"/>
  <c r="CB28" i="5"/>
  <c r="BS27" i="5"/>
  <c r="Q222" i="21"/>
  <c r="R246" i="21"/>
  <c r="R253" i="21" s="1"/>
  <c r="R254" i="21" s="1"/>
  <c r="BV26" i="5"/>
  <c r="CM28" i="5"/>
  <c r="CC29" i="5"/>
  <c r="CD29" i="12" s="1"/>
  <c r="CC29" i="12"/>
  <c r="U272" i="21"/>
  <c r="U275" i="21" s="1"/>
  <c r="BV25" i="5" l="1"/>
  <c r="T272" i="21"/>
  <c r="T275" i="21" s="1"/>
  <c r="BW25" i="5"/>
  <c r="P222" i="21"/>
  <c r="Q246" i="21"/>
  <c r="Q253" i="21" s="1"/>
  <c r="Q254" i="21" s="1"/>
  <c r="CA25" i="5"/>
  <c r="S262" i="21"/>
  <c r="R276" i="21"/>
  <c r="R277" i="21" s="1"/>
  <c r="P183" i="21"/>
  <c r="Q207" i="21"/>
  <c r="Q214" i="21" s="1"/>
  <c r="Q215" i="21" s="1"/>
  <c r="Q278" i="21"/>
  <c r="CB27" i="5"/>
  <c r="BS26" i="5"/>
  <c r="CM27" i="5"/>
  <c r="CC28" i="5"/>
  <c r="CD28" i="12" s="1"/>
  <c r="CC28" i="12"/>
  <c r="Q274" i="21"/>
  <c r="S277" i="21"/>
  <c r="BU25" i="5"/>
  <c r="S265" i="21" l="1"/>
  <c r="S272" i="21" s="1"/>
  <c r="S275" i="21" s="1"/>
  <c r="BW24" i="5"/>
  <c r="CM26" i="5"/>
  <c r="CC27" i="12"/>
  <c r="CC27" i="5"/>
  <c r="CD27" i="12" s="1"/>
  <c r="Q276" i="21"/>
  <c r="Q277" i="21" s="1"/>
  <c r="R262" i="21"/>
  <c r="CB26" i="5"/>
  <c r="BS25" i="5"/>
  <c r="P278" i="21"/>
  <c r="CA24" i="5"/>
  <c r="BU24" i="5"/>
  <c r="P274" i="21"/>
  <c r="O222" i="21"/>
  <c r="P246" i="21"/>
  <c r="P253" i="21" s="1"/>
  <c r="P254" i="21" s="1"/>
  <c r="O183" i="21"/>
  <c r="P207" i="21"/>
  <c r="P214" i="21" s="1"/>
  <c r="P215" i="21" s="1"/>
  <c r="BV24" i="5"/>
  <c r="R265" i="21" l="1"/>
  <c r="R272" i="21" s="1"/>
  <c r="R275" i="21" s="1"/>
  <c r="O278" i="21"/>
  <c r="P276" i="21"/>
  <c r="P277" i="21" s="1"/>
  <c r="Q262" i="21"/>
  <c r="Q265" i="21" s="1"/>
  <c r="BV23" i="5"/>
  <c r="O274" i="21"/>
  <c r="CM25" i="5"/>
  <c r="CC26" i="5"/>
  <c r="CD26" i="12" s="1"/>
  <c r="CC26" i="12"/>
  <c r="N222" i="21"/>
  <c r="O246" i="21"/>
  <c r="O253" i="21" s="1"/>
  <c r="O254" i="21" s="1"/>
  <c r="BU23" i="5"/>
  <c r="BS24" i="5"/>
  <c r="CB25" i="5"/>
  <c r="N183" i="21"/>
  <c r="O207" i="21"/>
  <c r="O214" i="21" s="1"/>
  <c r="O215" i="21" s="1"/>
  <c r="CA23" i="5"/>
  <c r="BW23" i="5"/>
  <c r="CM24" i="5" l="1"/>
  <c r="CC25" i="5"/>
  <c r="CD25" i="12" s="1"/>
  <c r="CC25" i="12"/>
  <c r="N278" i="21"/>
  <c r="BV22" i="5"/>
  <c r="BU22" i="5"/>
  <c r="N274" i="21"/>
  <c r="M222" i="21"/>
  <c r="N246" i="21"/>
  <c r="N253" i="21" s="1"/>
  <c r="N254" i="21" s="1"/>
  <c r="BS23" i="5"/>
  <c r="CB24" i="5"/>
  <c r="Q272" i="21"/>
  <c r="Q275" i="21" s="1"/>
  <c r="N207" i="21"/>
  <c r="N214" i="21" s="1"/>
  <c r="N215" i="21" s="1"/>
  <c r="M183" i="21"/>
  <c r="P262" i="21"/>
  <c r="P265" i="21" s="1"/>
  <c r="O276" i="21"/>
  <c r="BW22" i="5"/>
  <c r="CA22" i="5"/>
  <c r="BU21" i="5" l="1"/>
  <c r="BS22" i="5"/>
  <c r="CB23" i="5"/>
  <c r="M274" i="21"/>
  <c r="P272" i="21"/>
  <c r="P275" i="21" s="1"/>
  <c r="BW21" i="5"/>
  <c r="N276" i="21"/>
  <c r="O262" i="21"/>
  <c r="O265" i="21" s="1"/>
  <c r="BV21" i="5"/>
  <c r="L183" i="21"/>
  <c r="M207" i="21"/>
  <c r="M214" i="21" s="1"/>
  <c r="M215" i="21" s="1"/>
  <c r="CA21" i="5"/>
  <c r="L222" i="21"/>
  <c r="M246" i="21"/>
  <c r="M253" i="21" s="1"/>
  <c r="M254" i="21" s="1"/>
  <c r="CM23" i="5"/>
  <c r="CC24" i="5"/>
  <c r="CD24" i="12" s="1"/>
  <c r="CC24" i="12"/>
  <c r="M278" i="21"/>
  <c r="O277" i="21"/>
  <c r="N262" i="21" l="1"/>
  <c r="N265" i="21" s="1"/>
  <c r="M276" i="21"/>
  <c r="M277" i="21" s="1"/>
  <c r="L278" i="21"/>
  <c r="O272" i="21"/>
  <c r="O275" i="21" s="1"/>
  <c r="L274" i="21"/>
  <c r="K183" i="21"/>
  <c r="L207" i="21"/>
  <c r="L214" i="21" s="1"/>
  <c r="L215" i="21" s="1"/>
  <c r="N277" i="21"/>
  <c r="CB22" i="5"/>
  <c r="BS21" i="5"/>
  <c r="BV20" i="5"/>
  <c r="K222" i="21"/>
  <c r="L246" i="21"/>
  <c r="L253" i="21" s="1"/>
  <c r="L254" i="21" s="1"/>
  <c r="CA20" i="5"/>
  <c r="CM22" i="5"/>
  <c r="CC23" i="5"/>
  <c r="CD23" i="12" s="1"/>
  <c r="CC23" i="12"/>
  <c r="BW20" i="5"/>
  <c r="BU20" i="5"/>
  <c r="BW19" i="5" l="1"/>
  <c r="BV19" i="5"/>
  <c r="J183" i="21"/>
  <c r="K207" i="21"/>
  <c r="K214" i="21" s="1"/>
  <c r="K215" i="21" s="1"/>
  <c r="M262" i="21"/>
  <c r="M265" i="21" s="1"/>
  <c r="L276" i="21"/>
  <c r="L277" i="21" s="1"/>
  <c r="BS20" i="5"/>
  <c r="CB21" i="5"/>
  <c r="BU19" i="5"/>
  <c r="CA19" i="5"/>
  <c r="J222" i="21"/>
  <c r="K246" i="21"/>
  <c r="K253" i="21" s="1"/>
  <c r="K254" i="21" s="1"/>
  <c r="CM21" i="5"/>
  <c r="CC22" i="12"/>
  <c r="CC22" i="5"/>
  <c r="CD22" i="12" s="1"/>
  <c r="K278" i="21"/>
  <c r="K274" i="21"/>
  <c r="N272" i="21"/>
  <c r="N275" i="21" s="1"/>
  <c r="I183" i="21" l="1"/>
  <c r="J207" i="21"/>
  <c r="J214" i="21" s="1"/>
  <c r="J215" i="21" s="1"/>
  <c r="L262" i="21"/>
  <c r="L265" i="21" s="1"/>
  <c r="K276" i="21"/>
  <c r="K277" i="21" s="1"/>
  <c r="I222" i="21"/>
  <c r="J246" i="21"/>
  <c r="J253" i="21" s="1"/>
  <c r="J254" i="21" s="1"/>
  <c r="CB20" i="5"/>
  <c r="BS19" i="5"/>
  <c r="BV18" i="5"/>
  <c r="BU18" i="5"/>
  <c r="CM20" i="5"/>
  <c r="CC21" i="5"/>
  <c r="CD21" i="12" s="1"/>
  <c r="CC21" i="12"/>
  <c r="CA18" i="5"/>
  <c r="M272" i="21"/>
  <c r="M275" i="21" s="1"/>
  <c r="J278" i="21"/>
  <c r="J274" i="21"/>
  <c r="BW18" i="5"/>
  <c r="BU17" i="5" l="1"/>
  <c r="H222" i="21"/>
  <c r="I246" i="21"/>
  <c r="I253" i="21" s="1"/>
  <c r="I254" i="21" s="1"/>
  <c r="L272" i="21"/>
  <c r="L275" i="21" s="1"/>
  <c r="J276" i="21"/>
  <c r="J277" i="21" s="1"/>
  <c r="K262" i="21"/>
  <c r="K265" i="21" s="1"/>
  <c r="BV17" i="5"/>
  <c r="CB19" i="5"/>
  <c r="BS18" i="5"/>
  <c r="I274" i="21"/>
  <c r="I278" i="21"/>
  <c r="CA17" i="5"/>
  <c r="BW17" i="5"/>
  <c r="CM19" i="5"/>
  <c r="CC20" i="12"/>
  <c r="CC20" i="5"/>
  <c r="CD20" i="12" s="1"/>
  <c r="H183" i="21"/>
  <c r="I207" i="21"/>
  <c r="I214" i="21" s="1"/>
  <c r="I215" i="21" s="1"/>
  <c r="H278" i="21" l="1"/>
  <c r="BS17" i="5"/>
  <c r="CB18" i="5"/>
  <c r="G222" i="21"/>
  <c r="H246" i="21"/>
  <c r="H253" i="21" s="1"/>
  <c r="H254" i="21" s="1"/>
  <c r="BV16" i="5"/>
  <c r="I276" i="21"/>
  <c r="J262" i="21"/>
  <c r="J265" i="21" s="1"/>
  <c r="H274" i="21"/>
  <c r="CM18" i="5"/>
  <c r="CC19" i="5"/>
  <c r="CD19" i="12" s="1"/>
  <c r="CC19" i="12"/>
  <c r="BU16" i="5"/>
  <c r="BW16" i="5"/>
  <c r="K272" i="21"/>
  <c r="K275" i="21" s="1"/>
  <c r="G183" i="21"/>
  <c r="H207" i="21"/>
  <c r="H214" i="21" s="1"/>
  <c r="H215" i="21" s="1"/>
  <c r="CA16" i="5"/>
  <c r="BU15" i="5" l="1"/>
  <c r="BV15" i="5"/>
  <c r="I262" i="21"/>
  <c r="I265" i="21" s="1"/>
  <c r="H276" i="21"/>
  <c r="H277" i="21" s="1"/>
  <c r="G274" i="21"/>
  <c r="G207" i="21"/>
  <c r="G214" i="21" s="1"/>
  <c r="G215" i="21" s="1"/>
  <c r="F183" i="21"/>
  <c r="G278" i="21"/>
  <c r="CA15" i="5"/>
  <c r="BW15" i="5"/>
  <c r="CB17" i="5"/>
  <c r="BS16" i="5"/>
  <c r="F222" i="21"/>
  <c r="G246" i="21"/>
  <c r="G253" i="21" s="1"/>
  <c r="G254" i="21" s="1"/>
  <c r="J272" i="21"/>
  <c r="J275" i="21" s="1"/>
  <c r="CM17" i="5"/>
  <c r="CC18" i="12"/>
  <c r="CC18" i="5"/>
  <c r="CD18" i="12" s="1"/>
  <c r="I277" i="21"/>
  <c r="E183" i="21" l="1"/>
  <c r="F207" i="21"/>
  <c r="F214" i="21" s="1"/>
  <c r="F215" i="21" s="1"/>
  <c r="F278" i="21"/>
  <c r="E222" i="21"/>
  <c r="F246" i="21"/>
  <c r="F253" i="21" s="1"/>
  <c r="F254" i="21" s="1"/>
  <c r="CA14" i="5"/>
  <c r="CC17" i="5"/>
  <c r="CD17" i="12" s="1"/>
  <c r="CM16" i="5"/>
  <c r="CC17" i="12"/>
  <c r="G276" i="21"/>
  <c r="G277" i="21" s="1"/>
  <c r="H262" i="21"/>
  <c r="H265" i="21" s="1"/>
  <c r="I272" i="21"/>
  <c r="I275" i="21" s="1"/>
  <c r="BU14" i="5"/>
  <c r="F274" i="21"/>
  <c r="BW14" i="5"/>
  <c r="BV14" i="5"/>
  <c r="CB16" i="5"/>
  <c r="BS15" i="5"/>
  <c r="CB15" i="5" l="1"/>
  <c r="BS14" i="5"/>
  <c r="H272" i="21"/>
  <c r="H275" i="21" s="1"/>
  <c r="BW13" i="5"/>
  <c r="G262" i="21"/>
  <c r="G265" i="21" s="1"/>
  <c r="F276" i="21"/>
  <c r="BU13" i="5"/>
  <c r="BV13" i="5"/>
  <c r="D222" i="21"/>
  <c r="E246" i="21"/>
  <c r="E253" i="21" s="1"/>
  <c r="E254" i="21" s="1"/>
  <c r="CA13" i="5"/>
  <c r="E274" i="21"/>
  <c r="E278" i="21"/>
  <c r="CM15" i="5"/>
  <c r="CC16" i="5"/>
  <c r="CD16" i="12" s="1"/>
  <c r="CC16" i="12"/>
  <c r="D183" i="21"/>
  <c r="E207" i="21"/>
  <c r="E214" i="21" s="1"/>
  <c r="E215" i="21" s="1"/>
  <c r="D274" i="21" l="1"/>
  <c r="CB14" i="5"/>
  <c r="BS13" i="5"/>
  <c r="F262" i="21"/>
  <c r="F265" i="21" s="1"/>
  <c r="E276" i="21"/>
  <c r="E277" i="21" s="1"/>
  <c r="C183" i="21"/>
  <c r="D207" i="21"/>
  <c r="D214" i="21" s="1"/>
  <c r="D215" i="21" s="1"/>
  <c r="CM14" i="5"/>
  <c r="CC15" i="5"/>
  <c r="CD15" i="12" s="1"/>
  <c r="CC15" i="12"/>
  <c r="F277" i="21"/>
  <c r="D278" i="21"/>
  <c r="G272" i="21"/>
  <c r="G275" i="21" s="1"/>
  <c r="C222" i="21"/>
  <c r="D246" i="21"/>
  <c r="D253" i="21" s="1"/>
  <c r="D254" i="21" s="1"/>
  <c r="C278" i="21" l="1"/>
  <c r="CC14" i="5"/>
  <c r="CD14" i="12" s="1"/>
  <c r="CC14" i="12"/>
  <c r="CM13" i="5"/>
  <c r="CB13" i="5"/>
  <c r="F272" i="21"/>
  <c r="F275" i="21" s="1"/>
  <c r="B183" i="21"/>
  <c r="B207" i="21" s="1"/>
  <c r="C207" i="21"/>
  <c r="E262" i="21"/>
  <c r="E265" i="21" s="1"/>
  <c r="D276" i="21"/>
  <c r="D277" i="21" s="1"/>
  <c r="C274" i="21"/>
  <c r="B222" i="21"/>
  <c r="B246" i="21" s="1"/>
  <c r="C246" i="21"/>
  <c r="C253" i="21" l="1"/>
  <c r="B214" i="21"/>
  <c r="C214" i="21"/>
  <c r="B253" i="21"/>
  <c r="CC13" i="5"/>
  <c r="CD13" i="12" s="1"/>
  <c r="CF13" i="12" s="1"/>
  <c r="CC13" i="12"/>
  <c r="CE13" i="5"/>
  <c r="B274" i="21"/>
  <c r="D262" i="21"/>
  <c r="D265" i="21" s="1"/>
  <c r="C276" i="21"/>
  <c r="C277" i="21" s="1"/>
  <c r="B262" i="21"/>
  <c r="V2" i="31" s="1"/>
  <c r="V1" i="31" s="1"/>
  <c r="E272" i="21"/>
  <c r="E275" i="21" s="1"/>
  <c r="B278" i="21"/>
  <c r="W2" i="31" s="1"/>
  <c r="W1" i="31" s="1"/>
  <c r="B254" i="21" l="1"/>
  <c r="C215" i="21"/>
  <c r="B215" i="21"/>
  <c r="B265" i="21"/>
  <c r="C254" i="21"/>
  <c r="CS13" i="12"/>
  <c r="CL13" i="12"/>
  <c r="CG13" i="12"/>
  <c r="CI13" i="12" s="1"/>
  <c r="CJ13" i="12" s="1"/>
  <c r="CL13" i="5"/>
  <c r="CN13" i="5" s="1"/>
  <c r="CO13" i="5"/>
  <c r="B276" i="21"/>
  <c r="C262" i="21"/>
  <c r="C265" i="21" s="1"/>
  <c r="B216" i="21" l="1"/>
  <c r="B217" i="21" s="1"/>
  <c r="B277" i="21"/>
  <c r="B255" i="21"/>
  <c r="B272" i="21"/>
  <c r="CE14" i="5"/>
  <c r="CL14" i="5" s="1"/>
  <c r="CN14" i="5" s="1"/>
  <c r="CE15" i="5" s="1"/>
  <c r="CF14" i="12"/>
  <c r="CG14" i="12" s="1"/>
  <c r="CI14" i="12" s="1"/>
  <c r="CJ14" i="12" s="1"/>
  <c r="CF15" i="12" s="1"/>
  <c r="CG15" i="12" s="1"/>
  <c r="CI15" i="12" s="1"/>
  <c r="CJ15" i="12" s="1"/>
  <c r="CF16" i="12" s="1"/>
  <c r="CG16" i="12" s="1"/>
  <c r="CI16" i="12" s="1"/>
  <c r="CJ16" i="12" s="1"/>
  <c r="CF17" i="12" s="1"/>
  <c r="CG17" i="12" s="1"/>
  <c r="CI17" i="12" s="1"/>
  <c r="CJ17" i="12" s="1"/>
  <c r="CF18" i="12" s="1"/>
  <c r="CG18" i="12" s="1"/>
  <c r="CI18" i="12" s="1"/>
  <c r="CJ18" i="12" s="1"/>
  <c r="CF19" i="12" s="1"/>
  <c r="CG19" i="12" s="1"/>
  <c r="CI19" i="12" s="1"/>
  <c r="CJ19" i="12" s="1"/>
  <c r="CF20" i="12" s="1"/>
  <c r="CG20" i="12" s="1"/>
  <c r="CI20" i="12" s="1"/>
  <c r="CJ20" i="12" s="1"/>
  <c r="CF21" i="12" s="1"/>
  <c r="CG21" i="12" s="1"/>
  <c r="CI21" i="12" s="1"/>
  <c r="CJ21" i="12" s="1"/>
  <c r="CF22" i="12" s="1"/>
  <c r="CG22" i="12" s="1"/>
  <c r="CI22" i="12" s="1"/>
  <c r="CJ22" i="12" s="1"/>
  <c r="CF23" i="12" s="1"/>
  <c r="CG23" i="12" s="1"/>
  <c r="CI23" i="12" s="1"/>
  <c r="CJ23" i="12" s="1"/>
  <c r="CF24" i="12" s="1"/>
  <c r="CG24" i="12" s="1"/>
  <c r="CI24" i="12" s="1"/>
  <c r="CJ24" i="12" s="1"/>
  <c r="CF25" i="12" s="1"/>
  <c r="CG25" i="12" s="1"/>
  <c r="CI25" i="12" s="1"/>
  <c r="CJ25" i="12" s="1"/>
  <c r="CF26" i="12" s="1"/>
  <c r="CG26" i="12" s="1"/>
  <c r="CI26" i="12" s="1"/>
  <c r="CJ26" i="12" s="1"/>
  <c r="CF27" i="12" s="1"/>
  <c r="CG27" i="12" s="1"/>
  <c r="CI27" i="12" s="1"/>
  <c r="B281" i="21"/>
  <c r="X2" i="31" s="1"/>
  <c r="X1" i="31" s="1"/>
  <c r="CM13" i="12"/>
  <c r="CO13" i="12" s="1"/>
  <c r="CP13" i="12" s="1"/>
  <c r="D272" i="21"/>
  <c r="D275" i="21" s="1"/>
  <c r="GC265" i="21"/>
  <c r="B275" i="21" l="1"/>
  <c r="B256" i="21"/>
  <c r="CO14" i="5"/>
  <c r="B218" i="21"/>
  <c r="CL14" i="12"/>
  <c r="CM14" i="12" s="1"/>
  <c r="CO14" i="12" s="1"/>
  <c r="CJ27" i="12"/>
  <c r="CF28" i="12" s="1"/>
  <c r="CG28" i="12" s="1"/>
  <c r="CI28" i="12" s="1"/>
  <c r="CJ28" i="12" s="1"/>
  <c r="CF29" i="12" s="1"/>
  <c r="CG29" i="12" s="1"/>
  <c r="CI29" i="12" s="1"/>
  <c r="CJ29" i="12" s="1"/>
  <c r="CF30" i="12" s="1"/>
  <c r="CG30" i="12" s="1"/>
  <c r="CI30" i="12" s="1"/>
  <c r="CJ30" i="12" s="1"/>
  <c r="CF31" i="12" s="1"/>
  <c r="CG31" i="12" s="1"/>
  <c r="CI31" i="12" s="1"/>
  <c r="CJ31" i="12" s="1"/>
  <c r="CF32" i="12" s="1"/>
  <c r="CG32" i="12" s="1"/>
  <c r="CI32" i="12" s="1"/>
  <c r="CJ32" i="12" s="1"/>
  <c r="CF33" i="12" s="1"/>
  <c r="CG33" i="12" s="1"/>
  <c r="CI33" i="12" s="1"/>
  <c r="CJ33" i="12" s="1"/>
  <c r="CF34" i="12" s="1"/>
  <c r="CG34" i="12" s="1"/>
  <c r="CI34" i="12" s="1"/>
  <c r="CJ34" i="12" s="1"/>
  <c r="CF35" i="12" s="1"/>
  <c r="CG35" i="12" s="1"/>
  <c r="CI35" i="12" s="1"/>
  <c r="CJ35" i="12" s="1"/>
  <c r="CF36" i="12" s="1"/>
  <c r="CG36" i="12" s="1"/>
  <c r="CI36" i="12" s="1"/>
  <c r="B282" i="21"/>
  <c r="B320" i="21"/>
  <c r="AB2" i="31" s="1"/>
  <c r="AB1" i="31" s="1"/>
  <c r="B303" i="21"/>
  <c r="Z2" i="31" s="1"/>
  <c r="Z1" i="31" s="1"/>
  <c r="B300" i="21"/>
  <c r="CO15" i="5"/>
  <c r="CL15" i="5"/>
  <c r="CN15" i="5" s="1"/>
  <c r="CE16" i="5" s="1"/>
  <c r="C272" i="21"/>
  <c r="C275" i="21" s="1"/>
  <c r="CT13" i="12"/>
  <c r="B219" i="21" l="1"/>
  <c r="B257" i="21"/>
  <c r="B304" i="21"/>
  <c r="CJ36" i="12"/>
  <c r="CF37" i="12" s="1"/>
  <c r="CG37" i="12" s="1"/>
  <c r="CI37" i="12" s="1"/>
  <c r="CJ37" i="12" s="1"/>
  <c r="CF38" i="12" s="1"/>
  <c r="CG38" i="12" s="1"/>
  <c r="CI38" i="12" s="1"/>
  <c r="CJ38" i="12" s="1"/>
  <c r="CF39" i="12" s="1"/>
  <c r="CG39" i="12" s="1"/>
  <c r="CI39" i="12" s="1"/>
  <c r="CJ39" i="12" s="1"/>
  <c r="CF40" i="12" s="1"/>
  <c r="CG40" i="12" s="1"/>
  <c r="CI40" i="12" s="1"/>
  <c r="CJ40" i="12" s="1"/>
  <c r="CF41" i="12" s="1"/>
  <c r="CG41" i="12" s="1"/>
  <c r="CI41" i="12" s="1"/>
  <c r="B283" i="21"/>
  <c r="CP14" i="12"/>
  <c r="CL15" i="12" s="1"/>
  <c r="CM15" i="12" s="1"/>
  <c r="CO15" i="12" s="1"/>
  <c r="CP15" i="12" s="1"/>
  <c r="CL16" i="12" s="1"/>
  <c r="CM16" i="12" s="1"/>
  <c r="CO16" i="12" s="1"/>
  <c r="B333" i="21"/>
  <c r="CW13" i="12"/>
  <c r="CY13" i="12"/>
  <c r="CU13" i="12"/>
  <c r="CZ13" i="12"/>
  <c r="CX13" i="12"/>
  <c r="CV13" i="12"/>
  <c r="CL16" i="5"/>
  <c r="CN16" i="5" s="1"/>
  <c r="CE17" i="5" s="1"/>
  <c r="CO16" i="5"/>
  <c r="B309" i="21" l="1"/>
  <c r="B292" i="21"/>
  <c r="B258" i="21"/>
  <c r="C216" i="21"/>
  <c r="DA13" i="12"/>
  <c r="CP16" i="12"/>
  <c r="CL17" i="12" s="1"/>
  <c r="CM17" i="12" s="1"/>
  <c r="CO17" i="12" s="1"/>
  <c r="CP17" i="12" s="1"/>
  <c r="CL18" i="12" s="1"/>
  <c r="CM18" i="12" s="1"/>
  <c r="CO18" i="12" s="1"/>
  <c r="CP18" i="12" s="1"/>
  <c r="CL19" i="12" s="1"/>
  <c r="CM19" i="12" s="1"/>
  <c r="CO19" i="12" s="1"/>
  <c r="CP19" i="12" s="1"/>
  <c r="CL20" i="12" s="1"/>
  <c r="CM20" i="12" s="1"/>
  <c r="CO20" i="12" s="1"/>
  <c r="CP20" i="12" s="1"/>
  <c r="CL21" i="12" s="1"/>
  <c r="B321" i="21"/>
  <c r="B325" i="21"/>
  <c r="B322" i="21"/>
  <c r="B323" i="21"/>
  <c r="B326" i="21"/>
  <c r="B324" i="21"/>
  <c r="B327" i="21"/>
  <c r="CJ41" i="12"/>
  <c r="CF42" i="12" s="1"/>
  <c r="CG42" i="12" s="1"/>
  <c r="CI42" i="12" s="1"/>
  <c r="CJ42" i="12" s="1"/>
  <c r="CF43" i="12" s="1"/>
  <c r="CG43" i="12" s="1"/>
  <c r="CI43" i="12" s="1"/>
  <c r="CJ43" i="12" s="1"/>
  <c r="CF44" i="12" s="1"/>
  <c r="CG44" i="12" s="1"/>
  <c r="CI44" i="12" s="1"/>
  <c r="CL17" i="5"/>
  <c r="CN17" i="5" s="1"/>
  <c r="CE18" i="5" s="1"/>
  <c r="CO17" i="5"/>
  <c r="C281" i="21" l="1"/>
  <c r="C300" i="21" s="1"/>
  <c r="C217" i="21"/>
  <c r="C218" i="21" s="1"/>
  <c r="B295" i="21"/>
  <c r="C255" i="21"/>
  <c r="B331" i="21"/>
  <c r="CS14" i="12"/>
  <c r="CT14" i="12" s="1"/>
  <c r="CY14" i="12" s="1"/>
  <c r="CJ44" i="12"/>
  <c r="CF45" i="12" s="1"/>
  <c r="CG45" i="12" s="1"/>
  <c r="CI45" i="12" s="1"/>
  <c r="CJ45" i="12" s="1"/>
  <c r="CF46" i="12" s="1"/>
  <c r="CG46" i="12" s="1"/>
  <c r="CI46" i="12" s="1"/>
  <c r="CJ46" i="12" s="1"/>
  <c r="CF47" i="12" s="1"/>
  <c r="CG47" i="12" s="1"/>
  <c r="CI47" i="12" s="1"/>
  <c r="CJ47" i="12" s="1"/>
  <c r="CF48" i="12" s="1"/>
  <c r="CG48" i="12" s="1"/>
  <c r="CI48" i="12" s="1"/>
  <c r="CJ48" i="12" s="1"/>
  <c r="CF49" i="12" s="1"/>
  <c r="CG49" i="12" s="1"/>
  <c r="CI49" i="12" s="1"/>
  <c r="CJ49" i="12" s="1"/>
  <c r="CF50" i="12" s="1"/>
  <c r="CG50" i="12" s="1"/>
  <c r="CI50" i="12" s="1"/>
  <c r="CJ50" i="12" s="1"/>
  <c r="CF51" i="12" s="1"/>
  <c r="CG51" i="12" s="1"/>
  <c r="CI51" i="12" s="1"/>
  <c r="CJ51" i="12" s="1"/>
  <c r="CF52" i="12" s="1"/>
  <c r="CG52" i="12" s="1"/>
  <c r="CI52" i="12" s="1"/>
  <c r="CM21" i="12"/>
  <c r="CO21" i="12" s="1"/>
  <c r="CL18" i="5"/>
  <c r="CN18" i="5" s="1"/>
  <c r="CE19" i="5" s="1"/>
  <c r="CO18" i="5"/>
  <c r="C282" i="21" l="1"/>
  <c r="C283" i="21" s="1"/>
  <c r="C219" i="21"/>
  <c r="D216" i="21" s="1"/>
  <c r="D217" i="21" s="1"/>
  <c r="D218" i="21" s="1"/>
  <c r="D219" i="21" s="1"/>
  <c r="E216" i="21" s="1"/>
  <c r="CV14" i="12"/>
  <c r="B297" i="21"/>
  <c r="Y2" i="31" s="1"/>
  <c r="Y1" i="31" s="1"/>
  <c r="C256" i="21"/>
  <c r="C257" i="21" s="1"/>
  <c r="C258" i="21" s="1"/>
  <c r="D255" i="21" s="1"/>
  <c r="CZ14" i="12"/>
  <c r="B294" i="21"/>
  <c r="CX14" i="12"/>
  <c r="CU14" i="12"/>
  <c r="CW14" i="12"/>
  <c r="CP21" i="12"/>
  <c r="CL22" i="12" s="1"/>
  <c r="CM22" i="12" s="1"/>
  <c r="CO22" i="12" s="1"/>
  <c r="CP22" i="12" s="1"/>
  <c r="CL23" i="12" s="1"/>
  <c r="CM23" i="12" s="1"/>
  <c r="CO23" i="12" s="1"/>
  <c r="CP23" i="12" s="1"/>
  <c r="CL24" i="12" s="1"/>
  <c r="CM24" i="12" s="1"/>
  <c r="CO24" i="12" s="1"/>
  <c r="CP24" i="12" s="1"/>
  <c r="CL25" i="12" s="1"/>
  <c r="CJ52" i="12"/>
  <c r="CF53" i="12" s="1"/>
  <c r="CG53" i="12" s="1"/>
  <c r="CI53" i="12" s="1"/>
  <c r="CJ53" i="12" s="1"/>
  <c r="CF54" i="12" s="1"/>
  <c r="CG54" i="12" s="1"/>
  <c r="CI54" i="12" s="1"/>
  <c r="CJ54" i="12" s="1"/>
  <c r="CF55" i="12" s="1"/>
  <c r="CG55" i="12" s="1"/>
  <c r="CI55" i="12" s="1"/>
  <c r="CJ55" i="12" s="1"/>
  <c r="CF56" i="12" s="1"/>
  <c r="CG56" i="12" s="1"/>
  <c r="CI56" i="12" s="1"/>
  <c r="CJ56" i="12" s="1"/>
  <c r="CF57" i="12" s="1"/>
  <c r="CG57" i="12" s="1"/>
  <c r="CI57" i="12" s="1"/>
  <c r="CJ57" i="12" s="1"/>
  <c r="CF58" i="12" s="1"/>
  <c r="CG58" i="12" s="1"/>
  <c r="CI58" i="12" s="1"/>
  <c r="CO19" i="5"/>
  <c r="CL19" i="5"/>
  <c r="CN19" i="5" s="1"/>
  <c r="CE20" i="5" s="1"/>
  <c r="C295" i="21" l="1"/>
  <c r="C292" i="21"/>
  <c r="DA14" i="12"/>
  <c r="CS15" i="12" s="1"/>
  <c r="CT15" i="12" s="1"/>
  <c r="CZ15" i="12" s="1"/>
  <c r="E217" i="21"/>
  <c r="E218" i="21" s="1"/>
  <c r="E219" i="21" s="1"/>
  <c r="F216" i="21" s="1"/>
  <c r="D295" i="21"/>
  <c r="B317" i="21"/>
  <c r="C297" i="21"/>
  <c r="C296" i="21" s="1"/>
  <c r="D256" i="21"/>
  <c r="D257" i="21" s="1"/>
  <c r="D258" i="21" s="1"/>
  <c r="E255" i="21" s="1"/>
  <c r="B296" i="21"/>
  <c r="D281" i="21"/>
  <c r="C294" i="21"/>
  <c r="CJ58" i="12"/>
  <c r="CF59" i="12" s="1"/>
  <c r="CG59" i="12" s="1"/>
  <c r="CI59" i="12" s="1"/>
  <c r="CJ59" i="12" s="1"/>
  <c r="CF60" i="12" s="1"/>
  <c r="CG60" i="12" s="1"/>
  <c r="CI60" i="12" s="1"/>
  <c r="CJ60" i="12" s="1"/>
  <c r="CF61" i="12" s="1"/>
  <c r="CG61" i="12" s="1"/>
  <c r="CI61" i="12" s="1"/>
  <c r="CJ61" i="12" s="1"/>
  <c r="CF62" i="12" s="1"/>
  <c r="CG62" i="12" s="1"/>
  <c r="CI62" i="12" s="1"/>
  <c r="CJ62" i="12" s="1"/>
  <c r="CF63" i="12" s="1"/>
  <c r="CG63" i="12" s="1"/>
  <c r="CI63" i="12" s="1"/>
  <c r="CJ63" i="12" s="1"/>
  <c r="CF64" i="12" s="1"/>
  <c r="CG64" i="12" s="1"/>
  <c r="CI64" i="12" s="1"/>
  <c r="CJ64" i="12" s="1"/>
  <c r="CF65" i="12" s="1"/>
  <c r="CG65" i="12" s="1"/>
  <c r="CI65" i="12" s="1"/>
  <c r="CM25" i="12"/>
  <c r="CO25" i="12" s="1"/>
  <c r="CL20" i="5"/>
  <c r="CN20" i="5" s="1"/>
  <c r="CE21" i="5" s="1"/>
  <c r="CO20" i="5"/>
  <c r="CU15" i="12" l="1"/>
  <c r="CW15" i="12"/>
  <c r="CV15" i="12"/>
  <c r="CX15" i="12"/>
  <c r="CY15" i="12"/>
  <c r="D297" i="21"/>
  <c r="D296" i="21" s="1"/>
  <c r="E256" i="21"/>
  <c r="E257" i="21" s="1"/>
  <c r="E258" i="21" s="1"/>
  <c r="F255" i="21" s="1"/>
  <c r="B316" i="21"/>
  <c r="AA2" i="31" s="1"/>
  <c r="AA1" i="31" s="1"/>
  <c r="B330" i="21"/>
  <c r="E295" i="21"/>
  <c r="F217" i="21"/>
  <c r="F218" i="21" s="1"/>
  <c r="D300" i="21"/>
  <c r="D282" i="21"/>
  <c r="D283" i="21" s="1"/>
  <c r="CP25" i="12"/>
  <c r="CL26" i="12" s="1"/>
  <c r="CM26" i="12" s="1"/>
  <c r="CO26" i="12" s="1"/>
  <c r="CJ65" i="12"/>
  <c r="CF66" i="12" s="1"/>
  <c r="CG66" i="12" s="1"/>
  <c r="CI66" i="12" s="1"/>
  <c r="CJ66" i="12" s="1"/>
  <c r="CF67" i="12" s="1"/>
  <c r="CG67" i="12" s="1"/>
  <c r="CI67" i="12" s="1"/>
  <c r="CJ67" i="12" s="1"/>
  <c r="CF68" i="12" s="1"/>
  <c r="CG68" i="12" s="1"/>
  <c r="CI68" i="12" s="1"/>
  <c r="CJ68" i="12" s="1"/>
  <c r="CF69" i="12" s="1"/>
  <c r="CO21" i="5"/>
  <c r="CL21" i="5"/>
  <c r="CN21" i="5" s="1"/>
  <c r="CE22" i="5" s="1"/>
  <c r="DA15" i="12" l="1"/>
  <c r="CS16" i="12" s="1"/>
  <c r="CT16" i="12" s="1"/>
  <c r="B332" i="21"/>
  <c r="AC2" i="31" s="1"/>
  <c r="AC1" i="31" s="1"/>
  <c r="E297" i="21"/>
  <c r="E296" i="21" s="1"/>
  <c r="F256" i="21"/>
  <c r="F257" i="21" s="1"/>
  <c r="F258" i="21" s="1"/>
  <c r="G255" i="21" s="1"/>
  <c r="F219" i="21"/>
  <c r="G216" i="21" s="1"/>
  <c r="D292" i="21"/>
  <c r="CG69" i="12"/>
  <c r="CI69" i="12" s="1"/>
  <c r="CO22" i="5"/>
  <c r="CL22" i="5"/>
  <c r="CN22" i="5" s="1"/>
  <c r="CE23" i="5" s="1"/>
  <c r="CV16" i="12"/>
  <c r="CU16" i="12"/>
  <c r="CZ16" i="12"/>
  <c r="CY16" i="12"/>
  <c r="CX16" i="12"/>
  <c r="CW16" i="12"/>
  <c r="CP26" i="12"/>
  <c r="CL27" i="12" s="1"/>
  <c r="C303" i="21" l="1"/>
  <c r="C304" i="21" s="1"/>
  <c r="F295" i="21"/>
  <c r="G217" i="21"/>
  <c r="G218" i="21" s="1"/>
  <c r="G219" i="21" s="1"/>
  <c r="H216" i="21" s="1"/>
  <c r="C317" i="21"/>
  <c r="F297" i="21"/>
  <c r="F296" i="21" s="1"/>
  <c r="G256" i="21"/>
  <c r="G257" i="21" s="1"/>
  <c r="G258" i="21" s="1"/>
  <c r="H255" i="21" s="1"/>
  <c r="CJ69" i="12"/>
  <c r="CF70" i="12" s="1"/>
  <c r="CG70" i="12" s="1"/>
  <c r="CI70" i="12" s="1"/>
  <c r="CJ70" i="12" s="1"/>
  <c r="CF71" i="12" s="1"/>
  <c r="CG71" i="12" s="1"/>
  <c r="CI71" i="12" s="1"/>
  <c r="CJ71" i="12" s="1"/>
  <c r="CF72" i="12" s="1"/>
  <c r="CG72" i="12" s="1"/>
  <c r="CI72" i="12" s="1"/>
  <c r="CJ72" i="12" s="1"/>
  <c r="CF73" i="12" s="1"/>
  <c r="CG73" i="12" s="1"/>
  <c r="CI73" i="12" s="1"/>
  <c r="CJ73" i="12" s="1"/>
  <c r="CF74" i="12" s="1"/>
  <c r="CG74" i="12" s="1"/>
  <c r="CI74" i="12" s="1"/>
  <c r="CJ74" i="12" s="1"/>
  <c r="CF75" i="12" s="1"/>
  <c r="CG75" i="12" s="1"/>
  <c r="CI75" i="12" s="1"/>
  <c r="CJ75" i="12" s="1"/>
  <c r="CF76" i="12" s="1"/>
  <c r="CG76" i="12" s="1"/>
  <c r="CI76" i="12" s="1"/>
  <c r="CJ76" i="12" s="1"/>
  <c r="CF77" i="12" s="1"/>
  <c r="CG77" i="12" s="1"/>
  <c r="CI77" i="12" s="1"/>
  <c r="CJ77" i="12" s="1"/>
  <c r="CF78" i="12" s="1"/>
  <c r="CG78" i="12" s="1"/>
  <c r="CI78" i="12" s="1"/>
  <c r="CJ78" i="12" s="1"/>
  <c r="CF79" i="12" s="1"/>
  <c r="CG79" i="12" s="1"/>
  <c r="CI79" i="12" s="1"/>
  <c r="E281" i="21"/>
  <c r="D294" i="21"/>
  <c r="DA16" i="12"/>
  <c r="CS17" i="12" s="1"/>
  <c r="CT17" i="12" s="1"/>
  <c r="CM27" i="12"/>
  <c r="CO27" i="12" s="1"/>
  <c r="CP27" i="12" s="1"/>
  <c r="CL28" i="12" s="1"/>
  <c r="CO23" i="5"/>
  <c r="CL23" i="5"/>
  <c r="CN23" i="5" s="1"/>
  <c r="CE24" i="5" s="1"/>
  <c r="C309" i="21" l="1"/>
  <c r="H256" i="21"/>
  <c r="H257" i="21" s="1"/>
  <c r="H258" i="21" s="1"/>
  <c r="I255" i="21" s="1"/>
  <c r="G297" i="21"/>
  <c r="H217" i="21"/>
  <c r="H218" i="21" s="1"/>
  <c r="H219" i="21" s="1"/>
  <c r="I216" i="21" s="1"/>
  <c r="G295" i="21"/>
  <c r="E282" i="21"/>
  <c r="E283" i="21" s="1"/>
  <c r="E292" i="21" s="1"/>
  <c r="E300" i="21"/>
  <c r="CZ17" i="12"/>
  <c r="CY17" i="12"/>
  <c r="CW17" i="12"/>
  <c r="CU17" i="12"/>
  <c r="CV17" i="12"/>
  <c r="CX17" i="12"/>
  <c r="CM28" i="12"/>
  <c r="CO28" i="12" s="1"/>
  <c r="CL24" i="5"/>
  <c r="CN24" i="5" s="1"/>
  <c r="CE25" i="5" s="1"/>
  <c r="CO24" i="5"/>
  <c r="CJ79" i="12"/>
  <c r="CF80" i="12" s="1"/>
  <c r="CG80" i="12" s="1"/>
  <c r="CI80" i="12" s="1"/>
  <c r="CJ80" i="12" s="1"/>
  <c r="CF81" i="12" s="1"/>
  <c r="CG81" i="12" s="1"/>
  <c r="CI81" i="12" s="1"/>
  <c r="CJ81" i="12" s="1"/>
  <c r="CF82" i="12" s="1"/>
  <c r="CG82" i="12" s="1"/>
  <c r="CI82" i="12" s="1"/>
  <c r="CJ82" i="12" s="1"/>
  <c r="CF83" i="12" s="1"/>
  <c r="I217" i="21" l="1"/>
  <c r="I218" i="21" s="1"/>
  <c r="H295" i="21"/>
  <c r="I219" i="21"/>
  <c r="J216" i="21" s="1"/>
  <c r="H297" i="21"/>
  <c r="H296" i="21" s="1"/>
  <c r="I256" i="21"/>
  <c r="I257" i="21" s="1"/>
  <c r="I258" i="21" s="1"/>
  <c r="J255" i="21" s="1"/>
  <c r="G296" i="21"/>
  <c r="C316" i="21"/>
  <c r="CP28" i="12"/>
  <c r="CL29" i="12" s="1"/>
  <c r="CM29" i="12" s="1"/>
  <c r="CO29" i="12" s="1"/>
  <c r="CP29" i="12" s="1"/>
  <c r="CL30" i="12" s="1"/>
  <c r="CM30" i="12" s="1"/>
  <c r="CO30" i="12" s="1"/>
  <c r="F281" i="21"/>
  <c r="E294" i="21"/>
  <c r="DA17" i="12"/>
  <c r="CS18" i="12" s="1"/>
  <c r="CT18" i="12" s="1"/>
  <c r="CG83" i="12"/>
  <c r="CI83" i="12" s="1"/>
  <c r="CL25" i="5"/>
  <c r="CN25" i="5" s="1"/>
  <c r="CE26" i="5" s="1"/>
  <c r="CO25" i="5"/>
  <c r="C320" i="21" l="1"/>
  <c r="J256" i="21"/>
  <c r="J257" i="21" s="1"/>
  <c r="J258" i="21" s="1"/>
  <c r="K255" i="21" s="1"/>
  <c r="I297" i="21"/>
  <c r="J217" i="21"/>
  <c r="J218" i="21" s="1"/>
  <c r="J219" i="21" s="1"/>
  <c r="K216" i="21" s="1"/>
  <c r="I295" i="21"/>
  <c r="F282" i="21"/>
  <c r="F283" i="21" s="1"/>
  <c r="F300" i="21"/>
  <c r="CO26" i="5"/>
  <c r="CL26" i="5"/>
  <c r="CN26" i="5" s="1"/>
  <c r="CE27" i="5" s="1"/>
  <c r="CP30" i="12"/>
  <c r="CL31" i="12" s="1"/>
  <c r="CM31" i="12" s="1"/>
  <c r="CO31" i="12" s="1"/>
  <c r="CP31" i="12" s="1"/>
  <c r="CL32" i="12" s="1"/>
  <c r="CJ83" i="12"/>
  <c r="CF84" i="12" s="1"/>
  <c r="CG84" i="12" s="1"/>
  <c r="CI84" i="12" s="1"/>
  <c r="CJ84" i="12" s="1"/>
  <c r="CF85" i="12" s="1"/>
  <c r="CG85" i="12" s="1"/>
  <c r="CI85" i="12" s="1"/>
  <c r="CJ85" i="12" s="1"/>
  <c r="CF86" i="12" s="1"/>
  <c r="CG86" i="12" s="1"/>
  <c r="CI86" i="12" s="1"/>
  <c r="CJ86" i="12" s="1"/>
  <c r="CF87" i="12" s="1"/>
  <c r="CG87" i="12" s="1"/>
  <c r="CI87" i="12" s="1"/>
  <c r="CJ87" i="12" s="1"/>
  <c r="CF88" i="12" s="1"/>
  <c r="CG88" i="12" s="1"/>
  <c r="CI88" i="12" s="1"/>
  <c r="CJ88" i="12" s="1"/>
  <c r="CF89" i="12" s="1"/>
  <c r="CG89" i="12" s="1"/>
  <c r="CI89" i="12" s="1"/>
  <c r="CJ89" i="12" s="1"/>
  <c r="CF90" i="12" s="1"/>
  <c r="CG90" i="12" s="1"/>
  <c r="CI90" i="12" s="1"/>
  <c r="CJ90" i="12" s="1"/>
  <c r="CF91" i="12" s="1"/>
  <c r="CG91" i="12" s="1"/>
  <c r="CI91" i="12" s="1"/>
  <c r="CJ91" i="12" s="1"/>
  <c r="CF92" i="12" s="1"/>
  <c r="CG92" i="12" s="1"/>
  <c r="CI92" i="12" s="1"/>
  <c r="CJ92" i="12" s="1"/>
  <c r="CF93" i="12" s="1"/>
  <c r="CG93" i="12" s="1"/>
  <c r="CI93" i="12" s="1"/>
  <c r="CJ93" i="12" s="1"/>
  <c r="CF94" i="12" s="1"/>
  <c r="CG94" i="12" s="1"/>
  <c r="CI94" i="12" s="1"/>
  <c r="CJ94" i="12" s="1"/>
  <c r="CF95" i="12" s="1"/>
  <c r="CG95" i="12" s="1"/>
  <c r="CI95" i="12" s="1"/>
  <c r="CJ95" i="12" s="1"/>
  <c r="CF96" i="12" s="1"/>
  <c r="CG96" i="12" s="1"/>
  <c r="CI96" i="12" s="1"/>
  <c r="CJ96" i="12" s="1"/>
  <c r="CF97" i="12" s="1"/>
  <c r="CG97" i="12" s="1"/>
  <c r="CI97" i="12" s="1"/>
  <c r="CJ97" i="12" s="1"/>
  <c r="CF98" i="12" s="1"/>
  <c r="CG98" i="12" s="1"/>
  <c r="CI98" i="12" s="1"/>
  <c r="CJ98" i="12" s="1"/>
  <c r="CF99" i="12" s="1"/>
  <c r="CG99" i="12" s="1"/>
  <c r="CI99" i="12" s="1"/>
  <c r="CJ99" i="12" s="1"/>
  <c r="CF100" i="12" s="1"/>
  <c r="CG100" i="12" s="1"/>
  <c r="CI100" i="12" s="1"/>
  <c r="CJ100" i="12" s="1"/>
  <c r="CF101" i="12" s="1"/>
  <c r="CG101" i="12" s="1"/>
  <c r="CI101" i="12" s="1"/>
  <c r="CJ101" i="12" s="1"/>
  <c r="CF102" i="12" s="1"/>
  <c r="CX18" i="12"/>
  <c r="CW18" i="12"/>
  <c r="CV18" i="12"/>
  <c r="CZ18" i="12"/>
  <c r="CY18" i="12"/>
  <c r="CU18" i="12"/>
  <c r="J295" i="21" l="1"/>
  <c r="K217" i="21"/>
  <c r="K218" i="21" s="1"/>
  <c r="K219" i="21" s="1"/>
  <c r="L216" i="21" s="1"/>
  <c r="I296" i="21"/>
  <c r="K256" i="21"/>
  <c r="K257" i="21" s="1"/>
  <c r="K258" i="21" s="1"/>
  <c r="L255" i="21" s="1"/>
  <c r="J297" i="21"/>
  <c r="C331" i="21"/>
  <c r="C333" i="21"/>
  <c r="F292" i="21"/>
  <c r="F294" i="21" s="1"/>
  <c r="DA18" i="12"/>
  <c r="CS19" i="12" s="1"/>
  <c r="CT19" i="12" s="1"/>
  <c r="CM32" i="12"/>
  <c r="CO32" i="12" s="1"/>
  <c r="CG102" i="12"/>
  <c r="CI102" i="12" s="1"/>
  <c r="CL27" i="5"/>
  <c r="CN27" i="5" s="1"/>
  <c r="CE28" i="5" s="1"/>
  <c r="CO27" i="5"/>
  <c r="J296" i="21" l="1"/>
  <c r="L256" i="21"/>
  <c r="L257" i="21" s="1"/>
  <c r="L258" i="21" s="1"/>
  <c r="M255" i="21" s="1"/>
  <c r="K297" i="21"/>
  <c r="C330" i="21"/>
  <c r="C327" i="21"/>
  <c r="C324" i="21"/>
  <c r="C322" i="21"/>
  <c r="C321" i="21"/>
  <c r="C326" i="21"/>
  <c r="C323" i="21"/>
  <c r="C325" i="21"/>
  <c r="K295" i="21"/>
  <c r="L217" i="21"/>
  <c r="L218" i="21" s="1"/>
  <c r="G281" i="21"/>
  <c r="G300" i="21" s="1"/>
  <c r="CJ102" i="12"/>
  <c r="CF103" i="12" s="1"/>
  <c r="CG103" i="12" s="1"/>
  <c r="CI103" i="12" s="1"/>
  <c r="CJ103" i="12" s="1"/>
  <c r="CF104" i="12" s="1"/>
  <c r="CG104" i="12" s="1"/>
  <c r="CI104" i="12" s="1"/>
  <c r="CJ104" i="12" s="1"/>
  <c r="CF105" i="12" s="1"/>
  <c r="CG105" i="12" s="1"/>
  <c r="CI105" i="12" s="1"/>
  <c r="CJ105" i="12" s="1"/>
  <c r="CF106" i="12" s="1"/>
  <c r="CG106" i="12" s="1"/>
  <c r="CI106" i="12" s="1"/>
  <c r="CJ106" i="12" s="1"/>
  <c r="CF107" i="12" s="1"/>
  <c r="CG107" i="12" s="1"/>
  <c r="CI107" i="12" s="1"/>
  <c r="CJ107" i="12" s="1"/>
  <c r="CF108" i="12" s="1"/>
  <c r="CG108" i="12" s="1"/>
  <c r="CI108" i="12" s="1"/>
  <c r="CP32" i="12"/>
  <c r="CL33" i="12" s="1"/>
  <c r="CM33" i="12" s="1"/>
  <c r="CO33" i="12" s="1"/>
  <c r="CP33" i="12" s="1"/>
  <c r="CL34" i="12" s="1"/>
  <c r="CM34" i="12" s="1"/>
  <c r="CO34" i="12" s="1"/>
  <c r="CP34" i="12" s="1"/>
  <c r="CL35" i="12" s="1"/>
  <c r="CM35" i="12" s="1"/>
  <c r="CO35" i="12" s="1"/>
  <c r="CP35" i="12" s="1"/>
  <c r="CL36" i="12" s="1"/>
  <c r="CM36" i="12" s="1"/>
  <c r="CO36" i="12" s="1"/>
  <c r="CU19" i="12"/>
  <c r="CY19" i="12"/>
  <c r="CZ19" i="12"/>
  <c r="CX19" i="12"/>
  <c r="CW19" i="12"/>
  <c r="CV19" i="12"/>
  <c r="CL28" i="5"/>
  <c r="CN28" i="5" s="1"/>
  <c r="CE29" i="5" s="1"/>
  <c r="CO28" i="5"/>
  <c r="G282" i="21" l="1"/>
  <c r="G283" i="21" s="1"/>
  <c r="C332" i="21"/>
  <c r="D303" i="21" s="1"/>
  <c r="K296" i="21"/>
  <c r="L219" i="21"/>
  <c r="M216" i="21" s="1"/>
  <c r="L297" i="21"/>
  <c r="M256" i="21"/>
  <c r="M257" i="21" s="1"/>
  <c r="M258" i="21" s="1"/>
  <c r="N255" i="21" s="1"/>
  <c r="G292" i="21"/>
  <c r="H281" i="21" s="1"/>
  <c r="DA19" i="12"/>
  <c r="CS20" i="12" s="1"/>
  <c r="CT20" i="12" s="1"/>
  <c r="CJ108" i="12"/>
  <c r="CF109" i="12" s="1"/>
  <c r="CG109" i="12" s="1"/>
  <c r="CI109" i="12" s="1"/>
  <c r="CJ109" i="12" s="1"/>
  <c r="CF110" i="12" s="1"/>
  <c r="CG110" i="12" s="1"/>
  <c r="CI110" i="12" s="1"/>
  <c r="CJ110" i="12" s="1"/>
  <c r="CF111" i="12" s="1"/>
  <c r="CG111" i="12" s="1"/>
  <c r="CI111" i="12" s="1"/>
  <c r="CJ111" i="12" s="1"/>
  <c r="CF112" i="12" s="1"/>
  <c r="CG112" i="12" s="1"/>
  <c r="CI112" i="12" s="1"/>
  <c r="CJ112" i="12" s="1"/>
  <c r="CF113" i="12" s="1"/>
  <c r="CG113" i="12" s="1"/>
  <c r="CI113" i="12" s="1"/>
  <c r="CJ113" i="12" s="1"/>
  <c r="CF114" i="12" s="1"/>
  <c r="CG114" i="12" s="1"/>
  <c r="CI114" i="12" s="1"/>
  <c r="CJ114" i="12" s="1"/>
  <c r="CF115" i="12" s="1"/>
  <c r="CG115" i="12" s="1"/>
  <c r="CI115" i="12" s="1"/>
  <c r="CJ115" i="12" s="1"/>
  <c r="CF116" i="12" s="1"/>
  <c r="CG116" i="12" s="1"/>
  <c r="CI116" i="12" s="1"/>
  <c r="CJ116" i="12" s="1"/>
  <c r="CF117" i="12" s="1"/>
  <c r="CG117" i="12" s="1"/>
  <c r="CI117" i="12" s="1"/>
  <c r="CJ117" i="12" s="1"/>
  <c r="CF118" i="12" s="1"/>
  <c r="CG118" i="12" s="1"/>
  <c r="CI118" i="12" s="1"/>
  <c r="CJ118" i="12" s="1"/>
  <c r="CF119" i="12" s="1"/>
  <c r="CG119" i="12" s="1"/>
  <c r="CI119" i="12" s="1"/>
  <c r="CJ119" i="12" s="1"/>
  <c r="CF120" i="12" s="1"/>
  <c r="CG120" i="12" s="1"/>
  <c r="CI120" i="12" s="1"/>
  <c r="CL29" i="5"/>
  <c r="CN29" i="5" s="1"/>
  <c r="CE30" i="5" s="1"/>
  <c r="CO29" i="5"/>
  <c r="CP36" i="12"/>
  <c r="CL37" i="12" s="1"/>
  <c r="N256" i="21" l="1"/>
  <c r="N257" i="21" s="1"/>
  <c r="N258" i="21" s="1"/>
  <c r="O255" i="21" s="1"/>
  <c r="M297" i="21"/>
  <c r="L295" i="21"/>
  <c r="M217" i="21"/>
  <c r="M218" i="21" s="1"/>
  <c r="M219" i="21" s="1"/>
  <c r="N216" i="21" s="1"/>
  <c r="D304" i="21"/>
  <c r="D317" i="21"/>
  <c r="G294" i="21"/>
  <c r="H300" i="21"/>
  <c r="H282" i="21"/>
  <c r="H283" i="21" s="1"/>
  <c r="CJ120" i="12"/>
  <c r="CF121" i="12" s="1"/>
  <c r="CG121" i="12" s="1"/>
  <c r="CI121" i="12" s="1"/>
  <c r="CJ121" i="12" s="1"/>
  <c r="CF122" i="12" s="1"/>
  <c r="CW20" i="12"/>
  <c r="CY20" i="12"/>
  <c r="CV20" i="12"/>
  <c r="CZ20" i="12"/>
  <c r="CX20" i="12"/>
  <c r="CU20" i="12"/>
  <c r="CM37" i="12"/>
  <c r="CO37" i="12" s="1"/>
  <c r="CO30" i="5"/>
  <c r="CL30" i="5"/>
  <c r="CN30" i="5" s="1"/>
  <c r="CE31" i="5" s="1"/>
  <c r="D309" i="21" l="1"/>
  <c r="M295" i="21"/>
  <c r="M296" i="21" s="1"/>
  <c r="N217" i="21"/>
  <c r="N218" i="21" s="1"/>
  <c r="N219" i="21" s="1"/>
  <c r="O216" i="21" s="1"/>
  <c r="L296" i="21"/>
  <c r="O256" i="21"/>
  <c r="O257" i="21" s="1"/>
  <c r="O258" i="21" s="1"/>
  <c r="P255" i="21" s="1"/>
  <c r="N297" i="21"/>
  <c r="H292" i="21"/>
  <c r="I281" i="21" s="1"/>
  <c r="DA20" i="12"/>
  <c r="CS21" i="12" s="1"/>
  <c r="CT21" i="12" s="1"/>
  <c r="CP37" i="12"/>
  <c r="CL38" i="12" s="1"/>
  <c r="CM38" i="12" s="1"/>
  <c r="CO38" i="12" s="1"/>
  <c r="CL31" i="5"/>
  <c r="CN31" i="5" s="1"/>
  <c r="CE32" i="5" s="1"/>
  <c r="CO31" i="5"/>
  <c r="CG122" i="12"/>
  <c r="CI122" i="12" s="1"/>
  <c r="H294" i="21" l="1"/>
  <c r="P256" i="21"/>
  <c r="P257" i="21" s="1"/>
  <c r="P258" i="21" s="1"/>
  <c r="Q255" i="21" s="1"/>
  <c r="O297" i="21"/>
  <c r="N295" i="21"/>
  <c r="O217" i="21"/>
  <c r="O218" i="21" s="1"/>
  <c r="D316" i="21"/>
  <c r="CJ122" i="12"/>
  <c r="CF123" i="12" s="1"/>
  <c r="CG123" i="12" s="1"/>
  <c r="CI123" i="12" s="1"/>
  <c r="CJ123" i="12" s="1"/>
  <c r="CF124" i="12" s="1"/>
  <c r="CG124" i="12" s="1"/>
  <c r="CI124" i="12" s="1"/>
  <c r="CJ124" i="12" s="1"/>
  <c r="CF125" i="12" s="1"/>
  <c r="CG125" i="12" s="1"/>
  <c r="CI125" i="12" s="1"/>
  <c r="CJ125" i="12" s="1"/>
  <c r="CF126" i="12" s="1"/>
  <c r="CG126" i="12" s="1"/>
  <c r="CI126" i="12" s="1"/>
  <c r="CJ126" i="12" s="1"/>
  <c r="CF127" i="12" s="1"/>
  <c r="CG127" i="12" s="1"/>
  <c r="CI127" i="12" s="1"/>
  <c r="CJ127" i="12" s="1"/>
  <c r="CF128" i="12" s="1"/>
  <c r="CG128" i="12" s="1"/>
  <c r="CI128" i="12" s="1"/>
  <c r="CJ128" i="12" s="1"/>
  <c r="CF129" i="12" s="1"/>
  <c r="I300" i="21"/>
  <c r="I282" i="21"/>
  <c r="I283" i="21" s="1"/>
  <c r="CP38" i="12"/>
  <c r="CL39" i="12" s="1"/>
  <c r="CM39" i="12" s="1"/>
  <c r="CO39" i="12" s="1"/>
  <c r="CP39" i="12" s="1"/>
  <c r="CL40" i="12" s="1"/>
  <c r="CM40" i="12" s="1"/>
  <c r="CO40" i="12" s="1"/>
  <c r="CP40" i="12" s="1"/>
  <c r="CL41" i="12" s="1"/>
  <c r="CM41" i="12" s="1"/>
  <c r="CO41" i="12" s="1"/>
  <c r="CZ21" i="12"/>
  <c r="CU21" i="12"/>
  <c r="CX21" i="12"/>
  <c r="CY21" i="12"/>
  <c r="CW21" i="12"/>
  <c r="CV21" i="12"/>
  <c r="CO32" i="5"/>
  <c r="CL32" i="5"/>
  <c r="CN32" i="5" s="1"/>
  <c r="CE33" i="5" s="1"/>
  <c r="O219" i="21" l="1"/>
  <c r="P216" i="21" s="1"/>
  <c r="N296" i="21"/>
  <c r="D320" i="21"/>
  <c r="O295" i="21"/>
  <c r="O296" i="21" s="1"/>
  <c r="P217" i="21"/>
  <c r="P218" i="21" s="1"/>
  <c r="P219" i="21" s="1"/>
  <c r="Q216" i="21" s="1"/>
  <c r="Q256" i="21"/>
  <c r="Q257" i="21" s="1"/>
  <c r="Q258" i="21" s="1"/>
  <c r="R255" i="21" s="1"/>
  <c r="P297" i="21"/>
  <c r="I292" i="21"/>
  <c r="J281" i="21" s="1"/>
  <c r="DA21" i="12"/>
  <c r="CS22" i="12" s="1"/>
  <c r="CT22" i="12" s="1"/>
  <c r="CP41" i="12"/>
  <c r="CL42" i="12" s="1"/>
  <c r="CM42" i="12" s="1"/>
  <c r="CO42" i="12" s="1"/>
  <c r="CP42" i="12" s="1"/>
  <c r="CL43" i="12" s="1"/>
  <c r="CM43" i="12" s="1"/>
  <c r="CO43" i="12" s="1"/>
  <c r="CO33" i="5"/>
  <c r="CL33" i="5"/>
  <c r="CN33" i="5" s="1"/>
  <c r="CE34" i="5" s="1"/>
  <c r="CG129" i="12"/>
  <c r="CI129" i="12" s="1"/>
  <c r="Q217" i="21" l="1"/>
  <c r="Q218" i="21" s="1"/>
  <c r="Q219" i="21" s="1"/>
  <c r="R216" i="21" s="1"/>
  <c r="P295" i="21"/>
  <c r="Q297" i="21"/>
  <c r="R256" i="21"/>
  <c r="R257" i="21" s="1"/>
  <c r="R258" i="21" s="1"/>
  <c r="S255" i="21" s="1"/>
  <c r="D333" i="21"/>
  <c r="D331" i="21"/>
  <c r="I294" i="21"/>
  <c r="J282" i="21"/>
  <c r="J283" i="21" s="1"/>
  <c r="J292" i="21" s="1"/>
  <c r="J300" i="21"/>
  <c r="CP43" i="12"/>
  <c r="CL44" i="12" s="1"/>
  <c r="CM44" i="12" s="1"/>
  <c r="CO44" i="12" s="1"/>
  <c r="CP44" i="12" s="1"/>
  <c r="CL45" i="12" s="1"/>
  <c r="CM45" i="12" s="1"/>
  <c r="CO45" i="12" s="1"/>
  <c r="CJ129" i="12"/>
  <c r="CF130" i="12" s="1"/>
  <c r="CG130" i="12" s="1"/>
  <c r="CZ22" i="12"/>
  <c r="CY22" i="12"/>
  <c r="CX22" i="12"/>
  <c r="CV22" i="12"/>
  <c r="CW22" i="12"/>
  <c r="CU22" i="12"/>
  <c r="CL34" i="5"/>
  <c r="CN34" i="5" s="1"/>
  <c r="CE35" i="5" s="1"/>
  <c r="CO34" i="5"/>
  <c r="D330" i="21" l="1"/>
  <c r="D326" i="21"/>
  <c r="D327" i="21"/>
  <c r="D322" i="21"/>
  <c r="D325" i="21"/>
  <c r="D323" i="21"/>
  <c r="D324" i="21"/>
  <c r="D321" i="21"/>
  <c r="R297" i="21"/>
  <c r="S256" i="21"/>
  <c r="S257" i="21" s="1"/>
  <c r="S258" i="21" s="1"/>
  <c r="T255" i="21" s="1"/>
  <c r="Q295" i="21"/>
  <c r="R217" i="21"/>
  <c r="R218" i="21" s="1"/>
  <c r="P296" i="21"/>
  <c r="DA22" i="12"/>
  <c r="CS23" i="12" s="1"/>
  <c r="CT23" i="12" s="1"/>
  <c r="K281" i="21"/>
  <c r="J294" i="21"/>
  <c r="CI130" i="12"/>
  <c r="CJ130" i="12" s="1"/>
  <c r="CF131" i="12" s="1"/>
  <c r="CG131" i="12" s="1"/>
  <c r="CI131" i="12" s="1"/>
  <c r="CJ131" i="12" s="1"/>
  <c r="CF132" i="12" s="1"/>
  <c r="CG132" i="12" s="1"/>
  <c r="CI132" i="12" s="1"/>
  <c r="CJ132" i="12" s="1"/>
  <c r="CF133" i="12" s="1"/>
  <c r="CG133" i="12" s="1"/>
  <c r="CI133" i="12" s="1"/>
  <c r="CJ133" i="12" s="1"/>
  <c r="CF134" i="12" s="1"/>
  <c r="CG134" i="12" s="1"/>
  <c r="CI134" i="12" s="1"/>
  <c r="CJ134" i="12" s="1"/>
  <c r="CF135" i="12" s="1"/>
  <c r="CG135" i="12" s="1"/>
  <c r="CI135" i="12" s="1"/>
  <c r="CJ135" i="12" s="1"/>
  <c r="CF136" i="12" s="1"/>
  <c r="CG136" i="12" s="1"/>
  <c r="CI136" i="12" s="1"/>
  <c r="CJ136" i="12" s="1"/>
  <c r="CF137" i="12" s="1"/>
  <c r="CL35" i="5"/>
  <c r="CN35" i="5" s="1"/>
  <c r="CE36" i="5" s="1"/>
  <c r="CO35" i="5"/>
  <c r="CP45" i="12"/>
  <c r="CL46" i="12" s="1"/>
  <c r="CM46" i="12" s="1"/>
  <c r="CO46" i="12" s="1"/>
  <c r="CP46" i="12" s="1"/>
  <c r="CL47" i="12" s="1"/>
  <c r="CM47" i="12" s="1"/>
  <c r="CO47" i="12" s="1"/>
  <c r="CP47" i="12" s="1"/>
  <c r="CL48" i="12" s="1"/>
  <c r="D332" i="21" l="1"/>
  <c r="R219" i="21"/>
  <c r="S216" i="21" s="1"/>
  <c r="Q296" i="21"/>
  <c r="E303" i="21"/>
  <c r="T256" i="21"/>
  <c r="T257" i="21" s="1"/>
  <c r="T258" i="21" s="1"/>
  <c r="U255" i="21" s="1"/>
  <c r="S297" i="21"/>
  <c r="R295" i="21"/>
  <c r="S217" i="21"/>
  <c r="S218" i="21" s="1"/>
  <c r="S219" i="21" s="1"/>
  <c r="T216" i="21" s="1"/>
  <c r="K282" i="21"/>
  <c r="K283" i="21" s="1"/>
  <c r="K300" i="21"/>
  <c r="CM48" i="12"/>
  <c r="CO48" i="12" s="1"/>
  <c r="CG137" i="12"/>
  <c r="CI137" i="12" s="1"/>
  <c r="CJ137" i="12" s="1"/>
  <c r="CF138" i="12" s="1"/>
  <c r="CO36" i="5"/>
  <c r="CL36" i="5"/>
  <c r="CN36" i="5" s="1"/>
  <c r="CE37" i="5" s="1"/>
  <c r="CX23" i="12"/>
  <c r="CV23" i="12"/>
  <c r="CZ23" i="12"/>
  <c r="CY23" i="12"/>
  <c r="CW23" i="12"/>
  <c r="CU23" i="12"/>
  <c r="S295" i="21" l="1"/>
  <c r="S296" i="21" s="1"/>
  <c r="T217" i="21"/>
  <c r="T218" i="21" s="1"/>
  <c r="T219" i="21" s="1"/>
  <c r="U216" i="21" s="1"/>
  <c r="R296" i="21"/>
  <c r="U256" i="21"/>
  <c r="U257" i="21" s="1"/>
  <c r="U258" i="21" s="1"/>
  <c r="V255" i="21" s="1"/>
  <c r="T297" i="21"/>
  <c r="E317" i="21"/>
  <c r="E304" i="21"/>
  <c r="K292" i="21"/>
  <c r="L281" i="21" s="1"/>
  <c r="DA23" i="12"/>
  <c r="CS24" i="12" s="1"/>
  <c r="CT24" i="12" s="1"/>
  <c r="CP48" i="12"/>
  <c r="CL49" i="12" s="1"/>
  <c r="CM49" i="12" s="1"/>
  <c r="CO49" i="12" s="1"/>
  <c r="CG138" i="12"/>
  <c r="CI138" i="12" s="1"/>
  <c r="CJ138" i="12" s="1"/>
  <c r="CF139" i="12" s="1"/>
  <c r="CG139" i="12" s="1"/>
  <c r="CI139" i="12" s="1"/>
  <c r="CJ139" i="12" s="1"/>
  <c r="CF140" i="12" s="1"/>
  <c r="CL37" i="5"/>
  <c r="CC5" i="5" s="1"/>
  <c r="CO37" i="5"/>
  <c r="E309" i="21" l="1"/>
  <c r="U297" i="21"/>
  <c r="V256" i="21"/>
  <c r="V257" i="21" s="1"/>
  <c r="V258" i="21" s="1"/>
  <c r="W255" i="21" s="1"/>
  <c r="U217" i="21"/>
  <c r="U218" i="21" s="1"/>
  <c r="U219" i="21" s="1"/>
  <c r="V216" i="21" s="1"/>
  <c r="T295" i="21"/>
  <c r="K294" i="21"/>
  <c r="CN37" i="5"/>
  <c r="CE38" i="5" s="1"/>
  <c r="CL38" i="5" s="1"/>
  <c r="CN38" i="5" s="1"/>
  <c r="CE39" i="5" s="1"/>
  <c r="CP49" i="12"/>
  <c r="CL50" i="12" s="1"/>
  <c r="CM50" i="12" s="1"/>
  <c r="CO50" i="12" s="1"/>
  <c r="L282" i="21"/>
  <c r="L283" i="21" s="1"/>
  <c r="L292" i="21" s="1"/>
  <c r="L300" i="21"/>
  <c r="CX24" i="12"/>
  <c r="CZ24" i="12"/>
  <c r="CW24" i="12"/>
  <c r="CU24" i="12"/>
  <c r="CY24" i="12"/>
  <c r="CV24" i="12"/>
  <c r="CG140" i="12"/>
  <c r="CI140" i="12" s="1"/>
  <c r="CJ140" i="12" s="1"/>
  <c r="CF141" i="12" s="1"/>
  <c r="W256" i="21" l="1"/>
  <c r="W257" i="21" s="1"/>
  <c r="W258" i="21" s="1"/>
  <c r="X255" i="21" s="1"/>
  <c r="V297" i="21"/>
  <c r="U295" i="21"/>
  <c r="U296" i="21" s="1"/>
  <c r="V217" i="21"/>
  <c r="V218" i="21" s="1"/>
  <c r="V219" i="21" s="1"/>
  <c r="W216" i="21" s="1"/>
  <c r="T296" i="21"/>
  <c r="E316" i="21"/>
  <c r="CO38" i="5"/>
  <c r="M281" i="21"/>
  <c r="L294" i="21"/>
  <c r="DA24" i="12"/>
  <c r="CS25" i="12" s="1"/>
  <c r="CT25" i="12" s="1"/>
  <c r="CP50" i="12"/>
  <c r="CL51" i="12" s="1"/>
  <c r="CM51" i="12" s="1"/>
  <c r="CO51" i="12" s="1"/>
  <c r="CP51" i="12" s="1"/>
  <c r="CL52" i="12" s="1"/>
  <c r="CM52" i="12" s="1"/>
  <c r="CO52" i="12" s="1"/>
  <c r="CG141" i="12"/>
  <c r="CI141" i="12" s="1"/>
  <c r="CL39" i="5"/>
  <c r="CN39" i="5" s="1"/>
  <c r="CE40" i="5" s="1"/>
  <c r="CO39" i="5"/>
  <c r="E320" i="21" l="1"/>
  <c r="W217" i="21"/>
  <c r="W218" i="21" s="1"/>
  <c r="W219" i="21" s="1"/>
  <c r="X216" i="21" s="1"/>
  <c r="V295" i="21"/>
  <c r="V296" i="21" s="1"/>
  <c r="W297" i="21"/>
  <c r="X256" i="21"/>
  <c r="X257" i="21" s="1"/>
  <c r="X258" i="21" s="1"/>
  <c r="Y255" i="21" s="1"/>
  <c r="M282" i="21"/>
  <c r="M283" i="21" s="1"/>
  <c r="M292" i="21" s="1"/>
  <c r="M300" i="21"/>
  <c r="CJ141" i="12"/>
  <c r="CF142" i="12" s="1"/>
  <c r="CG142" i="12" s="1"/>
  <c r="CI142" i="12" s="1"/>
  <c r="CJ142" i="12" s="1"/>
  <c r="CF143" i="12" s="1"/>
  <c r="CG143" i="12" s="1"/>
  <c r="CI143" i="12" s="1"/>
  <c r="CJ143" i="12" s="1"/>
  <c r="CF144" i="12" s="1"/>
  <c r="CP52" i="12"/>
  <c r="CL53" i="12" s="1"/>
  <c r="CM53" i="12" s="1"/>
  <c r="CO53" i="12" s="1"/>
  <c r="CY25" i="12"/>
  <c r="CX25" i="12"/>
  <c r="CU25" i="12"/>
  <c r="CW25" i="12"/>
  <c r="CZ25" i="12"/>
  <c r="CV25" i="12"/>
  <c r="CO40" i="5"/>
  <c r="CL40" i="5"/>
  <c r="CN40" i="5" s="1"/>
  <c r="CE41" i="5" s="1"/>
  <c r="X297" i="21" l="1"/>
  <c r="Y256" i="21"/>
  <c r="Y257" i="21" s="1"/>
  <c r="Y258" i="21" s="1"/>
  <c r="Z255" i="21" s="1"/>
  <c r="W295" i="21"/>
  <c r="X217" i="21"/>
  <c r="X218" i="21" s="1"/>
  <c r="X219" i="21" s="1"/>
  <c r="Y216" i="21" s="1"/>
  <c r="E331" i="21"/>
  <c r="E333" i="21"/>
  <c r="N281" i="21"/>
  <c r="M294" i="21"/>
  <c r="DA25" i="12"/>
  <c r="CS26" i="12" s="1"/>
  <c r="CT26" i="12" s="1"/>
  <c r="CP53" i="12"/>
  <c r="CL54" i="12" s="1"/>
  <c r="CM54" i="12" s="1"/>
  <c r="CO54" i="12" s="1"/>
  <c r="CP54" i="12" s="1"/>
  <c r="CL55" i="12" s="1"/>
  <c r="CG144" i="12"/>
  <c r="CI144" i="12" s="1"/>
  <c r="CJ144" i="12" s="1"/>
  <c r="CF145" i="12" s="1"/>
  <c r="CL41" i="5"/>
  <c r="CN41" i="5" s="1"/>
  <c r="CE42" i="5" s="1"/>
  <c r="CO41" i="5"/>
  <c r="E330" i="21" l="1"/>
  <c r="E322" i="21"/>
  <c r="E327" i="21"/>
  <c r="E324" i="21"/>
  <c r="E326" i="21"/>
  <c r="E321" i="21"/>
  <c r="E323" i="21"/>
  <c r="E325" i="21"/>
  <c r="X295" i="21"/>
  <c r="Y217" i="21"/>
  <c r="Y218" i="21" s="1"/>
  <c r="Y219" i="21" s="1"/>
  <c r="Z216" i="21" s="1"/>
  <c r="W296" i="21"/>
  <c r="Z256" i="21"/>
  <c r="Z257" i="21" s="1"/>
  <c r="Z258" i="21" s="1"/>
  <c r="AA255" i="21" s="1"/>
  <c r="Y297" i="21"/>
  <c r="N300" i="21"/>
  <c r="N282" i="21"/>
  <c r="N283" i="21" s="1"/>
  <c r="CM55" i="12"/>
  <c r="CO55" i="12" s="1"/>
  <c r="CP55" i="12" s="1"/>
  <c r="CL56" i="12" s="1"/>
  <c r="CZ26" i="12"/>
  <c r="CW26" i="12"/>
  <c r="CX26" i="12"/>
  <c r="CY26" i="12"/>
  <c r="CV26" i="12"/>
  <c r="CU26" i="12"/>
  <c r="CG145" i="12"/>
  <c r="CI145" i="12" s="1"/>
  <c r="CJ145" i="12" s="1"/>
  <c r="CF146" i="12" s="1"/>
  <c r="CO42" i="5"/>
  <c r="CL42" i="5"/>
  <c r="CN42" i="5" s="1"/>
  <c r="CE43" i="5" s="1"/>
  <c r="Y295" i="21" l="1"/>
  <c r="Z217" i="21"/>
  <c r="Z218" i="21" s="1"/>
  <c r="Z219" i="21" s="1"/>
  <c r="AA216" i="21" s="1"/>
  <c r="AA256" i="21"/>
  <c r="AA257" i="21" s="1"/>
  <c r="AA258" i="21" s="1"/>
  <c r="AB255" i="21" s="1"/>
  <c r="Z297" i="21"/>
  <c r="E332" i="21"/>
  <c r="X296" i="21"/>
  <c r="Y296" i="21"/>
  <c r="N292" i="21"/>
  <c r="DA26" i="12"/>
  <c r="CS27" i="12" s="1"/>
  <c r="CT27" i="12" s="1"/>
  <c r="CY27" i="12" s="1"/>
  <c r="CM56" i="12"/>
  <c r="CO56" i="12" s="1"/>
  <c r="CL43" i="5"/>
  <c r="CN43" i="5" s="1"/>
  <c r="CE44" i="5" s="1"/>
  <c r="CO43" i="5"/>
  <c r="CG146" i="12"/>
  <c r="CI146" i="12" s="1"/>
  <c r="F303" i="21" l="1"/>
  <c r="AB256" i="21"/>
  <c r="AB257" i="21" s="1"/>
  <c r="AB258" i="21" s="1"/>
  <c r="AC255" i="21" s="1"/>
  <c r="AA297" i="21"/>
  <c r="AA217" i="21"/>
  <c r="AA218" i="21" s="1"/>
  <c r="AA219" i="21" s="1"/>
  <c r="AB216" i="21" s="1"/>
  <c r="Z295" i="21"/>
  <c r="CU27" i="12"/>
  <c r="CV27" i="12"/>
  <c r="CW27" i="12"/>
  <c r="CX27" i="12"/>
  <c r="CZ27" i="12"/>
  <c r="O281" i="21"/>
  <c r="N294" i="21"/>
  <c r="CJ146" i="12"/>
  <c r="CF147" i="12" s="1"/>
  <c r="CG147" i="12" s="1"/>
  <c r="CI147" i="12" s="1"/>
  <c r="CJ147" i="12" s="1"/>
  <c r="CF148" i="12" s="1"/>
  <c r="CO44" i="5"/>
  <c r="CL44" i="5"/>
  <c r="CN44" i="5" s="1"/>
  <c r="CE45" i="5" s="1"/>
  <c r="CP56" i="12"/>
  <c r="CL57" i="12" s="1"/>
  <c r="CM57" i="12" s="1"/>
  <c r="CO57" i="12" s="1"/>
  <c r="CP57" i="12" s="1"/>
  <c r="CL58" i="12" s="1"/>
  <c r="AA295" i="21" l="1"/>
  <c r="AA296" i="21" s="1"/>
  <c r="AB217" i="21"/>
  <c r="AB218" i="21" s="1"/>
  <c r="AB219" i="21" s="1"/>
  <c r="AC216" i="21" s="1"/>
  <c r="Z296" i="21"/>
  <c r="F304" i="21"/>
  <c r="F317" i="21"/>
  <c r="AC256" i="21"/>
  <c r="AC257" i="21" s="1"/>
  <c r="AB297" i="21"/>
  <c r="DA27" i="12"/>
  <c r="CS28" i="12" s="1"/>
  <c r="CT28" i="12" s="1"/>
  <c r="CY28" i="12" s="1"/>
  <c r="O282" i="21"/>
  <c r="O283" i="21" s="1"/>
  <c r="O300" i="21"/>
  <c r="CG148" i="12"/>
  <c r="CI148" i="12" s="1"/>
  <c r="CJ148" i="12" s="1"/>
  <c r="CF149" i="12" s="1"/>
  <c r="CL45" i="5"/>
  <c r="CN45" i="5" s="1"/>
  <c r="CE46" i="5" s="1"/>
  <c r="CO45" i="5"/>
  <c r="CM58" i="12"/>
  <c r="CO58" i="12" s="1"/>
  <c r="AC258" i="21" l="1"/>
  <c r="AD255" i="21" s="1"/>
  <c r="AD256" i="21" s="1"/>
  <c r="AD257" i="21" s="1"/>
  <c r="AD258" i="21" s="1"/>
  <c r="AE255" i="21" s="1"/>
  <c r="AC297" i="21"/>
  <c r="F309" i="21"/>
  <c r="AB295" i="21"/>
  <c r="AC217" i="21"/>
  <c r="AC218" i="21" s="1"/>
  <c r="AC219" i="21" s="1"/>
  <c r="AD216" i="21" s="1"/>
  <c r="CZ28" i="12"/>
  <c r="O292" i="21"/>
  <c r="O294" i="21" s="1"/>
  <c r="CV28" i="12"/>
  <c r="CU28" i="12"/>
  <c r="CW28" i="12"/>
  <c r="CX28" i="12"/>
  <c r="CP58" i="12"/>
  <c r="CL59" i="12" s="1"/>
  <c r="CM59" i="12" s="1"/>
  <c r="CO59" i="12" s="1"/>
  <c r="CP59" i="12" s="1"/>
  <c r="CL60" i="12" s="1"/>
  <c r="CM60" i="12" s="1"/>
  <c r="CO60" i="12" s="1"/>
  <c r="CP60" i="12" s="1"/>
  <c r="CL61" i="12" s="1"/>
  <c r="CM61" i="12" s="1"/>
  <c r="CO61" i="12" s="1"/>
  <c r="CP61" i="12" s="1"/>
  <c r="CL62" i="12" s="1"/>
  <c r="CM62" i="12" s="1"/>
  <c r="CO62" i="12" s="1"/>
  <c r="CP62" i="12" s="1"/>
  <c r="CL63" i="12" s="1"/>
  <c r="CM63" i="12" s="1"/>
  <c r="CO63" i="12" s="1"/>
  <c r="CP63" i="12" s="1"/>
  <c r="CL64" i="12" s="1"/>
  <c r="CM64" i="12" s="1"/>
  <c r="CO64" i="12" s="1"/>
  <c r="CG149" i="12"/>
  <c r="CI149" i="12" s="1"/>
  <c r="CJ149" i="12" s="1"/>
  <c r="CF150" i="12" s="1"/>
  <c r="CL46" i="5"/>
  <c r="CN46" i="5" s="1"/>
  <c r="CE47" i="5" s="1"/>
  <c r="CO46" i="5"/>
  <c r="AD217" i="21" l="1"/>
  <c r="AD218" i="21" s="1"/>
  <c r="AD219" i="21" s="1"/>
  <c r="AE216" i="21" s="1"/>
  <c r="AC295" i="21"/>
  <c r="F316" i="21"/>
  <c r="AB296" i="21"/>
  <c r="AC296" i="21"/>
  <c r="AD297" i="21"/>
  <c r="AE256" i="21"/>
  <c r="AE257" i="21" s="1"/>
  <c r="DA28" i="12"/>
  <c r="CS29" i="12" s="1"/>
  <c r="CT29" i="12" s="1"/>
  <c r="CW29" i="12" s="1"/>
  <c r="P281" i="21"/>
  <c r="P300" i="21" s="1"/>
  <c r="CP64" i="12"/>
  <c r="CL65" i="12" s="1"/>
  <c r="CM65" i="12" s="1"/>
  <c r="CO65" i="12" s="1"/>
  <c r="CP65" i="12" s="1"/>
  <c r="CL66" i="12" s="1"/>
  <c r="CM66" i="12" s="1"/>
  <c r="CO66" i="12" s="1"/>
  <c r="CG150" i="12"/>
  <c r="CI150" i="12" s="1"/>
  <c r="CJ150" i="12" s="1"/>
  <c r="CF151" i="12" s="1"/>
  <c r="CL47" i="5"/>
  <c r="CN47" i="5" s="1"/>
  <c r="CE48" i="5" s="1"/>
  <c r="CO47" i="5"/>
  <c r="AE258" i="21" l="1"/>
  <c r="AF255" i="21" s="1"/>
  <c r="AF256" i="21" s="1"/>
  <c r="AF257" i="21" s="1"/>
  <c r="AF258" i="21" s="1"/>
  <c r="AG255" i="21" s="1"/>
  <c r="F320" i="21"/>
  <c r="AE217" i="21"/>
  <c r="AE218" i="21" s="1"/>
  <c r="AE219" i="21" s="1"/>
  <c r="AF216" i="21" s="1"/>
  <c r="AD295" i="21"/>
  <c r="P282" i="21"/>
  <c r="P283" i="21" s="1"/>
  <c r="CU29" i="12"/>
  <c r="CY29" i="12"/>
  <c r="CV29" i="12"/>
  <c r="CX29" i="12"/>
  <c r="CZ29" i="12"/>
  <c r="CP66" i="12"/>
  <c r="CL67" i="12" s="1"/>
  <c r="CM67" i="12" s="1"/>
  <c r="CO67" i="12" s="1"/>
  <c r="CP67" i="12" s="1"/>
  <c r="CL68" i="12" s="1"/>
  <c r="CM68" i="12" s="1"/>
  <c r="CO68" i="12" s="1"/>
  <c r="CL48" i="5"/>
  <c r="CN48" i="5" s="1"/>
  <c r="CE49" i="5" s="1"/>
  <c r="CO48" i="5"/>
  <c r="CG151" i="12"/>
  <c r="CI151" i="12" s="1"/>
  <c r="CJ151" i="12" s="1"/>
  <c r="CF152" i="12" s="1"/>
  <c r="CG152" i="12" s="1"/>
  <c r="CI152" i="12" s="1"/>
  <c r="CJ152" i="12" s="1"/>
  <c r="CF153" i="12" s="1"/>
  <c r="AE297" i="21" l="1"/>
  <c r="AD296" i="21"/>
  <c r="AE295" i="21"/>
  <c r="AF217" i="21"/>
  <c r="AF218" i="21" s="1"/>
  <c r="AF219" i="21" s="1"/>
  <c r="AG216" i="21" s="1"/>
  <c r="F331" i="21"/>
  <c r="F333" i="21"/>
  <c r="AF297" i="21"/>
  <c r="AG256" i="21"/>
  <c r="AG257" i="21" s="1"/>
  <c r="AG258" i="21" s="1"/>
  <c r="AH255" i="21" s="1"/>
  <c r="P292" i="21"/>
  <c r="Q281" i="21" s="1"/>
  <c r="Q300" i="21" s="1"/>
  <c r="DA29" i="12"/>
  <c r="CS30" i="12" s="1"/>
  <c r="CT30" i="12" s="1"/>
  <c r="CZ30" i="12" s="1"/>
  <c r="CP68" i="12"/>
  <c r="CL69" i="12" s="1"/>
  <c r="CM69" i="12" s="1"/>
  <c r="CO69" i="12" s="1"/>
  <c r="CG153" i="12"/>
  <c r="CI153" i="12" s="1"/>
  <c r="CO49" i="5"/>
  <c r="CL49" i="5"/>
  <c r="CN49" i="5" s="1"/>
  <c r="CE50" i="5" s="1"/>
  <c r="AE296" i="21" l="1"/>
  <c r="AH256" i="21"/>
  <c r="AH257" i="21" s="1"/>
  <c r="AH258" i="21" s="1"/>
  <c r="AI255" i="21" s="1"/>
  <c r="AG297" i="21"/>
  <c r="F330" i="21"/>
  <c r="F321" i="21"/>
  <c r="F324" i="21"/>
  <c r="F327" i="21"/>
  <c r="F323" i="21"/>
  <c r="F325" i="21"/>
  <c r="F322" i="21"/>
  <c r="F326" i="21"/>
  <c r="AG217" i="21"/>
  <c r="AG218" i="21" s="1"/>
  <c r="AG219" i="21" s="1"/>
  <c r="AH216" i="21" s="1"/>
  <c r="AF295" i="21"/>
  <c r="AF296" i="21" s="1"/>
  <c r="CW30" i="12"/>
  <c r="CU30" i="12"/>
  <c r="CV30" i="12"/>
  <c r="Q282" i="21"/>
  <c r="Q283" i="21" s="1"/>
  <c r="Q292" i="21" s="1"/>
  <c r="R281" i="21" s="1"/>
  <c r="P294" i="21"/>
  <c r="CY30" i="12"/>
  <c r="CX30" i="12"/>
  <c r="CJ153" i="12"/>
  <c r="CF154" i="12" s="1"/>
  <c r="CG154" i="12" s="1"/>
  <c r="CI154" i="12" s="1"/>
  <c r="CJ154" i="12" s="1"/>
  <c r="CF155" i="12" s="1"/>
  <c r="CO50" i="5"/>
  <c r="CL50" i="5"/>
  <c r="CN50" i="5" s="1"/>
  <c r="CE51" i="5" s="1"/>
  <c r="CP69" i="12"/>
  <c r="CL70" i="12" s="1"/>
  <c r="CM70" i="12" s="1"/>
  <c r="CO70" i="12" s="1"/>
  <c r="CP70" i="12" s="1"/>
  <c r="CL71" i="12" s="1"/>
  <c r="AH217" i="21" l="1"/>
  <c r="AH218" i="21" s="1"/>
  <c r="AH219" i="21" s="1"/>
  <c r="AI216" i="21" s="1"/>
  <c r="AG295" i="21"/>
  <c r="AG296" i="21" s="1"/>
  <c r="F332" i="21"/>
  <c r="AH297" i="21"/>
  <c r="AI256" i="21"/>
  <c r="AI257" i="21" s="1"/>
  <c r="AI258" i="21" s="1"/>
  <c r="AJ255" i="21" s="1"/>
  <c r="DA30" i="12"/>
  <c r="CS31" i="12" s="1"/>
  <c r="CT31" i="12" s="1"/>
  <c r="CV31" i="12" s="1"/>
  <c r="Q294" i="21"/>
  <c r="R282" i="21"/>
  <c r="R283" i="21" s="1"/>
  <c r="R300" i="21"/>
  <c r="CG155" i="12"/>
  <c r="CI155" i="12" s="1"/>
  <c r="CJ155" i="12" s="1"/>
  <c r="CF156" i="12" s="1"/>
  <c r="CG156" i="12" s="1"/>
  <c r="CI156" i="12" s="1"/>
  <c r="CJ156" i="12" s="1"/>
  <c r="CF157" i="12" s="1"/>
  <c r="CM71" i="12"/>
  <c r="CO71" i="12" s="1"/>
  <c r="CO51" i="5"/>
  <c r="CL51" i="5"/>
  <c r="CN51" i="5" s="1"/>
  <c r="CE52" i="5" s="1"/>
  <c r="AJ256" i="21" l="1"/>
  <c r="AJ257" i="21" s="1"/>
  <c r="AJ258" i="21" s="1"/>
  <c r="AK255" i="21" s="1"/>
  <c r="AI297" i="21"/>
  <c r="CW31" i="12"/>
  <c r="CY31" i="12"/>
  <c r="CX31" i="12"/>
  <c r="CZ31" i="12"/>
  <c r="CU31" i="12"/>
  <c r="G303" i="21"/>
  <c r="AI217" i="21"/>
  <c r="AI218" i="21" s="1"/>
  <c r="AI219" i="21" s="1"/>
  <c r="AJ216" i="21" s="1"/>
  <c r="AH295" i="21"/>
  <c r="AH296" i="21" s="1"/>
  <c r="R292" i="21"/>
  <c r="CP71" i="12"/>
  <c r="CL72" i="12" s="1"/>
  <c r="CM72" i="12" s="1"/>
  <c r="CO72" i="12" s="1"/>
  <c r="CG157" i="12"/>
  <c r="CI157" i="12" s="1"/>
  <c r="CJ157" i="12" s="1"/>
  <c r="CF158" i="12" s="1"/>
  <c r="CL52" i="5"/>
  <c r="CN52" i="5" s="1"/>
  <c r="CE53" i="5" s="1"/>
  <c r="CO52" i="5"/>
  <c r="DA31" i="12" l="1"/>
  <c r="CS32" i="12" s="1"/>
  <c r="CT32" i="12" s="1"/>
  <c r="CX32" i="12" s="1"/>
  <c r="G304" i="21"/>
  <c r="G317" i="21"/>
  <c r="AI295" i="21"/>
  <c r="AJ217" i="21"/>
  <c r="AJ218" i="21" s="1"/>
  <c r="AJ219" i="21" s="1"/>
  <c r="AK216" i="21" s="1"/>
  <c r="AJ297" i="21"/>
  <c r="AK256" i="21"/>
  <c r="AK257" i="21" s="1"/>
  <c r="AK258" i="21" s="1"/>
  <c r="AL255" i="21" s="1"/>
  <c r="CZ32" i="12"/>
  <c r="CY32" i="12"/>
  <c r="S281" i="21"/>
  <c r="R294" i="21"/>
  <c r="CW32" i="12"/>
  <c r="CV32" i="12"/>
  <c r="CU32" i="12"/>
  <c r="CP72" i="12"/>
  <c r="CL73" i="12" s="1"/>
  <c r="CM73" i="12" s="1"/>
  <c r="CO73" i="12" s="1"/>
  <c r="CP73" i="12" s="1"/>
  <c r="CL74" i="12" s="1"/>
  <c r="CM74" i="12" s="1"/>
  <c r="CO74" i="12" s="1"/>
  <c r="CL53" i="5"/>
  <c r="CN53" i="5" s="1"/>
  <c r="CE54" i="5" s="1"/>
  <c r="CO53" i="5"/>
  <c r="CG158" i="12"/>
  <c r="CI158" i="12" s="1"/>
  <c r="CJ158" i="12" s="1"/>
  <c r="CF159" i="12" s="1"/>
  <c r="AI296" i="21" l="1"/>
  <c r="AK297" i="21"/>
  <c r="AL256" i="21"/>
  <c r="AL257" i="21" s="1"/>
  <c r="AL258" i="21" s="1"/>
  <c r="AM255" i="21" s="1"/>
  <c r="AK217" i="21"/>
  <c r="AK218" i="21" s="1"/>
  <c r="AK219" i="21" s="1"/>
  <c r="AL216" i="21" s="1"/>
  <c r="AJ295" i="21"/>
  <c r="G309" i="21"/>
  <c r="DA32" i="12"/>
  <c r="CS33" i="12" s="1"/>
  <c r="CT33" i="12" s="1"/>
  <c r="CU33" i="12" s="1"/>
  <c r="S282" i="21"/>
  <c r="S283" i="21" s="1"/>
  <c r="S300" i="21"/>
  <c r="CG159" i="12"/>
  <c r="CI159" i="12" s="1"/>
  <c r="CJ159" i="12" s="1"/>
  <c r="CF160" i="12" s="1"/>
  <c r="CG160" i="12" s="1"/>
  <c r="CI160" i="12" s="1"/>
  <c r="CJ160" i="12" s="1"/>
  <c r="CF161" i="12" s="1"/>
  <c r="CL54" i="5"/>
  <c r="CN54" i="5" s="1"/>
  <c r="CE55" i="5" s="1"/>
  <c r="CO54" i="5"/>
  <c r="CP74" i="12"/>
  <c r="CL75" i="12" s="1"/>
  <c r="CM75" i="12" s="1"/>
  <c r="CO75" i="12" s="1"/>
  <c r="CP75" i="12" s="1"/>
  <c r="CL76" i="12" s="1"/>
  <c r="G316" i="21" l="1"/>
  <c r="AK295" i="21"/>
  <c r="AL217" i="21"/>
  <c r="AL218" i="21" s="1"/>
  <c r="AL219" i="21" s="1"/>
  <c r="AM216" i="21" s="1"/>
  <c r="AL297" i="21"/>
  <c r="AM256" i="21"/>
  <c r="AM257" i="21" s="1"/>
  <c r="AM258" i="21" s="1"/>
  <c r="AN255" i="21" s="1"/>
  <c r="AK296" i="21"/>
  <c r="AJ296" i="21"/>
  <c r="CW33" i="12"/>
  <c r="CZ33" i="12"/>
  <c r="CY33" i="12"/>
  <c r="CV33" i="12"/>
  <c r="CX33" i="12"/>
  <c r="S292" i="21"/>
  <c r="CG161" i="12"/>
  <c r="CI161" i="12" s="1"/>
  <c r="CJ161" i="12" s="1"/>
  <c r="CF162" i="12" s="1"/>
  <c r="CG162" i="12" s="1"/>
  <c r="CI162" i="12" s="1"/>
  <c r="CJ162" i="12" s="1"/>
  <c r="CF163" i="12" s="1"/>
  <c r="CL55" i="5"/>
  <c r="CN55" i="5" s="1"/>
  <c r="CE56" i="5" s="1"/>
  <c r="CO55" i="5"/>
  <c r="CM76" i="12"/>
  <c r="CO76" i="12" s="1"/>
  <c r="CP76" i="12" s="1"/>
  <c r="CL77" i="12" s="1"/>
  <c r="CM77" i="12" s="1"/>
  <c r="CO77" i="12" s="1"/>
  <c r="CP77" i="12" s="1"/>
  <c r="CL78" i="12" s="1"/>
  <c r="AM297" i="21" l="1"/>
  <c r="AN256" i="21"/>
  <c r="AN257" i="21" s="1"/>
  <c r="AN258" i="21" s="1"/>
  <c r="AO255" i="21" s="1"/>
  <c r="AM217" i="21"/>
  <c r="AM218" i="21" s="1"/>
  <c r="AM219" i="21" s="1"/>
  <c r="AN216" i="21" s="1"/>
  <c r="AL295" i="21"/>
  <c r="AL296" i="21" s="1"/>
  <c r="G320" i="21"/>
  <c r="DA33" i="12"/>
  <c r="CS34" i="12" s="1"/>
  <c r="CT34" i="12" s="1"/>
  <c r="CU34" i="12" s="1"/>
  <c r="T281" i="21"/>
  <c r="S294" i="21"/>
  <c r="CL56" i="5"/>
  <c r="CN56" i="5" s="1"/>
  <c r="CE57" i="5" s="1"/>
  <c r="CO56" i="5"/>
  <c r="CG163" i="12"/>
  <c r="CI163" i="12" s="1"/>
  <c r="CM78" i="12"/>
  <c r="CO78" i="12" s="1"/>
  <c r="G333" i="21" l="1"/>
  <c r="G331" i="21"/>
  <c r="AN217" i="21"/>
  <c r="AN218" i="21" s="1"/>
  <c r="AN219" i="21" s="1"/>
  <c r="AO216" i="21" s="1"/>
  <c r="AM295" i="21"/>
  <c r="AN297" i="21"/>
  <c r="AO256" i="21"/>
  <c r="AO257" i="21" s="1"/>
  <c r="AO258" i="21" s="1"/>
  <c r="AP255" i="21" s="1"/>
  <c r="AM296" i="21"/>
  <c r="CZ34" i="12"/>
  <c r="CV34" i="12"/>
  <c r="CY34" i="12"/>
  <c r="CW34" i="12"/>
  <c r="CX34" i="12"/>
  <c r="T300" i="21"/>
  <c r="T282" i="21"/>
  <c r="T283" i="21" s="1"/>
  <c r="CP78" i="12"/>
  <c r="CL79" i="12" s="1"/>
  <c r="CM79" i="12" s="1"/>
  <c r="CO79" i="12" s="1"/>
  <c r="CP79" i="12" s="1"/>
  <c r="CL80" i="12" s="1"/>
  <c r="CM80" i="12" s="1"/>
  <c r="CO80" i="12" s="1"/>
  <c r="CP80" i="12" s="1"/>
  <c r="CL81" i="12" s="1"/>
  <c r="CM81" i="12" s="1"/>
  <c r="CO81" i="12" s="1"/>
  <c r="CJ163" i="12"/>
  <c r="CF164" i="12" s="1"/>
  <c r="CG164" i="12" s="1"/>
  <c r="CO57" i="5"/>
  <c r="CL57" i="5"/>
  <c r="CN57" i="5" s="1"/>
  <c r="CE58" i="5" s="1"/>
  <c r="AO297" i="21" l="1"/>
  <c r="AP256" i="21"/>
  <c r="AP257" i="21" s="1"/>
  <c r="AP258" i="21" s="1"/>
  <c r="AQ255" i="21" s="1"/>
  <c r="AN295" i="21"/>
  <c r="AO217" i="21"/>
  <c r="AO218" i="21" s="1"/>
  <c r="AO219" i="21" s="1"/>
  <c r="AP216" i="21" s="1"/>
  <c r="G330" i="21"/>
  <c r="G323" i="21"/>
  <c r="G326" i="21"/>
  <c r="G322" i="21"/>
  <c r="G324" i="21"/>
  <c r="G327" i="21"/>
  <c r="G325" i="21"/>
  <c r="G321" i="21"/>
  <c r="DA34" i="12"/>
  <c r="CS35" i="12" s="1"/>
  <c r="CT35" i="12" s="1"/>
  <c r="CV35" i="12" s="1"/>
  <c r="CP81" i="12"/>
  <c r="CL82" i="12" s="1"/>
  <c r="CM82" i="12" s="1"/>
  <c r="CO82" i="12" s="1"/>
  <c r="T292" i="21"/>
  <c r="CI164" i="12"/>
  <c r="CJ164" i="12" s="1"/>
  <c r="CF165" i="12" s="1"/>
  <c r="CG165" i="12" s="1"/>
  <c r="CI165" i="12" s="1"/>
  <c r="CJ165" i="12" s="1"/>
  <c r="CF166" i="12" s="1"/>
  <c r="CO58" i="5"/>
  <c r="CL58" i="5"/>
  <c r="CN58" i="5" s="1"/>
  <c r="CE59" i="5" s="1"/>
  <c r="AO295" i="21" l="1"/>
  <c r="AO296" i="21" s="1"/>
  <c r="AP217" i="21"/>
  <c r="AP218" i="21" s="1"/>
  <c r="AP219" i="21" s="1"/>
  <c r="AQ216" i="21" s="1"/>
  <c r="AP297" i="21"/>
  <c r="AQ256" i="21"/>
  <c r="AQ257" i="21" s="1"/>
  <c r="G332" i="21"/>
  <c r="AN296" i="21"/>
  <c r="CY35" i="12"/>
  <c r="CX35" i="12"/>
  <c r="CZ35" i="12"/>
  <c r="CW35" i="12"/>
  <c r="CU35" i="12"/>
  <c r="U281" i="21"/>
  <c r="T294" i="21"/>
  <c r="CP82" i="12"/>
  <c r="CL83" i="12" s="1"/>
  <c r="CM83" i="12" s="1"/>
  <c r="CO83" i="12" s="1"/>
  <c r="CP83" i="12" s="1"/>
  <c r="CL84" i="12" s="1"/>
  <c r="CM84" i="12" s="1"/>
  <c r="CO84" i="12" s="1"/>
  <c r="CG166" i="12"/>
  <c r="CI166" i="12" s="1"/>
  <c r="CJ166" i="12" s="1"/>
  <c r="CF167" i="12" s="1"/>
  <c r="CG167" i="12" s="1"/>
  <c r="CI167" i="12" s="1"/>
  <c r="CJ167" i="12" s="1"/>
  <c r="CF168" i="12" s="1"/>
  <c r="CO59" i="5"/>
  <c r="CL59" i="5"/>
  <c r="CN59" i="5" s="1"/>
  <c r="CE60" i="5" s="1"/>
  <c r="AQ258" i="21" l="1"/>
  <c r="AR255" i="21" s="1"/>
  <c r="H303" i="21"/>
  <c r="AQ217" i="21"/>
  <c r="AQ218" i="21" s="1"/>
  <c r="AP295" i="21"/>
  <c r="DA35" i="12"/>
  <c r="CS36" i="12" s="1"/>
  <c r="CT36" i="12" s="1"/>
  <c r="CZ36" i="12" s="1"/>
  <c r="CP84" i="12"/>
  <c r="CL85" i="12" s="1"/>
  <c r="CM85" i="12" s="1"/>
  <c r="CO85" i="12" s="1"/>
  <c r="U282" i="21"/>
  <c r="U283" i="21" s="1"/>
  <c r="U300" i="21"/>
  <c r="CG168" i="12"/>
  <c r="CI168" i="12" s="1"/>
  <c r="CJ168" i="12" s="1"/>
  <c r="CF169" i="12" s="1"/>
  <c r="CO60" i="5"/>
  <c r="CL60" i="5"/>
  <c r="CN60" i="5" s="1"/>
  <c r="CE61" i="5" s="1"/>
  <c r="AQ219" i="21" l="1"/>
  <c r="AR216" i="21" s="1"/>
  <c r="H317" i="21"/>
  <c r="H304" i="21"/>
  <c r="CY36" i="12"/>
  <c r="AR217" i="21"/>
  <c r="AR218" i="21" s="1"/>
  <c r="AR219" i="21" s="1"/>
  <c r="AS216" i="21" s="1"/>
  <c r="AQ295" i="21"/>
  <c r="CU36" i="12"/>
  <c r="CX36" i="12"/>
  <c r="CV36" i="12"/>
  <c r="AP296" i="21"/>
  <c r="AQ297" i="21"/>
  <c r="AR256" i="21"/>
  <c r="AR257" i="21" s="1"/>
  <c r="CW36" i="12"/>
  <c r="U292" i="21"/>
  <c r="V281" i="21" s="1"/>
  <c r="CP85" i="12"/>
  <c r="CL86" i="12" s="1"/>
  <c r="CM86" i="12" s="1"/>
  <c r="CO86" i="12" s="1"/>
  <c r="CP86" i="12" s="1"/>
  <c r="CL87" i="12" s="1"/>
  <c r="CM87" i="12" s="1"/>
  <c r="CO87" i="12" s="1"/>
  <c r="CP87" i="12" s="1"/>
  <c r="CL88" i="12" s="1"/>
  <c r="CM88" i="12" s="1"/>
  <c r="CO88" i="12" s="1"/>
  <c r="CP88" i="12" s="1"/>
  <c r="CL89" i="12" s="1"/>
  <c r="CM89" i="12" s="1"/>
  <c r="CO89" i="12" s="1"/>
  <c r="CG169" i="12"/>
  <c r="CI169" i="12" s="1"/>
  <c r="CJ169" i="12" s="1"/>
  <c r="CF170" i="12" s="1"/>
  <c r="CG170" i="12" s="1"/>
  <c r="CI170" i="12" s="1"/>
  <c r="CJ170" i="12" s="1"/>
  <c r="CF171" i="12" s="1"/>
  <c r="CL61" i="5"/>
  <c r="CN61" i="5" s="1"/>
  <c r="CE62" i="5" s="1"/>
  <c r="CO61" i="5"/>
  <c r="AQ296" i="21" l="1"/>
  <c r="DA36" i="12"/>
  <c r="CS37" i="12" s="1"/>
  <c r="CT37" i="12" s="1"/>
  <c r="CW37" i="12" s="1"/>
  <c r="AR295" i="21"/>
  <c r="AS217" i="21"/>
  <c r="AS218" i="21" s="1"/>
  <c r="AS219" i="21" s="1"/>
  <c r="AT216" i="21" s="1"/>
  <c r="H309" i="21"/>
  <c r="AR258" i="21"/>
  <c r="AS255" i="21" s="1"/>
  <c r="CZ37" i="12"/>
  <c r="CU37" i="12"/>
  <c r="U294" i="21"/>
  <c r="V282" i="21"/>
  <c r="V300" i="21"/>
  <c r="CP89" i="12"/>
  <c r="CL90" i="12" s="1"/>
  <c r="CM90" i="12" s="1"/>
  <c r="CO90" i="12" s="1"/>
  <c r="CP90" i="12" s="1"/>
  <c r="CL91" i="12" s="1"/>
  <c r="CG171" i="12"/>
  <c r="CI171" i="12" s="1"/>
  <c r="CJ171" i="12" s="1"/>
  <c r="CF172" i="12" s="1"/>
  <c r="CG172" i="12" s="1"/>
  <c r="CI172" i="12" s="1"/>
  <c r="CJ172" i="12" s="1"/>
  <c r="CF173" i="12" s="1"/>
  <c r="CL62" i="5"/>
  <c r="CN62" i="5" s="1"/>
  <c r="CE63" i="5" s="1"/>
  <c r="CO62" i="5"/>
  <c r="CY37" i="12" l="1"/>
  <c r="CX37" i="12"/>
  <c r="CV37" i="12"/>
  <c r="AS256" i="21"/>
  <c r="AS257" i="21" s="1"/>
  <c r="AS258" i="21" s="1"/>
  <c r="AT255" i="21" s="1"/>
  <c r="AR297" i="21"/>
  <c r="AR296" i="21" s="1"/>
  <c r="H316" i="21"/>
  <c r="AT217" i="21"/>
  <c r="AT218" i="21" s="1"/>
  <c r="AT219" i="21" s="1"/>
  <c r="AU216" i="21" s="1"/>
  <c r="AS295" i="21"/>
  <c r="V283" i="21"/>
  <c r="CM91" i="12"/>
  <c r="CO91" i="12" s="1"/>
  <c r="CP91" i="12" s="1"/>
  <c r="CL92" i="12" s="1"/>
  <c r="CM92" i="12" s="1"/>
  <c r="CO92" i="12" s="1"/>
  <c r="CP92" i="12" s="1"/>
  <c r="CL93" i="12" s="1"/>
  <c r="CG173" i="12"/>
  <c r="CI173" i="12" s="1"/>
  <c r="CJ173" i="12" s="1"/>
  <c r="CF174" i="12" s="1"/>
  <c r="CL63" i="5"/>
  <c r="CN63" i="5" s="1"/>
  <c r="CE64" i="5" s="1"/>
  <c r="CO63" i="5"/>
  <c r="DA37" i="12" l="1"/>
  <c r="CS38" i="12" s="1"/>
  <c r="CT38" i="12" s="1"/>
  <c r="CW38" i="12" s="1"/>
  <c r="AU217" i="21"/>
  <c r="AU218" i="21" s="1"/>
  <c r="AU219" i="21" s="1"/>
  <c r="AV216" i="21" s="1"/>
  <c r="AT295" i="21"/>
  <c r="H320" i="21"/>
  <c r="AS297" i="21"/>
  <c r="AS296" i="21" s="1"/>
  <c r="AT256" i="21"/>
  <c r="AT257" i="21" s="1"/>
  <c r="AT258" i="21" s="1"/>
  <c r="AU255" i="21" s="1"/>
  <c r="V292" i="21"/>
  <c r="CL64" i="5"/>
  <c r="CN64" i="5" s="1"/>
  <c r="CE65" i="5" s="1"/>
  <c r="CO64" i="5"/>
  <c r="CG174" i="12"/>
  <c r="CI174" i="12" s="1"/>
  <c r="CJ174" i="12" s="1"/>
  <c r="CF175" i="12" s="1"/>
  <c r="CM93" i="12"/>
  <c r="CO93" i="12" s="1"/>
  <c r="CY38" i="12" l="1"/>
  <c r="CZ38" i="12"/>
  <c r="CV38" i="12"/>
  <c r="CU38" i="12"/>
  <c r="CX38" i="12"/>
  <c r="AU256" i="21"/>
  <c r="AU257" i="21" s="1"/>
  <c r="AU258" i="21" s="1"/>
  <c r="AV255" i="21" s="1"/>
  <c r="AT297" i="21"/>
  <c r="AT296" i="21" s="1"/>
  <c r="H331" i="21"/>
  <c r="H333" i="21"/>
  <c r="AU295" i="21"/>
  <c r="AV217" i="21"/>
  <c r="AV218" i="21" s="1"/>
  <c r="AV219" i="21" s="1"/>
  <c r="AW216" i="21" s="1"/>
  <c r="W281" i="21"/>
  <c r="V294" i="21"/>
  <c r="CP93" i="12"/>
  <c r="CL94" i="12" s="1"/>
  <c r="CM94" i="12" s="1"/>
  <c r="CO94" i="12" s="1"/>
  <c r="CG175" i="12"/>
  <c r="CI175" i="12" s="1"/>
  <c r="CJ175" i="12" s="1"/>
  <c r="CF176" i="12" s="1"/>
  <c r="CG176" i="12" s="1"/>
  <c r="CI176" i="12" s="1"/>
  <c r="CJ176" i="12" s="1"/>
  <c r="CF177" i="12" s="1"/>
  <c r="CG177" i="12" s="1"/>
  <c r="CI177" i="12" s="1"/>
  <c r="CJ177" i="12" s="1"/>
  <c r="CF178" i="12" s="1"/>
  <c r="CG178" i="12" s="1"/>
  <c r="CI178" i="12" s="1"/>
  <c r="CJ178" i="12" s="1"/>
  <c r="CF179" i="12" s="1"/>
  <c r="CL65" i="5"/>
  <c r="CN65" i="5" s="1"/>
  <c r="CE66" i="5" s="1"/>
  <c r="CO65" i="5"/>
  <c r="DA38" i="12" l="1"/>
  <c r="CS39" i="12" s="1"/>
  <c r="CT39" i="12" s="1"/>
  <c r="CW39" i="12" s="1"/>
  <c r="AW217" i="21"/>
  <c r="AW218" i="21" s="1"/>
  <c r="AW219" i="21" s="1"/>
  <c r="AX216" i="21" s="1"/>
  <c r="AV295" i="21"/>
  <c r="H330" i="21"/>
  <c r="H327" i="21"/>
  <c r="H323" i="21"/>
  <c r="H325" i="21"/>
  <c r="H326" i="21"/>
  <c r="H321" i="21"/>
  <c r="H322" i="21"/>
  <c r="H324" i="21"/>
  <c r="AV256" i="21"/>
  <c r="AV257" i="21" s="1"/>
  <c r="AV258" i="21" s="1"/>
  <c r="AW255" i="21" s="1"/>
  <c r="AU297" i="21"/>
  <c r="AU296" i="21" s="1"/>
  <c r="CY39" i="12"/>
  <c r="CU39" i="12"/>
  <c r="CX39" i="12"/>
  <c r="CV39" i="12"/>
  <c r="CZ39" i="12"/>
  <c r="W300" i="21"/>
  <c r="W282" i="21"/>
  <c r="W283" i="21" s="1"/>
  <c r="CP94" i="12"/>
  <c r="CL95" i="12" s="1"/>
  <c r="CM95" i="12" s="1"/>
  <c r="CO95" i="12" s="1"/>
  <c r="CP95" i="12" s="1"/>
  <c r="CL96" i="12" s="1"/>
  <c r="CM96" i="12" s="1"/>
  <c r="CO96" i="12" s="1"/>
  <c r="CG179" i="12"/>
  <c r="CI179" i="12" s="1"/>
  <c r="CJ179" i="12" s="1"/>
  <c r="CF180" i="12" s="1"/>
  <c r="CL66" i="5"/>
  <c r="CN66" i="5" s="1"/>
  <c r="CE67" i="5" s="1"/>
  <c r="CO66" i="5"/>
  <c r="AV297" i="21" l="1"/>
  <c r="AV296" i="21" s="1"/>
  <c r="AW256" i="21"/>
  <c r="AW257" i="21" s="1"/>
  <c r="AW258" i="21" s="1"/>
  <c r="AX255" i="21" s="1"/>
  <c r="H332" i="21"/>
  <c r="AW295" i="21"/>
  <c r="AX217" i="21"/>
  <c r="AX218" i="21" s="1"/>
  <c r="AX219" i="21" s="1"/>
  <c r="AY216" i="21" s="1"/>
  <c r="DA39" i="12"/>
  <c r="CS40" i="12" s="1"/>
  <c r="CT40" i="12" s="1"/>
  <c r="CV40" i="12" s="1"/>
  <c r="W292" i="21"/>
  <c r="X281" i="21" s="1"/>
  <c r="CP96" i="12"/>
  <c r="CL97" i="12" s="1"/>
  <c r="CM97" i="12" s="1"/>
  <c r="CG180" i="12"/>
  <c r="CI180" i="12" s="1"/>
  <c r="CJ180" i="12" s="1"/>
  <c r="CF181" i="12" s="1"/>
  <c r="CG181" i="12" s="1"/>
  <c r="CI181" i="12" s="1"/>
  <c r="CJ181" i="12" s="1"/>
  <c r="CF182" i="12" s="1"/>
  <c r="CL67" i="5"/>
  <c r="CN67" i="5" s="1"/>
  <c r="CE68" i="5" s="1"/>
  <c r="CO67" i="5"/>
  <c r="AY217" i="21" l="1"/>
  <c r="AY218" i="21" s="1"/>
  <c r="AY219" i="21" s="1"/>
  <c r="AZ216" i="21" s="1"/>
  <c r="AX295" i="21"/>
  <c r="I303" i="21"/>
  <c r="AW297" i="21"/>
  <c r="AW296" i="21" s="1"/>
  <c r="AX256" i="21"/>
  <c r="AX257" i="21" s="1"/>
  <c r="AX258" i="21" s="1"/>
  <c r="AY255" i="21" s="1"/>
  <c r="CY40" i="12"/>
  <c r="CX40" i="12"/>
  <c r="CZ40" i="12"/>
  <c r="CU40" i="12"/>
  <c r="CW40" i="12"/>
  <c r="W294" i="21"/>
  <c r="CO97" i="12"/>
  <c r="CP97" i="12" s="1"/>
  <c r="CL98" i="12" s="1"/>
  <c r="CM98" i="12" s="1"/>
  <c r="CO98" i="12" s="1"/>
  <c r="CP98" i="12" s="1"/>
  <c r="CL99" i="12" s="1"/>
  <c r="CM99" i="12" s="1"/>
  <c r="CO99" i="12" s="1"/>
  <c r="CP99" i="12" s="1"/>
  <c r="CL100" i="12" s="1"/>
  <c r="CM100" i="12" s="1"/>
  <c r="CO100" i="12" s="1"/>
  <c r="CP100" i="12" s="1"/>
  <c r="CL101" i="12" s="1"/>
  <c r="X282" i="21"/>
  <c r="X283" i="21" s="1"/>
  <c r="X300" i="21"/>
  <c r="CL68" i="5"/>
  <c r="CN68" i="5" s="1"/>
  <c r="CE69" i="5" s="1"/>
  <c r="CO68" i="5"/>
  <c r="CG182" i="12"/>
  <c r="CI182" i="12" s="1"/>
  <c r="CJ182" i="12" s="1"/>
  <c r="CF183" i="12" s="1"/>
  <c r="CG183" i="12" s="1"/>
  <c r="CI183" i="12" s="1"/>
  <c r="CJ183" i="12" s="1"/>
  <c r="CF184" i="12" s="1"/>
  <c r="CG184" i="12" s="1"/>
  <c r="AX297" i="21" l="1"/>
  <c r="AX296" i="21" s="1"/>
  <c r="AY256" i="21"/>
  <c r="AY257" i="21" s="1"/>
  <c r="AY258" i="21" s="1"/>
  <c r="AZ255" i="21" s="1"/>
  <c r="I304" i="21"/>
  <c r="I309" i="21" s="1"/>
  <c r="I317" i="21"/>
  <c r="AY295" i="21"/>
  <c r="AZ217" i="21"/>
  <c r="AZ218" i="21" s="1"/>
  <c r="AZ219" i="21" s="1"/>
  <c r="BA216" i="21" s="1"/>
  <c r="DA40" i="12"/>
  <c r="CS41" i="12" s="1"/>
  <c r="CT41" i="12" s="1"/>
  <c r="CZ41" i="12" s="1"/>
  <c r="X292" i="21"/>
  <c r="Y281" i="21" s="1"/>
  <c r="CM101" i="12"/>
  <c r="CO101" i="12" s="1"/>
  <c r="CL69" i="5"/>
  <c r="CN69" i="5" s="1"/>
  <c r="CE70" i="5" s="1"/>
  <c r="CO69" i="5"/>
  <c r="CI184" i="12"/>
  <c r="CJ184" i="12" s="1"/>
  <c r="CF185" i="12" s="1"/>
  <c r="I316" i="21" l="1"/>
  <c r="AZ295" i="21"/>
  <c r="BA217" i="21"/>
  <c r="BA218" i="21" s="1"/>
  <c r="BA219" i="21" s="1"/>
  <c r="BB216" i="21" s="1"/>
  <c r="I320" i="21"/>
  <c r="AZ256" i="21"/>
  <c r="AZ257" i="21" s="1"/>
  <c r="AY297" i="21"/>
  <c r="AY296" i="21" s="1"/>
  <c r="CU41" i="12"/>
  <c r="CX41" i="12"/>
  <c r="CW41" i="12"/>
  <c r="CY41" i="12"/>
  <c r="CV41" i="12"/>
  <c r="X294" i="21"/>
  <c r="Y300" i="21"/>
  <c r="Y282" i="21"/>
  <c r="Y283" i="21" s="1"/>
  <c r="CP101" i="12"/>
  <c r="CL102" i="12" s="1"/>
  <c r="CO70" i="5"/>
  <c r="CL70" i="5"/>
  <c r="CN70" i="5" s="1"/>
  <c r="CE71" i="5" s="1"/>
  <c r="CG185" i="12"/>
  <c r="I331" i="21" l="1"/>
  <c r="I333" i="21"/>
  <c r="AZ258" i="21"/>
  <c r="BA255" i="21" s="1"/>
  <c r="BA295" i="21"/>
  <c r="BB217" i="21"/>
  <c r="BB218" i="21" s="1"/>
  <c r="BB219" i="21" s="1"/>
  <c r="BC216" i="21" s="1"/>
  <c r="DA41" i="12"/>
  <c r="CS42" i="12" s="1"/>
  <c r="CT42" i="12" s="1"/>
  <c r="CX42" i="12" s="1"/>
  <c r="Y292" i="21"/>
  <c r="CM102" i="12"/>
  <c r="CO102" i="12" s="1"/>
  <c r="CO71" i="5"/>
  <c r="CL71" i="5"/>
  <c r="CN71" i="5" s="1"/>
  <c r="CE72" i="5" s="1"/>
  <c r="CI185" i="12"/>
  <c r="CJ185" i="12" s="1"/>
  <c r="CF186" i="12" s="1"/>
  <c r="BC217" i="21" l="1"/>
  <c r="BC218" i="21" s="1"/>
  <c r="BC219" i="21" s="1"/>
  <c r="BD216" i="21" s="1"/>
  <c r="BB295" i="21"/>
  <c r="BA256" i="21"/>
  <c r="BA257" i="21" s="1"/>
  <c r="BA258" i="21" s="1"/>
  <c r="BB255" i="21" s="1"/>
  <c r="AZ297" i="21"/>
  <c r="AZ296" i="21" s="1"/>
  <c r="I330" i="21"/>
  <c r="I321" i="21"/>
  <c r="I327" i="21"/>
  <c r="I325" i="21"/>
  <c r="I326" i="21"/>
  <c r="I323" i="21"/>
  <c r="I322" i="21"/>
  <c r="I324" i="21"/>
  <c r="CZ42" i="12"/>
  <c r="CU42" i="12"/>
  <c r="CY42" i="12"/>
  <c r="CV42" i="12"/>
  <c r="CW42" i="12"/>
  <c r="Z281" i="21"/>
  <c r="Y294" i="21"/>
  <c r="CP102" i="12"/>
  <c r="CL103" i="12" s="1"/>
  <c r="CL72" i="5"/>
  <c r="CN72" i="5" s="1"/>
  <c r="CE73" i="5" s="1"/>
  <c r="CO72" i="5"/>
  <c r="CG186" i="12"/>
  <c r="CI186" i="12" s="1"/>
  <c r="I332" i="21" l="1"/>
  <c r="BA297" i="21"/>
  <c r="BA296" i="21" s="1"/>
  <c r="BB256" i="21"/>
  <c r="BB257" i="21" s="1"/>
  <c r="BB258" i="21" s="1"/>
  <c r="BC255" i="21" s="1"/>
  <c r="BC295" i="21"/>
  <c r="BD217" i="21"/>
  <c r="BD218" i="21" s="1"/>
  <c r="BD219" i="21" s="1"/>
  <c r="BE216" i="21" s="1"/>
  <c r="DA42" i="12"/>
  <c r="CS43" i="12" s="1"/>
  <c r="CT43" i="12" s="1"/>
  <c r="CW43" i="12" s="1"/>
  <c r="Z300" i="21"/>
  <c r="Z282" i="21"/>
  <c r="Z283" i="21" s="1"/>
  <c r="Z292" i="21" s="1"/>
  <c r="CM103" i="12"/>
  <c r="CO103" i="12" s="1"/>
  <c r="CO73" i="5"/>
  <c r="CL73" i="5"/>
  <c r="CN73" i="5" s="1"/>
  <c r="CE74" i="5" s="1"/>
  <c r="CJ186" i="12"/>
  <c r="CF187" i="12" s="1"/>
  <c r="CZ43" i="12" l="1"/>
  <c r="CX43" i="12"/>
  <c r="CY43" i="12"/>
  <c r="BE217" i="21"/>
  <c r="BE218" i="21" s="1"/>
  <c r="BE219" i="21" s="1"/>
  <c r="BF216" i="21" s="1"/>
  <c r="BD295" i="21"/>
  <c r="BC256" i="21"/>
  <c r="BC257" i="21" s="1"/>
  <c r="BB297" i="21"/>
  <c r="BB296" i="21" s="1"/>
  <c r="J303" i="21"/>
  <c r="CU43" i="12"/>
  <c r="CV43" i="12"/>
  <c r="CP103" i="12"/>
  <c r="CL104" i="12" s="1"/>
  <c r="CM104" i="12" s="1"/>
  <c r="CO104" i="12" s="1"/>
  <c r="CP104" i="12" s="1"/>
  <c r="CL105" i="12" s="1"/>
  <c r="CM105" i="12" s="1"/>
  <c r="CO105" i="12" s="1"/>
  <c r="CP105" i="12" s="1"/>
  <c r="CL106" i="12" s="1"/>
  <c r="CM106" i="12" s="1"/>
  <c r="CO106" i="12" s="1"/>
  <c r="CP106" i="12" s="1"/>
  <c r="CL107" i="12" s="1"/>
  <c r="CM107" i="12" s="1"/>
  <c r="CO107" i="12" s="1"/>
  <c r="AA281" i="21"/>
  <c r="Z294" i="21"/>
  <c r="CO74" i="5"/>
  <c r="CL74" i="5"/>
  <c r="CN74" i="5" s="1"/>
  <c r="CE75" i="5" s="1"/>
  <c r="CG187" i="12"/>
  <c r="CI187" i="12" s="1"/>
  <c r="BC258" i="21" l="1"/>
  <c r="BD255" i="21" s="1"/>
  <c r="BD256" i="21" s="1"/>
  <c r="BD257" i="21" s="1"/>
  <c r="BD258" i="21" s="1"/>
  <c r="BE255" i="21" s="1"/>
  <c r="J317" i="21"/>
  <c r="J304" i="21"/>
  <c r="BC297" i="21"/>
  <c r="BC296" i="21" s="1"/>
  <c r="BF217" i="21"/>
  <c r="BF218" i="21" s="1"/>
  <c r="BF219" i="21" s="1"/>
  <c r="BG216" i="21" s="1"/>
  <c r="BE295" i="21"/>
  <c r="DA43" i="12"/>
  <c r="CS44" i="12" s="1"/>
  <c r="CT44" i="12" s="1"/>
  <c r="CW44" i="12" s="1"/>
  <c r="CP107" i="12"/>
  <c r="CL108" i="12" s="1"/>
  <c r="CM108" i="12" s="1"/>
  <c r="CO108" i="12" s="1"/>
  <c r="CP108" i="12" s="1"/>
  <c r="CL109" i="12" s="1"/>
  <c r="CM109" i="12" s="1"/>
  <c r="CO109" i="12" s="1"/>
  <c r="AA300" i="21"/>
  <c r="AA282" i="21"/>
  <c r="AA283" i="21" s="1"/>
  <c r="AA292" i="21" s="1"/>
  <c r="CL75" i="5"/>
  <c r="CN75" i="5" s="1"/>
  <c r="CE76" i="5" s="1"/>
  <c r="CO75" i="5"/>
  <c r="CJ187" i="12"/>
  <c r="CF188" i="12" s="1"/>
  <c r="CX44" i="12" l="1"/>
  <c r="CZ44" i="12"/>
  <c r="CY44" i="12"/>
  <c r="BF295" i="21"/>
  <c r="BG217" i="21"/>
  <c r="BG218" i="21" s="1"/>
  <c r="BG219" i="21" s="1"/>
  <c r="BH216" i="21" s="1"/>
  <c r="BE256" i="21"/>
  <c r="BE257" i="21" s="1"/>
  <c r="BD297" i="21"/>
  <c r="BD296" i="21" s="1"/>
  <c r="CU44" i="12"/>
  <c r="CV44" i="12"/>
  <c r="J309" i="21"/>
  <c r="AB281" i="21"/>
  <c r="AA294" i="21"/>
  <c r="CP109" i="12"/>
  <c r="CL110" i="12" s="1"/>
  <c r="CM110" i="12" s="1"/>
  <c r="CO110" i="12" s="1"/>
  <c r="CL76" i="5"/>
  <c r="CN76" i="5" s="1"/>
  <c r="CE77" i="5" s="1"/>
  <c r="CO76" i="5"/>
  <c r="CG188" i="12"/>
  <c r="CI188" i="12" s="1"/>
  <c r="CJ188" i="12" s="1"/>
  <c r="CF189" i="12" s="1"/>
  <c r="BE258" i="21" l="1"/>
  <c r="BF255" i="21" s="1"/>
  <c r="DA44" i="12"/>
  <c r="CS45" i="12" s="1"/>
  <c r="CT45" i="12" s="1"/>
  <c r="CW45" i="12" s="1"/>
  <c r="BG295" i="21"/>
  <c r="BH217" i="21"/>
  <c r="BH218" i="21" s="1"/>
  <c r="BH219" i="21" s="1"/>
  <c r="BI216" i="21" s="1"/>
  <c r="BE297" i="21"/>
  <c r="BE296" i="21" s="1"/>
  <c r="BF256" i="21"/>
  <c r="BF257" i="21" s="1"/>
  <c r="BF258" i="21" s="1"/>
  <c r="BG255" i="21" s="1"/>
  <c r="J316" i="21"/>
  <c r="AB300" i="21"/>
  <c r="AB282" i="21"/>
  <c r="CP110" i="12"/>
  <c r="CL111" i="12" s="1"/>
  <c r="CO77" i="5"/>
  <c r="CL77" i="5"/>
  <c r="CN77" i="5" s="1"/>
  <c r="CE78" i="5" s="1"/>
  <c r="CG189" i="12"/>
  <c r="CV45" i="12" l="1"/>
  <c r="CX45" i="12"/>
  <c r="CZ45" i="12"/>
  <c r="CY45" i="12"/>
  <c r="CU45" i="12"/>
  <c r="BF297" i="21"/>
  <c r="BF296" i="21" s="1"/>
  <c r="BG256" i="21"/>
  <c r="BG257" i="21" s="1"/>
  <c r="BI217" i="21"/>
  <c r="BI218" i="21" s="1"/>
  <c r="BI219" i="21" s="1"/>
  <c r="BJ216" i="21" s="1"/>
  <c r="BH295" i="21"/>
  <c r="J320" i="21"/>
  <c r="AB283" i="21"/>
  <c r="CM111" i="12"/>
  <c r="CO111" i="12" s="1"/>
  <c r="CL78" i="5"/>
  <c r="CN78" i="5" s="1"/>
  <c r="CE79" i="5" s="1"/>
  <c r="CO78" i="5"/>
  <c r="CI189" i="12"/>
  <c r="CJ189" i="12" s="1"/>
  <c r="CF190" i="12" s="1"/>
  <c r="DA45" i="12" l="1"/>
  <c r="CS46" i="12" s="1"/>
  <c r="CT46" i="12" s="1"/>
  <c r="CV46" i="12" s="1"/>
  <c r="BG258" i="21"/>
  <c r="BH255" i="21" s="1"/>
  <c r="CU46" i="12"/>
  <c r="CY46" i="12"/>
  <c r="CW46" i="12"/>
  <c r="CZ46" i="12"/>
  <c r="J331" i="21"/>
  <c r="J333" i="21"/>
  <c r="BI295" i="21"/>
  <c r="BJ217" i="21"/>
  <c r="BJ218" i="21" s="1"/>
  <c r="BJ219" i="21" s="1"/>
  <c r="BK216" i="21" s="1"/>
  <c r="BG297" i="21"/>
  <c r="BG296" i="21" s="1"/>
  <c r="BH256" i="21"/>
  <c r="BH257" i="21" s="1"/>
  <c r="BH258" i="21" s="1"/>
  <c r="BI255" i="21" s="1"/>
  <c r="CP111" i="12"/>
  <c r="CL112" i="12" s="1"/>
  <c r="CM112" i="12" s="1"/>
  <c r="CO112" i="12" s="1"/>
  <c r="AB292" i="21"/>
  <c r="CO79" i="5"/>
  <c r="CL79" i="5"/>
  <c r="CN79" i="5" s="1"/>
  <c r="CE80" i="5" s="1"/>
  <c r="CG190" i="12"/>
  <c r="CI190" i="12" s="1"/>
  <c r="CX46" i="12" l="1"/>
  <c r="DA46" i="12" s="1"/>
  <c r="CS47" i="12" s="1"/>
  <c r="CT47" i="12" s="1"/>
  <c r="BH297" i="21"/>
  <c r="BH296" i="21" s="1"/>
  <c r="BI256" i="21"/>
  <c r="BI257" i="21" s="1"/>
  <c r="BI258" i="21" s="1"/>
  <c r="BJ255" i="21" s="1"/>
  <c r="BJ295" i="21"/>
  <c r="BK217" i="21"/>
  <c r="BK218" i="21" s="1"/>
  <c r="BK219" i="21" s="1"/>
  <c r="BL216" i="21" s="1"/>
  <c r="J330" i="21"/>
  <c r="J326" i="21"/>
  <c r="J327" i="21"/>
  <c r="J321" i="21"/>
  <c r="J322" i="21"/>
  <c r="J325" i="21"/>
  <c r="J323" i="21"/>
  <c r="J324" i="21"/>
  <c r="AC281" i="21"/>
  <c r="AB294" i="21"/>
  <c r="CP112" i="12"/>
  <c r="CL113" i="12" s="1"/>
  <c r="CM113" i="12" s="1"/>
  <c r="CO113" i="12" s="1"/>
  <c r="CP113" i="12" s="1"/>
  <c r="CL114" i="12" s="1"/>
  <c r="CO80" i="5"/>
  <c r="CL80" i="5"/>
  <c r="CN80" i="5" s="1"/>
  <c r="CE81" i="5" s="1"/>
  <c r="CJ190" i="12"/>
  <c r="CF191" i="12" s="1"/>
  <c r="CG191" i="12" s="1"/>
  <c r="CU47" i="12" l="1"/>
  <c r="CW47" i="12"/>
  <c r="CY47" i="12"/>
  <c r="CX47" i="12"/>
  <c r="CV47" i="12"/>
  <c r="CZ47" i="12"/>
  <c r="DA47" i="12"/>
  <c r="CS48" i="12" s="1"/>
  <c r="CT48" i="12" s="1"/>
  <c r="CW48" i="12" s="1"/>
  <c r="J332" i="21"/>
  <c r="BK295" i="21"/>
  <c r="BL217" i="21"/>
  <c r="BL218" i="21" s="1"/>
  <c r="BL219" i="21" s="1"/>
  <c r="BM216" i="21" s="1"/>
  <c r="BI297" i="21"/>
  <c r="BI296" i="21" s="1"/>
  <c r="BJ256" i="21"/>
  <c r="BJ257" i="21" s="1"/>
  <c r="BJ258" i="21" s="1"/>
  <c r="BK255" i="21" s="1"/>
  <c r="CZ48" i="12"/>
  <c r="CU48" i="12"/>
  <c r="CX48" i="12"/>
  <c r="AC300" i="21"/>
  <c r="AC282" i="21"/>
  <c r="AC283" i="21" s="1"/>
  <c r="CM114" i="12"/>
  <c r="CO114" i="12" s="1"/>
  <c r="CL81" i="5"/>
  <c r="CN81" i="5" s="1"/>
  <c r="CE82" i="5" s="1"/>
  <c r="CO81" i="5"/>
  <c r="CI191" i="12"/>
  <c r="CJ191" i="12" s="1"/>
  <c r="CF192" i="12" s="1"/>
  <c r="CY48" i="12" l="1"/>
  <c r="CV48" i="12"/>
  <c r="DA48" i="12" s="1"/>
  <c r="CS49" i="12" s="1"/>
  <c r="CT49" i="12" s="1"/>
  <c r="BJ297" i="21"/>
  <c r="BJ296" i="21" s="1"/>
  <c r="BK256" i="21"/>
  <c r="BK257" i="21" s="1"/>
  <c r="BK258" i="21" s="1"/>
  <c r="BL255" i="21" s="1"/>
  <c r="BL295" i="21"/>
  <c r="BM217" i="21"/>
  <c r="K303" i="21"/>
  <c r="CP114" i="12"/>
  <c r="CL115" i="12" s="1"/>
  <c r="CM115" i="12" s="1"/>
  <c r="CO115" i="12" s="1"/>
  <c r="CP115" i="12" s="1"/>
  <c r="CL116" i="12" s="1"/>
  <c r="CM116" i="12" s="1"/>
  <c r="CO116" i="12" s="1"/>
  <c r="AC292" i="21"/>
  <c r="CO82" i="5"/>
  <c r="CL82" i="5"/>
  <c r="CN82" i="5" s="1"/>
  <c r="CE83" i="5" s="1"/>
  <c r="CG192" i="12"/>
  <c r="CU49" i="12" l="1"/>
  <c r="CZ49" i="12"/>
  <c r="CY49" i="12"/>
  <c r="CV49" i="12"/>
  <c r="CX49" i="12"/>
  <c r="CW49" i="12"/>
  <c r="BM218" i="21"/>
  <c r="BM219" i="21" s="1"/>
  <c r="BN216" i="21" s="1"/>
  <c r="K304" i="21"/>
  <c r="K317" i="21"/>
  <c r="BK297" i="21"/>
  <c r="BK296" i="21" s="1"/>
  <c r="BL256" i="21"/>
  <c r="BL257" i="21" s="1"/>
  <c r="BL258" i="21" s="1"/>
  <c r="BM255" i="21" s="1"/>
  <c r="AD281" i="21"/>
  <c r="AC294" i="21"/>
  <c r="CP116" i="12"/>
  <c r="CL117" i="12" s="1"/>
  <c r="CM117" i="12" s="1"/>
  <c r="CO117" i="12" s="1"/>
  <c r="CP117" i="12" s="1"/>
  <c r="CL118" i="12" s="1"/>
  <c r="CM118" i="12" s="1"/>
  <c r="CO118" i="12" s="1"/>
  <c r="CP118" i="12" s="1"/>
  <c r="CL119" i="12" s="1"/>
  <c r="CL83" i="5"/>
  <c r="CN83" i="5" s="1"/>
  <c r="CE84" i="5" s="1"/>
  <c r="CO83" i="5"/>
  <c r="CI192" i="12"/>
  <c r="CJ192" i="12" s="1"/>
  <c r="DA49" i="12" l="1"/>
  <c r="CS50" i="12" s="1"/>
  <c r="CT50" i="12" s="1"/>
  <c r="BM256" i="21"/>
  <c r="BM257" i="21" s="1"/>
  <c r="BM258" i="21" s="1"/>
  <c r="BN255" i="21" s="1"/>
  <c r="BL297" i="21"/>
  <c r="BL296" i="21" s="1"/>
  <c r="K309" i="21"/>
  <c r="BN217" i="21"/>
  <c r="BM295" i="21"/>
  <c r="AD300" i="21"/>
  <c r="AD282" i="21"/>
  <c r="AD283" i="21" s="1"/>
  <c r="CM119" i="12"/>
  <c r="CO119" i="12" s="1"/>
  <c r="CL84" i="5"/>
  <c r="CN84" i="5" s="1"/>
  <c r="CE85" i="5" s="1"/>
  <c r="CO84" i="5"/>
  <c r="CW50" i="12"/>
  <c r="CV50" i="12"/>
  <c r="CX50" i="12"/>
  <c r="CU50" i="12"/>
  <c r="CY50" i="12"/>
  <c r="CZ50" i="12"/>
  <c r="BN218" i="21" l="1"/>
  <c r="BN219" i="21" s="1"/>
  <c r="BO216" i="21" s="1"/>
  <c r="K316" i="21"/>
  <c r="BN256" i="21"/>
  <c r="BN257" i="21" s="1"/>
  <c r="BN258" i="21" s="1"/>
  <c r="BO255" i="21" s="1"/>
  <c r="BM297" i="21"/>
  <c r="BM296" i="21" s="1"/>
  <c r="AD292" i="21"/>
  <c r="DA50" i="12"/>
  <c r="CS51" i="12" s="1"/>
  <c r="CT51" i="12" s="1"/>
  <c r="CP119" i="12"/>
  <c r="CL120" i="12" s="1"/>
  <c r="CM120" i="12" s="1"/>
  <c r="CO120" i="12" s="1"/>
  <c r="CL85" i="5"/>
  <c r="CN85" i="5" s="1"/>
  <c r="CE86" i="5" s="1"/>
  <c r="CO85" i="5"/>
  <c r="BO256" i="21" l="1"/>
  <c r="BO257" i="21" s="1"/>
  <c r="BN297" i="21"/>
  <c r="K320" i="21"/>
  <c r="BN295" i="21"/>
  <c r="BO217" i="21"/>
  <c r="BO218" i="21" s="1"/>
  <c r="BO219" i="21" s="1"/>
  <c r="BP216" i="21" s="1"/>
  <c r="AE281" i="21"/>
  <c r="AD294" i="21"/>
  <c r="CP120" i="12"/>
  <c r="CL121" i="12" s="1"/>
  <c r="CM121" i="12" s="1"/>
  <c r="CO121" i="12" s="1"/>
  <c r="CP121" i="12" s="1"/>
  <c r="CL122" i="12" s="1"/>
  <c r="CY51" i="12"/>
  <c r="CV51" i="12"/>
  <c r="CX51" i="12"/>
  <c r="CZ51" i="12"/>
  <c r="CW51" i="12"/>
  <c r="CU51" i="12"/>
  <c r="CL86" i="5"/>
  <c r="CN86" i="5" s="1"/>
  <c r="CE87" i="5" s="1"/>
  <c r="CO86" i="5"/>
  <c r="BO258" i="21" l="1"/>
  <c r="BP255" i="21" s="1"/>
  <c r="BP217" i="21"/>
  <c r="BP218" i="21" s="1"/>
  <c r="BP219" i="21" s="1"/>
  <c r="BQ216" i="21" s="1"/>
  <c r="BO295" i="21"/>
  <c r="K331" i="21"/>
  <c r="K333" i="21"/>
  <c r="BO297" i="21"/>
  <c r="BP256" i="21"/>
  <c r="BN296" i="21"/>
  <c r="DA51" i="12"/>
  <c r="CS52" i="12" s="1"/>
  <c r="CT52" i="12" s="1"/>
  <c r="AE282" i="21"/>
  <c r="AE283" i="21" s="1"/>
  <c r="AE300" i="21"/>
  <c r="CM122" i="12"/>
  <c r="CO122" i="12" s="1"/>
  <c r="CP122" i="12" s="1"/>
  <c r="CL123" i="12" s="1"/>
  <c r="CO87" i="5"/>
  <c r="CL87" i="5"/>
  <c r="CN87" i="5" s="1"/>
  <c r="CE88" i="5" s="1"/>
  <c r="BP257" i="21" l="1"/>
  <c r="BP258" i="21" s="1"/>
  <c r="BQ255" i="21" s="1"/>
  <c r="K330" i="21"/>
  <c r="K323" i="21"/>
  <c r="K324" i="21"/>
  <c r="K326" i="21"/>
  <c r="K322" i="21"/>
  <c r="K327" i="21"/>
  <c r="K325" i="21"/>
  <c r="K321" i="21"/>
  <c r="BO296" i="21"/>
  <c r="BQ217" i="21"/>
  <c r="BQ218" i="21" s="1"/>
  <c r="BQ219" i="21" s="1"/>
  <c r="BR216" i="21" s="1"/>
  <c r="BP295" i="21"/>
  <c r="AE292" i="21"/>
  <c r="CM123" i="12"/>
  <c r="CO123" i="12" s="1"/>
  <c r="CP123" i="12" s="1"/>
  <c r="CL124" i="12" s="1"/>
  <c r="CM124" i="12" s="1"/>
  <c r="CO124" i="12" s="1"/>
  <c r="CP124" i="12" s="1"/>
  <c r="CL125" i="12" s="1"/>
  <c r="CM125" i="12" s="1"/>
  <c r="CO125" i="12" s="1"/>
  <c r="CP125" i="12" s="1"/>
  <c r="CL126" i="12" s="1"/>
  <c r="CV52" i="12"/>
  <c r="CW52" i="12"/>
  <c r="CY52" i="12"/>
  <c r="CX52" i="12"/>
  <c r="CU52" i="12"/>
  <c r="CZ52" i="12"/>
  <c r="CL88" i="5"/>
  <c r="CN88" i="5" s="1"/>
  <c r="CE89" i="5" s="1"/>
  <c r="CO88" i="5"/>
  <c r="K332" i="21" l="1"/>
  <c r="L303" i="21" s="1"/>
  <c r="BR217" i="21"/>
  <c r="BR218" i="21" s="1"/>
  <c r="BR219" i="21" s="1"/>
  <c r="BS216" i="21" s="1"/>
  <c r="BQ295" i="21"/>
  <c r="BQ256" i="21"/>
  <c r="BQ257" i="21" s="1"/>
  <c r="BQ258" i="21" s="1"/>
  <c r="BR255" i="21" s="1"/>
  <c r="BP297" i="21"/>
  <c r="BP296" i="21" s="1"/>
  <c r="DA52" i="12"/>
  <c r="CS53" i="12" s="1"/>
  <c r="CT53" i="12" s="1"/>
  <c r="AF281" i="21"/>
  <c r="AE294" i="21"/>
  <c r="CM126" i="12"/>
  <c r="CO126" i="12" s="1"/>
  <c r="CL89" i="5"/>
  <c r="CN89" i="5" s="1"/>
  <c r="CE90" i="5" s="1"/>
  <c r="CO89" i="5"/>
  <c r="L317" i="21" l="1"/>
  <c r="L304" i="21"/>
  <c r="BR256" i="21"/>
  <c r="BR257" i="21" s="1"/>
  <c r="BR258" i="21" s="1"/>
  <c r="BS255" i="21" s="1"/>
  <c r="BQ297" i="21"/>
  <c r="BQ296" i="21" s="1"/>
  <c r="BR295" i="21"/>
  <c r="BS217" i="21"/>
  <c r="BS218" i="21" s="1"/>
  <c r="BS219" i="21" s="1"/>
  <c r="BT216" i="21" s="1"/>
  <c r="CP126" i="12"/>
  <c r="CL127" i="12" s="1"/>
  <c r="CM127" i="12" s="1"/>
  <c r="CO127" i="12" s="1"/>
  <c r="CP127" i="12" s="1"/>
  <c r="CL128" i="12" s="1"/>
  <c r="CM128" i="12" s="1"/>
  <c r="CO128" i="12" s="1"/>
  <c r="CP128" i="12" s="1"/>
  <c r="CL129" i="12" s="1"/>
  <c r="CM129" i="12" s="1"/>
  <c r="CO129" i="12" s="1"/>
  <c r="AF300" i="21"/>
  <c r="AF282" i="21"/>
  <c r="AF283" i="21" s="1"/>
  <c r="CL90" i="5"/>
  <c r="CN90" i="5" s="1"/>
  <c r="CE91" i="5" s="1"/>
  <c r="CO90" i="5"/>
  <c r="CV53" i="12"/>
  <c r="CY53" i="12"/>
  <c r="CU53" i="12"/>
  <c r="CX53" i="12"/>
  <c r="CW53" i="12"/>
  <c r="CZ53" i="12"/>
  <c r="BS295" i="21" l="1"/>
  <c r="BT217" i="21"/>
  <c r="BT218" i="21" s="1"/>
  <c r="BT219" i="21"/>
  <c r="BU216" i="21" s="1"/>
  <c r="BT295" i="21" s="1"/>
  <c r="BR297" i="21"/>
  <c r="BR296" i="21" s="1"/>
  <c r="BS256" i="21"/>
  <c r="L309" i="21"/>
  <c r="AF292" i="21"/>
  <c r="AF294" i="21" s="1"/>
  <c r="BU217" i="21"/>
  <c r="BU218" i="21" s="1"/>
  <c r="BU219" i="21" s="1"/>
  <c r="BV216" i="21" s="1"/>
  <c r="BV217" i="21" s="1"/>
  <c r="DA53" i="12"/>
  <c r="CS54" i="12" s="1"/>
  <c r="CT54" i="12" s="1"/>
  <c r="CP129" i="12"/>
  <c r="CL130" i="12" s="1"/>
  <c r="CM130" i="12" s="1"/>
  <c r="CO130" i="12" s="1"/>
  <c r="CP130" i="12" s="1"/>
  <c r="CL131" i="12" s="1"/>
  <c r="CM131" i="12" s="1"/>
  <c r="CO131" i="12" s="1"/>
  <c r="CP131" i="12" s="1"/>
  <c r="CL132" i="12" s="1"/>
  <c r="CM132" i="12" s="1"/>
  <c r="CO132" i="12" s="1"/>
  <c r="CP132" i="12" s="1"/>
  <c r="CL133" i="12" s="1"/>
  <c r="CM133" i="12" s="1"/>
  <c r="CO133" i="12" s="1"/>
  <c r="CP133" i="12" s="1"/>
  <c r="CL134" i="12" s="1"/>
  <c r="CM134" i="12" s="1"/>
  <c r="CO134" i="12" s="1"/>
  <c r="CP134" i="12" s="1"/>
  <c r="CL135" i="12" s="1"/>
  <c r="CM135" i="12" s="1"/>
  <c r="CO135" i="12" s="1"/>
  <c r="CP135" i="12" s="1"/>
  <c r="CL136" i="12" s="1"/>
  <c r="CO91" i="5"/>
  <c r="CL91" i="5"/>
  <c r="CN91" i="5" s="1"/>
  <c r="CE92" i="5" s="1"/>
  <c r="AG281" i="21" l="1"/>
  <c r="L316" i="21"/>
  <c r="BS257" i="21"/>
  <c r="BS258" i="21"/>
  <c r="BT255" i="21" s="1"/>
  <c r="BU295" i="21"/>
  <c r="BV218" i="21"/>
  <c r="BV219" i="21" s="1"/>
  <c r="BW216" i="21" s="1"/>
  <c r="AG282" i="21"/>
  <c r="AG283" i="21" s="1"/>
  <c r="AG300" i="21"/>
  <c r="CM136" i="12"/>
  <c r="CO136" i="12" s="1"/>
  <c r="CP136" i="12" s="1"/>
  <c r="CL137" i="12" s="1"/>
  <c r="CY54" i="12"/>
  <c r="CX54" i="12"/>
  <c r="CW54" i="12"/>
  <c r="CV54" i="12"/>
  <c r="CU54" i="12"/>
  <c r="CZ54" i="12"/>
  <c r="CO92" i="5"/>
  <c r="CL92" i="5"/>
  <c r="CN92" i="5" s="1"/>
  <c r="CE93" i="5" s="1"/>
  <c r="BS297" i="21" l="1"/>
  <c r="BS296" i="21" s="1"/>
  <c r="BT256" i="21"/>
  <c r="BT257" i="21" s="1"/>
  <c r="BT258" i="21" s="1"/>
  <c r="BU255" i="21" s="1"/>
  <c r="L320" i="21"/>
  <c r="BW217" i="21"/>
  <c r="BW218" i="21" s="1"/>
  <c r="BW219" i="21" s="1"/>
  <c r="BX216" i="21" s="1"/>
  <c r="BV295" i="21"/>
  <c r="AG292" i="21"/>
  <c r="AH281" i="21" s="1"/>
  <c r="DA54" i="12"/>
  <c r="CS55" i="12" s="1"/>
  <c r="CT55" i="12" s="1"/>
  <c r="CM137" i="12"/>
  <c r="CO137" i="12" s="1"/>
  <c r="CP137" i="12" s="1"/>
  <c r="CL138" i="12" s="1"/>
  <c r="CL93" i="5"/>
  <c r="CN93" i="5" s="1"/>
  <c r="CE94" i="5" s="1"/>
  <c r="CO93" i="5"/>
  <c r="L331" i="21" l="1"/>
  <c r="L333" i="21"/>
  <c r="BT297" i="21"/>
  <c r="BT296" i="21" s="1"/>
  <c r="BU256" i="21"/>
  <c r="BU257" i="21" s="1"/>
  <c r="BU258" i="21" s="1"/>
  <c r="BV255" i="21" s="1"/>
  <c r="AG294" i="21"/>
  <c r="BX217" i="21"/>
  <c r="BX218" i="21" s="1"/>
  <c r="BX219" i="21" s="1"/>
  <c r="BY216" i="21" s="1"/>
  <c r="BW295" i="21"/>
  <c r="AH282" i="21"/>
  <c r="AH283" i="21" s="1"/>
  <c r="AH300" i="21"/>
  <c r="CZ55" i="12"/>
  <c r="CV55" i="12"/>
  <c r="CU55" i="12"/>
  <c r="CY55" i="12"/>
  <c r="CX55" i="12"/>
  <c r="CW55" i="12"/>
  <c r="CM138" i="12"/>
  <c r="CO138" i="12" s="1"/>
  <c r="CP138" i="12" s="1"/>
  <c r="CL139" i="12" s="1"/>
  <c r="CO94" i="5"/>
  <c r="CL94" i="5"/>
  <c r="CN94" i="5" s="1"/>
  <c r="CE95" i="5" s="1"/>
  <c r="BV256" i="21" l="1"/>
  <c r="BU297" i="21"/>
  <c r="BU296" i="21" s="1"/>
  <c r="L330" i="21"/>
  <c r="L322" i="21"/>
  <c r="L326" i="21"/>
  <c r="L321" i="21"/>
  <c r="L324" i="21"/>
  <c r="L323" i="21"/>
  <c r="L325" i="21"/>
  <c r="L327" i="21"/>
  <c r="BX295" i="21"/>
  <c r="BY217" i="21"/>
  <c r="BY218" i="21" s="1"/>
  <c r="BY219" i="21" s="1"/>
  <c r="BZ216" i="21" s="1"/>
  <c r="DA55" i="12"/>
  <c r="CS56" i="12" s="1"/>
  <c r="CT56" i="12" s="1"/>
  <c r="AH292" i="21"/>
  <c r="AH294" i="21" s="1"/>
  <c r="CO95" i="5"/>
  <c r="CL95" i="5"/>
  <c r="CN95" i="5" s="1"/>
  <c r="CE96" i="5" s="1"/>
  <c r="CM139" i="12"/>
  <c r="CO139" i="12" s="1"/>
  <c r="CP139" i="12" s="1"/>
  <c r="CL140" i="12" s="1"/>
  <c r="CM140" i="12" s="1"/>
  <c r="CO140" i="12" s="1"/>
  <c r="CP140" i="12" s="1"/>
  <c r="CL141" i="12" s="1"/>
  <c r="L332" i="21" l="1"/>
  <c r="BV257" i="21"/>
  <c r="BV258" i="21" s="1"/>
  <c r="BW255" i="21" s="1"/>
  <c r="BY295" i="21"/>
  <c r="BZ217" i="21"/>
  <c r="BZ218" i="21" s="1"/>
  <c r="BZ219" i="21" s="1"/>
  <c r="CA216" i="21" s="1"/>
  <c r="AI281" i="21"/>
  <c r="AI300" i="21" s="1"/>
  <c r="CM141" i="12"/>
  <c r="CO141" i="12" s="1"/>
  <c r="CP141" i="12" s="1"/>
  <c r="CL142" i="12" s="1"/>
  <c r="CL96" i="5"/>
  <c r="CN96" i="5" s="1"/>
  <c r="CE97" i="5" s="1"/>
  <c r="CO96" i="5"/>
  <c r="CX56" i="12"/>
  <c r="CV56" i="12"/>
  <c r="CW56" i="12"/>
  <c r="CZ56" i="12"/>
  <c r="CY56" i="12"/>
  <c r="CU56" i="12"/>
  <c r="BW256" i="21" l="1"/>
  <c r="BW257" i="21" s="1"/>
  <c r="BW258" i="21" s="1"/>
  <c r="BX255" i="21" s="1"/>
  <c r="BV297" i="21"/>
  <c r="BV296" i="21" s="1"/>
  <c r="M303" i="21"/>
  <c r="CA217" i="21"/>
  <c r="CA218" i="21" s="1"/>
  <c r="CA219" i="21" s="1"/>
  <c r="CB216" i="21" s="1"/>
  <c r="BZ295" i="21"/>
  <c r="AI282" i="21"/>
  <c r="AI283" i="21" s="1"/>
  <c r="DA56" i="12"/>
  <c r="CS57" i="12" s="1"/>
  <c r="CT57" i="12" s="1"/>
  <c r="CO97" i="5"/>
  <c r="CL97" i="5"/>
  <c r="CN97" i="5" s="1"/>
  <c r="CE98" i="5" s="1"/>
  <c r="CM142" i="12"/>
  <c r="CO142" i="12" s="1"/>
  <c r="M317" i="21" l="1"/>
  <c r="M304" i="21"/>
  <c r="M309" i="21" s="1"/>
  <c r="BX256" i="21"/>
  <c r="BX257" i="21" s="1"/>
  <c r="BX258" i="21" s="1"/>
  <c r="BY255" i="21" s="1"/>
  <c r="BW297" i="21"/>
  <c r="BW296" i="21" s="1"/>
  <c r="AI292" i="21"/>
  <c r="AJ281" i="21" s="1"/>
  <c r="AJ282" i="21" s="1"/>
  <c r="AJ283" i="21" s="1"/>
  <c r="CA295" i="21"/>
  <c r="CB217" i="21"/>
  <c r="CB218" i="21" s="1"/>
  <c r="CB219" i="21" s="1"/>
  <c r="CC216" i="21" s="1"/>
  <c r="CP142" i="12"/>
  <c r="CL143" i="12" s="1"/>
  <c r="CM143" i="12" s="1"/>
  <c r="CO143" i="12" s="1"/>
  <c r="CP143" i="12" s="1"/>
  <c r="CL144" i="12" s="1"/>
  <c r="CM144" i="12" s="1"/>
  <c r="CO144" i="12" s="1"/>
  <c r="CP144" i="12" s="1"/>
  <c r="CL145" i="12" s="1"/>
  <c r="CM145" i="12" s="1"/>
  <c r="CO145" i="12" s="1"/>
  <c r="CP145" i="12" s="1"/>
  <c r="CL146" i="12" s="1"/>
  <c r="CM146" i="12" s="1"/>
  <c r="CO146" i="12" s="1"/>
  <c r="CP146" i="12" s="1"/>
  <c r="CL147" i="12" s="1"/>
  <c r="CV57" i="12"/>
  <c r="CX57" i="12"/>
  <c r="CU57" i="12"/>
  <c r="CZ57" i="12"/>
  <c r="CY57" i="12"/>
  <c r="CW57" i="12"/>
  <c r="CO98" i="5"/>
  <c r="CL98" i="5"/>
  <c r="CN98" i="5" s="1"/>
  <c r="CE99" i="5" s="1"/>
  <c r="M316" i="21" l="1"/>
  <c r="M320" i="21" s="1"/>
  <c r="BX297" i="21"/>
  <c r="BX296" i="21" s="1"/>
  <c r="BY256" i="21"/>
  <c r="BY257" i="21" s="1"/>
  <c r="BY258" i="21" s="1"/>
  <c r="BZ255" i="21" s="1"/>
  <c r="AJ300" i="21"/>
  <c r="AI294" i="21"/>
  <c r="CC217" i="21"/>
  <c r="CC218" i="21" s="1"/>
  <c r="CC219" i="21" s="1"/>
  <c r="CD216" i="21" s="1"/>
  <c r="CB295" i="21"/>
  <c r="DA57" i="12"/>
  <c r="CS58" i="12" s="1"/>
  <c r="CT58" i="12" s="1"/>
  <c r="AJ292" i="21"/>
  <c r="CM147" i="12"/>
  <c r="CO147" i="12" s="1"/>
  <c r="CP147" i="12" s="1"/>
  <c r="CL148" i="12" s="1"/>
  <c r="CM148" i="12" s="1"/>
  <c r="CL99" i="5"/>
  <c r="CN99" i="5" s="1"/>
  <c r="CE100" i="5" s="1"/>
  <c r="CO99" i="5"/>
  <c r="BZ256" i="21" l="1"/>
  <c r="BZ257" i="21" s="1"/>
  <c r="BY297" i="21"/>
  <c r="BY296" i="21" s="1"/>
  <c r="M331" i="21"/>
  <c r="M333" i="21"/>
  <c r="CC295" i="21"/>
  <c r="CD217" i="21"/>
  <c r="CD218" i="21" s="1"/>
  <c r="CD219" i="21" s="1"/>
  <c r="CE216" i="21" s="1"/>
  <c r="AK281" i="21"/>
  <c r="AJ294" i="21"/>
  <c r="CL100" i="5"/>
  <c r="CN100" i="5" s="1"/>
  <c r="CE101" i="5" s="1"/>
  <c r="CO100" i="5"/>
  <c r="CY58" i="12"/>
  <c r="CU58" i="12"/>
  <c r="CX58" i="12"/>
  <c r="CW58" i="12"/>
  <c r="CV58" i="12"/>
  <c r="CZ58" i="12"/>
  <c r="CO148" i="12"/>
  <c r="CP148" i="12" s="1"/>
  <c r="CL149" i="12" s="1"/>
  <c r="BZ258" i="21" l="1"/>
  <c r="CA255" i="21" s="1"/>
  <c r="M330" i="21"/>
  <c r="M326" i="21"/>
  <c r="M322" i="21"/>
  <c r="M327" i="21"/>
  <c r="M325" i="21"/>
  <c r="M324" i="21"/>
  <c r="M321" i="21"/>
  <c r="M323" i="21"/>
  <c r="CE217" i="21"/>
  <c r="CE218" i="21" s="1"/>
  <c r="CE219" i="21" s="1"/>
  <c r="CF216" i="21" s="1"/>
  <c r="CD295" i="21"/>
  <c r="DA58" i="12"/>
  <c r="CS59" i="12" s="1"/>
  <c r="CT59" i="12" s="1"/>
  <c r="AK300" i="21"/>
  <c r="AK282" i="21"/>
  <c r="AK283" i="21" s="1"/>
  <c r="CL101" i="5"/>
  <c r="CN101" i="5" s="1"/>
  <c r="CE102" i="5" s="1"/>
  <c r="CO101" i="5"/>
  <c r="CM149" i="12"/>
  <c r="BZ297" i="21" l="1"/>
  <c r="BZ296" i="21" s="1"/>
  <c r="CA256" i="21"/>
  <c r="CA257" i="21" s="1"/>
  <c r="CA258" i="21" s="1"/>
  <c r="CB255" i="21" s="1"/>
  <c r="M332" i="21"/>
  <c r="CF217" i="21"/>
  <c r="CF218" i="21" s="1"/>
  <c r="CF219" i="21" s="1"/>
  <c r="CG216" i="21" s="1"/>
  <c r="CE295" i="21"/>
  <c r="AK292" i="21"/>
  <c r="AL281" i="21" s="1"/>
  <c r="CZ59" i="12"/>
  <c r="CY59" i="12"/>
  <c r="CU59" i="12"/>
  <c r="CW59" i="12"/>
  <c r="CX59" i="12"/>
  <c r="CV59" i="12"/>
  <c r="CL102" i="5"/>
  <c r="CN102" i="5" s="1"/>
  <c r="CE103" i="5" s="1"/>
  <c r="CO102" i="5"/>
  <c r="CO149" i="12"/>
  <c r="CP149" i="12" s="1"/>
  <c r="CL150" i="12" s="1"/>
  <c r="CB256" i="21" l="1"/>
  <c r="CB257" i="21" s="1"/>
  <c r="CB258" i="21" s="1"/>
  <c r="CC255" i="21" s="1"/>
  <c r="CA297" i="21"/>
  <c r="CA296" i="21" s="1"/>
  <c r="N303" i="21"/>
  <c r="CG217" i="21"/>
  <c r="CG218" i="21" s="1"/>
  <c r="CG219" i="21" s="1"/>
  <c r="CH216" i="21" s="1"/>
  <c r="CF295" i="21"/>
  <c r="AK294" i="21"/>
  <c r="DA59" i="12"/>
  <c r="CS60" i="12" s="1"/>
  <c r="CT60" i="12" s="1"/>
  <c r="AL282" i="21"/>
  <c r="AL300" i="21"/>
  <c r="CO103" i="5"/>
  <c r="CL103" i="5"/>
  <c r="CN103" i="5" s="1"/>
  <c r="CE104" i="5" s="1"/>
  <c r="CM150" i="12"/>
  <c r="CB297" i="21" l="1"/>
  <c r="CB296" i="21" s="1"/>
  <c r="CC256" i="21"/>
  <c r="CC257" i="21" s="1"/>
  <c r="CC258" i="21" s="1"/>
  <c r="CD255" i="21" s="1"/>
  <c r="N317" i="21"/>
  <c r="N304" i="21"/>
  <c r="CG295" i="21"/>
  <c r="CH217" i="21"/>
  <c r="CH218" i="21" s="1"/>
  <c r="CH219" i="21" s="1"/>
  <c r="CI216" i="21" s="1"/>
  <c r="AL283" i="21"/>
  <c r="CZ60" i="12"/>
  <c r="CW60" i="12"/>
  <c r="CX60" i="12"/>
  <c r="CY60" i="12"/>
  <c r="CV60" i="12"/>
  <c r="CU60" i="12"/>
  <c r="CO104" i="5"/>
  <c r="CL104" i="5"/>
  <c r="CN104" i="5" s="1"/>
  <c r="CE105" i="5" s="1"/>
  <c r="CO150" i="12"/>
  <c r="CP150" i="12" s="1"/>
  <c r="CL151" i="12" s="1"/>
  <c r="CC297" i="21" l="1"/>
  <c r="CC296" i="21" s="1"/>
  <c r="CD256" i="21"/>
  <c r="CD257" i="21" s="1"/>
  <c r="CD258" i="21" s="1"/>
  <c r="CE255" i="21" s="1"/>
  <c r="N309" i="21"/>
  <c r="CI217" i="21"/>
  <c r="CI218" i="21" s="1"/>
  <c r="CI219" i="21" s="1"/>
  <c r="CJ216" i="21" s="1"/>
  <c r="CH295" i="21"/>
  <c r="DA60" i="12"/>
  <c r="CS61" i="12" s="1"/>
  <c r="CT61" i="12" s="1"/>
  <c r="AL292" i="21"/>
  <c r="CO105" i="5"/>
  <c r="CL105" i="5"/>
  <c r="CN105" i="5" s="1"/>
  <c r="CE106" i="5" s="1"/>
  <c r="CM151" i="12"/>
  <c r="CO151" i="12" s="1"/>
  <c r="CD297" i="21" l="1"/>
  <c r="CD296" i="21" s="1"/>
  <c r="CE256" i="21"/>
  <c r="CE257" i="21" s="1"/>
  <c r="CE258" i="21" s="1"/>
  <c r="CF255" i="21" s="1"/>
  <c r="N316" i="21"/>
  <c r="CI295" i="21"/>
  <c r="CJ217" i="21"/>
  <c r="CJ218" i="21" s="1"/>
  <c r="CJ219" i="21" s="1"/>
  <c r="CK216" i="21" s="1"/>
  <c r="AM281" i="21"/>
  <c r="AL294" i="21"/>
  <c r="CO106" i="5"/>
  <c r="CL106" i="5"/>
  <c r="CN106" i="5" s="1"/>
  <c r="CE107" i="5" s="1"/>
  <c r="CU61" i="12"/>
  <c r="CX61" i="12"/>
  <c r="CW61" i="12"/>
  <c r="CZ61" i="12"/>
  <c r="CY61" i="12"/>
  <c r="CV61" i="12"/>
  <c r="CP151" i="12"/>
  <c r="CL152" i="12" s="1"/>
  <c r="CE297" i="21" l="1"/>
  <c r="CE296" i="21" s="1"/>
  <c r="CF256" i="21"/>
  <c r="CF257" i="21" s="1"/>
  <c r="CF258" i="21" s="1"/>
  <c r="CG255" i="21" s="1"/>
  <c r="N320" i="21"/>
  <c r="CJ295" i="21"/>
  <c r="CK217" i="21"/>
  <c r="CK218" i="21" s="1"/>
  <c r="CK219" i="21" s="1"/>
  <c r="CL216" i="21" s="1"/>
  <c r="DA61" i="12"/>
  <c r="CS62" i="12" s="1"/>
  <c r="CT62" i="12" s="1"/>
  <c r="AM300" i="21"/>
  <c r="AM282" i="21"/>
  <c r="AM283" i="21" s="1"/>
  <c r="CO107" i="5"/>
  <c r="CL107" i="5"/>
  <c r="CN107" i="5" s="1"/>
  <c r="CE108" i="5" s="1"/>
  <c r="CM152" i="12"/>
  <c r="CO152" i="12" s="1"/>
  <c r="CP152" i="12" s="1"/>
  <c r="CL153" i="12" s="1"/>
  <c r="CG256" i="21" l="1"/>
  <c r="CG257" i="21" s="1"/>
  <c r="CF297" i="21"/>
  <c r="CF296" i="21" s="1"/>
  <c r="N331" i="21"/>
  <c r="N333" i="21"/>
  <c r="CK295" i="21"/>
  <c r="CL217" i="21"/>
  <c r="CL218" i="21" s="1"/>
  <c r="CL219" i="21" s="1"/>
  <c r="CM216" i="21" s="1"/>
  <c r="AM292" i="21"/>
  <c r="CV62" i="12"/>
  <c r="CZ62" i="12"/>
  <c r="CU62" i="12"/>
  <c r="CX62" i="12"/>
  <c r="CY62" i="12"/>
  <c r="CW62" i="12"/>
  <c r="CL108" i="5"/>
  <c r="CN108" i="5" s="1"/>
  <c r="CE109" i="5" s="1"/>
  <c r="CO108" i="5"/>
  <c r="CM153" i="12"/>
  <c r="CO153" i="12" s="1"/>
  <c r="CP153" i="12" s="1"/>
  <c r="CL154" i="12" s="1"/>
  <c r="CG258" i="21" l="1"/>
  <c r="CH255" i="21" s="1"/>
  <c r="CH256" i="21" s="1"/>
  <c r="CH257" i="21" s="1"/>
  <c r="CH258" i="21" s="1"/>
  <c r="CI255" i="21" s="1"/>
  <c r="N330" i="21"/>
  <c r="N327" i="21"/>
  <c r="N322" i="21"/>
  <c r="N324" i="21"/>
  <c r="N323" i="21"/>
  <c r="N321" i="21"/>
  <c r="N325" i="21"/>
  <c r="N326" i="21"/>
  <c r="CM217" i="21"/>
  <c r="CM218" i="21" s="1"/>
  <c r="CM219" i="21" s="1"/>
  <c r="CN216" i="21" s="1"/>
  <c r="CL295" i="21"/>
  <c r="DA62" i="12"/>
  <c r="CS63" i="12" s="1"/>
  <c r="CT63" i="12" s="1"/>
  <c r="AN281" i="21"/>
  <c r="AM294" i="21"/>
  <c r="CO109" i="5"/>
  <c r="CL109" i="5"/>
  <c r="CN109" i="5" s="1"/>
  <c r="CE110" i="5" s="1"/>
  <c r="CM154" i="12"/>
  <c r="CO154" i="12" s="1"/>
  <c r="CG297" i="21" l="1"/>
  <c r="CG296" i="21" s="1"/>
  <c r="CI256" i="21"/>
  <c r="CI257" i="21" s="1"/>
  <c r="CI258" i="21" s="1"/>
  <c r="CJ255" i="21" s="1"/>
  <c r="CH297" i="21"/>
  <c r="CH296" i="21" s="1"/>
  <c r="N332" i="21"/>
  <c r="CN217" i="21"/>
  <c r="CN218" i="21" s="1"/>
  <c r="CN219" i="21" s="1"/>
  <c r="CO216" i="21" s="1"/>
  <c r="CM295" i="21"/>
  <c r="AN282" i="21"/>
  <c r="AN283" i="21" s="1"/>
  <c r="AN300" i="21"/>
  <c r="CO110" i="5"/>
  <c r="CL110" i="5"/>
  <c r="CN110" i="5" s="1"/>
  <c r="CE111" i="5" s="1"/>
  <c r="CW63" i="12"/>
  <c r="CV63" i="12"/>
  <c r="CU63" i="12"/>
  <c r="CX63" i="12"/>
  <c r="CY63" i="12"/>
  <c r="CZ63" i="12"/>
  <c r="CP154" i="12"/>
  <c r="CL155" i="12" s="1"/>
  <c r="CJ256" i="21" l="1"/>
  <c r="CJ257" i="21" s="1"/>
  <c r="CJ258" i="21" s="1"/>
  <c r="CK255" i="21" s="1"/>
  <c r="CI297" i="21"/>
  <c r="CI296" i="21" s="1"/>
  <c r="O303" i="21"/>
  <c r="CO217" i="21"/>
  <c r="CO218" i="21" s="1"/>
  <c r="CO219" i="21" s="1"/>
  <c r="CP216" i="21" s="1"/>
  <c r="CN295" i="21"/>
  <c r="DA63" i="12"/>
  <c r="CS64" i="12" s="1"/>
  <c r="CT64" i="12" s="1"/>
  <c r="CU64" i="12" s="1"/>
  <c r="AN292" i="21"/>
  <c r="CL111" i="5"/>
  <c r="CN111" i="5" s="1"/>
  <c r="CE112" i="5" s="1"/>
  <c r="CO111" i="5"/>
  <c r="CM155" i="12"/>
  <c r="CK256" i="21" l="1"/>
  <c r="CK257" i="21" s="1"/>
  <c r="CK258" i="21" s="1"/>
  <c r="CL255" i="21" s="1"/>
  <c r="CJ297" i="21"/>
  <c r="CJ296" i="21" s="1"/>
  <c r="O304" i="21"/>
  <c r="O309" i="21" s="1"/>
  <c r="O317" i="21"/>
  <c r="CO295" i="21"/>
  <c r="CP217" i="21"/>
  <c r="CP218" i="21" s="1"/>
  <c r="CP219" i="21" s="1"/>
  <c r="CQ216" i="21" s="1"/>
  <c r="CX64" i="12"/>
  <c r="CZ64" i="12"/>
  <c r="CW64" i="12"/>
  <c r="CY64" i="12"/>
  <c r="AO281" i="21"/>
  <c r="AN294" i="21"/>
  <c r="CV64" i="12"/>
  <c r="CL112" i="5"/>
  <c r="CN112" i="5" s="1"/>
  <c r="CE113" i="5" s="1"/>
  <c r="CO112" i="5"/>
  <c r="CO155" i="12"/>
  <c r="CP155" i="12" s="1"/>
  <c r="CL156" i="12" s="1"/>
  <c r="O316" i="21" l="1"/>
  <c r="O320" i="21" s="1"/>
  <c r="CL256" i="21"/>
  <c r="CL257" i="21" s="1"/>
  <c r="CL258" i="21" s="1"/>
  <c r="CM255" i="21" s="1"/>
  <c r="CK297" i="21"/>
  <c r="CK296" i="21" s="1"/>
  <c r="CP295" i="21"/>
  <c r="CQ217" i="21"/>
  <c r="CQ218" i="21" s="1"/>
  <c r="CQ219" i="21" s="1"/>
  <c r="CR216" i="21" s="1"/>
  <c r="DA64" i="12"/>
  <c r="CS65" i="12" s="1"/>
  <c r="CT65" i="12" s="1"/>
  <c r="CV65" i="12" s="1"/>
  <c r="AO282" i="21"/>
  <c r="AO283" i="21" s="1"/>
  <c r="AO300" i="21"/>
  <c r="CL113" i="5"/>
  <c r="CN113" i="5" s="1"/>
  <c r="CE114" i="5" s="1"/>
  <c r="CO113" i="5"/>
  <c r="CM156" i="12"/>
  <c r="CO156" i="12" s="1"/>
  <c r="CP156" i="12" s="1"/>
  <c r="CL157" i="12" s="1"/>
  <c r="CM256" i="21" l="1"/>
  <c r="CM257" i="21" s="1"/>
  <c r="CM258" i="21" s="1"/>
  <c r="CN255" i="21" s="1"/>
  <c r="CL297" i="21"/>
  <c r="CL296" i="21" s="1"/>
  <c r="O331" i="21"/>
  <c r="O333" i="21"/>
  <c r="CQ295" i="21"/>
  <c r="CR217" i="21"/>
  <c r="CR218" i="21" s="1"/>
  <c r="CR219" i="21" s="1"/>
  <c r="CS216" i="21" s="1"/>
  <c r="CZ65" i="12"/>
  <c r="CU65" i="12"/>
  <c r="CW65" i="12"/>
  <c r="CY65" i="12"/>
  <c r="AO292" i="21"/>
  <c r="AO294" i="21" s="1"/>
  <c r="CX65" i="12"/>
  <c r="CL114" i="5"/>
  <c r="CN114" i="5" s="1"/>
  <c r="CE115" i="5" s="1"/>
  <c r="CO114" i="5"/>
  <c r="CM157" i="12"/>
  <c r="CO157" i="12" s="1"/>
  <c r="CP157" i="12" s="1"/>
  <c r="CL158" i="12" s="1"/>
  <c r="CM297" i="21" l="1"/>
  <c r="CM296" i="21" s="1"/>
  <c r="CN256" i="21"/>
  <c r="CN257" i="21" s="1"/>
  <c r="CN258" i="21" s="1"/>
  <c r="CO255" i="21" s="1"/>
  <c r="O330" i="21"/>
  <c r="O324" i="21"/>
  <c r="O327" i="21"/>
  <c r="O323" i="21"/>
  <c r="O322" i="21"/>
  <c r="O321" i="21"/>
  <c r="O326" i="21"/>
  <c r="O325" i="21"/>
  <c r="CR295" i="21"/>
  <c r="CS217" i="21"/>
  <c r="CS218" i="21" s="1"/>
  <c r="CS219" i="21" s="1"/>
  <c r="CT216" i="21" s="1"/>
  <c r="AP281" i="21"/>
  <c r="AP282" i="21" s="1"/>
  <c r="AP283" i="21" s="1"/>
  <c r="DA65" i="12"/>
  <c r="CS66" i="12" s="1"/>
  <c r="CT66" i="12" s="1"/>
  <c r="CU66" i="12" s="1"/>
  <c r="CL115" i="5"/>
  <c r="CN115" i="5" s="1"/>
  <c r="CE116" i="5" s="1"/>
  <c r="CO115" i="5"/>
  <c r="CM158" i="12"/>
  <c r="CO158" i="12" s="1"/>
  <c r="CP158" i="12" s="1"/>
  <c r="CL159" i="12" s="1"/>
  <c r="CO256" i="21" l="1"/>
  <c r="CO257" i="21" s="1"/>
  <c r="CO258" i="21" s="1"/>
  <c r="CP255" i="21" s="1"/>
  <c r="CN297" i="21"/>
  <c r="CN296" i="21" s="1"/>
  <c r="O332" i="21"/>
  <c r="CS295" i="21"/>
  <c r="CT217" i="21"/>
  <c r="CT218" i="21" s="1"/>
  <c r="CT219" i="21" s="1"/>
  <c r="CU216" i="21" s="1"/>
  <c r="CW66" i="12"/>
  <c r="AP300" i="21"/>
  <c r="CV66" i="12"/>
  <c r="CZ66" i="12"/>
  <c r="CX66" i="12"/>
  <c r="CY66" i="12"/>
  <c r="AP292" i="21"/>
  <c r="AQ281" i="21" s="1"/>
  <c r="CL116" i="5"/>
  <c r="CN116" i="5" s="1"/>
  <c r="CE117" i="5" s="1"/>
  <c r="CO116" i="5"/>
  <c r="CM159" i="12"/>
  <c r="CO159" i="12" s="1"/>
  <c r="CO297" i="21" l="1"/>
  <c r="CO296" i="21" s="1"/>
  <c r="CP256" i="21"/>
  <c r="CP257" i="21" s="1"/>
  <c r="CP258" i="21" s="1"/>
  <c r="CQ255" i="21" s="1"/>
  <c r="P303" i="21"/>
  <c r="DA66" i="12"/>
  <c r="CS67" i="12" s="1"/>
  <c r="CT67" i="12" s="1"/>
  <c r="CW67" i="12" s="1"/>
  <c r="CU217" i="21"/>
  <c r="CU218" i="21" s="1"/>
  <c r="CU219" i="21" s="1"/>
  <c r="CV216" i="21" s="1"/>
  <c r="CT295" i="21"/>
  <c r="AP294" i="21"/>
  <c r="AQ300" i="21"/>
  <c r="AQ282" i="21"/>
  <c r="AQ283" i="21" s="1"/>
  <c r="CL117" i="5"/>
  <c r="CN117" i="5" s="1"/>
  <c r="CE118" i="5" s="1"/>
  <c r="CO117" i="5"/>
  <c r="CP159" i="12"/>
  <c r="CL160" i="12" s="1"/>
  <c r="CQ256" i="21" l="1"/>
  <c r="CQ257" i="21" s="1"/>
  <c r="CQ258" i="21" s="1"/>
  <c r="CR255" i="21" s="1"/>
  <c r="CP297" i="21"/>
  <c r="CP296" i="21" s="1"/>
  <c r="P317" i="21"/>
  <c r="P304" i="21"/>
  <c r="CU67" i="12"/>
  <c r="CY67" i="12"/>
  <c r="CZ67" i="12"/>
  <c r="CX67" i="12"/>
  <c r="CV67" i="12"/>
  <c r="CU295" i="21"/>
  <c r="CV217" i="21"/>
  <c r="CV218" i="21" s="1"/>
  <c r="CV219" i="21" s="1"/>
  <c r="CW216" i="21" s="1"/>
  <c r="AQ292" i="21"/>
  <c r="AR281" i="21" s="1"/>
  <c r="CL118" i="5"/>
  <c r="CN118" i="5" s="1"/>
  <c r="CE119" i="5" s="1"/>
  <c r="CO118" i="5"/>
  <c r="CM160" i="12"/>
  <c r="CQ297" i="21" l="1"/>
  <c r="CQ296" i="21" s="1"/>
  <c r="CR256" i="21"/>
  <c r="CR257" i="21" s="1"/>
  <c r="CR258" i="21" s="1"/>
  <c r="CS255" i="21" s="1"/>
  <c r="P309" i="21"/>
  <c r="DA67" i="12"/>
  <c r="CS68" i="12" s="1"/>
  <c r="CT68" i="12" s="1"/>
  <c r="CU68" i="12" s="1"/>
  <c r="CW217" i="21"/>
  <c r="CW218" i="21" s="1"/>
  <c r="CW219" i="21" s="1"/>
  <c r="CX216" i="21" s="1"/>
  <c r="CV295" i="21"/>
  <c r="AQ294" i="21"/>
  <c r="AR300" i="21"/>
  <c r="AR282" i="21"/>
  <c r="AR283" i="21" s="1"/>
  <c r="CL119" i="5"/>
  <c r="CN119" i="5" s="1"/>
  <c r="CE120" i="5" s="1"/>
  <c r="CO119" i="5"/>
  <c r="CO160" i="12"/>
  <c r="CP160" i="12" s="1"/>
  <c r="CL161" i="12" s="1"/>
  <c r="CR297" i="21" l="1"/>
  <c r="CR296" i="21" s="1"/>
  <c r="CS256" i="21"/>
  <c r="CS257" i="21" s="1"/>
  <c r="CS258" i="21" s="1"/>
  <c r="CT255" i="21" s="1"/>
  <c r="P316" i="21"/>
  <c r="CZ68" i="12"/>
  <c r="CW68" i="12"/>
  <c r="CY68" i="12"/>
  <c r="CX68" i="12"/>
  <c r="CV68" i="12"/>
  <c r="CX217" i="21"/>
  <c r="CX218" i="21" s="1"/>
  <c r="CX219" i="21" s="1"/>
  <c r="CY216" i="21" s="1"/>
  <c r="CW295" i="21"/>
  <c r="AR292" i="21"/>
  <c r="AS281" i="21" s="1"/>
  <c r="CL120" i="5"/>
  <c r="CN120" i="5" s="1"/>
  <c r="CE121" i="5" s="1"/>
  <c r="CO120" i="5"/>
  <c r="CM161" i="12"/>
  <c r="CO161" i="12" s="1"/>
  <c r="CP161" i="12" s="1"/>
  <c r="CL162" i="12" s="1"/>
  <c r="CS297" i="21" l="1"/>
  <c r="CS296" i="21" s="1"/>
  <c r="CT256" i="21"/>
  <c r="CT257" i="21" s="1"/>
  <c r="CT258" i="21" s="1"/>
  <c r="CU255" i="21" s="1"/>
  <c r="P320" i="21"/>
  <c r="DA68" i="12"/>
  <c r="CS69" i="12" s="1"/>
  <c r="CT69" i="12" s="1"/>
  <c r="CY69" i="12" s="1"/>
  <c r="AR294" i="21"/>
  <c r="CY217" i="21"/>
  <c r="CY218" i="21" s="1"/>
  <c r="CY219" i="21" s="1"/>
  <c r="CZ216" i="21" s="1"/>
  <c r="CX295" i="21"/>
  <c r="AS300" i="21"/>
  <c r="AS282" i="21"/>
  <c r="AS283" i="21" s="1"/>
  <c r="CL121" i="5"/>
  <c r="CN121" i="5" s="1"/>
  <c r="CE122" i="5" s="1"/>
  <c r="CO121" i="5"/>
  <c r="CM162" i="12"/>
  <c r="CU256" i="21" l="1"/>
  <c r="CU257" i="21" s="1"/>
  <c r="CU258" i="21" s="1"/>
  <c r="CV255" i="21" s="1"/>
  <c r="CT297" i="21"/>
  <c r="CT296" i="21" s="1"/>
  <c r="CU69" i="12"/>
  <c r="CV69" i="12"/>
  <c r="CW69" i="12"/>
  <c r="P331" i="21"/>
  <c r="P333" i="21"/>
  <c r="CZ69" i="12"/>
  <c r="CX69" i="12"/>
  <c r="CZ217" i="21"/>
  <c r="CZ218" i="21" s="1"/>
  <c r="CZ219" i="21" s="1"/>
  <c r="DA216" i="21" s="1"/>
  <c r="CY295" i="21"/>
  <c r="AS292" i="21"/>
  <c r="AT281" i="21" s="1"/>
  <c r="CL122" i="5"/>
  <c r="CN122" i="5" s="1"/>
  <c r="CE123" i="5" s="1"/>
  <c r="CO122" i="5"/>
  <c r="CO162" i="12"/>
  <c r="CP162" i="12" s="1"/>
  <c r="CL163" i="12" s="1"/>
  <c r="DA69" i="12" l="1"/>
  <c r="CS70" i="12" s="1"/>
  <c r="CT70" i="12" s="1"/>
  <c r="CW70" i="12" s="1"/>
  <c r="CV256" i="21"/>
  <c r="CV257" i="21" s="1"/>
  <c r="CU297" i="21"/>
  <c r="CU296" i="21" s="1"/>
  <c r="P330" i="21"/>
  <c r="P326" i="21"/>
  <c r="P321" i="21"/>
  <c r="P327" i="21"/>
  <c r="P322" i="21"/>
  <c r="P323" i="21"/>
  <c r="P325" i="21"/>
  <c r="P324" i="21"/>
  <c r="AS294" i="21"/>
  <c r="CZ295" i="21"/>
  <c r="DA217" i="21"/>
  <c r="DA218" i="21" s="1"/>
  <c r="DA219" i="21" s="1"/>
  <c r="DB216" i="21" s="1"/>
  <c r="AT282" i="21"/>
  <c r="AT283" i="21" s="1"/>
  <c r="AT300" i="21"/>
  <c r="CL123" i="5"/>
  <c r="CN123" i="5" s="1"/>
  <c r="CE124" i="5" s="1"/>
  <c r="CO123" i="5"/>
  <c r="CM163" i="12"/>
  <c r="CO163" i="12" s="1"/>
  <c r="CP163" i="12" s="1"/>
  <c r="CL164" i="12" s="1"/>
  <c r="CV258" i="21" l="1"/>
  <c r="CW255" i="21" s="1"/>
  <c r="CW256" i="21" s="1"/>
  <c r="CW257" i="21" s="1"/>
  <c r="CW258" i="21" s="1"/>
  <c r="CX255" i="21" s="1"/>
  <c r="CX70" i="12"/>
  <c r="CZ70" i="12"/>
  <c r="CV70" i="12"/>
  <c r="CU70" i="12"/>
  <c r="CY70" i="12"/>
  <c r="CV297" i="21"/>
  <c r="CV296" i="21" s="1"/>
  <c r="P332" i="21"/>
  <c r="DA295" i="21"/>
  <c r="DB217" i="21"/>
  <c r="DB218" i="21" s="1"/>
  <c r="DB219" i="21" s="1"/>
  <c r="DC216" i="21" s="1"/>
  <c r="AT292" i="21"/>
  <c r="CL124" i="5"/>
  <c r="CN124" i="5" s="1"/>
  <c r="CE125" i="5" s="1"/>
  <c r="CO124" i="5"/>
  <c r="CM164" i="12"/>
  <c r="CO164" i="12" s="1"/>
  <c r="DA70" i="12" l="1"/>
  <c r="CS71" i="12" s="1"/>
  <c r="CT71" i="12" s="1"/>
  <c r="CX256" i="21"/>
  <c r="CX257" i="21" s="1"/>
  <c r="CX258" i="21" s="1"/>
  <c r="CY255" i="21" s="1"/>
  <c r="CW297" i="21"/>
  <c r="CW296" i="21" s="1"/>
  <c r="Q303" i="21"/>
  <c r="DB295" i="21"/>
  <c r="DC217" i="21"/>
  <c r="DC218" i="21" s="1"/>
  <c r="DC219" i="21" s="1"/>
  <c r="DD216" i="21" s="1"/>
  <c r="AU281" i="21"/>
  <c r="AT294" i="21"/>
  <c r="CL125" i="5"/>
  <c r="CN125" i="5" s="1"/>
  <c r="CE126" i="5" s="1"/>
  <c r="CO125" i="5"/>
  <c r="CU71" i="12"/>
  <c r="CZ71" i="12"/>
  <c r="CY71" i="12"/>
  <c r="CV71" i="12"/>
  <c r="CW71" i="12"/>
  <c r="CX71" i="12"/>
  <c r="CP164" i="12"/>
  <c r="CL165" i="12" s="1"/>
  <c r="CM165" i="12" s="1"/>
  <c r="CO165" i="12" s="1"/>
  <c r="CP165" i="12" s="1"/>
  <c r="CL166" i="12" s="1"/>
  <c r="CX297" i="21" l="1"/>
  <c r="CX296" i="21" s="1"/>
  <c r="CY256" i="21"/>
  <c r="CY257" i="21" s="1"/>
  <c r="CY258" i="21" s="1"/>
  <c r="CZ255" i="21" s="1"/>
  <c r="Q304" i="21"/>
  <c r="Q317" i="21"/>
  <c r="DD217" i="21"/>
  <c r="DD218" i="21" s="1"/>
  <c r="DD219" i="21" s="1"/>
  <c r="DE216" i="21" s="1"/>
  <c r="DC295" i="21"/>
  <c r="DA71" i="12"/>
  <c r="CS72" i="12" s="1"/>
  <c r="CT72" i="12" s="1"/>
  <c r="AU300" i="21"/>
  <c r="AU282" i="21"/>
  <c r="AU283" i="21" s="1"/>
  <c r="CL126" i="5"/>
  <c r="CN126" i="5" s="1"/>
  <c r="CE127" i="5" s="1"/>
  <c r="CO126" i="5"/>
  <c r="CM166" i="12"/>
  <c r="CO166" i="12" s="1"/>
  <c r="CP166" i="12" s="1"/>
  <c r="CL167" i="12" s="1"/>
  <c r="CY297" i="21" l="1"/>
  <c r="CY296" i="21" s="1"/>
  <c r="CZ256" i="21"/>
  <c r="CZ257" i="21" s="1"/>
  <c r="CZ258" i="21" s="1"/>
  <c r="DA255" i="21" s="1"/>
  <c r="Q309" i="21"/>
  <c r="DE217" i="21"/>
  <c r="DE218" i="21" s="1"/>
  <c r="DE219" i="21" s="1"/>
  <c r="DF216" i="21" s="1"/>
  <c r="DD295" i="21"/>
  <c r="AU292" i="21"/>
  <c r="AU294" i="21" s="1"/>
  <c r="CV72" i="12"/>
  <c r="CX72" i="12"/>
  <c r="CU72" i="12"/>
  <c r="CY72" i="12"/>
  <c r="CZ72" i="12"/>
  <c r="CW72" i="12"/>
  <c r="CL127" i="5"/>
  <c r="CN127" i="5" s="1"/>
  <c r="CE128" i="5" s="1"/>
  <c r="CO127" i="5"/>
  <c r="CM167" i="12"/>
  <c r="CO167" i="12" s="1"/>
  <c r="DA256" i="21" l="1"/>
  <c r="DA257" i="21" s="1"/>
  <c r="DA258" i="21" s="1"/>
  <c r="DB255" i="21" s="1"/>
  <c r="CZ297" i="21"/>
  <c r="CZ296" i="21" s="1"/>
  <c r="Q316" i="21"/>
  <c r="DE295" i="21"/>
  <c r="DF217" i="21"/>
  <c r="DF218" i="21" s="1"/>
  <c r="DF219" i="21" s="1"/>
  <c r="DG216" i="21" s="1"/>
  <c r="AV281" i="21"/>
  <c r="AV282" i="21" s="1"/>
  <c r="AV283" i="21" s="1"/>
  <c r="DA72" i="12"/>
  <c r="CS73" i="12" s="1"/>
  <c r="CT73" i="12" s="1"/>
  <c r="CL128" i="5"/>
  <c r="CN128" i="5" s="1"/>
  <c r="CE129" i="5" s="1"/>
  <c r="CO128" i="5"/>
  <c r="CP167" i="12"/>
  <c r="CL168" i="12" s="1"/>
  <c r="CM168" i="12" s="1"/>
  <c r="CO168" i="12" s="1"/>
  <c r="CP168" i="12" s="1"/>
  <c r="CL169" i="12" s="1"/>
  <c r="DA297" i="21" l="1"/>
  <c r="DA296" i="21" s="1"/>
  <c r="DB256" i="21"/>
  <c r="DB257" i="21" s="1"/>
  <c r="DB258" i="21" s="1"/>
  <c r="DC255" i="21" s="1"/>
  <c r="Q320" i="21"/>
  <c r="DF295" i="21"/>
  <c r="DG217" i="21"/>
  <c r="DG218" i="21" s="1"/>
  <c r="DG219" i="21" s="1"/>
  <c r="DH216" i="21" s="1"/>
  <c r="AV300" i="21"/>
  <c r="AV292" i="21"/>
  <c r="CV73" i="12"/>
  <c r="CZ73" i="12"/>
  <c r="CX73" i="12"/>
  <c r="CU73" i="12"/>
  <c r="CW73" i="12"/>
  <c r="CY73" i="12"/>
  <c r="CL129" i="5"/>
  <c r="CN129" i="5" s="1"/>
  <c r="CE130" i="5" s="1"/>
  <c r="CO129" i="5"/>
  <c r="CM169" i="12"/>
  <c r="DC256" i="21" l="1"/>
  <c r="DC257" i="21" s="1"/>
  <c r="DC258" i="21" s="1"/>
  <c r="DD255" i="21" s="1"/>
  <c r="DB297" i="21"/>
  <c r="DB296" i="21" s="1"/>
  <c r="Q331" i="21"/>
  <c r="Q333" i="21"/>
  <c r="DH217" i="21"/>
  <c r="DH218" i="21" s="1"/>
  <c r="DH219" i="21" s="1"/>
  <c r="DI216" i="21" s="1"/>
  <c r="DG295" i="21"/>
  <c r="DA73" i="12"/>
  <c r="CS74" i="12" s="1"/>
  <c r="CT74" i="12" s="1"/>
  <c r="AW281" i="21"/>
  <c r="AV294" i="21"/>
  <c r="CO130" i="5"/>
  <c r="CL130" i="5"/>
  <c r="CN130" i="5" s="1"/>
  <c r="CE131" i="5" s="1"/>
  <c r="CO169" i="12"/>
  <c r="CP169" i="12" s="1"/>
  <c r="CL170" i="12" s="1"/>
  <c r="DD256" i="21" l="1"/>
  <c r="DD257" i="21" s="1"/>
  <c r="DD258" i="21" s="1"/>
  <c r="DE255" i="21" s="1"/>
  <c r="DC297" i="21"/>
  <c r="DC296" i="21" s="1"/>
  <c r="Q330" i="21"/>
  <c r="Q326" i="21"/>
  <c r="Q327" i="21"/>
  <c r="Q321" i="21"/>
  <c r="Q324" i="21"/>
  <c r="Q323" i="21"/>
  <c r="Q325" i="21"/>
  <c r="Q322" i="21"/>
  <c r="DI217" i="21"/>
  <c r="DI218" i="21" s="1"/>
  <c r="DI219" i="21" s="1"/>
  <c r="DJ216" i="21" s="1"/>
  <c r="DH295" i="21"/>
  <c r="AW300" i="21"/>
  <c r="AW282" i="21"/>
  <c r="AW283" i="21" s="1"/>
  <c r="CZ74" i="12"/>
  <c r="CY74" i="12"/>
  <c r="CX74" i="12"/>
  <c r="CW74" i="12"/>
  <c r="CU74" i="12"/>
  <c r="CV74" i="12"/>
  <c r="CO131" i="5"/>
  <c r="CL131" i="5"/>
  <c r="CN131" i="5" s="1"/>
  <c r="CE132" i="5" s="1"/>
  <c r="CM170" i="12"/>
  <c r="CO170" i="12" s="1"/>
  <c r="CP170" i="12" s="1"/>
  <c r="CL171" i="12" s="1"/>
  <c r="DE256" i="21" l="1"/>
  <c r="DE257" i="21" s="1"/>
  <c r="DE258" i="21" s="1"/>
  <c r="DF255" i="21" s="1"/>
  <c r="DD297" i="21"/>
  <c r="DD296" i="21" s="1"/>
  <c r="Q332" i="21"/>
  <c r="DJ217" i="21"/>
  <c r="DJ218" i="21" s="1"/>
  <c r="DJ219" i="21" s="1"/>
  <c r="DK216" i="21" s="1"/>
  <c r="DI295" i="21"/>
  <c r="AW292" i="21"/>
  <c r="AW294" i="21" s="1"/>
  <c r="DA74" i="12"/>
  <c r="CS75" i="12" s="1"/>
  <c r="CT75" i="12" s="1"/>
  <c r="CL132" i="5"/>
  <c r="CN132" i="5" s="1"/>
  <c r="CE133" i="5" s="1"/>
  <c r="CO132" i="5"/>
  <c r="CM171" i="12"/>
  <c r="CO171" i="12" s="1"/>
  <c r="DE297" i="21" l="1"/>
  <c r="DE296" i="21" s="1"/>
  <c r="DF256" i="21"/>
  <c r="DF257" i="21" s="1"/>
  <c r="DF258" i="21" s="1"/>
  <c r="DG255" i="21" s="1"/>
  <c r="R303" i="21"/>
  <c r="AX281" i="21"/>
  <c r="AX282" i="21" s="1"/>
  <c r="AX283" i="21" s="1"/>
  <c r="DK217" i="21"/>
  <c r="DK218" i="21" s="1"/>
  <c r="DK219" i="21" s="1"/>
  <c r="DL216" i="21" s="1"/>
  <c r="DJ295" i="21"/>
  <c r="CO133" i="5"/>
  <c r="CL133" i="5"/>
  <c r="CN133" i="5" s="1"/>
  <c r="CE134" i="5" s="1"/>
  <c r="CV75" i="12"/>
  <c r="CU75" i="12"/>
  <c r="CX75" i="12"/>
  <c r="CY75" i="12"/>
  <c r="CZ75" i="12"/>
  <c r="CW75" i="12"/>
  <c r="CP171" i="12"/>
  <c r="CL172" i="12" s="1"/>
  <c r="DF297" i="21" l="1"/>
  <c r="DF296" i="21" s="1"/>
  <c r="DG256" i="21"/>
  <c r="DG257" i="21" s="1"/>
  <c r="DG258" i="21" s="1"/>
  <c r="DH255" i="21" s="1"/>
  <c r="R304" i="21"/>
  <c r="R317" i="21"/>
  <c r="AX300" i="21"/>
  <c r="DL217" i="21"/>
  <c r="DL218" i="21" s="1"/>
  <c r="DL219" i="21" s="1"/>
  <c r="DM216" i="21" s="1"/>
  <c r="DK295" i="21"/>
  <c r="AX292" i="21"/>
  <c r="AY281" i="21" s="1"/>
  <c r="DA75" i="12"/>
  <c r="CS76" i="12" s="1"/>
  <c r="CT76" i="12" s="1"/>
  <c r="CL134" i="5"/>
  <c r="CN134" i="5" s="1"/>
  <c r="CE135" i="5" s="1"/>
  <c r="CO134" i="5"/>
  <c r="CM172" i="12"/>
  <c r="CO172" i="12" s="1"/>
  <c r="DH256" i="21" l="1"/>
  <c r="DH257" i="21" s="1"/>
  <c r="DH258" i="21" s="1"/>
  <c r="DI255" i="21" s="1"/>
  <c r="DG297" i="21"/>
  <c r="DG296" i="21" s="1"/>
  <c r="R309" i="21"/>
  <c r="DL295" i="21"/>
  <c r="DM217" i="21"/>
  <c r="DM218" i="21" s="1"/>
  <c r="DM219" i="21" s="1"/>
  <c r="DN216" i="21" s="1"/>
  <c r="AX294" i="21"/>
  <c r="AY300" i="21"/>
  <c r="AY282" i="21"/>
  <c r="AY283" i="21" s="1"/>
  <c r="CX76" i="12"/>
  <c r="CW76" i="12"/>
  <c r="CV76" i="12"/>
  <c r="CU76" i="12"/>
  <c r="CZ76" i="12"/>
  <c r="CY76" i="12"/>
  <c r="CL135" i="5"/>
  <c r="CN135" i="5" s="1"/>
  <c r="CE136" i="5" s="1"/>
  <c r="CO135" i="5"/>
  <c r="CP172" i="12"/>
  <c r="CL173" i="12" s="1"/>
  <c r="DH297" i="21" l="1"/>
  <c r="DH296" i="21" s="1"/>
  <c r="DI256" i="21"/>
  <c r="DI257" i="21" s="1"/>
  <c r="DI258" i="21" s="1"/>
  <c r="DJ255" i="21" s="1"/>
  <c r="R316" i="21"/>
  <c r="DM295" i="21"/>
  <c r="DN217" i="21"/>
  <c r="AY292" i="21"/>
  <c r="AY294" i="21" s="1"/>
  <c r="DA76" i="12"/>
  <c r="CS77" i="12" s="1"/>
  <c r="CT77" i="12" s="1"/>
  <c r="CL136" i="5"/>
  <c r="CN136" i="5" s="1"/>
  <c r="CE137" i="5" s="1"/>
  <c r="CO136" i="5"/>
  <c r="CM173" i="12"/>
  <c r="CO173" i="12" s="1"/>
  <c r="CP173" i="12" s="1"/>
  <c r="CL174" i="12" s="1"/>
  <c r="DJ256" i="21" l="1"/>
  <c r="DJ257" i="21" s="1"/>
  <c r="DJ258" i="21" s="1"/>
  <c r="DK255" i="21" s="1"/>
  <c r="DI297" i="21"/>
  <c r="DI296" i="21" s="1"/>
  <c r="R320" i="21"/>
  <c r="DN218" i="21"/>
  <c r="DN219" i="21" s="1"/>
  <c r="DO216" i="21" s="1"/>
  <c r="AZ281" i="21"/>
  <c r="AZ282" i="21" s="1"/>
  <c r="AZ283" i="21" s="1"/>
  <c r="CL137" i="5"/>
  <c r="CN137" i="5" s="1"/>
  <c r="CE138" i="5" s="1"/>
  <c r="CO137" i="5"/>
  <c r="CU77" i="12"/>
  <c r="CZ77" i="12"/>
  <c r="CX77" i="12"/>
  <c r="CW77" i="12"/>
  <c r="CY77" i="12"/>
  <c r="CV77" i="12"/>
  <c r="CM174" i="12"/>
  <c r="DJ297" i="21" l="1"/>
  <c r="DJ296" i="21" s="1"/>
  <c r="DK256" i="21"/>
  <c r="R331" i="21"/>
  <c r="R333" i="21"/>
  <c r="DN295" i="21"/>
  <c r="DO217" i="21"/>
  <c r="DO218" i="21" s="1"/>
  <c r="DO219" i="21" s="1"/>
  <c r="DP216" i="21" s="1"/>
  <c r="AZ300" i="21"/>
  <c r="AZ292" i="21"/>
  <c r="BA281" i="21" s="1"/>
  <c r="DA77" i="12"/>
  <c r="CS78" i="12" s="1"/>
  <c r="CT78" i="12" s="1"/>
  <c r="CL138" i="5"/>
  <c r="CN138" i="5" s="1"/>
  <c r="CE139" i="5" s="1"/>
  <c r="CO138" i="5"/>
  <c r="CO174" i="12"/>
  <c r="CP174" i="12" s="1"/>
  <c r="CL175" i="12" s="1"/>
  <c r="DK257" i="21" l="1"/>
  <c r="DK258" i="21" s="1"/>
  <c r="DL255" i="21" s="1"/>
  <c r="R330" i="21"/>
  <c r="R326" i="21"/>
  <c r="R323" i="21"/>
  <c r="R322" i="21"/>
  <c r="R327" i="21"/>
  <c r="R325" i="21"/>
  <c r="R324" i="21"/>
  <c r="R321" i="21"/>
  <c r="DO295" i="21"/>
  <c r="DP217" i="21"/>
  <c r="DP218" i="21" s="1"/>
  <c r="DP219" i="21" s="1"/>
  <c r="DQ216" i="21" s="1"/>
  <c r="AZ294" i="21"/>
  <c r="BA300" i="21"/>
  <c r="BA282" i="21"/>
  <c r="BA283" i="21" s="1"/>
  <c r="CL139" i="5"/>
  <c r="CN139" i="5" s="1"/>
  <c r="CE140" i="5" s="1"/>
  <c r="CO139" i="5"/>
  <c r="CU78" i="12"/>
  <c r="CZ78" i="12"/>
  <c r="CV78" i="12"/>
  <c r="CX78" i="12"/>
  <c r="CW78" i="12"/>
  <c r="CY78" i="12"/>
  <c r="CM175" i="12"/>
  <c r="DL256" i="21" l="1"/>
  <c r="DL257" i="21" s="1"/>
  <c r="DL258" i="21" s="1"/>
  <c r="DM255" i="21" s="1"/>
  <c r="DK297" i="21"/>
  <c r="DK296" i="21" s="1"/>
  <c r="R332" i="21"/>
  <c r="DP295" i="21"/>
  <c r="DQ217" i="21"/>
  <c r="DQ218" i="21" s="1"/>
  <c r="DQ219" i="21" s="1"/>
  <c r="DR216" i="21" s="1"/>
  <c r="DA78" i="12"/>
  <c r="CS79" i="12" s="1"/>
  <c r="CT79" i="12" s="1"/>
  <c r="BA292" i="21"/>
  <c r="CO140" i="5"/>
  <c r="CL140" i="5"/>
  <c r="CN140" i="5" s="1"/>
  <c r="CE141" i="5" s="1"/>
  <c r="CO175" i="12"/>
  <c r="CP175" i="12" s="1"/>
  <c r="CL176" i="12" s="1"/>
  <c r="DM256" i="21" l="1"/>
  <c r="DM257" i="21" s="1"/>
  <c r="DM258" i="21" s="1"/>
  <c r="DN255" i="21" s="1"/>
  <c r="DL297" i="21"/>
  <c r="DL296" i="21" s="1"/>
  <c r="S303" i="21"/>
  <c r="S304" i="21" s="1"/>
  <c r="DR217" i="21"/>
  <c r="DR218" i="21" s="1"/>
  <c r="DR219" i="21" s="1"/>
  <c r="DS216" i="21" s="1"/>
  <c r="DQ295" i="21"/>
  <c r="BB281" i="21"/>
  <c r="BA294" i="21"/>
  <c r="CZ79" i="12"/>
  <c r="CY79" i="12"/>
  <c r="CX79" i="12"/>
  <c r="CW79" i="12"/>
  <c r="CV79" i="12"/>
  <c r="CU79" i="12"/>
  <c r="CO141" i="5"/>
  <c r="CL141" i="5"/>
  <c r="CN141" i="5" s="1"/>
  <c r="CE142" i="5" s="1"/>
  <c r="CM176" i="12"/>
  <c r="DM297" i="21" l="1"/>
  <c r="DM296" i="21" s="1"/>
  <c r="DN256" i="21"/>
  <c r="DN257" i="21" s="1"/>
  <c r="DN258" i="21" s="1"/>
  <c r="DO255" i="21" s="1"/>
  <c r="S317" i="21"/>
  <c r="S309" i="21"/>
  <c r="DR295" i="21"/>
  <c r="DS217" i="21"/>
  <c r="DS218" i="21" s="1"/>
  <c r="DS219" i="21" s="1"/>
  <c r="DT216" i="21" s="1"/>
  <c r="DA79" i="12"/>
  <c r="CS80" i="12" s="1"/>
  <c r="CT80" i="12" s="1"/>
  <c r="BB300" i="21"/>
  <c r="BB282" i="21"/>
  <c r="BB283" i="21" s="1"/>
  <c r="CL142" i="5"/>
  <c r="CN142" i="5" s="1"/>
  <c r="CE143" i="5" s="1"/>
  <c r="CO142" i="5"/>
  <c r="CO176" i="12"/>
  <c r="CP176" i="12" s="1"/>
  <c r="CL177" i="12" s="1"/>
  <c r="DO256" i="21" l="1"/>
  <c r="DO257" i="21" s="1"/>
  <c r="DO258" i="21" s="1"/>
  <c r="DP255" i="21" s="1"/>
  <c r="DN297" i="21"/>
  <c r="DN296" i="21" s="1"/>
  <c r="S316" i="21"/>
  <c r="DS295" i="21"/>
  <c r="DT217" i="21"/>
  <c r="DT218" i="21" s="1"/>
  <c r="BB292" i="21"/>
  <c r="BC281" i="21" s="1"/>
  <c r="CX80" i="12"/>
  <c r="CU80" i="12"/>
  <c r="CY80" i="12"/>
  <c r="CV80" i="12"/>
  <c r="CZ80" i="12"/>
  <c r="CW80" i="12"/>
  <c r="CO143" i="5"/>
  <c r="CL143" i="5"/>
  <c r="CN143" i="5" s="1"/>
  <c r="CE144" i="5" s="1"/>
  <c r="CM177" i="12"/>
  <c r="CO177" i="12" s="1"/>
  <c r="DO297" i="21" l="1"/>
  <c r="DO296" i="21" s="1"/>
  <c r="DP256" i="21"/>
  <c r="DP257" i="21" s="1"/>
  <c r="DP258" i="21" s="1"/>
  <c r="DQ255" i="21" s="1"/>
  <c r="S320" i="21"/>
  <c r="DT219" i="21"/>
  <c r="DU216" i="21" s="1"/>
  <c r="BB294" i="21"/>
  <c r="BC282" i="21"/>
  <c r="BC283" i="21" s="1"/>
  <c r="BC300" i="21"/>
  <c r="DA80" i="12"/>
  <c r="CS81" i="12" s="1"/>
  <c r="CT81" i="12" s="1"/>
  <c r="CL144" i="5"/>
  <c r="CN144" i="5" s="1"/>
  <c r="CE145" i="5" s="1"/>
  <c r="CO144" i="5"/>
  <c r="CP177" i="12"/>
  <c r="CL178" i="12" s="1"/>
  <c r="DQ256" i="21" l="1"/>
  <c r="DQ257" i="21" s="1"/>
  <c r="DP297" i="21"/>
  <c r="DP296" i="21" s="1"/>
  <c r="S333" i="21"/>
  <c r="S331" i="21"/>
  <c r="DT295" i="21"/>
  <c r="DU217" i="21"/>
  <c r="DU218" i="21" s="1"/>
  <c r="DU219" i="21" s="1"/>
  <c r="DV216" i="21" s="1"/>
  <c r="BC292" i="21"/>
  <c r="BD281" i="21" s="1"/>
  <c r="CX81" i="12"/>
  <c r="CW81" i="12"/>
  <c r="CV81" i="12"/>
  <c r="CZ81" i="12"/>
  <c r="CY81" i="12"/>
  <c r="CU81" i="12"/>
  <c r="CL145" i="5"/>
  <c r="CN145" i="5" s="1"/>
  <c r="CE146" i="5" s="1"/>
  <c r="CO145" i="5"/>
  <c r="CM178" i="12"/>
  <c r="BC294" i="21" l="1"/>
  <c r="DQ258" i="21"/>
  <c r="DR255" i="21" s="1"/>
  <c r="S330" i="21"/>
  <c r="S322" i="21"/>
  <c r="S325" i="21"/>
  <c r="S323" i="21"/>
  <c r="S326" i="21"/>
  <c r="S324" i="21"/>
  <c r="S321" i="21"/>
  <c r="S327" i="21"/>
  <c r="DU295" i="21"/>
  <c r="DV217" i="21"/>
  <c r="DV218" i="21" s="1"/>
  <c r="DV219" i="21" s="1"/>
  <c r="DW216" i="21" s="1"/>
  <c r="DA81" i="12"/>
  <c r="CS82" i="12" s="1"/>
  <c r="CT82" i="12" s="1"/>
  <c r="BD300" i="21"/>
  <c r="BD282" i="21"/>
  <c r="BD283" i="21" s="1"/>
  <c r="CL146" i="5"/>
  <c r="CN146" i="5" s="1"/>
  <c r="CE147" i="5" s="1"/>
  <c r="CO146" i="5"/>
  <c r="CO178" i="12"/>
  <c r="CP178" i="12" s="1"/>
  <c r="CL179" i="12" s="1"/>
  <c r="DQ297" i="21" l="1"/>
  <c r="DQ296" i="21" s="1"/>
  <c r="DR256" i="21"/>
  <c r="DR257" i="21" s="1"/>
  <c r="DR258" i="21" s="1"/>
  <c r="DS255" i="21" s="1"/>
  <c r="S332" i="21"/>
  <c r="DW217" i="21"/>
  <c r="DW218" i="21" s="1"/>
  <c r="DV295" i="21"/>
  <c r="BD292" i="21"/>
  <c r="BD294" i="21" s="1"/>
  <c r="CO147" i="5"/>
  <c r="CL147" i="5"/>
  <c r="CN147" i="5" s="1"/>
  <c r="CE148" i="5" s="1"/>
  <c r="CY82" i="12"/>
  <c r="CX82" i="12"/>
  <c r="CW82" i="12"/>
  <c r="CV82" i="12"/>
  <c r="CU82" i="12"/>
  <c r="CZ82" i="12"/>
  <c r="CM179" i="12"/>
  <c r="DR297" i="21" l="1"/>
  <c r="DR296" i="21" s="1"/>
  <c r="DS256" i="21"/>
  <c r="T303" i="21"/>
  <c r="T304" i="21" s="1"/>
  <c r="DW219" i="21"/>
  <c r="DX216" i="21" s="1"/>
  <c r="DW295" i="21" s="1"/>
  <c r="BE281" i="21"/>
  <c r="BE282" i="21" s="1"/>
  <c r="BE283" i="21" s="1"/>
  <c r="DA82" i="12"/>
  <c r="CS83" i="12" s="1"/>
  <c r="CT83" i="12" s="1"/>
  <c r="BE300" i="21"/>
  <c r="CL148" i="5"/>
  <c r="CN148" i="5" s="1"/>
  <c r="CE149" i="5" s="1"/>
  <c r="CO148" i="5"/>
  <c r="CO179" i="12"/>
  <c r="CP179" i="12" s="1"/>
  <c r="CL180" i="12" s="1"/>
  <c r="DS257" i="21" l="1"/>
  <c r="DS258" i="21" s="1"/>
  <c r="DT255" i="21" s="1"/>
  <c r="T317" i="21"/>
  <c r="T309" i="21"/>
  <c r="DX217" i="21"/>
  <c r="DX218" i="21" s="1"/>
  <c r="DX219" i="21" s="1"/>
  <c r="DY216" i="21" s="1"/>
  <c r="DX295" i="21" s="1"/>
  <c r="BE292" i="21"/>
  <c r="BE294" i="21" s="1"/>
  <c r="CL149" i="5"/>
  <c r="CN149" i="5" s="1"/>
  <c r="CE150" i="5" s="1"/>
  <c r="CO149" i="5"/>
  <c r="CY83" i="12"/>
  <c r="CV83" i="12"/>
  <c r="CW83" i="12"/>
  <c r="CU83" i="12"/>
  <c r="CZ83" i="12"/>
  <c r="CX83" i="12"/>
  <c r="CM180" i="12"/>
  <c r="CO180" i="12" s="1"/>
  <c r="CP180" i="12" s="1"/>
  <c r="CL181" i="12" s="1"/>
  <c r="DS297" i="21" l="1"/>
  <c r="DS296" i="21" s="1"/>
  <c r="DT256" i="21"/>
  <c r="DT257" i="21" s="1"/>
  <c r="DT258" i="21" s="1"/>
  <c r="DU255" i="21" s="1"/>
  <c r="T316" i="21"/>
  <c r="DY217" i="21"/>
  <c r="DY218" i="21" s="1"/>
  <c r="DY219" i="21" s="1"/>
  <c r="DZ216" i="21" s="1"/>
  <c r="DZ217" i="21" s="1"/>
  <c r="DZ218" i="21" s="1"/>
  <c r="BF281" i="21"/>
  <c r="BF282" i="21" s="1"/>
  <c r="BF283" i="21" s="1"/>
  <c r="DA83" i="12"/>
  <c r="CS84" i="12" s="1"/>
  <c r="CT84" i="12" s="1"/>
  <c r="CL150" i="5"/>
  <c r="CN150" i="5" s="1"/>
  <c r="CE151" i="5" s="1"/>
  <c r="CO150" i="5"/>
  <c r="CM181" i="12"/>
  <c r="CO181" i="12" s="1"/>
  <c r="CP181" i="12" s="1"/>
  <c r="CL182" i="12" s="1"/>
  <c r="DT297" i="21" l="1"/>
  <c r="DT296" i="21" s="1"/>
  <c r="DU256" i="21"/>
  <c r="T320" i="21"/>
  <c r="DY295" i="21"/>
  <c r="DZ219" i="21"/>
  <c r="EA216" i="21" s="1"/>
  <c r="EA217" i="21" s="1"/>
  <c r="EA218" i="21" s="1"/>
  <c r="EA219" i="21" s="1"/>
  <c r="EB216" i="21" s="1"/>
  <c r="BF300" i="21"/>
  <c r="BF292" i="21"/>
  <c r="BG281" i="21" s="1"/>
  <c r="CL151" i="5"/>
  <c r="CN151" i="5" s="1"/>
  <c r="CE152" i="5" s="1"/>
  <c r="CO151" i="5"/>
  <c r="CW84" i="12"/>
  <c r="CV84" i="12"/>
  <c r="CZ84" i="12"/>
  <c r="CX84" i="12"/>
  <c r="CU84" i="12"/>
  <c r="CY84" i="12"/>
  <c r="CM182" i="12"/>
  <c r="DU257" i="21" l="1"/>
  <c r="DU258" i="21" s="1"/>
  <c r="DV255" i="21" s="1"/>
  <c r="T333" i="21"/>
  <c r="T331" i="21"/>
  <c r="DZ295" i="21"/>
  <c r="EB217" i="21"/>
  <c r="EB218" i="21" s="1"/>
  <c r="EA295" i="21"/>
  <c r="BF294" i="21"/>
  <c r="BG282" i="21"/>
  <c r="BG283" i="21" s="1"/>
  <c r="BG300" i="21"/>
  <c r="DA84" i="12"/>
  <c r="CS85" i="12" s="1"/>
  <c r="CT85" i="12" s="1"/>
  <c r="CO152" i="5"/>
  <c r="CL152" i="5"/>
  <c r="CN152" i="5" s="1"/>
  <c r="CE153" i="5" s="1"/>
  <c r="CO182" i="12"/>
  <c r="CP182" i="12" s="1"/>
  <c r="CL183" i="12" s="1"/>
  <c r="DV256" i="21" l="1"/>
  <c r="DV257" i="21" s="1"/>
  <c r="DV258" i="21" s="1"/>
  <c r="DW255" i="21" s="1"/>
  <c r="DU297" i="21"/>
  <c r="DU296" i="21" s="1"/>
  <c r="T330" i="21"/>
  <c r="T324" i="21"/>
  <c r="T325" i="21"/>
  <c r="T326" i="21"/>
  <c r="T322" i="21"/>
  <c r="T323" i="21"/>
  <c r="T321" i="21"/>
  <c r="T327" i="21"/>
  <c r="EB219" i="21"/>
  <c r="EC216" i="21" s="1"/>
  <c r="EB295" i="21" s="1"/>
  <c r="BG292" i="21"/>
  <c r="BH281" i="21" s="1"/>
  <c r="CL153" i="5"/>
  <c r="CN153" i="5" s="1"/>
  <c r="CE154" i="5" s="1"/>
  <c r="CO153" i="5"/>
  <c r="CW85" i="12"/>
  <c r="CU85" i="12"/>
  <c r="CV85" i="12"/>
  <c r="CZ85" i="12"/>
  <c r="CY85" i="12"/>
  <c r="CX85" i="12"/>
  <c r="CM183" i="12"/>
  <c r="CO183" i="12" s="1"/>
  <c r="CP183" i="12" s="1"/>
  <c r="CL184" i="12" s="1"/>
  <c r="DW256" i="21" l="1"/>
  <c r="DW257" i="21" s="1"/>
  <c r="DW258" i="21" s="1"/>
  <c r="DX255" i="21" s="1"/>
  <c r="DV297" i="21"/>
  <c r="DV296" i="21" s="1"/>
  <c r="T332" i="21"/>
  <c r="EC217" i="21"/>
  <c r="EC218" i="21" s="1"/>
  <c r="EC219" i="21" s="1"/>
  <c r="ED216" i="21" s="1"/>
  <c r="BG294" i="21"/>
  <c r="BH282" i="21"/>
  <c r="BH283" i="21" s="1"/>
  <c r="BH300" i="21"/>
  <c r="DA85" i="12"/>
  <c r="CS86" i="12" s="1"/>
  <c r="CT86" i="12" s="1"/>
  <c r="CY86" i="12" s="1"/>
  <c r="CL154" i="5"/>
  <c r="CN154" i="5" s="1"/>
  <c r="CE155" i="5" s="1"/>
  <c r="CO154" i="5"/>
  <c r="CM184" i="12"/>
  <c r="CO184" i="12" s="1"/>
  <c r="CP184" i="12" s="1"/>
  <c r="CL185" i="12" s="1"/>
  <c r="DW297" i="21" l="1"/>
  <c r="DW296" i="21" s="1"/>
  <c r="DX256" i="21"/>
  <c r="DX257" i="21" s="1"/>
  <c r="DX258" i="21" s="1"/>
  <c r="DY255" i="21" s="1"/>
  <c r="U303" i="21"/>
  <c r="EC295" i="21"/>
  <c r="ED217" i="21"/>
  <c r="ED218" i="21" s="1"/>
  <c r="ED219" i="21" s="1"/>
  <c r="EE216" i="21" s="1"/>
  <c r="CX86" i="12"/>
  <c r="CU86" i="12"/>
  <c r="CW86" i="12"/>
  <c r="CZ86" i="12"/>
  <c r="CV86" i="12"/>
  <c r="BH292" i="21"/>
  <c r="CO155" i="5"/>
  <c r="CL155" i="5"/>
  <c r="CN155" i="5" s="1"/>
  <c r="CE156" i="5" s="1"/>
  <c r="CM185" i="12"/>
  <c r="CO185" i="12" s="1"/>
  <c r="DX297" i="21" l="1"/>
  <c r="DX296" i="21" s="1"/>
  <c r="DY256" i="21"/>
  <c r="DY257" i="21" s="1"/>
  <c r="DY258" i="21" s="1"/>
  <c r="DZ255" i="21" s="1"/>
  <c r="U304" i="21"/>
  <c r="U317" i="21"/>
  <c r="EE217" i="21"/>
  <c r="EE218" i="21" s="1"/>
  <c r="EE219" i="21" s="1"/>
  <c r="EF216" i="21" s="1"/>
  <c r="ED295" i="21"/>
  <c r="DA86" i="12"/>
  <c r="CS87" i="12" s="1"/>
  <c r="CT87" i="12" s="1"/>
  <c r="CW87" i="12" s="1"/>
  <c r="BI281" i="21"/>
  <c r="BH294" i="21"/>
  <c r="CO156" i="5"/>
  <c r="CL156" i="5"/>
  <c r="CN156" i="5" s="1"/>
  <c r="CE157" i="5" s="1"/>
  <c r="CP185" i="12"/>
  <c r="CL186" i="12" s="1"/>
  <c r="CM186" i="12" s="1"/>
  <c r="CO186" i="12" s="1"/>
  <c r="DY297" i="21" l="1"/>
  <c r="DY296" i="21" s="1"/>
  <c r="DZ256" i="21"/>
  <c r="DZ257" i="21" s="1"/>
  <c r="DZ258" i="21" s="1"/>
  <c r="EA255" i="21" s="1"/>
  <c r="U309" i="21"/>
  <c r="EE295" i="21"/>
  <c r="EF217" i="21"/>
  <c r="EF218" i="21" s="1"/>
  <c r="EF219" i="21" s="1"/>
  <c r="EG216" i="21" s="1"/>
  <c r="CX87" i="12"/>
  <c r="CU87" i="12"/>
  <c r="CZ87" i="12"/>
  <c r="CV87" i="12"/>
  <c r="CY87" i="12"/>
  <c r="BI300" i="21"/>
  <c r="BI282" i="21"/>
  <c r="BI283" i="21" s="1"/>
  <c r="CL157" i="5"/>
  <c r="CN157" i="5" s="1"/>
  <c r="CE158" i="5" s="1"/>
  <c r="CO157" i="5"/>
  <c r="CP186" i="12"/>
  <c r="CL187" i="12" s="1"/>
  <c r="DZ297" i="21" l="1"/>
  <c r="DZ296" i="21" s="1"/>
  <c r="EA256" i="21"/>
  <c r="U316" i="21"/>
  <c r="EG217" i="21"/>
  <c r="EG218" i="21" s="1"/>
  <c r="EF295" i="21"/>
  <c r="DA87" i="12"/>
  <c r="CS88" i="12" s="1"/>
  <c r="CT88" i="12" s="1"/>
  <c r="CW88" i="12" s="1"/>
  <c r="BI292" i="21"/>
  <c r="BJ281" i="21" s="1"/>
  <c r="CO158" i="5"/>
  <c r="CL158" i="5"/>
  <c r="CN158" i="5" s="1"/>
  <c r="CE159" i="5" s="1"/>
  <c r="CM187" i="12"/>
  <c r="CO187" i="12" s="1"/>
  <c r="CP187" i="12" s="1"/>
  <c r="CL188" i="12" s="1"/>
  <c r="EA257" i="21" l="1"/>
  <c r="EA258" i="21" s="1"/>
  <c r="EB255" i="21" s="1"/>
  <c r="U320" i="21"/>
  <c r="EG219" i="21"/>
  <c r="EH216" i="21" s="1"/>
  <c r="EG295" i="21" s="1"/>
  <c r="CU88" i="12"/>
  <c r="CX88" i="12"/>
  <c r="CY88" i="12"/>
  <c r="CZ88" i="12"/>
  <c r="CV88" i="12"/>
  <c r="BI294" i="21"/>
  <c r="BJ300" i="21"/>
  <c r="BJ282" i="21"/>
  <c r="BJ283" i="21" s="1"/>
  <c r="CO159" i="5"/>
  <c r="CL159" i="5"/>
  <c r="CN159" i="5" s="1"/>
  <c r="CE160" i="5" s="1"/>
  <c r="CM188" i="12"/>
  <c r="EB256" i="21" l="1"/>
  <c r="EB257" i="21" s="1"/>
  <c r="EB258" i="21" s="1"/>
  <c r="EC255" i="21" s="1"/>
  <c r="EA297" i="21"/>
  <c r="EA296" i="21" s="1"/>
  <c r="U331" i="21"/>
  <c r="U333" i="21"/>
  <c r="EH217" i="21"/>
  <c r="EH218" i="21" s="1"/>
  <c r="DA88" i="12"/>
  <c r="CS89" i="12" s="1"/>
  <c r="CT89" i="12" s="1"/>
  <c r="CZ89" i="12" s="1"/>
  <c r="BJ292" i="21"/>
  <c r="BJ294" i="21" s="1"/>
  <c r="CO160" i="5"/>
  <c r="CL160" i="5"/>
  <c r="CN160" i="5" s="1"/>
  <c r="CE161" i="5" s="1"/>
  <c r="CO188" i="12"/>
  <c r="CP188" i="12" s="1"/>
  <c r="CL189" i="12" s="1"/>
  <c r="EB297" i="21" l="1"/>
  <c r="EB296" i="21" s="1"/>
  <c r="EC256" i="21"/>
  <c r="EC257" i="21" s="1"/>
  <c r="U330" i="21"/>
  <c r="U327" i="21"/>
  <c r="U322" i="21"/>
  <c r="U321" i="21"/>
  <c r="U325" i="21"/>
  <c r="U323" i="21"/>
  <c r="U324" i="21"/>
  <c r="U326" i="21"/>
  <c r="EH219" i="21"/>
  <c r="EI216" i="21" s="1"/>
  <c r="EI217" i="21" s="1"/>
  <c r="CU89" i="12"/>
  <c r="CW89" i="12"/>
  <c r="CX89" i="12"/>
  <c r="CY89" i="12"/>
  <c r="CV89" i="12"/>
  <c r="BK281" i="21"/>
  <c r="BK300" i="21" s="1"/>
  <c r="CO161" i="5"/>
  <c r="CL161" i="5"/>
  <c r="CN161" i="5" s="1"/>
  <c r="CE162" i="5" s="1"/>
  <c r="CM189" i="12"/>
  <c r="CO189" i="12" s="1"/>
  <c r="CP189" i="12" s="1"/>
  <c r="CL190" i="12" s="1"/>
  <c r="EC258" i="21" l="1"/>
  <c r="ED255" i="21" s="1"/>
  <c r="EI218" i="21"/>
  <c r="EI219" i="21" s="1"/>
  <c r="EJ216" i="21" s="1"/>
  <c r="EJ217" i="21" s="1"/>
  <c r="EJ218" i="21" s="1"/>
  <c r="EJ219" i="21" s="1"/>
  <c r="EK216" i="21" s="1"/>
  <c r="EC297" i="21"/>
  <c r="EC296" i="21" s="1"/>
  <c r="ED256" i="21"/>
  <c r="ED257" i="21" s="1"/>
  <c r="ED258" i="21" s="1"/>
  <c r="EE255" i="21" s="1"/>
  <c r="U332" i="21"/>
  <c r="EH295" i="21"/>
  <c r="EI295" i="21"/>
  <c r="DA89" i="12"/>
  <c r="CS90" i="12" s="1"/>
  <c r="CT90" i="12" s="1"/>
  <c r="CU90" i="12" s="1"/>
  <c r="EK217" i="21"/>
  <c r="EK218" i="21" s="1"/>
  <c r="EK219" i="21" s="1"/>
  <c r="EL216" i="21" s="1"/>
  <c r="EJ295" i="21"/>
  <c r="BK282" i="21"/>
  <c r="BK283" i="21" s="1"/>
  <c r="CO162" i="5"/>
  <c r="CL162" i="5"/>
  <c r="CN162" i="5" s="1"/>
  <c r="CE163" i="5" s="1"/>
  <c r="CM190" i="12"/>
  <c r="CO190" i="12" s="1"/>
  <c r="ED297" i="21" l="1"/>
  <c r="ED296" i="21" s="1"/>
  <c r="EE256" i="21"/>
  <c r="V303" i="21"/>
  <c r="CZ90" i="12"/>
  <c r="CW90" i="12"/>
  <c r="CX90" i="12"/>
  <c r="CV90" i="12"/>
  <c r="CY90" i="12"/>
  <c r="EK295" i="21"/>
  <c r="EL217" i="21"/>
  <c r="BK292" i="21"/>
  <c r="CO163" i="5"/>
  <c r="CL163" i="5"/>
  <c r="CN163" i="5" s="1"/>
  <c r="CE164" i="5" s="1"/>
  <c r="CP190" i="12"/>
  <c r="CL191" i="12" s="1"/>
  <c r="EE257" i="21" l="1"/>
  <c r="EE258" i="21" s="1"/>
  <c r="EF255" i="21" s="1"/>
  <c r="DA90" i="12"/>
  <c r="CS91" i="12" s="1"/>
  <c r="CT91" i="12" s="1"/>
  <c r="CW91" i="12" s="1"/>
  <c r="V317" i="21"/>
  <c r="V304" i="21"/>
  <c r="V309" i="21" s="1"/>
  <c r="V316" i="21" s="1"/>
  <c r="EL218" i="21"/>
  <c r="EL219" i="21" s="1"/>
  <c r="EM216" i="21" s="1"/>
  <c r="BK294" i="21"/>
  <c r="BL281" i="21"/>
  <c r="CO164" i="5"/>
  <c r="CL164" i="5"/>
  <c r="CN164" i="5" s="1"/>
  <c r="CE165" i="5" s="1"/>
  <c r="CX91" i="12"/>
  <c r="CZ91" i="12"/>
  <c r="CY91" i="12"/>
  <c r="CM191" i="12"/>
  <c r="CV91" i="12" l="1"/>
  <c r="EE297" i="21"/>
  <c r="EE296" i="21" s="1"/>
  <c r="EF256" i="21"/>
  <c r="CU91" i="12"/>
  <c r="DA91" i="12" s="1"/>
  <c r="CS92" i="12" s="1"/>
  <c r="CT92" i="12" s="1"/>
  <c r="V320" i="21"/>
  <c r="EL295" i="21"/>
  <c r="EM217" i="21"/>
  <c r="EM218" i="21" s="1"/>
  <c r="BL300" i="21"/>
  <c r="BL282" i="21"/>
  <c r="CL165" i="5"/>
  <c r="CN165" i="5" s="1"/>
  <c r="CE166" i="5" s="1"/>
  <c r="CO165" i="5"/>
  <c r="CO191" i="12"/>
  <c r="CP191" i="12" s="1"/>
  <c r="CL192" i="12" s="1"/>
  <c r="EF257" i="21" l="1"/>
  <c r="EF258" i="21"/>
  <c r="EG255" i="21" s="1"/>
  <c r="V331" i="21"/>
  <c r="V333" i="21"/>
  <c r="EM219" i="21"/>
  <c r="EN216" i="21" s="1"/>
  <c r="BL283" i="21"/>
  <c r="CL166" i="5"/>
  <c r="CN166" i="5" s="1"/>
  <c r="CE167" i="5" s="1"/>
  <c r="CO166" i="5"/>
  <c r="CV92" i="12"/>
  <c r="CX92" i="12"/>
  <c r="CZ92" i="12"/>
  <c r="CU92" i="12"/>
  <c r="CY92" i="12"/>
  <c r="CW92" i="12"/>
  <c r="CM192" i="12"/>
  <c r="CO192" i="12" s="1"/>
  <c r="CP192" i="12" s="1"/>
  <c r="EF297" i="21" l="1"/>
  <c r="EF296" i="21" s="1"/>
  <c r="EG256" i="21"/>
  <c r="EG257" i="21" s="1"/>
  <c r="EG258" i="21" s="1"/>
  <c r="EH255" i="21" s="1"/>
  <c r="V330" i="21"/>
  <c r="V327" i="21"/>
  <c r="V322" i="21"/>
  <c r="V324" i="21"/>
  <c r="V323" i="21"/>
  <c r="V326" i="21"/>
  <c r="V321" i="21"/>
  <c r="V325" i="21"/>
  <c r="EN217" i="21"/>
  <c r="EN218" i="21" s="1"/>
  <c r="EM295" i="21"/>
  <c r="DA92" i="12"/>
  <c r="CS93" i="12" s="1"/>
  <c r="CT93" i="12" s="1"/>
  <c r="BL292" i="21"/>
  <c r="CL167" i="5"/>
  <c r="CN167" i="5" s="1"/>
  <c r="CE168" i="5" s="1"/>
  <c r="CO167" i="5"/>
  <c r="EG297" i="21" l="1"/>
  <c r="EG296" i="21" s="1"/>
  <c r="EH256" i="21"/>
  <c r="EH257" i="21" s="1"/>
  <c r="EH258" i="21" s="1"/>
  <c r="EI255" i="21" s="1"/>
  <c r="V332" i="21"/>
  <c r="EN219" i="21"/>
  <c r="EO216" i="21" s="1"/>
  <c r="EO217" i="21" s="1"/>
  <c r="EO218" i="21" s="1"/>
  <c r="EO219" i="21" s="1"/>
  <c r="EP216" i="21" s="1"/>
  <c r="BM281" i="21"/>
  <c r="BL294" i="21"/>
  <c r="CO168" i="5"/>
  <c r="CL168" i="5"/>
  <c r="CN168" i="5" s="1"/>
  <c r="CE169" i="5" s="1"/>
  <c r="CV93" i="12"/>
  <c r="CY93" i="12"/>
  <c r="CZ93" i="12"/>
  <c r="CU93" i="12"/>
  <c r="CW93" i="12"/>
  <c r="CX93" i="12"/>
  <c r="EH297" i="21" l="1"/>
  <c r="EH296" i="21" s="1"/>
  <c r="EI256" i="21"/>
  <c r="W303" i="21"/>
  <c r="EN295" i="21"/>
  <c r="EP217" i="21"/>
  <c r="EP218" i="21" s="1"/>
  <c r="EP219" i="21" s="1"/>
  <c r="EQ216" i="21" s="1"/>
  <c r="EO295" i="21"/>
  <c r="BM282" i="21"/>
  <c r="BM283" i="21" s="1"/>
  <c r="BM300" i="21"/>
  <c r="DA93" i="12"/>
  <c r="CS94" i="12" s="1"/>
  <c r="CT94" i="12" s="1"/>
  <c r="CO169" i="5"/>
  <c r="CL169" i="5"/>
  <c r="CN169" i="5" s="1"/>
  <c r="CE170" i="5" s="1"/>
  <c r="EI257" i="21" l="1"/>
  <c r="EI258" i="21"/>
  <c r="EJ255" i="21" s="1"/>
  <c r="W317" i="21"/>
  <c r="W304" i="21"/>
  <c r="EP295" i="21"/>
  <c r="EQ217" i="21"/>
  <c r="EQ218" i="21" s="1"/>
  <c r="EQ219" i="21" s="1"/>
  <c r="ER216" i="21" s="1"/>
  <c r="BM292" i="21"/>
  <c r="CW94" i="12"/>
  <c r="CV94" i="12"/>
  <c r="CU94" i="12"/>
  <c r="CY94" i="12"/>
  <c r="CZ94" i="12"/>
  <c r="CX94" i="12"/>
  <c r="CL170" i="5"/>
  <c r="CN170" i="5" s="1"/>
  <c r="CE171" i="5" s="1"/>
  <c r="CO170" i="5"/>
  <c r="EI297" i="21" l="1"/>
  <c r="EI296" i="21" s="1"/>
  <c r="EJ256" i="21"/>
  <c r="EJ257" i="21" s="1"/>
  <c r="EJ258" i="21" s="1"/>
  <c r="EK255" i="21" s="1"/>
  <c r="W309" i="21"/>
  <c r="EQ295" i="21"/>
  <c r="ER217" i="21"/>
  <c r="ER218" i="21" s="1"/>
  <c r="BN281" i="21"/>
  <c r="BM294" i="21"/>
  <c r="DA94" i="12"/>
  <c r="CS95" i="12" s="1"/>
  <c r="CT95" i="12" s="1"/>
  <c r="CO171" i="5"/>
  <c r="CL171" i="5"/>
  <c r="CN171" i="5" s="1"/>
  <c r="CE172" i="5" s="1"/>
  <c r="EJ297" i="21" l="1"/>
  <c r="EJ296" i="21" s="1"/>
  <c r="EK256" i="21"/>
  <c r="W316" i="21"/>
  <c r="ER219" i="21"/>
  <c r="ES216" i="21" s="1"/>
  <c r="BN282" i="21"/>
  <c r="BN283" i="21" s="1"/>
  <c r="BN300" i="21"/>
  <c r="CL172" i="5"/>
  <c r="CN172" i="5" s="1"/>
  <c r="CE173" i="5" s="1"/>
  <c r="CO172" i="5"/>
  <c r="CZ95" i="12"/>
  <c r="CX95" i="12"/>
  <c r="CW95" i="12"/>
  <c r="CY95" i="12"/>
  <c r="CU95" i="12"/>
  <c r="CV95" i="12"/>
  <c r="EK257" i="21" l="1"/>
  <c r="EK258" i="21" s="1"/>
  <c r="EL255" i="21" s="1"/>
  <c r="W320" i="21"/>
  <c r="ES217" i="21"/>
  <c r="ES218" i="21" s="1"/>
  <c r="ES219" i="21" s="1"/>
  <c r="ET216" i="21" s="1"/>
  <c r="ER295" i="21"/>
  <c r="BN292" i="21"/>
  <c r="BO281" i="21" s="1"/>
  <c r="DA95" i="12"/>
  <c r="CS96" i="12" s="1"/>
  <c r="CT96" i="12" s="1"/>
  <c r="CO173" i="5"/>
  <c r="CL173" i="5"/>
  <c r="CN173" i="5" s="1"/>
  <c r="CE174" i="5" s="1"/>
  <c r="EL256" i="21" l="1"/>
  <c r="EK297" i="21"/>
  <c r="EK296" i="21" s="1"/>
  <c r="W331" i="21"/>
  <c r="W333" i="21"/>
  <c r="BN294" i="21"/>
  <c r="ES295" i="21"/>
  <c r="ET217" i="21"/>
  <c r="ET218" i="21" s="1"/>
  <c r="ET219" i="21" s="1"/>
  <c r="EU216" i="21" s="1"/>
  <c r="BO282" i="21"/>
  <c r="BO283" i="21" s="1"/>
  <c r="BO300" i="21"/>
  <c r="CU96" i="12"/>
  <c r="CX96" i="12"/>
  <c r="CW96" i="12"/>
  <c r="CZ96" i="12"/>
  <c r="CY96" i="12"/>
  <c r="CV96" i="12"/>
  <c r="CL174" i="5"/>
  <c r="CN174" i="5" s="1"/>
  <c r="CE175" i="5" s="1"/>
  <c r="CO174" i="5"/>
  <c r="EL257" i="21" l="1"/>
  <c r="EL258" i="21" s="1"/>
  <c r="EM255" i="21" s="1"/>
  <c r="W330" i="21"/>
  <c r="W327" i="21"/>
  <c r="W326" i="21"/>
  <c r="W325" i="21"/>
  <c r="W324" i="21"/>
  <c r="W322" i="21"/>
  <c r="W321" i="21"/>
  <c r="W323" i="21"/>
  <c r="EU217" i="21"/>
  <c r="EU218" i="21" s="1"/>
  <c r="EU219" i="21" s="1"/>
  <c r="EV216" i="21" s="1"/>
  <c r="ET295" i="21"/>
  <c r="BO292" i="21"/>
  <c r="BP281" i="21" s="1"/>
  <c r="DA96" i="12"/>
  <c r="CS97" i="12" s="1"/>
  <c r="CT97" i="12" s="1"/>
  <c r="CL175" i="5"/>
  <c r="CN175" i="5" s="1"/>
  <c r="CE176" i="5" s="1"/>
  <c r="CO175" i="5"/>
  <c r="EL297" i="21" l="1"/>
  <c r="EL296" i="21" s="1"/>
  <c r="EM256" i="21"/>
  <c r="EM257" i="21" s="1"/>
  <c r="EM258" i="21" s="1"/>
  <c r="EN255" i="21" s="1"/>
  <c r="W332" i="21"/>
  <c r="EU295" i="21"/>
  <c r="EV217" i="21"/>
  <c r="EV218" i="21" s="1"/>
  <c r="EV219" i="21" s="1"/>
  <c r="EW216" i="21" s="1"/>
  <c r="BO294" i="21"/>
  <c r="BP282" i="21"/>
  <c r="BP283" i="21" s="1"/>
  <c r="BP300" i="21"/>
  <c r="CL176" i="5"/>
  <c r="CN176" i="5" s="1"/>
  <c r="CE177" i="5" s="1"/>
  <c r="CO176" i="5"/>
  <c r="CV97" i="12"/>
  <c r="CZ97" i="12"/>
  <c r="CU97" i="12"/>
  <c r="CY97" i="12"/>
  <c r="CX97" i="12"/>
  <c r="CW97" i="12"/>
  <c r="EM297" i="21" l="1"/>
  <c r="EM296" i="21" s="1"/>
  <c r="EN256" i="21"/>
  <c r="X303" i="21"/>
  <c r="EV295" i="21"/>
  <c r="EW217" i="21"/>
  <c r="EW218" i="21" s="1"/>
  <c r="EW219" i="21" s="1"/>
  <c r="EX216" i="21" s="1"/>
  <c r="BP292" i="21"/>
  <c r="BP294" i="21" s="1"/>
  <c r="DA97" i="12"/>
  <c r="CS98" i="12" s="1"/>
  <c r="CT98" i="12" s="1"/>
  <c r="CL177" i="5"/>
  <c r="CN177" i="5" s="1"/>
  <c r="CE178" i="5" s="1"/>
  <c r="CO177" i="5"/>
  <c r="EN257" i="21" l="1"/>
  <c r="EN258" i="21"/>
  <c r="EO255" i="21" s="1"/>
  <c r="X304" i="21"/>
  <c r="X317" i="21"/>
  <c r="X309" i="21"/>
  <c r="EW295" i="21"/>
  <c r="EX217" i="21"/>
  <c r="EX218" i="21" s="1"/>
  <c r="EX219" i="21" s="1"/>
  <c r="EY216" i="21" s="1"/>
  <c r="BQ281" i="21"/>
  <c r="BQ282" i="21" s="1"/>
  <c r="CY98" i="12"/>
  <c r="CX98" i="12"/>
  <c r="CW98" i="12"/>
  <c r="CV98" i="12"/>
  <c r="CU98" i="12"/>
  <c r="CZ98" i="12"/>
  <c r="CL178" i="5"/>
  <c r="CN178" i="5" s="1"/>
  <c r="CE179" i="5" s="1"/>
  <c r="CO178" i="5"/>
  <c r="EN297" i="21" l="1"/>
  <c r="EN296" i="21" s="1"/>
  <c r="EO256" i="21"/>
  <c r="EO257" i="21" s="1"/>
  <c r="EO258" i="21" s="1"/>
  <c r="EP255" i="21" s="1"/>
  <c r="X316" i="21"/>
  <c r="EY217" i="21"/>
  <c r="EY218" i="21" s="1"/>
  <c r="EY219" i="21" s="1"/>
  <c r="EZ216" i="21" s="1"/>
  <c r="EX295" i="21"/>
  <c r="BQ300" i="21"/>
  <c r="BQ283" i="21"/>
  <c r="DA98" i="12"/>
  <c r="CS99" i="12" s="1"/>
  <c r="CT99" i="12" s="1"/>
  <c r="CL179" i="5"/>
  <c r="CN179" i="5" s="1"/>
  <c r="CE180" i="5" s="1"/>
  <c r="CO179" i="5"/>
  <c r="EO297" i="21" l="1"/>
  <c r="EO296" i="21" s="1"/>
  <c r="EP256" i="21"/>
  <c r="EP257" i="21" s="1"/>
  <c r="EP258" i="21" s="1"/>
  <c r="EQ255" i="21" s="1"/>
  <c r="X320" i="21"/>
  <c r="BQ292" i="21"/>
  <c r="BQ294" i="21" s="1"/>
  <c r="EZ217" i="21"/>
  <c r="EZ218" i="21" s="1"/>
  <c r="EY295" i="21"/>
  <c r="CL180" i="5"/>
  <c r="CN180" i="5" s="1"/>
  <c r="CE181" i="5" s="1"/>
  <c r="CO180" i="5"/>
  <c r="CW99" i="12"/>
  <c r="CV99" i="12"/>
  <c r="CZ99" i="12"/>
  <c r="CU99" i="12"/>
  <c r="CY99" i="12"/>
  <c r="CX99" i="12"/>
  <c r="EP297" i="21" l="1"/>
  <c r="EP296" i="21" s="1"/>
  <c r="EQ256" i="21"/>
  <c r="EQ257" i="21" s="1"/>
  <c r="EQ258" i="21" s="1"/>
  <c r="ER255" i="21" s="1"/>
  <c r="X331" i="21"/>
  <c r="X333" i="21"/>
  <c r="BR281" i="21"/>
  <c r="BR282" i="21" s="1"/>
  <c r="BR283" i="21" s="1"/>
  <c r="EZ219" i="21"/>
  <c r="FA216" i="21" s="1"/>
  <c r="DA99" i="12"/>
  <c r="CS100" i="12" s="1"/>
  <c r="CT100" i="12" s="1"/>
  <c r="CO181" i="5"/>
  <c r="CL181" i="5"/>
  <c r="CN181" i="5" s="1"/>
  <c r="CE182" i="5" s="1"/>
  <c r="ER256" i="21" l="1"/>
  <c r="ER257" i="21" s="1"/>
  <c r="EQ297" i="21"/>
  <c r="EQ296" i="21" s="1"/>
  <c r="X330" i="21"/>
  <c r="X323" i="21"/>
  <c r="X325" i="21"/>
  <c r="X326" i="21"/>
  <c r="X322" i="21"/>
  <c r="X327" i="21"/>
  <c r="X324" i="21"/>
  <c r="X321" i="21"/>
  <c r="BR292" i="21"/>
  <c r="BR294" i="21" s="1"/>
  <c r="BR300" i="21"/>
  <c r="EZ295" i="21"/>
  <c r="FA217" i="21"/>
  <c r="FA218" i="21" s="1"/>
  <c r="FA219" i="21" s="1"/>
  <c r="FB216" i="21" s="1"/>
  <c r="CL182" i="5"/>
  <c r="CN182" i="5" s="1"/>
  <c r="CE183" i="5" s="1"/>
  <c r="CO182" i="5"/>
  <c r="CZ100" i="12"/>
  <c r="CV100" i="12"/>
  <c r="CY100" i="12"/>
  <c r="CX100" i="12"/>
  <c r="CW100" i="12"/>
  <c r="CU100" i="12"/>
  <c r="ER258" i="21" l="1"/>
  <c r="ES255" i="21" s="1"/>
  <c r="ES256" i="21" s="1"/>
  <c r="ES257" i="21" s="1"/>
  <c r="ES258" i="21" s="1"/>
  <c r="ET255" i="21" s="1"/>
  <c r="X332" i="21"/>
  <c r="Y303" i="21" s="1"/>
  <c r="BS281" i="21"/>
  <c r="BS282" i="21" s="1"/>
  <c r="BS283" i="21" s="1"/>
  <c r="FB217" i="21"/>
  <c r="FB218" i="21" s="1"/>
  <c r="FB219" i="21" s="1"/>
  <c r="FC216" i="21" s="1"/>
  <c r="FA295" i="21"/>
  <c r="DA100" i="12"/>
  <c r="CS101" i="12" s="1"/>
  <c r="CT101" i="12" s="1"/>
  <c r="CL183" i="5"/>
  <c r="CN183" i="5" s="1"/>
  <c r="CE184" i="5" s="1"/>
  <c r="CO183" i="5"/>
  <c r="ER297" i="21" l="1"/>
  <c r="ER296" i="21" s="1"/>
  <c r="BS300" i="21"/>
  <c r="ES297" i="21"/>
  <c r="ES296" i="21" s="1"/>
  <c r="ET256" i="21"/>
  <c r="ET257" i="21" s="1"/>
  <c r="ET258" i="21" s="1"/>
  <c r="EU255" i="21" s="1"/>
  <c r="Y304" i="21"/>
  <c r="Y317" i="21"/>
  <c r="FB295" i="21"/>
  <c r="FC217" i="21"/>
  <c r="FC218" i="21" s="1"/>
  <c r="FC219" i="21" s="1"/>
  <c r="FD216" i="21" s="1"/>
  <c r="BS292" i="21"/>
  <c r="CL184" i="5"/>
  <c r="CN184" i="5" s="1"/>
  <c r="CE185" i="5" s="1"/>
  <c r="CO184" i="5"/>
  <c r="CZ101" i="12"/>
  <c r="CY101" i="12"/>
  <c r="CX101" i="12"/>
  <c r="CW101" i="12"/>
  <c r="CU101" i="12"/>
  <c r="CV101" i="12"/>
  <c r="EU256" i="21" l="1"/>
  <c r="EU257" i="21" s="1"/>
  <c r="EU258" i="21" s="1"/>
  <c r="EV255" i="21" s="1"/>
  <c r="ET297" i="21"/>
  <c r="ET296" i="21" s="1"/>
  <c r="Y309" i="21"/>
  <c r="FD217" i="21"/>
  <c r="FD218" i="21" s="1"/>
  <c r="FC295" i="21"/>
  <c r="BS294" i="21"/>
  <c r="BT281" i="21"/>
  <c r="DA101" i="12"/>
  <c r="CS102" i="12" s="1"/>
  <c r="CT102" i="12" s="1"/>
  <c r="CL185" i="5"/>
  <c r="CN185" i="5" s="1"/>
  <c r="CE186" i="5" s="1"/>
  <c r="CO185" i="5"/>
  <c r="EV256" i="21" l="1"/>
  <c r="EV257" i="21" s="1"/>
  <c r="EV258" i="21" s="1"/>
  <c r="EW255" i="21" s="1"/>
  <c r="EU297" i="21"/>
  <c r="EU296" i="21" s="1"/>
  <c r="Y316" i="21"/>
  <c r="FD219" i="21"/>
  <c r="FE216" i="21" s="1"/>
  <c r="BT300" i="21"/>
  <c r="BT282" i="21"/>
  <c r="BT283" i="21" s="1"/>
  <c r="CX102" i="12"/>
  <c r="CW102" i="12"/>
  <c r="CV102" i="12"/>
  <c r="CZ102" i="12"/>
  <c r="CU102" i="12"/>
  <c r="CY102" i="12"/>
  <c r="CL186" i="5"/>
  <c r="CN186" i="5" s="1"/>
  <c r="CE187" i="5" s="1"/>
  <c r="CO186" i="5"/>
  <c r="EV297" i="21" l="1"/>
  <c r="EV296" i="21" s="1"/>
  <c r="EW256" i="21"/>
  <c r="EW257" i="21" s="1"/>
  <c r="EW258" i="21" s="1"/>
  <c r="EX255" i="21" s="1"/>
  <c r="Y320" i="21"/>
  <c r="FE217" i="21"/>
  <c r="FE218" i="21" s="1"/>
  <c r="FD295" i="21"/>
  <c r="BT292" i="21"/>
  <c r="DA102" i="12"/>
  <c r="CS103" i="12" s="1"/>
  <c r="CT103" i="12" s="1"/>
  <c r="CO187" i="5"/>
  <c r="CL187" i="5"/>
  <c r="CN187" i="5" s="1"/>
  <c r="CE188" i="5" s="1"/>
  <c r="EW297" i="21" l="1"/>
  <c r="EW296" i="21" s="1"/>
  <c r="EX256" i="21"/>
  <c r="EX257" i="21" s="1"/>
  <c r="Y331" i="21"/>
  <c r="Y333" i="21"/>
  <c r="FE219" i="21"/>
  <c r="FF216" i="21" s="1"/>
  <c r="FF217" i="21" s="1"/>
  <c r="FF218" i="21" s="1"/>
  <c r="FF219" i="21" s="1"/>
  <c r="FG216" i="21" s="1"/>
  <c r="BU281" i="21"/>
  <c r="BT294" i="21"/>
  <c r="CO188" i="5"/>
  <c r="CL188" i="5"/>
  <c r="CN188" i="5" s="1"/>
  <c r="CE189" i="5" s="1"/>
  <c r="CY103" i="12"/>
  <c r="CV103" i="12"/>
  <c r="CX103" i="12"/>
  <c r="CW103" i="12"/>
  <c r="CZ103" i="12"/>
  <c r="CU103" i="12"/>
  <c r="EX258" i="21" l="1"/>
  <c r="EY255" i="21" s="1"/>
  <c r="Y330" i="21"/>
  <c r="Y327" i="21"/>
  <c r="Y325" i="21"/>
  <c r="Y326" i="21"/>
  <c r="Y322" i="21"/>
  <c r="Y324" i="21"/>
  <c r="Y323" i="21"/>
  <c r="Y321" i="21"/>
  <c r="FE295" i="21"/>
  <c r="FG217" i="21"/>
  <c r="FG218" i="21" s="1"/>
  <c r="FF295" i="21"/>
  <c r="BU300" i="21"/>
  <c r="BU282" i="21"/>
  <c r="BU283" i="21" s="1"/>
  <c r="DA103" i="12"/>
  <c r="CS104" i="12" s="1"/>
  <c r="CT104" i="12" s="1"/>
  <c r="CO189" i="5"/>
  <c r="CL189" i="5"/>
  <c r="CN189" i="5" s="1"/>
  <c r="CE190" i="5" s="1"/>
  <c r="FG219" i="21" l="1"/>
  <c r="FH216" i="21" s="1"/>
  <c r="FH217" i="21" s="1"/>
  <c r="FH218" i="21" s="1"/>
  <c r="FH219" i="21" s="1"/>
  <c r="FI216" i="21" s="1"/>
  <c r="Y332" i="21"/>
  <c r="EY256" i="21"/>
  <c r="EY257" i="21" s="1"/>
  <c r="EY258" i="21" s="1"/>
  <c r="EZ255" i="21" s="1"/>
  <c r="EX297" i="21"/>
  <c r="EX296" i="21" s="1"/>
  <c r="Z303" i="21"/>
  <c r="BU292" i="21"/>
  <c r="BV281" i="21" s="1"/>
  <c r="CL190" i="5"/>
  <c r="CN190" i="5" s="1"/>
  <c r="CE191" i="5" s="1"/>
  <c r="CO190" i="5"/>
  <c r="CV104" i="12"/>
  <c r="CY104" i="12"/>
  <c r="CX104" i="12"/>
  <c r="CZ104" i="12"/>
  <c r="CW104" i="12"/>
  <c r="CU104" i="12"/>
  <c r="FG295" i="21" l="1"/>
  <c r="EZ256" i="21"/>
  <c r="EZ257" i="21" s="1"/>
  <c r="EZ258" i="21" s="1"/>
  <c r="FA255" i="21" s="1"/>
  <c r="EY297" i="21"/>
  <c r="EY296" i="21" s="1"/>
  <c r="Z304" i="21"/>
  <c r="Z309" i="21" s="1"/>
  <c r="Z317" i="21"/>
  <c r="FH295" i="21"/>
  <c r="FI217" i="21"/>
  <c r="FI218" i="21" s="1"/>
  <c r="FI219" i="21" s="1"/>
  <c r="FJ216" i="21" s="1"/>
  <c r="BU294" i="21"/>
  <c r="DA104" i="12"/>
  <c r="CS105" i="12" s="1"/>
  <c r="CT105" i="12" s="1"/>
  <c r="BV300" i="21"/>
  <c r="BV282" i="21"/>
  <c r="BV283" i="21" s="1"/>
  <c r="CO191" i="5"/>
  <c r="CL191" i="5"/>
  <c r="CN191" i="5" s="1"/>
  <c r="CE192" i="5" s="1"/>
  <c r="FA256" i="21" l="1"/>
  <c r="FA257" i="21" s="1"/>
  <c r="EZ297" i="21"/>
  <c r="EZ296" i="21" s="1"/>
  <c r="Z316" i="21"/>
  <c r="FI295" i="21"/>
  <c r="FJ217" i="21"/>
  <c r="FJ218" i="21" s="1"/>
  <c r="FJ219" i="21" s="1"/>
  <c r="FK216" i="21" s="1"/>
  <c r="BV292" i="21"/>
  <c r="BV294" i="21" s="1"/>
  <c r="CL192" i="5"/>
  <c r="CN192" i="5" s="1"/>
  <c r="CO192" i="5"/>
  <c r="CV105" i="12"/>
  <c r="CU105" i="12"/>
  <c r="CY105" i="12"/>
  <c r="CW105" i="12"/>
  <c r="CZ105" i="12"/>
  <c r="CX105" i="12"/>
  <c r="FA258" i="21" l="1"/>
  <c r="FB255" i="21" s="1"/>
  <c r="FA297" i="21" s="1"/>
  <c r="FA296" i="21" s="1"/>
  <c r="Z320" i="21"/>
  <c r="FK217" i="21"/>
  <c r="FK218" i="21" s="1"/>
  <c r="FK219" i="21" s="1"/>
  <c r="FL216" i="21" s="1"/>
  <c r="FJ295" i="21"/>
  <c r="BW281" i="21"/>
  <c r="BW300" i="21" s="1"/>
  <c r="DA105" i="12"/>
  <c r="CS106" i="12" s="1"/>
  <c r="CT106" i="12" s="1"/>
  <c r="CZ106" i="12" s="1"/>
  <c r="FB256" i="21" l="1"/>
  <c r="FB257" i="21" s="1"/>
  <c r="FB258" i="21" s="1"/>
  <c r="FC255" i="21" s="1"/>
  <c r="Z331" i="21"/>
  <c r="Z333" i="21"/>
  <c r="FL217" i="21"/>
  <c r="FL218" i="21" s="1"/>
  <c r="FK295" i="21"/>
  <c r="BW282" i="21"/>
  <c r="BW283" i="21" s="1"/>
  <c r="CY106" i="12"/>
  <c r="CV106" i="12"/>
  <c r="CW106" i="12"/>
  <c r="CX106" i="12"/>
  <c r="CU106" i="12"/>
  <c r="FB297" i="21" l="1"/>
  <c r="FB296" i="21" s="1"/>
  <c r="FC256" i="21"/>
  <c r="FC257" i="21" s="1"/>
  <c r="FC258" i="21" s="1"/>
  <c r="FD255" i="21" s="1"/>
  <c r="Z330" i="21"/>
  <c r="Z323" i="21"/>
  <c r="Z321" i="21"/>
  <c r="Z326" i="21"/>
  <c r="Z322" i="21"/>
  <c r="Z324" i="21"/>
  <c r="Z327" i="21"/>
  <c r="Z325" i="21"/>
  <c r="FL219" i="21"/>
  <c r="FM216" i="21" s="1"/>
  <c r="FM217" i="21" s="1"/>
  <c r="FM218" i="21" s="1"/>
  <c r="FM219" i="21" s="1"/>
  <c r="FN216" i="21" s="1"/>
  <c r="BW292" i="21"/>
  <c r="BX281" i="21" s="1"/>
  <c r="BX300" i="21" s="1"/>
  <c r="DA106" i="12"/>
  <c r="CS107" i="12" s="1"/>
  <c r="CT107" i="12" s="1"/>
  <c r="CX107" i="12" s="1"/>
  <c r="FC297" i="21" l="1"/>
  <c r="FC296" i="21" s="1"/>
  <c r="FD256" i="21"/>
  <c r="FD257" i="21" s="1"/>
  <c r="FD258" i="21" s="1"/>
  <c r="FE255" i="21" s="1"/>
  <c r="Z332" i="21"/>
  <c r="FL295" i="21"/>
  <c r="BW294" i="21"/>
  <c r="BX282" i="21"/>
  <c r="BX283" i="21" s="1"/>
  <c r="FM295" i="21"/>
  <c r="FN217" i="21"/>
  <c r="FN218" i="21" s="1"/>
  <c r="FN219" i="21" s="1"/>
  <c r="FO216" i="21" s="1"/>
  <c r="CU107" i="12"/>
  <c r="CW107" i="12"/>
  <c r="CY107" i="12"/>
  <c r="CZ107" i="12"/>
  <c r="CV107" i="12"/>
  <c r="FD297" i="21" l="1"/>
  <c r="FD296" i="21" s="1"/>
  <c r="FE256" i="21"/>
  <c r="FE257" i="21" s="1"/>
  <c r="AA303" i="21"/>
  <c r="BX292" i="21"/>
  <c r="BY281" i="21" s="1"/>
  <c r="DA107" i="12"/>
  <c r="CS108" i="12" s="1"/>
  <c r="CT108" i="12" s="1"/>
  <c r="CW108" i="12" s="1"/>
  <c r="FO217" i="21"/>
  <c r="FO218" i="21" s="1"/>
  <c r="FO219" i="21" s="1"/>
  <c r="FP216" i="21" s="1"/>
  <c r="FN295" i="21"/>
  <c r="FE258" i="21" l="1"/>
  <c r="FF255" i="21" s="1"/>
  <c r="FE297" i="21" s="1"/>
  <c r="FE296" i="21" s="1"/>
  <c r="FF256" i="21"/>
  <c r="FF257" i="21" s="1"/>
  <c r="AA304" i="21"/>
  <c r="AA317" i="21"/>
  <c r="AA309" i="21"/>
  <c r="BX294" i="21"/>
  <c r="CV108" i="12"/>
  <c r="CZ108" i="12"/>
  <c r="CU108" i="12"/>
  <c r="CX108" i="12"/>
  <c r="CY108" i="12"/>
  <c r="FO295" i="21"/>
  <c r="FP217" i="21"/>
  <c r="FP218" i="21" s="1"/>
  <c r="BY282" i="21"/>
  <c r="BY283" i="21" s="1"/>
  <c r="BY300" i="21"/>
  <c r="FF258" i="21" l="1"/>
  <c r="FG255" i="21" s="1"/>
  <c r="FG256" i="21" s="1"/>
  <c r="AA316" i="21"/>
  <c r="DA108" i="12"/>
  <c r="CS109" i="12" s="1"/>
  <c r="CT109" i="12" s="1"/>
  <c r="CV109" i="12" s="1"/>
  <c r="FP219" i="21"/>
  <c r="FQ216" i="21" s="1"/>
  <c r="BY292" i="21"/>
  <c r="BY294" i="21" s="1"/>
  <c r="FG257" i="21" l="1"/>
  <c r="FG258" i="21" s="1"/>
  <c r="FH255" i="21" s="1"/>
  <c r="FH256" i="21" s="1"/>
  <c r="FH257" i="21" s="1"/>
  <c r="FH258" i="21" s="1"/>
  <c r="FI255" i="21" s="1"/>
  <c r="FF297" i="21"/>
  <c r="FF296" i="21" s="1"/>
  <c r="AA320" i="21"/>
  <c r="CX109" i="12"/>
  <c r="CY109" i="12"/>
  <c r="CZ109" i="12"/>
  <c r="CU109" i="12"/>
  <c r="CW109" i="12"/>
  <c r="FP295" i="21"/>
  <c r="FQ217" i="21"/>
  <c r="FQ218" i="21" s="1"/>
  <c r="FQ219" i="21" s="1"/>
  <c r="FR216" i="21" s="1"/>
  <c r="BZ281" i="21"/>
  <c r="BZ282" i="21" s="1"/>
  <c r="BZ283" i="21" s="1"/>
  <c r="FG297" i="21" l="1"/>
  <c r="FG296" i="21" s="1"/>
  <c r="AA331" i="21"/>
  <c r="AA333" i="21"/>
  <c r="DA109" i="12"/>
  <c r="CS110" i="12" s="1"/>
  <c r="CT110" i="12" s="1"/>
  <c r="CZ110" i="12" s="1"/>
  <c r="BZ300" i="21"/>
  <c r="FR217" i="21"/>
  <c r="FR218" i="21" s="1"/>
  <c r="FQ295" i="21"/>
  <c r="FH297" i="21"/>
  <c r="FH296" i="21" s="1"/>
  <c r="FI256" i="21"/>
  <c r="FI257" i="21" s="1"/>
  <c r="FI258" i="21" s="1"/>
  <c r="FJ255" i="21" s="1"/>
  <c r="BZ292" i="21"/>
  <c r="CA281" i="21" s="1"/>
  <c r="AA330" i="21" l="1"/>
  <c r="AA325" i="21"/>
  <c r="AA322" i="21"/>
  <c r="AA327" i="21"/>
  <c r="AA326" i="21"/>
  <c r="AA324" i="21"/>
  <c r="AA321" i="21"/>
  <c r="AA323" i="21"/>
  <c r="CY110" i="12"/>
  <c r="BZ294" i="21"/>
  <c r="FR219" i="21"/>
  <c r="FS216" i="21" s="1"/>
  <c r="FS217" i="21" s="1"/>
  <c r="FS218" i="21" s="1"/>
  <c r="FS219" i="21" s="1"/>
  <c r="FT216" i="21" s="1"/>
  <c r="CW110" i="12"/>
  <c r="CU110" i="12"/>
  <c r="CX110" i="12"/>
  <c r="CV110" i="12"/>
  <c r="FJ256" i="21"/>
  <c r="FJ257" i="21" s="1"/>
  <c r="FJ258" i="21" s="1"/>
  <c r="FK255" i="21" s="1"/>
  <c r="FI297" i="21"/>
  <c r="FI296" i="21" s="1"/>
  <c r="CA282" i="21"/>
  <c r="CA283" i="21" s="1"/>
  <c r="CA300" i="21"/>
  <c r="AA332" i="21" l="1"/>
  <c r="DA110" i="12"/>
  <c r="CS111" i="12" s="1"/>
  <c r="CT111" i="12" s="1"/>
  <c r="CZ111" i="12" s="1"/>
  <c r="FR295" i="21"/>
  <c r="FS295" i="21"/>
  <c r="FT217" i="21"/>
  <c r="FT218" i="21" s="1"/>
  <c r="FT219" i="21" s="1"/>
  <c r="FU216" i="21" s="1"/>
  <c r="FJ297" i="21"/>
  <c r="FJ296" i="21" s="1"/>
  <c r="FK256" i="21"/>
  <c r="FK257" i="21" s="1"/>
  <c r="FK258" i="21" s="1"/>
  <c r="FL255" i="21" s="1"/>
  <c r="CA292" i="21"/>
  <c r="AB303" i="21" l="1"/>
  <c r="CW111" i="12"/>
  <c r="CX111" i="12"/>
  <c r="CY111" i="12"/>
  <c r="CU111" i="12"/>
  <c r="CV111" i="12"/>
  <c r="FT295" i="21"/>
  <c r="FU217" i="21"/>
  <c r="FU218" i="21" s="1"/>
  <c r="FU219" i="21" s="1"/>
  <c r="FV216" i="21" s="1"/>
  <c r="FL256" i="21"/>
  <c r="FL257" i="21" s="1"/>
  <c r="FK297" i="21"/>
  <c r="FK296" i="21" s="1"/>
  <c r="CA294" i="21"/>
  <c r="CB281" i="21"/>
  <c r="AB317" i="21" l="1"/>
  <c r="AB304" i="21"/>
  <c r="DA111" i="12"/>
  <c r="CS112" i="12" s="1"/>
  <c r="CT112" i="12" s="1"/>
  <c r="FU295" i="21"/>
  <c r="FV217" i="21"/>
  <c r="FV218" i="21" s="1"/>
  <c r="FV219" i="21" s="1"/>
  <c r="FW216" i="21" s="1"/>
  <c r="FL258" i="21"/>
  <c r="FM255" i="21" s="1"/>
  <c r="CB282" i="21"/>
  <c r="CB283" i="21" s="1"/>
  <c r="CB300" i="21"/>
  <c r="AB309" i="21" l="1"/>
  <c r="FV295" i="21"/>
  <c r="FW217" i="21"/>
  <c r="FW218" i="21" s="1"/>
  <c r="FW219" i="21" s="1"/>
  <c r="FX216" i="21" s="1"/>
  <c r="FL297" i="21"/>
  <c r="FL296" i="21" s="1"/>
  <c r="FM256" i="21"/>
  <c r="FM257" i="21" s="1"/>
  <c r="CB292" i="21"/>
  <c r="CC281" i="21" s="1"/>
  <c r="CZ112" i="12"/>
  <c r="CX112" i="12"/>
  <c r="CW112" i="12"/>
  <c r="CV112" i="12"/>
  <c r="CU112" i="12"/>
  <c r="CY112" i="12"/>
  <c r="AB316" i="21" l="1"/>
  <c r="FM258" i="21"/>
  <c r="FN255" i="21" s="1"/>
  <c r="FN256" i="21" s="1"/>
  <c r="FN257" i="21" s="1"/>
  <c r="FN258" i="21" s="1"/>
  <c r="FO255" i="21" s="1"/>
  <c r="CB294" i="21"/>
  <c r="FW295" i="21"/>
  <c r="FX217" i="21"/>
  <c r="FX218" i="21" s="1"/>
  <c r="FX219" i="21" s="1"/>
  <c r="FY216" i="21" s="1"/>
  <c r="CC300" i="21"/>
  <c r="CC282" i="21"/>
  <c r="CC283" i="21" s="1"/>
  <c r="DA112" i="12"/>
  <c r="CS113" i="12" s="1"/>
  <c r="AB320" i="21" l="1"/>
  <c r="FM297" i="21"/>
  <c r="FM296" i="21" s="1"/>
  <c r="FX295" i="21"/>
  <c r="FY217" i="21"/>
  <c r="FN297" i="21"/>
  <c r="FN296" i="21" s="1"/>
  <c r="FO256" i="21"/>
  <c r="FO257" i="21" s="1"/>
  <c r="FO258" i="21" s="1"/>
  <c r="FP255" i="21" s="1"/>
  <c r="CC292" i="21"/>
  <c r="CT113" i="12"/>
  <c r="AB331" i="21" l="1"/>
  <c r="AB333" i="21"/>
  <c r="FY218" i="21"/>
  <c r="FY219" i="21" s="1"/>
  <c r="FO297" i="21"/>
  <c r="FO296" i="21" s="1"/>
  <c r="FP256" i="21"/>
  <c r="FP257" i="21" s="1"/>
  <c r="FP258" i="21" s="1"/>
  <c r="FQ255" i="21" s="1"/>
  <c r="CD281" i="21"/>
  <c r="CC294" i="21"/>
  <c r="CV113" i="12"/>
  <c r="CX113" i="12"/>
  <c r="CW113" i="12"/>
  <c r="CU113" i="12"/>
  <c r="CZ113" i="12"/>
  <c r="CY113" i="12"/>
  <c r="AB330" i="21" l="1"/>
  <c r="AB322" i="21"/>
  <c r="AB326" i="21"/>
  <c r="AB327" i="21"/>
  <c r="AB324" i="21"/>
  <c r="AB323" i="21"/>
  <c r="AB325" i="21"/>
  <c r="AB321" i="21"/>
  <c r="FP297" i="21"/>
  <c r="FP296" i="21" s="1"/>
  <c r="FQ256" i="21"/>
  <c r="CD300" i="21"/>
  <c r="CD282" i="21"/>
  <c r="CD283" i="21" s="1"/>
  <c r="DA113" i="12"/>
  <c r="CS114" i="12" s="1"/>
  <c r="AB332" i="21" l="1"/>
  <c r="FQ257" i="21"/>
  <c r="FQ258" i="21" s="1"/>
  <c r="FR255" i="21" s="1"/>
  <c r="CD292" i="21"/>
  <c r="CD294" i="21" s="1"/>
  <c r="CT114" i="12"/>
  <c r="AC303" i="21" l="1"/>
  <c r="CE281" i="21"/>
  <c r="CE282" i="21" s="1"/>
  <c r="CE283" i="21" s="1"/>
  <c r="FR256" i="21"/>
  <c r="FR257" i="21" s="1"/>
  <c r="FR258" i="21" s="1"/>
  <c r="FS255" i="21" s="1"/>
  <c r="FQ297" i="21"/>
  <c r="FQ296" i="21" s="1"/>
  <c r="CZ114" i="12"/>
  <c r="CX114" i="12"/>
  <c r="CW114" i="12"/>
  <c r="CY114" i="12"/>
  <c r="CV114" i="12"/>
  <c r="CU114" i="12"/>
  <c r="AC317" i="21" l="1"/>
  <c r="AC304" i="21"/>
  <c r="CE300" i="21"/>
  <c r="FS256" i="21"/>
  <c r="FR297" i="21"/>
  <c r="FR296" i="21" s="1"/>
  <c r="CE292" i="21"/>
  <c r="CF281" i="21" s="1"/>
  <c r="DA114" i="12"/>
  <c r="CS115" i="12" s="1"/>
  <c r="CT115" i="12" s="1"/>
  <c r="AC309" i="21" l="1"/>
  <c r="CE294" i="21"/>
  <c r="FS257" i="21"/>
  <c r="FS258" i="21" s="1"/>
  <c r="FT255" i="21" s="1"/>
  <c r="CF300" i="21"/>
  <c r="CF282" i="21"/>
  <c r="CF283" i="21" s="1"/>
  <c r="CZ115" i="12"/>
  <c r="CY115" i="12"/>
  <c r="CX115" i="12"/>
  <c r="CW115" i="12"/>
  <c r="CV115" i="12"/>
  <c r="CU115" i="12"/>
  <c r="AC316" i="21" l="1"/>
  <c r="FS297" i="21"/>
  <c r="FS296" i="21" s="1"/>
  <c r="FT256" i="21"/>
  <c r="FT257" i="21" s="1"/>
  <c r="FT258" i="21" s="1"/>
  <c r="FU255" i="21" s="1"/>
  <c r="CF292" i="21"/>
  <c r="CF294" i="21" s="1"/>
  <c r="DA115" i="12"/>
  <c r="CS116" i="12" s="1"/>
  <c r="CT116" i="12" s="1"/>
  <c r="AC320" i="21" l="1"/>
  <c r="CG281" i="21"/>
  <c r="CG282" i="21" s="1"/>
  <c r="CG283" i="21" s="1"/>
  <c r="FU256" i="21"/>
  <c r="FU257" i="21" s="1"/>
  <c r="FU258" i="21" s="1"/>
  <c r="FV255" i="21" s="1"/>
  <c r="FT297" i="21"/>
  <c r="FT296" i="21" s="1"/>
  <c r="CV116" i="12"/>
  <c r="CU116" i="12"/>
  <c r="CY116" i="12"/>
  <c r="CX116" i="12"/>
  <c r="CW116" i="12"/>
  <c r="CZ116" i="12"/>
  <c r="AC331" i="21" l="1"/>
  <c r="AC333" i="21"/>
  <c r="CG292" i="21"/>
  <c r="CH281" i="21" s="1"/>
  <c r="CG300" i="21"/>
  <c r="FU297" i="21"/>
  <c r="FU296" i="21" s="1"/>
  <c r="FV256" i="21"/>
  <c r="FV257" i="21" s="1"/>
  <c r="FV258" i="21" s="1"/>
  <c r="FW255" i="21" s="1"/>
  <c r="DA116" i="12"/>
  <c r="CS117" i="12" s="1"/>
  <c r="AC330" i="21" l="1"/>
  <c r="AC321" i="21"/>
  <c r="AC323" i="21"/>
  <c r="AC327" i="21"/>
  <c r="AC326" i="21"/>
  <c r="AC324" i="21"/>
  <c r="AC322" i="21"/>
  <c r="AC325" i="21"/>
  <c r="CG294" i="21"/>
  <c r="FW256" i="21"/>
  <c r="FW257" i="21" s="1"/>
  <c r="FW258" i="21" s="1"/>
  <c r="FX255" i="21" s="1"/>
  <c r="FV297" i="21"/>
  <c r="FV296" i="21" s="1"/>
  <c r="CH282" i="21"/>
  <c r="CH283" i="21" s="1"/>
  <c r="CH300" i="21"/>
  <c r="CT117" i="12"/>
  <c r="AC332" i="21" l="1"/>
  <c r="CH292" i="21"/>
  <c r="CI281" i="21" s="1"/>
  <c r="FX256" i="21"/>
  <c r="FX257" i="21" s="1"/>
  <c r="FX258" i="21" s="1"/>
  <c r="FY255" i="21" s="1"/>
  <c r="FW297" i="21"/>
  <c r="FW296" i="21" s="1"/>
  <c r="CZ117" i="12"/>
  <c r="CY117" i="12"/>
  <c r="CX117" i="12"/>
  <c r="CW117" i="12"/>
  <c r="CV117" i="12"/>
  <c r="CU117" i="12"/>
  <c r="AD303" i="21" l="1"/>
  <c r="AD317" i="21" s="1"/>
  <c r="CH294" i="21"/>
  <c r="FX297" i="21"/>
  <c r="FX296" i="21" s="1"/>
  <c r="FY256" i="21"/>
  <c r="FY257" i="21" s="1"/>
  <c r="FY258" i="21" s="1"/>
  <c r="CI282" i="21"/>
  <c r="CI283" i="21" s="1"/>
  <c r="CI300" i="21"/>
  <c r="DA117" i="12"/>
  <c r="CS118" i="12" s="1"/>
  <c r="AD304" i="21" l="1"/>
  <c r="AD309" i="21" s="1"/>
  <c r="CI292" i="21"/>
  <c r="CJ281" i="21" s="1"/>
  <c r="CT118" i="12"/>
  <c r="AD316" i="21" l="1"/>
  <c r="CI294" i="21"/>
  <c r="CJ300" i="21"/>
  <c r="CJ282" i="21"/>
  <c r="CJ283" i="21" s="1"/>
  <c r="CX118" i="12"/>
  <c r="CW118" i="12"/>
  <c r="CV118" i="12"/>
  <c r="CU118" i="12"/>
  <c r="CZ118" i="12"/>
  <c r="CY118" i="12"/>
  <c r="AD320" i="21" l="1"/>
  <c r="CJ292" i="21"/>
  <c r="CK281" i="21" s="1"/>
  <c r="DA118" i="12"/>
  <c r="CS119" i="12" s="1"/>
  <c r="AD333" i="21" l="1"/>
  <c r="AD331" i="21"/>
  <c r="CJ294" i="21"/>
  <c r="CK300" i="21"/>
  <c r="CK282" i="21"/>
  <c r="CK283" i="21" s="1"/>
  <c r="CT119" i="12"/>
  <c r="AD327" i="21" l="1"/>
  <c r="AD323" i="21"/>
  <c r="AD325" i="21"/>
  <c r="AD330" i="21"/>
  <c r="AD326" i="21"/>
  <c r="AD322" i="21"/>
  <c r="AD321" i="21"/>
  <c r="AD324" i="21"/>
  <c r="CK292" i="21"/>
  <c r="CV119" i="12"/>
  <c r="CX119" i="12"/>
  <c r="CW119" i="12"/>
  <c r="CZ119" i="12"/>
  <c r="CY119" i="12"/>
  <c r="CU119" i="12"/>
  <c r="AD332" i="21" l="1"/>
  <c r="CK294" i="21"/>
  <c r="CL281" i="21"/>
  <c r="DA119" i="12"/>
  <c r="CS120" i="12" s="1"/>
  <c r="AE303" i="21" l="1"/>
  <c r="CL282" i="21"/>
  <c r="CL283" i="21" s="1"/>
  <c r="CL300" i="21"/>
  <c r="CT120" i="12"/>
  <c r="AE304" i="21" l="1"/>
  <c r="AE317" i="21"/>
  <c r="CL292" i="21"/>
  <c r="CM281" i="21" s="1"/>
  <c r="CZ120" i="12"/>
  <c r="CW120" i="12"/>
  <c r="CV120" i="12"/>
  <c r="CU120" i="12"/>
  <c r="CX120" i="12"/>
  <c r="CY120" i="12"/>
  <c r="AE309" i="21" l="1"/>
  <c r="CL294" i="21"/>
  <c r="CM282" i="21"/>
  <c r="CM283" i="21" s="1"/>
  <c r="CM300" i="21"/>
  <c r="DA120" i="12"/>
  <c r="CS121" i="12" s="1"/>
  <c r="AE316" i="21" l="1"/>
  <c r="CM292" i="21"/>
  <c r="CT121" i="12"/>
  <c r="AE320" i="21" l="1"/>
  <c r="CN281" i="21"/>
  <c r="CM294" i="21"/>
  <c r="CU121" i="12"/>
  <c r="CZ121" i="12"/>
  <c r="CY121" i="12"/>
  <c r="CX121" i="12"/>
  <c r="CW121" i="12"/>
  <c r="CV121" i="12"/>
  <c r="AE331" i="21" l="1"/>
  <c r="AE333" i="21"/>
  <c r="CN282" i="21"/>
  <c r="CN283" i="21" s="1"/>
  <c r="CN300" i="21"/>
  <c r="DA121" i="12"/>
  <c r="CS122" i="12" s="1"/>
  <c r="AE330" i="21" l="1"/>
  <c r="AE323" i="21"/>
  <c r="AE321" i="21"/>
  <c r="AE327" i="21"/>
  <c r="AE322" i="21"/>
  <c r="AE326" i="21"/>
  <c r="AE325" i="21"/>
  <c r="AE324" i="21"/>
  <c r="CN292" i="21"/>
  <c r="CN294" i="21" s="1"/>
  <c r="CT122" i="12"/>
  <c r="AE332" i="21" l="1"/>
  <c r="CO281" i="21"/>
  <c r="CO282" i="21" s="1"/>
  <c r="CO283" i="21" s="1"/>
  <c r="CV122" i="12"/>
  <c r="CZ122" i="12"/>
  <c r="CY122" i="12"/>
  <c r="CW122" i="12"/>
  <c r="CU122" i="12"/>
  <c r="CX122" i="12"/>
  <c r="AF303" i="21" l="1"/>
  <c r="CO300" i="21"/>
  <c r="CO292" i="21"/>
  <c r="DA122" i="12"/>
  <c r="CS123" i="12" s="1"/>
  <c r="CT123" i="12" s="1"/>
  <c r="AF317" i="21" l="1"/>
  <c r="AF304" i="21"/>
  <c r="CO294" i="21"/>
  <c r="CP281" i="21"/>
  <c r="CZ123" i="12"/>
  <c r="CY123" i="12"/>
  <c r="CW123" i="12"/>
  <c r="CV123" i="12"/>
  <c r="CU123" i="12"/>
  <c r="CX123" i="12"/>
  <c r="AF309" i="21" l="1"/>
  <c r="CP282" i="21"/>
  <c r="CP283" i="21" s="1"/>
  <c r="CP300" i="21"/>
  <c r="DA123" i="12"/>
  <c r="CS124" i="12" s="1"/>
  <c r="AF316" i="21" l="1"/>
  <c r="CP292" i="21"/>
  <c r="CT124" i="12"/>
  <c r="AF320" i="21" l="1"/>
  <c r="CQ281" i="21"/>
  <c r="CP294" i="21"/>
  <c r="CW124" i="12"/>
  <c r="CV124" i="12"/>
  <c r="CX124" i="12"/>
  <c r="CU124" i="12"/>
  <c r="CZ124" i="12"/>
  <c r="CY124" i="12"/>
  <c r="AF331" i="21" l="1"/>
  <c r="AF333" i="21"/>
  <c r="CQ282" i="21"/>
  <c r="CQ283" i="21" s="1"/>
  <c r="CQ300" i="21"/>
  <c r="DA124" i="12"/>
  <c r="CS125" i="12" s="1"/>
  <c r="AF330" i="21" l="1"/>
  <c r="AF327" i="21"/>
  <c r="AF326" i="21"/>
  <c r="AF322" i="21"/>
  <c r="AF321" i="21"/>
  <c r="AF324" i="21"/>
  <c r="AF325" i="21"/>
  <c r="AF323" i="21"/>
  <c r="CQ292" i="21"/>
  <c r="CR281" i="21" s="1"/>
  <c r="CT125" i="12"/>
  <c r="AF332" i="21" l="1"/>
  <c r="CQ294" i="21"/>
  <c r="CR300" i="21"/>
  <c r="CR282" i="21"/>
  <c r="CR283" i="21" s="1"/>
  <c r="CV125" i="12"/>
  <c r="CZ125" i="12"/>
  <c r="CY125" i="12"/>
  <c r="CX125" i="12"/>
  <c r="CW125" i="12"/>
  <c r="CU125" i="12"/>
  <c r="AG303" i="21" l="1"/>
  <c r="CR292" i="21"/>
  <c r="CR294" i="21" s="1"/>
  <c r="DA125" i="12"/>
  <c r="CS126" i="12" s="1"/>
  <c r="CT126" i="12" s="1"/>
  <c r="AG304" i="21" l="1"/>
  <c r="AG317" i="21"/>
  <c r="CS281" i="21"/>
  <c r="CS282" i="21" s="1"/>
  <c r="CZ126" i="12"/>
  <c r="CW126" i="12"/>
  <c r="CV126" i="12"/>
  <c r="CU126" i="12"/>
  <c r="CY126" i="12"/>
  <c r="CX126" i="12"/>
  <c r="AG309" i="21" l="1"/>
  <c r="CS300" i="21"/>
  <c r="CS283" i="21"/>
  <c r="DA126" i="12"/>
  <c r="CS127" i="12" s="1"/>
  <c r="AG316" i="21" l="1"/>
  <c r="CS292" i="21"/>
  <c r="CT127" i="12"/>
  <c r="AG320" i="21" l="1"/>
  <c r="CT281" i="21"/>
  <c r="CS294" i="21"/>
  <c r="CY127" i="12"/>
  <c r="CX127" i="12"/>
  <c r="CZ127" i="12"/>
  <c r="CW127" i="12"/>
  <c r="CV127" i="12"/>
  <c r="CU127" i="12"/>
  <c r="AG331" i="21" l="1"/>
  <c r="AG333" i="21"/>
  <c r="CT300" i="21"/>
  <c r="CT282" i="21"/>
  <c r="CT283" i="21" s="1"/>
  <c r="DA127" i="12"/>
  <c r="CS128" i="12" s="1"/>
  <c r="AG330" i="21" l="1"/>
  <c r="AG321" i="21"/>
  <c r="AG323" i="21"/>
  <c r="AG325" i="21"/>
  <c r="AG326" i="21"/>
  <c r="AG327" i="21"/>
  <c r="AG322" i="21"/>
  <c r="AG324" i="21"/>
  <c r="CT292" i="21"/>
  <c r="CT294" i="21" s="1"/>
  <c r="CT128" i="12"/>
  <c r="AG332" i="21" l="1"/>
  <c r="CU281" i="21"/>
  <c r="CU300" i="21" s="1"/>
  <c r="CV128" i="12"/>
  <c r="CW128" i="12"/>
  <c r="CU128" i="12"/>
  <c r="CZ128" i="12"/>
  <c r="CY128" i="12"/>
  <c r="CX128" i="12"/>
  <c r="AH303" i="21" l="1"/>
  <c r="CU282" i="21"/>
  <c r="CU283" i="21" s="1"/>
  <c r="DA128" i="12"/>
  <c r="CS129" i="12" s="1"/>
  <c r="AH304" i="21" l="1"/>
  <c r="AH317" i="21"/>
  <c r="CU292" i="21"/>
  <c r="CV281" i="21" s="1"/>
  <c r="CT129" i="12"/>
  <c r="CU294" i="21" l="1"/>
  <c r="AH309" i="21"/>
  <c r="CV300" i="21"/>
  <c r="CV282" i="21"/>
  <c r="CV283" i="21" s="1"/>
  <c r="CZ129" i="12"/>
  <c r="CV129" i="12"/>
  <c r="CU129" i="12"/>
  <c r="CY129" i="12"/>
  <c r="CX129" i="12"/>
  <c r="CW129" i="12"/>
  <c r="AH316" i="21" l="1"/>
  <c r="CV292" i="21"/>
  <c r="CV294" i="21" s="1"/>
  <c r="DA129" i="12"/>
  <c r="CS130" i="12" s="1"/>
  <c r="AH320" i="21" l="1"/>
  <c r="CW281" i="21"/>
  <c r="CW300" i="21" s="1"/>
  <c r="CT130" i="12"/>
  <c r="AH331" i="21" l="1"/>
  <c r="AH333" i="21"/>
  <c r="CW282" i="21"/>
  <c r="CW283" i="21" s="1"/>
  <c r="CZ130" i="12"/>
  <c r="CV130" i="12"/>
  <c r="CU130" i="12"/>
  <c r="CX130" i="12"/>
  <c r="CW130" i="12"/>
  <c r="CY130" i="12"/>
  <c r="AH330" i="21" l="1"/>
  <c r="AH322" i="21"/>
  <c r="AH321" i="21"/>
  <c r="AH323" i="21"/>
  <c r="AH326" i="21"/>
  <c r="AH324" i="21"/>
  <c r="AH325" i="21"/>
  <c r="AH327" i="21"/>
  <c r="CW292" i="21"/>
  <c r="CX281" i="21" s="1"/>
  <c r="DA130" i="12"/>
  <c r="CS131" i="12" s="1"/>
  <c r="AH332" i="21" l="1"/>
  <c r="CW294" i="21"/>
  <c r="CX300" i="21"/>
  <c r="CX282" i="21"/>
  <c r="CX283" i="21" s="1"/>
  <c r="CT131" i="12"/>
  <c r="AI303" i="21" l="1"/>
  <c r="CX292" i="21"/>
  <c r="CX294" i="21" s="1"/>
  <c r="CV131" i="12"/>
  <c r="CZ131" i="12"/>
  <c r="CY131" i="12"/>
  <c r="CX131" i="12"/>
  <c r="CW131" i="12"/>
  <c r="CU131" i="12"/>
  <c r="AI304" i="21" l="1"/>
  <c r="AI317" i="21"/>
  <c r="CY281" i="21"/>
  <c r="CY282" i="21" s="1"/>
  <c r="CY283" i="21" s="1"/>
  <c r="DA131" i="12"/>
  <c r="CS132" i="12" s="1"/>
  <c r="CT132" i="12" s="1"/>
  <c r="AI309" i="21" l="1"/>
  <c r="AI316" i="21" s="1"/>
  <c r="CY300" i="21"/>
  <c r="CY292" i="21"/>
  <c r="CZ132" i="12"/>
  <c r="CX132" i="12"/>
  <c r="CW132" i="12"/>
  <c r="CU132" i="12"/>
  <c r="CY132" i="12"/>
  <c r="CV132" i="12"/>
  <c r="AI320" i="21" l="1"/>
  <c r="AI331" i="21" s="1"/>
  <c r="CZ281" i="21"/>
  <c r="CY294" i="21"/>
  <c r="DA132" i="12"/>
  <c r="CS133" i="12" s="1"/>
  <c r="AI333" i="21" l="1"/>
  <c r="AI330" i="21" s="1"/>
  <c r="CZ300" i="21"/>
  <c r="CZ282" i="21"/>
  <c r="CZ283" i="21" s="1"/>
  <c r="CT133" i="12"/>
  <c r="AI322" i="21" l="1"/>
  <c r="AI325" i="21"/>
  <c r="AI323" i="21"/>
  <c r="AI321" i="21"/>
  <c r="AI327" i="21"/>
  <c r="AI324" i="21"/>
  <c r="AI326" i="21"/>
  <c r="CZ292" i="21"/>
  <c r="DA281" i="21" s="1"/>
  <c r="CZ133" i="12"/>
  <c r="CY133" i="12"/>
  <c r="CX133" i="12"/>
  <c r="CW133" i="12"/>
  <c r="CV133" i="12"/>
  <c r="CU133" i="12"/>
  <c r="AI332" i="21" l="1"/>
  <c r="AJ303" i="21" s="1"/>
  <c r="CZ294" i="21"/>
  <c r="DA300" i="21"/>
  <c r="DA282" i="21"/>
  <c r="DA283" i="21" s="1"/>
  <c r="DA133" i="12"/>
  <c r="CS134" i="12" s="1"/>
  <c r="CT134" i="12" s="1"/>
  <c r="AJ317" i="21" l="1"/>
  <c r="AJ304" i="21"/>
  <c r="DA292" i="21"/>
  <c r="DB281" i="21" s="1"/>
  <c r="CV134" i="12"/>
  <c r="CU134" i="12"/>
  <c r="CW134" i="12"/>
  <c r="CZ134" i="12"/>
  <c r="CY134" i="12"/>
  <c r="CX134" i="12"/>
  <c r="AJ309" i="21" l="1"/>
  <c r="DA294" i="21"/>
  <c r="DB300" i="21"/>
  <c r="DB282" i="21"/>
  <c r="DB283" i="21" s="1"/>
  <c r="DA134" i="12"/>
  <c r="CS135" i="12" s="1"/>
  <c r="AJ316" i="21" l="1"/>
  <c r="DB292" i="21"/>
  <c r="CT135" i="12"/>
  <c r="AJ320" i="21" l="1"/>
  <c r="DC281" i="21"/>
  <c r="DB294" i="21"/>
  <c r="CZ135" i="12"/>
  <c r="CY135" i="12"/>
  <c r="CX135" i="12"/>
  <c r="CW135" i="12"/>
  <c r="CV135" i="12"/>
  <c r="CU135" i="12"/>
  <c r="AJ331" i="21" l="1"/>
  <c r="AJ333" i="21"/>
  <c r="DC282" i="21"/>
  <c r="DC300" i="21"/>
  <c r="DA135" i="12"/>
  <c r="CS136" i="12" s="1"/>
  <c r="CT136" i="12" s="1"/>
  <c r="AJ330" i="21" l="1"/>
  <c r="AJ321" i="21"/>
  <c r="AJ327" i="21"/>
  <c r="AJ324" i="21"/>
  <c r="AJ322" i="21"/>
  <c r="AJ325" i="21"/>
  <c r="AJ326" i="21"/>
  <c r="AJ323" i="21"/>
  <c r="DC283" i="21"/>
  <c r="CV136" i="12"/>
  <c r="CU136" i="12"/>
  <c r="CZ136" i="12"/>
  <c r="CY136" i="12"/>
  <c r="CX136" i="12"/>
  <c r="CW136" i="12"/>
  <c r="AJ332" i="21" l="1"/>
  <c r="DC292" i="21"/>
  <c r="DC294" i="21" s="1"/>
  <c r="DA136" i="12"/>
  <c r="CS137" i="12" s="1"/>
  <c r="AK303" i="21" l="1"/>
  <c r="DD281" i="21"/>
  <c r="DD282" i="21" s="1"/>
  <c r="DD283" i="21" s="1"/>
  <c r="CT137" i="12"/>
  <c r="AK304" i="21" l="1"/>
  <c r="AK317" i="21"/>
  <c r="DD300" i="21"/>
  <c r="DD292" i="21"/>
  <c r="DD294" i="21" s="1"/>
  <c r="CV137" i="12"/>
  <c r="CX137" i="12"/>
  <c r="CW137" i="12"/>
  <c r="CZ137" i="12"/>
  <c r="CY137" i="12"/>
  <c r="CU137" i="12"/>
  <c r="AK309" i="21" l="1"/>
  <c r="DE281" i="21"/>
  <c r="DE300" i="21" s="1"/>
  <c r="DA137" i="12"/>
  <c r="CS138" i="12" s="1"/>
  <c r="CT138" i="12" s="1"/>
  <c r="AK316" i="21" l="1"/>
  <c r="DE282" i="21"/>
  <c r="DE283" i="21" s="1"/>
  <c r="CZ138" i="12"/>
  <c r="CU138" i="12"/>
  <c r="CY138" i="12"/>
  <c r="CX138" i="12"/>
  <c r="CW138" i="12"/>
  <c r="CV138" i="12"/>
  <c r="AK320" i="21" l="1"/>
  <c r="DE292" i="21"/>
  <c r="DA138" i="12"/>
  <c r="CS139" i="12" s="1"/>
  <c r="AK331" i="21" l="1"/>
  <c r="AK333" i="21"/>
  <c r="DE294" i="21"/>
  <c r="DF281" i="21"/>
  <c r="CT139" i="12"/>
  <c r="AK330" i="21" l="1"/>
  <c r="AK324" i="21"/>
  <c r="AK321" i="21"/>
  <c r="AK323" i="21"/>
  <c r="AK326" i="21"/>
  <c r="AK327" i="21"/>
  <c r="AK322" i="21"/>
  <c r="AK325" i="21"/>
  <c r="DF282" i="21"/>
  <c r="DF300" i="21"/>
  <c r="CU139" i="12"/>
  <c r="CZ139" i="12"/>
  <c r="CY139" i="12"/>
  <c r="CX139" i="12"/>
  <c r="CW139" i="12"/>
  <c r="CV139" i="12"/>
  <c r="AK332" i="21" l="1"/>
  <c r="DF283" i="21"/>
  <c r="DA139" i="12"/>
  <c r="CS140" i="12" s="1"/>
  <c r="AL303" i="21" l="1"/>
  <c r="DF292" i="21"/>
  <c r="CT140" i="12"/>
  <c r="AL304" i="21" l="1"/>
  <c r="AL309" i="21" s="1"/>
  <c r="AL317" i="21"/>
  <c r="DF294" i="21"/>
  <c r="DG281" i="21"/>
  <c r="CV140" i="12"/>
  <c r="CZ140" i="12"/>
  <c r="CY140" i="12"/>
  <c r="CX140" i="12"/>
  <c r="CW140" i="12"/>
  <c r="CU140" i="12"/>
  <c r="AL316" i="21" l="1"/>
  <c r="AL320" i="21" s="1"/>
  <c r="DG300" i="21"/>
  <c r="DG282" i="21"/>
  <c r="DG283" i="21" s="1"/>
  <c r="DA140" i="12"/>
  <c r="CS141" i="12" s="1"/>
  <c r="CT141" i="12" s="1"/>
  <c r="AL331" i="21" l="1"/>
  <c r="AL333" i="21"/>
  <c r="DG292" i="21"/>
  <c r="DG294" i="21" s="1"/>
  <c r="CZ141" i="12"/>
  <c r="CY141" i="12"/>
  <c r="CX141" i="12"/>
  <c r="CW141" i="12"/>
  <c r="CV141" i="12"/>
  <c r="CU141" i="12"/>
  <c r="AL330" i="21" l="1"/>
  <c r="AL321" i="21"/>
  <c r="AL323" i="21"/>
  <c r="AL322" i="21"/>
  <c r="AL326" i="21"/>
  <c r="AL324" i="21"/>
  <c r="AL327" i="21"/>
  <c r="AL325" i="21"/>
  <c r="DH281" i="21"/>
  <c r="DH300" i="21" s="1"/>
  <c r="DA141" i="12"/>
  <c r="CS142" i="12" s="1"/>
  <c r="CT142" i="12" s="1"/>
  <c r="AL332" i="21" l="1"/>
  <c r="DH282" i="21"/>
  <c r="DH283" i="21" s="1"/>
  <c r="CW142" i="12"/>
  <c r="CV142" i="12"/>
  <c r="CZ142" i="12"/>
  <c r="CY142" i="12"/>
  <c r="CX142" i="12"/>
  <c r="CU142" i="12"/>
  <c r="AM303" i="21" l="1"/>
  <c r="DH292" i="21"/>
  <c r="DI281" i="21" s="1"/>
  <c r="DA142" i="12"/>
  <c r="CS143" i="12" s="1"/>
  <c r="CT143" i="12" s="1"/>
  <c r="AM317" i="21" l="1"/>
  <c r="AM304" i="21"/>
  <c r="DH294" i="21"/>
  <c r="DI282" i="21"/>
  <c r="DI283" i="21" s="1"/>
  <c r="DI300" i="21"/>
  <c r="CV143" i="12"/>
  <c r="CZ143" i="12"/>
  <c r="CY143" i="12"/>
  <c r="CX143" i="12"/>
  <c r="CW143" i="12"/>
  <c r="CU143" i="12"/>
  <c r="AM309" i="21" l="1"/>
  <c r="AM316" i="21"/>
  <c r="AM320" i="21"/>
  <c r="DI292" i="21"/>
  <c r="DI294" i="21" s="1"/>
  <c r="DA143" i="12"/>
  <c r="CS144" i="12" s="1"/>
  <c r="CT144" i="12" s="1"/>
  <c r="AM331" i="21" l="1"/>
  <c r="AM333" i="21"/>
  <c r="DJ281" i="21"/>
  <c r="DJ282" i="21" s="1"/>
  <c r="DJ283" i="21" s="1"/>
  <c r="CZ144" i="12"/>
  <c r="CU144" i="12"/>
  <c r="CV144" i="12"/>
  <c r="CY144" i="12"/>
  <c r="CX144" i="12"/>
  <c r="CW144" i="12"/>
  <c r="AM330" i="21" l="1"/>
  <c r="AM325" i="21"/>
  <c r="AM327" i="21"/>
  <c r="AM326" i="21"/>
  <c r="AM322" i="21"/>
  <c r="AM324" i="21"/>
  <c r="AM321" i="21"/>
  <c r="AM323" i="21"/>
  <c r="DJ300" i="21"/>
  <c r="DJ292" i="21"/>
  <c r="DK281" i="21" s="1"/>
  <c r="DK300" i="21" s="1"/>
  <c r="DA144" i="12"/>
  <c r="CS145" i="12" s="1"/>
  <c r="AM332" i="21" l="1"/>
  <c r="DJ294" i="21"/>
  <c r="DK282" i="21"/>
  <c r="DK283" i="21" s="1"/>
  <c r="CT145" i="12"/>
  <c r="AN303" i="21" l="1"/>
  <c r="DK292" i="21"/>
  <c r="DK294" i="21" s="1"/>
  <c r="CY145" i="12"/>
  <c r="CX145" i="12"/>
  <c r="CZ145" i="12"/>
  <c r="CW145" i="12"/>
  <c r="CV145" i="12"/>
  <c r="CU145" i="12"/>
  <c r="AN304" i="21" l="1"/>
  <c r="AN317" i="21"/>
  <c r="DL281" i="21"/>
  <c r="DL300" i="21" s="1"/>
  <c r="DA145" i="12"/>
  <c r="CS146" i="12" s="1"/>
  <c r="CT146" i="12" s="1"/>
  <c r="AN309" i="21" l="1"/>
  <c r="DL282" i="21"/>
  <c r="DL283" i="21" s="1"/>
  <c r="CV146" i="12"/>
  <c r="CZ146" i="12"/>
  <c r="CY146" i="12"/>
  <c r="CX146" i="12"/>
  <c r="CW146" i="12"/>
  <c r="CU146" i="12"/>
  <c r="AN316" i="21" l="1"/>
  <c r="DL292" i="21"/>
  <c r="DM281" i="21" s="1"/>
  <c r="DA146" i="12"/>
  <c r="CS147" i="12" s="1"/>
  <c r="CT147" i="12" s="1"/>
  <c r="AN320" i="21" l="1"/>
  <c r="DL294" i="21"/>
  <c r="DM300" i="21"/>
  <c r="DM282" i="21"/>
  <c r="DM283" i="21" s="1"/>
  <c r="CZ147" i="12"/>
  <c r="CV147" i="12"/>
  <c r="CU147" i="12"/>
  <c r="CY147" i="12"/>
  <c r="CX147" i="12"/>
  <c r="CW147" i="12"/>
  <c r="AN331" i="21" l="1"/>
  <c r="AN333" i="21"/>
  <c r="DM292" i="21"/>
  <c r="DA147" i="12"/>
  <c r="CS148" i="12" s="1"/>
  <c r="AN330" i="21" l="1"/>
  <c r="AN322" i="21"/>
  <c r="AN324" i="21"/>
  <c r="AN323" i="21"/>
  <c r="AN326" i="21"/>
  <c r="AN327" i="21"/>
  <c r="AN325" i="21"/>
  <c r="AN321" i="21"/>
  <c r="DM294" i="21"/>
  <c r="DN281" i="21"/>
  <c r="CT148" i="12"/>
  <c r="AN332" i="21" l="1"/>
  <c r="DN300" i="21"/>
  <c r="DN282" i="21"/>
  <c r="DN283" i="21" s="1"/>
  <c r="CZ148" i="12"/>
  <c r="CY148" i="12"/>
  <c r="CX148" i="12"/>
  <c r="CW148" i="12"/>
  <c r="CV148" i="12"/>
  <c r="CU148" i="12"/>
  <c r="AO303" i="21" l="1"/>
  <c r="DN292" i="21"/>
  <c r="DO281" i="21" s="1"/>
  <c r="DA148" i="12"/>
  <c r="CS149" i="12" s="1"/>
  <c r="CT149" i="12" s="1"/>
  <c r="AO317" i="21" l="1"/>
  <c r="AO304" i="21"/>
  <c r="AO309" i="21" s="1"/>
  <c r="DN294" i="21"/>
  <c r="DO300" i="21"/>
  <c r="DO282" i="21"/>
  <c r="DO283" i="21" s="1"/>
  <c r="CV149" i="12"/>
  <c r="CZ149" i="12"/>
  <c r="CY149" i="12"/>
  <c r="CX149" i="12"/>
  <c r="CW149" i="12"/>
  <c r="CU149" i="12"/>
  <c r="AO316" i="21" l="1"/>
  <c r="AO320" i="21" s="1"/>
  <c r="DO292" i="21"/>
  <c r="DA149" i="12"/>
  <c r="CS150" i="12" s="1"/>
  <c r="CT150" i="12" s="1"/>
  <c r="AO331" i="21" l="1"/>
  <c r="AO333" i="21"/>
  <c r="DP281" i="21"/>
  <c r="DO294" i="21"/>
  <c r="CZ150" i="12"/>
  <c r="CX150" i="12"/>
  <c r="CW150" i="12"/>
  <c r="CY150" i="12"/>
  <c r="CV150" i="12"/>
  <c r="CU150" i="12"/>
  <c r="AO330" i="21" l="1"/>
  <c r="AO327" i="21"/>
  <c r="AO326" i="21"/>
  <c r="AO323" i="21"/>
  <c r="AO325" i="21"/>
  <c r="AO321" i="21"/>
  <c r="AO322" i="21"/>
  <c r="AO324" i="21"/>
  <c r="DP300" i="21"/>
  <c r="DP282" i="21"/>
  <c r="DA150" i="12"/>
  <c r="CS151" i="12" s="1"/>
  <c r="AO332" i="21" l="1"/>
  <c r="DP283" i="21"/>
  <c r="CT151" i="12"/>
  <c r="AP303" i="21" l="1"/>
  <c r="DP292" i="21"/>
  <c r="DP294" i="21" s="1"/>
  <c r="CZ151" i="12"/>
  <c r="CY151" i="12"/>
  <c r="CX151" i="12"/>
  <c r="CW151" i="12"/>
  <c r="CV151" i="12"/>
  <c r="CU151" i="12"/>
  <c r="AP304" i="21" l="1"/>
  <c r="AP317" i="21"/>
  <c r="DQ281" i="21"/>
  <c r="DQ282" i="21" s="1"/>
  <c r="DQ283" i="21" s="1"/>
  <c r="DQ292" i="21" s="1"/>
  <c r="DA151" i="12"/>
  <c r="CS152" i="12" s="1"/>
  <c r="CT152" i="12" s="1"/>
  <c r="AP309" i="21" l="1"/>
  <c r="DQ300" i="21"/>
  <c r="DR281" i="21"/>
  <c r="DQ294" i="21"/>
  <c r="CV152" i="12"/>
  <c r="CU152" i="12"/>
  <c r="CZ152" i="12"/>
  <c r="CY152" i="12"/>
  <c r="CX152" i="12"/>
  <c r="CW152" i="12"/>
  <c r="AP316" i="21" l="1"/>
  <c r="DR300" i="21"/>
  <c r="DR282" i="21"/>
  <c r="DR283" i="21" s="1"/>
  <c r="DR292" i="21" s="1"/>
  <c r="DA152" i="12"/>
  <c r="CS153" i="12" s="1"/>
  <c r="AP320" i="21" l="1"/>
  <c r="DR294" i="21"/>
  <c r="DS281" i="21"/>
  <c r="CT153" i="12"/>
  <c r="AP333" i="21" l="1"/>
  <c r="AP331" i="21"/>
  <c r="DS282" i="21"/>
  <c r="DS300" i="21"/>
  <c r="CZ153" i="12"/>
  <c r="CY153" i="12"/>
  <c r="CX153" i="12"/>
  <c r="CW153" i="12"/>
  <c r="CV153" i="12"/>
  <c r="CU153" i="12"/>
  <c r="AP330" i="21" l="1"/>
  <c r="AP327" i="21"/>
  <c r="AP326" i="21"/>
  <c r="AP323" i="21"/>
  <c r="AP324" i="21"/>
  <c r="AP322" i="21"/>
  <c r="AP321" i="21"/>
  <c r="AP325" i="21"/>
  <c r="DS283" i="21"/>
  <c r="DS292" i="21" s="1"/>
  <c r="DA153" i="12"/>
  <c r="CS154" i="12" s="1"/>
  <c r="CT154" i="12" s="1"/>
  <c r="AP332" i="21" l="1"/>
  <c r="DS294" i="21"/>
  <c r="DT281" i="21"/>
  <c r="CV154" i="12"/>
  <c r="CU154" i="12"/>
  <c r="CZ154" i="12"/>
  <c r="CY154" i="12"/>
  <c r="CX154" i="12"/>
  <c r="CW154" i="12"/>
  <c r="AQ303" i="21" l="1"/>
  <c r="DT300" i="21"/>
  <c r="DT282" i="21"/>
  <c r="DT283" i="21" s="1"/>
  <c r="DT292" i="21" s="1"/>
  <c r="DA154" i="12"/>
  <c r="CS155" i="12" s="1"/>
  <c r="AQ304" i="21" l="1"/>
  <c r="AQ309" i="21" s="1"/>
  <c r="AQ317" i="21"/>
  <c r="DT294" i="21"/>
  <c r="DU281" i="21"/>
  <c r="CT155" i="12"/>
  <c r="AQ316" i="21" l="1"/>
  <c r="AQ320" i="21"/>
  <c r="DU282" i="21"/>
  <c r="DU283" i="21" s="1"/>
  <c r="DU300" i="21"/>
  <c r="CV155" i="12"/>
  <c r="CX155" i="12"/>
  <c r="CW155" i="12"/>
  <c r="CZ155" i="12"/>
  <c r="CY155" i="12"/>
  <c r="CU155" i="12"/>
  <c r="AQ331" i="21" l="1"/>
  <c r="AQ333" i="21"/>
  <c r="DU292" i="21"/>
  <c r="DV281" i="21" s="1"/>
  <c r="DA155" i="12"/>
  <c r="CS156" i="12" s="1"/>
  <c r="AQ330" i="21" l="1"/>
  <c r="AQ323" i="21"/>
  <c r="AQ327" i="21"/>
  <c r="AQ325" i="21"/>
  <c r="AQ322" i="21"/>
  <c r="AQ324" i="21"/>
  <c r="AQ326" i="21"/>
  <c r="AQ321" i="21"/>
  <c r="DU294" i="21"/>
  <c r="DV300" i="21"/>
  <c r="DV282" i="21"/>
  <c r="DV283" i="21" s="1"/>
  <c r="CT156" i="12"/>
  <c r="AQ332" i="21" l="1"/>
  <c r="AR303" i="21" s="1"/>
  <c r="DV292" i="21"/>
  <c r="DW281" i="21" s="1"/>
  <c r="CZ156" i="12"/>
  <c r="CY156" i="12"/>
  <c r="CX156" i="12"/>
  <c r="CW156" i="12"/>
  <c r="CV156" i="12"/>
  <c r="CU156" i="12"/>
  <c r="AR304" i="21" l="1"/>
  <c r="AR317" i="21"/>
  <c r="AR309" i="21"/>
  <c r="AR316" i="21"/>
  <c r="DV294" i="21"/>
  <c r="DW282" i="21"/>
  <c r="DW283" i="21" s="1"/>
  <c r="DW300" i="21"/>
  <c r="DA156" i="12"/>
  <c r="CS157" i="12" s="1"/>
  <c r="AR320" i="21" l="1"/>
  <c r="DW292" i="21"/>
  <c r="DX281" i="21" s="1"/>
  <c r="CT157" i="12"/>
  <c r="AR331" i="21" l="1"/>
  <c r="AR333" i="21"/>
  <c r="DW294" i="21"/>
  <c r="DX282" i="21"/>
  <c r="DX283" i="21" s="1"/>
  <c r="DX292" i="21" s="1"/>
  <c r="DX300" i="21"/>
  <c r="CU157" i="12"/>
  <c r="CZ157" i="12"/>
  <c r="CY157" i="12"/>
  <c r="CX157" i="12"/>
  <c r="CW157" i="12"/>
  <c r="CV157" i="12"/>
  <c r="AR330" i="21" l="1"/>
  <c r="AR326" i="21"/>
  <c r="AR324" i="21"/>
  <c r="AR323" i="21"/>
  <c r="AR325" i="21"/>
  <c r="AR327" i="21"/>
  <c r="AR321" i="21"/>
  <c r="AR322" i="21"/>
  <c r="DX294" i="21"/>
  <c r="DY281" i="21"/>
  <c r="DA157" i="12"/>
  <c r="CS158" i="12" s="1"/>
  <c r="AR332" i="21" l="1"/>
  <c r="DY282" i="21"/>
  <c r="DY283" i="21" s="1"/>
  <c r="DY300" i="21"/>
  <c r="CT158" i="12"/>
  <c r="AS303" i="21" l="1"/>
  <c r="DY292" i="21"/>
  <c r="DZ281" i="21" s="1"/>
  <c r="CV158" i="12"/>
  <c r="CZ158" i="12"/>
  <c r="CY158" i="12"/>
  <c r="CX158" i="12"/>
  <c r="CW158" i="12"/>
  <c r="CU158" i="12"/>
  <c r="AS304" i="21" l="1"/>
  <c r="AS309" i="21" s="1"/>
  <c r="AS317" i="21"/>
  <c r="DY294" i="21"/>
  <c r="DZ282" i="21"/>
  <c r="DZ283" i="21" s="1"/>
  <c r="DZ300" i="21"/>
  <c r="DA158" i="12"/>
  <c r="CS159" i="12" s="1"/>
  <c r="CT159" i="12" s="1"/>
  <c r="AS316" i="21" l="1"/>
  <c r="AS320" i="21" s="1"/>
  <c r="DZ292" i="21"/>
  <c r="EA281" i="21" s="1"/>
  <c r="CZ159" i="12"/>
  <c r="CY159" i="12"/>
  <c r="CX159" i="12"/>
  <c r="CW159" i="12"/>
  <c r="CV159" i="12"/>
  <c r="CU159" i="12"/>
  <c r="AS331" i="21" l="1"/>
  <c r="AS333" i="21"/>
  <c r="DZ294" i="21"/>
  <c r="EA300" i="21"/>
  <c r="EA282" i="21"/>
  <c r="EA283" i="21" s="1"/>
  <c r="DA159" i="12"/>
  <c r="CS160" i="12" s="1"/>
  <c r="CT160" i="12" s="1"/>
  <c r="AS330" i="21" l="1"/>
  <c r="AS327" i="21"/>
  <c r="AS326" i="21"/>
  <c r="AS322" i="21"/>
  <c r="AS321" i="21"/>
  <c r="AS323" i="21"/>
  <c r="AS324" i="21"/>
  <c r="AS325" i="21"/>
  <c r="EA292" i="21"/>
  <c r="EB281" i="21" s="1"/>
  <c r="CW160" i="12"/>
  <c r="CV160" i="12"/>
  <c r="CY160" i="12"/>
  <c r="CX160" i="12"/>
  <c r="CU160" i="12"/>
  <c r="CZ160" i="12"/>
  <c r="AS332" i="21" l="1"/>
  <c r="EA294" i="21"/>
  <c r="EB282" i="21"/>
  <c r="EB283" i="21" s="1"/>
  <c r="EB292" i="21" s="1"/>
  <c r="EB300" i="21"/>
  <c r="DA160" i="12"/>
  <c r="CS161" i="12" s="1"/>
  <c r="AT303" i="21" l="1"/>
  <c r="EC281" i="21"/>
  <c r="EB294" i="21"/>
  <c r="CT161" i="12"/>
  <c r="AT317" i="21" l="1"/>
  <c r="AT304" i="21"/>
  <c r="EC282" i="21"/>
  <c r="EC283" i="21" s="1"/>
  <c r="EC300" i="21"/>
  <c r="CV161" i="12"/>
  <c r="CY161" i="12"/>
  <c r="CX161" i="12"/>
  <c r="CW161" i="12"/>
  <c r="CU161" i="12"/>
  <c r="CZ161" i="12"/>
  <c r="AT309" i="21" l="1"/>
  <c r="EC292" i="21"/>
  <c r="DA161" i="12"/>
  <c r="CS162" i="12" s="1"/>
  <c r="AT316" i="21" l="1"/>
  <c r="EC294" i="21"/>
  <c r="ED281" i="21"/>
  <c r="CT162" i="12"/>
  <c r="AT320" i="21" l="1"/>
  <c r="ED282" i="21"/>
  <c r="ED300" i="21"/>
  <c r="CZ162" i="12"/>
  <c r="CY162" i="12"/>
  <c r="CX162" i="12"/>
  <c r="CW162" i="12"/>
  <c r="CV162" i="12"/>
  <c r="CU162" i="12"/>
  <c r="AT331" i="21" l="1"/>
  <c r="AT333" i="21"/>
  <c r="ED283" i="21"/>
  <c r="ED292" i="21" s="1"/>
  <c r="DA162" i="12"/>
  <c r="CS163" i="12" s="1"/>
  <c r="AT330" i="21" l="1"/>
  <c r="AT325" i="21"/>
  <c r="AT321" i="21"/>
  <c r="AT324" i="21"/>
  <c r="AT326" i="21"/>
  <c r="AT323" i="21"/>
  <c r="AT327" i="21"/>
  <c r="AT322" i="21"/>
  <c r="ED294" i="21"/>
  <c r="EE281" i="21"/>
  <c r="CT163" i="12"/>
  <c r="AT332" i="21" l="1"/>
  <c r="EE300" i="21"/>
  <c r="EE282" i="21"/>
  <c r="EE283" i="21" s="1"/>
  <c r="CZ163" i="12"/>
  <c r="CY163" i="12"/>
  <c r="CX163" i="12"/>
  <c r="CW163" i="12"/>
  <c r="CV163" i="12"/>
  <c r="CU163" i="12"/>
  <c r="AU303" i="21" l="1"/>
  <c r="EE292" i="21"/>
  <c r="EF281" i="21" s="1"/>
  <c r="EF300" i="21" s="1"/>
  <c r="DA163" i="12"/>
  <c r="CS164" i="12" s="1"/>
  <c r="CT164" i="12" s="1"/>
  <c r="AU317" i="21" l="1"/>
  <c r="AU304" i="21"/>
  <c r="EF282" i="21"/>
  <c r="EF283" i="21" s="1"/>
  <c r="EF292" i="21" s="1"/>
  <c r="EE294" i="21"/>
  <c r="CW164" i="12"/>
  <c r="CX164" i="12"/>
  <c r="CV164" i="12"/>
  <c r="CU164" i="12"/>
  <c r="CZ164" i="12"/>
  <c r="CY164" i="12"/>
  <c r="AU309" i="21" l="1"/>
  <c r="EF294" i="21"/>
  <c r="EG281" i="21"/>
  <c r="DA164" i="12"/>
  <c r="CS165" i="12" s="1"/>
  <c r="AU316" i="21" l="1"/>
  <c r="EG300" i="21"/>
  <c r="EG282" i="21"/>
  <c r="EG283" i="21" s="1"/>
  <c r="EG292" i="21" s="1"/>
  <c r="CT165" i="12"/>
  <c r="AU320" i="21" l="1"/>
  <c r="EH281" i="21"/>
  <c r="EG294" i="21"/>
  <c r="CX165" i="12"/>
  <c r="CW165" i="12"/>
  <c r="CZ165" i="12"/>
  <c r="CY165" i="12"/>
  <c r="CV165" i="12"/>
  <c r="CU165" i="12"/>
  <c r="AU333" i="21" l="1"/>
  <c r="AU331" i="21"/>
  <c r="EH300" i="21"/>
  <c r="EH282" i="21"/>
  <c r="EH283" i="21" s="1"/>
  <c r="EH292" i="21" s="1"/>
  <c r="DA165" i="12"/>
  <c r="CS166" i="12" s="1"/>
  <c r="CT166" i="12" s="1"/>
  <c r="AU325" i="21" l="1"/>
  <c r="AU326" i="21"/>
  <c r="AU324" i="21"/>
  <c r="AU327" i="21"/>
  <c r="AU330" i="21"/>
  <c r="AU322" i="21"/>
  <c r="AU321" i="21"/>
  <c r="AU323" i="21"/>
  <c r="EI281" i="21"/>
  <c r="EH294" i="21"/>
  <c r="CU166" i="12"/>
  <c r="CZ166" i="12"/>
  <c r="CY166" i="12"/>
  <c r="CX166" i="12"/>
  <c r="CW166" i="12"/>
  <c r="CV166" i="12"/>
  <c r="AU332" i="21" l="1"/>
  <c r="EI300" i="21"/>
  <c r="EI282" i="21"/>
  <c r="EI283" i="21" s="1"/>
  <c r="DA166" i="12"/>
  <c r="CS167" i="12" s="1"/>
  <c r="AV303" i="21" l="1"/>
  <c r="EI292" i="21"/>
  <c r="CT167" i="12"/>
  <c r="AV317" i="21" l="1"/>
  <c r="AV304" i="21"/>
  <c r="AV309" i="21"/>
  <c r="AV316" i="21"/>
  <c r="EI294" i="21"/>
  <c r="EJ281" i="21"/>
  <c r="CW167" i="12"/>
  <c r="CZ167" i="12"/>
  <c r="CV167" i="12"/>
  <c r="CU167" i="12"/>
  <c r="CY167" i="12"/>
  <c r="CX167" i="12"/>
  <c r="AV320" i="21" l="1"/>
  <c r="EJ300" i="21"/>
  <c r="EJ282" i="21"/>
  <c r="EJ283" i="21" s="1"/>
  <c r="EJ292" i="21" s="1"/>
  <c r="DA167" i="12"/>
  <c r="CS168" i="12" s="1"/>
  <c r="AV331" i="21" l="1"/>
  <c r="AV333" i="21"/>
  <c r="EK281" i="21"/>
  <c r="EJ294" i="21"/>
  <c r="CT168" i="12"/>
  <c r="AV327" i="21" l="1"/>
  <c r="AV326" i="21"/>
  <c r="AV322" i="21"/>
  <c r="AV324" i="21"/>
  <c r="AV323" i="21"/>
  <c r="AV330" i="21"/>
  <c r="AV325" i="21"/>
  <c r="AV321" i="21"/>
  <c r="EK300" i="21"/>
  <c r="EK282" i="21"/>
  <c r="EK283" i="21" s="1"/>
  <c r="CU168" i="12"/>
  <c r="CV168" i="12"/>
  <c r="CZ168" i="12"/>
  <c r="CY168" i="12"/>
  <c r="CX168" i="12"/>
  <c r="CW168" i="12"/>
  <c r="AV332" i="21" l="1"/>
  <c r="AW303" i="21" s="1"/>
  <c r="EK292" i="21"/>
  <c r="EL281" i="21" s="1"/>
  <c r="DA168" i="12"/>
  <c r="CS169" i="12" s="1"/>
  <c r="AW317" i="21" l="1"/>
  <c r="AW304" i="21"/>
  <c r="AW309" i="21" s="1"/>
  <c r="EK294" i="21"/>
  <c r="EL300" i="21"/>
  <c r="EL282" i="21"/>
  <c r="EL283" i="21" s="1"/>
  <c r="EL292" i="21" s="1"/>
  <c r="CT169" i="12"/>
  <c r="AW316" i="21" l="1"/>
  <c r="EM281" i="21"/>
  <c r="EL294" i="21"/>
  <c r="CW169" i="12"/>
  <c r="CU169" i="12"/>
  <c r="CZ169" i="12"/>
  <c r="CY169" i="12"/>
  <c r="CX169" i="12"/>
  <c r="CV169" i="12"/>
  <c r="AW320" i="21" l="1"/>
  <c r="EM300" i="21"/>
  <c r="EM282" i="21"/>
  <c r="EM283" i="21" s="1"/>
  <c r="EM292" i="21" s="1"/>
  <c r="DA169" i="12"/>
  <c r="CS170" i="12" s="1"/>
  <c r="AW333" i="21" l="1"/>
  <c r="AW331" i="21"/>
  <c r="EN281" i="21"/>
  <c r="EM294" i="21"/>
  <c r="CT170" i="12"/>
  <c r="AW330" i="21" l="1"/>
  <c r="AW322" i="21"/>
  <c r="AW323" i="21"/>
  <c r="AW325" i="21"/>
  <c r="AW327" i="21"/>
  <c r="AW326" i="21"/>
  <c r="AW324" i="21"/>
  <c r="AW321" i="21"/>
  <c r="EN300" i="21"/>
  <c r="EN282" i="21"/>
  <c r="EN283" i="21" s="1"/>
  <c r="EN292" i="21" s="1"/>
  <c r="CW170" i="12"/>
  <c r="CZ170" i="12"/>
  <c r="CU170" i="12"/>
  <c r="CY170" i="12"/>
  <c r="CX170" i="12"/>
  <c r="CV170" i="12"/>
  <c r="AW332" i="21" l="1"/>
  <c r="AX303" i="21"/>
  <c r="EO281" i="21"/>
  <c r="EN294" i="21"/>
  <c r="DA170" i="12"/>
  <c r="CS171" i="12" s="1"/>
  <c r="AX317" i="21" l="1"/>
  <c r="AX304" i="21"/>
  <c r="AX309" i="21" s="1"/>
  <c r="EO300" i="21"/>
  <c r="EO282" i="21"/>
  <c r="EO283" i="21" s="1"/>
  <c r="EO292" i="21" s="1"/>
  <c r="CT171" i="12"/>
  <c r="AX316" i="21" l="1"/>
  <c r="AX320" i="21"/>
  <c r="EO294" i="21"/>
  <c r="EP281" i="21"/>
  <c r="CZ171" i="12"/>
  <c r="CY171" i="12"/>
  <c r="CW171" i="12"/>
  <c r="CV171" i="12"/>
  <c r="CU171" i="12"/>
  <c r="CX171" i="12"/>
  <c r="AX331" i="21" l="1"/>
  <c r="AX333" i="21"/>
  <c r="EP300" i="21"/>
  <c r="EP282" i="21"/>
  <c r="EP283" i="21" s="1"/>
  <c r="EP292" i="21" s="1"/>
  <c r="DA171" i="12"/>
  <c r="CS172" i="12" s="1"/>
  <c r="AX330" i="21" l="1"/>
  <c r="AX323" i="21"/>
  <c r="AX326" i="21"/>
  <c r="AX327" i="21"/>
  <c r="AX324" i="21"/>
  <c r="AX325" i="21"/>
  <c r="AX322" i="21"/>
  <c r="AX321" i="21"/>
  <c r="EP294" i="21"/>
  <c r="EQ281" i="21"/>
  <c r="CT172" i="12"/>
  <c r="AX332" i="21" l="1"/>
  <c r="AY303" i="21"/>
  <c r="EQ300" i="21"/>
  <c r="EQ282" i="21"/>
  <c r="EQ283" i="21" s="1"/>
  <c r="EQ292" i="21" s="1"/>
  <c r="CY172" i="12"/>
  <c r="CZ172" i="12"/>
  <c r="CX172" i="12"/>
  <c r="CV172" i="12"/>
  <c r="CU172" i="12"/>
  <c r="CW172" i="12"/>
  <c r="AY304" i="21" l="1"/>
  <c r="AY309" i="21" s="1"/>
  <c r="AY317" i="21"/>
  <c r="EQ294" i="21"/>
  <c r="ER281" i="21"/>
  <c r="DA172" i="12"/>
  <c r="CS173" i="12" s="1"/>
  <c r="AY316" i="21" l="1"/>
  <c r="ER300" i="21"/>
  <c r="ER282" i="21"/>
  <c r="ER283" i="21" s="1"/>
  <c r="CT173" i="12"/>
  <c r="AY320" i="21" l="1"/>
  <c r="ER292" i="21"/>
  <c r="CW173" i="12"/>
  <c r="CZ173" i="12"/>
  <c r="CY173" i="12"/>
  <c r="CX173" i="12"/>
  <c r="CV173" i="12"/>
  <c r="CU173" i="12"/>
  <c r="AY331" i="21" l="1"/>
  <c r="AY333" i="21"/>
  <c r="ES281" i="21"/>
  <c r="ER294" i="21"/>
  <c r="DA173" i="12"/>
  <c r="CS174" i="12" s="1"/>
  <c r="AY326" i="21" l="1"/>
  <c r="AY330" i="21"/>
  <c r="AY324" i="21"/>
  <c r="AY325" i="21"/>
  <c r="AY327" i="21"/>
  <c r="AY323" i="21"/>
  <c r="AY322" i="21"/>
  <c r="AY321" i="21"/>
  <c r="ES300" i="21"/>
  <c r="ES282" i="21"/>
  <c r="ES283" i="21" s="1"/>
  <c r="CT174" i="12"/>
  <c r="AY332" i="21" l="1"/>
  <c r="AZ303" i="21"/>
  <c r="ES292" i="21"/>
  <c r="ET281" i="21" s="1"/>
  <c r="CV174" i="12"/>
  <c r="CX174" i="12"/>
  <c r="CW174" i="12"/>
  <c r="CY174" i="12"/>
  <c r="CU174" i="12"/>
  <c r="CZ174" i="12"/>
  <c r="AZ317" i="21" l="1"/>
  <c r="AZ304" i="21"/>
  <c r="AZ309" i="21"/>
  <c r="ES294" i="21"/>
  <c r="ET300" i="21"/>
  <c r="ET282" i="21"/>
  <c r="ET283" i="21" s="1"/>
  <c r="DA174" i="12"/>
  <c r="CS175" i="12" s="1"/>
  <c r="AZ316" i="21" l="1"/>
  <c r="AZ320" i="21" s="1"/>
  <c r="ET292" i="21"/>
  <c r="CT175" i="12"/>
  <c r="AZ333" i="21" l="1"/>
  <c r="AZ331" i="21"/>
  <c r="EU281" i="21"/>
  <c r="ET294" i="21"/>
  <c r="CZ175" i="12"/>
  <c r="CV175" i="12"/>
  <c r="CU175" i="12"/>
  <c r="CY175" i="12"/>
  <c r="CX175" i="12"/>
  <c r="CW175" i="12"/>
  <c r="AZ330" i="21" l="1"/>
  <c r="AZ325" i="21"/>
  <c r="AZ324" i="21"/>
  <c r="AZ321" i="21"/>
  <c r="AZ323" i="21"/>
  <c r="AZ326" i="21"/>
  <c r="AZ327" i="21"/>
  <c r="AZ322" i="21"/>
  <c r="EU300" i="21"/>
  <c r="EU282" i="21"/>
  <c r="EU283" i="21" s="1"/>
  <c r="EU292" i="21" s="1"/>
  <c r="DA175" i="12"/>
  <c r="CS176" i="12" s="1"/>
  <c r="AZ332" i="21" l="1"/>
  <c r="EV281" i="21"/>
  <c r="EU294" i="21"/>
  <c r="CT176" i="12"/>
  <c r="BA303" i="21" l="1"/>
  <c r="EV300" i="21"/>
  <c r="EV282" i="21"/>
  <c r="EV283" i="21" s="1"/>
  <c r="EV292" i="21" s="1"/>
  <c r="CW176" i="12"/>
  <c r="CV176" i="12"/>
  <c r="CU176" i="12"/>
  <c r="CZ176" i="12"/>
  <c r="CY176" i="12"/>
  <c r="CX176" i="12"/>
  <c r="BA317" i="21" l="1"/>
  <c r="BA304" i="21"/>
  <c r="BA309" i="21"/>
  <c r="EV294" i="21"/>
  <c r="EW281" i="21"/>
  <c r="DA176" i="12"/>
  <c r="CS177" i="12" s="1"/>
  <c r="BA316" i="21" l="1"/>
  <c r="EW300" i="21"/>
  <c r="EW282" i="21"/>
  <c r="EW283" i="21" s="1"/>
  <c r="CT177" i="12"/>
  <c r="BA320" i="21" l="1"/>
  <c r="EW292" i="21"/>
  <c r="CX177" i="12"/>
  <c r="CZ177" i="12"/>
  <c r="CY177" i="12"/>
  <c r="CW177" i="12"/>
  <c r="CV177" i="12"/>
  <c r="CU177" i="12"/>
  <c r="BA331" i="21" l="1"/>
  <c r="BA333" i="21"/>
  <c r="EX281" i="21"/>
  <c r="EW294" i="21"/>
  <c r="DA177" i="12"/>
  <c r="CS178" i="12" s="1"/>
  <c r="CT178" i="12" s="1"/>
  <c r="BA330" i="21" l="1"/>
  <c r="BA321" i="21"/>
  <c r="BA322" i="21"/>
  <c r="BA327" i="21"/>
  <c r="BA323" i="21"/>
  <c r="BA325" i="21"/>
  <c r="BA326" i="21"/>
  <c r="BA324" i="21"/>
  <c r="EX300" i="21"/>
  <c r="EX282" i="21"/>
  <c r="EX283" i="21" s="1"/>
  <c r="EX292" i="21" s="1"/>
  <c r="CU178" i="12"/>
  <c r="CZ178" i="12"/>
  <c r="CY178" i="12"/>
  <c r="CX178" i="12"/>
  <c r="CW178" i="12"/>
  <c r="CV178" i="12"/>
  <c r="BA332" i="21" l="1"/>
  <c r="EY281" i="21"/>
  <c r="EX294" i="21"/>
  <c r="DA178" i="12"/>
  <c r="CS179" i="12" s="1"/>
  <c r="BB303" i="21" l="1"/>
  <c r="EY300" i="21"/>
  <c r="EY282" i="21"/>
  <c r="EY283" i="21" s="1"/>
  <c r="EY292" i="21" s="1"/>
  <c r="CT179" i="12"/>
  <c r="BB304" i="21" l="1"/>
  <c r="BB309" i="21" s="1"/>
  <c r="BB317" i="21"/>
  <c r="EZ281" i="21"/>
  <c r="EY294" i="21"/>
  <c r="CW179" i="12"/>
  <c r="CU179" i="12"/>
  <c r="CZ179" i="12"/>
  <c r="CY179" i="12"/>
  <c r="CX179" i="12"/>
  <c r="CV179" i="12"/>
  <c r="BB316" i="21" l="1"/>
  <c r="BB320" i="21" s="1"/>
  <c r="EZ300" i="21"/>
  <c r="EZ282" i="21"/>
  <c r="EZ283" i="21" s="1"/>
  <c r="DA179" i="12"/>
  <c r="CS180" i="12" s="1"/>
  <c r="BB331" i="21" l="1"/>
  <c r="BB333" i="21"/>
  <c r="EZ292" i="21"/>
  <c r="CT180" i="12"/>
  <c r="BB330" i="21" l="1"/>
  <c r="BB324" i="21"/>
  <c r="BB323" i="21"/>
  <c r="BB322" i="21"/>
  <c r="BB325" i="21"/>
  <c r="BB326" i="21"/>
  <c r="BB321" i="21"/>
  <c r="BB327" i="21"/>
  <c r="FA281" i="21"/>
  <c r="EZ294" i="21"/>
  <c r="CZ180" i="12"/>
  <c r="CY180" i="12"/>
  <c r="CX180" i="12"/>
  <c r="CW180" i="12"/>
  <c r="CV180" i="12"/>
  <c r="CU180" i="12"/>
  <c r="BB332" i="21" l="1"/>
  <c r="DA180" i="12"/>
  <c r="CS181" i="12" s="1"/>
  <c r="CT181" i="12" s="1"/>
  <c r="FA300" i="21"/>
  <c r="FA282" i="21"/>
  <c r="FA283" i="21" s="1"/>
  <c r="FA292" i="21" s="1"/>
  <c r="BC303" i="21" l="1"/>
  <c r="FA294" i="21"/>
  <c r="FB281" i="21"/>
  <c r="CY181" i="12"/>
  <c r="CX181" i="12"/>
  <c r="CZ181" i="12"/>
  <c r="CW181" i="12"/>
  <c r="CV181" i="12"/>
  <c r="CU181" i="12"/>
  <c r="BC317" i="21" l="1"/>
  <c r="BC304" i="21"/>
  <c r="BC309" i="21" s="1"/>
  <c r="FB300" i="21"/>
  <c r="FB282" i="21"/>
  <c r="FB283" i="21" s="1"/>
  <c r="FB292" i="21" s="1"/>
  <c r="DA181" i="12"/>
  <c r="CS182" i="12" s="1"/>
  <c r="CT182" i="12" s="1"/>
  <c r="BC316" i="21" l="1"/>
  <c r="BC320" i="21" s="1"/>
  <c r="FB294" i="21"/>
  <c r="FC281" i="21"/>
  <c r="CW182" i="12"/>
  <c r="CX182" i="12"/>
  <c r="CZ182" i="12"/>
  <c r="CY182" i="12"/>
  <c r="CV182" i="12"/>
  <c r="CU182" i="12"/>
  <c r="BC331" i="21" l="1"/>
  <c r="BC333" i="21"/>
  <c r="DA182" i="12"/>
  <c r="CS183" i="12" s="1"/>
  <c r="CT183" i="12" s="1"/>
  <c r="FC300" i="21"/>
  <c r="FC282" i="21"/>
  <c r="FC283" i="21" s="1"/>
  <c r="FC292" i="21" s="1"/>
  <c r="BC330" i="21" l="1"/>
  <c r="BC324" i="21"/>
  <c r="BC326" i="21"/>
  <c r="BC322" i="21"/>
  <c r="BC327" i="21"/>
  <c r="BC325" i="21"/>
  <c r="BC321" i="21"/>
  <c r="BC323" i="21"/>
  <c r="FC294" i="21"/>
  <c r="FD281" i="21"/>
  <c r="CW183" i="12"/>
  <c r="CV183" i="12"/>
  <c r="CZ183" i="12"/>
  <c r="CY183" i="12"/>
  <c r="CX183" i="12"/>
  <c r="CU183" i="12"/>
  <c r="BC332" i="21" l="1"/>
  <c r="FD300" i="21"/>
  <c r="FD282" i="21"/>
  <c r="FD283" i="21" s="1"/>
  <c r="FD292" i="21" s="1"/>
  <c r="DA183" i="12"/>
  <c r="CS184" i="12" s="1"/>
  <c r="CT184" i="12" s="1"/>
  <c r="BD303" i="21" l="1"/>
  <c r="FE281" i="21"/>
  <c r="FD294" i="21"/>
  <c r="CU184" i="12"/>
  <c r="CZ184" i="12"/>
  <c r="CY184" i="12"/>
  <c r="CX184" i="12"/>
  <c r="CW184" i="12"/>
  <c r="CV184" i="12"/>
  <c r="BD317" i="21" l="1"/>
  <c r="BD304" i="21"/>
  <c r="BD309" i="21" s="1"/>
  <c r="FE300" i="21"/>
  <c r="FE282" i="21"/>
  <c r="FE283" i="21" s="1"/>
  <c r="FE292" i="21" s="1"/>
  <c r="DA184" i="12"/>
  <c r="CS185" i="12" s="1"/>
  <c r="BD316" i="21" l="1"/>
  <c r="BD320" i="21" s="1"/>
  <c r="FF281" i="21"/>
  <c r="FE294" i="21"/>
  <c r="CT185" i="12"/>
  <c r="BD331" i="21" l="1"/>
  <c r="BD333" i="21"/>
  <c r="FF300" i="21"/>
  <c r="FF282" i="21"/>
  <c r="FF283" i="21" s="1"/>
  <c r="CW185" i="12"/>
  <c r="CZ185" i="12"/>
  <c r="CU185" i="12"/>
  <c r="CV185" i="12"/>
  <c r="CY185" i="12"/>
  <c r="CX185" i="12"/>
  <c r="BD330" i="21" l="1"/>
  <c r="BD325" i="21"/>
  <c r="BD323" i="21"/>
  <c r="BD322" i="21"/>
  <c r="BD321" i="21"/>
  <c r="BD327" i="21"/>
  <c r="BD326" i="21"/>
  <c r="BD324" i="21"/>
  <c r="FF292" i="21"/>
  <c r="DA185" i="12"/>
  <c r="CS186" i="12" s="1"/>
  <c r="BD332" i="21" l="1"/>
  <c r="FG281" i="21"/>
  <c r="FF294" i="21"/>
  <c r="CT186" i="12"/>
  <c r="BE303" i="21" l="1"/>
  <c r="FG300" i="21"/>
  <c r="FG282" i="21"/>
  <c r="FG283" i="21" s="1"/>
  <c r="FG292" i="21" s="1"/>
  <c r="CZ186" i="12"/>
  <c r="CY186" i="12"/>
  <c r="CX186" i="12"/>
  <c r="CU186" i="12"/>
  <c r="CW186" i="12"/>
  <c r="CV186" i="12"/>
  <c r="BE317" i="21" l="1"/>
  <c r="BE304" i="21"/>
  <c r="FG294" i="21"/>
  <c r="FH281" i="21"/>
  <c r="DA186" i="12"/>
  <c r="CS187" i="12" s="1"/>
  <c r="CT187" i="12" s="1"/>
  <c r="BE309" i="21" l="1"/>
  <c r="FH300" i="21"/>
  <c r="FH282" i="21"/>
  <c r="FH283" i="21" s="1"/>
  <c r="FH292" i="21" s="1"/>
  <c r="CW187" i="12"/>
  <c r="CX187" i="12"/>
  <c r="CV187" i="12"/>
  <c r="CU187" i="12"/>
  <c r="CZ187" i="12"/>
  <c r="CY187" i="12"/>
  <c r="BE316" i="21" l="1"/>
  <c r="FH294" i="21"/>
  <c r="FI281" i="21"/>
  <c r="DA187" i="12"/>
  <c r="CS188" i="12" s="1"/>
  <c r="BE320" i="21" l="1"/>
  <c r="FI300" i="21"/>
  <c r="FI282" i="21"/>
  <c r="FI283" i="21" s="1"/>
  <c r="FI292" i="21" s="1"/>
  <c r="CT188" i="12"/>
  <c r="BE331" i="21" l="1"/>
  <c r="BE333" i="21"/>
  <c r="FJ281" i="21"/>
  <c r="FI294" i="21"/>
  <c r="CW188" i="12"/>
  <c r="CZ188" i="12"/>
  <c r="CY188" i="12"/>
  <c r="CX188" i="12"/>
  <c r="CV188" i="12"/>
  <c r="CU188" i="12"/>
  <c r="BE330" i="21" l="1"/>
  <c r="BE321" i="21"/>
  <c r="BE326" i="21"/>
  <c r="BE325" i="21"/>
  <c r="BE323" i="21"/>
  <c r="BE322" i="21"/>
  <c r="BE327" i="21"/>
  <c r="BE324" i="21"/>
  <c r="FJ300" i="21"/>
  <c r="FJ282" i="21"/>
  <c r="FJ283" i="21" s="1"/>
  <c r="FJ292" i="21" s="1"/>
  <c r="DA188" i="12"/>
  <c r="CS189" i="12" s="1"/>
  <c r="CT189" i="12" s="1"/>
  <c r="BE332" i="21" l="1"/>
  <c r="FK281" i="21"/>
  <c r="FJ294" i="21"/>
  <c r="CX189" i="12"/>
  <c r="CW189" i="12"/>
  <c r="CV189" i="12"/>
  <c r="CU189" i="12"/>
  <c r="CZ189" i="12"/>
  <c r="CY189" i="12"/>
  <c r="BF303" i="21" l="1"/>
  <c r="FK300" i="21"/>
  <c r="FK282" i="21"/>
  <c r="FK283" i="21" s="1"/>
  <c r="DA189" i="12"/>
  <c r="CS190" i="12" s="1"/>
  <c r="BF304" i="21" l="1"/>
  <c r="BF309" i="21" s="1"/>
  <c r="BF317" i="21"/>
  <c r="FK292" i="21"/>
  <c r="FL281" i="21" s="1"/>
  <c r="CT190" i="12"/>
  <c r="BF316" i="21" l="1"/>
  <c r="BF320" i="21" s="1"/>
  <c r="FK294" i="21"/>
  <c r="FL300" i="21"/>
  <c r="FL282" i="21"/>
  <c r="FL283" i="21" s="1"/>
  <c r="CY190" i="12"/>
  <c r="CX190" i="12"/>
  <c r="CW190" i="12"/>
  <c r="CZ190" i="12"/>
  <c r="CV190" i="12"/>
  <c r="CU190" i="12"/>
  <c r="BF333" i="21" l="1"/>
  <c r="BF331" i="21"/>
  <c r="DA190" i="12"/>
  <c r="CS191" i="12" s="1"/>
  <c r="CT191" i="12" s="1"/>
  <c r="FL292" i="21"/>
  <c r="BF330" i="21" l="1"/>
  <c r="BF327" i="21"/>
  <c r="BF321" i="21"/>
  <c r="BF324" i="21"/>
  <c r="BF326" i="21"/>
  <c r="BF323" i="21"/>
  <c r="BF322" i="21"/>
  <c r="BF325" i="21"/>
  <c r="FM281" i="21"/>
  <c r="FL294" i="21"/>
  <c r="CW191" i="12"/>
  <c r="CY191" i="12"/>
  <c r="CX191" i="12"/>
  <c r="CV191" i="12"/>
  <c r="CU191" i="12"/>
  <c r="CZ191" i="12"/>
  <c r="BF332" i="21" l="1"/>
  <c r="FM300" i="21"/>
  <c r="FM282" i="21"/>
  <c r="FM283" i="21" s="1"/>
  <c r="DA191" i="12"/>
  <c r="CS192" i="12" s="1"/>
  <c r="BG303" i="21" l="1"/>
  <c r="FM292" i="21"/>
  <c r="CT192" i="12"/>
  <c r="BG304" i="21" l="1"/>
  <c r="BG317" i="21"/>
  <c r="FN281" i="21"/>
  <c r="FM294" i="21"/>
  <c r="CV192" i="12"/>
  <c r="CW192" i="12"/>
  <c r="CU192" i="12"/>
  <c r="CZ192" i="12"/>
  <c r="CY192" i="12"/>
  <c r="CX192" i="12"/>
  <c r="BG309" i="21" l="1"/>
  <c r="FN300" i="21"/>
  <c r="FN282" i="21"/>
  <c r="FN283" i="21" s="1"/>
  <c r="FN292" i="21" s="1"/>
  <c r="DA192" i="12"/>
  <c r="BG316" i="21" l="1"/>
  <c r="FN294" i="21"/>
  <c r="FO281" i="21"/>
  <c r="BG320" i="21" l="1"/>
  <c r="FO300" i="21"/>
  <c r="FO282" i="21"/>
  <c r="FO283" i="21" s="1"/>
  <c r="BG331" i="21" l="1"/>
  <c r="BG333" i="21"/>
  <c r="FO292" i="21"/>
  <c r="BG330" i="21" l="1"/>
  <c r="BG322" i="21"/>
  <c r="BG326" i="21"/>
  <c r="BG325" i="21"/>
  <c r="BG327" i="21"/>
  <c r="BG324" i="21"/>
  <c r="BG321" i="21"/>
  <c r="BG323" i="21"/>
  <c r="FO294" i="21"/>
  <c r="FP281" i="21"/>
  <c r="BG332" i="21" l="1"/>
  <c r="FP300" i="21"/>
  <c r="FP282" i="21"/>
  <c r="FP283" i="21" s="1"/>
  <c r="FP292" i="21" s="1"/>
  <c r="BH303" i="21" l="1"/>
  <c r="FQ281" i="21"/>
  <c r="FP294" i="21"/>
  <c r="BH304" i="21" l="1"/>
  <c r="BH317" i="21"/>
  <c r="FQ300" i="21"/>
  <c r="FQ282" i="21"/>
  <c r="FQ283" i="21" s="1"/>
  <c r="FQ292" i="21" s="1"/>
  <c r="BH309" i="21" l="1"/>
  <c r="FR281" i="21"/>
  <c r="FQ294" i="21"/>
  <c r="BH316" i="21" l="1"/>
  <c r="FR300" i="21"/>
  <c r="FR282" i="21"/>
  <c r="FR283" i="21" s="1"/>
  <c r="FR292" i="21" s="1"/>
  <c r="BH320" i="21" l="1"/>
  <c r="FS281" i="21"/>
  <c r="FR294" i="21"/>
  <c r="BH331" i="21" l="1"/>
  <c r="BH333" i="21"/>
  <c r="FS300" i="21"/>
  <c r="FS282" i="21"/>
  <c r="BH330" i="21" l="1"/>
  <c r="BH323" i="21"/>
  <c r="BH321" i="21"/>
  <c r="BH326" i="21"/>
  <c r="BH322" i="21"/>
  <c r="BH325" i="21"/>
  <c r="BH324" i="21"/>
  <c r="BH327" i="21"/>
  <c r="FS283" i="21"/>
  <c r="FS292" i="21" s="1"/>
  <c r="BH332" i="21" l="1"/>
  <c r="FT281" i="21"/>
  <c r="FS294" i="21"/>
  <c r="BI303" i="21" l="1"/>
  <c r="FT300" i="21"/>
  <c r="FT282" i="21"/>
  <c r="FT283" i="21" s="1"/>
  <c r="FT292" i="21" s="1"/>
  <c r="BI304" i="21" l="1"/>
  <c r="BI317" i="21"/>
  <c r="FU281" i="21"/>
  <c r="FT294" i="21"/>
  <c r="BI309" i="21" l="1"/>
  <c r="FU300" i="21"/>
  <c r="FU282" i="21"/>
  <c r="FU283" i="21" s="1"/>
  <c r="FU292" i="21" s="1"/>
  <c r="BI316" i="21" l="1"/>
  <c r="BI320" i="21" s="1"/>
  <c r="FV281" i="21"/>
  <c r="FU294" i="21"/>
  <c r="BI331" i="21" l="1"/>
  <c r="BI333" i="21"/>
  <c r="FV300" i="21"/>
  <c r="FV282" i="21"/>
  <c r="FV283" i="21" s="1"/>
  <c r="BI330" i="21" l="1"/>
  <c r="BI327" i="21"/>
  <c r="BI321" i="21"/>
  <c r="BI323" i="21"/>
  <c r="BI326" i="21"/>
  <c r="BI324" i="21"/>
  <c r="BI325" i="21"/>
  <c r="BI322" i="21"/>
  <c r="FV292" i="21"/>
  <c r="BI332" i="21" l="1"/>
  <c r="FW281" i="21"/>
  <c r="FV294" i="21"/>
  <c r="BJ303" i="21" l="1"/>
  <c r="FW300" i="21"/>
  <c r="FW282" i="21"/>
  <c r="FW283" i="21" s="1"/>
  <c r="FW292" i="21" s="1"/>
  <c r="BJ317" i="21" l="1"/>
  <c r="BJ304" i="21"/>
  <c r="BJ309" i="21" s="1"/>
  <c r="FW294" i="21"/>
  <c r="FX281" i="21"/>
  <c r="BJ316" i="21" l="1"/>
  <c r="BJ320" i="21" s="1"/>
  <c r="BJ331" i="21" s="1"/>
  <c r="FX300" i="21"/>
  <c r="FX282" i="21"/>
  <c r="FX283" i="21" s="1"/>
  <c r="FX292" i="21" s="1"/>
  <c r="BJ333" i="21" l="1"/>
  <c r="BJ330" i="21" s="1"/>
  <c r="BJ321" i="21"/>
  <c r="BJ326" i="21"/>
  <c r="BJ327" i="21"/>
  <c r="BJ325" i="21"/>
  <c r="FY281" i="21"/>
  <c r="FX294" i="21"/>
  <c r="BJ324" i="21" l="1"/>
  <c r="BJ322" i="21"/>
  <c r="BJ323" i="21"/>
  <c r="BJ332" i="21"/>
  <c r="FY300" i="21"/>
  <c r="FY282" i="21"/>
  <c r="GC266" i="21" s="1"/>
  <c r="GC267" i="21" s="1"/>
  <c r="BK303" i="21" l="1"/>
  <c r="FY283" i="21"/>
  <c r="FY292" i="21" s="1"/>
  <c r="FY294" i="21" s="1"/>
  <c r="BK304" i="21" l="1"/>
  <c r="BK309" i="21" s="1"/>
  <c r="BK317" i="21"/>
  <c r="BK316" i="21" l="1"/>
  <c r="BK320" i="21" s="1"/>
  <c r="BK331" i="21" s="1"/>
  <c r="BK333" i="21" l="1"/>
  <c r="BK326" i="21" l="1"/>
  <c r="BK330" i="21"/>
  <c r="BK322" i="21"/>
  <c r="BK324" i="21"/>
  <c r="BK323" i="21"/>
  <c r="BK321" i="21"/>
  <c r="BK325" i="21"/>
  <c r="BK327" i="21"/>
  <c r="BK332" i="21" l="1"/>
  <c r="BL303" i="21" s="1"/>
  <c r="BL317" i="21" s="1"/>
  <c r="BL304" i="21" l="1"/>
  <c r="BL309" i="21" s="1"/>
  <c r="BL316" i="21" s="1"/>
  <c r="BL320" i="21" s="1"/>
  <c r="BL331" i="21" l="1"/>
  <c r="BL333" i="21"/>
  <c r="BL330" i="21" l="1"/>
  <c r="BL324" i="21"/>
  <c r="BL323" i="21"/>
  <c r="BL325" i="21"/>
  <c r="BL327" i="21"/>
  <c r="BL321" i="21"/>
  <c r="BL322" i="21"/>
  <c r="BL326" i="21"/>
  <c r="BL332" i="21" l="1"/>
  <c r="BM303" i="21" l="1"/>
  <c r="BM304" i="21" l="1"/>
  <c r="BM309" i="21" s="1"/>
  <c r="BM317" i="21"/>
  <c r="BM316" i="21" l="1"/>
  <c r="BM320" i="21"/>
  <c r="BM331" i="21" l="1"/>
  <c r="BM333" i="21"/>
  <c r="BM330" i="21" l="1"/>
  <c r="BM321" i="21"/>
  <c r="BM324" i="21"/>
  <c r="BM327" i="21"/>
  <c r="BM325" i="21"/>
  <c r="BM322" i="21"/>
  <c r="BM326" i="21"/>
  <c r="BM323" i="21"/>
  <c r="BM332" i="21" l="1"/>
  <c r="BN303" i="21" l="1"/>
  <c r="BN304" i="21" l="1"/>
  <c r="BN309" i="21" s="1"/>
  <c r="BN317" i="21"/>
  <c r="BN316" i="21" l="1"/>
  <c r="BN320" i="21" s="1"/>
  <c r="BN333" i="21" s="1"/>
  <c r="BN331" i="21" l="1"/>
  <c r="BN330" i="21"/>
  <c r="BN324" i="21"/>
  <c r="BN321" i="21"/>
  <c r="BN325" i="21"/>
  <c r="BN327" i="21"/>
  <c r="BN323" i="21"/>
  <c r="BN322" i="21"/>
  <c r="BN326" i="21"/>
  <c r="BN332" i="21" l="1"/>
  <c r="BO303" i="21" l="1"/>
  <c r="BO304" i="21" l="1"/>
  <c r="BO309" i="21" s="1"/>
  <c r="BO317" i="21"/>
  <c r="BO316" i="21" l="1"/>
  <c r="BO320" i="21"/>
  <c r="BO331" i="21" l="1"/>
  <c r="BO333" i="21"/>
  <c r="BO327" i="21" l="1"/>
  <c r="BO323" i="21"/>
  <c r="BO326" i="21"/>
  <c r="BO330" i="21"/>
  <c r="BO321" i="21"/>
  <c r="BO324" i="21"/>
  <c r="BO325" i="21"/>
  <c r="BO322" i="21"/>
  <c r="BO332" i="21" l="1"/>
  <c r="BP303" i="21" l="1"/>
  <c r="BP304" i="21" l="1"/>
  <c r="BP317" i="21"/>
  <c r="BP309" i="21"/>
  <c r="BP316" i="21" s="1"/>
  <c r="BP320" i="21" l="1"/>
  <c r="BP331" i="21" l="1"/>
  <c r="BP333" i="21"/>
  <c r="BP330" i="21" l="1"/>
  <c r="BP327" i="21"/>
  <c r="BP326" i="21"/>
  <c r="BP321" i="21"/>
  <c r="BP325" i="21"/>
  <c r="BP324" i="21"/>
  <c r="BP322" i="21"/>
  <c r="BP323" i="21"/>
  <c r="BP332" i="21" l="1"/>
  <c r="BQ303" i="21" l="1"/>
  <c r="BQ304" i="21" l="1"/>
  <c r="BQ317" i="21"/>
  <c r="BQ309" i="21"/>
  <c r="BQ316" i="21" s="1"/>
  <c r="BQ320" i="21" l="1"/>
  <c r="BQ331" i="21" l="1"/>
  <c r="BQ333" i="21"/>
  <c r="BQ330" i="21" l="1"/>
  <c r="BQ326" i="21"/>
  <c r="BQ321" i="21"/>
  <c r="BQ327" i="21"/>
  <c r="BQ324" i="21"/>
  <c r="BQ323" i="21"/>
  <c r="BQ325" i="21"/>
  <c r="BQ322" i="21"/>
  <c r="BQ332" i="21" l="1"/>
  <c r="BR303" i="21" l="1"/>
  <c r="BR304" i="21" l="1"/>
  <c r="BR317" i="21"/>
  <c r="BR309" i="21" l="1"/>
  <c r="BR316" i="21" l="1"/>
  <c r="BR320" i="21" s="1"/>
  <c r="BR331" i="21" l="1"/>
  <c r="BR333" i="21"/>
  <c r="BR330" i="21" l="1"/>
  <c r="BR323" i="21"/>
  <c r="BR325" i="21"/>
  <c r="BR326" i="21"/>
  <c r="BR324" i="21"/>
  <c r="BR327" i="21"/>
  <c r="BR322" i="21"/>
  <c r="BR321" i="21"/>
  <c r="BR332" i="21" l="1"/>
  <c r="BS303" i="21" s="1"/>
  <c r="BS317" i="21" l="1"/>
  <c r="BS304" i="21"/>
  <c r="BS309" i="21" l="1"/>
  <c r="BS316" i="21" l="1"/>
  <c r="BS320" i="21" l="1"/>
  <c r="BS331" i="21" l="1"/>
  <c r="BS333" i="21"/>
  <c r="BS330" i="21" l="1"/>
  <c r="BS324" i="21"/>
  <c r="BS326" i="21"/>
  <c r="BS325" i="21"/>
  <c r="BS321" i="21"/>
  <c r="BS323" i="21"/>
  <c r="BS322" i="21"/>
  <c r="BS327" i="21"/>
  <c r="BS332" i="21" l="1"/>
  <c r="BT303" i="21" l="1"/>
  <c r="BT317" i="21" l="1"/>
  <c r="BT304" i="21"/>
  <c r="BT309" i="21" l="1"/>
  <c r="BT316" i="21" l="1"/>
  <c r="BT320" i="21" l="1"/>
  <c r="BT331" i="21" l="1"/>
  <c r="BT333" i="21"/>
  <c r="BT330" i="21" l="1"/>
  <c r="BT326" i="21"/>
  <c r="BT323" i="21"/>
  <c r="BT325" i="21"/>
  <c r="BT327" i="21"/>
  <c r="BT321" i="21"/>
  <c r="BT322" i="21"/>
  <c r="BT324" i="21"/>
  <c r="BT332" i="21" l="1"/>
  <c r="BU303" i="21" l="1"/>
  <c r="BU317" i="21" l="1"/>
  <c r="BU304" i="21"/>
  <c r="BU309" i="21" l="1"/>
  <c r="BU316" i="21" l="1"/>
  <c r="BU320" i="21" s="1"/>
  <c r="BU331" i="21" l="1"/>
  <c r="BU333" i="21"/>
  <c r="BU330" i="21" l="1"/>
  <c r="BU324" i="21"/>
  <c r="BU321" i="21"/>
  <c r="BU326" i="21"/>
  <c r="BU325" i="21"/>
  <c r="BU323" i="21"/>
  <c r="BU327" i="21"/>
  <c r="BU322" i="21"/>
  <c r="BU332" i="21" l="1"/>
  <c r="BV303" i="21" l="1"/>
  <c r="BV317" i="21" l="1"/>
  <c r="BV304" i="21"/>
  <c r="BV309" i="21"/>
  <c r="BV316" i="21" l="1"/>
  <c r="BV320" i="21" s="1"/>
  <c r="BV331" i="21" l="1"/>
  <c r="BV333" i="21"/>
  <c r="BV324" i="21" l="1"/>
  <c r="BV327" i="21"/>
  <c r="BV322" i="21"/>
  <c r="BV325" i="21"/>
  <c r="BV321" i="21"/>
  <c r="BV330" i="21"/>
  <c r="BV326" i="21"/>
  <c r="BV323" i="21"/>
  <c r="BV332" i="21" l="1"/>
  <c r="BW303" i="21" l="1"/>
  <c r="BW304" i="21" l="1"/>
  <c r="BW317" i="21"/>
  <c r="BW309" i="21" l="1"/>
  <c r="BW316" i="21" l="1"/>
  <c r="BW320" i="21"/>
  <c r="BW331" i="21" l="1"/>
  <c r="BW333" i="21"/>
  <c r="BW330" i="21" l="1"/>
  <c r="BW327" i="21"/>
  <c r="BW322" i="21"/>
  <c r="BW321" i="21"/>
  <c r="BW324" i="21"/>
  <c r="BW323" i="21"/>
  <c r="BW325" i="21"/>
  <c r="BW326" i="21"/>
  <c r="BW332" i="21" l="1"/>
  <c r="BX303" i="21" l="1"/>
  <c r="BX304" i="21" l="1"/>
  <c r="BX317" i="21"/>
  <c r="BX309" i="21" l="1"/>
  <c r="BX316" i="21" l="1"/>
  <c r="BX320" i="21" l="1"/>
  <c r="BX331" i="21" l="1"/>
  <c r="BX333" i="21"/>
  <c r="BX330" i="21" l="1"/>
  <c r="BX327" i="21"/>
  <c r="BX322" i="21"/>
  <c r="BX323" i="21"/>
  <c r="BX321" i="21"/>
  <c r="BX325" i="21"/>
  <c r="BX326" i="21"/>
  <c r="BX324" i="21"/>
  <c r="BX332" i="21" l="1"/>
  <c r="BY303" i="21" l="1"/>
  <c r="BY317" i="21" l="1"/>
  <c r="BY304" i="21"/>
  <c r="BY309" i="21"/>
  <c r="BY316" i="21" l="1"/>
  <c r="BY320" i="21" s="1"/>
  <c r="BY331" i="21" s="1"/>
  <c r="BY333" i="21" l="1"/>
  <c r="BY330" i="21" s="1"/>
  <c r="BY324" i="21" l="1"/>
  <c r="BY326" i="21"/>
  <c r="BY325" i="21"/>
  <c r="BY322" i="21"/>
  <c r="BY323" i="21"/>
  <c r="BY327" i="21"/>
  <c r="BY321" i="21"/>
  <c r="BY332" i="21" l="1"/>
  <c r="BZ303" i="21"/>
  <c r="BZ304" i="21" l="1"/>
  <c r="BZ309" i="21" s="1"/>
  <c r="BZ317" i="21"/>
  <c r="BZ316" i="21" l="1"/>
  <c r="BZ320" i="21" s="1"/>
  <c r="BZ331" i="21" l="1"/>
  <c r="BZ333" i="21"/>
  <c r="BZ330" i="21" l="1"/>
  <c r="BZ326" i="21"/>
  <c r="BZ321" i="21"/>
  <c r="BZ327" i="21"/>
  <c r="BZ325" i="21"/>
  <c r="BZ324" i="21"/>
  <c r="BZ323" i="21"/>
  <c r="BZ322" i="21"/>
  <c r="BZ332" i="21" l="1"/>
  <c r="CA303" i="21" l="1"/>
  <c r="CA317" i="21" l="1"/>
  <c r="CA304" i="21"/>
  <c r="CA309" i="21" s="1"/>
  <c r="CA316" i="21" l="1"/>
  <c r="CA320" i="21" s="1"/>
  <c r="CA333" i="21" l="1"/>
  <c r="CA331" i="21"/>
  <c r="CA330" i="21" l="1"/>
  <c r="CA323" i="21"/>
  <c r="CA327" i="21"/>
  <c r="CA324" i="21"/>
  <c r="CA325" i="21"/>
  <c r="CA321" i="21"/>
  <c r="CA326" i="21"/>
  <c r="CA322" i="21"/>
  <c r="CA332" i="21" l="1"/>
  <c r="CB303" i="21" s="1"/>
  <c r="CB304" i="21" l="1"/>
  <c r="CB317" i="21"/>
  <c r="CB309" i="21" l="1"/>
  <c r="CB316" i="21" l="1"/>
  <c r="CB320" i="21" s="1"/>
  <c r="CB331" i="21" l="1"/>
  <c r="CB333" i="21"/>
  <c r="CB324" i="21" l="1"/>
  <c r="CB327" i="21"/>
  <c r="CB326" i="21"/>
  <c r="CB323" i="21"/>
  <c r="CB325" i="21"/>
  <c r="CB321" i="21"/>
  <c r="CB322" i="21"/>
  <c r="CB330" i="21"/>
  <c r="CB332" i="21" l="1"/>
  <c r="CC303" i="21" l="1"/>
  <c r="CC317" i="21" l="1"/>
  <c r="CC304" i="21"/>
  <c r="CC309" i="21" s="1"/>
  <c r="CC316" i="21" l="1"/>
  <c r="CC320" i="21" l="1"/>
  <c r="CC331" i="21" l="1"/>
  <c r="CC333" i="21"/>
  <c r="CC327" i="21" l="1"/>
  <c r="CC325" i="21"/>
  <c r="CC324" i="21"/>
  <c r="CC323" i="21"/>
  <c r="CC330" i="21"/>
  <c r="CC321" i="21"/>
  <c r="CC326" i="21"/>
  <c r="CC322" i="21"/>
  <c r="CC332" i="21" l="1"/>
  <c r="CD303" i="21" l="1"/>
  <c r="CD304" i="21" l="1"/>
  <c r="CD317" i="21"/>
  <c r="CD309" i="21" l="1"/>
  <c r="CD316" i="21" l="1"/>
  <c r="CD320" i="21" s="1"/>
  <c r="CD331" i="21" l="1"/>
  <c r="CD333" i="21"/>
  <c r="CD327" i="21" l="1"/>
  <c r="CD324" i="21"/>
  <c r="CD323" i="21"/>
  <c r="CD322" i="21"/>
  <c r="CD330" i="21"/>
  <c r="CD321" i="21"/>
  <c r="CD326" i="21"/>
  <c r="CD325" i="21"/>
  <c r="CD332" i="21" l="1"/>
  <c r="CE303" i="21" l="1"/>
  <c r="CE317" i="21" l="1"/>
  <c r="CE304" i="21"/>
  <c r="CE309" i="21"/>
  <c r="CE316" i="21" l="1"/>
  <c r="CE320" i="21" s="1"/>
  <c r="CE333" i="21" l="1"/>
  <c r="CE331" i="21"/>
  <c r="CE323" i="21" l="1"/>
  <c r="CE327" i="21"/>
  <c r="CE325" i="21"/>
  <c r="CE330" i="21"/>
  <c r="CE324" i="21"/>
  <c r="CE321" i="21"/>
  <c r="CE326" i="21"/>
  <c r="CE322" i="21"/>
  <c r="CE332" i="21" l="1"/>
  <c r="CF303" i="21" l="1"/>
  <c r="CF317" i="21" l="1"/>
  <c r="CF304" i="21"/>
  <c r="CF309" i="21"/>
  <c r="CF316" i="21" l="1"/>
  <c r="CF320" i="21"/>
  <c r="CF331" i="21" l="1"/>
  <c r="CF333" i="21"/>
  <c r="CF330" i="21" l="1"/>
  <c r="CF324" i="21"/>
  <c r="CF326" i="21"/>
  <c r="CF321" i="21"/>
  <c r="CF325" i="21"/>
  <c r="CF322" i="21"/>
  <c r="CF323" i="21"/>
  <c r="CF327" i="21"/>
  <c r="CF332" i="21" l="1"/>
  <c r="CG303" i="21" l="1"/>
  <c r="CG317" i="21" l="1"/>
  <c r="CG304" i="21"/>
  <c r="CG309" i="21" l="1"/>
  <c r="CG316" i="21" l="1"/>
  <c r="CG320" i="21" l="1"/>
  <c r="CG331" i="21" l="1"/>
  <c r="CG333" i="21"/>
  <c r="CG330" i="21" l="1"/>
  <c r="CG322" i="21"/>
  <c r="CG326" i="21"/>
  <c r="CG327" i="21"/>
  <c r="CG325" i="21"/>
  <c r="CG323" i="21"/>
  <c r="CG324" i="21"/>
  <c r="CG321" i="21"/>
  <c r="CG332" i="21" l="1"/>
  <c r="CH303" i="21" s="1"/>
  <c r="CH304" i="21" l="1"/>
  <c r="CH317" i="21"/>
  <c r="CH309" i="21" l="1"/>
  <c r="CH316" i="21" l="1"/>
  <c r="CH320" i="21" s="1"/>
  <c r="CH331" i="21" l="1"/>
  <c r="CH333" i="21"/>
  <c r="CH330" i="21" l="1"/>
  <c r="CH321" i="21"/>
  <c r="CH325" i="21"/>
  <c r="CH323" i="21"/>
  <c r="CH326" i="21"/>
  <c r="CH327" i="21"/>
  <c r="CH324" i="21"/>
  <c r="CH322" i="21"/>
  <c r="CH332" i="21" l="1"/>
  <c r="CI303" i="21" l="1"/>
  <c r="CI317" i="21" l="1"/>
  <c r="CI304" i="21"/>
  <c r="CI309" i="21" l="1"/>
  <c r="CI316" i="21" l="1"/>
  <c r="CI320" i="21" l="1"/>
  <c r="CI331" i="21" l="1"/>
  <c r="CI333" i="21"/>
  <c r="CI330" i="21" l="1"/>
  <c r="CI322" i="21"/>
  <c r="CI324" i="21"/>
  <c r="CI325" i="21"/>
  <c r="CI323" i="21"/>
  <c r="CI321" i="21"/>
  <c r="CI327" i="21"/>
  <c r="CI326" i="21"/>
  <c r="CI332" i="21" l="1"/>
  <c r="CJ303" i="21" l="1"/>
  <c r="CJ317" i="21" l="1"/>
  <c r="CJ304" i="21"/>
  <c r="CJ309" i="21" l="1"/>
  <c r="CJ316" i="21" s="1"/>
  <c r="CJ320" i="21" s="1"/>
  <c r="CJ331" i="21" l="1"/>
  <c r="CJ333" i="21"/>
  <c r="CJ330" i="21" l="1"/>
  <c r="CJ327" i="21"/>
  <c r="CJ326" i="21"/>
  <c r="CJ325" i="21"/>
  <c r="CJ324" i="21"/>
  <c r="CJ322" i="21"/>
  <c r="CJ323" i="21"/>
  <c r="CJ321" i="21"/>
  <c r="CJ332" i="21" l="1"/>
  <c r="CK303" i="21" l="1"/>
  <c r="CK317" i="21" l="1"/>
  <c r="CK304" i="21"/>
  <c r="CK309" i="21" l="1"/>
  <c r="CK316" i="21" l="1"/>
  <c r="CK320" i="21" s="1"/>
  <c r="CK331" i="21" l="1"/>
  <c r="CK333" i="21"/>
  <c r="CK330" i="21" l="1"/>
  <c r="CK327" i="21"/>
  <c r="CK325" i="21"/>
  <c r="CK321" i="21"/>
  <c r="CK322" i="21"/>
  <c r="CK326" i="21"/>
  <c r="CK323" i="21"/>
  <c r="CK324" i="21"/>
  <c r="CK332" i="21" l="1"/>
  <c r="CL303" i="21" l="1"/>
  <c r="CL317" i="21" l="1"/>
  <c r="CL304" i="21"/>
  <c r="CL309" i="21" l="1"/>
  <c r="CL316" i="21" l="1"/>
  <c r="CL320" i="21" s="1"/>
  <c r="CL331" i="21" s="1"/>
  <c r="CL333" i="21" l="1"/>
  <c r="CL330" i="21" s="1"/>
  <c r="CL324" i="21"/>
  <c r="CL322" i="21" l="1"/>
  <c r="CL327" i="21"/>
  <c r="CL326" i="21"/>
  <c r="CL321" i="21"/>
  <c r="CL323" i="21"/>
  <c r="CL325" i="21"/>
  <c r="CL332" i="21" l="1"/>
  <c r="CM303" i="21" s="1"/>
  <c r="CM317" i="21" l="1"/>
  <c r="CM304" i="21"/>
  <c r="CM309" i="21" s="1"/>
  <c r="CM316" i="21" l="1"/>
  <c r="CM320" i="21" s="1"/>
  <c r="CM331" i="21" l="1"/>
  <c r="CM333" i="21"/>
  <c r="CM330" i="21" l="1"/>
  <c r="CM324" i="21"/>
  <c r="CM326" i="21"/>
  <c r="CM327" i="21"/>
  <c r="CM321" i="21"/>
  <c r="CM325" i="21"/>
  <c r="CM322" i="21"/>
  <c r="CM323" i="21"/>
  <c r="CM332" i="21" l="1"/>
  <c r="CN303" i="21" l="1"/>
  <c r="CN317" i="21" l="1"/>
  <c r="CN304" i="21"/>
  <c r="CN309" i="21" l="1"/>
  <c r="CN316" i="21" l="1"/>
  <c r="CN320" i="21" s="1"/>
  <c r="CN331" i="21" s="1"/>
  <c r="CN333" i="21" l="1"/>
  <c r="CN330" i="21" s="1"/>
  <c r="CN321" i="21" l="1"/>
  <c r="CN325" i="21"/>
  <c r="CN323" i="21"/>
  <c r="CN324" i="21"/>
  <c r="CN322" i="21"/>
  <c r="CN326" i="21"/>
  <c r="CN327" i="21"/>
  <c r="CN332" i="21" l="1"/>
  <c r="CO303" i="21" s="1"/>
  <c r="CO304" i="21" s="1"/>
  <c r="CO309" i="21" l="1"/>
  <c r="CO317" i="21"/>
  <c r="CO316" i="21" l="1"/>
  <c r="CO320" i="21" s="1"/>
  <c r="CO331" i="21" s="1"/>
  <c r="CO333" i="21" l="1"/>
  <c r="CO325" i="21" s="1"/>
  <c r="CO330" i="21" l="1"/>
  <c r="CO322" i="21"/>
  <c r="CO324" i="21"/>
  <c r="CO321" i="21"/>
  <c r="CO326" i="21"/>
  <c r="CO323" i="21"/>
  <c r="CO327" i="21"/>
  <c r="CO332" i="21" l="1"/>
  <c r="CP303" i="21" s="1"/>
  <c r="CP317" i="21" l="1"/>
  <c r="CP304" i="21"/>
  <c r="CP309" i="21" s="1"/>
  <c r="CP316" i="21" l="1"/>
  <c r="CP320" i="21" s="1"/>
  <c r="CP331" i="21" l="1"/>
  <c r="CP333" i="21"/>
  <c r="CP330" i="21" l="1"/>
  <c r="CP326" i="21"/>
  <c r="CP324" i="21"/>
  <c r="CP323" i="21"/>
  <c r="CP322" i="21"/>
  <c r="CP321" i="21"/>
  <c r="CP325" i="21"/>
  <c r="CP327" i="21"/>
  <c r="CP332" i="21" l="1"/>
  <c r="CQ303" i="21" l="1"/>
  <c r="CQ304" i="21" l="1"/>
  <c r="CQ317" i="21"/>
  <c r="CQ309" i="21" l="1"/>
  <c r="CQ316" i="21" l="1"/>
  <c r="CQ320" i="21" s="1"/>
  <c r="CQ331" i="21" s="1"/>
  <c r="CQ333" i="21" l="1"/>
  <c r="CQ330" i="21"/>
  <c r="CQ327" i="21"/>
  <c r="CQ325" i="21"/>
  <c r="CQ321" i="21"/>
  <c r="CQ322" i="21"/>
  <c r="CQ323" i="21"/>
  <c r="CQ324" i="21"/>
  <c r="CQ326" i="21"/>
  <c r="CQ332" i="21" l="1"/>
  <c r="CR303" i="21" l="1"/>
  <c r="CR304" i="21" l="1"/>
  <c r="CR317" i="21"/>
  <c r="CR309" i="21" l="1"/>
  <c r="CR316" i="21" s="1"/>
  <c r="CR320" i="21" l="1"/>
  <c r="CR331" i="21" l="1"/>
  <c r="CR333" i="21"/>
  <c r="CR330" i="21" l="1"/>
  <c r="CR321" i="21"/>
  <c r="CR326" i="21"/>
  <c r="CR324" i="21"/>
  <c r="CR323" i="21"/>
  <c r="CR327" i="21"/>
  <c r="CR325" i="21"/>
  <c r="CR322" i="21"/>
  <c r="CR332" i="21" l="1"/>
  <c r="CS303" i="21" l="1"/>
  <c r="CS317" i="21" l="1"/>
  <c r="CS304" i="21"/>
  <c r="CS309" i="21" l="1"/>
  <c r="CS316" i="21" l="1"/>
  <c r="CS320" i="21" s="1"/>
  <c r="CS333" i="21" s="1"/>
  <c r="CS331" i="21" l="1"/>
  <c r="CS330" i="21"/>
  <c r="CS323" i="21"/>
  <c r="CS321" i="21"/>
  <c r="CS322" i="21"/>
  <c r="CS327" i="21"/>
  <c r="CS326" i="21"/>
  <c r="CS324" i="21"/>
  <c r="CS325" i="21"/>
  <c r="CS332" i="21" l="1"/>
  <c r="CT303" i="21" l="1"/>
  <c r="CT317" i="21" l="1"/>
  <c r="CT304" i="21"/>
  <c r="CT309" i="21" s="1"/>
  <c r="CT316" i="21" s="1"/>
  <c r="CT320" i="21" l="1"/>
  <c r="CT331" i="21" l="1"/>
  <c r="CT333" i="21"/>
  <c r="CT330" i="21" l="1"/>
  <c r="CT325" i="21"/>
  <c r="CT324" i="21"/>
  <c r="CT326" i="21"/>
  <c r="CT327" i="21"/>
  <c r="CT322" i="21"/>
  <c r="CT323" i="21"/>
  <c r="CT321" i="21"/>
  <c r="CT332" i="21" l="1"/>
  <c r="CU303" i="21" s="1"/>
  <c r="CU317" i="21" l="1"/>
  <c r="CU304" i="21"/>
  <c r="CU309" i="21" s="1"/>
  <c r="CU316" i="21" l="1"/>
  <c r="CU320" i="21" s="1"/>
  <c r="CU331" i="21" l="1"/>
  <c r="CU333" i="21"/>
  <c r="CU330" i="21" l="1"/>
  <c r="CU325" i="21"/>
  <c r="CU323" i="21"/>
  <c r="CU322" i="21"/>
  <c r="CU321" i="21"/>
  <c r="CU326" i="21"/>
  <c r="CU327" i="21"/>
  <c r="CU324" i="21"/>
  <c r="CU332" i="21" l="1"/>
  <c r="CV303" i="21" l="1"/>
  <c r="CV317" i="21" l="1"/>
  <c r="CV304" i="21"/>
  <c r="CV309" i="21" s="1"/>
  <c r="CV316" i="21" l="1"/>
  <c r="CV320" i="21" s="1"/>
  <c r="CV331" i="21" l="1"/>
  <c r="CV333" i="21"/>
  <c r="CV330" i="21" l="1"/>
  <c r="CV325" i="21"/>
  <c r="CV324" i="21"/>
  <c r="CV321" i="21"/>
  <c r="CV323" i="21"/>
  <c r="CV326" i="21"/>
  <c r="CV327" i="21"/>
  <c r="CV322" i="21"/>
  <c r="CV332" i="21" l="1"/>
  <c r="CW303" i="21" l="1"/>
  <c r="CW317" i="21" l="1"/>
  <c r="CW304" i="21"/>
  <c r="CW309" i="21"/>
  <c r="CW316" i="21" l="1"/>
  <c r="CW320" i="21"/>
  <c r="CW331" i="21" l="1"/>
  <c r="CW333" i="21"/>
  <c r="CW330" i="21" l="1"/>
  <c r="CW326" i="21"/>
  <c r="CW322" i="21"/>
  <c r="CW321" i="21"/>
  <c r="CW325" i="21"/>
  <c r="CW323" i="21"/>
  <c r="CW327" i="21"/>
  <c r="CW324" i="21"/>
  <c r="CW332" i="21" l="1"/>
  <c r="CX303" i="21" l="1"/>
  <c r="CX317" i="21" l="1"/>
  <c r="CX304" i="21"/>
  <c r="CX309" i="21" s="1"/>
  <c r="CX316" i="21" l="1"/>
  <c r="CX320" i="21" s="1"/>
  <c r="CX331" i="21" l="1"/>
  <c r="CX333" i="21"/>
  <c r="CX330" i="21" l="1"/>
  <c r="CX326" i="21"/>
  <c r="CX323" i="21"/>
  <c r="CX324" i="21"/>
  <c r="CX321" i="21"/>
  <c r="CX322" i="21"/>
  <c r="CX325" i="21"/>
  <c r="CX327" i="21"/>
  <c r="CX332" i="21" l="1"/>
  <c r="CY303" i="21" l="1"/>
  <c r="CY317" i="21" l="1"/>
  <c r="CY304" i="21"/>
  <c r="CY309" i="21" s="1"/>
  <c r="CY316" i="21" l="1"/>
  <c r="CY320" i="21" s="1"/>
  <c r="CY331" i="21" s="1"/>
  <c r="CY333" i="21" l="1"/>
  <c r="CY330" i="21"/>
  <c r="CY326" i="21"/>
  <c r="CY325" i="21"/>
  <c r="CY327" i="21"/>
  <c r="CY324" i="21"/>
  <c r="CY323" i="21"/>
  <c r="CY321" i="21"/>
  <c r="CY322" i="21"/>
  <c r="CY332" i="21" l="1"/>
  <c r="CZ303" i="21" l="1"/>
  <c r="CZ304" i="21" l="1"/>
  <c r="CZ309" i="21" s="1"/>
  <c r="CZ317" i="21"/>
  <c r="CZ316" i="21" l="1"/>
  <c r="CZ320" i="21" s="1"/>
  <c r="CZ331" i="21" l="1"/>
  <c r="CZ333" i="21"/>
  <c r="CZ330" i="21" l="1"/>
  <c r="CZ322" i="21"/>
  <c r="CZ326" i="21"/>
  <c r="CZ321" i="21"/>
  <c r="CZ327" i="21"/>
  <c r="CZ325" i="21"/>
  <c r="CZ324" i="21"/>
  <c r="CZ323" i="21"/>
  <c r="CZ332" i="21" l="1"/>
  <c r="DA303" i="21" l="1"/>
  <c r="DA304" i="21" l="1"/>
  <c r="DA317" i="21"/>
  <c r="DA309" i="21" l="1"/>
  <c r="DA316" i="21" l="1"/>
  <c r="DA320" i="21" s="1"/>
  <c r="DA333" i="21" s="1"/>
  <c r="DA330" i="21" s="1"/>
  <c r="DA322" i="21" l="1"/>
  <c r="DA327" i="21"/>
  <c r="DA326" i="21"/>
  <c r="DA325" i="21"/>
  <c r="DA323" i="21"/>
  <c r="DA324" i="21"/>
  <c r="DA321" i="21"/>
  <c r="DA331" i="21"/>
  <c r="DA332" i="21" l="1"/>
  <c r="DB303" i="21" s="1"/>
  <c r="DB317" i="21" s="1"/>
  <c r="DB304" i="21" l="1"/>
  <c r="DB309" i="21" l="1"/>
  <c r="DB316" i="21" l="1"/>
  <c r="DB320" i="21" s="1"/>
  <c r="DB331" i="21" s="1"/>
  <c r="DB333" i="21" l="1"/>
  <c r="DB330" i="21" s="1"/>
  <c r="DB322" i="21" l="1"/>
  <c r="DB326" i="21"/>
  <c r="DB324" i="21"/>
  <c r="DB327" i="21"/>
  <c r="DB325" i="21"/>
  <c r="DB321" i="21"/>
  <c r="DB323" i="21"/>
  <c r="DB332" i="21" l="1"/>
  <c r="DC303" i="21" s="1"/>
  <c r="DC317" i="21" s="1"/>
  <c r="DC304" i="21" l="1"/>
  <c r="DC309" i="21" l="1"/>
  <c r="DC316" i="21" l="1"/>
  <c r="DC320" i="21" s="1"/>
  <c r="DC331" i="21" l="1"/>
  <c r="DC333" i="21"/>
  <c r="DC330" i="21" l="1"/>
  <c r="DC327" i="21"/>
  <c r="DC321" i="21"/>
  <c r="DC326" i="21"/>
  <c r="DC325" i="21"/>
  <c r="DC322" i="21"/>
  <c r="DC324" i="21"/>
  <c r="DC323" i="21"/>
  <c r="DC332" i="21" l="1"/>
  <c r="DD303" i="21" l="1"/>
  <c r="DD317" i="21" l="1"/>
  <c r="DD304" i="21"/>
  <c r="DD309" i="21" l="1"/>
  <c r="DD316" i="21" l="1"/>
  <c r="DD320" i="21" s="1"/>
  <c r="DD331" i="21" l="1"/>
  <c r="DD333" i="21"/>
  <c r="DD330" i="21" l="1"/>
  <c r="DD325" i="21"/>
  <c r="DD324" i="21"/>
  <c r="DD327" i="21"/>
  <c r="DD323" i="21"/>
  <c r="DD326" i="21"/>
  <c r="DD321" i="21"/>
  <c r="DD322" i="21"/>
  <c r="DD332" i="21" l="1"/>
  <c r="DE303" i="21" l="1"/>
  <c r="DE317" i="21" l="1"/>
  <c r="DE304" i="21"/>
  <c r="DE309" i="21" s="1"/>
  <c r="DE316" i="21" l="1"/>
  <c r="DE320" i="21" s="1"/>
  <c r="DE331" i="21" s="1"/>
  <c r="DE333" i="21" l="1"/>
  <c r="DE330" i="21" s="1"/>
  <c r="DE321" i="21" l="1"/>
  <c r="DE322" i="21"/>
  <c r="DE326" i="21"/>
  <c r="DE323" i="21"/>
  <c r="DE327" i="21"/>
  <c r="DE324" i="21"/>
  <c r="DE325" i="21"/>
  <c r="DE332" i="21" l="1"/>
  <c r="DF303" i="21"/>
  <c r="DF304" i="21" s="1"/>
  <c r="DF309" i="21" l="1"/>
  <c r="DF317" i="21"/>
  <c r="DF316" i="21" l="1"/>
  <c r="DF320" i="21" s="1"/>
  <c r="DF331" i="21" s="1"/>
  <c r="DF333" i="21" l="1"/>
  <c r="DF330" i="21" s="1"/>
  <c r="DF325" i="21"/>
  <c r="DF321" i="21" l="1"/>
  <c r="DF323" i="21"/>
  <c r="DF324" i="21"/>
  <c r="DF326" i="21"/>
  <c r="DF322" i="21"/>
  <c r="DF327" i="21"/>
  <c r="DF332" i="21" l="1"/>
  <c r="DG303" i="21" s="1"/>
  <c r="DG317" i="21" s="1"/>
  <c r="DG304" i="21" l="1"/>
  <c r="DG309" i="21" l="1"/>
  <c r="DG316" i="21" l="1"/>
  <c r="DG320" i="21" s="1"/>
  <c r="DG331" i="21" s="1"/>
  <c r="DG333" i="21" l="1"/>
  <c r="DG330" i="21" s="1"/>
  <c r="DG326" i="21" l="1"/>
  <c r="DG327" i="21"/>
  <c r="DG324" i="21"/>
  <c r="DG325" i="21"/>
  <c r="DG321" i="21"/>
  <c r="DG322" i="21"/>
  <c r="DG323" i="21"/>
  <c r="DG332" i="21" l="1"/>
  <c r="DH303" i="21" s="1"/>
  <c r="DH317" i="21" l="1"/>
  <c r="DH304" i="21"/>
  <c r="DH309" i="21" l="1"/>
  <c r="DH316" i="21" l="1"/>
  <c r="DH320" i="21" l="1"/>
  <c r="DH331" i="21" s="1"/>
  <c r="DH333" i="21" l="1"/>
  <c r="DH330" i="21" s="1"/>
  <c r="DH322" i="21" l="1"/>
  <c r="DH325" i="21"/>
  <c r="DH327" i="21"/>
  <c r="DH323" i="21"/>
  <c r="DH324" i="21"/>
  <c r="DH321" i="21"/>
  <c r="DH326" i="21"/>
  <c r="DH332" i="21" l="1"/>
  <c r="DI303" i="21" l="1"/>
  <c r="DI304" i="21" l="1"/>
  <c r="DI317" i="21"/>
  <c r="DI309" i="21" l="1"/>
  <c r="DI316" i="21" l="1"/>
  <c r="DI320" i="21" s="1"/>
  <c r="DI331" i="21" s="1"/>
  <c r="DI333" i="21" l="1"/>
  <c r="DI330" i="21" s="1"/>
  <c r="DI321" i="21" l="1"/>
  <c r="DI325" i="21"/>
  <c r="DI324" i="21"/>
  <c r="DI327" i="21"/>
  <c r="DI322" i="21"/>
  <c r="DI326" i="21"/>
  <c r="DI323" i="21"/>
  <c r="DI332" i="21" l="1"/>
  <c r="DJ303" i="21" s="1"/>
  <c r="DJ317" i="21" s="1"/>
  <c r="DJ304" i="21" l="1"/>
  <c r="DJ309" i="21" l="1"/>
  <c r="DJ316" i="21" l="1"/>
  <c r="DJ320" i="21" s="1"/>
  <c r="DJ331" i="21" s="1"/>
  <c r="DJ333" i="21" l="1"/>
  <c r="DJ330" i="21" s="1"/>
  <c r="DJ323" i="21" l="1"/>
  <c r="DJ324" i="21"/>
  <c r="DJ321" i="21"/>
  <c r="DJ325" i="21"/>
  <c r="DJ322" i="21"/>
  <c r="DJ326" i="21"/>
  <c r="DJ327" i="21"/>
  <c r="DJ332" i="21" l="1"/>
  <c r="DK303" i="21" s="1"/>
  <c r="DK317" i="21" l="1"/>
  <c r="DK304" i="21"/>
  <c r="DK309" i="21" l="1"/>
  <c r="DK316" i="21" l="1"/>
  <c r="DK320" i="21" s="1"/>
  <c r="DK331" i="21" s="1"/>
  <c r="DK333" i="21" l="1"/>
  <c r="DK330" i="21" s="1"/>
  <c r="DK321" i="21" l="1"/>
  <c r="DK325" i="21"/>
  <c r="DK323" i="21"/>
  <c r="DK324" i="21"/>
  <c r="DK327" i="21"/>
  <c r="DK326" i="21"/>
  <c r="DK322" i="21"/>
  <c r="DK332" i="21" l="1"/>
  <c r="DL303" i="21" l="1"/>
  <c r="DL317" i="21" l="1"/>
  <c r="DL304" i="21"/>
  <c r="DL309" i="21" l="1"/>
  <c r="DL316" i="21" l="1"/>
  <c r="DL320" i="21" s="1"/>
  <c r="DL331" i="21" s="1"/>
  <c r="DL333" i="21" l="1"/>
  <c r="DL330" i="21" s="1"/>
  <c r="DL324" i="21" l="1"/>
  <c r="DL325" i="21"/>
  <c r="DL321" i="21"/>
  <c r="DL322" i="21"/>
  <c r="DL327" i="21"/>
  <c r="DL326" i="21"/>
  <c r="DL323" i="21"/>
  <c r="DL332" i="21" l="1"/>
  <c r="DM303" i="21" l="1"/>
  <c r="DM317" i="21" l="1"/>
  <c r="DM304" i="21"/>
  <c r="DM309" i="21" l="1"/>
  <c r="DM316" i="21" l="1"/>
  <c r="DM320" i="21" l="1"/>
  <c r="DM331" i="21" s="1"/>
  <c r="DM333" i="21" l="1"/>
  <c r="DM330" i="21" s="1"/>
  <c r="DM323" i="21" l="1"/>
  <c r="DM325" i="21"/>
  <c r="DM326" i="21"/>
  <c r="DM324" i="21"/>
  <c r="DM327" i="21"/>
  <c r="DM321" i="21"/>
  <c r="DM322" i="21"/>
  <c r="DM332" i="21" l="1"/>
  <c r="DN303" i="21" l="1"/>
  <c r="DN317" i="21" l="1"/>
  <c r="DN304" i="21"/>
  <c r="DN309" i="21" l="1"/>
  <c r="DN316" i="21" l="1"/>
  <c r="DN320" i="21" l="1"/>
  <c r="DN331" i="21" s="1"/>
  <c r="DN333" i="21" l="1"/>
  <c r="DN330" i="21" s="1"/>
  <c r="DN323" i="21" l="1"/>
  <c r="DN321" i="21"/>
  <c r="DN324" i="21"/>
  <c r="DN325" i="21"/>
  <c r="DN326" i="21"/>
  <c r="DN327" i="21"/>
  <c r="DN322" i="21"/>
  <c r="DN332" i="21" l="1"/>
  <c r="DO303" i="21" l="1"/>
  <c r="DO317" i="21" l="1"/>
  <c r="DO304" i="21"/>
  <c r="DO309" i="21" l="1"/>
  <c r="DO316" i="21" l="1"/>
  <c r="DO320" i="21" l="1"/>
  <c r="DO331" i="21" s="1"/>
  <c r="DO333" i="21" l="1"/>
  <c r="DO330" i="21" s="1"/>
  <c r="DO321" i="21" l="1"/>
  <c r="DO323" i="21"/>
  <c r="DO324" i="21"/>
  <c r="DO322" i="21"/>
  <c r="DO326" i="21"/>
  <c r="DO325" i="21"/>
  <c r="DO327" i="21"/>
  <c r="DO332" i="21" l="1"/>
  <c r="DP303" i="21" l="1"/>
  <c r="DP317" i="21" l="1"/>
  <c r="DP304" i="21"/>
  <c r="DP309" i="21" l="1"/>
  <c r="DP316" i="21" l="1"/>
  <c r="DP320" i="21" s="1"/>
  <c r="DP331" i="21" s="1"/>
  <c r="DP333" i="21" l="1"/>
  <c r="DP330" i="21" s="1"/>
  <c r="DP322" i="21" l="1"/>
  <c r="DP323" i="21"/>
  <c r="DP321" i="21"/>
  <c r="DP327" i="21"/>
  <c r="DP326" i="21"/>
  <c r="DP325" i="21"/>
  <c r="DP324" i="21"/>
  <c r="DP332" i="21" l="1"/>
  <c r="DQ303" i="21" l="1"/>
  <c r="DQ304" i="21" l="1"/>
  <c r="DQ309" i="21" s="1"/>
  <c r="DQ317" i="21"/>
  <c r="DQ316" i="21" l="1"/>
  <c r="DQ320" i="21" s="1"/>
  <c r="DQ331" i="21" s="1"/>
  <c r="DQ333" i="21" l="1"/>
  <c r="DQ330" i="21" s="1"/>
  <c r="DQ326" i="21" l="1"/>
  <c r="DQ327" i="21"/>
  <c r="DQ325" i="21"/>
  <c r="DQ321" i="21"/>
  <c r="DQ324" i="21"/>
  <c r="DQ323" i="21"/>
  <c r="DQ322" i="21"/>
  <c r="DQ332" i="21" l="1"/>
  <c r="DR303" i="21" s="1"/>
  <c r="DR317" i="21" s="1"/>
  <c r="DR304" i="21" l="1"/>
  <c r="DR309" i="21" s="1"/>
  <c r="DR316" i="21" l="1"/>
  <c r="DR320" i="21" s="1"/>
  <c r="DR333" i="21" s="1"/>
  <c r="DR331" i="21" l="1"/>
  <c r="DR330" i="21"/>
  <c r="DR325" i="21"/>
  <c r="DR324" i="21"/>
  <c r="DR321" i="21"/>
  <c r="DR327" i="21"/>
  <c r="DR323" i="21"/>
  <c r="DR326" i="21"/>
  <c r="DR322" i="21"/>
  <c r="DR332" i="21" l="1"/>
  <c r="DS303" i="21" s="1"/>
  <c r="DS304" i="21" s="1"/>
  <c r="DS309" i="21" s="1"/>
  <c r="DS317" i="21" l="1"/>
  <c r="DS316" i="21" s="1"/>
  <c r="DS320" i="21" s="1"/>
  <c r="DS333" i="21" l="1"/>
  <c r="DS330" i="21" s="1"/>
  <c r="DS331" i="21"/>
  <c r="DS324" i="21" l="1"/>
  <c r="DS325" i="21"/>
  <c r="DS327" i="21"/>
  <c r="DS323" i="21"/>
  <c r="DS326" i="21"/>
  <c r="DS322" i="21"/>
  <c r="DS321" i="21"/>
  <c r="DS332" i="21" l="1"/>
  <c r="DT303" i="21" s="1"/>
  <c r="DT317" i="21" s="1"/>
  <c r="DT304" i="21" l="1"/>
  <c r="DT309" i="21" s="1"/>
  <c r="DT316" i="21" l="1"/>
  <c r="DT320" i="21" s="1"/>
  <c r="DT331" i="21" s="1"/>
  <c r="DT333" i="21" l="1"/>
  <c r="DT330" i="21" s="1"/>
  <c r="DT327" i="21"/>
  <c r="DT321" i="21"/>
  <c r="DT326" i="21"/>
  <c r="DT325" i="21"/>
  <c r="DT323" i="21"/>
  <c r="DT324" i="21"/>
  <c r="DT322" i="21" l="1"/>
  <c r="DT332" i="21" s="1"/>
  <c r="DU303" i="21" s="1"/>
  <c r="DU317" i="21" s="1"/>
  <c r="DU304" i="21" l="1"/>
  <c r="DU309" i="21" s="1"/>
  <c r="DU316" i="21" s="1"/>
  <c r="DU320" i="21" s="1"/>
  <c r="DU331" i="21" s="1"/>
  <c r="DU333" i="21" l="1"/>
  <c r="DU330" i="21" s="1"/>
  <c r="DU321" i="21" l="1"/>
  <c r="DU322" i="21"/>
  <c r="DU323" i="21"/>
  <c r="DU324" i="21"/>
  <c r="DU325" i="21"/>
  <c r="DU326" i="21"/>
  <c r="DU327" i="21"/>
  <c r="DU332" i="21" l="1"/>
  <c r="DV303" i="21" s="1"/>
  <c r="DV317" i="21" s="1"/>
  <c r="DV304" i="21" l="1"/>
  <c r="DV309" i="21" s="1"/>
  <c r="DV316" i="21" l="1"/>
  <c r="DV320" i="21" s="1"/>
  <c r="DV331" i="21" s="1"/>
  <c r="DV333" i="21" l="1"/>
  <c r="DV330" i="21" s="1"/>
  <c r="DV321" i="21" l="1"/>
  <c r="DV327" i="21"/>
  <c r="DV325" i="21"/>
  <c r="DV322" i="21"/>
  <c r="DV324" i="21"/>
  <c r="DV326" i="21"/>
  <c r="DV323" i="21"/>
  <c r="DV332" i="21" l="1"/>
  <c r="DW303" i="21" s="1"/>
  <c r="DW317" i="21" s="1"/>
  <c r="DW304" i="21" l="1"/>
  <c r="DW309" i="21" s="1"/>
  <c r="DW316" i="21" l="1"/>
  <c r="DW320" i="21" s="1"/>
  <c r="DW333" i="21" s="1"/>
  <c r="DW330" i="21" s="1"/>
  <c r="DW331" i="21" l="1"/>
  <c r="DW327" i="21"/>
  <c r="DW321" i="21"/>
  <c r="DW324" i="21"/>
  <c r="DW326" i="21"/>
  <c r="DW325" i="21"/>
  <c r="DW323" i="21"/>
  <c r="DW322" i="21"/>
  <c r="DW332" i="21" l="1"/>
  <c r="DX303" i="21" s="1"/>
  <c r="DX304" i="21" s="1"/>
  <c r="DX309" i="21" s="1"/>
  <c r="DX317" i="21" l="1"/>
  <c r="DX316" i="21" s="1"/>
  <c r="DX320" i="21" s="1"/>
  <c r="DX331" i="21" s="1"/>
  <c r="DX333" i="21" l="1"/>
  <c r="DX330" i="21" s="1"/>
  <c r="DX326" i="21"/>
  <c r="DX321" i="21"/>
  <c r="DX323" i="21"/>
  <c r="DX325" i="21"/>
  <c r="DX327" i="21"/>
  <c r="DX322" i="21" l="1"/>
  <c r="DX324" i="21"/>
  <c r="DX332" i="21" s="1"/>
  <c r="DY303" i="21" s="1"/>
  <c r="DY317" i="21" s="1"/>
  <c r="DY304" i="21" l="1"/>
  <c r="DY309" i="21" s="1"/>
  <c r="DY316" i="21" l="1"/>
  <c r="DY320" i="21" s="1"/>
  <c r="DY333" i="21" s="1"/>
  <c r="DY330" i="21" l="1"/>
  <c r="DY323" i="21"/>
  <c r="DY326" i="21"/>
  <c r="DY325" i="21"/>
  <c r="DY321" i="21"/>
  <c r="DY322" i="21"/>
  <c r="DY331" i="21"/>
  <c r="DY324" i="21"/>
  <c r="DY327" i="21"/>
  <c r="DY332" i="21" l="1"/>
  <c r="DZ303" i="21" s="1"/>
  <c r="DZ317" i="21" s="1"/>
  <c r="DZ304" i="21" l="1"/>
  <c r="DZ309" i="21" s="1"/>
  <c r="DZ316" i="21" l="1"/>
  <c r="DZ320" i="21" s="1"/>
  <c r="DZ331" i="21" s="1"/>
  <c r="DZ333" i="21" l="1"/>
  <c r="DZ330" i="21" s="1"/>
  <c r="DZ323" i="21" l="1"/>
  <c r="DZ321" i="21"/>
  <c r="DZ326" i="21"/>
  <c r="DZ327" i="21"/>
  <c r="DZ322" i="21"/>
  <c r="DZ324" i="21"/>
  <c r="DZ325" i="21"/>
  <c r="DZ332" i="21" l="1"/>
  <c r="EA303" i="21" s="1"/>
  <c r="EA317" i="21" s="1"/>
  <c r="EA304" i="21" l="1"/>
  <c r="EA309" i="21" s="1"/>
  <c r="EA316" i="21" l="1"/>
  <c r="EA320" i="21" s="1"/>
  <c r="EA331" i="21" s="1"/>
  <c r="EA333" i="21" l="1"/>
  <c r="EA330" i="21" s="1"/>
  <c r="EA325" i="21"/>
  <c r="EA327" i="21"/>
  <c r="EA323" i="21"/>
  <c r="EA321" i="21"/>
  <c r="EA324" i="21"/>
  <c r="EA326" i="21"/>
  <c r="EA322" i="21"/>
  <c r="EA332" i="21" l="1"/>
  <c r="EB303" i="21" s="1"/>
  <c r="EB304" i="21" s="1"/>
  <c r="EB309" i="21" s="1"/>
  <c r="EB317" i="21" l="1"/>
  <c r="EB316" i="21" s="1"/>
  <c r="EB320" i="21" s="1"/>
  <c r="EB331" i="21" s="1"/>
  <c r="EB333" i="21" l="1"/>
  <c r="EB330" i="21" s="1"/>
  <c r="EB322" i="21" l="1"/>
  <c r="EB324" i="21"/>
  <c r="EB327" i="21"/>
  <c r="EB323" i="21"/>
  <c r="EB326" i="21"/>
  <c r="EB321" i="21"/>
  <c r="EB325" i="21"/>
  <c r="EB332" i="21" l="1"/>
  <c r="EC303" i="21" s="1"/>
  <c r="EC304" i="21" s="1"/>
  <c r="EC309" i="21" s="1"/>
  <c r="EC317" i="21" l="1"/>
  <c r="EC316" i="21"/>
  <c r="EC320" i="21" s="1"/>
  <c r="EC331" i="21" s="1"/>
  <c r="EC333" i="21" l="1"/>
  <c r="EC330" i="21" s="1"/>
  <c r="EC323" i="21" l="1"/>
  <c r="EC322" i="21"/>
  <c r="EC324" i="21"/>
  <c r="EC321" i="21"/>
  <c r="EC327" i="21"/>
  <c r="EC325" i="21"/>
  <c r="EC326" i="21"/>
  <c r="EC332" i="21" l="1"/>
  <c r="ED303" i="21" s="1"/>
  <c r="ED304" i="21" s="1"/>
  <c r="ED309" i="21" s="1"/>
  <c r="ED317" i="21" l="1"/>
  <c r="ED316" i="21" s="1"/>
  <c r="ED320" i="21" s="1"/>
  <c r="ED331" i="21" s="1"/>
  <c r="ED333" i="21" l="1"/>
  <c r="ED330" i="21" s="1"/>
  <c r="ED321" i="21" l="1"/>
  <c r="ED326" i="21"/>
  <c r="ED322" i="21"/>
  <c r="ED325" i="21"/>
  <c r="ED324" i="21"/>
  <c r="ED323" i="21"/>
  <c r="ED327" i="21"/>
  <c r="ED332" i="21" l="1"/>
  <c r="EE303" i="21" s="1"/>
  <c r="EE317" i="21" s="1"/>
  <c r="EE304" i="21" l="1"/>
  <c r="EE309" i="21" s="1"/>
  <c r="EE316" i="21" l="1"/>
  <c r="EE320" i="21" s="1"/>
  <c r="EE333" i="21" s="1"/>
  <c r="EE330" i="21" s="1"/>
  <c r="EE331" i="21" l="1"/>
  <c r="EE322" i="21"/>
  <c r="EE325" i="21"/>
  <c r="EE324" i="21"/>
  <c r="EE323" i="21"/>
  <c r="EE326" i="21"/>
  <c r="EE327" i="21"/>
  <c r="EE321" i="21"/>
  <c r="EE332" i="21" l="1"/>
  <c r="EF303" i="21" s="1"/>
  <c r="EF317" i="21" s="1"/>
  <c r="EF304" i="21" l="1"/>
  <c r="EF309" i="21" s="1"/>
  <c r="EF316" i="21" s="1"/>
  <c r="EF320" i="21" s="1"/>
  <c r="EF331" i="21" s="1"/>
  <c r="EF333" i="21" l="1"/>
  <c r="EF330" i="21" s="1"/>
  <c r="EF325" i="21" l="1"/>
  <c r="EF321" i="21"/>
  <c r="EF324" i="21"/>
  <c r="EF322" i="21"/>
  <c r="EF326" i="21"/>
  <c r="EF323" i="21"/>
  <c r="EF327" i="21"/>
  <c r="EF332" i="21" l="1"/>
  <c r="EG303" i="21" s="1"/>
  <c r="EG304" i="21" l="1"/>
  <c r="EG309" i="21" s="1"/>
  <c r="EG317" i="21"/>
  <c r="EG316" i="21" l="1"/>
  <c r="EG320" i="21" s="1"/>
  <c r="EG331" i="21" s="1"/>
  <c r="EG333" i="21" l="1"/>
  <c r="EG330" i="21" s="1"/>
  <c r="EG322" i="21" l="1"/>
  <c r="EG325" i="21"/>
  <c r="EG327" i="21"/>
  <c r="EG326" i="21"/>
  <c r="EG321" i="21"/>
  <c r="EG323" i="21"/>
  <c r="EG324" i="21"/>
  <c r="EG332" i="21" l="1"/>
  <c r="EH303" i="21" s="1"/>
  <c r="EH317" i="21" l="1"/>
  <c r="EH304" i="21"/>
  <c r="EH309" i="21" s="1"/>
  <c r="EH316" i="21" l="1"/>
  <c r="EH320" i="21" s="1"/>
  <c r="EH331" i="21" s="1"/>
  <c r="EH333" i="21" l="1"/>
  <c r="EH330" i="21" s="1"/>
  <c r="EH327" i="21" l="1"/>
  <c r="EH321" i="21"/>
  <c r="EH322" i="21"/>
  <c r="EH324" i="21"/>
  <c r="EH323" i="21"/>
  <c r="EH325" i="21"/>
  <c r="EH326" i="21"/>
  <c r="EH332" i="21" l="1"/>
  <c r="EI303" i="21" s="1"/>
  <c r="EI317" i="21" s="1"/>
  <c r="EI304" i="21" l="1"/>
  <c r="EI309" i="21" s="1"/>
  <c r="EI316" i="21" l="1"/>
  <c r="EI320" i="21" s="1"/>
  <c r="EI331" i="21" s="1"/>
  <c r="EI333" i="21" l="1"/>
  <c r="EI330" i="21" s="1"/>
  <c r="EI322" i="21" l="1"/>
  <c r="EI323" i="21"/>
  <c r="EI327" i="21"/>
  <c r="EI325" i="21"/>
  <c r="EI326" i="21"/>
  <c r="EI321" i="21"/>
  <c r="EI324" i="21"/>
  <c r="EI332" i="21" l="1"/>
  <c r="EJ303" i="21" s="1"/>
  <c r="EJ317" i="21" s="1"/>
  <c r="EJ304" i="21" l="1"/>
  <c r="EJ309" i="21" s="1"/>
  <c r="EJ316" i="21"/>
  <c r="EJ320" i="21" s="1"/>
  <c r="EJ331" i="21" s="1"/>
  <c r="EJ333" i="21" l="1"/>
  <c r="EJ330" i="21" s="1"/>
  <c r="EJ324" i="21" l="1"/>
  <c r="EJ326" i="21"/>
  <c r="EJ325" i="21"/>
  <c r="EJ323" i="21"/>
  <c r="EJ327" i="21"/>
  <c r="EJ321" i="21"/>
  <c r="EJ322" i="21"/>
  <c r="EJ332" i="21" l="1"/>
  <c r="EK303" i="21" s="1"/>
  <c r="EK317" i="21" s="1"/>
  <c r="EK304" i="21" l="1"/>
  <c r="EK309" i="21" s="1"/>
  <c r="EK316" i="21" l="1"/>
  <c r="EK320" i="21" s="1"/>
  <c r="EK333" i="21" s="1"/>
  <c r="EK330" i="21" s="1"/>
  <c r="EK322" i="21" l="1"/>
  <c r="EK327" i="21"/>
  <c r="EK326" i="21"/>
  <c r="EK323" i="21"/>
  <c r="EK325" i="21"/>
  <c r="EK321" i="21"/>
  <c r="EK324" i="21"/>
  <c r="EK331" i="21"/>
  <c r="EK332" i="21" l="1"/>
  <c r="EL303" i="21" s="1"/>
  <c r="EL317" i="21" s="1"/>
  <c r="EL304" i="21" l="1"/>
  <c r="EL309" i="21" s="1"/>
  <c r="EL316" i="21" s="1"/>
  <c r="EL320" i="21" s="1"/>
  <c r="EL333" i="21" s="1"/>
  <c r="EL330" i="21" s="1"/>
  <c r="EL331" i="21" l="1"/>
  <c r="EL327" i="21"/>
  <c r="EL321" i="21"/>
  <c r="EL325" i="21"/>
  <c r="EL322" i="21"/>
  <c r="EL324" i="21"/>
  <c r="EL323" i="21"/>
  <c r="EL326" i="21"/>
  <c r="EL332" i="21" l="1"/>
  <c r="EM303" i="21" s="1"/>
  <c r="EM317" i="21" s="1"/>
  <c r="EM304" i="21" l="1"/>
  <c r="EM309" i="21" s="1"/>
  <c r="EM316" i="21" l="1"/>
  <c r="EM320" i="21" s="1"/>
  <c r="EM331" i="21" l="1"/>
  <c r="EM333" i="21"/>
  <c r="EM330" i="21" l="1"/>
  <c r="EM322" i="21"/>
  <c r="EM323" i="21"/>
  <c r="EM327" i="21"/>
  <c r="EM321" i="21"/>
  <c r="EM325" i="21"/>
  <c r="EM324" i="21"/>
  <c r="EM326" i="21"/>
  <c r="EM332" i="21" l="1"/>
  <c r="EN303" i="21" s="1"/>
  <c r="EN304" i="21" l="1"/>
  <c r="EN309" i="21" s="1"/>
  <c r="EN317" i="21"/>
  <c r="EN316" i="21" l="1"/>
  <c r="EN320" i="21" s="1"/>
  <c r="EN331" i="21" s="1"/>
  <c r="EN333" i="21" l="1"/>
  <c r="EN330" i="21" s="1"/>
  <c r="EN327" i="21" l="1"/>
  <c r="EN326" i="21"/>
  <c r="EN325" i="21"/>
  <c r="EN324" i="21"/>
  <c r="EN323" i="21"/>
  <c r="EN321" i="21"/>
  <c r="EN322" i="21"/>
  <c r="EN332" i="21" l="1"/>
  <c r="EO303" i="21" s="1"/>
  <c r="EO317" i="21" s="1"/>
  <c r="EO304" i="21" l="1"/>
  <c r="EO309" i="21" s="1"/>
  <c r="EO316" i="21" l="1"/>
  <c r="EO320" i="21" s="1"/>
  <c r="EO331" i="21" s="1"/>
  <c r="EO333" i="21" l="1"/>
  <c r="EO327" i="21" s="1"/>
  <c r="EO330" i="21" l="1"/>
  <c r="EO323" i="21"/>
  <c r="EO326" i="21"/>
  <c r="EO324" i="21"/>
  <c r="EO322" i="21"/>
  <c r="EO325" i="21"/>
  <c r="EO321" i="21"/>
  <c r="EO332" i="21" l="1"/>
  <c r="EP303" i="21" s="1"/>
  <c r="EP317" i="21" s="1"/>
  <c r="EP304" i="21" l="1"/>
  <c r="EP309" i="21" s="1"/>
  <c r="EP316" i="21" l="1"/>
  <c r="EP320" i="21" s="1"/>
  <c r="EP331" i="21" s="1"/>
  <c r="EP333" i="21" l="1"/>
  <c r="EP330" i="21" s="1"/>
  <c r="EP322" i="21"/>
  <c r="EP326" i="21"/>
  <c r="EP324" i="21"/>
  <c r="EP323" i="21"/>
  <c r="EP327" i="21"/>
  <c r="EP321" i="21"/>
  <c r="EP325" i="21" l="1"/>
  <c r="EP332" i="21" s="1"/>
  <c r="EQ303" i="21" s="1"/>
  <c r="EQ317" i="21" s="1"/>
  <c r="EQ304" i="21" l="1"/>
  <c r="EQ309" i="21" s="1"/>
  <c r="EQ316" i="21" l="1"/>
  <c r="EQ320" i="21" s="1"/>
  <c r="EQ331" i="21" s="1"/>
  <c r="EQ333" i="21" l="1"/>
  <c r="EQ330" i="21" s="1"/>
  <c r="EQ327" i="21" l="1"/>
  <c r="EQ323" i="21"/>
  <c r="EQ322" i="21"/>
  <c r="EQ325" i="21"/>
  <c r="EQ324" i="21"/>
  <c r="EQ321" i="21"/>
  <c r="EQ326" i="21"/>
  <c r="EQ332" i="21" l="1"/>
  <c r="ER303" i="21" s="1"/>
  <c r="ER317" i="21" s="1"/>
  <c r="ER304" i="21" l="1"/>
  <c r="ER309" i="21" s="1"/>
  <c r="ER316" i="21" s="1"/>
  <c r="ER320" i="21" s="1"/>
  <c r="ER331" i="21" s="1"/>
  <c r="ER333" i="21" l="1"/>
  <c r="ER330" i="21" s="1"/>
  <c r="ER326" i="21" l="1"/>
  <c r="ER321" i="21"/>
  <c r="ER324" i="21"/>
  <c r="ER327" i="21"/>
  <c r="ER325" i="21"/>
  <c r="ER322" i="21"/>
  <c r="ER323" i="21"/>
  <c r="ER332" i="21" l="1"/>
  <c r="ES303" i="21" s="1"/>
  <c r="ES304" i="21" l="1"/>
  <c r="ES317" i="21"/>
  <c r="ES309" i="21" l="1"/>
  <c r="ES316" i="21" s="1"/>
  <c r="ES320" i="21" s="1"/>
  <c r="ES333" i="21" l="1"/>
  <c r="ES331" i="21"/>
  <c r="ES330" i="21" l="1"/>
  <c r="ES327" i="21"/>
  <c r="ES321" i="21"/>
  <c r="ES325" i="21"/>
  <c r="ES326" i="21"/>
  <c r="ES323" i="21"/>
  <c r="ES322" i="21"/>
  <c r="ES324" i="21"/>
  <c r="ES332" i="21" l="1"/>
  <c r="ET303" i="21" s="1"/>
  <c r="ET304" i="21" s="1"/>
  <c r="ET309" i="21" s="1"/>
  <c r="ET317" i="21" l="1"/>
  <c r="ET316" i="21" s="1"/>
  <c r="ET320" i="21" s="1"/>
  <c r="ET331" i="21" l="1"/>
  <c r="ET333" i="21"/>
  <c r="ET330" i="21" l="1"/>
  <c r="ET326" i="21"/>
  <c r="ET323" i="21"/>
  <c r="ET324" i="21"/>
  <c r="ET321" i="21"/>
  <c r="ET327" i="21"/>
  <c r="ET325" i="21"/>
  <c r="ET322" i="21"/>
  <c r="ET332" i="21" l="1"/>
  <c r="EU303" i="21" s="1"/>
  <c r="EU317" i="21" s="1"/>
  <c r="EU304" i="21" l="1"/>
  <c r="EU309" i="21" s="1"/>
  <c r="EU316" i="21" s="1"/>
  <c r="EU320" i="21" s="1"/>
  <c r="EU333" i="21" s="1"/>
  <c r="EU331" i="21" l="1"/>
  <c r="EU322" i="21"/>
  <c r="EU323" i="21"/>
  <c r="EU321" i="21"/>
  <c r="EU330" i="21"/>
  <c r="EU326" i="21"/>
  <c r="EU327" i="21"/>
  <c r="EU324" i="21"/>
  <c r="EU325" i="21"/>
  <c r="EU332" i="21" l="1"/>
  <c r="EV303" i="21" s="1"/>
  <c r="EV317" i="21" l="1"/>
  <c r="EV304" i="21"/>
  <c r="EV309" i="21" s="1"/>
  <c r="EV316" i="21" l="1"/>
  <c r="EV320" i="21" s="1"/>
  <c r="EV331" i="21" l="1"/>
  <c r="EV333" i="21"/>
  <c r="EV330" i="21" l="1"/>
  <c r="EV323" i="21"/>
  <c r="EV327" i="21"/>
  <c r="EV325" i="21"/>
  <c r="EV324" i="21"/>
  <c r="EV326" i="21"/>
  <c r="EV322" i="21"/>
  <c r="EV321" i="21"/>
  <c r="EV332" i="21" l="1"/>
  <c r="EW303" i="21" s="1"/>
  <c r="EW317" i="21" s="1"/>
  <c r="EW304" i="21" l="1"/>
  <c r="EW309" i="21" s="1"/>
  <c r="EW316" i="21" l="1"/>
  <c r="EW320" i="21" s="1"/>
  <c r="EW331" i="21" s="1"/>
  <c r="EW333" i="21" l="1"/>
  <c r="EW330" i="21" s="1"/>
  <c r="EW327" i="21" l="1"/>
  <c r="EW321" i="21"/>
  <c r="EW323" i="21"/>
  <c r="EW326" i="21"/>
  <c r="EW324" i="21"/>
  <c r="EW322" i="21"/>
  <c r="EW325" i="21"/>
  <c r="EW332" i="21" l="1"/>
  <c r="EX303" i="21" s="1"/>
  <c r="EX317" i="21" s="1"/>
  <c r="EX304" i="21" l="1"/>
  <c r="EX309" i="21" s="1"/>
  <c r="EX316" i="21"/>
  <c r="EX320" i="21" s="1"/>
  <c r="EX331" i="21" s="1"/>
  <c r="EX333" i="21" l="1"/>
  <c r="EX330" i="21" s="1"/>
  <c r="EX327" i="21" l="1"/>
  <c r="EX322" i="21"/>
  <c r="EX324" i="21"/>
  <c r="EX325" i="21"/>
  <c r="EX321" i="21"/>
  <c r="EX323" i="21"/>
  <c r="EX326" i="21"/>
  <c r="EX332" i="21" l="1"/>
  <c r="EY303" i="21" s="1"/>
  <c r="EY317" i="21" s="1"/>
  <c r="EY304" i="21" l="1"/>
  <c r="EY309" i="21" s="1"/>
  <c r="EY316" i="21" l="1"/>
  <c r="EY320" i="21" s="1"/>
  <c r="EY331" i="21" s="1"/>
  <c r="EY333" i="21" l="1"/>
  <c r="EY326" i="21" s="1"/>
  <c r="EY330" i="21" l="1"/>
  <c r="EY324" i="21"/>
  <c r="EY327" i="21"/>
  <c r="EY325" i="21"/>
  <c r="EY323" i="21"/>
  <c r="EY322" i="21"/>
  <c r="EY321" i="21"/>
  <c r="EY332" i="21" l="1"/>
  <c r="EZ303" i="21" s="1"/>
  <c r="EZ317" i="21" s="1"/>
  <c r="EZ304" i="21" l="1"/>
  <c r="EZ309" i="21" s="1"/>
  <c r="EZ316" i="21" s="1"/>
  <c r="EZ320" i="21" s="1"/>
  <c r="EZ333" i="21" s="1"/>
  <c r="EZ324" i="21" s="1"/>
  <c r="EZ331" i="21" l="1"/>
  <c r="EZ330" i="21"/>
  <c r="EZ325" i="21"/>
  <c r="EZ323" i="21"/>
  <c r="EZ326" i="21"/>
  <c r="EZ327" i="21"/>
  <c r="EZ322" i="21"/>
  <c r="EZ321" i="21"/>
  <c r="EZ332" i="21" l="1"/>
  <c r="FA303" i="21" s="1"/>
  <c r="FA304" i="21" s="1"/>
  <c r="FA309" i="21" s="1"/>
  <c r="FA317" i="21" l="1"/>
  <c r="FA316" i="21" s="1"/>
  <c r="FA320" i="21" s="1"/>
  <c r="FA331" i="21" s="1"/>
  <c r="FA333" i="21" l="1"/>
  <c r="FA330" i="21" s="1"/>
  <c r="FA323" i="21" l="1"/>
  <c r="FA325" i="21"/>
  <c r="FA324" i="21"/>
  <c r="FA321" i="21"/>
  <c r="FA322" i="21"/>
  <c r="FA327" i="21"/>
  <c r="FA326" i="21"/>
  <c r="FA332" i="21" l="1"/>
  <c r="FB303" i="21" s="1"/>
  <c r="FB304" i="21" s="1"/>
  <c r="FB309" i="21" s="1"/>
  <c r="FB317" i="21" l="1"/>
  <c r="FB316" i="21" s="1"/>
  <c r="FB320" i="21" s="1"/>
  <c r="FB333" i="21" l="1"/>
  <c r="FB331" i="21"/>
  <c r="FB321" i="21" l="1"/>
  <c r="FB324" i="21"/>
  <c r="FB330" i="21"/>
  <c r="FB327" i="21"/>
  <c r="FB323" i="21"/>
  <c r="FB325" i="21"/>
  <c r="FB322" i="21"/>
  <c r="FB326" i="21"/>
  <c r="FB332" i="21" l="1"/>
  <c r="FC303" i="21" s="1"/>
  <c r="FC317" i="21" l="1"/>
  <c r="FC304" i="21"/>
  <c r="FC309" i="21" s="1"/>
  <c r="FC316" i="21" l="1"/>
  <c r="FC320" i="21" s="1"/>
  <c r="FC331" i="21" s="1"/>
  <c r="FC333" i="21" l="1"/>
  <c r="FC327" i="21" s="1"/>
  <c r="FC322" i="21" l="1"/>
  <c r="FC323" i="21"/>
  <c r="FC326" i="21"/>
  <c r="FC321" i="21"/>
  <c r="FC324" i="21"/>
  <c r="FC330" i="21"/>
  <c r="FC325" i="21"/>
  <c r="FC332" i="21" l="1"/>
  <c r="FD303" i="21" s="1"/>
  <c r="FD317" i="21" s="1"/>
  <c r="FD304" i="21" l="1"/>
  <c r="FD309" i="21" s="1"/>
  <c r="FD316" i="21" s="1"/>
  <c r="FD320" i="21" s="1"/>
  <c r="FD333" i="21" s="1"/>
  <c r="FD323" i="21" s="1"/>
  <c r="FD327" i="21" l="1"/>
  <c r="FD325" i="21"/>
  <c r="FD326" i="21"/>
  <c r="FD321" i="21"/>
  <c r="FD324" i="21"/>
  <c r="FD322" i="21"/>
  <c r="FD330" i="21"/>
  <c r="FD331" i="21"/>
  <c r="FD332" i="21" l="1"/>
  <c r="FE303" i="21" s="1"/>
  <c r="FE317" i="21" s="1"/>
  <c r="FE304" i="21" l="1"/>
  <c r="FE309" i="21" s="1"/>
  <c r="FE316" i="21"/>
  <c r="FE320" i="21" s="1"/>
  <c r="FE333" i="21" l="1"/>
  <c r="FE331" i="21"/>
  <c r="FE330" i="21" l="1"/>
  <c r="FE326" i="21"/>
  <c r="FE322" i="21"/>
  <c r="FE325" i="21"/>
  <c r="FE321" i="21"/>
  <c r="FE323" i="21"/>
  <c r="FE324" i="21"/>
  <c r="FE327" i="21"/>
  <c r="FE332" i="21" l="1"/>
  <c r="FF303" i="21" s="1"/>
  <c r="FF317" i="21" l="1"/>
  <c r="FF304" i="21"/>
  <c r="FF309" i="21" s="1"/>
  <c r="FF316" i="21" l="1"/>
  <c r="FF320" i="21" s="1"/>
  <c r="FF331" i="21" l="1"/>
  <c r="FF333" i="21"/>
  <c r="FF326" i="21" l="1"/>
  <c r="FF322" i="21"/>
  <c r="FF325" i="21"/>
  <c r="FF321" i="21"/>
  <c r="FF324" i="21"/>
  <c r="FF330" i="21"/>
  <c r="FF323" i="21"/>
  <c r="FF327" i="21"/>
  <c r="FF332" i="21" l="1"/>
  <c r="FG303" i="21" s="1"/>
  <c r="FG317" i="21" l="1"/>
  <c r="FG304" i="21"/>
  <c r="FG309" i="21" s="1"/>
  <c r="FG316" i="21" l="1"/>
  <c r="FG320" i="21" s="1"/>
  <c r="FG331" i="21" s="1"/>
  <c r="FG333" i="21" l="1"/>
  <c r="FG324" i="21" s="1"/>
  <c r="FG325" i="21" l="1"/>
  <c r="FG322" i="21"/>
  <c r="FG323" i="21"/>
  <c r="FG321" i="21"/>
  <c r="FG330" i="21"/>
  <c r="FG326" i="21"/>
  <c r="FG327" i="21"/>
  <c r="FG332" i="21" l="1"/>
  <c r="FH303" i="21" s="1"/>
  <c r="FH317" i="21" s="1"/>
  <c r="FH304" i="21" l="1"/>
  <c r="FH309" i="21" s="1"/>
  <c r="FH316" i="21" l="1"/>
  <c r="FH320" i="21" s="1"/>
  <c r="FH331" i="21" s="1"/>
  <c r="FH333" i="21" l="1"/>
  <c r="FH330" i="21" s="1"/>
  <c r="FH321" i="21" l="1"/>
  <c r="FH323" i="21"/>
  <c r="FH322" i="21"/>
  <c r="FH324" i="21"/>
  <c r="FH325" i="21"/>
  <c r="FH327" i="21"/>
  <c r="FH326" i="21"/>
  <c r="FH332" i="21" l="1"/>
  <c r="FI303" i="21" s="1"/>
  <c r="FI317" i="21" s="1"/>
  <c r="FI304" i="21" l="1"/>
  <c r="FI309" i="21" s="1"/>
  <c r="FI316" i="21" l="1"/>
  <c r="FI320" i="21" s="1"/>
  <c r="FI331" i="21" s="1"/>
  <c r="FI333" i="21" l="1"/>
  <c r="FI325" i="21" s="1"/>
  <c r="FI324" i="21"/>
  <c r="FI321" i="21"/>
  <c r="FI327" i="21"/>
  <c r="FI323" i="21"/>
  <c r="FI326" i="21"/>
  <c r="FI322" i="21"/>
  <c r="FI330" i="21" l="1"/>
  <c r="FI332" i="21" s="1"/>
  <c r="FJ303" i="21" s="1"/>
  <c r="FJ317" i="21" s="1"/>
  <c r="FJ304" i="21" l="1"/>
  <c r="FJ309" i="21" s="1"/>
  <c r="FJ316" i="21" l="1"/>
  <c r="FJ320" i="21" s="1"/>
  <c r="FJ331" i="21" s="1"/>
  <c r="FJ333" i="21" l="1"/>
  <c r="FJ325" i="21" s="1"/>
  <c r="FJ322" i="21"/>
  <c r="FJ321" i="21"/>
  <c r="FJ330" i="21"/>
  <c r="FJ327" i="21"/>
  <c r="FJ324" i="21"/>
  <c r="FJ323" i="21"/>
  <c r="FJ326" i="21"/>
  <c r="FJ332" i="21" l="1"/>
  <c r="FK303" i="21" s="1"/>
  <c r="FK317" i="21" s="1"/>
  <c r="FK304" i="21" l="1"/>
  <c r="FK309" i="21" s="1"/>
  <c r="FK316" i="21" l="1"/>
  <c r="FK320" i="21" s="1"/>
  <c r="FK331" i="21" s="1"/>
  <c r="FK333" i="21" l="1"/>
  <c r="FK325" i="21" l="1"/>
  <c r="FK326" i="21"/>
  <c r="FK321" i="21"/>
  <c r="FK327" i="21"/>
  <c r="FK323" i="21"/>
  <c r="FK324" i="21"/>
  <c r="FK330" i="21"/>
  <c r="FK322" i="21"/>
  <c r="FK332" i="21" l="1"/>
  <c r="FL303" i="21" s="1"/>
  <c r="FL304" i="21" s="1"/>
  <c r="FL309" i="21" s="1"/>
  <c r="FL317" i="21" l="1"/>
  <c r="FL316" i="21" s="1"/>
  <c r="FL320" i="21" s="1"/>
  <c r="FL331" i="21" s="1"/>
  <c r="FL333" i="21" l="1"/>
  <c r="FL330" i="21" s="1"/>
  <c r="FL325" i="21" l="1"/>
  <c r="FL327" i="21"/>
  <c r="FL322" i="21"/>
  <c r="FL323" i="21"/>
  <c r="FL321" i="21"/>
  <c r="FL326" i="21"/>
  <c r="FL324" i="21"/>
  <c r="FL332" i="21" s="1"/>
  <c r="FM303" i="21" s="1"/>
  <c r="FM317" i="21" s="1"/>
  <c r="FM304" i="21" l="1"/>
  <c r="FM309" i="21" s="1"/>
  <c r="FM316" i="21" l="1"/>
  <c r="FM320" i="21" s="1"/>
  <c r="FM331" i="21" s="1"/>
  <c r="FM333" i="21" l="1"/>
  <c r="FM324" i="21" s="1"/>
  <c r="FM321" i="21" l="1"/>
  <c r="FM327" i="21"/>
  <c r="FM330" i="21"/>
  <c r="FM326" i="21"/>
  <c r="FM323" i="21"/>
  <c r="FM322" i="21"/>
  <c r="FM325" i="21"/>
  <c r="FM332" i="21" l="1"/>
  <c r="FN303" i="21" s="1"/>
  <c r="FN304" i="21" s="1"/>
  <c r="FN317" i="21" l="1"/>
  <c r="FN309" i="21"/>
  <c r="FN316" i="21" s="1"/>
  <c r="FN320" i="21" s="1"/>
  <c r="FN333" i="21" l="1"/>
  <c r="FN331" i="21"/>
  <c r="FN330" i="21" l="1"/>
  <c r="FN324" i="21"/>
  <c r="FN327" i="21"/>
  <c r="FN322" i="21"/>
  <c r="FN325" i="21"/>
  <c r="FN321" i="21"/>
  <c r="FN326" i="21"/>
  <c r="FN323" i="21"/>
  <c r="FN332" i="21" l="1"/>
  <c r="FO303" i="21" s="1"/>
  <c r="FO304" i="21" l="1"/>
  <c r="FO309" i="21" s="1"/>
  <c r="FO317" i="21"/>
  <c r="FO316" i="21" l="1"/>
  <c r="FO320" i="21" s="1"/>
  <c r="FO333" i="21" s="1"/>
  <c r="FO331" i="21" l="1"/>
  <c r="FO330" i="21"/>
  <c r="FO322" i="21"/>
  <c r="FO321" i="21"/>
  <c r="FO325" i="21"/>
  <c r="FO324" i="21"/>
  <c r="FO323" i="21"/>
  <c r="FO326" i="21"/>
  <c r="FO327" i="21"/>
  <c r="FO332" i="21" l="1"/>
  <c r="FP303" i="21" s="1"/>
  <c r="FP304" i="21" l="1"/>
  <c r="FP309" i="21" s="1"/>
  <c r="FP317" i="21"/>
  <c r="FP316" i="21" l="1"/>
  <c r="FP320" i="21" s="1"/>
  <c r="FP331" i="21" s="1"/>
  <c r="FP333" i="21" l="1"/>
  <c r="FP324" i="21" s="1"/>
  <c r="FP322" i="21" l="1"/>
  <c r="FP323" i="21"/>
  <c r="FP325" i="21"/>
  <c r="FP326" i="21"/>
  <c r="FP327" i="21"/>
  <c r="FP321" i="21"/>
  <c r="FP330" i="21"/>
  <c r="FP332" i="21" l="1"/>
  <c r="FQ303" i="21" s="1"/>
  <c r="FQ304" i="21" s="1"/>
  <c r="FQ309" i="21" s="1"/>
  <c r="FQ317" i="21" l="1"/>
  <c r="FQ316" i="21" s="1"/>
  <c r="FQ320" i="21" s="1"/>
  <c r="FQ331" i="21" s="1"/>
  <c r="FQ333" i="21" l="1"/>
  <c r="FQ330" i="21" s="1"/>
  <c r="FQ324" i="21" l="1"/>
  <c r="FQ323" i="21"/>
  <c r="FQ322" i="21"/>
  <c r="FQ321" i="21"/>
  <c r="FQ327" i="21"/>
  <c r="FQ325" i="21"/>
  <c r="FQ326" i="21"/>
  <c r="FQ332" i="21" l="1"/>
  <c r="FR303" i="21" s="1"/>
  <c r="FR317" i="21" s="1"/>
  <c r="FR304" i="21" l="1"/>
  <c r="FR309" i="21" s="1"/>
  <c r="FR316" i="21" l="1"/>
  <c r="FR320" i="21" s="1"/>
  <c r="FR331" i="21" s="1"/>
  <c r="FR333" i="21" l="1"/>
  <c r="FR330" i="21"/>
  <c r="FR323" i="21"/>
  <c r="FR324" i="21"/>
  <c r="FR325" i="21"/>
  <c r="FR327" i="21"/>
  <c r="FR322" i="21"/>
  <c r="FR321" i="21"/>
  <c r="FR326" i="21"/>
  <c r="FR332" i="21" l="1"/>
  <c r="FS303" i="21" s="1"/>
  <c r="FS304" i="21" s="1"/>
  <c r="FS309" i="21" s="1"/>
  <c r="FS317" i="21" l="1"/>
  <c r="FS316" i="21" s="1"/>
  <c r="FS320" i="21" s="1"/>
  <c r="FS333" i="21" l="1"/>
  <c r="FS331" i="21"/>
  <c r="FS327" i="21" l="1"/>
  <c r="FS326" i="21"/>
  <c r="FS330" i="21"/>
  <c r="FS325" i="21"/>
  <c r="FS323" i="21"/>
  <c r="FS321" i="21"/>
  <c r="FS324" i="21"/>
  <c r="FS322" i="21"/>
  <c r="FS332" i="21" l="1"/>
  <c r="FT303" i="21" s="1"/>
  <c r="FT304" i="21" l="1"/>
  <c r="FT309" i="21" s="1"/>
  <c r="FT317" i="21"/>
  <c r="FT316" i="21" l="1"/>
  <c r="FT320" i="21" s="1"/>
  <c r="FT331" i="21" s="1"/>
  <c r="FT333" i="21" l="1"/>
  <c r="FT324" i="21" s="1"/>
  <c r="FT325" i="21" l="1"/>
  <c r="FT323" i="21"/>
  <c r="FT326" i="21"/>
  <c r="FT322" i="21"/>
  <c r="FT330" i="21"/>
  <c r="FT327" i="21"/>
  <c r="FT321" i="21"/>
  <c r="FT332" i="21" l="1"/>
  <c r="FU303" i="21" s="1"/>
  <c r="FU304" i="21" s="1"/>
  <c r="FU309" i="21" s="1"/>
  <c r="FU317" i="21"/>
  <c r="FU316" i="21" l="1"/>
  <c r="FU320" i="21" s="1"/>
  <c r="FU331" i="21" s="1"/>
  <c r="FU333" i="21" l="1"/>
  <c r="FU330" i="21" s="1"/>
  <c r="FU321" i="21" l="1"/>
  <c r="FU322" i="21"/>
  <c r="FU327" i="21"/>
  <c r="FU324" i="21"/>
  <c r="FU325" i="21"/>
  <c r="FU326" i="21"/>
  <c r="FU323" i="21"/>
  <c r="FU332" i="21" l="1"/>
  <c r="FV303" i="21" s="1"/>
  <c r="FV304" i="21" s="1"/>
  <c r="FV309" i="21" s="1"/>
  <c r="FV317" i="21" l="1"/>
  <c r="FV316" i="21" s="1"/>
  <c r="FV320" i="21" s="1"/>
  <c r="FV331" i="21" s="1"/>
  <c r="FV333" i="21" l="1"/>
  <c r="FV330" i="21" s="1"/>
  <c r="FV322" i="21" l="1"/>
  <c r="FV327" i="21"/>
  <c r="FV323" i="21"/>
  <c r="FV321" i="21"/>
  <c r="FV326" i="21"/>
  <c r="FV325" i="21"/>
  <c r="FV324" i="21"/>
  <c r="FV332" i="21" l="1"/>
  <c r="FW303" i="21" s="1"/>
  <c r="FW317" i="21" s="1"/>
  <c r="FW304" i="21" l="1"/>
  <c r="FW309" i="21" s="1"/>
  <c r="FW316" i="21" s="1"/>
  <c r="FW320" i="21" s="1"/>
  <c r="FW333" i="21" s="1"/>
  <c r="FW331" i="21" l="1"/>
  <c r="FW326" i="21"/>
  <c r="FW323" i="21"/>
  <c r="FW325" i="21"/>
  <c r="FW321" i="21"/>
  <c r="FW322" i="21"/>
  <c r="FW330" i="21"/>
  <c r="FW327" i="21"/>
  <c r="FW324" i="21"/>
  <c r="FW332" i="21" l="1"/>
  <c r="FX303" i="21" s="1"/>
  <c r="FX317" i="21" l="1"/>
  <c r="FX304" i="21"/>
  <c r="FX309" i="21" s="1"/>
  <c r="FX316" i="21" l="1"/>
  <c r="FX320" i="21" s="1"/>
  <c r="FX331" i="21" s="1"/>
  <c r="FX333" i="21" l="1"/>
  <c r="FX327" i="21" s="1"/>
  <c r="FX325" i="21" l="1"/>
  <c r="FX323" i="21"/>
  <c r="FX322" i="21"/>
  <c r="FX330" i="21"/>
  <c r="FX324" i="21"/>
  <c r="FX321" i="21"/>
  <c r="FX326" i="21"/>
  <c r="FX332" i="21" l="1"/>
  <c r="FY303" i="21" s="1"/>
  <c r="FY304" i="21" s="1"/>
  <c r="FY309" i="21" l="1"/>
  <c r="FY317" i="21"/>
  <c r="FY316" i="21"/>
  <c r="FY320" i="21" s="1"/>
  <c r="FY331" i="21" l="1"/>
  <c r="FY333" i="21"/>
  <c r="FY326" i="21" l="1"/>
  <c r="FY323" i="21"/>
  <c r="FY324" i="21"/>
  <c r="FY325" i="21"/>
  <c r="FY330" i="21"/>
  <c r="B334" i="21"/>
  <c r="FY327" i="21"/>
  <c r="FY321" i="21"/>
  <c r="FY322" i="21"/>
  <c r="FY33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sharedStrings.xml><?xml version="1.0" encoding="utf-8"?>
<sst xmlns="http://schemas.openxmlformats.org/spreadsheetml/2006/main" count="979" uniqueCount="432">
  <si>
    <t>Premi</t>
  </si>
  <si>
    <t>Komisi</t>
  </si>
  <si>
    <t>No.</t>
  </si>
  <si>
    <t>Usia Masuk</t>
  </si>
  <si>
    <t>Masa Asuransi</t>
  </si>
  <si>
    <t>Uang Pertanggungan</t>
  </si>
  <si>
    <t>Cara Bayar</t>
  </si>
  <si>
    <t>Masa Bayar Premi</t>
  </si>
  <si>
    <t>Tanggal Mulai</t>
  </si>
  <si>
    <t>Tanggal Akhir</t>
  </si>
  <si>
    <t>:</t>
  </si>
  <si>
    <t>Surrender</t>
  </si>
  <si>
    <t>TMI-IV (M)</t>
  </si>
  <si>
    <t>Discount Rate :</t>
  </si>
  <si>
    <t>( CV )</t>
  </si>
  <si>
    <t>Decrement</t>
  </si>
  <si>
    <t>After Decrement</t>
  </si>
  <si>
    <t>PV Future Benefits</t>
  </si>
  <si>
    <t>PV Future Expenses</t>
  </si>
  <si>
    <t>Valuation Date :</t>
  </si>
  <si>
    <t>per month</t>
  </si>
  <si>
    <t>Bulan ke-</t>
  </si>
  <si>
    <t>Inflasi :</t>
  </si>
  <si>
    <t>Usia Tertanggung</t>
  </si>
  <si>
    <t>qx (PA)</t>
  </si>
  <si>
    <t>Total Future Benefits</t>
  </si>
  <si>
    <t>Total Future Expenses</t>
  </si>
  <si>
    <t>PAD Lapse :</t>
  </si>
  <si>
    <t>PAD Mortality :</t>
  </si>
  <si>
    <t>qx</t>
  </si>
  <si>
    <t>Lapse</t>
  </si>
  <si>
    <t>Tahun</t>
  </si>
  <si>
    <t>Mature</t>
  </si>
  <si>
    <t>Before Decrement</t>
  </si>
  <si>
    <t>Survival Benefits</t>
  </si>
  <si>
    <t>MPP</t>
  </si>
  <si>
    <t>Fixed Cost</t>
  </si>
  <si>
    <t>Nama Tertanggung</t>
  </si>
  <si>
    <t>Bulan</t>
  </si>
  <si>
    <t>Monthly q (Lapse)</t>
  </si>
  <si>
    <t>Monthly q (Mature)</t>
  </si>
  <si>
    <t>Yearly Rate CV</t>
  </si>
  <si>
    <t>Monthly Rate CV</t>
  </si>
  <si>
    <t>Jml Bulan yg dilewati :</t>
  </si>
  <si>
    <t>Future Premiums</t>
  </si>
  <si>
    <t>PV Future Premiums</t>
  </si>
  <si>
    <t>Biaya Akuisisi</t>
  </si>
  <si>
    <t>Biaya Pemeliharaan Polis</t>
  </si>
  <si>
    <t>% Premi</t>
  </si>
  <si>
    <t>Modal Premium</t>
  </si>
  <si>
    <t>Status Polis :</t>
  </si>
  <si>
    <t>Usia Anak</t>
  </si>
  <si>
    <t>Tahapan</t>
  </si>
  <si>
    <t>PAD Expense :</t>
  </si>
  <si>
    <t>Polis</t>
  </si>
  <si>
    <t>Rate</t>
  </si>
  <si>
    <t>BEL</t>
  </si>
  <si>
    <t>BEL Per Unit</t>
  </si>
  <si>
    <t>Rate IBPA</t>
  </si>
  <si>
    <t>Tenor</t>
  </si>
  <si>
    <t>2018 tidak komplit</t>
  </si>
  <si>
    <t>BEL :</t>
  </si>
  <si>
    <t>Rate Inflasi</t>
  </si>
  <si>
    <t>UW_Year</t>
  </si>
  <si>
    <t>Usia</t>
  </si>
  <si>
    <t>Policy_Year</t>
  </si>
  <si>
    <t>UWYear</t>
  </si>
  <si>
    <t>Lapse Rate - Yearly</t>
  </si>
  <si>
    <t>Lapse Rate - Monthly</t>
  </si>
  <si>
    <t>RA</t>
  </si>
  <si>
    <t>RA Per Unit</t>
  </si>
  <si>
    <t>RA :</t>
  </si>
  <si>
    <t>CSM</t>
  </si>
  <si>
    <t>Beg</t>
  </si>
  <si>
    <t>Unwind</t>
  </si>
  <si>
    <t>End</t>
  </si>
  <si>
    <t>Total After Decrement</t>
  </si>
  <si>
    <t>- Policy issue 2019 s.d sekarang --&gt; TMI IV</t>
  </si>
  <si>
    <t>- Policy issue s.d 2018 --&gt; TMI III</t>
  </si>
  <si>
    <t>TMI-III (M)</t>
  </si>
  <si>
    <t>Issued Year</t>
  </si>
  <si>
    <t>TMI Used</t>
  </si>
  <si>
    <t>Tabel</t>
  </si>
  <si>
    <t>Nama Produk</t>
  </si>
  <si>
    <t>PA</t>
  </si>
  <si>
    <t>CI</t>
  </si>
  <si>
    <t>Death PV</t>
  </si>
  <si>
    <t>Monthly q (PA)</t>
  </si>
  <si>
    <t>Monthly qx (CI)</t>
  </si>
  <si>
    <t>qx (PA) Monthly</t>
  </si>
  <si>
    <t>qx (CI)</t>
  </si>
  <si>
    <t>qx (CI) Monthly</t>
  </si>
  <si>
    <t>Sesuai manfaat</t>
  </si>
  <si>
    <t>Bonus</t>
  </si>
  <si>
    <t>Akumulasi Bonus</t>
  </si>
  <si>
    <t>Suku Bunga Bonus :</t>
  </si>
  <si>
    <t>Monthly qx (TPD)</t>
  </si>
  <si>
    <t>TPD</t>
  </si>
  <si>
    <t>qx (TPD)</t>
  </si>
  <si>
    <t>qx (TPD) Monthly</t>
  </si>
  <si>
    <t>Monthly qx (Term Life)</t>
  </si>
  <si>
    <t>Monthly qx (ND)</t>
  </si>
  <si>
    <t>Term Life</t>
  </si>
  <si>
    <t>ND</t>
  </si>
  <si>
    <t>Joint Term Life</t>
  </si>
  <si>
    <t>Joint ND</t>
  </si>
  <si>
    <t>PV Death - Before PV</t>
  </si>
  <si>
    <t>PV Death</t>
  </si>
  <si>
    <t>CP</t>
  </si>
  <si>
    <t>Maturity</t>
  </si>
  <si>
    <t>Fixed Cost_1</t>
  </si>
  <si>
    <t>Benefits</t>
  </si>
  <si>
    <t>qx (ND) monthly</t>
  </si>
  <si>
    <t>qx (ND)</t>
  </si>
  <si>
    <t>qx (TL)</t>
  </si>
  <si>
    <t>qx (TL) monthly</t>
  </si>
  <si>
    <t>qx (Joint TL)</t>
  </si>
  <si>
    <t>qx (Joint ND)</t>
  </si>
  <si>
    <t>qx (Joint ND) monthly</t>
  </si>
  <si>
    <t>qx (Joint TL) monthly</t>
  </si>
  <si>
    <t>qx (CP)</t>
  </si>
  <si>
    <t>qx (CP) monthly</t>
  </si>
  <si>
    <t>Monthly qx (CP)</t>
  </si>
  <si>
    <t>Term Life Joint</t>
  </si>
  <si>
    <t>ND Joint</t>
  </si>
  <si>
    <t>Akumulasi</t>
  </si>
  <si>
    <t>CSM Released</t>
  </si>
  <si>
    <t>Branch</t>
  </si>
  <si>
    <t>Segment</t>
  </si>
  <si>
    <t>ISType</t>
  </si>
  <si>
    <t>Type</t>
  </si>
  <si>
    <t>Inception</t>
  </si>
  <si>
    <t>Expiry</t>
  </si>
  <si>
    <t>Nama_Reasuransi</t>
  </si>
  <si>
    <t>Nomor_Dokumen</t>
  </si>
  <si>
    <t>Jenis_Reasuransi</t>
  </si>
  <si>
    <t>Model_Reasuransi</t>
  </si>
  <si>
    <t>Share_MNC_PCT</t>
  </si>
  <si>
    <t>Share_Reasuransi_PCT</t>
  </si>
  <si>
    <t>Uang_Pertanggungan_MNC</t>
  </si>
  <si>
    <t>Uang_Pertanggungan_Reasuransi</t>
  </si>
  <si>
    <t>Premi_Reasuransi</t>
  </si>
  <si>
    <t>Komisi_Reasuransi_PCT</t>
  </si>
  <si>
    <t>IDR</t>
  </si>
  <si>
    <t>inforce</t>
  </si>
  <si>
    <t>N</t>
  </si>
  <si>
    <t>Monthly</t>
  </si>
  <si>
    <t>Month</t>
  </si>
  <si>
    <t>Year-1</t>
  </si>
  <si>
    <t>Year-2</t>
  </si>
  <si>
    <t>Year-3</t>
  </si>
  <si>
    <t>Year-4</t>
  </si>
  <si>
    <t>Year-5</t>
  </si>
  <si>
    <t>% Initial Disc Rate (Annual)</t>
  </si>
  <si>
    <t>% RA Of Claim</t>
  </si>
  <si>
    <t>% RA Of Expense</t>
  </si>
  <si>
    <t>% RA Of Claim Cost</t>
  </si>
  <si>
    <t xml:space="preserve">% Inflation Rate </t>
  </si>
  <si>
    <t>% Claim Pattern Ratio</t>
  </si>
  <si>
    <t>% Claim Expected</t>
  </si>
  <si>
    <t>% Expense Expected</t>
  </si>
  <si>
    <t>% Other Expense Expected</t>
  </si>
  <si>
    <t>% Claim Cost Expected (of Claim)</t>
  </si>
  <si>
    <t>% Cancel Rate</t>
  </si>
  <si>
    <t>% Claim Paid Pattern - Year-1</t>
  </si>
  <si>
    <t>% Claim Paid Pattern - Year-2</t>
  </si>
  <si>
    <t>% Claim Paid Pattern - Year-3</t>
  </si>
  <si>
    <t>Total Premium Expected</t>
  </si>
  <si>
    <t>Total Commission Expected</t>
  </si>
  <si>
    <t>Eff Month N</t>
  </si>
  <si>
    <t>NumMonths</t>
  </si>
  <si>
    <t>Year N</t>
  </si>
  <si>
    <t>Eff Month Start</t>
  </si>
  <si>
    <t>Eff Month End</t>
  </si>
  <si>
    <t>Premium Expected</t>
  </si>
  <si>
    <t>Commission Expected</t>
  </si>
  <si>
    <t>Claim Paid - Year-1</t>
  </si>
  <si>
    <t>Claim Paid - Year-2</t>
  </si>
  <si>
    <t>Claim Paid - Year-3</t>
  </si>
  <si>
    <t>Expense Expected</t>
  </si>
  <si>
    <t>Other Expense Expected</t>
  </si>
  <si>
    <t>Claim Cost Expected - Claim Paid Year-1</t>
  </si>
  <si>
    <t>Claim Cost Expected - Claim Paid Year-2</t>
  </si>
  <si>
    <t>Claim Cost Expected - Claim Paid Year-3</t>
  </si>
  <si>
    <t>Refund Expected</t>
  </si>
  <si>
    <t>Y Monthly</t>
  </si>
  <si>
    <t>Paid Pattern Year-1</t>
  </si>
  <si>
    <t>Paid Pattern Year-2</t>
  </si>
  <si>
    <t>Paid Pattern Year-3</t>
  </si>
  <si>
    <t>PV Premium Expected</t>
  </si>
  <si>
    <t>PV Commission Expected</t>
  </si>
  <si>
    <t>W/o Change On Discount Rate</t>
  </si>
  <si>
    <t>Claim Expected (Claim Paid - Year-2)</t>
  </si>
  <si>
    <t>Claim Expected (Claim Paid - Year-3)</t>
  </si>
  <si>
    <t>Claim Expected with PAD - (Claim Paid - Year-2)</t>
  </si>
  <si>
    <t>Claim Expected with PAD - (Claim Paid - Year-3)</t>
  </si>
  <si>
    <t>Other Expense Expected (with PAD)</t>
  </si>
  <si>
    <t>Claim Cost Expected with PAD - (Claim Paid - Year-1)</t>
  </si>
  <si>
    <t>Claim Cost Expected with PAD - (Claim Paid - Year-2)</t>
  </si>
  <si>
    <t>Claim Cost Expected with PAD - (Claim Paid - Year-3)</t>
  </si>
  <si>
    <t>Refund Expected (with PAD)</t>
  </si>
  <si>
    <t>Cash Flow (CF)</t>
  </si>
  <si>
    <t>Cash Flow (CF With PAD)</t>
  </si>
  <si>
    <t>W/ Change On Discount Rate</t>
  </si>
  <si>
    <t>BEL Movement</t>
  </si>
  <si>
    <t>BEL Initial / Beginning</t>
  </si>
  <si>
    <t>BEL Premium Expected</t>
  </si>
  <si>
    <t>BEL Commission Expected</t>
  </si>
  <si>
    <t>BEL Interest Accrete</t>
  </si>
  <si>
    <t>BEL Claim Expected</t>
  </si>
  <si>
    <t>BEL Expense Expected</t>
  </si>
  <si>
    <t>BEL Other Expense Expected</t>
  </si>
  <si>
    <t>BEL Claim Cost Expected</t>
  </si>
  <si>
    <t>BEL Refund Expected</t>
  </si>
  <si>
    <t>BEL Ending Before Change</t>
  </si>
  <si>
    <t>BEL Ending After Change Non Disc Rate</t>
  </si>
  <si>
    <t>BEL Gain Loss Disc Rate</t>
  </si>
  <si>
    <t>BEL Ending After Change Disc Rate</t>
  </si>
  <si>
    <t>RA Movement</t>
  </si>
  <si>
    <t>RA Initial / RA Beginning</t>
  </si>
  <si>
    <t>RA Interest Accrete</t>
  </si>
  <si>
    <t>RA Release (Claim)</t>
  </si>
  <si>
    <t>RA Release (Expense)</t>
  </si>
  <si>
    <t>RA Release (Other Expense)</t>
  </si>
  <si>
    <t>RA Release (Claim Cost)</t>
  </si>
  <si>
    <t>RA Release (Refund)</t>
  </si>
  <si>
    <t>RA Ending Before Change</t>
  </si>
  <si>
    <t>RA Gain Loss Non Disc Rate</t>
  </si>
  <si>
    <t>RA Ending After Change Non Disc Rate</t>
  </si>
  <si>
    <t>RA Gain Loss Disc Rate</t>
  </si>
  <si>
    <t>RA Ending After Change Disc Rate</t>
  </si>
  <si>
    <t>CSM Movement</t>
  </si>
  <si>
    <t>CSM Initial</t>
  </si>
  <si>
    <t>CSM Interest Accrete</t>
  </si>
  <si>
    <t>CSM Amortization</t>
  </si>
  <si>
    <t>Monthly Unit Release</t>
  </si>
  <si>
    <t>Amortization Acquisition Cost</t>
  </si>
  <si>
    <t>CSM_GainLoss_Realization_Premium</t>
  </si>
  <si>
    <t>CSM_GainLoss_Realization_Commission</t>
  </si>
  <si>
    <t>CSM GainLoss NonDiscRate</t>
  </si>
  <si>
    <t>CSM End</t>
  </si>
  <si>
    <t>LC Movement</t>
  </si>
  <si>
    <t>Loss_Start</t>
  </si>
  <si>
    <t>Loss_Portion_from_Claim_Release</t>
  </si>
  <si>
    <t>Loss_Portion_from_Expense_Release</t>
  </si>
  <si>
    <t>Loss_Portion_from_Other_Expense_Release</t>
  </si>
  <si>
    <t>Loss_Portion_from_Cost_Release</t>
  </si>
  <si>
    <t>Loss_Portion_from_Refund_Release</t>
  </si>
  <si>
    <t>Loss_Portion_from_RA_Release</t>
  </si>
  <si>
    <t>Loss_Portion_from_Interest_Accrete</t>
  </si>
  <si>
    <t>Loss_GainLoss_Realization_Premium</t>
  </si>
  <si>
    <t>Loss_GainLoss_Realization_Commission</t>
  </si>
  <si>
    <t>Loss_Portion_from_GainLoss_DiscRate</t>
  </si>
  <si>
    <t>Loss_GainLoss_NonDiscRate</t>
  </si>
  <si>
    <t>Loss_End</t>
  </si>
  <si>
    <t>Loss_Percentage</t>
  </si>
  <si>
    <t>Total Future Expenses_1</t>
  </si>
  <si>
    <t>PV Future Biaya Akuisisi</t>
  </si>
  <si>
    <t>PV Future % Premi</t>
  </si>
  <si>
    <t>PV Future Fixed Cost</t>
  </si>
  <si>
    <t>--&gt; After Decreement</t>
  </si>
  <si>
    <t>PV Future Expenses_1</t>
  </si>
  <si>
    <t>PV Expense Expected</t>
  </si>
  <si>
    <t>PV Premium with PAD Expected</t>
  </si>
  <si>
    <t>PV Commission with PAD Expected</t>
  </si>
  <si>
    <t>PV Expense Expected (with PAD)</t>
  </si>
  <si>
    <t>--&gt; perubahan future service : Perubahan premi, komisi, pajak dan PV FCF (asumsi)</t>
  </si>
  <si>
    <t>Monthly - Locked in Rate</t>
  </si>
  <si>
    <t>Disc Rate (Annual) - Current Rate</t>
  </si>
  <si>
    <t>RA Release (Premium)</t>
  </si>
  <si>
    <t>RA Release (Commision)</t>
  </si>
  <si>
    <t>PV Future Komisi</t>
  </si>
  <si>
    <t>--&gt; claim tidak masuk interest accrete</t>
  </si>
  <si>
    <t>--&gt; diambil dari CashFlows tanpa diskonto</t>
  </si>
  <si>
    <t>Total Interest BEL</t>
  </si>
  <si>
    <t>Tota Interest RA</t>
  </si>
  <si>
    <t>Total Interest Accrete</t>
  </si>
  <si>
    <t>BEL Premium</t>
  </si>
  <si>
    <t>BEL Expense</t>
  </si>
  <si>
    <t>BEL Claim</t>
  </si>
  <si>
    <t>Selisih</t>
  </si>
  <si>
    <t>BEL+PAD</t>
  </si>
  <si>
    <t>--&gt; 80% dari current discount rate</t>
  </si>
  <si>
    <t>Best Estimate Liability (BEL) per unit</t>
  </si>
  <si>
    <t>Risk Adjustment (RA) per unit</t>
  </si>
  <si>
    <t>BEL Adjustment</t>
  </si>
  <si>
    <t>RA Adjustment</t>
  </si>
  <si>
    <t>(Other Expense)</t>
  </si>
  <si>
    <t>Dihitung Care</t>
  </si>
  <si>
    <t>(Claim)</t>
  </si>
  <si>
    <t>PV Refund Expected</t>
  </si>
  <si>
    <t>PV Refund Expected (with PAD)</t>
  </si>
  <si>
    <t>PV Surrender</t>
  </si>
  <si>
    <t>(Refund)</t>
  </si>
  <si>
    <t>A_PolicyNo</t>
  </si>
  <si>
    <t>Group_Type</t>
  </si>
  <si>
    <t>Seq_No</t>
  </si>
  <si>
    <t>A_Policy_Year</t>
  </si>
  <si>
    <t>Bulan_Ke</t>
  </si>
  <si>
    <t>Usia_Tertanggung</t>
  </si>
  <si>
    <t>Usia_Anak</t>
  </si>
  <si>
    <t>Akumulasi_Premi</t>
  </si>
  <si>
    <t>Biaya_Akuisisi</t>
  </si>
  <si>
    <t>Biaya_Pemeliharaan_Polis_PCT_Premi</t>
  </si>
  <si>
    <t>Biaya_Pemeliharaan_Polis_Fixed_Cost</t>
  </si>
  <si>
    <t>Yearly_Rate_Cash_Value</t>
  </si>
  <si>
    <t>Monthly_Rate_Cash_Value</t>
  </si>
  <si>
    <t>Monthly_Cash_Value</t>
  </si>
  <si>
    <t>Term_Life</t>
  </si>
  <si>
    <t>Term_Life_Joint</t>
  </si>
  <si>
    <t>ND_Joint</t>
  </si>
  <si>
    <t>PV_Death_Before_PV</t>
  </si>
  <si>
    <t>Akumulasi_Bonus</t>
  </si>
  <si>
    <t>All_Benefit</t>
  </si>
  <si>
    <t>P_Release</t>
  </si>
  <si>
    <t>Val_Date</t>
  </si>
  <si>
    <t>Year</t>
  </si>
  <si>
    <t>RA Release</t>
  </si>
  <si>
    <t>MPP/ Year</t>
  </si>
  <si>
    <t>Best Estimate Liability (BEL) per Unit</t>
  </si>
  <si>
    <t>Risk Adjustment (RA) per Unit</t>
  </si>
  <si>
    <t>Survive
beginning</t>
  </si>
  <si>
    <t>Survive
ending</t>
  </si>
  <si>
    <t>Decrement from survive beginning</t>
  </si>
  <si>
    <t>BEL Beginning</t>
  </si>
  <si>
    <t>BEL Ending</t>
  </si>
  <si>
    <t>Movement BEL</t>
  </si>
  <si>
    <t>RA Beginning</t>
  </si>
  <si>
    <t>%RA Release</t>
  </si>
  <si>
    <t>RA Ending</t>
  </si>
  <si>
    <t>= max (RA per Unit)</t>
  </si>
  <si>
    <t>% CSM Release</t>
  </si>
  <si>
    <t>Survive BEL Ending</t>
  </si>
  <si>
    <t>Survive BEL Beginning</t>
  </si>
  <si>
    <t>Survive RA Beginning</t>
  </si>
  <si>
    <t>Survive RA Ending</t>
  </si>
  <si>
    <t>BEL Surrender</t>
  </si>
  <si>
    <t>I</t>
  </si>
  <si>
    <t>BookDate</t>
  </si>
  <si>
    <t>Nama_Produk_Dasar</t>
  </si>
  <si>
    <t>Nama_Produk_Paket</t>
  </si>
  <si>
    <t>TOC</t>
  </si>
  <si>
    <t>CGroup</t>
  </si>
  <si>
    <t>Cer_Nmbr</t>
  </si>
  <si>
    <t>Nama_Pp</t>
  </si>
  <si>
    <t>Gender_Pp</t>
  </si>
  <si>
    <t>DOB_Pp</t>
  </si>
  <si>
    <t>Usia_Pp</t>
  </si>
  <si>
    <t>Nama_Tertanggung</t>
  </si>
  <si>
    <t>Gender_Tertanggung</t>
  </si>
  <si>
    <t>DOB_Tertanggung</t>
  </si>
  <si>
    <t>Effective</t>
  </si>
  <si>
    <t>Pol_Term_Y</t>
  </si>
  <si>
    <t>Pol_Term_M</t>
  </si>
  <si>
    <t>Uang_Pertanggungan</t>
  </si>
  <si>
    <t>Masa_Pembayaran_Premi_Dasar</t>
  </si>
  <si>
    <t>Cara_Bayar</t>
  </si>
  <si>
    <t>Currency</t>
  </si>
  <si>
    <t>Status_Polis</t>
  </si>
  <si>
    <t>Retensi_MNC_Rp</t>
  </si>
  <si>
    <t>Komisi_Reasuransi_Rp</t>
  </si>
  <si>
    <t>N/A</t>
  </si>
  <si>
    <t>--&gt; sesuai template upload</t>
  </si>
  <si>
    <t>Dikalikan PAD (agar formula sama)</t>
  </si>
  <si>
    <t>Monthly qx (ND Joint)</t>
  </si>
  <si>
    <t>Monthly qx (Term Life Joint)</t>
  </si>
  <si>
    <t>Inc (Dec) of BEL</t>
  </si>
  <si>
    <t>Dec (Inc) BEL</t>
  </si>
  <si>
    <t>Nomor Polis</t>
  </si>
  <si>
    <t>Nama Produk Dasar</t>
  </si>
  <si>
    <t>Nama Paket</t>
  </si>
  <si>
    <t>Nama Pemegang Polis</t>
  </si>
  <si>
    <t>Usia Pemegang Polis</t>
  </si>
  <si>
    <t>BEL Gain Loss Non Disc Rate</t>
  </si>
  <si>
    <t>F</t>
  </si>
  <si>
    <t>JKT01</t>
  </si>
  <si>
    <t>G</t>
  </si>
  <si>
    <t>SEKALIGUS</t>
  </si>
  <si>
    <t>AKTIF</t>
  </si>
  <si>
    <t>Loss Component (Locked in rate)</t>
  </si>
  <si>
    <t>Loss Percentage</t>
  </si>
  <si>
    <t>Loss Portion From Release</t>
  </si>
  <si>
    <t>Expense</t>
  </si>
  <si>
    <t>Claim</t>
  </si>
  <si>
    <t>Other Expense</t>
  </si>
  <si>
    <t>Refund</t>
  </si>
  <si>
    <t>BEL Other Expense</t>
  </si>
  <si>
    <t>BEL Commision</t>
  </si>
  <si>
    <t>GroupType</t>
  </si>
  <si>
    <t>TEMPLATE GMM</t>
  </si>
  <si>
    <t>VDate</t>
  </si>
  <si>
    <t>PAD_Mortality</t>
  </si>
  <si>
    <t>PAD_Lapse</t>
  </si>
  <si>
    <t>PAD_Expense</t>
  </si>
  <si>
    <t>Inflasi</t>
  </si>
  <si>
    <t>#KSMS2023121978719-001</t>
  </si>
  <si>
    <r>
      <rPr>
        <b/>
        <strike/>
        <sz val="10"/>
        <color theme="1"/>
        <rFont val="Tahoma"/>
        <family val="2"/>
      </rPr>
      <t>Year-1</t>
    </r>
    <r>
      <rPr>
        <b/>
        <sz val="10"/>
        <color theme="1"/>
        <rFont val="Tahoma"/>
        <family val="2"/>
      </rPr>
      <t xml:space="preserve"> Best Estimates (BE)</t>
    </r>
  </si>
  <si>
    <r>
      <rPr>
        <strike/>
        <sz val="10"/>
        <color theme="1"/>
        <rFont val="Tahoma"/>
        <family val="2"/>
      </rPr>
      <t>Claim Paid - Year-1</t>
    </r>
    <r>
      <rPr>
        <sz val="10"/>
        <color theme="1"/>
        <rFont val="Tahoma"/>
        <family val="2"/>
      </rPr>
      <t xml:space="preserve"> Claim Expected</t>
    </r>
  </si>
  <si>
    <r>
      <rPr>
        <b/>
        <strike/>
        <sz val="10"/>
        <color theme="1"/>
        <rFont val="Tahoma"/>
        <family val="2"/>
      </rPr>
      <t>Year-2</t>
    </r>
    <r>
      <rPr>
        <b/>
        <sz val="10"/>
        <color theme="1"/>
        <rFont val="Tahoma"/>
        <family val="2"/>
      </rPr>
      <t xml:space="preserve"> BE + PAD</t>
    </r>
  </si>
  <si>
    <r>
      <t xml:space="preserve">PV Claim Expected </t>
    </r>
    <r>
      <rPr>
        <strike/>
        <sz val="10"/>
        <color theme="1"/>
        <rFont val="Tahoma"/>
        <family val="2"/>
      </rPr>
      <t>(Claim Paid - Year-1)</t>
    </r>
  </si>
  <si>
    <r>
      <t xml:space="preserve">PV Claim Expected with PAD </t>
    </r>
    <r>
      <rPr>
        <strike/>
        <sz val="10"/>
        <color theme="1"/>
        <rFont val="Tahoma"/>
        <family val="2"/>
      </rPr>
      <t>- (Claim Paid - Year-1)</t>
    </r>
  </si>
  <si>
    <t>SortNo</t>
  </si>
  <si>
    <t>T_Type</t>
  </si>
  <si>
    <t>Koperasi Sahabat Mitra Sejati UP Menurun</t>
  </si>
  <si>
    <t>new</t>
  </si>
  <si>
    <t>KSMS2023121978719-001</t>
  </si>
  <si>
    <t>Koperasi Simpan Pinjam Sahabat Mitra Sejati</t>
  </si>
  <si>
    <t>NUNUNG NURHAENI</t>
  </si>
  <si>
    <t>Data Detail GMM</t>
  </si>
  <si>
    <t>Data Header GMM</t>
  </si>
  <si>
    <t>DataID</t>
  </si>
  <si>
    <t>Certificate Number</t>
  </si>
  <si>
    <t>TOC Code</t>
  </si>
  <si>
    <t>TOC Description</t>
  </si>
  <si>
    <t>COB Code</t>
  </si>
  <si>
    <t>COB Description</t>
  </si>
  <si>
    <t>Branch Code</t>
  </si>
  <si>
    <t>Branch Name</t>
  </si>
  <si>
    <t>Jenis Kelamin Pemegang Polis</t>
  </si>
  <si>
    <t>Jenis Kelamin Tertanggung</t>
  </si>
  <si>
    <t>ProcessDate</t>
  </si>
  <si>
    <t>BEL Initial</t>
  </si>
  <si>
    <t>RA Initial</t>
  </si>
  <si>
    <t>Loss Initial</t>
  </si>
  <si>
    <t>Loss</t>
  </si>
  <si>
    <t>UKL GROUP</t>
  </si>
  <si>
    <t>Kredit Life Group</t>
  </si>
  <si>
    <t>AJK</t>
  </si>
  <si>
    <t>AJK/JANGKA WARSA</t>
  </si>
  <si>
    <t>JAKARTA MNC LT. 6</t>
  </si>
  <si>
    <t>Output Care</t>
  </si>
  <si>
    <t>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</si>
</sst>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(* #,##0_);_(* \(#,##0\);_(* &quot;-&quot;_);_(@_)"/>
    <numFmt numFmtId="165" formatCode="_(* #,##0.00_);_(* \(#,##0.00\);_(* &quot;-&quot;??_);_(@_)"/>
    <numFmt numFmtId="166" formatCode="[$-409]d\-mmm\-yyyy;@"/>
    <numFmt numFmtId="167" formatCode="_(* #,##0_);_(* \(#,##0\);_(* &quot;-&quot;??_);_(@_)"/>
    <numFmt numFmtId="168" formatCode="_(* #,##0.000000_);_(* \(#,##0.000000\);_(* &quot;-&quot;_);_(@_)"/>
    <numFmt numFmtId="169" formatCode="0.000000"/>
    <numFmt numFmtId="170" formatCode="0.0000"/>
    <numFmt numFmtId="171" formatCode="_(* #,##0.00_);_(* \(#,##0.00\);_(* &quot;-&quot;_);_(@_)"/>
    <numFmt numFmtId="172" formatCode="[$-409]d\-mmm\-yy;@"/>
    <numFmt numFmtId="173" formatCode="#,##0.000000_ ;[Red]\-#,##0.000000\ "/>
    <numFmt numFmtId="174" formatCode="0.0000%"/>
    <numFmt numFmtId="175" formatCode="0.00000"/>
    <numFmt numFmtId="176" formatCode="_(* #,##0.000_);_(* \(#,##0.000\);_(* &quot;-&quot;_);_(@_)"/>
    <numFmt numFmtId="177" formatCode="0.000000%"/>
    <numFmt numFmtId="178" formatCode="0.000%"/>
    <numFmt numFmtId="179" formatCode="0.00000%"/>
    <numFmt numFmtId="180" formatCode="_(* #,##0.000000_);_(* \(#,##0.000000\);_(* &quot;-&quot;??_);_(@_)"/>
    <numFmt numFmtId="181" formatCode="0.00000000%"/>
    <numFmt numFmtId="182" formatCode="_(* #,##0.0_);_(* \(#,##0.0\);_(* &quot;-&quot;_);_(@_)"/>
    <numFmt numFmtId="183" formatCode="_(* #,##0.0000000000000000_);_(* \(#,##0.0000000000000000\);_(* &quot;-&quot;??_);_(@_)"/>
    <numFmt numFmtId="184" formatCode="_-* #,##0_-;\-* #,##0_-;_-* &quot;-&quot;??_-;_-@_-"/>
    <numFmt numFmtId="185" formatCode="_(* #,##0.000000000000000_);_(* \(#,##0.000000000000000\);_(* &quot;-&quot;??_);_(@_)"/>
    <numFmt numFmtId="186" formatCode="dd/mm/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Tahoma"/>
      <family val="2"/>
    </font>
    <font>
      <sz val="10"/>
      <color rgb="FF0000FF"/>
      <name val="Tahoma"/>
      <family val="2"/>
    </font>
    <font>
      <b/>
      <sz val="10"/>
      <color rgb="FFFF00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0"/>
      <color theme="0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 tint="-0.14999847407452621"/>
      <name val="Tahoma"/>
      <family val="2"/>
    </font>
    <font>
      <b/>
      <strike/>
      <sz val="10"/>
      <color theme="1"/>
      <name val="Tahoma"/>
      <family val="2"/>
    </font>
    <font>
      <strike/>
      <sz val="10"/>
      <color theme="1"/>
      <name val="Tahoma"/>
      <family val="2"/>
    </font>
    <font>
      <b/>
      <u/>
      <sz val="10"/>
      <color theme="1"/>
      <name val="Tahoma"/>
      <family val="2"/>
    </font>
    <font>
      <sz val="10"/>
      <color rgb="FFFF0000"/>
      <name val="Tahoma"/>
      <family val="2"/>
    </font>
    <font>
      <b/>
      <sz val="10"/>
      <color rgb="FF00B050"/>
      <name val="Tahoma"/>
      <family val="2"/>
    </font>
    <font>
      <b/>
      <sz val="10"/>
      <color rgb="FF0070C0"/>
      <name val="Tahoma"/>
      <family val="2"/>
    </font>
    <font>
      <b/>
      <i/>
      <sz val="10"/>
      <color theme="1"/>
      <name val="Tahoma"/>
      <family val="2"/>
    </font>
    <font>
      <sz val="10"/>
      <color rgb="FF000000"/>
      <name val="Tahoma"/>
      <family val="2"/>
    </font>
    <font>
      <sz val="10"/>
      <color theme="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</cellStyleXfs>
  <cellXfs count="351">
    <xf numFmtId="0" fontId="0" fillId="0" borderId="0" xfId="0"/>
    <xf numFmtId="0" fontId="8" fillId="0" borderId="0" xfId="0" quotePrefix="1" applyFont="1"/>
    <xf numFmtId="0" fontId="8" fillId="0" borderId="0" xfId="0" applyFont="1"/>
    <xf numFmtId="0" fontId="8" fillId="3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9" fontId="10" fillId="0" borderId="0" xfId="0" applyNumberFormat="1" applyFont="1" applyAlignment="1">
      <alignment horizontal="center"/>
    </xf>
    <xf numFmtId="0" fontId="11" fillId="0" borderId="0" xfId="0" applyFont="1"/>
    <xf numFmtId="0" fontId="8" fillId="5" borderId="1" xfId="0" applyFont="1" applyFill="1" applyBorder="1"/>
    <xf numFmtId="0" fontId="12" fillId="3" borderId="0" xfId="40" applyFont="1" applyFill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vertical="center"/>
    </xf>
    <xf numFmtId="0" fontId="11" fillId="0" borderId="1" xfId="0" applyFont="1" applyBorder="1" applyAlignment="1">
      <alignment horizontal="center" vertical="top"/>
    </xf>
    <xf numFmtId="0" fontId="8" fillId="0" borderId="1" xfId="0" applyFont="1" applyBorder="1"/>
    <xf numFmtId="10" fontId="8" fillId="0" borderId="1" xfId="38" applyNumberFormat="1" applyFont="1" applyFill="1" applyBorder="1"/>
    <xf numFmtId="0" fontId="11" fillId="0" borderId="1" xfId="0" applyFont="1" applyBorder="1"/>
    <xf numFmtId="0" fontId="14" fillId="0" borderId="7" xfId="0" applyFont="1" applyBorder="1" applyAlignment="1">
      <alignment horizontal="center"/>
    </xf>
    <xf numFmtId="0" fontId="14" fillId="3" borderId="7" xfId="4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0" fontId="14" fillId="2" borderId="7" xfId="4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7" borderId="6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74" fontId="8" fillId="0" borderId="1" xfId="38" applyNumberFormat="1" applyFont="1" applyBorder="1"/>
    <xf numFmtId="0" fontId="15" fillId="3" borderId="1" xfId="40" applyFont="1" applyFill="1" applyBorder="1" applyAlignment="1">
      <alignment horizontal="center" vertical="center"/>
    </xf>
    <xf numFmtId="170" fontId="8" fillId="0" borderId="0" xfId="0" applyNumberFormat="1" applyFont="1" applyAlignment="1">
      <alignment horizontal="center"/>
    </xf>
    <xf numFmtId="169" fontId="8" fillId="3" borderId="0" xfId="0" applyNumberFormat="1" applyFont="1" applyFill="1" applyAlignment="1">
      <alignment horizontal="center"/>
    </xf>
    <xf numFmtId="169" fontId="8" fillId="2" borderId="0" xfId="0" applyNumberFormat="1" applyFont="1" applyFill="1" applyAlignment="1">
      <alignment horizontal="center"/>
    </xf>
    <xf numFmtId="170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1" fillId="0" borderId="1" xfId="0" applyFont="1" applyBorder="1" applyAlignment="1">
      <alignment horizontal="center"/>
    </xf>
    <xf numFmtId="10" fontId="8" fillId="0" borderId="1" xfId="0" applyNumberFormat="1" applyFont="1" applyBorder="1" applyAlignment="1">
      <alignment horizontal="center"/>
    </xf>
    <xf numFmtId="10" fontId="8" fillId="0" borderId="1" xfId="38" applyNumberFormat="1" applyFont="1" applyFill="1" applyBorder="1" applyAlignment="1">
      <alignment horizontal="center"/>
    </xf>
    <xf numFmtId="10" fontId="8" fillId="5" borderId="1" xfId="0" applyNumberFormat="1" applyFont="1" applyFill="1" applyBorder="1" applyAlignment="1">
      <alignment horizontal="center"/>
    </xf>
    <xf numFmtId="10" fontId="8" fillId="0" borderId="1" xfId="38" applyNumberFormat="1" applyFont="1" applyBorder="1"/>
    <xf numFmtId="14" fontId="11" fillId="0" borderId="1" xfId="0" applyNumberFormat="1" applyFont="1" applyBorder="1" applyAlignment="1">
      <alignment horizontal="center"/>
    </xf>
    <xf numFmtId="0" fontId="14" fillId="3" borderId="1" xfId="0" applyFont="1" applyFill="1" applyBorder="1"/>
    <xf numFmtId="1" fontId="14" fillId="3" borderId="1" xfId="0" applyNumberFormat="1" applyFont="1" applyFill="1" applyBorder="1"/>
    <xf numFmtId="0" fontId="14" fillId="0" borderId="1" xfId="0" applyFont="1" applyBorder="1"/>
    <xf numFmtId="174" fontId="8" fillId="5" borderId="0" xfId="0" applyNumberFormat="1" applyFont="1" applyFill="1" applyAlignment="1">
      <alignment horizontal="center"/>
    </xf>
    <xf numFmtId="17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73" fontId="8" fillId="0" borderId="0" xfId="0" applyNumberFormat="1" applyFont="1" applyAlignment="1">
      <alignment horizontal="center"/>
    </xf>
    <xf numFmtId="0" fontId="8" fillId="0" borderId="15" xfId="0" applyFont="1" applyBorder="1" applyAlignment="1">
      <alignment horizontal="center"/>
    </xf>
    <xf numFmtId="167" fontId="11" fillId="9" borderId="0" xfId="1" applyNumberFormat="1" applyFont="1" applyFill="1"/>
    <xf numFmtId="167" fontId="11" fillId="0" borderId="0" xfId="1" applyNumberFormat="1" applyFont="1"/>
    <xf numFmtId="167" fontId="11" fillId="0" borderId="0" xfId="1" applyNumberFormat="1" applyFont="1" applyFill="1"/>
    <xf numFmtId="177" fontId="8" fillId="5" borderId="0" xfId="38" applyNumberFormat="1" applyFont="1" applyFill="1"/>
    <xf numFmtId="174" fontId="15" fillId="0" borderId="0" xfId="38" applyNumberFormat="1" applyFont="1" applyFill="1"/>
    <xf numFmtId="177" fontId="15" fillId="0" borderId="0" xfId="38" applyNumberFormat="1" applyFont="1" applyFill="1"/>
    <xf numFmtId="177" fontId="15" fillId="9" borderId="0" xfId="38" applyNumberFormat="1" applyFont="1" applyFill="1"/>
    <xf numFmtId="178" fontId="8" fillId="8" borderId="0" xfId="38" applyNumberFormat="1" applyFont="1" applyFill="1"/>
    <xf numFmtId="178" fontId="8" fillId="0" borderId="0" xfId="38" applyNumberFormat="1" applyFont="1" applyFill="1"/>
    <xf numFmtId="178" fontId="16" fillId="0" borderId="0" xfId="38" applyNumberFormat="1" applyFont="1" applyFill="1"/>
    <xf numFmtId="9" fontId="8" fillId="8" borderId="0" xfId="38" applyFont="1" applyFill="1"/>
    <xf numFmtId="9" fontId="8" fillId="0" borderId="0" xfId="38" applyFont="1" applyFill="1"/>
    <xf numFmtId="165" fontId="8" fillId="9" borderId="0" xfId="1" applyFont="1" applyFill="1"/>
    <xf numFmtId="165" fontId="8" fillId="0" borderId="0" xfId="1" applyFont="1"/>
    <xf numFmtId="165" fontId="8" fillId="0" borderId="0" xfId="1" applyFont="1" applyFill="1"/>
    <xf numFmtId="0" fontId="8" fillId="4" borderId="0" xfId="1" applyNumberFormat="1" applyFont="1" applyFill="1"/>
    <xf numFmtId="0" fontId="8" fillId="0" borderId="0" xfId="1" applyNumberFormat="1" applyFont="1" applyFill="1"/>
    <xf numFmtId="0" fontId="8" fillId="3" borderId="0" xfId="0" applyFont="1" applyFill="1"/>
    <xf numFmtId="165" fontId="8" fillId="3" borderId="0" xfId="1" applyFont="1" applyFill="1"/>
    <xf numFmtId="0" fontId="8" fillId="12" borderId="0" xfId="0" applyFont="1" applyFill="1"/>
    <xf numFmtId="165" fontId="8" fillId="5" borderId="0" xfId="1" applyFont="1" applyFill="1"/>
    <xf numFmtId="0" fontId="8" fillId="13" borderId="0" xfId="0" applyFont="1" applyFill="1"/>
    <xf numFmtId="165" fontId="8" fillId="13" borderId="0" xfId="1" applyFont="1" applyFill="1"/>
    <xf numFmtId="178" fontId="8" fillId="9" borderId="0" xfId="38" applyNumberFormat="1" applyFont="1" applyFill="1"/>
    <xf numFmtId="0" fontId="8" fillId="9" borderId="0" xfId="0" applyFont="1" applyFill="1"/>
    <xf numFmtId="183" fontId="8" fillId="9" borderId="0" xfId="1" applyNumberFormat="1" applyFont="1" applyFill="1"/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3" borderId="0" xfId="0" applyFont="1" applyFill="1" applyAlignment="1">
      <alignment horizontal="center"/>
    </xf>
    <xf numFmtId="0" fontId="11" fillId="13" borderId="0" xfId="1" applyNumberFormat="1" applyFont="1" applyFill="1" applyAlignment="1">
      <alignment horizontal="center"/>
    </xf>
    <xf numFmtId="0" fontId="11" fillId="0" borderId="0" xfId="1" applyNumberFormat="1" applyFont="1" applyFill="1" applyAlignment="1">
      <alignment horizontal="center"/>
    </xf>
    <xf numFmtId="165" fontId="11" fillId="13" borderId="0" xfId="1" applyFont="1" applyFill="1" applyAlignment="1">
      <alignment horizontal="center" vertical="center"/>
    </xf>
    <xf numFmtId="179" fontId="11" fillId="13" borderId="0" xfId="1" applyNumberFormat="1" applyFont="1" applyFill="1" applyAlignment="1">
      <alignment horizontal="center" vertical="center"/>
    </xf>
    <xf numFmtId="179" fontId="11" fillId="0" borderId="0" xfId="1" applyNumberFormat="1" applyFont="1" applyFill="1" applyAlignment="1">
      <alignment horizontal="center" vertical="center"/>
    </xf>
    <xf numFmtId="178" fontId="11" fillId="13" borderId="0" xfId="1" applyNumberFormat="1" applyFont="1" applyFill="1" applyAlignment="1">
      <alignment horizontal="center" vertical="center"/>
    </xf>
    <xf numFmtId="178" fontId="11" fillId="0" borderId="0" xfId="1" applyNumberFormat="1" applyFont="1" applyFill="1" applyAlignment="1">
      <alignment horizontal="center" vertical="center"/>
    </xf>
    <xf numFmtId="165" fontId="11" fillId="0" borderId="0" xfId="1" applyFont="1" applyAlignment="1">
      <alignment horizontal="center" vertical="center"/>
    </xf>
    <xf numFmtId="178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Alignment="1">
      <alignment horizontal="center" vertical="center"/>
    </xf>
    <xf numFmtId="180" fontId="11" fillId="5" borderId="0" xfId="1" applyNumberFormat="1" applyFont="1" applyFill="1" applyAlignment="1">
      <alignment horizontal="center" vertical="center"/>
    </xf>
    <xf numFmtId="180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178" fontId="11" fillId="5" borderId="0" xfId="1" applyNumberFormat="1" applyFont="1" applyFill="1" applyAlignment="1">
      <alignment horizontal="center" vertical="center"/>
    </xf>
    <xf numFmtId="179" fontId="11" fillId="5" borderId="0" xfId="1" applyNumberFormat="1" applyFont="1" applyFill="1" applyAlignment="1">
      <alignment horizontal="center"/>
    </xf>
    <xf numFmtId="179" fontId="11" fillId="14" borderId="0" xfId="1" applyNumberFormat="1" applyFont="1" applyFill="1" applyAlignment="1">
      <alignment horizontal="center" vertical="center"/>
    </xf>
    <xf numFmtId="0" fontId="19" fillId="0" borderId="0" xfId="0" applyFont="1"/>
    <xf numFmtId="0" fontId="8" fillId="4" borderId="0" xfId="0" applyFont="1" applyFill="1"/>
    <xf numFmtId="165" fontId="8" fillId="4" borderId="0" xfId="1" applyFont="1" applyFill="1"/>
    <xf numFmtId="0" fontId="8" fillId="5" borderId="0" xfId="0" applyFont="1" applyFill="1"/>
    <xf numFmtId="0" fontId="8" fillId="15" borderId="0" xfId="0" applyFont="1" applyFill="1"/>
    <xf numFmtId="165" fontId="8" fillId="15" borderId="0" xfId="1" applyFont="1" applyFill="1"/>
    <xf numFmtId="165" fontId="20" fillId="13" borderId="0" xfId="1" applyFont="1" applyFill="1"/>
    <xf numFmtId="165" fontId="20" fillId="0" borderId="0" xfId="1" applyFont="1" applyFill="1"/>
    <xf numFmtId="165" fontId="21" fillId="13" borderId="0" xfId="1" applyFont="1" applyFill="1"/>
    <xf numFmtId="165" fontId="21" fillId="0" borderId="0" xfId="1" applyFont="1" applyFill="1"/>
    <xf numFmtId="165" fontId="20" fillId="9" borderId="0" xfId="1" applyFont="1" applyFill="1"/>
    <xf numFmtId="165" fontId="21" fillId="9" borderId="0" xfId="1" applyFont="1" applyFill="1"/>
    <xf numFmtId="165" fontId="22" fillId="9" borderId="0" xfId="1" applyFont="1" applyFill="1"/>
    <xf numFmtId="165" fontId="22" fillId="0" borderId="0" xfId="1" applyFont="1" applyFill="1"/>
    <xf numFmtId="10" fontId="23" fillId="9" borderId="0" xfId="38" applyNumberFormat="1" applyFont="1" applyFill="1"/>
    <xf numFmtId="10" fontId="23" fillId="0" borderId="0" xfId="38" applyNumberFormat="1" applyFont="1"/>
    <xf numFmtId="10" fontId="23" fillId="0" borderId="0" xfId="38" applyNumberFormat="1" applyFont="1" applyFill="1"/>
    <xf numFmtId="165" fontId="8" fillId="9" borderId="0" xfId="0" applyNumberFormat="1" applyFont="1" applyFill="1"/>
    <xf numFmtId="0" fontId="16" fillId="0" borderId="0" xfId="0" applyFont="1"/>
    <xf numFmtId="165" fontId="16" fillId="9" borderId="0" xfId="1" applyFont="1" applyFill="1"/>
    <xf numFmtId="165" fontId="16" fillId="0" borderId="0" xfId="1" applyFont="1"/>
    <xf numFmtId="0" fontId="16" fillId="9" borderId="0" xfId="0" applyFont="1" applyFill="1"/>
    <xf numFmtId="165" fontId="20" fillId="0" borderId="0" xfId="1" applyFont="1"/>
    <xf numFmtId="165" fontId="11" fillId="9" borderId="0" xfId="1" applyFont="1" applyFill="1" applyAlignment="1">
      <alignment horizontal="center" vertical="center"/>
    </xf>
    <xf numFmtId="0" fontId="8" fillId="16" borderId="0" xfId="0" applyFont="1" applyFill="1"/>
    <xf numFmtId="165" fontId="8" fillId="16" borderId="0" xfId="1" applyFont="1" applyFill="1"/>
    <xf numFmtId="181" fontId="8" fillId="5" borderId="0" xfId="38" applyNumberFormat="1" applyFont="1" applyFill="1"/>
    <xf numFmtId="181" fontId="8" fillId="9" borderId="0" xfId="1" applyNumberFormat="1" applyFont="1" applyFill="1"/>
    <xf numFmtId="165" fontId="8" fillId="9" borderId="0" xfId="1" quotePrefix="1" applyFont="1" applyFill="1"/>
    <xf numFmtId="0" fontId="15" fillId="0" borderId="12" xfId="0" applyFont="1" applyBorder="1"/>
    <xf numFmtId="0" fontId="15" fillId="0" borderId="13" xfId="0" applyFont="1" applyBorder="1"/>
    <xf numFmtId="0" fontId="15" fillId="0" borderId="13" xfId="0" applyFont="1" applyBorder="1" applyAlignment="1">
      <alignment horizontal="center"/>
    </xf>
    <xf numFmtId="0" fontId="14" fillId="0" borderId="13" xfId="0" applyFont="1" applyBorder="1"/>
    <xf numFmtId="164" fontId="15" fillId="0" borderId="14" xfId="39" applyFont="1" applyFill="1" applyBorder="1" applyAlignment="1">
      <alignment horizontal="right"/>
    </xf>
    <xf numFmtId="165" fontId="15" fillId="0" borderId="0" xfId="1" applyFont="1" applyFill="1"/>
    <xf numFmtId="0" fontId="15" fillId="0" borderId="0" xfId="0" applyFont="1"/>
    <xf numFmtId="167" fontId="15" fillId="0" borderId="0" xfId="1" applyNumberFormat="1" applyFont="1" applyFill="1"/>
    <xf numFmtId="10" fontId="15" fillId="0" borderId="0" xfId="38" applyNumberFormat="1" applyFont="1" applyFill="1"/>
    <xf numFmtId="0" fontId="15" fillId="0" borderId="9" xfId="0" applyFont="1" applyBorder="1"/>
    <xf numFmtId="0" fontId="15" fillId="0" borderId="0" xfId="0" applyFont="1" applyAlignment="1">
      <alignment horizontal="center"/>
    </xf>
    <xf numFmtId="0" fontId="14" fillId="0" borderId="0" xfId="0" applyFont="1"/>
    <xf numFmtId="0" fontId="15" fillId="0" borderId="0" xfId="0" applyFont="1" applyAlignment="1">
      <alignment horizontal="right"/>
    </xf>
    <xf numFmtId="164" fontId="15" fillId="0" borderId="10" xfId="39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166" fontId="14" fillId="0" borderId="0" xfId="39" applyNumberFormat="1" applyFont="1" applyFill="1" applyAlignment="1">
      <alignment horizontal="center"/>
    </xf>
    <xf numFmtId="0" fontId="15" fillId="0" borderId="0" xfId="0" applyFont="1" applyAlignment="1">
      <alignment horizontal="left"/>
    </xf>
    <xf numFmtId="9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39" applyFont="1" applyFill="1" applyAlignment="1">
      <alignment horizontal="right"/>
    </xf>
    <xf numFmtId="164" fontId="14" fillId="0" borderId="0" xfId="39" applyFont="1" applyFill="1" applyAlignment="1">
      <alignment horizontal="center"/>
    </xf>
    <xf numFmtId="172" fontId="15" fillId="0" borderId="10" xfId="39" applyNumberFormat="1" applyFont="1" applyFill="1" applyBorder="1" applyAlignment="1">
      <alignment horizontal="right"/>
    </xf>
    <xf numFmtId="10" fontId="14" fillId="0" borderId="0" xfId="0" applyNumberFormat="1" applyFont="1" applyAlignment="1">
      <alignment horizontal="center"/>
    </xf>
    <xf numFmtId="10" fontId="14" fillId="0" borderId="0" xfId="38" applyNumberFormat="1" applyFont="1" applyFill="1" applyAlignment="1">
      <alignment horizontal="center"/>
    </xf>
    <xf numFmtId="165" fontId="14" fillId="0" borderId="0" xfId="0" applyNumberFormat="1" applyFont="1"/>
    <xf numFmtId="1" fontId="14" fillId="0" borderId="0" xfId="0" applyNumberFormat="1" applyFont="1" applyAlignment="1">
      <alignment horizontal="center"/>
    </xf>
    <xf numFmtId="167" fontId="15" fillId="0" borderId="0" xfId="0" applyNumberFormat="1" applyFont="1"/>
    <xf numFmtId="165" fontId="14" fillId="0" borderId="0" xfId="1" applyFont="1" applyFill="1"/>
    <xf numFmtId="167" fontId="14" fillId="0" borderId="0" xfId="1" applyNumberFormat="1" applyFont="1" applyFill="1"/>
    <xf numFmtId="164" fontId="15" fillId="0" borderId="0" xfId="0" applyNumberFormat="1" applyFont="1"/>
    <xf numFmtId="0" fontId="15" fillId="0" borderId="11" xfId="0" applyFont="1" applyBorder="1"/>
    <xf numFmtId="0" fontId="15" fillId="0" borderId="7" xfId="0" applyFont="1" applyBorder="1"/>
    <xf numFmtId="0" fontId="15" fillId="0" borderId="7" xfId="0" applyFont="1" applyBorder="1" applyAlignment="1">
      <alignment horizontal="center"/>
    </xf>
    <xf numFmtId="164" fontId="15" fillId="0" borderId="7" xfId="39" applyFont="1" applyFill="1" applyBorder="1"/>
    <xf numFmtId="0" fontId="14" fillId="0" borderId="7" xfId="0" applyFont="1" applyBorder="1"/>
    <xf numFmtId="164" fontId="15" fillId="0" borderId="8" xfId="39" applyFont="1" applyFill="1" applyBorder="1" applyAlignment="1">
      <alignment horizontal="right"/>
    </xf>
    <xf numFmtId="164" fontId="14" fillId="0" borderId="11" xfId="0" applyNumberFormat="1" applyFont="1" applyBorder="1"/>
    <xf numFmtId="164" fontId="14" fillId="0" borderId="7" xfId="0" applyNumberFormat="1" applyFont="1" applyBorder="1"/>
    <xf numFmtId="171" fontId="15" fillId="0" borderId="0" xfId="0" applyNumberFormat="1" applyFont="1"/>
    <xf numFmtId="0" fontId="14" fillId="0" borderId="4" xfId="0" applyFont="1" applyBorder="1"/>
    <xf numFmtId="174" fontId="14" fillId="0" borderId="0" xfId="0" applyNumberFormat="1" applyFont="1"/>
    <xf numFmtId="10" fontId="15" fillId="0" borderId="0" xfId="0" applyNumberFormat="1" applyFont="1"/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167" fontId="15" fillId="0" borderId="0" xfId="1" applyNumberFormat="1" applyFont="1" applyFill="1" applyBorder="1" applyAlignment="1">
      <alignment horizontal="center" vertical="center" wrapText="1"/>
    </xf>
    <xf numFmtId="167" fontId="15" fillId="15" borderId="0" xfId="1" applyNumberFormat="1" applyFont="1" applyFill="1" applyBorder="1" applyAlignment="1">
      <alignment horizontal="center" vertical="center" wrapText="1"/>
    </xf>
    <xf numFmtId="171" fontId="15" fillId="0" borderId="0" xfId="0" applyNumberFormat="1" applyFont="1" applyAlignment="1">
      <alignment horizontal="center" vertical="center" wrapText="1"/>
    </xf>
    <xf numFmtId="165" fontId="15" fillId="0" borderId="0" xfId="1" applyFont="1" applyFill="1" applyBorder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8" fontId="15" fillId="0" borderId="0" xfId="39" applyNumberFormat="1" applyFont="1" applyFill="1"/>
    <xf numFmtId="37" fontId="15" fillId="0" borderId="0" xfId="39" applyNumberFormat="1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164" fontId="15" fillId="0" borderId="0" xfId="39" applyFont="1" applyFill="1" applyBorder="1" applyAlignment="1">
      <alignment horizontal="center" vertical="center" wrapText="1"/>
    </xf>
    <xf numFmtId="164" fontId="15" fillId="0" borderId="0" xfId="39" applyFont="1" applyFill="1"/>
    <xf numFmtId="167" fontId="15" fillId="0" borderId="0" xfId="1" applyNumberFormat="1" applyFont="1" applyFill="1" applyAlignment="1">
      <alignment horizontal="center"/>
    </xf>
    <xf numFmtId="168" fontId="15" fillId="0" borderId="0" xfId="39" quotePrefix="1" applyNumberFormat="1" applyFont="1" applyFill="1"/>
    <xf numFmtId="164" fontId="15" fillId="5" borderId="0" xfId="39" applyFont="1" applyFill="1"/>
    <xf numFmtId="167" fontId="15" fillId="5" borderId="0" xfId="1" applyNumberFormat="1" applyFont="1" applyFill="1" applyBorder="1" applyAlignment="1">
      <alignment horizontal="center" vertical="center" wrapText="1"/>
    </xf>
    <xf numFmtId="165" fontId="15" fillId="5" borderId="0" xfId="0" quotePrefix="1" applyNumberFormat="1" applyFont="1" applyFill="1"/>
    <xf numFmtId="165" fontId="15" fillId="0" borderId="0" xfId="0" applyNumberFormat="1" applyFont="1"/>
    <xf numFmtId="168" fontId="15" fillId="3" borderId="0" xfId="39" applyNumberFormat="1" applyFont="1" applyFill="1"/>
    <xf numFmtId="168" fontId="15" fillId="5" borderId="0" xfId="39" applyNumberFormat="1" applyFont="1" applyFill="1"/>
    <xf numFmtId="165" fontId="15" fillId="3" borderId="0" xfId="1" applyFont="1" applyFill="1"/>
    <xf numFmtId="165" fontId="15" fillId="0" borderId="0" xfId="38" applyNumberFormat="1" applyFont="1" applyFill="1"/>
    <xf numFmtId="179" fontId="15" fillId="0" borderId="0" xfId="38" applyNumberFormat="1" applyFont="1" applyFill="1"/>
    <xf numFmtId="0" fontId="15" fillId="3" borderId="12" xfId="0" applyFont="1" applyFill="1" applyBorder="1"/>
    <xf numFmtId="0" fontId="15" fillId="3" borderId="13" xfId="0" applyFont="1" applyFill="1" applyBorder="1"/>
    <xf numFmtId="0" fontId="15" fillId="3" borderId="13" xfId="0" applyFont="1" applyFill="1" applyBorder="1" applyAlignment="1">
      <alignment horizontal="center"/>
    </xf>
    <xf numFmtId="0" fontId="14" fillId="3" borderId="13" xfId="0" applyFont="1" applyFill="1" applyBorder="1"/>
    <xf numFmtId="164" fontId="15" fillId="3" borderId="14" xfId="39" applyFont="1" applyFill="1" applyBorder="1" applyAlignment="1">
      <alignment horizontal="right"/>
    </xf>
    <xf numFmtId="167" fontId="15" fillId="3" borderId="0" xfId="1" applyNumberFormat="1" applyFont="1" applyFill="1"/>
    <xf numFmtId="167" fontId="15" fillId="3" borderId="0" xfId="0" applyNumberFormat="1" applyFont="1" applyFill="1"/>
    <xf numFmtId="0" fontId="15" fillId="3" borderId="0" xfId="0" applyFont="1" applyFill="1"/>
    <xf numFmtId="165" fontId="15" fillId="3" borderId="0" xfId="0" applyNumberFormat="1" applyFont="1" applyFill="1"/>
    <xf numFmtId="0" fontId="15" fillId="3" borderId="9" xfId="0" applyFont="1" applyFill="1" applyBorder="1"/>
    <xf numFmtId="0" fontId="15" fillId="3" borderId="0" xfId="0" applyFont="1" applyFill="1" applyAlignment="1">
      <alignment horizontal="center"/>
    </xf>
    <xf numFmtId="0" fontId="14" fillId="3" borderId="0" xfId="0" applyFont="1" applyFill="1"/>
    <xf numFmtId="0" fontId="15" fillId="3" borderId="0" xfId="0" applyFont="1" applyFill="1" applyAlignment="1">
      <alignment horizontal="right"/>
    </xf>
    <xf numFmtId="167" fontId="15" fillId="3" borderId="10" xfId="1" applyNumberFormat="1" applyFont="1" applyFill="1" applyBorder="1"/>
    <xf numFmtId="0" fontId="14" fillId="3" borderId="0" xfId="0" applyFont="1" applyFill="1" applyAlignment="1">
      <alignment horizontal="right"/>
    </xf>
    <xf numFmtId="166" fontId="14" fillId="3" borderId="0" xfId="39" applyNumberFormat="1" applyFont="1" applyFill="1" applyAlignment="1">
      <alignment horizontal="center"/>
    </xf>
    <xf numFmtId="10" fontId="14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left"/>
    </xf>
    <xf numFmtId="10" fontId="14" fillId="15" borderId="0" xfId="0" applyNumberFormat="1" applyFont="1" applyFill="1" applyAlignment="1">
      <alignment horizontal="center"/>
    </xf>
    <xf numFmtId="0" fontId="15" fillId="15" borderId="0" xfId="0" quotePrefix="1" applyFont="1" applyFill="1"/>
    <xf numFmtId="0" fontId="14" fillId="3" borderId="0" xfId="0" applyFont="1" applyFill="1" applyAlignment="1">
      <alignment horizontal="center"/>
    </xf>
    <xf numFmtId="164" fontId="14" fillId="3" borderId="0" xfId="39" applyFont="1" applyFill="1" applyAlignment="1">
      <alignment horizontal="right"/>
    </xf>
    <xf numFmtId="9" fontId="14" fillId="3" borderId="0" xfId="0" applyNumberFormat="1" applyFont="1" applyFill="1" applyAlignment="1">
      <alignment horizontal="center"/>
    </xf>
    <xf numFmtId="164" fontId="14" fillId="3" borderId="0" xfId="39" applyFont="1" applyFill="1" applyAlignment="1">
      <alignment horizontal="center"/>
    </xf>
    <xf numFmtId="166" fontId="15" fillId="3" borderId="10" xfId="1" applyNumberFormat="1" applyFont="1" applyFill="1" applyBorder="1"/>
    <xf numFmtId="10" fontId="14" fillId="3" borderId="0" xfId="38" applyNumberFormat="1" applyFont="1" applyFill="1" applyAlignment="1">
      <alignment horizontal="center"/>
    </xf>
    <xf numFmtId="165" fontId="14" fillId="3" borderId="0" xfId="0" applyNumberFormat="1" applyFont="1" applyFill="1"/>
    <xf numFmtId="1" fontId="14" fillId="3" borderId="0" xfId="0" applyNumberFormat="1" applyFont="1" applyFill="1" applyAlignment="1">
      <alignment horizontal="center"/>
    </xf>
    <xf numFmtId="165" fontId="14" fillId="3" borderId="0" xfId="1" applyFont="1" applyFill="1"/>
    <xf numFmtId="167" fontId="14" fillId="3" borderId="0" xfId="1" applyNumberFormat="1" applyFont="1" applyFill="1"/>
    <xf numFmtId="164" fontId="15" fillId="3" borderId="0" xfId="39" applyFont="1" applyFill="1" applyBorder="1"/>
    <xf numFmtId="1" fontId="15" fillId="3" borderId="10" xfId="1" applyNumberFormat="1" applyFont="1" applyFill="1" applyBorder="1"/>
    <xf numFmtId="0" fontId="15" fillId="3" borderId="11" xfId="0" applyFont="1" applyFill="1" applyBorder="1"/>
    <xf numFmtId="0" fontId="15" fillId="3" borderId="7" xfId="0" applyFont="1" applyFill="1" applyBorder="1"/>
    <xf numFmtId="0" fontId="15" fillId="3" borderId="7" xfId="0" applyFont="1" applyFill="1" applyBorder="1" applyAlignment="1">
      <alignment horizontal="center"/>
    </xf>
    <xf numFmtId="176" fontId="15" fillId="3" borderId="7" xfId="39" applyNumberFormat="1" applyFont="1" applyFill="1" applyBorder="1"/>
    <xf numFmtId="0" fontId="14" fillId="3" borderId="7" xfId="0" applyFont="1" applyFill="1" applyBorder="1"/>
    <xf numFmtId="1" fontId="15" fillId="3" borderId="8" xfId="1" applyNumberFormat="1" applyFont="1" applyFill="1" applyBorder="1"/>
    <xf numFmtId="164" fontId="14" fillId="3" borderId="11" xfId="0" applyNumberFormat="1" applyFont="1" applyFill="1" applyBorder="1"/>
    <xf numFmtId="164" fontId="14" fillId="3" borderId="7" xfId="0" applyNumberFormat="1" applyFont="1" applyFill="1" applyBorder="1"/>
    <xf numFmtId="164" fontId="15" fillId="3" borderId="0" xfId="0" applyNumberFormat="1" applyFont="1" applyFill="1"/>
    <xf numFmtId="171" fontId="15" fillId="3" borderId="0" xfId="0" applyNumberFormat="1" applyFont="1" applyFill="1"/>
    <xf numFmtId="0" fontId="14" fillId="3" borderId="4" xfId="0" applyFont="1" applyFill="1" applyBorder="1"/>
    <xf numFmtId="0" fontId="14" fillId="3" borderId="4" xfId="0" applyFont="1" applyFill="1" applyBorder="1" applyAlignment="1">
      <alignment horizontal="center"/>
    </xf>
    <xf numFmtId="174" fontId="15" fillId="3" borderId="0" xfId="38" applyNumberFormat="1" applyFont="1" applyFill="1"/>
    <xf numFmtId="0" fontId="15" fillId="3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vertical="center" wrapText="1"/>
    </xf>
    <xf numFmtId="0" fontId="14" fillId="3" borderId="6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vertical="center" wrapText="1"/>
    </xf>
    <xf numFmtId="0" fontId="15" fillId="3" borderId="0" xfId="0" applyFont="1" applyFill="1" applyAlignment="1">
      <alignment horizontal="center" vertical="center" wrapText="1"/>
    </xf>
    <xf numFmtId="164" fontId="15" fillId="3" borderId="0" xfId="0" applyNumberFormat="1" applyFont="1" applyFill="1" applyAlignment="1">
      <alignment horizontal="center" vertical="center" wrapText="1"/>
    </xf>
    <xf numFmtId="167" fontId="15" fillId="3" borderId="0" xfId="1" applyNumberFormat="1" applyFont="1" applyFill="1" applyBorder="1" applyAlignment="1">
      <alignment horizontal="center" vertical="center" wrapText="1"/>
    </xf>
    <xf numFmtId="171" fontId="15" fillId="3" borderId="0" xfId="0" applyNumberFormat="1" applyFont="1" applyFill="1" applyAlignment="1">
      <alignment horizontal="center" vertical="center" wrapText="1"/>
    </xf>
    <xf numFmtId="165" fontId="15" fillId="3" borderId="0" xfId="1" applyFont="1" applyFill="1" applyBorder="1" applyAlignment="1">
      <alignment horizontal="center" vertical="center" wrapText="1"/>
    </xf>
    <xf numFmtId="169" fontId="15" fillId="3" borderId="0" xfId="0" applyNumberFormat="1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37" fontId="15" fillId="3" borderId="0" xfId="39" applyNumberFormat="1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164" fontId="15" fillId="3" borderId="0" xfId="39" applyFont="1" applyFill="1" applyBorder="1" applyAlignment="1">
      <alignment horizontal="center" vertical="center" wrapText="1"/>
    </xf>
    <xf numFmtId="164" fontId="15" fillId="3" borderId="0" xfId="39" applyFont="1" applyFill="1"/>
    <xf numFmtId="165" fontId="15" fillId="3" borderId="0" xfId="0" applyNumberFormat="1" applyFont="1" applyFill="1" applyAlignment="1">
      <alignment horizontal="center" vertical="center" wrapText="1"/>
    </xf>
    <xf numFmtId="168" fontId="15" fillId="3" borderId="0" xfId="39" quotePrefix="1" applyNumberFormat="1" applyFont="1" applyFill="1"/>
    <xf numFmtId="182" fontId="15" fillId="3" borderId="0" xfId="0" applyNumberFormat="1" applyFont="1" applyFill="1"/>
    <xf numFmtId="165" fontId="15" fillId="5" borderId="0" xfId="1" quotePrefix="1" applyFont="1" applyFill="1"/>
    <xf numFmtId="165" fontId="15" fillId="5" borderId="0" xfId="1" applyFont="1" applyFill="1"/>
    <xf numFmtId="165" fontId="8" fillId="0" borderId="0" xfId="1" applyFont="1" applyAlignment="1">
      <alignment horizontal="left"/>
    </xf>
    <xf numFmtId="0" fontId="8" fillId="0" borderId="0" xfId="1" applyNumberFormat="1" applyFont="1"/>
    <xf numFmtId="14" fontId="8" fillId="0" borderId="0" xfId="1" applyNumberFormat="1" applyFont="1"/>
    <xf numFmtId="10" fontId="8" fillId="0" borderId="0" xfId="1" applyNumberFormat="1" applyFont="1"/>
    <xf numFmtId="167" fontId="8" fillId="0" borderId="0" xfId="1" applyNumberFormat="1" applyFont="1"/>
    <xf numFmtId="165" fontId="11" fillId="0" borderId="0" xfId="1" applyFont="1"/>
    <xf numFmtId="165" fontId="11" fillId="0" borderId="0" xfId="1" applyFont="1" applyAlignment="1">
      <alignment vertical="top"/>
    </xf>
    <xf numFmtId="172" fontId="8" fillId="5" borderId="0" xfId="0" applyNumberFormat="1" applyFont="1" applyFill="1"/>
    <xf numFmtId="185" fontId="8" fillId="0" borderId="0" xfId="1" applyNumberFormat="1" applyFont="1"/>
    <xf numFmtId="14" fontId="8" fillId="0" borderId="0" xfId="0" applyNumberFormat="1" applyFont="1"/>
    <xf numFmtId="10" fontId="8" fillId="0" borderId="0" xfId="38" applyNumberFormat="1" applyFont="1"/>
    <xf numFmtId="0" fontId="24" fillId="0" borderId="0" xfId="43" applyFont="1"/>
    <xf numFmtId="166" fontId="8" fillId="0" borderId="0" xfId="0" applyNumberFormat="1" applyFont="1"/>
    <xf numFmtId="0" fontId="13" fillId="16" borderId="0" xfId="43" applyFont="1" applyFill="1"/>
    <xf numFmtId="166" fontId="14" fillId="5" borderId="0" xfId="39" applyNumberFormat="1" applyFont="1" applyFill="1" applyAlignment="1">
      <alignment horizontal="center"/>
    </xf>
    <xf numFmtId="167" fontId="15" fillId="0" borderId="0" xfId="1" applyNumberFormat="1" applyFont="1" applyFill="1" applyBorder="1" applyAlignment="1">
      <alignment horizontal="left" vertical="center"/>
    </xf>
    <xf numFmtId="0" fontId="25" fillId="17" borderId="0" xfId="0" applyFont="1" applyFill="1"/>
    <xf numFmtId="14" fontId="25" fillId="17" borderId="0" xfId="0" applyNumberFormat="1" applyFont="1" applyFill="1"/>
    <xf numFmtId="167" fontId="25" fillId="17" borderId="0" xfId="1" applyNumberFormat="1" applyFont="1" applyFill="1"/>
    <xf numFmtId="166" fontId="25" fillId="17" borderId="0" xfId="0" applyNumberFormat="1" applyFont="1" applyFill="1"/>
    <xf numFmtId="184" fontId="25" fillId="17" borderId="0" xfId="0" applyNumberFormat="1" applyFont="1" applyFill="1"/>
    <xf numFmtId="180" fontId="8" fillId="0" borderId="0" xfId="1" applyNumberFormat="1" applyFont="1" applyFill="1"/>
    <xf numFmtId="165" fontId="8" fillId="0" borderId="0" xfId="0" quotePrefix="1" applyNumberFormat="1" applyFont="1"/>
    <xf numFmtId="165" fontId="8" fillId="0" borderId="0" xfId="0" applyNumberFormat="1" applyFont="1"/>
    <xf numFmtId="165" fontId="8" fillId="0" borderId="0" xfId="1" quotePrefix="1" applyFont="1" applyFill="1"/>
    <xf numFmtId="186" fontId="13" fillId="7" borderId="0" xfId="0" applyNumberFormat="1" applyFont="1" applyFill="1" applyAlignment="1">
      <alignment vertical="center"/>
    </xf>
    <xf numFmtId="0" fontId="11" fillId="6" borderId="1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71" fontId="14" fillId="3" borderId="2" xfId="0" applyNumberFormat="1" applyFont="1" applyFill="1" applyBorder="1" applyAlignment="1">
      <alignment horizontal="center" vertical="center" wrapText="1"/>
    </xf>
    <xf numFmtId="171" fontId="14" fillId="3" borderId="6" xfId="0" applyNumberFormat="1" applyFont="1" applyFill="1" applyBorder="1" applyAlignment="1">
      <alignment horizontal="center" vertical="center" wrapText="1"/>
    </xf>
    <xf numFmtId="165" fontId="14" fillId="3" borderId="2" xfId="1" applyFont="1" applyFill="1" applyBorder="1" applyAlignment="1">
      <alignment horizontal="center" vertical="center" wrapText="1"/>
    </xf>
    <xf numFmtId="165" fontId="14" fillId="3" borderId="6" xfId="1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15" borderId="6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center"/>
    </xf>
    <xf numFmtId="0" fontId="14" fillId="15" borderId="4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167" fontId="14" fillId="0" borderId="2" xfId="1" applyNumberFormat="1" applyFont="1" applyFill="1" applyBorder="1" applyAlignment="1">
      <alignment horizontal="center" vertical="center" wrapText="1"/>
    </xf>
    <xf numFmtId="167" fontId="14" fillId="0" borderId="6" xfId="1" applyNumberFormat="1" applyFont="1" applyFill="1" applyBorder="1" applyAlignment="1">
      <alignment horizontal="center" vertical="center" wrapText="1"/>
    </xf>
    <xf numFmtId="171" fontId="14" fillId="0" borderId="2" xfId="0" applyNumberFormat="1" applyFont="1" applyBorder="1" applyAlignment="1">
      <alignment horizontal="center" vertical="center" wrapText="1"/>
    </xf>
    <xf numFmtId="171" fontId="14" fillId="0" borderId="6" xfId="0" applyNumberFormat="1" applyFont="1" applyBorder="1" applyAlignment="1">
      <alignment horizontal="center" vertical="center" wrapText="1"/>
    </xf>
    <xf numFmtId="165" fontId="14" fillId="0" borderId="2" xfId="1" applyFont="1" applyFill="1" applyBorder="1" applyAlignment="1">
      <alignment horizontal="center" vertical="center" wrapText="1"/>
    </xf>
    <xf numFmtId="165" fontId="14" fillId="0" borderId="6" xfId="1" applyFont="1" applyFill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8" fillId="9" borderId="0" xfId="1" applyFont="1" applyFill="1" applyAlignment="1">
      <alignment horizontal="center"/>
    </xf>
    <xf numFmtId="165" fontId="8" fillId="10" borderId="0" xfId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171" fontId="8" fillId="0" borderId="0" xfId="39" applyNumberFormat="1" applyFont="1"/>
  </cellXfs>
  <cellStyles count="44">
    <cellStyle name="Comma" xfId="1" builtinId="3"/>
    <cellStyle name="Comma [0]" xfId="39" builtinId="6"/>
    <cellStyle name="Comma [0] 10 2 2" xfId="42" xr:uid="{00000000-0005-0000-0000-000002000000}"/>
    <cellStyle name="Comma [0] 2" xfId="2" xr:uid="{00000000-0005-0000-0000-000003000000}"/>
    <cellStyle name="Comma [0] 2 2" xfId="3" xr:uid="{00000000-0005-0000-0000-000004000000}"/>
    <cellStyle name="Comma [0] 3" xfId="4" xr:uid="{00000000-0005-0000-0000-000005000000}"/>
    <cellStyle name="Comma [0] 4" xfId="5" xr:uid="{00000000-0005-0000-0000-000006000000}"/>
    <cellStyle name="Comma [0] 5" xfId="6" xr:uid="{00000000-0005-0000-0000-000007000000}"/>
    <cellStyle name="Comma 10" xfId="7" xr:uid="{00000000-0005-0000-0000-000008000000}"/>
    <cellStyle name="Comma 10 2 2 2 10" xfId="41" xr:uid="{00000000-0005-0000-0000-000009000000}"/>
    <cellStyle name="Comma 11" xfId="8" xr:uid="{00000000-0005-0000-0000-00000A000000}"/>
    <cellStyle name="Comma 12" xfId="9" xr:uid="{00000000-0005-0000-0000-00000B000000}"/>
    <cellStyle name="Comma 13" xfId="10" xr:uid="{00000000-0005-0000-0000-00000C000000}"/>
    <cellStyle name="Comma 14" xfId="11" xr:uid="{00000000-0005-0000-0000-00000D000000}"/>
    <cellStyle name="Comma 2" xfId="12" xr:uid="{00000000-0005-0000-0000-00000E000000}"/>
    <cellStyle name="Comma 2 2" xfId="13" xr:uid="{00000000-0005-0000-0000-00000F000000}"/>
    <cellStyle name="Comma 3" xfId="14" xr:uid="{00000000-0005-0000-0000-000010000000}"/>
    <cellStyle name="Comma 4" xfId="15" xr:uid="{00000000-0005-0000-0000-000011000000}"/>
    <cellStyle name="Comma 5" xfId="16" xr:uid="{00000000-0005-0000-0000-000012000000}"/>
    <cellStyle name="Comma 6" xfId="17" xr:uid="{00000000-0005-0000-0000-000013000000}"/>
    <cellStyle name="Comma 7" xfId="18" xr:uid="{00000000-0005-0000-0000-000014000000}"/>
    <cellStyle name="Comma 8" xfId="19" xr:uid="{00000000-0005-0000-0000-000015000000}"/>
    <cellStyle name="Comma 9" xfId="20" xr:uid="{00000000-0005-0000-0000-000016000000}"/>
    <cellStyle name="Normal" xfId="0" builtinId="0"/>
    <cellStyle name="Normal 10" xfId="43" xr:uid="{00000000-0005-0000-0000-000018000000}"/>
    <cellStyle name="Normal 2" xfId="21" xr:uid="{00000000-0005-0000-0000-000019000000}"/>
    <cellStyle name="Normal 2 2" xfId="22" xr:uid="{00000000-0005-0000-0000-00001A000000}"/>
    <cellStyle name="Normal 2 2 2" xfId="23" xr:uid="{00000000-0005-0000-0000-00001B000000}"/>
    <cellStyle name="Normal 3" xfId="24" xr:uid="{00000000-0005-0000-0000-00001C000000}"/>
    <cellStyle name="Normal 4" xfId="25" xr:uid="{00000000-0005-0000-0000-00001D000000}"/>
    <cellStyle name="Normal 4 2" xfId="26" xr:uid="{00000000-0005-0000-0000-00001E000000}"/>
    <cellStyle name="Normal 5" xfId="27" xr:uid="{00000000-0005-0000-0000-00001F000000}"/>
    <cellStyle name="Normal 6" xfId="28" xr:uid="{00000000-0005-0000-0000-000020000000}"/>
    <cellStyle name="Normal 7" xfId="29" xr:uid="{00000000-0005-0000-0000-000021000000}"/>
    <cellStyle name="Normal 8" xfId="30" xr:uid="{00000000-0005-0000-0000-000022000000}"/>
    <cellStyle name="Normal 9" xfId="31" xr:uid="{00000000-0005-0000-0000-000023000000}"/>
    <cellStyle name="Normal_Master DP (01-10-07)" xfId="40" xr:uid="{00000000-0005-0000-0000-000024000000}"/>
    <cellStyle name="Percent" xfId="38" builtinId="5"/>
    <cellStyle name="Percent 2" xfId="32" xr:uid="{00000000-0005-0000-0000-000026000000}"/>
    <cellStyle name="Percent 3" xfId="33" xr:uid="{00000000-0005-0000-0000-000027000000}"/>
    <cellStyle name="Percent 3 2" xfId="34" xr:uid="{00000000-0005-0000-0000-000028000000}"/>
    <cellStyle name="Percent 4" xfId="35" xr:uid="{00000000-0005-0000-0000-000029000000}"/>
    <cellStyle name="Percent 5" xfId="36" xr:uid="{00000000-0005-0000-0000-00002A000000}"/>
    <cellStyle name="Percent 6" xfId="37" xr:uid="{00000000-0005-0000-0000-00002B000000}"/>
  </cellStyles>
  <dxfs count="0"/>
  <tableStyles count="0" defaultTableStyle="TableStyleMedium2" defaultPivotStyle="PivotStyleLight16"/>
  <colors>
    <mruColors>
      <color rgb="FF00FFFF"/>
      <color rgb="FFFFFF66"/>
      <color rgb="FF0000FF"/>
      <color rgb="FFFFFF99"/>
      <color rgb="FF66FFFF"/>
      <color rgb="FF99FF99"/>
      <color rgb="FF99FFCC"/>
      <color rgb="FFFFFFCC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V11"/>
  <sheetViews>
    <sheetView topLeftCell="R1" workbookViewId="0">
      <pane ySplit="4" topLeftCell="A5" activePane="bottomLeft" state="frozen"/>
      <selection activeCell="CS3" sqref="A1:XFD1048576"/>
      <selection pane="bottomLeft" activeCell="V11" sqref="V11"/>
    </sheetView>
  </sheetViews>
  <sheetFormatPr defaultColWidth="9.140625" defaultRowHeight="12.75" x14ac:dyDescent="0.2"/>
  <cols>
    <col min="1" max="1" width="15.7109375" style="283" bestFit="1" customWidth="1"/>
    <col min="2" max="4" width="35.5703125" style="283" bestFit="1" customWidth="1"/>
    <col min="5" max="6" width="8" style="283" bestFit="1" customWidth="1"/>
    <col min="7" max="7" width="6.7109375" style="283" bestFit="1" customWidth="1"/>
    <col min="8" max="8" width="10.5703125" style="283" bestFit="1" customWidth="1"/>
    <col min="9" max="9" width="6.42578125" style="283" bestFit="1" customWidth="1"/>
    <col min="10" max="10" width="4.85546875" style="283" bestFit="1" customWidth="1"/>
    <col min="11" max="11" width="23.5703125" style="283" bestFit="1" customWidth="1"/>
    <col min="12" max="12" width="7" style="283" bestFit="1" customWidth="1"/>
    <col min="13" max="13" width="22.140625" style="283" bestFit="1" customWidth="1"/>
    <col min="14" max="14" width="38.140625" style="283" bestFit="1" customWidth="1"/>
    <col min="15" max="15" width="22.140625" style="283" bestFit="1" customWidth="1"/>
    <col min="16" max="16" width="38.140625" style="283" bestFit="1" customWidth="1"/>
    <col min="17" max="17" width="9.5703125" style="283" bestFit="1" customWidth="1"/>
    <col min="18" max="18" width="17.28515625" style="283" bestFit="1" customWidth="1"/>
    <col min="19" max="19" width="18.140625" style="283" bestFit="1" customWidth="1"/>
    <col min="20" max="20" width="17.28515625" style="283" bestFit="1" customWidth="1"/>
    <col min="21" max="21" width="18.140625" style="283" bestFit="1" customWidth="1"/>
    <col min="22" max="22" width="15.85546875" style="283" bestFit="1" customWidth="1"/>
    <col min="23" max="23" width="15.7109375" style="283" bestFit="1" customWidth="1"/>
    <col min="24" max="24" width="10.42578125" style="283" bestFit="1" customWidth="1"/>
    <col min="25" max="25" width="12.42578125" style="283" customWidth="1"/>
    <col min="26" max="26" width="10.5703125" style="283" bestFit="1" customWidth="1"/>
    <col min="27" max="27" width="10.85546875" style="283" bestFit="1" customWidth="1"/>
    <col min="28" max="28" width="18.42578125" style="283" bestFit="1" customWidth="1"/>
    <col min="29" max="29" width="27.85546875" style="283" bestFit="1" customWidth="1"/>
    <col min="30" max="30" width="18.42578125" style="283" bestFit="1" customWidth="1"/>
    <col min="31" max="31" width="27.85546875" style="283" bestFit="1" customWidth="1"/>
    <col min="32" max="32" width="10.140625" style="283" bestFit="1" customWidth="1"/>
    <col min="33" max="33" width="10.5703125" style="283" bestFit="1" customWidth="1"/>
    <col min="34" max="34" width="15.42578125" style="283" bestFit="1" customWidth="1"/>
    <col min="35" max="35" width="15" style="283" bestFit="1" customWidth="1"/>
    <col min="36" max="36" width="15.42578125" style="283" bestFit="1" customWidth="1"/>
    <col min="37" max="37" width="15.5703125" style="283" bestFit="1" customWidth="1"/>
    <col min="38" max="38" width="14.7109375" style="283" bestFit="1" customWidth="1"/>
    <col min="39" max="39" width="19.5703125" style="283" bestFit="1" customWidth="1"/>
    <col min="40" max="40" width="14.5703125" style="283" bestFit="1" customWidth="1"/>
    <col min="41" max="41" width="23.140625" style="283" bestFit="1" customWidth="1"/>
    <col min="42" max="42" width="28.42578125" style="283" bestFit="1" customWidth="1"/>
    <col min="43" max="43" width="23.140625" style="283" bestFit="1" customWidth="1"/>
    <col min="44" max="44" width="28.42578125" style="283" bestFit="1" customWidth="1"/>
    <col min="45" max="45" width="19.28515625" style="283" bestFit="1" customWidth="1"/>
    <col min="46" max="46" width="20.42578125" style="283" bestFit="1" customWidth="1"/>
    <col min="47" max="47" width="19.28515625" style="283" bestFit="1" customWidth="1"/>
    <col min="48" max="48" width="10.28515625" style="283" bestFit="1" customWidth="1"/>
    <col min="49" max="16384" width="9.140625" style="283"/>
  </cols>
  <sheetData>
    <row r="1" spans="1:48" x14ac:dyDescent="0.2">
      <c r="A1" s="283" t="s">
        <v>409</v>
      </c>
    </row>
    <row r="3" spans="1:48" x14ac:dyDescent="0.2">
      <c r="A3" s="284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84"/>
      <c r="Q3" s="2"/>
      <c r="R3" s="2"/>
      <c r="S3" s="2"/>
      <c r="T3" s="284"/>
      <c r="U3" s="2"/>
      <c r="V3" s="2"/>
      <c r="W3" s="284"/>
      <c r="X3" s="284"/>
      <c r="Y3" s="284"/>
      <c r="Z3" s="2"/>
      <c r="AA3" s="2"/>
      <c r="AB3" s="276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84"/>
    </row>
    <row r="4" spans="1:48" x14ac:dyDescent="0.2">
      <c r="A4" s="291" t="s">
        <v>338</v>
      </c>
      <c r="B4" s="288" t="s">
        <v>339</v>
      </c>
      <c r="C4" s="288" t="s">
        <v>340</v>
      </c>
      <c r="D4" s="288" t="s">
        <v>127</v>
      </c>
      <c r="E4" s="288" t="s">
        <v>128</v>
      </c>
      <c r="F4" s="288" t="s">
        <v>341</v>
      </c>
      <c r="G4" s="288" t="s">
        <v>342</v>
      </c>
      <c r="H4" s="288" t="s">
        <v>295</v>
      </c>
      <c r="I4" s="288" t="s">
        <v>129</v>
      </c>
      <c r="J4" s="288" t="s">
        <v>130</v>
      </c>
      <c r="K4" s="288" t="s">
        <v>294</v>
      </c>
      <c r="L4" s="288" t="s">
        <v>296</v>
      </c>
      <c r="M4" s="288" t="s">
        <v>343</v>
      </c>
      <c r="N4" s="288" t="s">
        <v>344</v>
      </c>
      <c r="O4" s="288" t="s">
        <v>345</v>
      </c>
      <c r="P4" s="291" t="s">
        <v>346</v>
      </c>
      <c r="Q4" s="288" t="s">
        <v>347</v>
      </c>
      <c r="R4" s="288" t="s">
        <v>348</v>
      </c>
      <c r="S4" s="288" t="s">
        <v>349</v>
      </c>
      <c r="T4" s="291" t="s">
        <v>350</v>
      </c>
      <c r="U4" s="288" t="s">
        <v>299</v>
      </c>
      <c r="V4" s="288" t="s">
        <v>300</v>
      </c>
      <c r="W4" s="291" t="s">
        <v>131</v>
      </c>
      <c r="X4" s="291" t="s">
        <v>351</v>
      </c>
      <c r="Y4" s="291" t="s">
        <v>132</v>
      </c>
      <c r="Z4" s="288" t="s">
        <v>352</v>
      </c>
      <c r="AA4" s="288" t="s">
        <v>353</v>
      </c>
      <c r="AB4" s="288" t="s">
        <v>354</v>
      </c>
      <c r="AC4" s="288" t="s">
        <v>355</v>
      </c>
      <c r="AD4" s="288" t="s">
        <v>356</v>
      </c>
      <c r="AE4" s="288" t="s">
        <v>357</v>
      </c>
      <c r="AF4" s="288" t="s">
        <v>0</v>
      </c>
      <c r="AG4" s="288" t="s">
        <v>358</v>
      </c>
      <c r="AH4" s="288" t="s">
        <v>133</v>
      </c>
      <c r="AI4" s="288" t="s">
        <v>134</v>
      </c>
      <c r="AJ4" s="288" t="s">
        <v>135</v>
      </c>
      <c r="AK4" s="288" t="s">
        <v>136</v>
      </c>
      <c r="AL4" s="288" t="s">
        <v>137</v>
      </c>
      <c r="AM4" s="288" t="s">
        <v>138</v>
      </c>
      <c r="AN4" s="288" t="s">
        <v>359</v>
      </c>
      <c r="AO4" s="288" t="s">
        <v>139</v>
      </c>
      <c r="AP4" s="288" t="s">
        <v>140</v>
      </c>
      <c r="AQ4" s="288" t="s">
        <v>141</v>
      </c>
      <c r="AR4" s="288" t="s">
        <v>142</v>
      </c>
      <c r="AS4" s="288" t="s">
        <v>360</v>
      </c>
      <c r="AT4" s="291" t="s">
        <v>315</v>
      </c>
    </row>
    <row r="5" spans="1:48" x14ac:dyDescent="0.2">
      <c r="A5" s="284">
        <f>B11</f>
        <v>45267</v>
      </c>
      <c r="B5" s="2" t="str">
        <f>C11</f>
        <v>Koperasi Sahabat Mitra Sejati UP Menurun</v>
      </c>
      <c r="C5" s="2" t="str">
        <f t="shared" ref="C5:G5" si="0">D11</f>
        <v>Koperasi Sahabat Mitra Sejati UP Menurun</v>
      </c>
      <c r="D5" s="2" t="str">
        <f t="shared" si="0"/>
        <v>JKT01</v>
      </c>
      <c r="E5" s="2" t="str">
        <f t="shared" si="0"/>
        <v>G</v>
      </c>
      <c r="F5" s="2">
        <f t="shared" si="0"/>
        <v>103</v>
      </c>
      <c r="G5" s="2" t="str">
        <f t="shared" si="0"/>
        <v>N/A</v>
      </c>
      <c r="H5" s="2" t="str">
        <f>A11</f>
        <v>I</v>
      </c>
      <c r="I5" s="2" t="str">
        <f>I11</f>
        <v>I</v>
      </c>
      <c r="J5" s="2" t="str">
        <f t="shared" ref="J5:K5" si="1">J11</f>
        <v>N</v>
      </c>
      <c r="K5" s="2" t="str">
        <f t="shared" si="1"/>
        <v>#KSMS2023121978719-001</v>
      </c>
      <c r="L5" s="2">
        <f>N11</f>
        <v>21708</v>
      </c>
      <c r="M5" s="2" t="str">
        <f t="shared" ref="M5:Q5" si="2">O11</f>
        <v>KSMS2023121978719-001</v>
      </c>
      <c r="N5" s="2" t="str">
        <f t="shared" si="2"/>
        <v>Koperasi Simpan Pinjam Sahabat Mitra Sejati</v>
      </c>
      <c r="O5" s="2" t="str">
        <f t="shared" si="2"/>
        <v>F</v>
      </c>
      <c r="P5" s="281">
        <f t="shared" si="2"/>
        <v>32210</v>
      </c>
      <c r="Q5" s="2">
        <f t="shared" si="2"/>
        <v>35</v>
      </c>
      <c r="R5" s="2" t="str">
        <f t="shared" ref="R5" si="3">T11</f>
        <v>NUNUNG NURHAENI</v>
      </c>
      <c r="S5" s="2" t="str">
        <f t="shared" ref="S5" si="4">U11</f>
        <v>F</v>
      </c>
      <c r="T5" s="281">
        <f t="shared" ref="T5" si="5">V11</f>
        <v>32210</v>
      </c>
      <c r="U5" s="2">
        <f t="shared" ref="U5" si="6">W11</f>
        <v>35</v>
      </c>
      <c r="V5" s="2">
        <f t="shared" ref="V5" si="7">X11</f>
        <v>0</v>
      </c>
      <c r="W5" s="281">
        <f t="shared" ref="W5" si="8">Y11</f>
        <v>45267</v>
      </c>
      <c r="X5" s="281">
        <f t="shared" ref="X5" si="9">Z11</f>
        <v>45267</v>
      </c>
      <c r="Y5" s="281">
        <f t="shared" ref="Y5" si="10">AA11</f>
        <v>46363</v>
      </c>
      <c r="Z5" s="2">
        <f t="shared" ref="Z5" si="11">AB11</f>
        <v>3</v>
      </c>
      <c r="AA5" s="2">
        <f t="shared" ref="AA5" si="12">AC11</f>
        <v>36</v>
      </c>
      <c r="AB5" s="2">
        <f t="shared" ref="AB5" si="13">AD11</f>
        <v>50000000</v>
      </c>
      <c r="AC5" s="2">
        <f t="shared" ref="AC5" si="14">AE11</f>
        <v>0</v>
      </c>
      <c r="AD5" s="2" t="str">
        <f t="shared" ref="AD5" si="15">AF11</f>
        <v>SEKALIGUS</v>
      </c>
      <c r="AE5" s="2" t="str">
        <f t="shared" ref="AE5" si="16">AG11</f>
        <v>IDR</v>
      </c>
      <c r="AF5" s="2">
        <f t="shared" ref="AF5" si="17">AH11</f>
        <v>368000</v>
      </c>
      <c r="AG5" s="2" t="str">
        <f t="shared" ref="AG5" si="18">AI11</f>
        <v>AKTIF</v>
      </c>
      <c r="AH5" s="2">
        <f t="shared" ref="AH5" si="19">AJ11</f>
        <v>0</v>
      </c>
      <c r="AI5" s="2">
        <f t="shared" ref="AI5" si="20">AK11</f>
        <v>0</v>
      </c>
      <c r="AJ5" s="2">
        <f t="shared" ref="AJ5" si="21">AL11</f>
        <v>0</v>
      </c>
      <c r="AK5" s="2">
        <f t="shared" ref="AK5" si="22">AM11</f>
        <v>0</v>
      </c>
      <c r="AL5" s="2">
        <f t="shared" ref="AL5" si="23">AN11</f>
        <v>0</v>
      </c>
      <c r="AM5" s="2">
        <f t="shared" ref="AM5" si="24">AO11</f>
        <v>0</v>
      </c>
      <c r="AN5" s="2">
        <f t="shared" ref="AN5" si="25">AP11</f>
        <v>0</v>
      </c>
      <c r="AO5" s="2">
        <f t="shared" ref="AO5" si="26">AQ11</f>
        <v>0</v>
      </c>
      <c r="AP5" s="2">
        <f t="shared" ref="AP5" si="27">AR11</f>
        <v>0</v>
      </c>
      <c r="AQ5" s="2">
        <f t="shared" ref="AQ5" si="28">AS11</f>
        <v>0</v>
      </c>
      <c r="AR5" s="2">
        <f t="shared" ref="AR5" si="29">AT11</f>
        <v>0</v>
      </c>
      <c r="AS5" s="2">
        <f t="shared" ref="AS5" si="30">AU11</f>
        <v>0</v>
      </c>
      <c r="AT5" s="281">
        <f t="shared" ref="AT5" si="31">AV11</f>
        <v>45291</v>
      </c>
    </row>
    <row r="9" spans="1:48" x14ac:dyDescent="0.2">
      <c r="A9" s="285" t="s">
        <v>389</v>
      </c>
    </row>
    <row r="10" spans="1:48" x14ac:dyDescent="0.2">
      <c r="A10" s="288" t="s">
        <v>388</v>
      </c>
      <c r="B10" s="288" t="s">
        <v>338</v>
      </c>
      <c r="C10" s="288" t="s">
        <v>339</v>
      </c>
      <c r="D10" s="288" t="s">
        <v>340</v>
      </c>
      <c r="E10" s="288" t="s">
        <v>127</v>
      </c>
      <c r="F10" s="288" t="s">
        <v>128</v>
      </c>
      <c r="G10" s="288" t="s">
        <v>341</v>
      </c>
      <c r="H10" s="288" t="s">
        <v>342</v>
      </c>
      <c r="I10" s="288" t="s">
        <v>129</v>
      </c>
      <c r="J10" s="288" t="s">
        <v>130</v>
      </c>
      <c r="K10" s="288" t="s">
        <v>294</v>
      </c>
      <c r="L10" s="288" t="s">
        <v>401</v>
      </c>
      <c r="M10" s="288" t="s">
        <v>402</v>
      </c>
      <c r="N10" s="288" t="s">
        <v>296</v>
      </c>
      <c r="O10" s="288" t="s">
        <v>343</v>
      </c>
      <c r="P10" s="288" t="s">
        <v>344</v>
      </c>
      <c r="Q10" s="288" t="s">
        <v>345</v>
      </c>
      <c r="R10" s="288" t="s">
        <v>346</v>
      </c>
      <c r="S10" s="288" t="s">
        <v>347</v>
      </c>
      <c r="T10" s="288" t="s">
        <v>348</v>
      </c>
      <c r="U10" s="288" t="s">
        <v>349</v>
      </c>
      <c r="V10" s="288" t="s">
        <v>350</v>
      </c>
      <c r="W10" s="288" t="s">
        <v>299</v>
      </c>
      <c r="X10" s="288" t="s">
        <v>300</v>
      </c>
      <c r="Y10" s="288" t="s">
        <v>131</v>
      </c>
      <c r="Z10" s="288" t="s">
        <v>351</v>
      </c>
      <c r="AA10" s="288" t="s">
        <v>132</v>
      </c>
      <c r="AB10" s="288" t="s">
        <v>352</v>
      </c>
      <c r="AC10" s="288" t="s">
        <v>353</v>
      </c>
      <c r="AD10" s="288" t="s">
        <v>354</v>
      </c>
      <c r="AE10" s="288" t="s">
        <v>355</v>
      </c>
      <c r="AF10" s="288" t="s">
        <v>356</v>
      </c>
      <c r="AG10" s="288" t="s">
        <v>357</v>
      </c>
      <c r="AH10" s="288" t="s">
        <v>0</v>
      </c>
      <c r="AI10" s="288" t="s">
        <v>358</v>
      </c>
      <c r="AJ10" s="288" t="s">
        <v>133</v>
      </c>
      <c r="AK10" s="288" t="s">
        <v>134</v>
      </c>
      <c r="AL10" s="288" t="s">
        <v>135</v>
      </c>
      <c r="AM10" s="288" t="s">
        <v>136</v>
      </c>
      <c r="AN10" s="288" t="s">
        <v>137</v>
      </c>
      <c r="AO10" s="288" t="s">
        <v>138</v>
      </c>
      <c r="AP10" s="288" t="s">
        <v>359</v>
      </c>
      <c r="AQ10" s="288" t="s">
        <v>139</v>
      </c>
      <c r="AR10" s="288" t="s">
        <v>140</v>
      </c>
      <c r="AS10" s="288" t="s">
        <v>141</v>
      </c>
      <c r="AT10" s="288" t="s">
        <v>142</v>
      </c>
      <c r="AU10" s="288" t="s">
        <v>360</v>
      </c>
      <c r="AV10" s="288" t="s">
        <v>315</v>
      </c>
    </row>
    <row r="11" spans="1:48" x14ac:dyDescent="0.2">
      <c r="A11" s="2" t="s">
        <v>337</v>
      </c>
      <c r="B11" s="281">
        <v>45267</v>
      </c>
      <c r="C11" s="2" t="s">
        <v>403</v>
      </c>
      <c r="D11" s="2" t="s">
        <v>403</v>
      </c>
      <c r="E11" s="2" t="s">
        <v>375</v>
      </c>
      <c r="F11" s="2" t="s">
        <v>376</v>
      </c>
      <c r="G11" s="2">
        <v>103</v>
      </c>
      <c r="H11" s="2" t="s">
        <v>361</v>
      </c>
      <c r="I11" s="2" t="s">
        <v>337</v>
      </c>
      <c r="J11" s="2" t="s">
        <v>145</v>
      </c>
      <c r="K11" s="2" t="s">
        <v>395</v>
      </c>
      <c r="L11" s="2">
        <v>0</v>
      </c>
      <c r="M11" s="2" t="s">
        <v>404</v>
      </c>
      <c r="N11" s="2">
        <v>21708</v>
      </c>
      <c r="O11" s="2" t="s">
        <v>405</v>
      </c>
      <c r="P11" s="2" t="s">
        <v>406</v>
      </c>
      <c r="Q11" s="2" t="s">
        <v>374</v>
      </c>
      <c r="R11" s="281">
        <v>32210</v>
      </c>
      <c r="S11" s="2">
        <v>35</v>
      </c>
      <c r="T11" s="2" t="s">
        <v>407</v>
      </c>
      <c r="U11" s="2" t="s">
        <v>374</v>
      </c>
      <c r="V11" s="281">
        <v>32210</v>
      </c>
      <c r="W11" s="2">
        <v>35</v>
      </c>
      <c r="X11" s="2">
        <v>0</v>
      </c>
      <c r="Y11" s="281">
        <v>45267</v>
      </c>
      <c r="Z11" s="281">
        <v>45267</v>
      </c>
      <c r="AA11" s="281">
        <v>46363</v>
      </c>
      <c r="AB11" s="2">
        <v>3</v>
      </c>
      <c r="AC11" s="2">
        <v>36</v>
      </c>
      <c r="AD11" s="2">
        <v>50000000</v>
      </c>
      <c r="AE11" s="2">
        <v>0</v>
      </c>
      <c r="AF11" s="2" t="s">
        <v>377</v>
      </c>
      <c r="AG11" s="2" t="s">
        <v>143</v>
      </c>
      <c r="AH11" s="2">
        <v>368000</v>
      </c>
      <c r="AI11" s="2" t="s">
        <v>378</v>
      </c>
      <c r="AJ11" s="2"/>
      <c r="AK11" s="2"/>
      <c r="AL11" s="2"/>
      <c r="AM11" s="2"/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81">
        <v>45291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J183"/>
  <sheetViews>
    <sheetView zoomScaleNormal="100" workbookViewId="0">
      <pane ySplit="3" topLeftCell="A4" activePane="bottomLeft" state="frozen"/>
      <selection activeCell="CS3" sqref="A1:XFD1048576"/>
      <selection pane="bottomLeft" activeCell="G4" sqref="G4"/>
    </sheetView>
  </sheetViews>
  <sheetFormatPr defaultColWidth="9.140625" defaultRowHeight="12.75" x14ac:dyDescent="0.2"/>
  <cols>
    <col min="1" max="1" width="16.140625" style="58" bestFit="1" customWidth="1"/>
    <col min="2" max="2" width="23.5703125" style="58" bestFit="1" customWidth="1"/>
    <col min="3" max="3" width="7" style="272" bestFit="1" customWidth="1"/>
    <col min="4" max="4" width="12.28515625" style="273" bestFit="1" customWidth="1"/>
    <col min="5" max="5" width="8.42578125" style="273" bestFit="1" customWidth="1"/>
    <col min="6" max="6" width="8.42578125" style="274" bestFit="1" customWidth="1"/>
    <col min="7" max="7" width="17.140625" style="58" bestFit="1" customWidth="1"/>
    <col min="8" max="8" width="9.28515625" style="58" bestFit="1" customWidth="1"/>
    <col min="9" max="9" width="6.85546875" style="58" bestFit="1" customWidth="1"/>
    <col min="10" max="10" width="14.85546875" style="58" bestFit="1" customWidth="1"/>
    <col min="11" max="11" width="6.140625" style="58" bestFit="1" customWidth="1"/>
    <col min="12" max="12" width="12.28515625" style="58" bestFit="1" customWidth="1"/>
    <col min="13" max="14" width="32.42578125" style="58" bestFit="1" customWidth="1"/>
    <col min="15" max="15" width="21.42578125" style="58" bestFit="1" customWidth="1"/>
    <col min="16" max="16" width="22.5703125" style="58" bestFit="1" customWidth="1"/>
    <col min="17" max="17" width="17.85546875" style="58" bestFit="1" customWidth="1"/>
    <col min="18" max="18" width="11.85546875" style="58" bestFit="1" customWidth="1"/>
    <col min="19" max="19" width="3.28515625" style="58" bestFit="1" customWidth="1"/>
    <col min="20" max="20" width="13.85546875" style="58" bestFit="1" customWidth="1"/>
    <col min="21" max="21" width="8.140625" style="58" bestFit="1" customWidth="1"/>
    <col min="22" max="22" width="4.42578125" style="276" bestFit="1" customWidth="1"/>
    <col min="23" max="23" width="18.42578125" style="58" bestFit="1" customWidth="1"/>
    <col min="24" max="24" width="2.5703125" style="58" bestFit="1" customWidth="1"/>
    <col min="25" max="25" width="4.140625" style="58" bestFit="1" customWidth="1"/>
    <col min="26" max="26" width="2.85546875" style="58" bestFit="1" customWidth="1"/>
    <col min="27" max="27" width="8.7109375" style="276" bestFit="1" customWidth="1"/>
    <col min="28" max="28" width="7.85546875" style="276" bestFit="1" customWidth="1"/>
    <col min="29" max="29" width="7.42578125" style="58" bestFit="1" customWidth="1"/>
    <col min="30" max="30" width="5.7109375" style="58" bestFit="1" customWidth="1"/>
    <col min="31" max="31" width="15.140625" style="58" bestFit="1" customWidth="1"/>
    <col min="32" max="32" width="14" style="58" bestFit="1" customWidth="1"/>
    <col min="33" max="33" width="16.5703125" style="59" bestFit="1" customWidth="1"/>
    <col min="34" max="34" width="19" style="58" bestFit="1" customWidth="1"/>
    <col min="35" max="35" width="10.28515625" style="58" bestFit="1" customWidth="1"/>
    <col min="36" max="36" width="18.5703125" style="58" bestFit="1" customWidth="1"/>
    <col min="37" max="37" width="20" style="58" bestFit="1" customWidth="1"/>
    <col min="38" max="38" width="12.28515625" style="58" bestFit="1" customWidth="1"/>
    <col min="39" max="39" width="8.85546875" style="58" bestFit="1" customWidth="1"/>
    <col min="40" max="40" width="9" style="58" bestFit="1" customWidth="1"/>
    <col min="41" max="41" width="17.28515625" style="58" bestFit="1" customWidth="1"/>
    <col min="42" max="42" width="9.85546875" style="58" bestFit="1" customWidth="1"/>
    <col min="43" max="43" width="17.5703125" style="58" bestFit="1" customWidth="1"/>
    <col min="44" max="44" width="6.7109375" style="58" bestFit="1" customWidth="1"/>
    <col min="45" max="45" width="4.85546875" style="58" bestFit="1" customWidth="1"/>
    <col min="46" max="46" width="17.28515625" style="58" bestFit="1" customWidth="1"/>
    <col min="47" max="47" width="9.85546875" style="58" bestFit="1" customWidth="1"/>
    <col min="48" max="48" width="4.140625" style="58" bestFit="1" customWidth="1"/>
    <col min="49" max="49" width="5.85546875" style="58" bestFit="1" customWidth="1"/>
    <col min="50" max="50" width="4.7109375" style="58" bestFit="1" customWidth="1"/>
    <col min="51" max="51" width="17.5703125" style="58" bestFit="1" customWidth="1"/>
    <col min="52" max="52" width="9.85546875" style="58" bestFit="1" customWidth="1"/>
    <col min="53" max="53" width="21.42578125" style="58" bestFit="1" customWidth="1"/>
    <col min="54" max="54" width="22.28515625" style="58" bestFit="1" customWidth="1"/>
    <col min="55" max="55" width="18" style="58" bestFit="1" customWidth="1"/>
    <col min="56" max="56" width="19.28515625" style="58" bestFit="1" customWidth="1"/>
    <col min="57" max="57" width="20.140625" style="58" bestFit="1" customWidth="1"/>
    <col min="58" max="58" width="20.85546875" style="58" bestFit="1" customWidth="1"/>
    <col min="59" max="59" width="5.42578125" style="58" bestFit="1" customWidth="1"/>
    <col min="60" max="60" width="13.140625" style="58" bestFit="1" customWidth="1"/>
    <col min="61" max="16384" width="9.140625" style="58"/>
  </cols>
  <sheetData>
    <row r="1" spans="1:36" x14ac:dyDescent="0.2">
      <c r="A1" s="272" t="s">
        <v>408</v>
      </c>
      <c r="M1" s="275"/>
      <c r="W1" s="2"/>
    </row>
    <row r="2" spans="1:36" s="277" customForma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6" s="278" customFormat="1" x14ac:dyDescent="0.2">
      <c r="A3" s="288" t="s">
        <v>388</v>
      </c>
      <c r="B3" s="288" t="s">
        <v>294</v>
      </c>
      <c r="C3" s="288" t="s">
        <v>296</v>
      </c>
      <c r="D3" s="288" t="s">
        <v>297</v>
      </c>
      <c r="E3" s="288" t="s">
        <v>298</v>
      </c>
      <c r="F3" s="289" t="s">
        <v>147</v>
      </c>
      <c r="G3" s="292" t="s">
        <v>299</v>
      </c>
      <c r="H3" s="288" t="s">
        <v>300</v>
      </c>
      <c r="I3" s="288" t="s">
        <v>0</v>
      </c>
      <c r="J3" s="288" t="s">
        <v>301</v>
      </c>
      <c r="K3" s="288" t="s">
        <v>1</v>
      </c>
      <c r="L3" s="288" t="s">
        <v>302</v>
      </c>
      <c r="M3" s="288" t="s">
        <v>303</v>
      </c>
      <c r="N3" s="288" t="s">
        <v>304</v>
      </c>
      <c r="O3" s="288" t="s">
        <v>305</v>
      </c>
      <c r="P3" s="288" t="s">
        <v>306</v>
      </c>
      <c r="Q3" s="288" t="s">
        <v>307</v>
      </c>
      <c r="R3" s="288" t="s">
        <v>308</v>
      </c>
      <c r="S3" s="288" t="s">
        <v>103</v>
      </c>
      <c r="T3" s="288" t="s">
        <v>309</v>
      </c>
      <c r="U3" s="288" t="s">
        <v>310</v>
      </c>
      <c r="V3" s="290" t="s">
        <v>84</v>
      </c>
      <c r="W3" s="288" t="s">
        <v>311</v>
      </c>
      <c r="X3" s="288" t="s">
        <v>85</v>
      </c>
      <c r="Y3" s="288" t="s">
        <v>97</v>
      </c>
      <c r="Z3" s="288" t="s">
        <v>108</v>
      </c>
      <c r="AA3" s="288" t="s">
        <v>11</v>
      </c>
      <c r="AB3" s="288" t="s">
        <v>52</v>
      </c>
      <c r="AC3" s="288" t="s">
        <v>109</v>
      </c>
      <c r="AD3" s="288" t="s">
        <v>93</v>
      </c>
      <c r="AE3" s="288" t="s">
        <v>312</v>
      </c>
      <c r="AF3" s="288" t="s">
        <v>313</v>
      </c>
      <c r="AG3" s="288" t="s">
        <v>125</v>
      </c>
      <c r="AH3" s="288" t="s">
        <v>314</v>
      </c>
      <c r="AI3" s="288" t="s">
        <v>315</v>
      </c>
    </row>
    <row r="4" spans="1:36" x14ac:dyDescent="0.2">
      <c r="A4" s="2" t="s">
        <v>337</v>
      </c>
      <c r="B4" s="2" t="s">
        <v>395</v>
      </c>
      <c r="C4" s="2">
        <v>21708</v>
      </c>
      <c r="D4" s="2">
        <v>1</v>
      </c>
      <c r="E4" s="2">
        <v>1</v>
      </c>
      <c r="F4" s="279">
        <v>45267</v>
      </c>
      <c r="G4" s="350">
        <f>+('DATA INPUT - HEADER'!$AT$5-'DATA INPUT - HEADER'!$T$5)/365</f>
        <v>35.838356164383562</v>
      </c>
      <c r="H4" s="2">
        <v>0</v>
      </c>
      <c r="I4" s="2">
        <v>368000</v>
      </c>
      <c r="J4" s="2">
        <v>0</v>
      </c>
      <c r="K4" s="2">
        <v>92000</v>
      </c>
      <c r="L4" s="2">
        <v>17000</v>
      </c>
      <c r="M4" s="2">
        <v>27600</v>
      </c>
      <c r="N4" s="2">
        <v>1000</v>
      </c>
      <c r="O4" s="2">
        <v>0</v>
      </c>
      <c r="P4" s="2">
        <v>0</v>
      </c>
      <c r="Q4" s="2">
        <v>161000</v>
      </c>
      <c r="R4" s="2">
        <v>50000000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161000</v>
      </c>
      <c r="AB4" s="2">
        <v>0</v>
      </c>
      <c r="AC4" s="2">
        <v>0</v>
      </c>
      <c r="AD4" s="2">
        <v>0</v>
      </c>
      <c r="AE4" s="2">
        <v>0</v>
      </c>
      <c r="AF4" s="58">
        <v>50161000</v>
      </c>
      <c r="AG4" s="58">
        <v>1005070875.3200001</v>
      </c>
      <c r="AH4" s="280">
        <v>4.9907923144500002E-2</v>
      </c>
      <c r="AI4" s="281">
        <v>45291</v>
      </c>
      <c r="AJ4" s="282"/>
    </row>
    <row r="5" spans="1:36" x14ac:dyDescent="0.2">
      <c r="A5" s="2" t="s">
        <v>337</v>
      </c>
      <c r="B5" s="2" t="s">
        <v>395</v>
      </c>
      <c r="C5" s="2">
        <v>21708</v>
      </c>
      <c r="D5" s="2">
        <v>1</v>
      </c>
      <c r="E5" s="2">
        <v>2</v>
      </c>
      <c r="F5" s="279">
        <v>45298</v>
      </c>
      <c r="G5" s="350">
        <f>+('DATA INPUT - HEADER'!$AT$5-'DATA INPUT - HEADER'!$T$5)/365</f>
        <v>35.838356164383562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1000</v>
      </c>
      <c r="O5" s="2">
        <v>0</v>
      </c>
      <c r="P5" s="2">
        <v>0</v>
      </c>
      <c r="Q5" s="2">
        <v>156400</v>
      </c>
      <c r="R5" s="2">
        <v>48975154.165299997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156400</v>
      </c>
      <c r="AB5" s="2">
        <v>0</v>
      </c>
      <c r="AC5" s="2">
        <v>0</v>
      </c>
      <c r="AD5" s="2">
        <v>0</v>
      </c>
      <c r="AE5" s="2">
        <v>0</v>
      </c>
      <c r="AF5" s="58">
        <v>49086000.500699997</v>
      </c>
      <c r="AG5" s="58">
        <v>954909875.31500006</v>
      </c>
      <c r="AH5" s="280">
        <v>5.1403804452800003E-2</v>
      </c>
      <c r="AI5" s="281">
        <v>45291</v>
      </c>
      <c r="AJ5" s="282"/>
    </row>
    <row r="6" spans="1:36" x14ac:dyDescent="0.2">
      <c r="A6" s="2" t="s">
        <v>337</v>
      </c>
      <c r="B6" s="2" t="s">
        <v>395</v>
      </c>
      <c r="C6" s="2">
        <v>21708</v>
      </c>
      <c r="D6" s="2">
        <v>1</v>
      </c>
      <c r="E6" s="2">
        <v>3</v>
      </c>
      <c r="F6" s="279">
        <v>45329</v>
      </c>
      <c r="G6" s="350">
        <f>+('DATA INPUT - HEADER'!$AT$5-'DATA INPUT - HEADER'!$T$5)/365</f>
        <v>35.838356164383562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1000</v>
      </c>
      <c r="O6" s="2">
        <v>0</v>
      </c>
      <c r="P6" s="2">
        <v>0</v>
      </c>
      <c r="Q6" s="2">
        <v>151800</v>
      </c>
      <c r="R6" s="2">
        <v>47933227.566799998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151800</v>
      </c>
      <c r="AB6" s="2">
        <v>0</v>
      </c>
      <c r="AC6" s="2">
        <v>0</v>
      </c>
      <c r="AD6" s="2">
        <v>0</v>
      </c>
      <c r="AE6" s="2">
        <v>0</v>
      </c>
      <c r="AF6" s="58">
        <v>47995910.726099998</v>
      </c>
      <c r="AG6" s="58">
        <v>905823874.81400001</v>
      </c>
      <c r="AH6" s="280">
        <v>5.29859192947E-2</v>
      </c>
      <c r="AI6" s="281">
        <v>45291</v>
      </c>
      <c r="AJ6" s="282"/>
    </row>
    <row r="7" spans="1:36" x14ac:dyDescent="0.2">
      <c r="A7" s="2" t="s">
        <v>337</v>
      </c>
      <c r="B7" s="2" t="s">
        <v>395</v>
      </c>
      <c r="C7" s="2">
        <v>21708</v>
      </c>
      <c r="D7" s="2">
        <v>1</v>
      </c>
      <c r="E7" s="2">
        <v>4</v>
      </c>
      <c r="F7" s="279">
        <v>45358</v>
      </c>
      <c r="G7" s="350">
        <f>+('DATA INPUT - HEADER'!$AT$5-'DATA INPUT - HEADER'!$T$5)/365</f>
        <v>35.838356164383562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1000</v>
      </c>
      <c r="O7" s="2">
        <v>0</v>
      </c>
      <c r="P7" s="2">
        <v>0</v>
      </c>
      <c r="Q7" s="2">
        <v>147200</v>
      </c>
      <c r="R7" s="2">
        <v>46873935.524899997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147200</v>
      </c>
      <c r="AB7" s="2">
        <v>0</v>
      </c>
      <c r="AC7" s="2">
        <v>0</v>
      </c>
      <c r="AD7" s="2">
        <v>0</v>
      </c>
      <c r="AE7" s="2">
        <v>0</v>
      </c>
      <c r="AF7" s="58">
        <v>46890489.213600002</v>
      </c>
      <c r="AG7" s="58">
        <v>857827964.08800006</v>
      </c>
      <c r="AH7" s="280">
        <v>5.4661879976700002E-2</v>
      </c>
      <c r="AI7" s="281">
        <v>45291</v>
      </c>
      <c r="AJ7" s="282"/>
    </row>
    <row r="8" spans="1:36" x14ac:dyDescent="0.2">
      <c r="A8" s="2" t="s">
        <v>337</v>
      </c>
      <c r="B8" s="2" t="s">
        <v>395</v>
      </c>
      <c r="C8" s="2">
        <v>21708</v>
      </c>
      <c r="D8" s="2">
        <v>1</v>
      </c>
      <c r="E8" s="2">
        <v>5</v>
      </c>
      <c r="F8" s="279">
        <v>45389</v>
      </c>
      <c r="G8" s="350">
        <f>+('DATA INPUT - HEADER'!$AT$5-'DATA INPUT - HEADER'!$T$5)/365</f>
        <v>35.838356164383562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1000</v>
      </c>
      <c r="O8" s="2">
        <v>0</v>
      </c>
      <c r="P8" s="2">
        <v>0</v>
      </c>
      <c r="Q8" s="2">
        <v>142600</v>
      </c>
      <c r="R8" s="2">
        <v>45796988.615699999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142600</v>
      </c>
      <c r="AB8" s="2">
        <v>0</v>
      </c>
      <c r="AC8" s="2">
        <v>0</v>
      </c>
      <c r="AD8" s="2">
        <v>0</v>
      </c>
      <c r="AE8" s="2">
        <v>0</v>
      </c>
      <c r="AF8" s="58">
        <v>45769492.618600003</v>
      </c>
      <c r="AG8" s="58">
        <v>810937474.875</v>
      </c>
      <c r="AH8" s="280">
        <v>5.6440223860199999E-2</v>
      </c>
      <c r="AI8" s="281">
        <v>45291</v>
      </c>
      <c r="AJ8" s="282"/>
    </row>
    <row r="9" spans="1:36" x14ac:dyDescent="0.2">
      <c r="A9" s="2" t="s">
        <v>337</v>
      </c>
      <c r="B9" s="2" t="s">
        <v>395</v>
      </c>
      <c r="C9" s="2">
        <v>21708</v>
      </c>
      <c r="D9" s="2">
        <v>1</v>
      </c>
      <c r="E9" s="2">
        <v>6</v>
      </c>
      <c r="F9" s="279">
        <v>45419</v>
      </c>
      <c r="G9" s="350">
        <f>+('DATA INPUT - HEADER'!$AT$5-'DATA INPUT - HEADER'!$T$5)/365</f>
        <v>35.838356164383562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1000</v>
      </c>
      <c r="O9" s="2">
        <v>0</v>
      </c>
      <c r="P9" s="2">
        <v>0</v>
      </c>
      <c r="Q9" s="2">
        <v>138000</v>
      </c>
      <c r="R9" s="2">
        <v>44702092.591300003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138000</v>
      </c>
      <c r="AB9" s="2">
        <v>0</v>
      </c>
      <c r="AC9" s="2">
        <v>0</v>
      </c>
      <c r="AD9" s="2">
        <v>0</v>
      </c>
      <c r="AE9" s="2">
        <v>0</v>
      </c>
      <c r="AF9" s="58">
        <v>44632628.961000003</v>
      </c>
      <c r="AG9" s="58">
        <v>765167982.25600004</v>
      </c>
      <c r="AH9" s="280">
        <v>5.8330497349599997E-2</v>
      </c>
      <c r="AI9" s="281">
        <v>45291</v>
      </c>
      <c r="AJ9" s="282"/>
    </row>
    <row r="10" spans="1:36" x14ac:dyDescent="0.2">
      <c r="A10" s="2" t="s">
        <v>337</v>
      </c>
      <c r="B10" s="2" t="s">
        <v>395</v>
      </c>
      <c r="C10" s="2">
        <v>21708</v>
      </c>
      <c r="D10" s="2">
        <v>1</v>
      </c>
      <c r="E10" s="2">
        <v>7</v>
      </c>
      <c r="F10" s="279">
        <v>45450</v>
      </c>
      <c r="G10" s="350">
        <f>+('DATA INPUT - HEADER'!$AT$5-'DATA INPUT - HEADER'!$T$5)/365</f>
        <v>35.838356164383562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1000</v>
      </c>
      <c r="O10" s="2">
        <v>0</v>
      </c>
      <c r="P10" s="2">
        <v>0</v>
      </c>
      <c r="Q10" s="2">
        <v>133400</v>
      </c>
      <c r="R10" s="2">
        <v>43588948.299800001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133400</v>
      </c>
      <c r="AB10" s="2">
        <v>0</v>
      </c>
      <c r="AC10" s="2">
        <v>0</v>
      </c>
      <c r="AD10" s="2">
        <v>0</v>
      </c>
      <c r="AE10" s="2">
        <v>0</v>
      </c>
      <c r="AF10" s="58">
        <v>43479694.193800002</v>
      </c>
      <c r="AG10" s="58">
        <v>720535353.29499996</v>
      </c>
      <c r="AH10" s="280">
        <v>6.0343595904100003E-2</v>
      </c>
      <c r="AI10" s="281">
        <v>45291</v>
      </c>
      <c r="AJ10" s="282"/>
    </row>
    <row r="11" spans="1:36" x14ac:dyDescent="0.2">
      <c r="A11" s="2" t="s">
        <v>337</v>
      </c>
      <c r="B11" s="2" t="s">
        <v>395</v>
      </c>
      <c r="C11" s="2">
        <v>21708</v>
      </c>
      <c r="D11" s="2">
        <v>1</v>
      </c>
      <c r="E11" s="2">
        <v>8</v>
      </c>
      <c r="F11" s="279">
        <v>45480</v>
      </c>
      <c r="G11" s="350">
        <f>+('DATA INPUT - HEADER'!$AT$5-'DATA INPUT - HEADER'!$T$5)/365</f>
        <v>35.838356164383562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1000</v>
      </c>
      <c r="O11" s="2">
        <v>0</v>
      </c>
      <c r="P11" s="2">
        <v>0</v>
      </c>
      <c r="Q11" s="2">
        <v>128800</v>
      </c>
      <c r="R11" s="2">
        <v>42457251.603500001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128800</v>
      </c>
      <c r="AB11" s="2">
        <v>0</v>
      </c>
      <c r="AC11" s="2">
        <v>0</v>
      </c>
      <c r="AD11" s="2">
        <v>0</v>
      </c>
      <c r="AE11" s="2">
        <v>0</v>
      </c>
      <c r="AF11" s="58">
        <v>42310433.335000001</v>
      </c>
      <c r="AG11" s="58">
        <v>677055659.10099995</v>
      </c>
      <c r="AH11" s="280">
        <v>6.2491809596800001E-2</v>
      </c>
      <c r="AI11" s="281">
        <v>45291</v>
      </c>
      <c r="AJ11" s="282"/>
    </row>
    <row r="12" spans="1:36" x14ac:dyDescent="0.2">
      <c r="A12" s="2" t="s">
        <v>337</v>
      </c>
      <c r="B12" s="2" t="s">
        <v>395</v>
      </c>
      <c r="C12" s="2">
        <v>21708</v>
      </c>
      <c r="D12" s="2">
        <v>1</v>
      </c>
      <c r="E12" s="2">
        <v>9</v>
      </c>
      <c r="F12" s="279">
        <v>45511</v>
      </c>
      <c r="G12" s="350">
        <f>+('DATA INPUT - HEADER'!$AT$5-'DATA INPUT - HEADER'!$T$5)/365</f>
        <v>35.838356164383562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1000</v>
      </c>
      <c r="O12" s="2">
        <v>0</v>
      </c>
      <c r="P12" s="2">
        <v>0</v>
      </c>
      <c r="Q12" s="2">
        <v>124200</v>
      </c>
      <c r="R12" s="2">
        <v>41306693.295599997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124200</v>
      </c>
      <c r="AB12" s="2">
        <v>0</v>
      </c>
      <c r="AC12" s="2">
        <v>0</v>
      </c>
      <c r="AD12" s="2">
        <v>0</v>
      </c>
      <c r="AE12" s="2">
        <v>0</v>
      </c>
      <c r="AF12" s="58">
        <v>41124587.381899998</v>
      </c>
      <c r="AG12" s="58">
        <v>634745225.76600003</v>
      </c>
      <c r="AH12" s="280">
        <v>6.4789124380300003E-2</v>
      </c>
      <c r="AI12" s="281">
        <v>45291</v>
      </c>
      <c r="AJ12" s="282"/>
    </row>
    <row r="13" spans="1:36" x14ac:dyDescent="0.2">
      <c r="A13" s="2" t="s">
        <v>337</v>
      </c>
      <c r="B13" s="2" t="s">
        <v>395</v>
      </c>
      <c r="C13" s="2">
        <v>21708</v>
      </c>
      <c r="D13" s="2">
        <v>1</v>
      </c>
      <c r="E13" s="2">
        <v>10</v>
      </c>
      <c r="F13" s="279">
        <v>45542</v>
      </c>
      <c r="G13" s="350">
        <f>+('DATA INPUT - HEADER'!$AT$5-'DATA INPUT - HEADER'!$T$5)/365</f>
        <v>35.838356164383562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1000</v>
      </c>
      <c r="O13" s="2">
        <v>0</v>
      </c>
      <c r="P13" s="2">
        <v>0</v>
      </c>
      <c r="Q13" s="2">
        <v>119600</v>
      </c>
      <c r="R13" s="2">
        <v>40136959.015799999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119600</v>
      </c>
      <c r="AB13" s="2">
        <v>0</v>
      </c>
      <c r="AC13" s="2">
        <v>0</v>
      </c>
      <c r="AD13" s="2">
        <v>0</v>
      </c>
      <c r="AE13" s="2">
        <v>0</v>
      </c>
      <c r="AF13" s="58">
        <v>39921893.248499997</v>
      </c>
      <c r="AG13" s="58">
        <v>593620638.38399994</v>
      </c>
      <c r="AH13" s="280">
        <v>6.7251525076900007E-2</v>
      </c>
      <c r="AI13" s="281">
        <v>45291</v>
      </c>
      <c r="AJ13" s="282"/>
    </row>
    <row r="14" spans="1:36" x14ac:dyDescent="0.2">
      <c r="A14" s="2" t="s">
        <v>337</v>
      </c>
      <c r="B14" s="2" t="s">
        <v>395</v>
      </c>
      <c r="C14" s="2">
        <v>21708</v>
      </c>
      <c r="D14" s="2">
        <v>1</v>
      </c>
      <c r="E14" s="2">
        <v>11</v>
      </c>
      <c r="F14" s="279">
        <v>45572</v>
      </c>
      <c r="G14" s="350">
        <f>+('DATA INPUT - HEADER'!$AT$5-'DATA INPUT - HEADER'!$T$5)/365</f>
        <v>35.838356164383562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1000</v>
      </c>
      <c r="O14" s="2">
        <v>0</v>
      </c>
      <c r="P14" s="2">
        <v>0</v>
      </c>
      <c r="Q14" s="2">
        <v>115000</v>
      </c>
      <c r="R14" s="2">
        <v>38947729.164800003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115000</v>
      </c>
      <c r="AB14" s="2">
        <v>0</v>
      </c>
      <c r="AC14" s="2">
        <v>0</v>
      </c>
      <c r="AD14" s="2">
        <v>0</v>
      </c>
      <c r="AE14" s="2">
        <v>0</v>
      </c>
      <c r="AF14" s="58">
        <v>38702083.700000003</v>
      </c>
      <c r="AG14" s="58">
        <v>553698745.13600004</v>
      </c>
      <c r="AH14" s="280">
        <v>6.9897365742700002E-2</v>
      </c>
      <c r="AI14" s="281">
        <v>45291</v>
      </c>
      <c r="AJ14" s="282"/>
    </row>
    <row r="15" spans="1:36" x14ac:dyDescent="0.2">
      <c r="A15" s="2" t="s">
        <v>337</v>
      </c>
      <c r="B15" s="2" t="s">
        <v>395</v>
      </c>
      <c r="C15" s="2">
        <v>21708</v>
      </c>
      <c r="D15" s="2">
        <v>1</v>
      </c>
      <c r="E15" s="2">
        <v>12</v>
      </c>
      <c r="F15" s="279">
        <v>45603</v>
      </c>
      <c r="G15" s="350">
        <f>+('DATA INPUT - HEADER'!$AT$5-'DATA INPUT - HEADER'!$T$5)/365</f>
        <v>35.838356164383562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1000</v>
      </c>
      <c r="O15" s="2">
        <v>0</v>
      </c>
      <c r="P15" s="2">
        <v>0</v>
      </c>
      <c r="Q15" s="2">
        <v>110400</v>
      </c>
      <c r="R15" s="2">
        <v>37738678.816200003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110400</v>
      </c>
      <c r="AB15" s="2">
        <v>0</v>
      </c>
      <c r="AC15" s="2">
        <v>0</v>
      </c>
      <c r="AD15" s="2">
        <v>0</v>
      </c>
      <c r="AE15" s="2">
        <v>0</v>
      </c>
      <c r="AF15" s="58">
        <v>37464887.288400002</v>
      </c>
      <c r="AG15" s="58">
        <v>514996661.43599999</v>
      </c>
      <c r="AH15" s="280">
        <v>7.2747825556699994E-2</v>
      </c>
      <c r="AI15" s="281">
        <v>45291</v>
      </c>
      <c r="AJ15" s="282"/>
    </row>
    <row r="16" spans="1:36" x14ac:dyDescent="0.2">
      <c r="A16" s="2" t="s">
        <v>337</v>
      </c>
      <c r="B16" s="2" t="s">
        <v>395</v>
      </c>
      <c r="C16" s="2">
        <v>21708</v>
      </c>
      <c r="D16" s="2">
        <v>2</v>
      </c>
      <c r="E16" s="2">
        <v>13</v>
      </c>
      <c r="F16" s="279">
        <v>45633</v>
      </c>
      <c r="G16" s="350">
        <f>+('DATA INPUT - HEADER'!$AT$5-'DATA INPUT - HEADER'!$T$5)/365</f>
        <v>35.838356164383562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1000</v>
      </c>
      <c r="O16" s="2">
        <v>0</v>
      </c>
      <c r="P16" s="2">
        <v>0</v>
      </c>
      <c r="Q16" s="2">
        <v>105800</v>
      </c>
      <c r="R16" s="2">
        <v>36509477.6285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105800</v>
      </c>
      <c r="AB16" s="2">
        <v>0</v>
      </c>
      <c r="AC16" s="2">
        <v>0</v>
      </c>
      <c r="AD16" s="2">
        <v>0</v>
      </c>
      <c r="AE16" s="2">
        <v>0</v>
      </c>
      <c r="AF16" s="58">
        <v>36209991.703699999</v>
      </c>
      <c r="AG16" s="58">
        <v>477531774.14700001</v>
      </c>
      <c r="AH16" s="280">
        <v>7.5827397597499999E-2</v>
      </c>
      <c r="AI16" s="281">
        <v>45291</v>
      </c>
      <c r="AJ16" s="282"/>
    </row>
    <row r="17" spans="1:36" x14ac:dyDescent="0.2">
      <c r="A17" s="2" t="s">
        <v>337</v>
      </c>
      <c r="B17" s="2" t="s">
        <v>395</v>
      </c>
      <c r="C17" s="2">
        <v>21708</v>
      </c>
      <c r="D17" s="2">
        <v>2</v>
      </c>
      <c r="E17" s="2">
        <v>14</v>
      </c>
      <c r="F17" s="279">
        <v>45664</v>
      </c>
      <c r="G17" s="350">
        <f>+('DATA INPUT - HEADER'!$AT$5-'DATA INPUT - HEADER'!$T$5)/365</f>
        <v>35.838356164383562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1000</v>
      </c>
      <c r="O17" s="2">
        <v>0</v>
      </c>
      <c r="P17" s="2">
        <v>0</v>
      </c>
      <c r="Q17" s="2">
        <v>101200</v>
      </c>
      <c r="R17" s="2">
        <v>35259789.754299998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101200</v>
      </c>
      <c r="AB17" s="2">
        <v>0</v>
      </c>
      <c r="AC17" s="2">
        <v>0</v>
      </c>
      <c r="AD17" s="2">
        <v>0</v>
      </c>
      <c r="AE17" s="2">
        <v>0</v>
      </c>
      <c r="AF17" s="58">
        <v>34936806.261100002</v>
      </c>
      <c r="AG17" s="58">
        <v>441321782.44400001</v>
      </c>
      <c r="AH17" s="280">
        <v>7.9164019658400003E-2</v>
      </c>
      <c r="AI17" s="281">
        <v>45291</v>
      </c>
      <c r="AJ17" s="282"/>
    </row>
    <row r="18" spans="1:36" x14ac:dyDescent="0.2">
      <c r="A18" s="2" t="s">
        <v>337</v>
      </c>
      <c r="B18" s="2" t="s">
        <v>395</v>
      </c>
      <c r="C18" s="2">
        <v>21708</v>
      </c>
      <c r="D18" s="2">
        <v>2</v>
      </c>
      <c r="E18" s="2">
        <v>15</v>
      </c>
      <c r="F18" s="279">
        <v>45695</v>
      </c>
      <c r="G18" s="350">
        <f>+('DATA INPUT - HEADER'!$AT$5-'DATA INPUT - HEADER'!$T$5)/365</f>
        <v>35.838356164383562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1000</v>
      </c>
      <c r="O18" s="2">
        <v>0</v>
      </c>
      <c r="P18" s="2">
        <v>0</v>
      </c>
      <c r="Q18" s="2">
        <v>96600</v>
      </c>
      <c r="R18" s="2">
        <v>33989273.748899996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96600</v>
      </c>
      <c r="AB18" s="2">
        <v>0</v>
      </c>
      <c r="AC18" s="2">
        <v>0</v>
      </c>
      <c r="AD18" s="2">
        <v>0</v>
      </c>
      <c r="AE18" s="2">
        <v>0</v>
      </c>
      <c r="AF18" s="58">
        <v>33645418.3046</v>
      </c>
      <c r="AG18" s="58">
        <v>406384976.18300003</v>
      </c>
      <c r="AH18" s="280">
        <v>8.2791983652099999E-2</v>
      </c>
      <c r="AI18" s="281">
        <v>45291</v>
      </c>
      <c r="AJ18" s="282"/>
    </row>
    <row r="19" spans="1:36" x14ac:dyDescent="0.2">
      <c r="A19" s="2" t="s">
        <v>337</v>
      </c>
      <c r="B19" s="2" t="s">
        <v>395</v>
      </c>
      <c r="C19" s="2">
        <v>21708</v>
      </c>
      <c r="D19" s="2">
        <v>2</v>
      </c>
      <c r="E19" s="2">
        <v>16</v>
      </c>
      <c r="F19" s="279">
        <v>45723</v>
      </c>
      <c r="G19" s="350">
        <f>+('DATA INPUT - HEADER'!$AT$5-'DATA INPUT - HEADER'!$T$5)/365</f>
        <v>35.838356164383562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1000</v>
      </c>
      <c r="O19" s="2">
        <v>0</v>
      </c>
      <c r="P19" s="2">
        <v>0</v>
      </c>
      <c r="Q19" s="2">
        <v>92000</v>
      </c>
      <c r="R19" s="2">
        <v>32697582.4767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92000</v>
      </c>
      <c r="AB19" s="2">
        <v>0</v>
      </c>
      <c r="AC19" s="2">
        <v>0</v>
      </c>
      <c r="AD19" s="2">
        <v>0</v>
      </c>
      <c r="AE19" s="2">
        <v>0</v>
      </c>
      <c r="AF19" s="58">
        <v>32335542.926199999</v>
      </c>
      <c r="AG19" s="58">
        <v>372739557.87800002</v>
      </c>
      <c r="AH19" s="280">
        <v>8.6751036327699996E-2</v>
      </c>
      <c r="AI19" s="281">
        <v>45291</v>
      </c>
      <c r="AJ19" s="282"/>
    </row>
    <row r="20" spans="1:36" x14ac:dyDescent="0.2">
      <c r="A20" s="2" t="s">
        <v>337</v>
      </c>
      <c r="B20" s="2" t="s">
        <v>395</v>
      </c>
      <c r="C20" s="2">
        <v>21708</v>
      </c>
      <c r="D20" s="2">
        <v>2</v>
      </c>
      <c r="E20" s="2">
        <v>17</v>
      </c>
      <c r="F20" s="279">
        <v>45754</v>
      </c>
      <c r="G20" s="350">
        <f>+('DATA INPUT - HEADER'!$AT$5-'DATA INPUT - HEADER'!$T$5)/365</f>
        <v>35.838356164383562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1000</v>
      </c>
      <c r="O20" s="2">
        <v>0</v>
      </c>
      <c r="P20" s="2">
        <v>0</v>
      </c>
      <c r="Q20" s="2">
        <v>87400</v>
      </c>
      <c r="R20" s="2">
        <v>31384363.0167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87400</v>
      </c>
      <c r="AB20" s="2">
        <v>0</v>
      </c>
      <c r="AC20" s="2">
        <v>0</v>
      </c>
      <c r="AD20" s="2">
        <v>0</v>
      </c>
      <c r="AE20" s="2">
        <v>0</v>
      </c>
      <c r="AF20" s="58">
        <v>31006887.302499998</v>
      </c>
      <c r="AG20" s="58">
        <v>340404014.95200002</v>
      </c>
      <c r="AH20" s="280">
        <v>9.1088488797299999E-2</v>
      </c>
      <c r="AI20" s="281">
        <v>45291</v>
      </c>
      <c r="AJ20" s="282"/>
    </row>
    <row r="21" spans="1:36" x14ac:dyDescent="0.2">
      <c r="A21" s="2" t="s">
        <v>337</v>
      </c>
      <c r="B21" s="2" t="s">
        <v>395</v>
      </c>
      <c r="C21" s="2">
        <v>21708</v>
      </c>
      <c r="D21" s="2">
        <v>2</v>
      </c>
      <c r="E21" s="2">
        <v>18</v>
      </c>
      <c r="F21" s="279">
        <v>45784</v>
      </c>
      <c r="G21" s="350">
        <f>+('DATA INPUT - HEADER'!$AT$5-'DATA INPUT - HEADER'!$T$5)/365</f>
        <v>35.838356164383562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1000</v>
      </c>
      <c r="O21" s="2">
        <v>0</v>
      </c>
      <c r="P21" s="2">
        <v>0</v>
      </c>
      <c r="Q21" s="2">
        <v>82800</v>
      </c>
      <c r="R21" s="2">
        <v>30049256.5656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82800</v>
      </c>
      <c r="AB21" s="2">
        <v>0</v>
      </c>
      <c r="AC21" s="2">
        <v>0</v>
      </c>
      <c r="AD21" s="2">
        <v>0</v>
      </c>
      <c r="AE21" s="2">
        <v>0</v>
      </c>
      <c r="AF21" s="58">
        <v>29659153.996399999</v>
      </c>
      <c r="AG21" s="58">
        <v>309397127.64899999</v>
      </c>
      <c r="AH21" s="280">
        <v>9.5861116170399996E-2</v>
      </c>
      <c r="AI21" s="281">
        <v>45291</v>
      </c>
      <c r="AJ21" s="282"/>
    </row>
    <row r="22" spans="1:36" x14ac:dyDescent="0.2">
      <c r="A22" s="2" t="s">
        <v>337</v>
      </c>
      <c r="B22" s="2" t="s">
        <v>395</v>
      </c>
      <c r="C22" s="2">
        <v>21708</v>
      </c>
      <c r="D22" s="2">
        <v>2</v>
      </c>
      <c r="E22" s="2">
        <v>19</v>
      </c>
      <c r="F22" s="279">
        <v>45815</v>
      </c>
      <c r="G22" s="350">
        <f>+('DATA INPUT - HEADER'!$AT$5-'DATA INPUT - HEADER'!$T$5)/365</f>
        <v>35.838356164383562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1000</v>
      </c>
      <c r="O22" s="2">
        <v>0</v>
      </c>
      <c r="P22" s="2">
        <v>0</v>
      </c>
      <c r="Q22" s="2">
        <v>78200</v>
      </c>
      <c r="R22" s="2">
        <v>28691898.340399999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78200</v>
      </c>
      <c r="AB22" s="2">
        <v>0</v>
      </c>
      <c r="AC22" s="2">
        <v>0</v>
      </c>
      <c r="AD22" s="2">
        <v>0</v>
      </c>
      <c r="AE22" s="2">
        <v>0</v>
      </c>
      <c r="AF22" s="58">
        <v>28292040.884599999</v>
      </c>
      <c r="AG22" s="58">
        <v>279737973.653</v>
      </c>
      <c r="AH22" s="280">
        <v>0.101137648619</v>
      </c>
      <c r="AI22" s="281">
        <v>45291</v>
      </c>
      <c r="AJ22" s="282"/>
    </row>
    <row r="23" spans="1:36" x14ac:dyDescent="0.2">
      <c r="A23" s="2" t="s">
        <v>337</v>
      </c>
      <c r="B23" s="2" t="s">
        <v>395</v>
      </c>
      <c r="C23" s="2">
        <v>21708</v>
      </c>
      <c r="D23" s="2">
        <v>2</v>
      </c>
      <c r="E23" s="2">
        <v>20</v>
      </c>
      <c r="F23" s="279">
        <v>45845</v>
      </c>
      <c r="G23" s="350">
        <f>+('DATA INPUT - HEADER'!$AT$5-'DATA INPUT - HEADER'!$T$5)/365</f>
        <v>35.838356164383562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1000</v>
      </c>
      <c r="O23" s="2">
        <v>0</v>
      </c>
      <c r="P23" s="2">
        <v>0</v>
      </c>
      <c r="Q23" s="2">
        <v>73600</v>
      </c>
      <c r="R23" s="2">
        <v>27311917.478100002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73600</v>
      </c>
      <c r="AB23" s="2">
        <v>0</v>
      </c>
      <c r="AC23" s="2">
        <v>0</v>
      </c>
      <c r="AD23" s="2">
        <v>0</v>
      </c>
      <c r="AE23" s="2">
        <v>0</v>
      </c>
      <c r="AF23" s="58">
        <v>26905241.083799999</v>
      </c>
      <c r="AG23" s="58">
        <v>251445932.76800001</v>
      </c>
      <c r="AH23" s="280">
        <v>0.10700209300500001</v>
      </c>
      <c r="AI23" s="281">
        <v>45291</v>
      </c>
      <c r="AJ23" s="282"/>
    </row>
    <row r="24" spans="1:36" x14ac:dyDescent="0.2">
      <c r="A24" s="2" t="s">
        <v>337</v>
      </c>
      <c r="B24" s="2" t="s">
        <v>395</v>
      </c>
      <c r="C24" s="2">
        <v>21708</v>
      </c>
      <c r="D24" s="2">
        <v>2</v>
      </c>
      <c r="E24" s="2">
        <v>21</v>
      </c>
      <c r="F24" s="279">
        <v>45876</v>
      </c>
      <c r="G24" s="350">
        <f>+('DATA INPUT - HEADER'!$AT$5-'DATA INPUT - HEADER'!$T$5)/365</f>
        <v>35.838356164383562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1000</v>
      </c>
      <c r="O24" s="2">
        <v>0</v>
      </c>
      <c r="P24" s="2">
        <v>0</v>
      </c>
      <c r="Q24" s="2">
        <v>69000</v>
      </c>
      <c r="R24" s="2">
        <v>25908936.934700001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69000</v>
      </c>
      <c r="AB24" s="2">
        <v>0</v>
      </c>
      <c r="AC24" s="2">
        <v>0</v>
      </c>
      <c r="AD24" s="2">
        <v>0</v>
      </c>
      <c r="AE24" s="2">
        <v>0</v>
      </c>
      <c r="AF24" s="58">
        <v>25498416.921399999</v>
      </c>
      <c r="AG24" s="58">
        <v>224540691.68399999</v>
      </c>
      <c r="AH24" s="280">
        <v>0.113558111584</v>
      </c>
      <c r="AI24" s="281">
        <v>45291</v>
      </c>
      <c r="AJ24" s="282"/>
    </row>
    <row r="25" spans="1:36" x14ac:dyDescent="0.2">
      <c r="A25" s="2" t="s">
        <v>337</v>
      </c>
      <c r="B25" s="2" t="s">
        <v>395</v>
      </c>
      <c r="C25" s="2">
        <v>21708</v>
      </c>
      <c r="D25" s="2">
        <v>2</v>
      </c>
      <c r="E25" s="2">
        <v>22</v>
      </c>
      <c r="F25" s="279">
        <v>45907</v>
      </c>
      <c r="G25" s="350">
        <f>+('DATA INPUT - HEADER'!$AT$5-'DATA INPUT - HEADER'!$T$5)/365</f>
        <v>35.838356164383562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1000</v>
      </c>
      <c r="O25" s="2">
        <v>0</v>
      </c>
      <c r="P25" s="2">
        <v>0</v>
      </c>
      <c r="Q25" s="2">
        <v>64400</v>
      </c>
      <c r="R25" s="2">
        <v>24482573.382300001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64400</v>
      </c>
      <c r="AB25" s="2">
        <v>0</v>
      </c>
      <c r="AC25" s="2">
        <v>0</v>
      </c>
      <c r="AD25" s="2">
        <v>0</v>
      </c>
      <c r="AE25" s="2">
        <v>0</v>
      </c>
      <c r="AF25" s="58">
        <v>24071280.579799999</v>
      </c>
      <c r="AG25" s="58">
        <v>199042274.76300001</v>
      </c>
      <c r="AH25" s="280">
        <v>0.12093551788699999</v>
      </c>
      <c r="AI25" s="281">
        <v>45291</v>
      </c>
      <c r="AJ25" s="282"/>
    </row>
    <row r="26" spans="1:36" x14ac:dyDescent="0.2">
      <c r="A26" s="2" t="s">
        <v>337</v>
      </c>
      <c r="B26" s="2" t="s">
        <v>395</v>
      </c>
      <c r="C26" s="2">
        <v>21708</v>
      </c>
      <c r="D26" s="2">
        <v>2</v>
      </c>
      <c r="E26" s="2">
        <v>23</v>
      </c>
      <c r="F26" s="279">
        <v>45937</v>
      </c>
      <c r="G26" s="350">
        <f>+('DATA INPUT - HEADER'!$AT$5-'DATA INPUT - HEADER'!$T$5)/365</f>
        <v>35.838356164383562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1000</v>
      </c>
      <c r="O26" s="2">
        <v>0</v>
      </c>
      <c r="P26" s="2">
        <v>0</v>
      </c>
      <c r="Q26" s="2">
        <v>59800</v>
      </c>
      <c r="R26" s="2">
        <v>23032437.1041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59800</v>
      </c>
      <c r="AB26" s="2">
        <v>0</v>
      </c>
      <c r="AC26" s="2">
        <v>0</v>
      </c>
      <c r="AD26" s="2">
        <v>0</v>
      </c>
      <c r="AE26" s="2">
        <v>0</v>
      </c>
      <c r="AF26" s="58">
        <v>22623510.510499999</v>
      </c>
      <c r="AG26" s="58">
        <v>174970994.183</v>
      </c>
      <c r="AH26" s="280">
        <v>0.12929863384500001</v>
      </c>
      <c r="AI26" s="281">
        <v>45291</v>
      </c>
      <c r="AJ26" s="282"/>
    </row>
    <row r="27" spans="1:36" x14ac:dyDescent="0.2">
      <c r="A27" s="2" t="s">
        <v>337</v>
      </c>
      <c r="B27" s="2" t="s">
        <v>395</v>
      </c>
      <c r="C27" s="2">
        <v>21708</v>
      </c>
      <c r="D27" s="2">
        <v>2</v>
      </c>
      <c r="E27" s="2">
        <v>24</v>
      </c>
      <c r="F27" s="279">
        <v>45968</v>
      </c>
      <c r="G27" s="350">
        <f>+('DATA INPUT - HEADER'!$AT$5-'DATA INPUT - HEADER'!$T$5)/365</f>
        <v>35.838356164383562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1000</v>
      </c>
      <c r="O27" s="2">
        <v>0</v>
      </c>
      <c r="P27" s="2">
        <v>0</v>
      </c>
      <c r="Q27" s="2">
        <v>55200</v>
      </c>
      <c r="R27" s="2">
        <v>21558131.887800001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55200</v>
      </c>
      <c r="AB27" s="2">
        <v>0</v>
      </c>
      <c r="AC27" s="2">
        <v>0</v>
      </c>
      <c r="AD27" s="2">
        <v>0</v>
      </c>
      <c r="AE27" s="2">
        <v>0</v>
      </c>
      <c r="AF27" s="58">
        <v>21154780.098499998</v>
      </c>
      <c r="AG27" s="58">
        <v>152347483.67300001</v>
      </c>
      <c r="AH27" s="280">
        <v>0.138858743108</v>
      </c>
      <c r="AI27" s="281">
        <v>45291</v>
      </c>
      <c r="AJ27" s="282"/>
    </row>
    <row r="28" spans="1:36" x14ac:dyDescent="0.2">
      <c r="A28" s="2" t="s">
        <v>337</v>
      </c>
      <c r="B28" s="2" t="s">
        <v>395</v>
      </c>
      <c r="C28" s="2">
        <v>21708</v>
      </c>
      <c r="D28" s="2">
        <v>3</v>
      </c>
      <c r="E28" s="2">
        <v>25</v>
      </c>
      <c r="F28" s="279">
        <v>45998</v>
      </c>
      <c r="G28" s="350">
        <f>+('DATA INPUT - HEADER'!$AT$5-'DATA INPUT - HEADER'!$T$5)/365</f>
        <v>35.838356164383562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1000</v>
      </c>
      <c r="O28" s="2">
        <v>0</v>
      </c>
      <c r="P28" s="2">
        <v>0</v>
      </c>
      <c r="Q28" s="2">
        <v>50600</v>
      </c>
      <c r="R28" s="2">
        <v>20059254.9179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50600</v>
      </c>
      <c r="AB28" s="2">
        <v>0</v>
      </c>
      <c r="AC28" s="2">
        <v>0</v>
      </c>
      <c r="AD28" s="2">
        <v>0</v>
      </c>
      <c r="AE28" s="2">
        <v>0</v>
      </c>
      <c r="AF28" s="58">
        <v>19664757.582600001</v>
      </c>
      <c r="AG28" s="58">
        <v>131192703.574</v>
      </c>
      <c r="AH28" s="280">
        <v>0.149892158991</v>
      </c>
      <c r="AI28" s="281">
        <v>45291</v>
      </c>
      <c r="AJ28" s="282"/>
    </row>
    <row r="29" spans="1:36" x14ac:dyDescent="0.2">
      <c r="A29" s="2" t="s">
        <v>337</v>
      </c>
      <c r="B29" s="2" t="s">
        <v>395</v>
      </c>
      <c r="C29" s="2">
        <v>21708</v>
      </c>
      <c r="D29" s="2">
        <v>3</v>
      </c>
      <c r="E29" s="2">
        <v>26</v>
      </c>
      <c r="F29" s="279">
        <v>46029</v>
      </c>
      <c r="G29" s="350">
        <f>+('DATA INPUT - HEADER'!$AT$5-'DATA INPUT - HEADER'!$T$5)/365</f>
        <v>35.838356164383562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1000</v>
      </c>
      <c r="O29" s="2">
        <v>0</v>
      </c>
      <c r="P29" s="2">
        <v>0</v>
      </c>
      <c r="Q29" s="2">
        <v>46000</v>
      </c>
      <c r="R29" s="2">
        <v>18535396.6653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46000</v>
      </c>
      <c r="AB29" s="2">
        <v>0</v>
      </c>
      <c r="AC29" s="2">
        <v>0</v>
      </c>
      <c r="AD29" s="2">
        <v>0</v>
      </c>
      <c r="AE29" s="2">
        <v>0</v>
      </c>
      <c r="AF29" s="58">
        <v>18152924.272700001</v>
      </c>
      <c r="AG29" s="58">
        <v>111527945.992</v>
      </c>
      <c r="AH29" s="280">
        <v>0.162765700662</v>
      </c>
      <c r="AI29" s="281">
        <v>45291</v>
      </c>
      <c r="AJ29" s="282"/>
    </row>
    <row r="30" spans="1:36" x14ac:dyDescent="0.2">
      <c r="A30" s="2" t="s">
        <v>337</v>
      </c>
      <c r="B30" s="2" t="s">
        <v>395</v>
      </c>
      <c r="C30" s="2">
        <v>21708</v>
      </c>
      <c r="D30" s="2">
        <v>3</v>
      </c>
      <c r="E30" s="2">
        <v>27</v>
      </c>
      <c r="F30" s="279">
        <v>46060</v>
      </c>
      <c r="G30" s="350">
        <f>+('DATA INPUT - HEADER'!$AT$5-'DATA INPUT - HEADER'!$T$5)/365</f>
        <v>35.838356164383562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1000</v>
      </c>
      <c r="O30" s="2">
        <v>0</v>
      </c>
      <c r="P30" s="2">
        <v>0</v>
      </c>
      <c r="Q30" s="2">
        <v>41400</v>
      </c>
      <c r="R30" s="2">
        <v>16986140.774999999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41400</v>
      </c>
      <c r="AB30" s="2">
        <v>0</v>
      </c>
      <c r="AC30" s="2">
        <v>0</v>
      </c>
      <c r="AD30" s="2">
        <v>0</v>
      </c>
      <c r="AE30" s="2">
        <v>0</v>
      </c>
      <c r="AF30" s="58">
        <v>16619146.509099999</v>
      </c>
      <c r="AG30" s="58">
        <v>93375021.718899995</v>
      </c>
      <c r="AH30" s="280">
        <v>0.17798278600799999</v>
      </c>
      <c r="AI30" s="281">
        <v>45291</v>
      </c>
      <c r="AJ30" s="282"/>
    </row>
    <row r="31" spans="1:36" x14ac:dyDescent="0.2">
      <c r="A31" s="2" t="s">
        <v>337</v>
      </c>
      <c r="B31" s="2" t="s">
        <v>395</v>
      </c>
      <c r="C31" s="2">
        <v>21708</v>
      </c>
      <c r="D31" s="2">
        <v>3</v>
      </c>
      <c r="E31" s="2">
        <v>28</v>
      </c>
      <c r="F31" s="279">
        <v>46088</v>
      </c>
      <c r="G31" s="350">
        <f>+('DATA INPUT - HEADER'!$AT$5-'DATA INPUT - HEADER'!$T$5)/365</f>
        <v>35.838356164383562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1000</v>
      </c>
      <c r="O31" s="2">
        <v>0</v>
      </c>
      <c r="P31" s="2">
        <v>0</v>
      </c>
      <c r="Q31" s="2">
        <v>36800</v>
      </c>
      <c r="R31" s="2">
        <v>15411063.953299999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36800</v>
      </c>
      <c r="AB31" s="2">
        <v>0</v>
      </c>
      <c r="AC31" s="2">
        <v>0</v>
      </c>
      <c r="AD31" s="2">
        <v>0</v>
      </c>
      <c r="AE31" s="2">
        <v>0</v>
      </c>
      <c r="AF31" s="58">
        <v>15063081.447899999</v>
      </c>
      <c r="AG31" s="58">
        <v>76755875.209800005</v>
      </c>
      <c r="AH31" s="280">
        <v>0.19624662485800001</v>
      </c>
      <c r="AI31" s="281">
        <v>45291</v>
      </c>
      <c r="AJ31" s="282"/>
    </row>
    <row r="32" spans="1:36" x14ac:dyDescent="0.2">
      <c r="A32" s="2" t="s">
        <v>337</v>
      </c>
      <c r="B32" s="2" t="s">
        <v>395</v>
      </c>
      <c r="C32" s="2">
        <v>21708</v>
      </c>
      <c r="D32" s="2">
        <v>3</v>
      </c>
      <c r="E32" s="2">
        <v>29</v>
      </c>
      <c r="F32" s="279">
        <v>46119</v>
      </c>
      <c r="G32" s="350">
        <f>+('DATA INPUT - HEADER'!$AT$5-'DATA INPUT - HEADER'!$T$5)/365</f>
        <v>35.838356164383562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1000</v>
      </c>
      <c r="O32" s="2">
        <v>0</v>
      </c>
      <c r="P32" s="2">
        <v>0</v>
      </c>
      <c r="Q32" s="2">
        <v>32200</v>
      </c>
      <c r="R32" s="2">
        <v>13809735.851199999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32200</v>
      </c>
      <c r="AB32" s="2">
        <v>0</v>
      </c>
      <c r="AC32" s="2">
        <v>0</v>
      </c>
      <c r="AD32" s="2">
        <v>0</v>
      </c>
      <c r="AE32" s="2">
        <v>0</v>
      </c>
      <c r="AF32" s="58">
        <v>13484376.707800001</v>
      </c>
      <c r="AG32" s="58">
        <v>61692793.761799999</v>
      </c>
      <c r="AH32" s="280">
        <v>0.218572962668</v>
      </c>
      <c r="AI32" s="281">
        <v>45291</v>
      </c>
      <c r="AJ32" s="282"/>
    </row>
    <row r="33" spans="1:36" x14ac:dyDescent="0.2">
      <c r="A33" s="2" t="s">
        <v>337</v>
      </c>
      <c r="B33" s="2" t="s">
        <v>395</v>
      </c>
      <c r="C33" s="2">
        <v>21708</v>
      </c>
      <c r="D33" s="2">
        <v>3</v>
      </c>
      <c r="E33" s="2">
        <v>30</v>
      </c>
      <c r="F33" s="279">
        <v>46149</v>
      </c>
      <c r="G33" s="350">
        <f>+('DATA INPUT - HEADER'!$AT$5-'DATA INPUT - HEADER'!$T$5)/365</f>
        <v>35.838356164383562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1000</v>
      </c>
      <c r="O33" s="2">
        <v>0</v>
      </c>
      <c r="P33" s="2">
        <v>0</v>
      </c>
      <c r="Q33" s="2">
        <v>27600</v>
      </c>
      <c r="R33" s="2">
        <v>12181718.9474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27600</v>
      </c>
      <c r="AB33" s="2">
        <v>0</v>
      </c>
      <c r="AC33" s="2">
        <v>0</v>
      </c>
      <c r="AD33" s="2">
        <v>0</v>
      </c>
      <c r="AE33" s="2">
        <v>0</v>
      </c>
      <c r="AF33" s="58">
        <v>11882662.1612</v>
      </c>
      <c r="AG33" s="58">
        <v>48208417.054099999</v>
      </c>
      <c r="AH33" s="280">
        <v>0.24648521746400001</v>
      </c>
      <c r="AI33" s="281">
        <v>45291</v>
      </c>
      <c r="AJ33" s="282"/>
    </row>
    <row r="34" spans="1:36" x14ac:dyDescent="0.2">
      <c r="A34" s="2" t="s">
        <v>337</v>
      </c>
      <c r="B34" s="2" t="s">
        <v>395</v>
      </c>
      <c r="C34" s="2">
        <v>21708</v>
      </c>
      <c r="D34" s="2">
        <v>3</v>
      </c>
      <c r="E34" s="2">
        <v>31</v>
      </c>
      <c r="F34" s="279">
        <v>46180</v>
      </c>
      <c r="G34" s="350">
        <f>+('DATA INPUT - HEADER'!$AT$5-'DATA INPUT - HEADER'!$T$5)/365</f>
        <v>35.838356164383562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1000</v>
      </c>
      <c r="O34" s="2">
        <v>0</v>
      </c>
      <c r="P34" s="2">
        <v>0</v>
      </c>
      <c r="Q34" s="2">
        <v>23000</v>
      </c>
      <c r="R34" s="2">
        <v>10526568.4285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23000</v>
      </c>
      <c r="AB34" s="2">
        <v>0</v>
      </c>
      <c r="AC34" s="2">
        <v>0</v>
      </c>
      <c r="AD34" s="2">
        <v>0</v>
      </c>
      <c r="AE34" s="2">
        <v>0</v>
      </c>
      <c r="AF34" s="58">
        <v>10257589.757200001</v>
      </c>
      <c r="AG34" s="58">
        <v>36325754.892899998</v>
      </c>
      <c r="AH34" s="280">
        <v>0.282377882784</v>
      </c>
      <c r="AI34" s="281">
        <v>45291</v>
      </c>
      <c r="AJ34" s="282"/>
    </row>
    <row r="35" spans="1:36" x14ac:dyDescent="0.2">
      <c r="A35" s="2" t="s">
        <v>337</v>
      </c>
      <c r="B35" s="2" t="s">
        <v>395</v>
      </c>
      <c r="C35" s="2">
        <v>21708</v>
      </c>
      <c r="D35" s="2">
        <v>3</v>
      </c>
      <c r="E35" s="2">
        <v>32</v>
      </c>
      <c r="F35" s="279">
        <v>46210</v>
      </c>
      <c r="G35" s="350">
        <f>+('DATA INPUT - HEADER'!$AT$5-'DATA INPUT - HEADER'!$T$5)/365</f>
        <v>35.838356164383562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1000</v>
      </c>
      <c r="O35" s="2">
        <v>0</v>
      </c>
      <c r="P35" s="2">
        <v>0</v>
      </c>
      <c r="Q35" s="2">
        <v>18400</v>
      </c>
      <c r="R35" s="2">
        <v>8843832.0676700007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18400</v>
      </c>
      <c r="AB35" s="2">
        <v>0</v>
      </c>
      <c r="AC35" s="2">
        <v>0</v>
      </c>
      <c r="AD35" s="2">
        <v>0</v>
      </c>
      <c r="AE35" s="2">
        <v>0</v>
      </c>
      <c r="AF35" s="58">
        <v>8608790.2888300009</v>
      </c>
      <c r="AG35" s="58">
        <v>26068165.135699999</v>
      </c>
      <c r="AH35" s="280">
        <v>0.33024151274199998</v>
      </c>
      <c r="AI35" s="281">
        <v>45291</v>
      </c>
      <c r="AJ35" s="282"/>
    </row>
    <row r="36" spans="1:36" x14ac:dyDescent="0.2">
      <c r="A36" s="2" t="s">
        <v>337</v>
      </c>
      <c r="B36" s="2" t="s">
        <v>395</v>
      </c>
      <c r="C36" s="2">
        <v>21708</v>
      </c>
      <c r="D36" s="2">
        <v>3</v>
      </c>
      <c r="E36" s="2">
        <v>33</v>
      </c>
      <c r="F36" s="279">
        <v>46241</v>
      </c>
      <c r="G36" s="350">
        <f>+('DATA INPUT - HEADER'!$AT$5-'DATA INPUT - HEADER'!$T$5)/365</f>
        <v>35.838356164383562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1000</v>
      </c>
      <c r="O36" s="2">
        <v>0</v>
      </c>
      <c r="P36" s="2">
        <v>0</v>
      </c>
      <c r="Q36" s="2">
        <v>13800</v>
      </c>
      <c r="R36" s="2">
        <v>7133050.1008200003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13800</v>
      </c>
      <c r="AB36" s="2">
        <v>0</v>
      </c>
      <c r="AC36" s="2">
        <v>0</v>
      </c>
      <c r="AD36" s="2">
        <v>0</v>
      </c>
      <c r="AE36" s="2">
        <v>0</v>
      </c>
      <c r="AF36" s="58">
        <v>6935888.7364600003</v>
      </c>
      <c r="AG36" s="58">
        <v>17459374.846900001</v>
      </c>
      <c r="AH36" s="280">
        <v>0.39725871042299998</v>
      </c>
      <c r="AI36" s="281">
        <v>45291</v>
      </c>
      <c r="AJ36" s="282"/>
    </row>
    <row r="37" spans="1:36" x14ac:dyDescent="0.2">
      <c r="A37" s="2" t="s">
        <v>337</v>
      </c>
      <c r="B37" s="2" t="s">
        <v>395</v>
      </c>
      <c r="C37" s="2">
        <v>21708</v>
      </c>
      <c r="D37" s="2">
        <v>3</v>
      </c>
      <c r="E37" s="2">
        <v>34</v>
      </c>
      <c r="F37" s="279">
        <v>46272</v>
      </c>
      <c r="G37" s="350">
        <f>+('DATA INPUT - HEADER'!$AT$5-'DATA INPUT - HEADER'!$T$5)/365</f>
        <v>35.838356164383562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1000</v>
      </c>
      <c r="O37" s="2">
        <v>0</v>
      </c>
      <c r="P37" s="2">
        <v>0</v>
      </c>
      <c r="Q37" s="2">
        <v>9200</v>
      </c>
      <c r="R37" s="2">
        <v>5393755.1011800002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9200</v>
      </c>
      <c r="AB37" s="2">
        <v>0</v>
      </c>
      <c r="AC37" s="2">
        <v>0</v>
      </c>
      <c r="AD37" s="2">
        <v>0</v>
      </c>
      <c r="AE37" s="2">
        <v>0</v>
      </c>
      <c r="AF37" s="58">
        <v>5238504.1757899998</v>
      </c>
      <c r="AG37" s="58">
        <v>10523486.110400001</v>
      </c>
      <c r="AH37" s="280">
        <v>0.49779171282500001</v>
      </c>
      <c r="AI37" s="281">
        <v>45291</v>
      </c>
      <c r="AJ37" s="282"/>
    </row>
    <row r="38" spans="1:36" x14ac:dyDescent="0.2">
      <c r="A38" s="2" t="s">
        <v>337</v>
      </c>
      <c r="B38" s="2" t="s">
        <v>395</v>
      </c>
      <c r="C38" s="2">
        <v>21708</v>
      </c>
      <c r="D38" s="2">
        <v>3</v>
      </c>
      <c r="E38" s="2">
        <v>35</v>
      </c>
      <c r="F38" s="279">
        <v>46302</v>
      </c>
      <c r="G38" s="350">
        <f>+('DATA INPUT - HEADER'!$AT$5-'DATA INPUT - HEADER'!$T$5)/365</f>
        <v>35.838356164383562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1000</v>
      </c>
      <c r="O38" s="2">
        <v>0</v>
      </c>
      <c r="P38" s="2">
        <v>0</v>
      </c>
      <c r="Q38" s="2">
        <v>4600</v>
      </c>
      <c r="R38" s="2">
        <v>3625471.8515400002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4600</v>
      </c>
      <c r="AB38" s="2">
        <v>0</v>
      </c>
      <c r="AC38" s="2">
        <v>0</v>
      </c>
      <c r="AD38" s="2">
        <v>0</v>
      </c>
      <c r="AE38" s="2">
        <v>0</v>
      </c>
      <c r="AF38" s="58">
        <v>3516249.68493</v>
      </c>
      <c r="AG38" s="58">
        <v>5284981.93463</v>
      </c>
      <c r="AH38" s="280">
        <v>0.66532861009199995</v>
      </c>
      <c r="AI38" s="281">
        <v>45291</v>
      </c>
      <c r="AJ38" s="282"/>
    </row>
    <row r="39" spans="1:36" x14ac:dyDescent="0.2">
      <c r="A39" s="2" t="s">
        <v>337</v>
      </c>
      <c r="B39" s="2" t="s">
        <v>395</v>
      </c>
      <c r="C39" s="2">
        <v>21708</v>
      </c>
      <c r="D39" s="2">
        <v>3</v>
      </c>
      <c r="E39" s="2">
        <v>36</v>
      </c>
      <c r="F39" s="279">
        <v>46333</v>
      </c>
      <c r="G39" s="350">
        <f>+('DATA INPUT - HEADER'!$AT$5-'DATA INPUT - HEADER'!$T$5)/365</f>
        <v>35.838356164383562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1000</v>
      </c>
      <c r="O39" s="2">
        <v>0</v>
      </c>
      <c r="P39" s="2">
        <v>0</v>
      </c>
      <c r="Q39" s="2">
        <v>0</v>
      </c>
      <c r="R39" s="2">
        <v>1827717.21441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58">
        <v>1768732.2497</v>
      </c>
      <c r="AG39" s="58">
        <v>1768732.2497</v>
      </c>
      <c r="AH39" s="280">
        <v>1</v>
      </c>
      <c r="AI39" s="281">
        <v>45291</v>
      </c>
      <c r="AJ39" s="282"/>
    </row>
    <row r="40" spans="1:36" x14ac:dyDescent="0.2">
      <c r="A40" s="2"/>
      <c r="B40" s="2"/>
      <c r="C40" s="2"/>
      <c r="D40" s="2"/>
      <c r="E40" s="2"/>
      <c r="F40" s="279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G40" s="58"/>
      <c r="AH40" s="280"/>
      <c r="AI40" s="281"/>
      <c r="AJ40" s="282"/>
    </row>
    <row r="41" spans="1:36" x14ac:dyDescent="0.2">
      <c r="A41" s="2"/>
      <c r="B41" s="2"/>
      <c r="C41" s="2"/>
      <c r="D41" s="2"/>
      <c r="E41" s="2"/>
      <c r="F41" s="279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G41" s="58"/>
      <c r="AH41" s="280"/>
      <c r="AI41" s="281"/>
      <c r="AJ41" s="282"/>
    </row>
    <row r="42" spans="1:36" x14ac:dyDescent="0.2">
      <c r="A42" s="2"/>
      <c r="B42" s="2"/>
      <c r="C42" s="2"/>
      <c r="D42" s="2"/>
      <c r="E42" s="2"/>
      <c r="F42" s="279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G42" s="58"/>
      <c r="AH42" s="280"/>
      <c r="AI42" s="281"/>
      <c r="AJ42" s="282"/>
    </row>
    <row r="43" spans="1:36" x14ac:dyDescent="0.2">
      <c r="A43" s="2"/>
      <c r="B43" s="2"/>
      <c r="C43" s="2"/>
      <c r="D43" s="2"/>
      <c r="E43" s="2"/>
      <c r="F43" s="279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G43" s="58"/>
      <c r="AH43" s="280"/>
      <c r="AI43" s="281"/>
      <c r="AJ43" s="282"/>
    </row>
    <row r="44" spans="1:36" x14ac:dyDescent="0.2">
      <c r="A44" s="2"/>
      <c r="B44" s="2"/>
      <c r="C44" s="2"/>
      <c r="D44" s="2"/>
      <c r="E44" s="2"/>
      <c r="F44" s="279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G44" s="58"/>
      <c r="AH44" s="280"/>
      <c r="AI44" s="281"/>
      <c r="AJ44" s="282"/>
    </row>
    <row r="45" spans="1:36" x14ac:dyDescent="0.2">
      <c r="A45" s="2"/>
      <c r="B45" s="2"/>
      <c r="C45" s="2"/>
      <c r="D45" s="2"/>
      <c r="E45" s="2"/>
      <c r="F45" s="279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G45" s="58"/>
      <c r="AH45" s="280"/>
      <c r="AI45" s="281"/>
      <c r="AJ45" s="282"/>
    </row>
    <row r="46" spans="1:36" x14ac:dyDescent="0.2">
      <c r="A46" s="2"/>
      <c r="B46" s="2"/>
      <c r="C46" s="2"/>
      <c r="D46" s="2"/>
      <c r="E46" s="2"/>
      <c r="F46" s="279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G46" s="58"/>
      <c r="AH46" s="280"/>
      <c r="AI46" s="281"/>
      <c r="AJ46" s="282"/>
    </row>
    <row r="47" spans="1:36" x14ac:dyDescent="0.2">
      <c r="A47" s="2"/>
      <c r="B47" s="2"/>
      <c r="C47" s="2"/>
      <c r="D47" s="2"/>
      <c r="E47" s="2"/>
      <c r="F47" s="279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G47" s="58"/>
      <c r="AH47" s="280"/>
      <c r="AI47" s="281"/>
      <c r="AJ47" s="282"/>
    </row>
    <row r="48" spans="1:36" x14ac:dyDescent="0.2">
      <c r="A48" s="2"/>
      <c r="B48" s="2"/>
      <c r="C48" s="2"/>
      <c r="D48" s="2"/>
      <c r="E48" s="2"/>
      <c r="F48" s="279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G48" s="58"/>
      <c r="AH48" s="280"/>
      <c r="AI48" s="281"/>
      <c r="AJ48" s="282"/>
    </row>
    <row r="49" spans="1:36" x14ac:dyDescent="0.2">
      <c r="A49" s="2"/>
      <c r="B49" s="2"/>
      <c r="C49" s="2"/>
      <c r="D49" s="2"/>
      <c r="E49" s="2"/>
      <c r="F49" s="279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G49" s="58"/>
      <c r="AH49" s="280"/>
      <c r="AI49" s="281"/>
      <c r="AJ49" s="282"/>
    </row>
    <row r="50" spans="1:36" x14ac:dyDescent="0.2">
      <c r="A50" s="2"/>
      <c r="B50" s="2"/>
      <c r="C50" s="2"/>
      <c r="D50" s="2"/>
      <c r="E50" s="2"/>
      <c r="F50" s="279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G50" s="58"/>
      <c r="AH50" s="280"/>
      <c r="AI50" s="281"/>
      <c r="AJ50" s="282"/>
    </row>
    <row r="51" spans="1:36" x14ac:dyDescent="0.2">
      <c r="A51" s="2"/>
      <c r="B51" s="2"/>
      <c r="C51" s="2"/>
      <c r="D51" s="2"/>
      <c r="E51" s="2"/>
      <c r="F51" s="279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G51" s="58"/>
      <c r="AH51" s="280"/>
      <c r="AI51" s="281"/>
      <c r="AJ51" s="282"/>
    </row>
    <row r="52" spans="1:36" x14ac:dyDescent="0.2">
      <c r="A52" s="2"/>
      <c r="B52" s="2"/>
      <c r="C52" s="2"/>
      <c r="D52" s="2"/>
      <c r="E52" s="2"/>
      <c r="F52" s="279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G52" s="58"/>
      <c r="AH52" s="280"/>
      <c r="AI52" s="281"/>
      <c r="AJ52" s="282"/>
    </row>
    <row r="53" spans="1:36" x14ac:dyDescent="0.2">
      <c r="A53" s="2"/>
      <c r="B53" s="2"/>
      <c r="C53" s="2"/>
      <c r="D53" s="2"/>
      <c r="E53" s="2"/>
      <c r="F53" s="279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G53" s="58"/>
      <c r="AH53" s="280"/>
      <c r="AI53" s="281"/>
      <c r="AJ53" s="282"/>
    </row>
    <row r="54" spans="1:36" x14ac:dyDescent="0.2">
      <c r="A54" s="2"/>
      <c r="B54" s="2"/>
      <c r="C54" s="2"/>
      <c r="D54" s="2"/>
      <c r="E54" s="2"/>
      <c r="F54" s="279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G54" s="58"/>
      <c r="AH54" s="280"/>
      <c r="AI54" s="281"/>
      <c r="AJ54" s="282"/>
    </row>
    <row r="55" spans="1:36" x14ac:dyDescent="0.2">
      <c r="A55" s="2"/>
      <c r="B55" s="2"/>
      <c r="C55" s="2"/>
      <c r="D55" s="2"/>
      <c r="E55" s="2"/>
      <c r="F55" s="279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G55" s="58"/>
      <c r="AH55" s="280"/>
      <c r="AI55" s="281"/>
      <c r="AJ55" s="282"/>
    </row>
    <row r="56" spans="1:36" x14ac:dyDescent="0.2">
      <c r="A56" s="2"/>
      <c r="B56" s="2"/>
      <c r="C56" s="2"/>
      <c r="D56" s="2"/>
      <c r="E56" s="2"/>
      <c r="F56" s="279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G56" s="58"/>
      <c r="AH56" s="280"/>
      <c r="AI56" s="281"/>
      <c r="AJ56" s="282"/>
    </row>
    <row r="57" spans="1:36" x14ac:dyDescent="0.2">
      <c r="A57" s="2"/>
      <c r="B57" s="2"/>
      <c r="C57" s="2"/>
      <c r="D57" s="2"/>
      <c r="E57" s="2"/>
      <c r="F57" s="279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G57" s="58"/>
      <c r="AH57" s="280"/>
      <c r="AI57" s="281"/>
      <c r="AJ57" s="282"/>
    </row>
    <row r="58" spans="1:36" x14ac:dyDescent="0.2">
      <c r="A58" s="2"/>
      <c r="B58" s="2"/>
      <c r="C58" s="2"/>
      <c r="D58" s="2"/>
      <c r="E58" s="2"/>
      <c r="F58" s="279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G58" s="58"/>
      <c r="AH58" s="280"/>
      <c r="AI58" s="281"/>
      <c r="AJ58" s="282"/>
    </row>
    <row r="59" spans="1:36" x14ac:dyDescent="0.2">
      <c r="A59" s="2"/>
      <c r="B59" s="2"/>
      <c r="C59" s="2"/>
      <c r="D59" s="2"/>
      <c r="E59" s="2"/>
      <c r="F59" s="279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G59" s="58"/>
      <c r="AH59" s="280"/>
      <c r="AI59" s="281"/>
      <c r="AJ59" s="282"/>
    </row>
    <row r="60" spans="1:36" x14ac:dyDescent="0.2">
      <c r="A60" s="2"/>
      <c r="B60" s="2"/>
      <c r="C60" s="2"/>
      <c r="D60" s="2"/>
      <c r="E60" s="2"/>
      <c r="F60" s="279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G60" s="58"/>
      <c r="AH60" s="280"/>
      <c r="AI60" s="281"/>
      <c r="AJ60" s="282"/>
    </row>
    <row r="61" spans="1:36" x14ac:dyDescent="0.2">
      <c r="A61" s="2"/>
      <c r="B61" s="2"/>
      <c r="C61" s="2"/>
      <c r="D61" s="2"/>
      <c r="E61" s="2"/>
      <c r="F61" s="279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G61" s="58"/>
      <c r="AH61" s="280"/>
      <c r="AI61" s="281"/>
      <c r="AJ61" s="282"/>
    </row>
    <row r="62" spans="1:36" x14ac:dyDescent="0.2">
      <c r="A62" s="2"/>
      <c r="B62" s="2"/>
      <c r="C62" s="2"/>
      <c r="D62" s="2"/>
      <c r="E62" s="2"/>
      <c r="F62" s="279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G62" s="58"/>
      <c r="AH62" s="280"/>
      <c r="AI62" s="281"/>
      <c r="AJ62" s="282"/>
    </row>
    <row r="63" spans="1:36" x14ac:dyDescent="0.2">
      <c r="A63" s="2"/>
      <c r="B63" s="2"/>
      <c r="C63" s="2"/>
      <c r="D63" s="2"/>
      <c r="E63" s="2"/>
      <c r="F63" s="279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G63" s="58"/>
      <c r="AH63" s="280"/>
      <c r="AI63" s="281"/>
      <c r="AJ63" s="282"/>
    </row>
    <row r="64" spans="1:36" x14ac:dyDescent="0.2">
      <c r="A64" s="2"/>
      <c r="B64" s="2"/>
      <c r="C64" s="2"/>
      <c r="D64" s="2"/>
      <c r="E64" s="2"/>
      <c r="F64" s="279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G64" s="58"/>
      <c r="AH64" s="280"/>
      <c r="AI64" s="281"/>
      <c r="AJ64" s="282"/>
    </row>
    <row r="65" spans="1:36" x14ac:dyDescent="0.2">
      <c r="A65" s="2"/>
      <c r="B65" s="2"/>
      <c r="C65" s="2"/>
      <c r="D65" s="2"/>
      <c r="E65" s="2"/>
      <c r="F65" s="279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G65" s="58"/>
      <c r="AH65" s="280"/>
      <c r="AI65" s="281"/>
      <c r="AJ65" s="282"/>
    </row>
    <row r="66" spans="1:36" x14ac:dyDescent="0.2">
      <c r="A66" s="2"/>
      <c r="B66" s="2"/>
      <c r="C66" s="2"/>
      <c r="D66" s="2"/>
      <c r="E66" s="2"/>
      <c r="F66" s="279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G66" s="58"/>
      <c r="AH66" s="280"/>
      <c r="AI66" s="281"/>
      <c r="AJ66" s="282"/>
    </row>
    <row r="67" spans="1:36" x14ac:dyDescent="0.2">
      <c r="A67" s="2"/>
      <c r="B67" s="2"/>
      <c r="C67" s="2"/>
      <c r="D67" s="2"/>
      <c r="E67" s="2"/>
      <c r="F67" s="279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G67" s="58"/>
      <c r="AH67" s="280"/>
      <c r="AI67" s="281"/>
      <c r="AJ67" s="282"/>
    </row>
    <row r="68" spans="1:36" x14ac:dyDescent="0.2">
      <c r="A68" s="2"/>
      <c r="B68" s="2"/>
      <c r="C68" s="2"/>
      <c r="D68" s="2"/>
      <c r="E68" s="2"/>
      <c r="F68" s="279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G68" s="58"/>
      <c r="AH68" s="280"/>
      <c r="AI68" s="281"/>
      <c r="AJ68" s="282"/>
    </row>
    <row r="69" spans="1:36" x14ac:dyDescent="0.2">
      <c r="A69" s="2"/>
      <c r="B69" s="2"/>
      <c r="C69" s="2"/>
      <c r="D69" s="2"/>
      <c r="E69" s="2"/>
      <c r="F69" s="279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G69" s="58"/>
      <c r="AH69" s="280"/>
      <c r="AI69" s="281"/>
      <c r="AJ69" s="282"/>
    </row>
    <row r="70" spans="1:36" x14ac:dyDescent="0.2">
      <c r="A70" s="2"/>
      <c r="B70" s="2"/>
      <c r="C70" s="2"/>
      <c r="D70" s="2"/>
      <c r="E70" s="2"/>
      <c r="F70" s="279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G70" s="58"/>
      <c r="AH70" s="280"/>
      <c r="AI70" s="281"/>
      <c r="AJ70" s="282"/>
    </row>
    <row r="71" spans="1:36" x14ac:dyDescent="0.2">
      <c r="A71" s="2"/>
      <c r="B71" s="2"/>
      <c r="C71" s="2"/>
      <c r="D71" s="2"/>
      <c r="E71" s="2"/>
      <c r="F71" s="279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G71" s="58"/>
      <c r="AH71" s="280"/>
      <c r="AI71" s="281"/>
      <c r="AJ71" s="282"/>
    </row>
    <row r="72" spans="1:36" x14ac:dyDescent="0.2">
      <c r="A72" s="2"/>
      <c r="B72" s="2"/>
      <c r="C72" s="2"/>
      <c r="D72" s="2"/>
      <c r="E72" s="2"/>
      <c r="F72" s="279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G72" s="58"/>
      <c r="AH72" s="280"/>
      <c r="AI72" s="281"/>
      <c r="AJ72" s="282"/>
    </row>
    <row r="73" spans="1:36" x14ac:dyDescent="0.2">
      <c r="A73" s="2"/>
      <c r="B73" s="2"/>
      <c r="C73" s="2"/>
      <c r="D73" s="2"/>
      <c r="E73" s="2"/>
      <c r="F73" s="279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G73" s="58"/>
      <c r="AH73" s="280"/>
      <c r="AI73" s="281"/>
      <c r="AJ73" s="282"/>
    </row>
    <row r="74" spans="1:36" x14ac:dyDescent="0.2">
      <c r="A74" s="2"/>
      <c r="B74" s="2"/>
      <c r="C74" s="2"/>
      <c r="D74" s="2"/>
      <c r="E74" s="2"/>
      <c r="F74" s="279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G74" s="58"/>
      <c r="AH74" s="280"/>
      <c r="AI74" s="281"/>
      <c r="AJ74" s="282"/>
    </row>
    <row r="75" spans="1:36" x14ac:dyDescent="0.2">
      <c r="A75" s="2"/>
      <c r="B75" s="2"/>
      <c r="C75" s="2"/>
      <c r="D75" s="2"/>
      <c r="E75" s="2"/>
      <c r="F75" s="279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G75" s="58"/>
      <c r="AH75" s="280"/>
      <c r="AI75" s="281"/>
      <c r="AJ75" s="282"/>
    </row>
    <row r="76" spans="1:36" x14ac:dyDescent="0.2">
      <c r="A76" s="2"/>
      <c r="B76" s="2"/>
      <c r="C76" s="2"/>
      <c r="D76" s="2"/>
      <c r="E76" s="2"/>
      <c r="F76" s="279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G76" s="58"/>
      <c r="AH76" s="280"/>
      <c r="AI76" s="281"/>
      <c r="AJ76" s="282"/>
    </row>
    <row r="77" spans="1:36" x14ac:dyDescent="0.2">
      <c r="A77" s="2"/>
      <c r="B77" s="2"/>
      <c r="C77" s="2"/>
      <c r="D77" s="2"/>
      <c r="E77" s="2"/>
      <c r="F77" s="279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G77" s="58"/>
      <c r="AH77" s="280"/>
      <c r="AI77" s="281"/>
      <c r="AJ77" s="282"/>
    </row>
    <row r="78" spans="1:36" x14ac:dyDescent="0.2">
      <c r="A78" s="2"/>
      <c r="B78" s="2"/>
      <c r="C78" s="2"/>
      <c r="D78" s="2"/>
      <c r="E78" s="2"/>
      <c r="F78" s="279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G78" s="58"/>
      <c r="AH78" s="280"/>
      <c r="AI78" s="281"/>
      <c r="AJ78" s="282"/>
    </row>
    <row r="79" spans="1:36" x14ac:dyDescent="0.2">
      <c r="A79" s="2"/>
      <c r="B79" s="2"/>
      <c r="C79" s="2"/>
      <c r="D79" s="2"/>
      <c r="E79" s="2"/>
      <c r="F79" s="279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G79" s="58"/>
      <c r="AH79" s="280"/>
      <c r="AI79" s="281"/>
      <c r="AJ79" s="282"/>
    </row>
    <row r="80" spans="1:36" x14ac:dyDescent="0.2">
      <c r="A80" s="2"/>
      <c r="B80" s="2"/>
      <c r="C80" s="2"/>
      <c r="D80" s="2"/>
      <c r="E80" s="2"/>
      <c r="F80" s="279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G80" s="58"/>
      <c r="AH80" s="280"/>
      <c r="AI80" s="281"/>
      <c r="AJ80" s="282"/>
    </row>
    <row r="81" spans="1:36" x14ac:dyDescent="0.2">
      <c r="A81" s="2"/>
      <c r="B81" s="2"/>
      <c r="C81" s="2"/>
      <c r="D81" s="2"/>
      <c r="E81" s="2"/>
      <c r="F81" s="279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G81" s="58"/>
      <c r="AH81" s="280"/>
      <c r="AI81" s="281"/>
      <c r="AJ81" s="282"/>
    </row>
    <row r="82" spans="1:36" x14ac:dyDescent="0.2">
      <c r="A82" s="2"/>
      <c r="B82" s="2"/>
      <c r="C82" s="2"/>
      <c r="D82" s="2"/>
      <c r="E82" s="2"/>
      <c r="F82" s="279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G82" s="58"/>
      <c r="AH82" s="280"/>
      <c r="AI82" s="281"/>
      <c r="AJ82" s="282"/>
    </row>
    <row r="83" spans="1:36" x14ac:dyDescent="0.2">
      <c r="A83" s="2"/>
      <c r="B83" s="2"/>
      <c r="C83" s="2"/>
      <c r="D83" s="2"/>
      <c r="E83" s="2"/>
      <c r="F83" s="279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G83" s="58"/>
      <c r="AH83" s="280"/>
      <c r="AI83" s="281"/>
      <c r="AJ83" s="282"/>
    </row>
    <row r="84" spans="1:36" x14ac:dyDescent="0.2">
      <c r="A84" s="2"/>
      <c r="B84" s="2"/>
      <c r="C84" s="2"/>
      <c r="D84" s="2"/>
      <c r="E84" s="2"/>
      <c r="F84" s="279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G84" s="58"/>
      <c r="AH84" s="280"/>
      <c r="AI84" s="281"/>
      <c r="AJ84" s="282"/>
    </row>
    <row r="85" spans="1:36" x14ac:dyDescent="0.2">
      <c r="A85" s="2"/>
      <c r="B85" s="2"/>
      <c r="C85" s="2"/>
      <c r="D85" s="2"/>
      <c r="E85" s="2"/>
      <c r="F85" s="279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G85" s="58"/>
      <c r="AH85" s="280"/>
      <c r="AI85" s="281"/>
      <c r="AJ85" s="282"/>
    </row>
    <row r="86" spans="1:36" x14ac:dyDescent="0.2">
      <c r="A86" s="2"/>
      <c r="B86" s="2"/>
      <c r="C86" s="2"/>
      <c r="D86" s="2"/>
      <c r="E86" s="2"/>
      <c r="F86" s="279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G86" s="58"/>
      <c r="AH86" s="280"/>
      <c r="AI86" s="281"/>
      <c r="AJ86" s="282"/>
    </row>
    <row r="87" spans="1:36" x14ac:dyDescent="0.2">
      <c r="A87" s="2"/>
      <c r="B87" s="2"/>
      <c r="C87" s="2"/>
      <c r="D87" s="2"/>
      <c r="E87" s="2"/>
      <c r="F87" s="279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G87" s="58"/>
      <c r="AH87" s="280"/>
      <c r="AI87" s="281"/>
      <c r="AJ87" s="282"/>
    </row>
    <row r="88" spans="1:36" x14ac:dyDescent="0.2">
      <c r="A88" s="2"/>
      <c r="B88" s="2"/>
      <c r="C88" s="2"/>
      <c r="D88" s="2"/>
      <c r="E88" s="2"/>
      <c r="F88" s="279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G88" s="58"/>
      <c r="AH88" s="280"/>
      <c r="AI88" s="281"/>
      <c r="AJ88" s="282"/>
    </row>
    <row r="89" spans="1:36" x14ac:dyDescent="0.2">
      <c r="A89" s="2"/>
      <c r="B89" s="2"/>
      <c r="C89" s="2"/>
      <c r="D89" s="2"/>
      <c r="E89" s="2"/>
      <c r="F89" s="279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G89" s="58"/>
      <c r="AH89" s="280"/>
      <c r="AI89" s="281"/>
      <c r="AJ89" s="282"/>
    </row>
    <row r="90" spans="1:36" x14ac:dyDescent="0.2">
      <c r="A90" s="2"/>
      <c r="B90" s="2"/>
      <c r="C90" s="2"/>
      <c r="D90" s="2"/>
      <c r="E90" s="2"/>
      <c r="F90" s="279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G90" s="58"/>
      <c r="AH90" s="280"/>
      <c r="AI90" s="281"/>
      <c r="AJ90" s="282"/>
    </row>
    <row r="91" spans="1:36" x14ac:dyDescent="0.2">
      <c r="A91" s="2"/>
      <c r="B91" s="2"/>
      <c r="C91" s="2"/>
      <c r="D91" s="2"/>
      <c r="E91" s="2"/>
      <c r="F91" s="279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G91" s="58"/>
      <c r="AH91" s="280"/>
      <c r="AI91" s="281"/>
      <c r="AJ91" s="282"/>
    </row>
    <row r="92" spans="1:36" x14ac:dyDescent="0.2">
      <c r="A92" s="2"/>
      <c r="B92" s="2"/>
      <c r="C92" s="2"/>
      <c r="D92" s="2"/>
      <c r="E92" s="2"/>
      <c r="F92" s="279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G92" s="58"/>
      <c r="AH92" s="280"/>
      <c r="AI92" s="281"/>
      <c r="AJ92" s="282"/>
    </row>
    <row r="93" spans="1:36" x14ac:dyDescent="0.2">
      <c r="A93" s="2"/>
      <c r="B93" s="2"/>
      <c r="C93" s="2"/>
      <c r="D93" s="2"/>
      <c r="E93" s="2"/>
      <c r="F93" s="279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G93" s="58"/>
      <c r="AH93" s="280"/>
      <c r="AI93" s="281"/>
      <c r="AJ93" s="282"/>
    </row>
    <row r="94" spans="1:36" x14ac:dyDescent="0.2">
      <c r="A94" s="2"/>
      <c r="B94" s="2"/>
      <c r="C94" s="2"/>
      <c r="D94" s="2"/>
      <c r="E94" s="2"/>
      <c r="F94" s="279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G94" s="58"/>
      <c r="AH94" s="280"/>
      <c r="AI94" s="281"/>
      <c r="AJ94" s="282"/>
    </row>
    <row r="95" spans="1:36" x14ac:dyDescent="0.2">
      <c r="A95" s="2"/>
      <c r="B95" s="2"/>
      <c r="C95" s="2"/>
      <c r="D95" s="2"/>
      <c r="E95" s="2"/>
      <c r="F95" s="279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G95" s="58"/>
      <c r="AH95" s="280"/>
      <c r="AI95" s="281"/>
      <c r="AJ95" s="282"/>
    </row>
    <row r="96" spans="1:36" x14ac:dyDescent="0.2">
      <c r="A96" s="2"/>
      <c r="B96" s="2"/>
      <c r="C96" s="2"/>
      <c r="D96" s="2"/>
      <c r="E96" s="2"/>
      <c r="F96" s="279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G96" s="58"/>
      <c r="AH96" s="280"/>
      <c r="AI96" s="281"/>
      <c r="AJ96" s="282"/>
    </row>
    <row r="97" spans="1:36" x14ac:dyDescent="0.2">
      <c r="A97" s="2"/>
      <c r="B97" s="2"/>
      <c r="C97" s="2"/>
      <c r="D97" s="2"/>
      <c r="E97" s="2"/>
      <c r="F97" s="279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G97" s="58"/>
      <c r="AH97" s="280"/>
      <c r="AI97" s="281"/>
      <c r="AJ97" s="282"/>
    </row>
    <row r="98" spans="1:36" x14ac:dyDescent="0.2">
      <c r="A98" s="2"/>
      <c r="B98" s="2"/>
      <c r="C98" s="2"/>
      <c r="D98" s="2"/>
      <c r="E98" s="2"/>
      <c r="F98" s="279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G98" s="58"/>
      <c r="AH98" s="280"/>
      <c r="AI98" s="281"/>
      <c r="AJ98" s="282"/>
    </row>
    <row r="99" spans="1:36" x14ac:dyDescent="0.2">
      <c r="A99" s="2"/>
      <c r="B99" s="2"/>
      <c r="C99" s="2"/>
      <c r="D99" s="2"/>
      <c r="E99" s="2"/>
      <c r="F99" s="279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G99" s="58"/>
      <c r="AH99" s="280"/>
      <c r="AI99" s="281"/>
      <c r="AJ99" s="282"/>
    </row>
    <row r="100" spans="1:36" x14ac:dyDescent="0.2">
      <c r="A100" s="2"/>
      <c r="B100" s="2"/>
      <c r="C100" s="2"/>
      <c r="D100" s="2"/>
      <c r="E100" s="2"/>
      <c r="F100" s="279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G100" s="58"/>
      <c r="AH100" s="280"/>
      <c r="AI100" s="281"/>
      <c r="AJ100" s="282"/>
    </row>
    <row r="101" spans="1:36" x14ac:dyDescent="0.2">
      <c r="A101" s="2"/>
      <c r="B101" s="2"/>
      <c r="C101" s="2"/>
      <c r="D101" s="2"/>
      <c r="E101" s="2"/>
      <c r="F101" s="279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G101" s="58"/>
      <c r="AH101" s="280"/>
      <c r="AI101" s="281"/>
      <c r="AJ101" s="282"/>
    </row>
    <row r="102" spans="1:36" x14ac:dyDescent="0.2">
      <c r="A102" s="2"/>
      <c r="B102" s="2"/>
      <c r="C102" s="2"/>
      <c r="D102" s="2"/>
      <c r="E102" s="2"/>
      <c r="F102" s="279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G102" s="58"/>
      <c r="AH102" s="280"/>
      <c r="AI102" s="281"/>
      <c r="AJ102" s="282"/>
    </row>
    <row r="103" spans="1:36" x14ac:dyDescent="0.2">
      <c r="A103" s="2"/>
      <c r="B103" s="2"/>
      <c r="C103" s="2"/>
      <c r="D103" s="2"/>
      <c r="E103" s="2"/>
      <c r="F103" s="279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G103" s="58"/>
      <c r="AH103" s="280"/>
      <c r="AI103" s="281"/>
      <c r="AJ103" s="282"/>
    </row>
    <row r="104" spans="1:36" x14ac:dyDescent="0.2">
      <c r="A104" s="2"/>
      <c r="B104" s="2"/>
      <c r="C104" s="2"/>
      <c r="D104" s="2"/>
      <c r="E104" s="2"/>
      <c r="F104" s="279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G104" s="58"/>
      <c r="AH104" s="280"/>
      <c r="AI104" s="281"/>
      <c r="AJ104" s="282"/>
    </row>
    <row r="105" spans="1:36" x14ac:dyDescent="0.2">
      <c r="A105" s="2"/>
      <c r="B105" s="2"/>
      <c r="C105" s="2"/>
      <c r="D105" s="2"/>
      <c r="E105" s="2"/>
      <c r="F105" s="279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G105" s="58"/>
      <c r="AH105" s="280"/>
      <c r="AI105" s="281"/>
      <c r="AJ105" s="282"/>
    </row>
    <row r="106" spans="1:36" x14ac:dyDescent="0.2">
      <c r="A106" s="2"/>
      <c r="B106" s="2"/>
      <c r="C106" s="2"/>
      <c r="D106" s="2"/>
      <c r="E106" s="2"/>
      <c r="F106" s="279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G106" s="58"/>
      <c r="AH106" s="280"/>
      <c r="AI106" s="281"/>
      <c r="AJ106" s="282"/>
    </row>
    <row r="107" spans="1:36" x14ac:dyDescent="0.2">
      <c r="A107" s="2"/>
      <c r="B107" s="2"/>
      <c r="C107" s="2"/>
      <c r="D107" s="2"/>
      <c r="E107" s="2"/>
      <c r="F107" s="279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G107" s="58"/>
      <c r="AH107" s="280"/>
      <c r="AI107" s="281"/>
      <c r="AJ107" s="282"/>
    </row>
    <row r="108" spans="1:36" x14ac:dyDescent="0.2">
      <c r="A108" s="2"/>
      <c r="B108" s="2"/>
      <c r="C108" s="2"/>
      <c r="D108" s="2"/>
      <c r="E108" s="2"/>
      <c r="F108" s="279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G108" s="58"/>
      <c r="AH108" s="280"/>
      <c r="AI108" s="281"/>
      <c r="AJ108" s="282"/>
    </row>
    <row r="109" spans="1:36" x14ac:dyDescent="0.2">
      <c r="A109" s="2"/>
      <c r="B109" s="2"/>
      <c r="C109" s="2"/>
      <c r="D109" s="2"/>
      <c r="E109" s="2"/>
      <c r="F109" s="279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G109" s="58"/>
      <c r="AH109" s="280"/>
      <c r="AI109" s="281"/>
      <c r="AJ109" s="282"/>
    </row>
    <row r="110" spans="1:36" x14ac:dyDescent="0.2">
      <c r="A110" s="2"/>
      <c r="B110" s="2"/>
      <c r="C110" s="2"/>
      <c r="D110" s="2"/>
      <c r="E110" s="2"/>
      <c r="F110" s="279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G110" s="58"/>
      <c r="AH110" s="280"/>
      <c r="AI110" s="281"/>
      <c r="AJ110" s="282"/>
    </row>
    <row r="111" spans="1:36" x14ac:dyDescent="0.2">
      <c r="A111" s="2"/>
      <c r="B111" s="2"/>
      <c r="C111" s="2"/>
      <c r="D111" s="2"/>
      <c r="E111" s="2"/>
      <c r="F111" s="279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G111" s="58"/>
      <c r="AH111" s="280"/>
      <c r="AI111" s="281"/>
      <c r="AJ111" s="282"/>
    </row>
    <row r="112" spans="1:36" x14ac:dyDescent="0.2">
      <c r="A112" s="2"/>
      <c r="B112" s="2"/>
      <c r="C112" s="2"/>
      <c r="D112" s="2"/>
      <c r="E112" s="2"/>
      <c r="F112" s="279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G112" s="58"/>
      <c r="AH112" s="280"/>
      <c r="AI112" s="281"/>
      <c r="AJ112" s="282"/>
    </row>
    <row r="113" spans="1:36" x14ac:dyDescent="0.2">
      <c r="A113" s="2"/>
      <c r="B113" s="2"/>
      <c r="C113" s="2"/>
      <c r="D113" s="2"/>
      <c r="E113" s="2"/>
      <c r="F113" s="279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G113" s="58"/>
      <c r="AH113" s="280"/>
      <c r="AI113" s="281"/>
      <c r="AJ113" s="282"/>
    </row>
    <row r="114" spans="1:36" x14ac:dyDescent="0.2">
      <c r="A114" s="2"/>
      <c r="B114" s="2"/>
      <c r="C114" s="2"/>
      <c r="D114" s="2"/>
      <c r="E114" s="2"/>
      <c r="F114" s="279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G114" s="58"/>
      <c r="AH114" s="280"/>
      <c r="AI114" s="281"/>
      <c r="AJ114" s="282"/>
    </row>
    <row r="115" spans="1:36" x14ac:dyDescent="0.2">
      <c r="A115" s="2"/>
      <c r="B115" s="2"/>
      <c r="C115" s="2"/>
      <c r="D115" s="2"/>
      <c r="E115" s="2"/>
      <c r="F115" s="279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G115" s="58"/>
      <c r="AH115" s="280"/>
      <c r="AI115" s="281"/>
      <c r="AJ115" s="282"/>
    </row>
    <row r="116" spans="1:36" x14ac:dyDescent="0.2">
      <c r="A116" s="2"/>
      <c r="B116" s="2"/>
      <c r="C116" s="2"/>
      <c r="D116" s="2"/>
      <c r="E116" s="2"/>
      <c r="F116" s="279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G116" s="58"/>
      <c r="AH116" s="280"/>
      <c r="AI116" s="281"/>
      <c r="AJ116" s="282"/>
    </row>
    <row r="117" spans="1:36" x14ac:dyDescent="0.2">
      <c r="A117" s="2"/>
      <c r="B117" s="2"/>
      <c r="C117" s="2"/>
      <c r="D117" s="2"/>
      <c r="E117" s="2"/>
      <c r="F117" s="279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G117" s="58"/>
      <c r="AH117" s="280"/>
      <c r="AI117" s="281"/>
      <c r="AJ117" s="282"/>
    </row>
    <row r="118" spans="1:36" x14ac:dyDescent="0.2">
      <c r="A118" s="2"/>
      <c r="B118" s="2"/>
      <c r="C118" s="2"/>
      <c r="D118" s="2"/>
      <c r="E118" s="2"/>
      <c r="F118" s="279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G118" s="58"/>
      <c r="AH118" s="280"/>
      <c r="AI118" s="281"/>
      <c r="AJ118" s="282"/>
    </row>
    <row r="119" spans="1:36" x14ac:dyDescent="0.2">
      <c r="A119" s="2"/>
      <c r="B119" s="2"/>
      <c r="C119" s="2"/>
      <c r="D119" s="2"/>
      <c r="E119" s="2"/>
      <c r="F119" s="279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G119" s="58"/>
      <c r="AH119" s="280"/>
      <c r="AI119" s="281"/>
      <c r="AJ119" s="282"/>
    </row>
    <row r="120" spans="1:36" x14ac:dyDescent="0.2">
      <c r="A120" s="2"/>
      <c r="B120" s="2"/>
      <c r="C120" s="2"/>
      <c r="D120" s="2"/>
      <c r="E120" s="2"/>
      <c r="F120" s="279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G120" s="58"/>
      <c r="AH120" s="280"/>
      <c r="AI120" s="281"/>
      <c r="AJ120" s="282"/>
    </row>
    <row r="121" spans="1:36" x14ac:dyDescent="0.2">
      <c r="A121" s="2"/>
      <c r="B121" s="2"/>
      <c r="C121" s="2"/>
      <c r="D121" s="2"/>
      <c r="E121" s="2"/>
      <c r="F121" s="279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G121" s="58"/>
      <c r="AH121" s="280"/>
      <c r="AI121" s="281"/>
      <c r="AJ121" s="282"/>
    </row>
    <row r="122" spans="1:36" x14ac:dyDescent="0.2">
      <c r="A122" s="2"/>
      <c r="B122" s="2"/>
      <c r="C122" s="2"/>
      <c r="D122" s="2"/>
      <c r="E122" s="2"/>
      <c r="F122" s="279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G122" s="58"/>
      <c r="AH122" s="280"/>
      <c r="AI122" s="281"/>
      <c r="AJ122" s="282"/>
    </row>
    <row r="123" spans="1:36" x14ac:dyDescent="0.2">
      <c r="A123" s="2"/>
      <c r="B123" s="2"/>
      <c r="C123" s="2"/>
      <c r="D123" s="2"/>
      <c r="E123" s="2"/>
      <c r="F123" s="279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G123" s="58"/>
      <c r="AH123" s="280"/>
      <c r="AI123" s="281"/>
      <c r="AJ123" s="282"/>
    </row>
    <row r="124" spans="1:36" x14ac:dyDescent="0.2">
      <c r="A124" s="2"/>
      <c r="B124" s="2"/>
      <c r="C124" s="2"/>
      <c r="D124" s="2"/>
      <c r="E124" s="2"/>
      <c r="F124" s="279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G124" s="58"/>
      <c r="AH124" s="280"/>
      <c r="AI124" s="281"/>
      <c r="AJ124" s="282"/>
    </row>
    <row r="125" spans="1:36" x14ac:dyDescent="0.2">
      <c r="A125" s="2"/>
      <c r="B125" s="2"/>
      <c r="C125" s="2"/>
      <c r="D125" s="2"/>
      <c r="E125" s="2"/>
      <c r="F125" s="279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G125" s="58"/>
      <c r="AH125" s="280"/>
      <c r="AI125" s="281"/>
      <c r="AJ125" s="282"/>
    </row>
    <row r="126" spans="1:36" x14ac:dyDescent="0.2">
      <c r="A126" s="2"/>
      <c r="B126" s="2"/>
      <c r="C126" s="2"/>
      <c r="D126" s="2"/>
      <c r="E126" s="2"/>
      <c r="F126" s="279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G126" s="58"/>
      <c r="AH126" s="280"/>
      <c r="AI126" s="281"/>
      <c r="AJ126" s="282"/>
    </row>
    <row r="127" spans="1:36" x14ac:dyDescent="0.2">
      <c r="A127" s="2"/>
      <c r="B127" s="2"/>
      <c r="C127" s="2"/>
      <c r="D127" s="2"/>
      <c r="E127" s="2"/>
      <c r="F127" s="279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G127" s="58"/>
      <c r="AH127" s="280"/>
      <c r="AI127" s="281"/>
      <c r="AJ127" s="282"/>
    </row>
    <row r="128" spans="1:36" x14ac:dyDescent="0.2">
      <c r="A128" s="2"/>
      <c r="B128" s="2"/>
      <c r="C128" s="2"/>
      <c r="D128" s="2"/>
      <c r="E128" s="2"/>
      <c r="F128" s="279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G128" s="58"/>
      <c r="AH128" s="280"/>
      <c r="AI128" s="281"/>
      <c r="AJ128" s="282"/>
    </row>
    <row r="129" spans="1:36" x14ac:dyDescent="0.2">
      <c r="A129" s="2"/>
      <c r="B129" s="2"/>
      <c r="C129" s="2"/>
      <c r="D129" s="2"/>
      <c r="E129" s="2"/>
      <c r="F129" s="279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G129" s="58"/>
      <c r="AH129" s="280"/>
      <c r="AI129" s="281"/>
      <c r="AJ129" s="282"/>
    </row>
    <row r="130" spans="1:36" x14ac:dyDescent="0.2">
      <c r="A130" s="2"/>
      <c r="B130" s="2"/>
      <c r="C130" s="2"/>
      <c r="D130" s="2"/>
      <c r="E130" s="2"/>
      <c r="F130" s="279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G130" s="58"/>
      <c r="AH130" s="280"/>
      <c r="AI130" s="281"/>
      <c r="AJ130" s="282"/>
    </row>
    <row r="131" spans="1:36" x14ac:dyDescent="0.2">
      <c r="A131" s="2"/>
      <c r="B131" s="2"/>
      <c r="C131" s="2"/>
      <c r="D131" s="2"/>
      <c r="E131" s="2"/>
      <c r="F131" s="279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G131" s="58"/>
      <c r="AH131" s="280"/>
      <c r="AI131" s="281"/>
      <c r="AJ131" s="282"/>
    </row>
    <row r="132" spans="1:36" x14ac:dyDescent="0.2">
      <c r="A132" s="2"/>
      <c r="B132" s="2"/>
      <c r="C132" s="2"/>
      <c r="D132" s="2"/>
      <c r="E132" s="2"/>
      <c r="F132" s="279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G132" s="58"/>
      <c r="AH132" s="280"/>
      <c r="AI132" s="281"/>
      <c r="AJ132" s="282"/>
    </row>
    <row r="133" spans="1:36" x14ac:dyDescent="0.2">
      <c r="A133" s="2"/>
      <c r="B133" s="2"/>
      <c r="C133" s="2"/>
      <c r="D133" s="2"/>
      <c r="E133" s="2"/>
      <c r="F133" s="279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G133" s="58"/>
      <c r="AH133" s="280"/>
      <c r="AI133" s="281"/>
      <c r="AJ133" s="282"/>
    </row>
    <row r="134" spans="1:36" x14ac:dyDescent="0.2">
      <c r="A134" s="2"/>
      <c r="B134" s="2"/>
      <c r="C134" s="2"/>
      <c r="D134" s="2"/>
      <c r="E134" s="2"/>
      <c r="F134" s="279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G134" s="58"/>
      <c r="AH134" s="280"/>
      <c r="AI134" s="281"/>
      <c r="AJ134" s="282"/>
    </row>
    <row r="135" spans="1:36" x14ac:dyDescent="0.2">
      <c r="A135" s="2"/>
      <c r="B135" s="2"/>
      <c r="C135" s="2"/>
      <c r="D135" s="2"/>
      <c r="E135" s="2"/>
      <c r="F135" s="279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G135" s="58"/>
      <c r="AH135" s="280"/>
      <c r="AI135" s="281"/>
      <c r="AJ135" s="282"/>
    </row>
    <row r="136" spans="1:36" x14ac:dyDescent="0.2">
      <c r="A136" s="2"/>
      <c r="B136" s="2"/>
      <c r="C136" s="2"/>
      <c r="D136" s="2"/>
      <c r="E136" s="2"/>
      <c r="F136" s="279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G136" s="58"/>
      <c r="AH136" s="280"/>
      <c r="AI136" s="281"/>
      <c r="AJ136" s="282"/>
    </row>
    <row r="137" spans="1:36" x14ac:dyDescent="0.2">
      <c r="A137" s="2"/>
      <c r="B137" s="2"/>
      <c r="C137" s="2"/>
      <c r="D137" s="2"/>
      <c r="E137" s="2"/>
      <c r="F137" s="279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G137" s="58"/>
      <c r="AH137" s="280"/>
      <c r="AI137" s="281"/>
      <c r="AJ137" s="282"/>
    </row>
    <row r="138" spans="1:36" x14ac:dyDescent="0.2">
      <c r="A138" s="2"/>
      <c r="B138" s="2"/>
      <c r="C138" s="2"/>
      <c r="D138" s="2"/>
      <c r="E138" s="2"/>
      <c r="F138" s="279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G138" s="58"/>
      <c r="AH138" s="280"/>
      <c r="AI138" s="281"/>
      <c r="AJ138" s="282"/>
    </row>
    <row r="139" spans="1:36" x14ac:dyDescent="0.2">
      <c r="A139" s="2"/>
      <c r="B139" s="2"/>
      <c r="C139" s="2"/>
      <c r="D139" s="2"/>
      <c r="E139" s="2"/>
      <c r="F139" s="279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G139" s="58"/>
      <c r="AH139" s="280"/>
      <c r="AI139" s="281"/>
      <c r="AJ139" s="282"/>
    </row>
    <row r="140" spans="1:36" x14ac:dyDescent="0.2">
      <c r="A140" s="2"/>
      <c r="B140" s="2"/>
      <c r="C140" s="2"/>
      <c r="D140" s="2"/>
      <c r="E140" s="2"/>
      <c r="F140" s="279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G140" s="58"/>
      <c r="AH140" s="280"/>
      <c r="AI140" s="281"/>
      <c r="AJ140" s="282"/>
    </row>
    <row r="141" spans="1:36" x14ac:dyDescent="0.2">
      <c r="A141" s="2"/>
      <c r="B141" s="2"/>
      <c r="C141" s="2"/>
      <c r="D141" s="2"/>
      <c r="E141" s="2"/>
      <c r="F141" s="279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G141" s="58"/>
      <c r="AH141" s="280"/>
      <c r="AI141" s="281"/>
      <c r="AJ141" s="282"/>
    </row>
    <row r="142" spans="1:36" x14ac:dyDescent="0.2">
      <c r="A142" s="2"/>
      <c r="B142" s="2"/>
      <c r="C142" s="2"/>
      <c r="D142" s="2"/>
      <c r="E142" s="2"/>
      <c r="F142" s="279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G142" s="58"/>
      <c r="AH142" s="280"/>
      <c r="AI142" s="281"/>
      <c r="AJ142" s="282"/>
    </row>
    <row r="143" spans="1:36" x14ac:dyDescent="0.2">
      <c r="A143" s="2"/>
      <c r="B143" s="2"/>
      <c r="C143" s="2"/>
      <c r="D143" s="2"/>
      <c r="E143" s="2"/>
      <c r="F143" s="279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G143" s="58"/>
      <c r="AH143" s="280"/>
      <c r="AI143" s="281"/>
      <c r="AJ143" s="282"/>
    </row>
    <row r="144" spans="1:36" x14ac:dyDescent="0.2">
      <c r="A144" s="2"/>
      <c r="B144" s="2"/>
      <c r="C144" s="2"/>
      <c r="D144" s="2"/>
      <c r="E144" s="2"/>
      <c r="F144" s="279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G144" s="58"/>
      <c r="AH144" s="280"/>
      <c r="AI144" s="281"/>
      <c r="AJ144" s="282"/>
    </row>
    <row r="145" spans="1:36" x14ac:dyDescent="0.2">
      <c r="A145" s="2"/>
      <c r="B145" s="2"/>
      <c r="C145" s="2"/>
      <c r="D145" s="2"/>
      <c r="E145" s="2"/>
      <c r="F145" s="279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G145" s="58"/>
      <c r="AH145" s="280"/>
      <c r="AI145" s="281"/>
      <c r="AJ145" s="282"/>
    </row>
    <row r="146" spans="1:36" x14ac:dyDescent="0.2">
      <c r="A146" s="2"/>
      <c r="B146" s="2"/>
      <c r="C146" s="2"/>
      <c r="D146" s="2"/>
      <c r="E146" s="2"/>
      <c r="F146" s="279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G146" s="58"/>
      <c r="AH146" s="280"/>
      <c r="AI146" s="281"/>
      <c r="AJ146" s="282"/>
    </row>
    <row r="147" spans="1:36" x14ac:dyDescent="0.2">
      <c r="A147" s="2"/>
      <c r="B147" s="2"/>
      <c r="C147" s="2"/>
      <c r="D147" s="2"/>
      <c r="E147" s="2"/>
      <c r="F147" s="279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G147" s="58"/>
      <c r="AH147" s="280"/>
      <c r="AI147" s="281"/>
      <c r="AJ147" s="282"/>
    </row>
    <row r="148" spans="1:36" x14ac:dyDescent="0.2">
      <c r="A148" s="2"/>
      <c r="B148" s="2"/>
      <c r="C148" s="2"/>
      <c r="D148" s="2"/>
      <c r="E148" s="2"/>
      <c r="F148" s="279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G148" s="58"/>
      <c r="AH148" s="280"/>
      <c r="AI148" s="281"/>
      <c r="AJ148" s="282"/>
    </row>
    <row r="149" spans="1:36" x14ac:dyDescent="0.2">
      <c r="A149" s="2"/>
      <c r="B149" s="2"/>
      <c r="C149" s="2"/>
      <c r="D149" s="2"/>
      <c r="E149" s="2"/>
      <c r="F149" s="279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G149" s="58"/>
      <c r="AH149" s="280"/>
      <c r="AI149" s="281"/>
      <c r="AJ149" s="282"/>
    </row>
    <row r="150" spans="1:36" x14ac:dyDescent="0.2">
      <c r="A150" s="2"/>
      <c r="B150" s="2"/>
      <c r="C150" s="2"/>
      <c r="D150" s="2"/>
      <c r="E150" s="2"/>
      <c r="F150" s="279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G150" s="58"/>
      <c r="AH150" s="280"/>
      <c r="AI150" s="281"/>
      <c r="AJ150" s="282"/>
    </row>
    <row r="151" spans="1:36" x14ac:dyDescent="0.2">
      <c r="A151" s="2"/>
      <c r="B151" s="2"/>
      <c r="C151" s="2"/>
      <c r="D151" s="2"/>
      <c r="E151" s="2"/>
      <c r="F151" s="279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G151" s="58"/>
      <c r="AH151" s="280"/>
      <c r="AI151" s="281"/>
      <c r="AJ151" s="282"/>
    </row>
    <row r="152" spans="1:36" x14ac:dyDescent="0.2">
      <c r="A152" s="2"/>
      <c r="B152" s="2"/>
      <c r="C152" s="2"/>
      <c r="D152" s="2"/>
      <c r="E152" s="2"/>
      <c r="F152" s="279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G152" s="58"/>
      <c r="AH152" s="280"/>
      <c r="AI152" s="281"/>
      <c r="AJ152" s="282"/>
    </row>
    <row r="153" spans="1:36" x14ac:dyDescent="0.2">
      <c r="A153" s="2"/>
      <c r="B153" s="2"/>
      <c r="C153" s="2"/>
      <c r="D153" s="2"/>
      <c r="E153" s="2"/>
      <c r="F153" s="279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G153" s="58"/>
      <c r="AH153" s="280"/>
      <c r="AI153" s="281"/>
      <c r="AJ153" s="282"/>
    </row>
    <row r="154" spans="1:36" x14ac:dyDescent="0.2">
      <c r="A154" s="2"/>
      <c r="B154" s="2"/>
      <c r="C154" s="2"/>
      <c r="D154" s="2"/>
      <c r="E154" s="2"/>
      <c r="F154" s="279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G154" s="58"/>
      <c r="AH154" s="280"/>
      <c r="AI154" s="281"/>
      <c r="AJ154" s="282"/>
    </row>
    <row r="155" spans="1:36" x14ac:dyDescent="0.2">
      <c r="A155" s="2"/>
      <c r="B155" s="2"/>
      <c r="C155" s="2"/>
      <c r="D155" s="2"/>
      <c r="E155" s="2"/>
      <c r="F155" s="279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G155" s="58"/>
      <c r="AH155" s="280"/>
      <c r="AI155" s="281"/>
      <c r="AJ155" s="282"/>
    </row>
    <row r="156" spans="1:36" x14ac:dyDescent="0.2">
      <c r="A156" s="2"/>
      <c r="B156" s="2"/>
      <c r="C156" s="2"/>
      <c r="D156" s="2"/>
      <c r="E156" s="2"/>
      <c r="F156" s="279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G156" s="58"/>
      <c r="AH156" s="280"/>
      <c r="AI156" s="281"/>
      <c r="AJ156" s="282"/>
    </row>
    <row r="157" spans="1:36" x14ac:dyDescent="0.2">
      <c r="A157" s="2"/>
      <c r="B157" s="2"/>
      <c r="C157" s="2"/>
      <c r="D157" s="2"/>
      <c r="E157" s="2"/>
      <c r="F157" s="279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G157" s="58"/>
      <c r="AH157" s="280"/>
      <c r="AI157" s="281"/>
      <c r="AJ157" s="282"/>
    </row>
    <row r="158" spans="1:36" x14ac:dyDescent="0.2">
      <c r="A158" s="2"/>
      <c r="B158" s="2"/>
      <c r="C158" s="2"/>
      <c r="D158" s="2"/>
      <c r="E158" s="2"/>
      <c r="F158" s="279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G158" s="58"/>
      <c r="AH158" s="280"/>
      <c r="AI158" s="281"/>
      <c r="AJ158" s="282"/>
    </row>
    <row r="159" spans="1:36" x14ac:dyDescent="0.2">
      <c r="A159" s="2"/>
      <c r="B159" s="2"/>
      <c r="C159" s="2"/>
      <c r="D159" s="2"/>
      <c r="E159" s="2"/>
      <c r="F159" s="279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G159" s="58"/>
      <c r="AH159" s="280"/>
      <c r="AI159" s="281"/>
      <c r="AJ159" s="282"/>
    </row>
    <row r="160" spans="1:36" x14ac:dyDescent="0.2">
      <c r="A160" s="2"/>
      <c r="B160" s="2"/>
      <c r="C160" s="2"/>
      <c r="D160" s="2"/>
      <c r="E160" s="2"/>
      <c r="F160" s="279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G160" s="58"/>
      <c r="AH160" s="280"/>
      <c r="AI160" s="281"/>
      <c r="AJ160" s="282"/>
    </row>
    <row r="161" spans="1:36" x14ac:dyDescent="0.2">
      <c r="A161" s="2"/>
      <c r="B161" s="2"/>
      <c r="C161" s="2"/>
      <c r="D161" s="2"/>
      <c r="E161" s="2"/>
      <c r="F161" s="279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G161" s="58"/>
      <c r="AH161" s="280"/>
      <c r="AI161" s="281"/>
      <c r="AJ161" s="282"/>
    </row>
    <row r="162" spans="1:36" x14ac:dyDescent="0.2">
      <c r="A162" s="2"/>
      <c r="B162" s="2"/>
      <c r="C162" s="2"/>
      <c r="D162" s="2"/>
      <c r="E162" s="2"/>
      <c r="F162" s="279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G162" s="58"/>
      <c r="AH162" s="280"/>
      <c r="AI162" s="281"/>
      <c r="AJ162" s="282"/>
    </row>
    <row r="163" spans="1:36" x14ac:dyDescent="0.2">
      <c r="A163" s="2"/>
      <c r="B163" s="2"/>
      <c r="C163" s="2"/>
      <c r="D163" s="2"/>
      <c r="E163" s="2"/>
      <c r="F163" s="279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G163" s="58"/>
      <c r="AH163" s="280"/>
      <c r="AI163" s="281"/>
      <c r="AJ163" s="282"/>
    </row>
    <row r="164" spans="1:36" x14ac:dyDescent="0.2">
      <c r="A164" s="2"/>
      <c r="B164" s="2"/>
      <c r="C164" s="2"/>
      <c r="D164" s="2"/>
      <c r="E164" s="2"/>
      <c r="F164" s="279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G164" s="58"/>
      <c r="AH164" s="280"/>
      <c r="AI164" s="281"/>
      <c r="AJ164" s="282"/>
    </row>
    <row r="165" spans="1:36" x14ac:dyDescent="0.2">
      <c r="A165" s="2"/>
      <c r="B165" s="2"/>
      <c r="C165" s="2"/>
      <c r="D165" s="2"/>
      <c r="E165" s="2"/>
      <c r="F165" s="279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G165" s="58"/>
      <c r="AH165" s="280"/>
      <c r="AI165" s="281"/>
      <c r="AJ165" s="282"/>
    </row>
    <row r="166" spans="1:36" x14ac:dyDescent="0.2">
      <c r="A166" s="2"/>
      <c r="B166" s="2"/>
      <c r="C166" s="2"/>
      <c r="D166" s="2"/>
      <c r="E166" s="2"/>
      <c r="F166" s="279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G166" s="58"/>
      <c r="AH166" s="280"/>
      <c r="AI166" s="281"/>
      <c r="AJ166" s="282"/>
    </row>
    <row r="167" spans="1:36" x14ac:dyDescent="0.2">
      <c r="A167" s="2"/>
      <c r="B167" s="2"/>
      <c r="C167" s="2"/>
      <c r="D167" s="2"/>
      <c r="E167" s="2"/>
      <c r="F167" s="279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G167" s="58"/>
      <c r="AH167" s="280"/>
      <c r="AI167" s="281"/>
      <c r="AJ167" s="282"/>
    </row>
    <row r="168" spans="1:36" x14ac:dyDescent="0.2">
      <c r="A168" s="2"/>
      <c r="B168" s="2"/>
      <c r="C168" s="2"/>
      <c r="D168" s="2"/>
      <c r="E168" s="2"/>
      <c r="F168" s="279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G168" s="58"/>
      <c r="AH168" s="280"/>
      <c r="AI168" s="281"/>
      <c r="AJ168" s="282"/>
    </row>
    <row r="169" spans="1:36" x14ac:dyDescent="0.2">
      <c r="A169" s="2"/>
      <c r="B169" s="2"/>
      <c r="C169" s="2"/>
      <c r="D169" s="2"/>
      <c r="E169" s="2"/>
      <c r="F169" s="279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G169" s="58"/>
      <c r="AH169" s="280"/>
      <c r="AI169" s="281"/>
      <c r="AJ169" s="282"/>
    </row>
    <row r="170" spans="1:36" x14ac:dyDescent="0.2">
      <c r="A170" s="2"/>
      <c r="B170" s="2"/>
      <c r="C170" s="2"/>
      <c r="D170" s="2"/>
      <c r="E170" s="2"/>
      <c r="F170" s="279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G170" s="58"/>
      <c r="AH170" s="280"/>
      <c r="AI170" s="281"/>
      <c r="AJ170" s="282"/>
    </row>
    <row r="171" spans="1:36" x14ac:dyDescent="0.2">
      <c r="A171" s="2"/>
      <c r="B171" s="2"/>
      <c r="C171" s="2"/>
      <c r="D171" s="2"/>
      <c r="E171" s="2"/>
      <c r="F171" s="279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G171" s="58"/>
      <c r="AH171" s="280"/>
      <c r="AI171" s="281"/>
      <c r="AJ171" s="282"/>
    </row>
    <row r="172" spans="1:36" x14ac:dyDescent="0.2">
      <c r="A172" s="2"/>
      <c r="B172" s="2"/>
      <c r="C172" s="2"/>
      <c r="D172" s="2"/>
      <c r="E172" s="2"/>
      <c r="F172" s="279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G172" s="58"/>
      <c r="AH172" s="280"/>
      <c r="AI172" s="281"/>
      <c r="AJ172" s="282"/>
    </row>
    <row r="173" spans="1:36" x14ac:dyDescent="0.2">
      <c r="A173" s="2"/>
      <c r="B173" s="2"/>
      <c r="C173" s="2"/>
      <c r="D173" s="2"/>
      <c r="E173" s="2"/>
      <c r="F173" s="279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G173" s="58"/>
      <c r="AH173" s="280"/>
      <c r="AI173" s="281"/>
      <c r="AJ173" s="282"/>
    </row>
    <row r="174" spans="1:36" x14ac:dyDescent="0.2">
      <c r="A174" s="2"/>
      <c r="B174" s="2"/>
      <c r="C174" s="2"/>
      <c r="D174" s="2"/>
      <c r="E174" s="2"/>
      <c r="F174" s="279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G174" s="58"/>
      <c r="AH174" s="280"/>
      <c r="AI174" s="281"/>
      <c r="AJ174" s="282"/>
    </row>
    <row r="175" spans="1:36" x14ac:dyDescent="0.2">
      <c r="A175" s="2"/>
      <c r="B175" s="2"/>
      <c r="C175" s="2"/>
      <c r="D175" s="2"/>
      <c r="E175" s="2"/>
      <c r="F175" s="279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G175" s="58"/>
      <c r="AH175" s="280"/>
      <c r="AI175" s="281"/>
      <c r="AJ175" s="282"/>
    </row>
    <row r="176" spans="1:36" x14ac:dyDescent="0.2">
      <c r="A176" s="2"/>
      <c r="B176" s="2"/>
      <c r="C176" s="2"/>
      <c r="D176" s="2"/>
      <c r="E176" s="2"/>
      <c r="F176" s="279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G176" s="58"/>
      <c r="AH176" s="280"/>
      <c r="AI176" s="281"/>
      <c r="AJ176" s="282"/>
    </row>
    <row r="177" spans="1:36" x14ac:dyDescent="0.2">
      <c r="A177" s="2"/>
      <c r="B177" s="2"/>
      <c r="C177" s="2"/>
      <c r="D177" s="2"/>
      <c r="E177" s="2"/>
      <c r="F177" s="279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G177" s="58"/>
      <c r="AH177" s="280"/>
      <c r="AI177" s="281"/>
      <c r="AJ177" s="282"/>
    </row>
    <row r="178" spans="1:36" x14ac:dyDescent="0.2">
      <c r="A178" s="2"/>
      <c r="B178" s="2"/>
      <c r="C178" s="2"/>
      <c r="D178" s="2"/>
      <c r="E178" s="2"/>
      <c r="F178" s="279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G178" s="58"/>
      <c r="AH178" s="280"/>
      <c r="AI178" s="281"/>
      <c r="AJ178" s="282"/>
    </row>
    <row r="179" spans="1:36" x14ac:dyDescent="0.2">
      <c r="A179" s="2"/>
      <c r="B179" s="2"/>
      <c r="C179" s="2"/>
      <c r="D179" s="2"/>
      <c r="E179" s="2"/>
      <c r="F179" s="279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G179" s="58"/>
      <c r="AH179" s="280"/>
      <c r="AI179" s="281"/>
      <c r="AJ179" s="282"/>
    </row>
    <row r="180" spans="1:36" x14ac:dyDescent="0.2">
      <c r="A180" s="2"/>
      <c r="B180" s="2"/>
      <c r="C180" s="2"/>
      <c r="D180" s="2"/>
      <c r="E180" s="2"/>
      <c r="F180" s="279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G180" s="58"/>
      <c r="AH180" s="280"/>
      <c r="AI180" s="281"/>
      <c r="AJ180" s="282"/>
    </row>
    <row r="181" spans="1:36" x14ac:dyDescent="0.2">
      <c r="A181" s="2"/>
      <c r="B181" s="2"/>
      <c r="C181" s="2"/>
      <c r="D181" s="2"/>
      <c r="E181" s="2"/>
      <c r="F181" s="279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G181" s="58"/>
      <c r="AH181" s="280"/>
      <c r="AI181" s="281"/>
      <c r="AJ181" s="282"/>
    </row>
    <row r="182" spans="1:36" x14ac:dyDescent="0.2">
      <c r="A182" s="2"/>
      <c r="B182" s="2"/>
      <c r="C182" s="2"/>
      <c r="D182" s="2"/>
      <c r="E182" s="2"/>
      <c r="F182" s="279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G182" s="58"/>
      <c r="AH182" s="280"/>
      <c r="AI182" s="281"/>
      <c r="AJ182" s="282"/>
    </row>
    <row r="183" spans="1:36" x14ac:dyDescent="0.2">
      <c r="A183" s="2"/>
      <c r="B183" s="2"/>
      <c r="C183" s="2"/>
      <c r="D183" s="2"/>
      <c r="E183" s="2"/>
      <c r="F183" s="279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G183" s="58"/>
      <c r="AH183" s="280"/>
      <c r="AI183" s="281"/>
      <c r="AJ183" s="28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3" tint="0.59999389629810485"/>
  </sheetPr>
  <dimension ref="A1:CV117"/>
  <sheetViews>
    <sheetView showGridLines="0" topLeftCell="B1" zoomScale="85" zoomScaleNormal="85" workbookViewId="0">
      <selection activeCell="E6" sqref="E6:W117"/>
    </sheetView>
  </sheetViews>
  <sheetFormatPr defaultColWidth="9.140625" defaultRowHeight="12.75" x14ac:dyDescent="0.2"/>
  <cols>
    <col min="1" max="1" width="11.140625" style="2" bestFit="1" customWidth="1"/>
    <col min="2" max="2" width="9.28515625" style="2" customWidth="1"/>
    <col min="3" max="3" width="11" style="2" bestFit="1" customWidth="1"/>
    <col min="4" max="4" width="9.140625" style="2"/>
    <col min="5" max="5" width="7.42578125" style="2" customWidth="1"/>
    <col min="6" max="6" width="18" style="2" customWidth="1"/>
    <col min="7" max="8" width="18" style="3" customWidth="1"/>
    <col min="9" max="9" width="17.7109375" style="6" customWidth="1"/>
    <col min="10" max="10" width="18" style="3" customWidth="1"/>
    <col min="11" max="11" width="17.7109375" style="6" customWidth="1"/>
    <col min="12" max="12" width="18" style="3" customWidth="1"/>
    <col min="13" max="13" width="19.85546875" style="6" bestFit="1" customWidth="1"/>
    <col min="14" max="14" width="18" style="3" customWidth="1"/>
    <col min="15" max="15" width="20.5703125" style="6" bestFit="1" customWidth="1"/>
    <col min="16" max="18" width="16.5703125" style="5" customWidth="1"/>
    <col min="19" max="19" width="17.7109375" style="6" customWidth="1"/>
    <col min="20" max="20" width="16.5703125" style="5" customWidth="1"/>
    <col min="21" max="21" width="17.7109375" style="6" customWidth="1"/>
    <col min="22" max="22" width="16.5703125" style="5" customWidth="1"/>
    <col min="23" max="23" width="17.7109375" style="6" customWidth="1"/>
    <col min="24" max="24" width="8.7109375" style="6" customWidth="1"/>
    <col min="25" max="38" width="8.7109375" style="2" customWidth="1"/>
    <col min="39" max="39" width="16.85546875" style="2" customWidth="1"/>
    <col min="40" max="40" width="13.42578125" style="2" customWidth="1"/>
    <col min="41" max="41" width="20" style="2" customWidth="1"/>
    <col min="42" max="42" width="15.85546875" style="2" customWidth="1"/>
    <col min="43" max="43" width="14.85546875" style="2" customWidth="1"/>
    <col min="44" max="44" width="15.42578125" style="2" customWidth="1"/>
    <col min="45" max="45" width="21" style="2" customWidth="1"/>
    <col min="46" max="46" width="16.28515625" style="2" customWidth="1"/>
    <col min="47" max="47" width="13.28515625" style="2" customWidth="1"/>
    <col min="48" max="50" width="12.5703125" style="2" bestFit="1" customWidth="1"/>
    <col min="51" max="51" width="22.7109375" style="2" customWidth="1"/>
    <col min="52" max="52" width="17.42578125" style="2" customWidth="1"/>
    <col min="53" max="53" width="24.85546875" style="2" customWidth="1"/>
    <col min="54" max="54" width="19.85546875" style="2" customWidth="1"/>
    <col min="55" max="55" width="15.28515625" style="2" customWidth="1"/>
    <col min="56" max="56" width="14.28515625" style="2" customWidth="1"/>
    <col min="57" max="57" width="15.85546875" style="2" customWidth="1"/>
    <col min="58" max="58" width="13" style="2" customWidth="1"/>
    <col min="59" max="59" width="12.7109375" style="2" customWidth="1"/>
    <col min="60" max="61" width="8.7109375" style="2" customWidth="1"/>
    <col min="62" max="62" width="12.5703125" style="2" bestFit="1" customWidth="1"/>
    <col min="63" max="64" width="8.7109375" style="2" customWidth="1"/>
    <col min="65" max="65" width="19.85546875" style="2" bestFit="1" customWidth="1"/>
    <col min="66" max="76" width="8.7109375" style="2" customWidth="1"/>
    <col min="77" max="96" width="9.28515625" style="2" bestFit="1" customWidth="1"/>
    <col min="97" max="97" width="6.5703125" style="2" customWidth="1"/>
    <col min="98" max="98" width="12.42578125" style="2" bestFit="1" customWidth="1"/>
    <col min="99" max="99" width="10.42578125" style="2" bestFit="1" customWidth="1"/>
    <col min="100" max="100" width="12.42578125" style="2" bestFit="1" customWidth="1"/>
    <col min="101" max="16384" width="9.140625" style="2"/>
  </cols>
  <sheetData>
    <row r="1" spans="1:100" ht="15" customHeight="1" x14ac:dyDescent="0.2">
      <c r="A1" s="1" t="s">
        <v>77</v>
      </c>
      <c r="F1" s="1"/>
      <c r="I1" s="4"/>
      <c r="K1" s="4"/>
      <c r="M1" s="4"/>
      <c r="O1" s="4"/>
      <c r="P1" s="4"/>
      <c r="Q1" s="4"/>
      <c r="R1" s="4"/>
      <c r="S1" s="4"/>
      <c r="T1" s="4"/>
      <c r="U1" s="4"/>
    </row>
    <row r="2" spans="1:100" x14ac:dyDescent="0.2">
      <c r="A2" s="1" t="s">
        <v>78</v>
      </c>
      <c r="F2" s="1"/>
      <c r="I2" s="4"/>
      <c r="K2" s="4"/>
      <c r="M2" s="4"/>
      <c r="O2" s="4"/>
      <c r="P2" s="4"/>
      <c r="Q2" s="4"/>
      <c r="R2" s="4"/>
      <c r="S2" s="4"/>
      <c r="T2" s="4"/>
      <c r="U2" s="4"/>
      <c r="W2" s="7"/>
      <c r="Z2" s="2" t="s">
        <v>58</v>
      </c>
      <c r="AA2" s="6"/>
      <c r="AB2" s="6"/>
      <c r="AC2" s="6"/>
      <c r="AD2" s="6"/>
      <c r="AE2" s="6"/>
      <c r="AF2" s="6"/>
      <c r="AG2" s="6"/>
      <c r="AH2" s="6"/>
      <c r="AI2" s="6"/>
      <c r="BJ2" s="2" t="s">
        <v>62</v>
      </c>
      <c r="BK2" s="6"/>
      <c r="BM2" s="2" t="s">
        <v>68</v>
      </c>
    </row>
    <row r="3" spans="1:100" x14ac:dyDescent="0.2">
      <c r="A3" s="8"/>
      <c r="B3" s="8"/>
      <c r="E3" s="2">
        <v>1</v>
      </c>
      <c r="F3" s="2">
        <f>E3+1</f>
        <v>2</v>
      </c>
      <c r="G3" s="2">
        <f t="shared" ref="G3:W3" si="0">F3+1</f>
        <v>3</v>
      </c>
      <c r="H3" s="2">
        <f t="shared" si="0"/>
        <v>4</v>
      </c>
      <c r="I3" s="2">
        <f t="shared" si="0"/>
        <v>5</v>
      </c>
      <c r="J3" s="2">
        <f t="shared" si="0"/>
        <v>6</v>
      </c>
      <c r="K3" s="2">
        <f t="shared" si="0"/>
        <v>7</v>
      </c>
      <c r="L3" s="2">
        <f t="shared" si="0"/>
        <v>8</v>
      </c>
      <c r="M3" s="2">
        <f t="shared" si="0"/>
        <v>9</v>
      </c>
      <c r="N3" s="2">
        <f t="shared" si="0"/>
        <v>10</v>
      </c>
      <c r="O3" s="2">
        <f t="shared" si="0"/>
        <v>11</v>
      </c>
      <c r="P3" s="2">
        <f t="shared" si="0"/>
        <v>12</v>
      </c>
      <c r="Q3" s="2">
        <f t="shared" si="0"/>
        <v>13</v>
      </c>
      <c r="R3" s="2">
        <f t="shared" si="0"/>
        <v>14</v>
      </c>
      <c r="S3" s="2">
        <f t="shared" si="0"/>
        <v>15</v>
      </c>
      <c r="T3" s="2">
        <f t="shared" si="0"/>
        <v>16</v>
      </c>
      <c r="U3" s="2">
        <f t="shared" si="0"/>
        <v>17</v>
      </c>
      <c r="V3" s="2">
        <f t="shared" si="0"/>
        <v>18</v>
      </c>
      <c r="W3" s="2">
        <f t="shared" si="0"/>
        <v>19</v>
      </c>
      <c r="AA3" s="6" t="s">
        <v>63</v>
      </c>
      <c r="AB3" s="6"/>
      <c r="AC3" s="6"/>
      <c r="AD3" s="6"/>
      <c r="AE3" s="6"/>
      <c r="AF3" s="6"/>
      <c r="AG3" s="6"/>
      <c r="AH3" s="6"/>
      <c r="AI3" s="6"/>
      <c r="BK3" s="6"/>
      <c r="BM3" s="6"/>
      <c r="BN3" s="2" t="s">
        <v>65</v>
      </c>
      <c r="CS3" s="9" t="s">
        <v>390</v>
      </c>
      <c r="CT3" s="9" t="s">
        <v>391</v>
      </c>
      <c r="CU3" s="9" t="s">
        <v>392</v>
      </c>
      <c r="CV3" s="9" t="s">
        <v>393</v>
      </c>
    </row>
    <row r="4" spans="1:100" x14ac:dyDescent="0.2">
      <c r="F4" s="10" t="s">
        <v>79</v>
      </c>
      <c r="G4" s="10" t="s">
        <v>12</v>
      </c>
      <c r="H4" s="10" t="s">
        <v>81</v>
      </c>
      <c r="I4" s="5"/>
      <c r="J4" s="10"/>
      <c r="K4" s="5"/>
      <c r="L4" s="10"/>
      <c r="M4" s="5"/>
      <c r="N4" s="10"/>
      <c r="O4" s="5"/>
      <c r="Q4" s="5">
        <v>7</v>
      </c>
      <c r="S4" s="5">
        <v>9</v>
      </c>
      <c r="U4" s="5">
        <v>11</v>
      </c>
      <c r="W4" s="5"/>
      <c r="Z4" s="11" t="s">
        <v>59</v>
      </c>
      <c r="AA4" s="12">
        <v>2012</v>
      </c>
      <c r="AB4" s="12">
        <f>AA4+1</f>
        <v>2013</v>
      </c>
      <c r="AC4" s="12">
        <f t="shared" ref="AC4:AL4" si="1">AB4+1</f>
        <v>2014</v>
      </c>
      <c r="AD4" s="12">
        <f t="shared" si="1"/>
        <v>2015</v>
      </c>
      <c r="AE4" s="12">
        <f t="shared" si="1"/>
        <v>2016</v>
      </c>
      <c r="AF4" s="12">
        <f t="shared" si="1"/>
        <v>2017</v>
      </c>
      <c r="AG4" s="12">
        <f t="shared" si="1"/>
        <v>2018</v>
      </c>
      <c r="AH4" s="12">
        <f t="shared" si="1"/>
        <v>2019</v>
      </c>
      <c r="AI4" s="12">
        <f t="shared" si="1"/>
        <v>2020</v>
      </c>
      <c r="AJ4" s="12">
        <f t="shared" si="1"/>
        <v>2021</v>
      </c>
      <c r="AK4" s="12">
        <f t="shared" si="1"/>
        <v>2022</v>
      </c>
      <c r="AL4" s="12">
        <f t="shared" si="1"/>
        <v>2023</v>
      </c>
      <c r="AM4" s="297">
        <v>45322</v>
      </c>
      <c r="AN4" s="297">
        <f>EOMONTH(AM4,1)</f>
        <v>45351</v>
      </c>
      <c r="AO4" s="297">
        <f t="shared" ref="AO4:BG4" si="2">EOMONTH(AN4,1)</f>
        <v>45382</v>
      </c>
      <c r="AP4" s="297">
        <f t="shared" si="2"/>
        <v>45412</v>
      </c>
      <c r="AQ4" s="297">
        <f t="shared" si="2"/>
        <v>45443</v>
      </c>
      <c r="AR4" s="297">
        <f t="shared" si="2"/>
        <v>45473</v>
      </c>
      <c r="AS4" s="297">
        <f t="shared" si="2"/>
        <v>45504</v>
      </c>
      <c r="AT4" s="297">
        <f t="shared" si="2"/>
        <v>45535</v>
      </c>
      <c r="AU4" s="297">
        <f t="shared" si="2"/>
        <v>45565</v>
      </c>
      <c r="AV4" s="297">
        <f t="shared" si="2"/>
        <v>45596</v>
      </c>
      <c r="AW4" s="297">
        <f t="shared" si="2"/>
        <v>45626</v>
      </c>
      <c r="AX4" s="297">
        <f t="shared" si="2"/>
        <v>45657</v>
      </c>
      <c r="AY4" s="297">
        <f t="shared" si="2"/>
        <v>45688</v>
      </c>
      <c r="AZ4" s="297">
        <f t="shared" si="2"/>
        <v>45716</v>
      </c>
      <c r="BA4" s="297">
        <f t="shared" si="2"/>
        <v>45747</v>
      </c>
      <c r="BB4" s="297">
        <f t="shared" si="2"/>
        <v>45777</v>
      </c>
      <c r="BC4" s="297">
        <f t="shared" si="2"/>
        <v>45808</v>
      </c>
      <c r="BD4" s="297">
        <f t="shared" si="2"/>
        <v>45838</v>
      </c>
      <c r="BE4" s="297">
        <f t="shared" si="2"/>
        <v>45869</v>
      </c>
      <c r="BF4" s="297">
        <f t="shared" si="2"/>
        <v>45900</v>
      </c>
      <c r="BG4" s="297">
        <f t="shared" si="2"/>
        <v>45930</v>
      </c>
      <c r="BJ4" s="298" t="s">
        <v>63</v>
      </c>
      <c r="BK4" s="299" t="s">
        <v>394</v>
      </c>
      <c r="BM4" s="13" t="s">
        <v>66</v>
      </c>
      <c r="BN4" s="13">
        <v>1</v>
      </c>
      <c r="BO4" s="13">
        <f>BN4+1</f>
        <v>2</v>
      </c>
      <c r="BP4" s="13">
        <f t="shared" ref="BP4:BW4" si="3">BO4+1</f>
        <v>3</v>
      </c>
      <c r="BQ4" s="13">
        <f t="shared" si="3"/>
        <v>4</v>
      </c>
      <c r="BR4" s="13">
        <f t="shared" si="3"/>
        <v>5</v>
      </c>
      <c r="BS4" s="13">
        <f t="shared" si="3"/>
        <v>6</v>
      </c>
      <c r="BT4" s="13">
        <f t="shared" si="3"/>
        <v>7</v>
      </c>
      <c r="BU4" s="13">
        <f t="shared" si="3"/>
        <v>8</v>
      </c>
      <c r="BV4" s="13">
        <f t="shared" si="3"/>
        <v>9</v>
      </c>
      <c r="BW4" s="13">
        <f t="shared" si="3"/>
        <v>10</v>
      </c>
      <c r="BX4" s="13">
        <f t="shared" ref="BX4" si="4">BW4+1</f>
        <v>11</v>
      </c>
      <c r="BY4" s="13">
        <f t="shared" ref="BY4" si="5">BX4+1</f>
        <v>12</v>
      </c>
      <c r="BZ4" s="13">
        <f t="shared" ref="BZ4" si="6">BY4+1</f>
        <v>13</v>
      </c>
      <c r="CA4" s="13">
        <f t="shared" ref="CA4" si="7">BZ4+1</f>
        <v>14</v>
      </c>
      <c r="CB4" s="13">
        <f t="shared" ref="CB4" si="8">CA4+1</f>
        <v>15</v>
      </c>
      <c r="CC4" s="13">
        <f t="shared" ref="CC4" si="9">CB4+1</f>
        <v>16</v>
      </c>
      <c r="CD4" s="13">
        <f t="shared" ref="CD4" si="10">CC4+1</f>
        <v>17</v>
      </c>
      <c r="CE4" s="13">
        <f t="shared" ref="CE4" si="11">CD4+1</f>
        <v>18</v>
      </c>
      <c r="CF4" s="13">
        <f t="shared" ref="CF4" si="12">CE4+1</f>
        <v>19</v>
      </c>
      <c r="CG4" s="13">
        <f t="shared" ref="CG4" si="13">CF4+1</f>
        <v>20</v>
      </c>
      <c r="CH4" s="13">
        <f t="shared" ref="CH4" si="14">CG4+1</f>
        <v>21</v>
      </c>
      <c r="CI4" s="13">
        <f t="shared" ref="CI4" si="15">CH4+1</f>
        <v>22</v>
      </c>
      <c r="CJ4" s="13">
        <f t="shared" ref="CJ4" si="16">CI4+1</f>
        <v>23</v>
      </c>
      <c r="CK4" s="13">
        <f t="shared" ref="CK4" si="17">CJ4+1</f>
        <v>24</v>
      </c>
      <c r="CL4" s="13">
        <f t="shared" ref="CL4" si="18">CK4+1</f>
        <v>25</v>
      </c>
      <c r="CM4" s="13">
        <f t="shared" ref="CM4" si="19">CL4+1</f>
        <v>26</v>
      </c>
      <c r="CN4" s="13">
        <f t="shared" ref="CN4" si="20">CM4+1</f>
        <v>27</v>
      </c>
      <c r="CO4" s="13">
        <f t="shared" ref="CO4" si="21">CN4+1</f>
        <v>28</v>
      </c>
      <c r="CP4" s="13">
        <f t="shared" ref="CP4" si="22">CO4+1</f>
        <v>29</v>
      </c>
      <c r="CQ4" s="13">
        <f t="shared" ref="CQ4" si="23">CP4+1</f>
        <v>30</v>
      </c>
      <c r="CS4" s="14">
        <v>2005</v>
      </c>
      <c r="CT4" s="15">
        <v>0.05</v>
      </c>
      <c r="CU4" s="15">
        <v>0.05</v>
      </c>
      <c r="CV4" s="15">
        <v>0</v>
      </c>
    </row>
    <row r="5" spans="1:100" x14ac:dyDescent="0.2">
      <c r="A5" s="16" t="s">
        <v>80</v>
      </c>
      <c r="B5" s="16" t="s">
        <v>82</v>
      </c>
      <c r="E5" s="17" t="s">
        <v>64</v>
      </c>
      <c r="F5" s="18" t="s">
        <v>29</v>
      </c>
      <c r="G5" s="18" t="s">
        <v>29</v>
      </c>
      <c r="H5" s="18" t="s">
        <v>114</v>
      </c>
      <c r="I5" s="18" t="s">
        <v>115</v>
      </c>
      <c r="J5" s="18" t="s">
        <v>113</v>
      </c>
      <c r="K5" s="18" t="s">
        <v>112</v>
      </c>
      <c r="L5" s="18" t="s">
        <v>116</v>
      </c>
      <c r="M5" s="18" t="s">
        <v>119</v>
      </c>
      <c r="N5" s="18" t="s">
        <v>117</v>
      </c>
      <c r="O5" s="18" t="s">
        <v>118</v>
      </c>
      <c r="P5" s="19" t="s">
        <v>24</v>
      </c>
      <c r="Q5" s="20" t="s">
        <v>89</v>
      </c>
      <c r="R5" s="19" t="s">
        <v>90</v>
      </c>
      <c r="S5" s="20" t="s">
        <v>91</v>
      </c>
      <c r="T5" s="19" t="s">
        <v>98</v>
      </c>
      <c r="U5" s="20" t="s">
        <v>99</v>
      </c>
      <c r="V5" s="19" t="s">
        <v>120</v>
      </c>
      <c r="W5" s="20" t="s">
        <v>121</v>
      </c>
      <c r="X5" s="21"/>
      <c r="Z5" s="11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97"/>
      <c r="AN5" s="297"/>
      <c r="AO5" s="297"/>
      <c r="AP5" s="297"/>
      <c r="AQ5" s="297"/>
      <c r="AR5" s="297"/>
      <c r="AS5" s="297"/>
      <c r="AT5" s="297"/>
      <c r="AU5" s="297"/>
      <c r="AV5" s="297"/>
      <c r="AW5" s="297"/>
      <c r="AX5" s="297"/>
      <c r="AY5" s="297"/>
      <c r="AZ5" s="297"/>
      <c r="BA5" s="297"/>
      <c r="BB5" s="297"/>
      <c r="BC5" s="297"/>
      <c r="BD5" s="297"/>
      <c r="BE5" s="297"/>
      <c r="BF5" s="297"/>
      <c r="BG5" s="297"/>
      <c r="BJ5" s="298"/>
      <c r="BK5" s="300"/>
      <c r="BM5" s="23">
        <v>2011</v>
      </c>
      <c r="BN5" s="24">
        <f t="shared" ref="BN5:CQ5" si="24">1-(1 - BN25)^(1/12)</f>
        <v>4.2653187775606449E-3</v>
      </c>
      <c r="BO5" s="24">
        <f t="shared" si="24"/>
        <v>4.2653187775606449E-3</v>
      </c>
      <c r="BP5" s="24">
        <f t="shared" si="24"/>
        <v>4.2653187775606449E-3</v>
      </c>
      <c r="BQ5" s="24">
        <f t="shared" si="24"/>
        <v>4.2653187775606449E-3</v>
      </c>
      <c r="BR5" s="24">
        <f t="shared" si="24"/>
        <v>4.2653187775606449E-3</v>
      </c>
      <c r="BS5" s="24">
        <f t="shared" si="24"/>
        <v>4.2653187775606449E-3</v>
      </c>
      <c r="BT5" s="24">
        <f t="shared" si="24"/>
        <v>4.2653187775606449E-3</v>
      </c>
      <c r="BU5" s="24">
        <f t="shared" si="24"/>
        <v>4.2653187775606449E-3</v>
      </c>
      <c r="BV5" s="24">
        <f t="shared" si="24"/>
        <v>4.2653187775606449E-3</v>
      </c>
      <c r="BW5" s="24">
        <f t="shared" si="24"/>
        <v>4.2653187775606449E-3</v>
      </c>
      <c r="BX5" s="24">
        <f t="shared" si="24"/>
        <v>4.2653187775606449E-3</v>
      </c>
      <c r="BY5" s="24">
        <f t="shared" si="24"/>
        <v>4.2653187775606449E-3</v>
      </c>
      <c r="BZ5" s="24">
        <f t="shared" si="24"/>
        <v>4.2653187775606449E-3</v>
      </c>
      <c r="CA5" s="24">
        <f t="shared" si="24"/>
        <v>4.2653187775606449E-3</v>
      </c>
      <c r="CB5" s="24">
        <f t="shared" si="24"/>
        <v>4.2653187775606449E-3</v>
      </c>
      <c r="CC5" s="24">
        <f t="shared" si="24"/>
        <v>4.2653187775606449E-3</v>
      </c>
      <c r="CD5" s="24">
        <f t="shared" si="24"/>
        <v>4.2653187775606449E-3</v>
      </c>
      <c r="CE5" s="24">
        <f t="shared" si="24"/>
        <v>4.2653187775606449E-3</v>
      </c>
      <c r="CF5" s="24">
        <f t="shared" si="24"/>
        <v>4.2653187775606449E-3</v>
      </c>
      <c r="CG5" s="24">
        <f t="shared" si="24"/>
        <v>4.2653187775606449E-3</v>
      </c>
      <c r="CH5" s="24">
        <f t="shared" si="24"/>
        <v>4.2653187775606449E-3</v>
      </c>
      <c r="CI5" s="24">
        <f t="shared" si="24"/>
        <v>4.2653187775606449E-3</v>
      </c>
      <c r="CJ5" s="24">
        <f t="shared" si="24"/>
        <v>4.2653187775606449E-3</v>
      </c>
      <c r="CK5" s="24">
        <f t="shared" si="24"/>
        <v>4.2653187775606449E-3</v>
      </c>
      <c r="CL5" s="24">
        <f t="shared" si="24"/>
        <v>4.2653187775606449E-3</v>
      </c>
      <c r="CM5" s="24">
        <f t="shared" si="24"/>
        <v>4.2653187775606449E-3</v>
      </c>
      <c r="CN5" s="24">
        <f t="shared" si="24"/>
        <v>4.2653187775606449E-3</v>
      </c>
      <c r="CO5" s="24">
        <f t="shared" si="24"/>
        <v>4.2653187775606449E-3</v>
      </c>
      <c r="CP5" s="24">
        <f t="shared" si="24"/>
        <v>4.2653187775606449E-3</v>
      </c>
      <c r="CQ5" s="24">
        <f t="shared" si="24"/>
        <v>4.2653187775606449E-3</v>
      </c>
      <c r="CS5" s="14">
        <f>CS4+1</f>
        <v>2006</v>
      </c>
      <c r="CT5" s="15">
        <v>0.05</v>
      </c>
      <c r="CU5" s="15">
        <v>0.05</v>
      </c>
      <c r="CV5" s="15">
        <v>0</v>
      </c>
    </row>
    <row r="6" spans="1:100" x14ac:dyDescent="0.2">
      <c r="A6" s="14">
        <v>2011</v>
      </c>
      <c r="B6" s="25">
        <v>2</v>
      </c>
      <c r="E6" s="6">
        <v>0</v>
      </c>
      <c r="F6" s="26">
        <v>8.0199999999999994E-3</v>
      </c>
      <c r="G6" s="27">
        <v>5.2399999999999999E-3</v>
      </c>
      <c r="H6" s="27">
        <f>VLOOKUP(E6,$E$5:$G$117,VLOOKUP($B$24,$A$5:$B$20,2,FALSE),FALSE)</f>
        <v>5.2399999999999999E-3</v>
      </c>
      <c r="I6" s="28">
        <f t="shared" ref="I6:I37" si="25">1-(1 - H6)^(1/12)</f>
        <v>4.3771891882193881E-4</v>
      </c>
      <c r="J6" s="27">
        <f>H6</f>
        <v>5.2399999999999999E-3</v>
      </c>
      <c r="K6" s="28">
        <f t="shared" ref="K6:K69" si="26">1-(1 - J6)^(1/12)</f>
        <v>4.3771891882193881E-4</v>
      </c>
      <c r="L6" s="27">
        <f>H6</f>
        <v>5.2399999999999999E-3</v>
      </c>
      <c r="M6" s="28">
        <f t="shared" ref="M6:M69" si="27">1-(1 - L6)^(1/12)</f>
        <v>4.3771891882193881E-4</v>
      </c>
      <c r="N6" s="27">
        <f>J6</f>
        <v>5.2399999999999999E-3</v>
      </c>
      <c r="O6" s="28">
        <f t="shared" ref="O6:O69" si="28">1-(1 - N6)^(1/12)</f>
        <v>4.3771891882193881E-4</v>
      </c>
      <c r="P6" s="29">
        <v>4.0000000000000002E-4</v>
      </c>
      <c r="Q6" s="28">
        <f>1-(1 - P6)^(1/12)</f>
        <v>3.3339446006586115E-5</v>
      </c>
      <c r="R6" s="5">
        <v>9.8999999999999999E-4</v>
      </c>
      <c r="S6" s="28">
        <f>1-(1 - R6)^(1/12)</f>
        <v>8.2537458069298353E-5</v>
      </c>
      <c r="T6" s="30">
        <v>9.0000000000000006E-5</v>
      </c>
      <c r="U6" s="28">
        <f>1-(1 - T6)^(1/12)</f>
        <v>7.5003093927827891E-6</v>
      </c>
      <c r="V6" s="29">
        <v>4.0000000000000002E-4</v>
      </c>
      <c r="W6" s="28">
        <f>1-(1 - V6)^(1/12)</f>
        <v>3.3339446006586115E-5</v>
      </c>
      <c r="Z6" s="31">
        <v>0.08</v>
      </c>
      <c r="AA6" s="32">
        <v>3.1199999999999995E-2</v>
      </c>
      <c r="AB6" s="32">
        <v>4.4600000000000001E-2</v>
      </c>
      <c r="AC6" s="32">
        <v>5.1999999999999998E-2</v>
      </c>
      <c r="AD6" s="32">
        <v>6.5600000000000006E-2</v>
      </c>
      <c r="AE6" s="32">
        <v>5.6899999999999999E-2</v>
      </c>
      <c r="AF6" s="32">
        <v>4.6300000000000001E-2</v>
      </c>
      <c r="AG6" s="32">
        <v>4.99E-2</v>
      </c>
      <c r="AH6" s="33">
        <v>5.11E-2</v>
      </c>
      <c r="AI6" s="33">
        <v>3.4200000000000001E-2</v>
      </c>
      <c r="AJ6" s="32">
        <v>2.8500000000000001E-2</v>
      </c>
      <c r="AK6" s="32">
        <v>4.2599999999999999E-2</v>
      </c>
      <c r="AL6" s="32">
        <v>3.1199999999999995E-2</v>
      </c>
      <c r="AM6" s="32">
        <v>3.9547863333333336E-2</v>
      </c>
      <c r="AN6" s="32">
        <v>4.0306086666666664E-2</v>
      </c>
      <c r="AO6" s="32">
        <v>4.1024985277777787E-2</v>
      </c>
      <c r="AP6" s="32">
        <v>4.1299740000000001E-2</v>
      </c>
      <c r="AQ6" s="32">
        <v>4.2396230000000007E-2</v>
      </c>
      <c r="AR6" s="32">
        <v>4.3143187499999999E-2</v>
      </c>
      <c r="AS6" s="32">
        <v>4.4148593055555546E-2</v>
      </c>
      <c r="AT6" s="32">
        <v>4.5327325555555548E-2</v>
      </c>
      <c r="AU6" s="32">
        <v>4.6333539722222226E-2</v>
      </c>
      <c r="AV6" s="32">
        <v>4.7209834444444446E-2</v>
      </c>
      <c r="AW6" s="32">
        <v>4.8117971388888875E-2</v>
      </c>
      <c r="AX6" s="32">
        <v>4.9197353055555532E-2</v>
      </c>
      <c r="AY6" s="32">
        <v>6.2397419999999995E-2</v>
      </c>
      <c r="AZ6" s="32">
        <v>6.1701499999999992E-2</v>
      </c>
      <c r="BA6" s="32">
        <v>6.2646750000000001E-2</v>
      </c>
      <c r="BB6" s="32">
        <v>6.2190060000000005E-2</v>
      </c>
      <c r="BC6" s="32">
        <v>6.1131749999999999E-2</v>
      </c>
      <c r="BD6" s="32">
        <v>5.7191850000000002E-2</v>
      </c>
      <c r="BE6" s="32">
        <v>5.4516460000000003E-2</v>
      </c>
      <c r="BF6" s="32">
        <v>5.014126E-2</v>
      </c>
      <c r="BG6" s="32">
        <v>4.7835320000000001E-2</v>
      </c>
      <c r="BJ6" s="31">
        <v>2011</v>
      </c>
      <c r="BK6" s="34">
        <v>6.7799999999999999E-2</v>
      </c>
      <c r="BM6" s="23">
        <v>2012</v>
      </c>
      <c r="BN6" s="24">
        <f t="shared" ref="BN6:CQ6" si="29">1-(1 - BN26)^(1/12)</f>
        <v>4.2653187775606449E-3</v>
      </c>
      <c r="BO6" s="24">
        <f t="shared" si="29"/>
        <v>4.2653187775606449E-3</v>
      </c>
      <c r="BP6" s="24">
        <f t="shared" si="29"/>
        <v>4.2653187775606449E-3</v>
      </c>
      <c r="BQ6" s="24">
        <f t="shared" si="29"/>
        <v>4.2653187775606449E-3</v>
      </c>
      <c r="BR6" s="24">
        <f t="shared" si="29"/>
        <v>4.2653187775606449E-3</v>
      </c>
      <c r="BS6" s="24">
        <f t="shared" si="29"/>
        <v>4.2653187775606449E-3</v>
      </c>
      <c r="BT6" s="24">
        <f t="shared" si="29"/>
        <v>4.2653187775606449E-3</v>
      </c>
      <c r="BU6" s="24">
        <f t="shared" si="29"/>
        <v>4.2653187775606449E-3</v>
      </c>
      <c r="BV6" s="24">
        <f t="shared" si="29"/>
        <v>4.2653187775606449E-3</v>
      </c>
      <c r="BW6" s="24">
        <f t="shared" si="29"/>
        <v>4.2653187775606449E-3</v>
      </c>
      <c r="BX6" s="24">
        <f t="shared" si="29"/>
        <v>4.2653187775606449E-3</v>
      </c>
      <c r="BY6" s="24">
        <f t="shared" si="29"/>
        <v>4.2653187775606449E-3</v>
      </c>
      <c r="BZ6" s="24">
        <f t="shared" si="29"/>
        <v>4.2653187775606449E-3</v>
      </c>
      <c r="CA6" s="24">
        <f t="shared" si="29"/>
        <v>4.2653187775606449E-3</v>
      </c>
      <c r="CB6" s="24">
        <f t="shared" si="29"/>
        <v>4.2653187775606449E-3</v>
      </c>
      <c r="CC6" s="24">
        <f t="shared" si="29"/>
        <v>4.2653187775606449E-3</v>
      </c>
      <c r="CD6" s="24">
        <f t="shared" si="29"/>
        <v>4.2653187775606449E-3</v>
      </c>
      <c r="CE6" s="24">
        <f t="shared" si="29"/>
        <v>4.2653187775606449E-3</v>
      </c>
      <c r="CF6" s="24">
        <f t="shared" si="29"/>
        <v>4.2653187775606449E-3</v>
      </c>
      <c r="CG6" s="24">
        <f t="shared" si="29"/>
        <v>4.2653187775606449E-3</v>
      </c>
      <c r="CH6" s="24">
        <f t="shared" si="29"/>
        <v>4.2653187775606449E-3</v>
      </c>
      <c r="CI6" s="24">
        <f t="shared" si="29"/>
        <v>4.2653187775606449E-3</v>
      </c>
      <c r="CJ6" s="24">
        <f t="shared" si="29"/>
        <v>4.2653187775606449E-3</v>
      </c>
      <c r="CK6" s="24">
        <f t="shared" si="29"/>
        <v>4.2653187775606449E-3</v>
      </c>
      <c r="CL6" s="24">
        <f t="shared" si="29"/>
        <v>4.2653187775606449E-3</v>
      </c>
      <c r="CM6" s="24">
        <f t="shared" si="29"/>
        <v>4.2653187775606449E-3</v>
      </c>
      <c r="CN6" s="24">
        <f t="shared" si="29"/>
        <v>4.2653187775606449E-3</v>
      </c>
      <c r="CO6" s="24">
        <f t="shared" si="29"/>
        <v>4.2653187775606449E-3</v>
      </c>
      <c r="CP6" s="24">
        <f t="shared" si="29"/>
        <v>4.2653187775606449E-3</v>
      </c>
      <c r="CQ6" s="24">
        <f t="shared" si="29"/>
        <v>4.2653187775606449E-3</v>
      </c>
      <c r="CS6" s="14">
        <f t="shared" ref="CS6:CS24" si="30">CS5+1</f>
        <v>2007</v>
      </c>
      <c r="CT6" s="15">
        <v>0.05</v>
      </c>
      <c r="CU6" s="15">
        <v>0.05</v>
      </c>
      <c r="CV6" s="15">
        <v>0</v>
      </c>
    </row>
    <row r="7" spans="1:100" x14ac:dyDescent="0.2">
      <c r="A7" s="14">
        <v>2012</v>
      </c>
      <c r="B7" s="25">
        <v>2</v>
      </c>
      <c r="E7" s="6">
        <v>1</v>
      </c>
      <c r="F7" s="26">
        <v>7.9000000000000001E-4</v>
      </c>
      <c r="G7" s="27">
        <v>5.2999999999999998E-4</v>
      </c>
      <c r="H7" s="27">
        <f t="shared" ref="H7:H70" si="31">VLOOKUP(E7,$E$5:$G$117,VLOOKUP($B$24,$A$5:$B$20,2,FALSE),FALSE)</f>
        <v>5.2999999999999998E-4</v>
      </c>
      <c r="I7" s="28">
        <f t="shared" si="25"/>
        <v>4.4177399120437499E-5</v>
      </c>
      <c r="J7" s="27">
        <f t="shared" ref="J7:J70" si="32">H7</f>
        <v>5.2999999999999998E-4</v>
      </c>
      <c r="K7" s="28">
        <f t="shared" si="26"/>
        <v>4.4177399120437499E-5</v>
      </c>
      <c r="L7" s="27">
        <f t="shared" ref="L7:L70" si="33">H7</f>
        <v>5.2999999999999998E-4</v>
      </c>
      <c r="M7" s="28">
        <f t="shared" si="27"/>
        <v>4.4177399120437499E-5</v>
      </c>
      <c r="N7" s="27">
        <f t="shared" ref="N7:N70" si="34">J7</f>
        <v>5.2999999999999998E-4</v>
      </c>
      <c r="O7" s="28">
        <f t="shared" si="28"/>
        <v>4.4177399120437499E-5</v>
      </c>
      <c r="P7" s="5">
        <v>4.0000000000000002E-4</v>
      </c>
      <c r="Q7" s="28">
        <f t="shared" ref="Q7:Q70" si="35">1-(1 - P7)^(1/12)</f>
        <v>3.3339446006586115E-5</v>
      </c>
      <c r="R7" s="5">
        <v>9.8999999999999999E-4</v>
      </c>
      <c r="S7" s="28">
        <f t="shared" ref="S7:S70" si="36">1-(1 - R7)^(1/12)</f>
        <v>8.2537458069298353E-5</v>
      </c>
      <c r="T7" s="30">
        <v>9.0000000000000006E-5</v>
      </c>
      <c r="U7" s="28">
        <f t="shared" ref="U7:U70" si="37">1-(1 - T7)^(1/12)</f>
        <v>7.5003093927827891E-6</v>
      </c>
      <c r="V7" s="5">
        <v>4.0000000000000002E-4</v>
      </c>
      <c r="W7" s="28">
        <f>1-(1 - V7)^(1/12)</f>
        <v>3.3339446006586115E-5</v>
      </c>
      <c r="Z7" s="31">
        <v>1</v>
      </c>
      <c r="AA7" s="32">
        <v>4.2299999999999997E-2</v>
      </c>
      <c r="AB7" s="32">
        <v>5.3499999999999999E-2</v>
      </c>
      <c r="AC7" s="32">
        <v>6.1699999999999998E-2</v>
      </c>
      <c r="AD7" s="32">
        <v>7.2800000000000004E-2</v>
      </c>
      <c r="AE7" s="32">
        <v>6.6299999999999998E-2</v>
      </c>
      <c r="AF7" s="32">
        <v>5.6899999999999999E-2</v>
      </c>
      <c r="AG7" s="32">
        <v>6.1600000000000002E-2</v>
      </c>
      <c r="AH7" s="32">
        <v>6.0100000000000001E-2</v>
      </c>
      <c r="AI7" s="32">
        <v>4.4900000000000002E-2</v>
      </c>
      <c r="AJ7" s="32">
        <v>3.6799999999999999E-2</v>
      </c>
      <c r="AK7" s="32">
        <v>4.9599999999999998E-2</v>
      </c>
      <c r="AL7" s="32">
        <v>4.2500000000000003E-2</v>
      </c>
      <c r="AM7" s="32">
        <v>4.8302612499999988E-2</v>
      </c>
      <c r="AN7" s="32">
        <v>4.8895072222222211E-2</v>
      </c>
      <c r="AO7" s="32">
        <v>4.9446100833333319E-2</v>
      </c>
      <c r="AP7" s="32">
        <v>4.972207E-2</v>
      </c>
      <c r="AQ7" s="32">
        <v>5.0880700277777774E-2</v>
      </c>
      <c r="AR7" s="32">
        <v>5.1673749444444445E-2</v>
      </c>
      <c r="AS7" s="32">
        <v>5.248772222222222E-2</v>
      </c>
      <c r="AT7" s="32">
        <v>5.3362518055555558E-2</v>
      </c>
      <c r="AU7" s="32">
        <v>5.4082963333333324E-2</v>
      </c>
      <c r="AV7" s="32">
        <v>5.4846905277777774E-2</v>
      </c>
      <c r="AW7" s="32">
        <v>5.567993416666666E-2</v>
      </c>
      <c r="AX7" s="32">
        <v>5.664834833333332E-2</v>
      </c>
      <c r="AY7" s="32">
        <v>6.5958050000000004E-2</v>
      </c>
      <c r="AZ7" s="32">
        <v>6.3708180000000003E-2</v>
      </c>
      <c r="BA7" s="32">
        <v>6.5301559999999995E-2</v>
      </c>
      <c r="BB7" s="32">
        <v>6.2964699999999998E-2</v>
      </c>
      <c r="BC7" s="32">
        <v>6.1427560000000006E-2</v>
      </c>
      <c r="BD7" s="32">
        <v>5.8818219999999997E-2</v>
      </c>
      <c r="BE7" s="32">
        <v>5.6139520000000005E-2</v>
      </c>
      <c r="BF7" s="32">
        <v>5.1722200000000003E-2</v>
      </c>
      <c r="BG7" s="32">
        <v>4.8987930000000006E-2</v>
      </c>
      <c r="BJ7" s="31">
        <v>2012</v>
      </c>
      <c r="BK7" s="34">
        <v>5.1299999999999998E-2</v>
      </c>
      <c r="BM7" s="23">
        <v>2013</v>
      </c>
      <c r="BN7" s="24">
        <f t="shared" ref="BN7:CQ7" si="38">1-(1 - BN27)^(1/12)</f>
        <v>4.2653187775606449E-3</v>
      </c>
      <c r="BO7" s="24">
        <f t="shared" si="38"/>
        <v>4.2653187775606449E-3</v>
      </c>
      <c r="BP7" s="24">
        <f t="shared" si="38"/>
        <v>4.2653187775606449E-3</v>
      </c>
      <c r="BQ7" s="24">
        <f t="shared" si="38"/>
        <v>4.2653187775606449E-3</v>
      </c>
      <c r="BR7" s="24">
        <f t="shared" si="38"/>
        <v>4.2653187775606449E-3</v>
      </c>
      <c r="BS7" s="24">
        <f t="shared" si="38"/>
        <v>4.2653187775606449E-3</v>
      </c>
      <c r="BT7" s="24">
        <f t="shared" si="38"/>
        <v>4.2653187775606449E-3</v>
      </c>
      <c r="BU7" s="24">
        <f t="shared" si="38"/>
        <v>4.2653187775606449E-3</v>
      </c>
      <c r="BV7" s="24">
        <f t="shared" si="38"/>
        <v>4.2653187775606449E-3</v>
      </c>
      <c r="BW7" s="24">
        <f t="shared" si="38"/>
        <v>4.2653187775606449E-3</v>
      </c>
      <c r="BX7" s="24">
        <f t="shared" si="38"/>
        <v>4.2653187775606449E-3</v>
      </c>
      <c r="BY7" s="24">
        <f t="shared" si="38"/>
        <v>4.2653187775606449E-3</v>
      </c>
      <c r="BZ7" s="24">
        <f t="shared" si="38"/>
        <v>4.2653187775606449E-3</v>
      </c>
      <c r="CA7" s="24">
        <f t="shared" si="38"/>
        <v>4.2653187775606449E-3</v>
      </c>
      <c r="CB7" s="24">
        <f t="shared" si="38"/>
        <v>4.2653187775606449E-3</v>
      </c>
      <c r="CC7" s="24">
        <f t="shared" si="38"/>
        <v>4.2653187775606449E-3</v>
      </c>
      <c r="CD7" s="24">
        <f t="shared" si="38"/>
        <v>4.2653187775606449E-3</v>
      </c>
      <c r="CE7" s="24">
        <f t="shared" si="38"/>
        <v>4.2653187775606449E-3</v>
      </c>
      <c r="CF7" s="24">
        <f t="shared" si="38"/>
        <v>4.2653187775606449E-3</v>
      </c>
      <c r="CG7" s="24">
        <f t="shared" si="38"/>
        <v>4.2653187775606449E-3</v>
      </c>
      <c r="CH7" s="24">
        <f t="shared" si="38"/>
        <v>4.2653187775606449E-3</v>
      </c>
      <c r="CI7" s="24">
        <f t="shared" si="38"/>
        <v>4.2653187775606449E-3</v>
      </c>
      <c r="CJ7" s="24">
        <f t="shared" si="38"/>
        <v>4.2653187775606449E-3</v>
      </c>
      <c r="CK7" s="24">
        <f t="shared" si="38"/>
        <v>4.2653187775606449E-3</v>
      </c>
      <c r="CL7" s="24">
        <f t="shared" si="38"/>
        <v>4.2653187775606449E-3</v>
      </c>
      <c r="CM7" s="24">
        <f t="shared" si="38"/>
        <v>4.2653187775606449E-3</v>
      </c>
      <c r="CN7" s="24">
        <f t="shared" si="38"/>
        <v>4.2653187775606449E-3</v>
      </c>
      <c r="CO7" s="24">
        <f t="shared" si="38"/>
        <v>4.2653187775606449E-3</v>
      </c>
      <c r="CP7" s="24">
        <f t="shared" si="38"/>
        <v>4.2653187775606449E-3</v>
      </c>
      <c r="CQ7" s="24">
        <f t="shared" si="38"/>
        <v>4.2653187775606449E-3</v>
      </c>
      <c r="CS7" s="14">
        <f t="shared" si="30"/>
        <v>2008</v>
      </c>
      <c r="CT7" s="15">
        <v>0.05</v>
      </c>
      <c r="CU7" s="15">
        <v>0.05</v>
      </c>
      <c r="CV7" s="15">
        <v>0</v>
      </c>
    </row>
    <row r="8" spans="1:100" x14ac:dyDescent="0.2">
      <c r="A8" s="14">
        <v>2013</v>
      </c>
      <c r="B8" s="25">
        <v>2</v>
      </c>
      <c r="E8" s="6">
        <v>2</v>
      </c>
      <c r="F8" s="26">
        <v>6.3000000000000003E-4</v>
      </c>
      <c r="G8" s="27">
        <v>4.2000000000000002E-4</v>
      </c>
      <c r="H8" s="27">
        <f t="shared" si="31"/>
        <v>4.2000000000000002E-4</v>
      </c>
      <c r="I8" s="28">
        <f t="shared" si="25"/>
        <v>3.5006739308451884E-5</v>
      </c>
      <c r="J8" s="27">
        <f t="shared" si="32"/>
        <v>4.2000000000000002E-4</v>
      </c>
      <c r="K8" s="28">
        <f t="shared" si="26"/>
        <v>3.5006739308451884E-5</v>
      </c>
      <c r="L8" s="27">
        <f t="shared" si="33"/>
        <v>4.2000000000000002E-4</v>
      </c>
      <c r="M8" s="28">
        <f t="shared" si="27"/>
        <v>3.5006739308451884E-5</v>
      </c>
      <c r="N8" s="27">
        <f t="shared" si="34"/>
        <v>4.2000000000000002E-4</v>
      </c>
      <c r="O8" s="28">
        <f t="shared" si="28"/>
        <v>3.5006739308451884E-5</v>
      </c>
      <c r="P8" s="5">
        <v>4.0000000000000002E-4</v>
      </c>
      <c r="Q8" s="28">
        <f t="shared" si="35"/>
        <v>3.3339446006586115E-5</v>
      </c>
      <c r="R8" s="5">
        <v>9.8999999999999999E-4</v>
      </c>
      <c r="S8" s="28">
        <f t="shared" si="36"/>
        <v>8.2537458069298353E-5</v>
      </c>
      <c r="T8" s="30">
        <v>9.0000000000000006E-5</v>
      </c>
      <c r="U8" s="28">
        <f t="shared" si="37"/>
        <v>7.5003093927827891E-6</v>
      </c>
      <c r="V8" s="5">
        <v>4.0000000000000002E-4</v>
      </c>
      <c r="W8" s="28">
        <f>1-(1 - V8)^(1/12)</f>
        <v>3.3339446006586115E-5</v>
      </c>
      <c r="Z8" s="31">
        <v>2</v>
      </c>
      <c r="AA8" s="32">
        <v>4.5400000000000003E-2</v>
      </c>
      <c r="AB8" s="32">
        <v>5.7700000000000001E-2</v>
      </c>
      <c r="AC8" s="32">
        <v>6.54E-2</v>
      </c>
      <c r="AD8" s="32">
        <v>7.6999999999999999E-2</v>
      </c>
      <c r="AE8" s="32">
        <v>7.0900000000000005E-2</v>
      </c>
      <c r="AF8" s="32">
        <v>6.25E-2</v>
      </c>
      <c r="AG8" s="32">
        <v>6.7000000000000004E-2</v>
      </c>
      <c r="AH8" s="32">
        <v>6.5199999999999994E-2</v>
      </c>
      <c r="AI8" s="32">
        <v>5.21E-2</v>
      </c>
      <c r="AJ8" s="32">
        <v>4.3299999999999998E-2</v>
      </c>
      <c r="AK8" s="32">
        <v>5.4399999999999997E-2</v>
      </c>
      <c r="AL8" s="32">
        <v>4.9200000000000001E-2</v>
      </c>
      <c r="AM8" s="32">
        <v>5.342450805555557E-2</v>
      </c>
      <c r="AN8" s="32">
        <v>5.3873287222222233E-2</v>
      </c>
      <c r="AO8" s="32">
        <v>5.4282700833333343E-2</v>
      </c>
      <c r="AP8" s="32">
        <v>5.4507380285714301E-2</v>
      </c>
      <c r="AQ8" s="32">
        <v>5.5535065833333341E-2</v>
      </c>
      <c r="AR8" s="32">
        <v>5.6195236944444463E-2</v>
      </c>
      <c r="AS8" s="32">
        <v>5.6864324722222227E-2</v>
      </c>
      <c r="AT8" s="32">
        <v>5.7532513055555554E-2</v>
      </c>
      <c r="AU8" s="32">
        <v>5.8077628611111126E-2</v>
      </c>
      <c r="AV8" s="32">
        <v>5.8726504166666672E-2</v>
      </c>
      <c r="AW8" s="32">
        <v>5.9454291111111134E-2</v>
      </c>
      <c r="AX8" s="32">
        <v>6.0283300555555579E-2</v>
      </c>
      <c r="AY8" s="32">
        <v>6.7200319999999994E-2</v>
      </c>
      <c r="AZ8" s="32">
        <v>6.5051639999999994E-2</v>
      </c>
      <c r="BA8" s="32">
        <v>6.6135650000000004E-2</v>
      </c>
      <c r="BB8" s="32">
        <v>6.3712829999999998E-2</v>
      </c>
      <c r="BC8" s="32">
        <v>6.2097100000000002E-2</v>
      </c>
      <c r="BD8" s="32">
        <v>6.025138E-2</v>
      </c>
      <c r="BE8" s="32">
        <v>5.7847379999999997E-2</v>
      </c>
      <c r="BF8" s="32">
        <v>5.3501640000000003E-2</v>
      </c>
      <c r="BG8" s="32">
        <v>5.0410890000000007E-2</v>
      </c>
      <c r="BJ8" s="31">
        <v>2013</v>
      </c>
      <c r="BK8" s="34">
        <v>4.9299999999999997E-2</v>
      </c>
      <c r="BM8" s="23">
        <v>2014</v>
      </c>
      <c r="BN8" s="24">
        <f t="shared" ref="BN8:CQ8" si="39">1-(1 - BN28)^(1/12)</f>
        <v>4.2653187775606449E-3</v>
      </c>
      <c r="BO8" s="24">
        <f t="shared" si="39"/>
        <v>4.2653187775606449E-3</v>
      </c>
      <c r="BP8" s="24">
        <f t="shared" si="39"/>
        <v>4.2653187775606449E-3</v>
      </c>
      <c r="BQ8" s="24">
        <f t="shared" si="39"/>
        <v>4.2653187775606449E-3</v>
      </c>
      <c r="BR8" s="24">
        <f t="shared" si="39"/>
        <v>4.2653187775606449E-3</v>
      </c>
      <c r="BS8" s="24">
        <f t="shared" si="39"/>
        <v>4.2653187775606449E-3</v>
      </c>
      <c r="BT8" s="24">
        <f t="shared" si="39"/>
        <v>4.2653187775606449E-3</v>
      </c>
      <c r="BU8" s="24">
        <f t="shared" si="39"/>
        <v>4.2653187775606449E-3</v>
      </c>
      <c r="BV8" s="24">
        <f t="shared" si="39"/>
        <v>4.2653187775606449E-3</v>
      </c>
      <c r="BW8" s="24">
        <f t="shared" si="39"/>
        <v>4.2653187775606449E-3</v>
      </c>
      <c r="BX8" s="24">
        <f t="shared" si="39"/>
        <v>4.2653187775606449E-3</v>
      </c>
      <c r="BY8" s="24">
        <f t="shared" si="39"/>
        <v>4.2653187775606449E-3</v>
      </c>
      <c r="BZ8" s="24">
        <f t="shared" si="39"/>
        <v>4.2653187775606449E-3</v>
      </c>
      <c r="CA8" s="24">
        <f t="shared" si="39"/>
        <v>4.2653187775606449E-3</v>
      </c>
      <c r="CB8" s="24">
        <f t="shared" si="39"/>
        <v>4.2653187775606449E-3</v>
      </c>
      <c r="CC8" s="24">
        <f t="shared" si="39"/>
        <v>4.2653187775606449E-3</v>
      </c>
      <c r="CD8" s="24">
        <f t="shared" si="39"/>
        <v>4.2653187775606449E-3</v>
      </c>
      <c r="CE8" s="24">
        <f t="shared" si="39"/>
        <v>4.2653187775606449E-3</v>
      </c>
      <c r="CF8" s="24">
        <f t="shared" si="39"/>
        <v>4.2653187775606449E-3</v>
      </c>
      <c r="CG8" s="24">
        <f t="shared" si="39"/>
        <v>4.2653187775606449E-3</v>
      </c>
      <c r="CH8" s="24">
        <f t="shared" si="39"/>
        <v>4.2653187775606449E-3</v>
      </c>
      <c r="CI8" s="24">
        <f t="shared" si="39"/>
        <v>4.2653187775606449E-3</v>
      </c>
      <c r="CJ8" s="24">
        <f t="shared" si="39"/>
        <v>4.2653187775606449E-3</v>
      </c>
      <c r="CK8" s="24">
        <f t="shared" si="39"/>
        <v>4.2653187775606449E-3</v>
      </c>
      <c r="CL8" s="24">
        <f t="shared" si="39"/>
        <v>4.2653187775606449E-3</v>
      </c>
      <c r="CM8" s="24">
        <f t="shared" si="39"/>
        <v>4.2653187775606449E-3</v>
      </c>
      <c r="CN8" s="24">
        <f t="shared" si="39"/>
        <v>4.2653187775606449E-3</v>
      </c>
      <c r="CO8" s="24">
        <f t="shared" si="39"/>
        <v>4.2653187775606449E-3</v>
      </c>
      <c r="CP8" s="24">
        <f t="shared" si="39"/>
        <v>4.2653187775606449E-3</v>
      </c>
      <c r="CQ8" s="24">
        <f t="shared" si="39"/>
        <v>4.2653187775606449E-3</v>
      </c>
      <c r="CS8" s="14">
        <f t="shared" si="30"/>
        <v>2009</v>
      </c>
      <c r="CT8" s="15">
        <v>0.05</v>
      </c>
      <c r="CU8" s="15">
        <v>0.05</v>
      </c>
      <c r="CV8" s="15">
        <v>0</v>
      </c>
    </row>
    <row r="9" spans="1:100" x14ac:dyDescent="0.2">
      <c r="A9" s="14">
        <v>2014</v>
      </c>
      <c r="B9" s="25">
        <v>2</v>
      </c>
      <c r="E9" s="6">
        <v>3</v>
      </c>
      <c r="F9" s="26">
        <v>5.1000000000000004E-4</v>
      </c>
      <c r="G9" s="27">
        <v>3.4000000000000002E-4</v>
      </c>
      <c r="H9" s="27">
        <f t="shared" si="31"/>
        <v>3.4000000000000002E-4</v>
      </c>
      <c r="I9" s="28">
        <f t="shared" si="25"/>
        <v>2.8337749570450654E-5</v>
      </c>
      <c r="J9" s="27">
        <f t="shared" si="32"/>
        <v>3.4000000000000002E-4</v>
      </c>
      <c r="K9" s="28">
        <f t="shared" si="26"/>
        <v>2.8337749570450654E-5</v>
      </c>
      <c r="L9" s="27">
        <f t="shared" si="33"/>
        <v>3.4000000000000002E-4</v>
      </c>
      <c r="M9" s="28">
        <f t="shared" si="27"/>
        <v>2.8337749570450654E-5</v>
      </c>
      <c r="N9" s="27">
        <f t="shared" si="34"/>
        <v>3.4000000000000002E-4</v>
      </c>
      <c r="O9" s="28">
        <f t="shared" si="28"/>
        <v>2.8337749570450654E-5</v>
      </c>
      <c r="P9" s="5">
        <v>4.0000000000000002E-4</v>
      </c>
      <c r="Q9" s="28">
        <f t="shared" si="35"/>
        <v>3.3339446006586115E-5</v>
      </c>
      <c r="R9" s="5">
        <v>9.8999999999999999E-4</v>
      </c>
      <c r="S9" s="28">
        <f t="shared" si="36"/>
        <v>8.2537458069298353E-5</v>
      </c>
      <c r="T9" s="30">
        <v>9.0000000000000006E-5</v>
      </c>
      <c r="U9" s="28">
        <f t="shared" si="37"/>
        <v>7.5003093927827891E-6</v>
      </c>
      <c r="V9" s="5">
        <v>4.0000000000000002E-4</v>
      </c>
      <c r="W9" s="28">
        <f>1-(1 - V9)^(1/12)</f>
        <v>3.3339446006586115E-5</v>
      </c>
      <c r="Z9" s="31">
        <v>3</v>
      </c>
      <c r="AA9" s="32">
        <v>4.5999999999999999E-2</v>
      </c>
      <c r="AB9" s="32">
        <v>5.8900000000000001E-2</v>
      </c>
      <c r="AC9" s="32">
        <v>6.6699999999999995E-2</v>
      </c>
      <c r="AD9" s="32">
        <v>7.9200000000000007E-2</v>
      </c>
      <c r="AE9" s="32">
        <v>7.2999999999999995E-2</v>
      </c>
      <c r="AF9" s="32">
        <v>6.4899999999999999E-2</v>
      </c>
      <c r="AG9" s="32">
        <v>6.9500000000000006E-2</v>
      </c>
      <c r="AH9" s="32">
        <v>6.7799999999999999E-2</v>
      </c>
      <c r="AI9" s="32">
        <v>5.6800000000000003E-2</v>
      </c>
      <c r="AJ9" s="32">
        <v>4.8000000000000001E-2</v>
      </c>
      <c r="AK9" s="32">
        <v>5.79E-2</v>
      </c>
      <c r="AL9" s="32">
        <v>5.3699999999999998E-2</v>
      </c>
      <c r="AM9" s="32">
        <v>5.6797233888888889E-2</v>
      </c>
      <c r="AN9" s="32">
        <v>5.7131480277777778E-2</v>
      </c>
      <c r="AO9" s="32">
        <v>5.7431070000000001E-2</v>
      </c>
      <c r="AP9" s="32">
        <v>5.7606305999999996E-2</v>
      </c>
      <c r="AQ9" s="32">
        <v>5.8464310555555565E-2</v>
      </c>
      <c r="AR9" s="32">
        <v>5.9005011666666655E-2</v>
      </c>
      <c r="AS9" s="32">
        <v>5.9566771388888891E-2</v>
      </c>
      <c r="AT9" s="32">
        <v>6.0100542222222234E-2</v>
      </c>
      <c r="AU9" s="32">
        <v>6.0534686944444444E-2</v>
      </c>
      <c r="AV9" s="32">
        <v>6.1083697777777779E-2</v>
      </c>
      <c r="AW9" s="32">
        <v>6.1702788611111108E-2</v>
      </c>
      <c r="AX9" s="32">
        <v>6.2395713055555552E-2</v>
      </c>
      <c r="AY9" s="32">
        <v>6.7652710000000005E-2</v>
      </c>
      <c r="AZ9" s="32">
        <v>6.5961470000000008E-2</v>
      </c>
      <c r="BA9" s="32">
        <v>6.6756789999999996E-2</v>
      </c>
      <c r="BB9" s="32">
        <v>6.4479919999999996E-2</v>
      </c>
      <c r="BC9" s="32">
        <v>6.3001050000000003E-2</v>
      </c>
      <c r="BD9" s="32">
        <v>6.148439E-2</v>
      </c>
      <c r="BE9" s="32">
        <v>5.948531E-2</v>
      </c>
      <c r="BF9" s="32">
        <v>5.5264769999999998E-2</v>
      </c>
      <c r="BG9" s="32">
        <v>5.2269680000000006E-2</v>
      </c>
      <c r="BJ9" s="31">
        <v>2014</v>
      </c>
      <c r="BK9" s="34">
        <v>5.5399999999999998E-2</v>
      </c>
      <c r="BM9" s="23">
        <v>2015</v>
      </c>
      <c r="BN9" s="24">
        <f t="shared" ref="BN9:CQ9" si="40">1-(1 - BN29)^(1/12)</f>
        <v>4.2653187775606449E-3</v>
      </c>
      <c r="BO9" s="24">
        <f t="shared" si="40"/>
        <v>4.2653187775606449E-3</v>
      </c>
      <c r="BP9" s="24">
        <f t="shared" si="40"/>
        <v>4.2653187775606449E-3</v>
      </c>
      <c r="BQ9" s="24">
        <f t="shared" si="40"/>
        <v>4.2653187775606449E-3</v>
      </c>
      <c r="BR9" s="24">
        <f t="shared" si="40"/>
        <v>4.2653187775606449E-3</v>
      </c>
      <c r="BS9" s="24">
        <f t="shared" si="40"/>
        <v>4.2653187775606449E-3</v>
      </c>
      <c r="BT9" s="24">
        <f t="shared" si="40"/>
        <v>4.2653187775606449E-3</v>
      </c>
      <c r="BU9" s="24">
        <f t="shared" si="40"/>
        <v>4.2653187775606449E-3</v>
      </c>
      <c r="BV9" s="24">
        <f t="shared" si="40"/>
        <v>4.2653187775606449E-3</v>
      </c>
      <c r="BW9" s="24">
        <f t="shared" si="40"/>
        <v>4.2653187775606449E-3</v>
      </c>
      <c r="BX9" s="24">
        <f t="shared" si="40"/>
        <v>4.2653187775606449E-3</v>
      </c>
      <c r="BY9" s="24">
        <f t="shared" si="40"/>
        <v>4.2653187775606449E-3</v>
      </c>
      <c r="BZ9" s="24">
        <f t="shared" si="40"/>
        <v>4.2653187775606449E-3</v>
      </c>
      <c r="CA9" s="24">
        <f t="shared" si="40"/>
        <v>4.2653187775606449E-3</v>
      </c>
      <c r="CB9" s="24">
        <f t="shared" si="40"/>
        <v>4.2653187775606449E-3</v>
      </c>
      <c r="CC9" s="24">
        <f t="shared" si="40"/>
        <v>4.2653187775606449E-3</v>
      </c>
      <c r="CD9" s="24">
        <f t="shared" si="40"/>
        <v>4.2653187775606449E-3</v>
      </c>
      <c r="CE9" s="24">
        <f t="shared" si="40"/>
        <v>4.2653187775606449E-3</v>
      </c>
      <c r="CF9" s="24">
        <f t="shared" si="40"/>
        <v>4.2653187775606449E-3</v>
      </c>
      <c r="CG9" s="24">
        <f t="shared" si="40"/>
        <v>4.2653187775606449E-3</v>
      </c>
      <c r="CH9" s="24">
        <f t="shared" si="40"/>
        <v>4.2653187775606449E-3</v>
      </c>
      <c r="CI9" s="24">
        <f t="shared" si="40"/>
        <v>4.2653187775606449E-3</v>
      </c>
      <c r="CJ9" s="24">
        <f t="shared" si="40"/>
        <v>4.2653187775606449E-3</v>
      </c>
      <c r="CK9" s="24">
        <f t="shared" si="40"/>
        <v>4.2653187775606449E-3</v>
      </c>
      <c r="CL9" s="24">
        <f t="shared" si="40"/>
        <v>4.2653187775606449E-3</v>
      </c>
      <c r="CM9" s="24">
        <f t="shared" si="40"/>
        <v>4.2653187775606449E-3</v>
      </c>
      <c r="CN9" s="24">
        <f t="shared" si="40"/>
        <v>4.2653187775606449E-3</v>
      </c>
      <c r="CO9" s="24">
        <f t="shared" si="40"/>
        <v>4.2653187775606449E-3</v>
      </c>
      <c r="CP9" s="24">
        <f t="shared" si="40"/>
        <v>4.2653187775606449E-3</v>
      </c>
      <c r="CQ9" s="24">
        <f t="shared" si="40"/>
        <v>4.2653187775606449E-3</v>
      </c>
      <c r="CS9" s="14">
        <f t="shared" si="30"/>
        <v>2010</v>
      </c>
      <c r="CT9" s="15">
        <v>0.05</v>
      </c>
      <c r="CU9" s="15">
        <v>0.05</v>
      </c>
      <c r="CV9" s="15">
        <v>0</v>
      </c>
    </row>
    <row r="10" spans="1:100" x14ac:dyDescent="0.2">
      <c r="A10" s="14">
        <v>2015</v>
      </c>
      <c r="B10" s="25">
        <v>2</v>
      </c>
      <c r="E10" s="6">
        <v>4</v>
      </c>
      <c r="F10" s="26">
        <v>4.2999999999999999E-4</v>
      </c>
      <c r="G10" s="27">
        <v>2.9E-4</v>
      </c>
      <c r="H10" s="27">
        <f t="shared" si="31"/>
        <v>2.9E-4</v>
      </c>
      <c r="I10" s="28">
        <f t="shared" si="25"/>
        <v>2.4169879414670525E-5</v>
      </c>
      <c r="J10" s="27">
        <f t="shared" si="32"/>
        <v>2.9E-4</v>
      </c>
      <c r="K10" s="28">
        <f t="shared" si="26"/>
        <v>2.4169879414670525E-5</v>
      </c>
      <c r="L10" s="27">
        <f t="shared" si="33"/>
        <v>2.9E-4</v>
      </c>
      <c r="M10" s="28">
        <f t="shared" si="27"/>
        <v>2.4169879414670525E-5</v>
      </c>
      <c r="N10" s="27">
        <f t="shared" si="34"/>
        <v>2.9E-4</v>
      </c>
      <c r="O10" s="28">
        <f t="shared" si="28"/>
        <v>2.4169879414670525E-5</v>
      </c>
      <c r="P10" s="5">
        <v>4.0000000000000002E-4</v>
      </c>
      <c r="Q10" s="28">
        <f t="shared" si="35"/>
        <v>3.3339446006586115E-5</v>
      </c>
      <c r="R10" s="5">
        <v>9.8999999999999999E-4</v>
      </c>
      <c r="S10" s="28">
        <f t="shared" si="36"/>
        <v>8.2537458069298353E-5</v>
      </c>
      <c r="T10" s="30">
        <v>9.0000000000000006E-5</v>
      </c>
      <c r="U10" s="28">
        <f t="shared" si="37"/>
        <v>7.5003093927827891E-6</v>
      </c>
      <c r="V10" s="5">
        <v>4.0000000000000002E-4</v>
      </c>
      <c r="W10" s="28">
        <f t="shared" ref="W10:W69" si="41">1-(1 - V10)^(1/12)</f>
        <v>3.3339446006586115E-5</v>
      </c>
      <c r="Z10" s="31">
        <v>4</v>
      </c>
      <c r="AA10" s="32">
        <v>4.6300000000000001E-2</v>
      </c>
      <c r="AB10" s="32">
        <v>5.9499999999999997E-2</v>
      </c>
      <c r="AC10" s="32">
        <v>6.7500000000000004E-2</v>
      </c>
      <c r="AD10" s="32">
        <v>8.0399999999999999E-2</v>
      </c>
      <c r="AE10" s="32">
        <v>7.4099999999999999E-2</v>
      </c>
      <c r="AF10" s="32">
        <v>6.6100000000000006E-2</v>
      </c>
      <c r="AG10" s="32">
        <v>7.0800000000000002E-2</v>
      </c>
      <c r="AH10" s="32">
        <v>6.93E-2</v>
      </c>
      <c r="AI10" s="32">
        <v>6.0299999999999999E-2</v>
      </c>
      <c r="AJ10" s="32">
        <v>5.1799999999999999E-2</v>
      </c>
      <c r="AK10" s="32">
        <v>6.08E-2</v>
      </c>
      <c r="AL10" s="32">
        <v>5.7200000000000001E-2</v>
      </c>
      <c r="AM10" s="32">
        <v>5.9392692499999997E-2</v>
      </c>
      <c r="AN10" s="32">
        <v>5.9634908055555561E-2</v>
      </c>
      <c r="AO10" s="32">
        <v>5.9848000277777764E-2</v>
      </c>
      <c r="AP10" s="32">
        <v>5.9986226000000004E-2</v>
      </c>
      <c r="AQ10" s="32">
        <v>6.0688730833333322E-2</v>
      </c>
      <c r="AR10" s="32">
        <v>6.1139960555555553E-2</v>
      </c>
      <c r="AS10" s="32">
        <v>6.1615254166666661E-2</v>
      </c>
      <c r="AT10" s="32">
        <v>6.2053300000000006E-2</v>
      </c>
      <c r="AU10" s="32">
        <v>6.2403726944444446E-2</v>
      </c>
      <c r="AV10" s="32">
        <v>6.2867456111111136E-2</v>
      </c>
      <c r="AW10" s="32">
        <v>6.3384860555555561E-2</v>
      </c>
      <c r="AX10" s="32">
        <v>6.395495000000001E-2</v>
      </c>
      <c r="AY10" s="32">
        <v>6.8018889999999999E-2</v>
      </c>
      <c r="AZ10" s="32">
        <v>6.6660289999999997E-2</v>
      </c>
      <c r="BA10" s="32">
        <v>6.753178E-2</v>
      </c>
      <c r="BB10" s="32">
        <v>6.5273589999999992E-2</v>
      </c>
      <c r="BC10" s="32">
        <v>6.4009010000000005E-2</v>
      </c>
      <c r="BD10" s="32">
        <v>6.2591519999999998E-2</v>
      </c>
      <c r="BE10" s="32">
        <v>6.1019949999999996E-2</v>
      </c>
      <c r="BF10" s="32">
        <v>5.7043169999999997E-2</v>
      </c>
      <c r="BG10" s="32">
        <v>5.4450810000000002E-2</v>
      </c>
      <c r="BJ10" s="31">
        <v>2015</v>
      </c>
      <c r="BK10" s="34">
        <v>5.8899999999999994E-2</v>
      </c>
      <c r="BM10" s="23">
        <v>2016</v>
      </c>
      <c r="BN10" s="24">
        <f t="shared" ref="BN10:CQ10" si="42">1-(1 - BN30)^(1/12)</f>
        <v>4.2653187775606449E-3</v>
      </c>
      <c r="BO10" s="24">
        <f t="shared" si="42"/>
        <v>4.2653187775606449E-3</v>
      </c>
      <c r="BP10" s="24">
        <f t="shared" si="42"/>
        <v>4.2653187775606449E-3</v>
      </c>
      <c r="BQ10" s="24">
        <f t="shared" si="42"/>
        <v>4.2653187775606449E-3</v>
      </c>
      <c r="BR10" s="24">
        <f t="shared" si="42"/>
        <v>4.2653187775606449E-3</v>
      </c>
      <c r="BS10" s="24">
        <f t="shared" si="42"/>
        <v>4.2653187775606449E-3</v>
      </c>
      <c r="BT10" s="24">
        <f t="shared" si="42"/>
        <v>4.2653187775606449E-3</v>
      </c>
      <c r="BU10" s="24">
        <f t="shared" si="42"/>
        <v>4.2653187775606449E-3</v>
      </c>
      <c r="BV10" s="24">
        <f t="shared" si="42"/>
        <v>4.2653187775606449E-3</v>
      </c>
      <c r="BW10" s="24">
        <f t="shared" si="42"/>
        <v>4.2653187775606449E-3</v>
      </c>
      <c r="BX10" s="24">
        <f t="shared" si="42"/>
        <v>4.2653187775606449E-3</v>
      </c>
      <c r="BY10" s="24">
        <f t="shared" si="42"/>
        <v>4.2653187775606449E-3</v>
      </c>
      <c r="BZ10" s="24">
        <f t="shared" si="42"/>
        <v>4.2653187775606449E-3</v>
      </c>
      <c r="CA10" s="24">
        <f t="shared" si="42"/>
        <v>4.2653187775606449E-3</v>
      </c>
      <c r="CB10" s="24">
        <f t="shared" si="42"/>
        <v>4.2653187775606449E-3</v>
      </c>
      <c r="CC10" s="24">
        <f t="shared" si="42"/>
        <v>4.2653187775606449E-3</v>
      </c>
      <c r="CD10" s="24">
        <f t="shared" si="42"/>
        <v>4.2653187775606449E-3</v>
      </c>
      <c r="CE10" s="24">
        <f t="shared" si="42"/>
        <v>4.2653187775606449E-3</v>
      </c>
      <c r="CF10" s="24">
        <f t="shared" si="42"/>
        <v>4.2653187775606449E-3</v>
      </c>
      <c r="CG10" s="24">
        <f t="shared" si="42"/>
        <v>4.2653187775606449E-3</v>
      </c>
      <c r="CH10" s="24">
        <f t="shared" si="42"/>
        <v>4.2653187775606449E-3</v>
      </c>
      <c r="CI10" s="24">
        <f t="shared" si="42"/>
        <v>4.2653187775606449E-3</v>
      </c>
      <c r="CJ10" s="24">
        <f t="shared" si="42"/>
        <v>4.2653187775606449E-3</v>
      </c>
      <c r="CK10" s="24">
        <f t="shared" si="42"/>
        <v>4.2653187775606449E-3</v>
      </c>
      <c r="CL10" s="24">
        <f t="shared" si="42"/>
        <v>4.2653187775606449E-3</v>
      </c>
      <c r="CM10" s="24">
        <f t="shared" si="42"/>
        <v>4.2653187775606449E-3</v>
      </c>
      <c r="CN10" s="24">
        <f t="shared" si="42"/>
        <v>4.2653187775606449E-3</v>
      </c>
      <c r="CO10" s="24">
        <f t="shared" si="42"/>
        <v>4.2653187775606449E-3</v>
      </c>
      <c r="CP10" s="24">
        <f t="shared" si="42"/>
        <v>4.2653187775606449E-3</v>
      </c>
      <c r="CQ10" s="24">
        <f t="shared" si="42"/>
        <v>4.2653187775606449E-3</v>
      </c>
      <c r="CS10" s="14">
        <f t="shared" si="30"/>
        <v>2011</v>
      </c>
      <c r="CT10" s="15">
        <v>0.05</v>
      </c>
      <c r="CU10" s="15">
        <v>0.05</v>
      </c>
      <c r="CV10" s="15">
        <v>0</v>
      </c>
    </row>
    <row r="11" spans="1:100" x14ac:dyDescent="0.2">
      <c r="A11" s="14">
        <v>2016</v>
      </c>
      <c r="B11" s="25">
        <v>2</v>
      </c>
      <c r="E11" s="6">
        <v>5</v>
      </c>
      <c r="F11" s="26">
        <v>3.8000000000000002E-4</v>
      </c>
      <c r="G11" s="27">
        <v>2.5999999999999998E-4</v>
      </c>
      <c r="H11" s="27">
        <f t="shared" si="31"/>
        <v>2.5999999999999998E-4</v>
      </c>
      <c r="I11" s="28">
        <f t="shared" si="25"/>
        <v>2.1669249040123795E-5</v>
      </c>
      <c r="J11" s="27">
        <f t="shared" si="32"/>
        <v>2.5999999999999998E-4</v>
      </c>
      <c r="K11" s="28">
        <f t="shared" si="26"/>
        <v>2.1669249040123795E-5</v>
      </c>
      <c r="L11" s="27">
        <f t="shared" si="33"/>
        <v>2.5999999999999998E-4</v>
      </c>
      <c r="M11" s="28">
        <f t="shared" si="27"/>
        <v>2.1669249040123795E-5</v>
      </c>
      <c r="N11" s="27">
        <f t="shared" si="34"/>
        <v>2.5999999999999998E-4</v>
      </c>
      <c r="O11" s="28">
        <f t="shared" si="28"/>
        <v>2.1669249040123795E-5</v>
      </c>
      <c r="P11" s="5">
        <v>4.0000000000000002E-4</v>
      </c>
      <c r="Q11" s="28">
        <f t="shared" si="35"/>
        <v>3.3339446006586115E-5</v>
      </c>
      <c r="R11" s="5">
        <v>9.8999999999999999E-4</v>
      </c>
      <c r="S11" s="28">
        <f t="shared" si="36"/>
        <v>8.2537458069298353E-5</v>
      </c>
      <c r="T11" s="30">
        <v>9.0000000000000006E-5</v>
      </c>
      <c r="U11" s="28">
        <f t="shared" si="37"/>
        <v>7.5003093927827891E-6</v>
      </c>
      <c r="V11" s="5">
        <v>4.0000000000000002E-4</v>
      </c>
      <c r="W11" s="28">
        <f t="shared" si="41"/>
        <v>3.3339446006586115E-5</v>
      </c>
      <c r="Z11" s="31">
        <v>5</v>
      </c>
      <c r="AA11" s="32">
        <v>4.7E-2</v>
      </c>
      <c r="AB11" s="32">
        <v>6.0199999999999997E-2</v>
      </c>
      <c r="AC11" s="32">
        <v>6.83E-2</v>
      </c>
      <c r="AD11" s="32">
        <v>8.1000000000000003E-2</v>
      </c>
      <c r="AE11" s="32">
        <v>7.4800000000000005E-2</v>
      </c>
      <c r="AF11" s="32">
        <v>6.6900000000000001E-2</v>
      </c>
      <c r="AG11" s="32">
        <v>7.17E-2</v>
      </c>
      <c r="AH11" s="32">
        <v>7.0400000000000004E-2</v>
      </c>
      <c r="AI11" s="32">
        <v>6.3E-2</v>
      </c>
      <c r="AJ11" s="32">
        <v>5.5E-2</v>
      </c>
      <c r="AK11" s="32">
        <v>6.3200000000000006E-2</v>
      </c>
      <c r="AL11" s="32">
        <v>0.06</v>
      </c>
      <c r="AM11" s="32">
        <v>6.1528755000000004E-2</v>
      </c>
      <c r="AN11" s="32">
        <v>6.1696821944444445E-2</v>
      </c>
      <c r="AO11" s="32">
        <v>6.1840794444444444E-2</v>
      </c>
      <c r="AP11" s="32">
        <v>6.1952389714285704E-2</v>
      </c>
      <c r="AQ11" s="32">
        <v>6.2524242500000007E-2</v>
      </c>
      <c r="AR11" s="32">
        <v>6.2903238611111106E-2</v>
      </c>
      <c r="AS11" s="32">
        <v>6.3304449722222211E-2</v>
      </c>
      <c r="AT11" s="32">
        <v>6.3667689444444439E-2</v>
      </c>
      <c r="AU11" s="32">
        <v>6.3946595555555555E-2</v>
      </c>
      <c r="AV11" s="32">
        <v>6.433691833333334E-2</v>
      </c>
      <c r="AW11" s="32">
        <v>6.476397694444444E-2</v>
      </c>
      <c r="AX11" s="32">
        <v>6.5227672777777787E-2</v>
      </c>
      <c r="AY11" s="32">
        <v>6.846263000000001E-2</v>
      </c>
      <c r="AZ11" s="32">
        <v>6.7246970000000003E-2</v>
      </c>
      <c r="BA11" s="32">
        <v>6.837965E-2</v>
      </c>
      <c r="BB11" s="32">
        <v>6.6062060000000006E-2</v>
      </c>
      <c r="BC11" s="32">
        <v>6.5019710000000008E-2</v>
      </c>
      <c r="BD11" s="32">
        <v>6.3602610000000004E-2</v>
      </c>
      <c r="BE11" s="32">
        <v>6.2432970000000004E-2</v>
      </c>
      <c r="BF11" s="32">
        <v>5.8810559999999998E-2</v>
      </c>
      <c r="BG11" s="32">
        <v>5.6780879999999999E-2</v>
      </c>
      <c r="BJ11" s="31">
        <v>2016</v>
      </c>
      <c r="BK11" s="34">
        <v>6.59E-2</v>
      </c>
      <c r="BM11" s="23">
        <v>2017</v>
      </c>
      <c r="BN11" s="24">
        <f t="shared" ref="BN11:CQ11" si="43">1-(1 - BN31)^(1/12)</f>
        <v>4.2653187775606449E-3</v>
      </c>
      <c r="BO11" s="24">
        <f t="shared" si="43"/>
        <v>4.2653187775606449E-3</v>
      </c>
      <c r="BP11" s="24">
        <f t="shared" si="43"/>
        <v>4.2653187775606449E-3</v>
      </c>
      <c r="BQ11" s="24">
        <f t="shared" si="43"/>
        <v>4.2653187775606449E-3</v>
      </c>
      <c r="BR11" s="24">
        <f t="shared" si="43"/>
        <v>4.2653187775606449E-3</v>
      </c>
      <c r="BS11" s="24">
        <f t="shared" si="43"/>
        <v>4.2653187775606449E-3</v>
      </c>
      <c r="BT11" s="24">
        <f t="shared" si="43"/>
        <v>4.2653187775606449E-3</v>
      </c>
      <c r="BU11" s="24">
        <f t="shared" si="43"/>
        <v>4.2653187775606449E-3</v>
      </c>
      <c r="BV11" s="24">
        <f t="shared" si="43"/>
        <v>4.2653187775606449E-3</v>
      </c>
      <c r="BW11" s="24">
        <f t="shared" si="43"/>
        <v>4.2653187775606449E-3</v>
      </c>
      <c r="BX11" s="24">
        <f t="shared" si="43"/>
        <v>4.2653187775606449E-3</v>
      </c>
      <c r="BY11" s="24">
        <f t="shared" si="43"/>
        <v>4.2653187775606449E-3</v>
      </c>
      <c r="BZ11" s="24">
        <f t="shared" si="43"/>
        <v>4.2653187775606449E-3</v>
      </c>
      <c r="CA11" s="24">
        <f t="shared" si="43"/>
        <v>4.2653187775606449E-3</v>
      </c>
      <c r="CB11" s="24">
        <f t="shared" si="43"/>
        <v>4.2653187775606449E-3</v>
      </c>
      <c r="CC11" s="24">
        <f t="shared" si="43"/>
        <v>4.2653187775606449E-3</v>
      </c>
      <c r="CD11" s="24">
        <f t="shared" si="43"/>
        <v>4.2653187775606449E-3</v>
      </c>
      <c r="CE11" s="24">
        <f t="shared" si="43"/>
        <v>4.2653187775606449E-3</v>
      </c>
      <c r="CF11" s="24">
        <f t="shared" si="43"/>
        <v>4.2653187775606449E-3</v>
      </c>
      <c r="CG11" s="24">
        <f t="shared" si="43"/>
        <v>4.2653187775606449E-3</v>
      </c>
      <c r="CH11" s="24">
        <f t="shared" si="43"/>
        <v>4.2653187775606449E-3</v>
      </c>
      <c r="CI11" s="24">
        <f t="shared" si="43"/>
        <v>4.2653187775606449E-3</v>
      </c>
      <c r="CJ11" s="24">
        <f t="shared" si="43"/>
        <v>4.2653187775606449E-3</v>
      </c>
      <c r="CK11" s="24">
        <f t="shared" si="43"/>
        <v>4.2653187775606449E-3</v>
      </c>
      <c r="CL11" s="24">
        <f t="shared" si="43"/>
        <v>4.2653187775606449E-3</v>
      </c>
      <c r="CM11" s="24">
        <f t="shared" si="43"/>
        <v>4.2653187775606449E-3</v>
      </c>
      <c r="CN11" s="24">
        <f t="shared" si="43"/>
        <v>4.2653187775606449E-3</v>
      </c>
      <c r="CO11" s="24">
        <f t="shared" si="43"/>
        <v>4.2653187775606449E-3</v>
      </c>
      <c r="CP11" s="24">
        <f t="shared" si="43"/>
        <v>4.2653187775606449E-3</v>
      </c>
      <c r="CQ11" s="24">
        <f t="shared" si="43"/>
        <v>4.2653187775606449E-3</v>
      </c>
      <c r="CS11" s="14">
        <f t="shared" si="30"/>
        <v>2012</v>
      </c>
      <c r="CT11" s="15">
        <v>0.05</v>
      </c>
      <c r="CU11" s="15">
        <v>0.05</v>
      </c>
      <c r="CV11" s="15">
        <v>0</v>
      </c>
    </row>
    <row r="12" spans="1:100" x14ac:dyDescent="0.2">
      <c r="A12" s="14">
        <v>2017</v>
      </c>
      <c r="B12" s="25">
        <v>2</v>
      </c>
      <c r="E12" s="6">
        <v>6</v>
      </c>
      <c r="F12" s="26">
        <v>3.4000000000000002E-4</v>
      </c>
      <c r="G12" s="27">
        <v>2.3000000000000001E-4</v>
      </c>
      <c r="H12" s="27">
        <f t="shared" si="31"/>
        <v>2.3000000000000001E-4</v>
      </c>
      <c r="I12" s="28">
        <f t="shared" si="25"/>
        <v>1.9168687449777622E-5</v>
      </c>
      <c r="J12" s="27">
        <f t="shared" si="32"/>
        <v>2.3000000000000001E-4</v>
      </c>
      <c r="K12" s="28">
        <f t="shared" si="26"/>
        <v>1.9168687449777622E-5</v>
      </c>
      <c r="L12" s="27">
        <f t="shared" si="33"/>
        <v>2.3000000000000001E-4</v>
      </c>
      <c r="M12" s="28">
        <f t="shared" si="27"/>
        <v>1.9168687449777622E-5</v>
      </c>
      <c r="N12" s="27">
        <f t="shared" si="34"/>
        <v>2.3000000000000001E-4</v>
      </c>
      <c r="O12" s="28">
        <f t="shared" si="28"/>
        <v>1.9168687449777622E-5</v>
      </c>
      <c r="P12" s="5">
        <v>4.0000000000000002E-4</v>
      </c>
      <c r="Q12" s="28">
        <f t="shared" si="35"/>
        <v>3.3339446006586115E-5</v>
      </c>
      <c r="R12" s="5">
        <v>9.8999999999999999E-4</v>
      </c>
      <c r="S12" s="28">
        <f t="shared" si="36"/>
        <v>8.2537458069298353E-5</v>
      </c>
      <c r="T12" s="30">
        <v>9.0000000000000006E-5</v>
      </c>
      <c r="U12" s="28">
        <f t="shared" si="37"/>
        <v>7.5003093927827891E-6</v>
      </c>
      <c r="V12" s="5">
        <v>4.0000000000000002E-4</v>
      </c>
      <c r="W12" s="28">
        <f t="shared" si="41"/>
        <v>3.3339446006586115E-5</v>
      </c>
      <c r="Z12" s="31">
        <v>6</v>
      </c>
      <c r="AA12" s="32">
        <v>4.8099999999999997E-2</v>
      </c>
      <c r="AB12" s="32">
        <v>6.13E-2</v>
      </c>
      <c r="AC12" s="32">
        <v>6.9099999999999995E-2</v>
      </c>
      <c r="AD12" s="32">
        <v>8.1500000000000003E-2</v>
      </c>
      <c r="AE12" s="32">
        <v>7.5399999999999995E-2</v>
      </c>
      <c r="AF12" s="32">
        <v>6.7699999999999996E-2</v>
      </c>
      <c r="AG12" s="32">
        <v>7.2400000000000006E-2</v>
      </c>
      <c r="AH12" s="32">
        <v>7.1400000000000005E-2</v>
      </c>
      <c r="AI12" s="32">
        <v>6.5299999999999997E-2</v>
      </c>
      <c r="AJ12" s="32">
        <v>5.7700000000000001E-2</v>
      </c>
      <c r="AK12" s="32">
        <v>6.5199999999999994E-2</v>
      </c>
      <c r="AL12" s="32">
        <v>6.2300000000000001E-2</v>
      </c>
      <c r="AM12" s="32">
        <v>6.3323690555555562E-2</v>
      </c>
      <c r="AN12" s="32">
        <v>6.343209666666666E-2</v>
      </c>
      <c r="AO12" s="32">
        <v>6.3520116388888895E-2</v>
      </c>
      <c r="AP12" s="32">
        <v>6.3611671714285695E-2</v>
      </c>
      <c r="AQ12" s="32">
        <v>6.4075851944444442E-2</v>
      </c>
      <c r="AR12" s="32">
        <v>6.4391154444444446E-2</v>
      </c>
      <c r="AS12" s="32">
        <v>6.4726733611111101E-2</v>
      </c>
      <c r="AT12" s="32">
        <v>6.5027124444444445E-2</v>
      </c>
      <c r="AU12" s="32">
        <v>6.5241752777777773E-2</v>
      </c>
      <c r="AV12" s="32">
        <v>6.5568017777777793E-2</v>
      </c>
      <c r="AW12" s="32">
        <v>6.591718472222223E-2</v>
      </c>
      <c r="AX12" s="32">
        <v>6.6290926388888893E-2</v>
      </c>
      <c r="AY12" s="32">
        <v>6.8966570000000005E-2</v>
      </c>
      <c r="AZ12" s="32">
        <v>6.7760970000000004E-2</v>
      </c>
      <c r="BA12" s="32">
        <v>6.9175459999999994E-2</v>
      </c>
      <c r="BB12" s="32">
        <v>6.6809599999999997E-2</v>
      </c>
      <c r="BC12" s="32">
        <v>6.5966129999999998E-2</v>
      </c>
      <c r="BD12" s="32">
        <v>6.4526750000000008E-2</v>
      </c>
      <c r="BE12" s="32">
        <v>6.3715770000000005E-2</v>
      </c>
      <c r="BF12" s="32">
        <v>6.0523159999999999E-2</v>
      </c>
      <c r="BG12" s="32">
        <v>5.9101629999999995E-2</v>
      </c>
      <c r="BJ12" s="31">
        <v>2017</v>
      </c>
      <c r="BK12" s="34">
        <v>5.4399999999999997E-2</v>
      </c>
      <c r="BM12" s="23">
        <v>2018</v>
      </c>
      <c r="BN12" s="24">
        <f t="shared" ref="BN12:CQ12" si="44">1-(1 - BN32)^(1/12)</f>
        <v>4.2653187775606449E-3</v>
      </c>
      <c r="BO12" s="24">
        <f t="shared" si="44"/>
        <v>4.2653187775606449E-3</v>
      </c>
      <c r="BP12" s="24">
        <f t="shared" si="44"/>
        <v>4.2653187775606449E-3</v>
      </c>
      <c r="BQ12" s="24">
        <f t="shared" si="44"/>
        <v>4.2653187775606449E-3</v>
      </c>
      <c r="BR12" s="24">
        <f t="shared" si="44"/>
        <v>4.2653187775606449E-3</v>
      </c>
      <c r="BS12" s="24">
        <f t="shared" si="44"/>
        <v>4.2653187775606449E-3</v>
      </c>
      <c r="BT12" s="24">
        <f t="shared" si="44"/>
        <v>4.2653187775606449E-3</v>
      </c>
      <c r="BU12" s="24">
        <f t="shared" si="44"/>
        <v>4.2653187775606449E-3</v>
      </c>
      <c r="BV12" s="24">
        <f t="shared" si="44"/>
        <v>4.2653187775606449E-3</v>
      </c>
      <c r="BW12" s="24">
        <f t="shared" si="44"/>
        <v>4.2653187775606449E-3</v>
      </c>
      <c r="BX12" s="24">
        <f t="shared" si="44"/>
        <v>4.2653187775606449E-3</v>
      </c>
      <c r="BY12" s="24">
        <f t="shared" si="44"/>
        <v>4.2653187775606449E-3</v>
      </c>
      <c r="BZ12" s="24">
        <f t="shared" si="44"/>
        <v>4.2653187775606449E-3</v>
      </c>
      <c r="CA12" s="24">
        <f t="shared" si="44"/>
        <v>4.2653187775606449E-3</v>
      </c>
      <c r="CB12" s="24">
        <f t="shared" si="44"/>
        <v>4.2653187775606449E-3</v>
      </c>
      <c r="CC12" s="24">
        <f t="shared" si="44"/>
        <v>4.2653187775606449E-3</v>
      </c>
      <c r="CD12" s="24">
        <f t="shared" si="44"/>
        <v>4.2653187775606449E-3</v>
      </c>
      <c r="CE12" s="24">
        <f t="shared" si="44"/>
        <v>4.2653187775606449E-3</v>
      </c>
      <c r="CF12" s="24">
        <f t="shared" si="44"/>
        <v>4.2653187775606449E-3</v>
      </c>
      <c r="CG12" s="24">
        <f t="shared" si="44"/>
        <v>4.2653187775606449E-3</v>
      </c>
      <c r="CH12" s="24">
        <f t="shared" si="44"/>
        <v>4.2653187775606449E-3</v>
      </c>
      <c r="CI12" s="24">
        <f t="shared" si="44"/>
        <v>4.2653187775606449E-3</v>
      </c>
      <c r="CJ12" s="24">
        <f t="shared" si="44"/>
        <v>4.2653187775606449E-3</v>
      </c>
      <c r="CK12" s="24">
        <f t="shared" si="44"/>
        <v>4.2653187775606449E-3</v>
      </c>
      <c r="CL12" s="24">
        <f t="shared" si="44"/>
        <v>4.2653187775606449E-3</v>
      </c>
      <c r="CM12" s="24">
        <f t="shared" si="44"/>
        <v>4.2653187775606449E-3</v>
      </c>
      <c r="CN12" s="24">
        <f t="shared" si="44"/>
        <v>4.2653187775606449E-3</v>
      </c>
      <c r="CO12" s="24">
        <f t="shared" si="44"/>
        <v>4.2653187775606449E-3</v>
      </c>
      <c r="CP12" s="24">
        <f t="shared" si="44"/>
        <v>4.2653187775606449E-3</v>
      </c>
      <c r="CQ12" s="24">
        <f t="shared" si="44"/>
        <v>4.2653187775606449E-3</v>
      </c>
      <c r="CS12" s="14">
        <f t="shared" si="30"/>
        <v>2013</v>
      </c>
      <c r="CT12" s="15">
        <v>0.05</v>
      </c>
      <c r="CU12" s="15">
        <v>0.05</v>
      </c>
      <c r="CV12" s="15">
        <v>0</v>
      </c>
    </row>
    <row r="13" spans="1:100" x14ac:dyDescent="0.2">
      <c r="A13" s="14">
        <v>2018</v>
      </c>
      <c r="B13" s="25">
        <v>2</v>
      </c>
      <c r="E13" s="6">
        <v>7</v>
      </c>
      <c r="F13" s="26">
        <v>3.1E-4</v>
      </c>
      <c r="G13" s="27">
        <v>2.1000000000000001E-4</v>
      </c>
      <c r="H13" s="27">
        <f t="shared" si="31"/>
        <v>2.1000000000000001E-4</v>
      </c>
      <c r="I13" s="28">
        <f>1-(1 - H13)^(1/12)</f>
        <v>1.7501684601017864E-5</v>
      </c>
      <c r="J13" s="27">
        <f t="shared" si="32"/>
        <v>2.1000000000000001E-4</v>
      </c>
      <c r="K13" s="28">
        <f t="shared" si="26"/>
        <v>1.7501684601017864E-5</v>
      </c>
      <c r="L13" s="27">
        <f t="shared" si="33"/>
        <v>2.1000000000000001E-4</v>
      </c>
      <c r="M13" s="28">
        <f t="shared" si="27"/>
        <v>1.7501684601017864E-5</v>
      </c>
      <c r="N13" s="27">
        <f t="shared" si="34"/>
        <v>2.1000000000000001E-4</v>
      </c>
      <c r="O13" s="28">
        <f t="shared" si="28"/>
        <v>1.7501684601017864E-5</v>
      </c>
      <c r="P13" s="5">
        <v>4.0000000000000002E-4</v>
      </c>
      <c r="Q13" s="28">
        <f t="shared" si="35"/>
        <v>3.3339446006586115E-5</v>
      </c>
      <c r="R13" s="5">
        <v>9.8999999999999999E-4</v>
      </c>
      <c r="S13" s="28">
        <f t="shared" si="36"/>
        <v>8.2537458069298353E-5</v>
      </c>
      <c r="T13" s="30">
        <v>9.0000000000000006E-5</v>
      </c>
      <c r="U13" s="28">
        <f t="shared" si="37"/>
        <v>7.5003093927827891E-6</v>
      </c>
      <c r="V13" s="5">
        <v>4.0000000000000002E-4</v>
      </c>
      <c r="W13" s="28">
        <f t="shared" si="41"/>
        <v>3.3339446006586115E-5</v>
      </c>
      <c r="Z13" s="31">
        <v>7</v>
      </c>
      <c r="AA13" s="32">
        <v>4.9399999999999993E-2</v>
      </c>
      <c r="AB13" s="32">
        <v>6.2600000000000003E-2</v>
      </c>
      <c r="AC13" s="32">
        <v>7.0099999999999996E-2</v>
      </c>
      <c r="AD13" s="32">
        <v>8.1900000000000001E-2</v>
      </c>
      <c r="AE13" s="32">
        <v>7.5899999999999995E-2</v>
      </c>
      <c r="AF13" s="32">
        <v>6.8599999999999994E-2</v>
      </c>
      <c r="AG13" s="32">
        <v>7.3099999999999998E-2</v>
      </c>
      <c r="AH13" s="32">
        <v>7.2300000000000003E-2</v>
      </c>
      <c r="AI13" s="32">
        <v>6.7199999999999996E-2</v>
      </c>
      <c r="AJ13" s="32">
        <v>6.0100000000000001E-2</v>
      </c>
      <c r="AK13" s="32">
        <v>6.6900000000000001E-2</v>
      </c>
      <c r="AL13" s="32">
        <v>6.4299999999999996E-2</v>
      </c>
      <c r="AM13" s="32">
        <v>6.4836184999999991E-2</v>
      </c>
      <c r="AN13" s="32">
        <v>6.489679416666666E-2</v>
      </c>
      <c r="AO13" s="32">
        <v>6.4939016666666655E-2</v>
      </c>
      <c r="AP13" s="32">
        <v>6.5014203714285707E-2</v>
      </c>
      <c r="AQ13" s="32">
        <v>6.5389250555555542E-2</v>
      </c>
      <c r="AR13" s="32">
        <v>6.5646265833333328E-2</v>
      </c>
      <c r="AS13" s="32">
        <v>6.592305027777777E-2</v>
      </c>
      <c r="AT13" s="32">
        <v>6.6168326388888879E-2</v>
      </c>
      <c r="AU13" s="32">
        <v>6.6325040833333335E-2</v>
      </c>
      <c r="AV13" s="32">
        <v>6.6594806944444446E-2</v>
      </c>
      <c r="AW13" s="32">
        <v>6.6878061666666669E-2</v>
      </c>
      <c r="AX13" s="32">
        <v>6.7176903611111102E-2</v>
      </c>
      <c r="AY13" s="32">
        <v>6.9475319999999993E-2</v>
      </c>
      <c r="AZ13" s="32">
        <v>6.8215810000000002E-2</v>
      </c>
      <c r="BA13" s="32">
        <v>6.9846329999999998E-2</v>
      </c>
      <c r="BB13" s="32">
        <v>6.7489569999999999E-2</v>
      </c>
      <c r="BC13" s="32">
        <v>6.6810790000000009E-2</v>
      </c>
      <c r="BD13" s="32">
        <v>6.5364950000000005E-2</v>
      </c>
      <c r="BE13" s="32">
        <v>6.4866519999999997E-2</v>
      </c>
      <c r="BF13" s="32">
        <v>6.2139230000000004E-2</v>
      </c>
      <c r="BG13" s="32">
        <v>6.1294760000000004E-2</v>
      </c>
      <c r="BJ13" s="31">
        <v>2018</v>
      </c>
      <c r="BK13" s="34">
        <v>4.5699999999999991E-2</v>
      </c>
      <c r="BM13" s="23">
        <v>2019</v>
      </c>
      <c r="BN13" s="24">
        <f t="shared" ref="BN13:CQ13" si="45">1-(1 - BN33)^(1/12)</f>
        <v>2.3688424222606752E-2</v>
      </c>
      <c r="BO13" s="24">
        <f t="shared" si="45"/>
        <v>1.8423470126248342E-2</v>
      </c>
      <c r="BP13" s="24">
        <f t="shared" si="45"/>
        <v>4.2653187775606449E-3</v>
      </c>
      <c r="BQ13" s="24">
        <f t="shared" si="45"/>
        <v>4.2653187775606449E-3</v>
      </c>
      <c r="BR13" s="24">
        <f t="shared" si="45"/>
        <v>4.2653187775606449E-3</v>
      </c>
      <c r="BS13" s="24">
        <f t="shared" si="45"/>
        <v>4.2653187775606449E-3</v>
      </c>
      <c r="BT13" s="24">
        <f t="shared" si="45"/>
        <v>4.2653187775606449E-3</v>
      </c>
      <c r="BU13" s="24">
        <f t="shared" si="45"/>
        <v>4.2653187775606449E-3</v>
      </c>
      <c r="BV13" s="24">
        <f t="shared" si="45"/>
        <v>4.2653187775606449E-3</v>
      </c>
      <c r="BW13" s="24">
        <f t="shared" si="45"/>
        <v>4.2653187775606449E-3</v>
      </c>
      <c r="BX13" s="24">
        <f t="shared" si="45"/>
        <v>4.2653187775606449E-3</v>
      </c>
      <c r="BY13" s="24">
        <f t="shared" si="45"/>
        <v>4.2653187775606449E-3</v>
      </c>
      <c r="BZ13" s="24">
        <f t="shared" si="45"/>
        <v>4.2653187775606449E-3</v>
      </c>
      <c r="CA13" s="24">
        <f t="shared" si="45"/>
        <v>4.2653187775606449E-3</v>
      </c>
      <c r="CB13" s="24">
        <f t="shared" si="45"/>
        <v>4.2653187775606449E-3</v>
      </c>
      <c r="CC13" s="24">
        <f t="shared" si="45"/>
        <v>4.2653187775606449E-3</v>
      </c>
      <c r="CD13" s="24">
        <f t="shared" si="45"/>
        <v>4.2653187775606449E-3</v>
      </c>
      <c r="CE13" s="24">
        <f t="shared" si="45"/>
        <v>4.2653187775606449E-3</v>
      </c>
      <c r="CF13" s="24">
        <f t="shared" si="45"/>
        <v>4.2653187775606449E-3</v>
      </c>
      <c r="CG13" s="24">
        <f t="shared" si="45"/>
        <v>4.2653187775606449E-3</v>
      </c>
      <c r="CH13" s="24">
        <f t="shared" si="45"/>
        <v>4.2653187775606449E-3</v>
      </c>
      <c r="CI13" s="24">
        <f t="shared" si="45"/>
        <v>4.2653187775606449E-3</v>
      </c>
      <c r="CJ13" s="24">
        <f t="shared" si="45"/>
        <v>4.2653187775606449E-3</v>
      </c>
      <c r="CK13" s="24">
        <f t="shared" si="45"/>
        <v>4.2653187775606449E-3</v>
      </c>
      <c r="CL13" s="24">
        <f t="shared" si="45"/>
        <v>4.2653187775606449E-3</v>
      </c>
      <c r="CM13" s="24">
        <f t="shared" si="45"/>
        <v>4.2653187775606449E-3</v>
      </c>
      <c r="CN13" s="24">
        <f t="shared" si="45"/>
        <v>4.2653187775606449E-3</v>
      </c>
      <c r="CO13" s="24">
        <f t="shared" si="45"/>
        <v>4.2653187775606449E-3</v>
      </c>
      <c r="CP13" s="24">
        <f t="shared" si="45"/>
        <v>4.2653187775606449E-3</v>
      </c>
      <c r="CQ13" s="24">
        <f t="shared" si="45"/>
        <v>4.2653187775606449E-3</v>
      </c>
      <c r="CS13" s="14">
        <f t="shared" si="30"/>
        <v>2014</v>
      </c>
      <c r="CT13" s="15">
        <v>0.05</v>
      </c>
      <c r="CU13" s="15">
        <v>0.05</v>
      </c>
      <c r="CV13" s="15">
        <v>0</v>
      </c>
    </row>
    <row r="14" spans="1:100" x14ac:dyDescent="0.2">
      <c r="A14" s="14">
        <v>2019</v>
      </c>
      <c r="B14" s="25">
        <v>3</v>
      </c>
      <c r="E14" s="6">
        <v>8</v>
      </c>
      <c r="F14" s="26">
        <v>2.9E-4</v>
      </c>
      <c r="G14" s="27">
        <v>2.0000000000000001E-4</v>
      </c>
      <c r="H14" s="27">
        <f t="shared" si="31"/>
        <v>2.0000000000000001E-4</v>
      </c>
      <c r="I14" s="28">
        <f t="shared" si="25"/>
        <v>1.6668194639635203E-5</v>
      </c>
      <c r="J14" s="27">
        <f t="shared" si="32"/>
        <v>2.0000000000000001E-4</v>
      </c>
      <c r="K14" s="28">
        <f t="shared" si="26"/>
        <v>1.6668194639635203E-5</v>
      </c>
      <c r="L14" s="27">
        <f t="shared" si="33"/>
        <v>2.0000000000000001E-4</v>
      </c>
      <c r="M14" s="28">
        <f t="shared" si="27"/>
        <v>1.6668194639635203E-5</v>
      </c>
      <c r="N14" s="27">
        <f t="shared" si="34"/>
        <v>2.0000000000000001E-4</v>
      </c>
      <c r="O14" s="28">
        <f t="shared" si="28"/>
        <v>1.6668194639635203E-5</v>
      </c>
      <c r="P14" s="5">
        <v>4.0000000000000002E-4</v>
      </c>
      <c r="Q14" s="28">
        <f t="shared" si="35"/>
        <v>3.3339446006586115E-5</v>
      </c>
      <c r="R14" s="5">
        <v>9.8999999999999999E-4</v>
      </c>
      <c r="S14" s="28">
        <f t="shared" si="36"/>
        <v>8.2537458069298353E-5</v>
      </c>
      <c r="T14" s="30">
        <v>9.0000000000000006E-5</v>
      </c>
      <c r="U14" s="28">
        <f t="shared" si="37"/>
        <v>7.5003093927827891E-6</v>
      </c>
      <c r="V14" s="5">
        <v>4.0000000000000002E-4</v>
      </c>
      <c r="W14" s="28">
        <f t="shared" si="41"/>
        <v>3.3339446006586115E-5</v>
      </c>
      <c r="Z14" s="31">
        <v>8</v>
      </c>
      <c r="AA14" s="32">
        <v>5.0900000000000001E-2</v>
      </c>
      <c r="AB14" s="32">
        <v>6.4000000000000001E-2</v>
      </c>
      <c r="AC14" s="32">
        <v>7.1199999999999999E-2</v>
      </c>
      <c r="AD14" s="32">
        <v>8.2199999999999995E-2</v>
      </c>
      <c r="AE14" s="32">
        <v>7.6499999999999999E-2</v>
      </c>
      <c r="AF14" s="32">
        <v>6.9500000000000006E-2</v>
      </c>
      <c r="AG14" s="32">
        <v>7.3899999999999993E-2</v>
      </c>
      <c r="AH14" s="32">
        <v>7.3200000000000001E-2</v>
      </c>
      <c r="AI14" s="32">
        <v>6.8900000000000003E-2</v>
      </c>
      <c r="AJ14" s="32">
        <v>6.2199999999999998E-2</v>
      </c>
      <c r="AK14" s="32">
        <v>6.83E-2</v>
      </c>
      <c r="AL14" s="32">
        <v>6.59E-2</v>
      </c>
      <c r="AM14" s="32">
        <v>6.610662305555555E-2</v>
      </c>
      <c r="AN14" s="32">
        <v>6.5999103333333323E-2</v>
      </c>
      <c r="AO14" s="32">
        <v>6.5999043333333327E-2</v>
      </c>
      <c r="AP14" s="32">
        <v>6.5999043333333299E-2</v>
      </c>
      <c r="AQ14" s="32">
        <v>6.6494650833333349E-2</v>
      </c>
      <c r="AR14" s="32">
        <v>6.6698368888888915E-2</v>
      </c>
      <c r="AS14" s="32">
        <v>6.6922628055555572E-2</v>
      </c>
      <c r="AT14" s="32">
        <v>6.7118706666666694E-2</v>
      </c>
      <c r="AU14" s="32">
        <v>6.7224223055555574E-2</v>
      </c>
      <c r="AV14" s="32">
        <v>6.7389142499999999E-2</v>
      </c>
      <c r="AW14" s="32">
        <v>6.7534369999999996E-2</v>
      </c>
      <c r="AX14" s="32">
        <v>6.7909204444444454E-2</v>
      </c>
      <c r="AY14" s="32">
        <v>6.9943779999999997E-2</v>
      </c>
      <c r="AZ14" s="32">
        <v>6.8615350000000006E-2</v>
      </c>
      <c r="BA14" s="32">
        <v>7.0371199999999995E-2</v>
      </c>
      <c r="BB14" s="32">
        <v>6.8087149999999999E-2</v>
      </c>
      <c r="BC14" s="32">
        <v>6.7538189999999998E-2</v>
      </c>
      <c r="BD14" s="32">
        <v>6.6116609999999992E-2</v>
      </c>
      <c r="BE14" s="32">
        <v>6.588809000000001E-2</v>
      </c>
      <c r="BF14" s="32">
        <v>6.3626840000000004E-2</v>
      </c>
      <c r="BG14" s="32">
        <v>6.3284220000000002E-2</v>
      </c>
      <c r="BJ14" s="31">
        <v>2019</v>
      </c>
      <c r="BK14" s="34">
        <v>3.5099999999999999E-2</v>
      </c>
      <c r="BM14" s="23">
        <v>2020</v>
      </c>
      <c r="BN14" s="24">
        <f t="shared" ref="BN14:CQ14" si="46">1-(1 - BN34)^(1/12)</f>
        <v>2.3688424222606752E-2</v>
      </c>
      <c r="BO14" s="24">
        <f t="shared" si="46"/>
        <v>1.8423470126248342E-2</v>
      </c>
      <c r="BP14" s="24">
        <f t="shared" si="46"/>
        <v>4.2653187775606449E-3</v>
      </c>
      <c r="BQ14" s="24">
        <f t="shared" si="46"/>
        <v>4.2653187775606449E-3</v>
      </c>
      <c r="BR14" s="24">
        <f t="shared" si="46"/>
        <v>4.2653187775606449E-3</v>
      </c>
      <c r="BS14" s="24">
        <f t="shared" si="46"/>
        <v>4.2653187775606449E-3</v>
      </c>
      <c r="BT14" s="24">
        <f t="shared" si="46"/>
        <v>4.2653187775606449E-3</v>
      </c>
      <c r="BU14" s="24">
        <f t="shared" si="46"/>
        <v>4.2653187775606449E-3</v>
      </c>
      <c r="BV14" s="24">
        <f t="shared" si="46"/>
        <v>4.2653187775606449E-3</v>
      </c>
      <c r="BW14" s="24">
        <f t="shared" si="46"/>
        <v>4.2653187775606449E-3</v>
      </c>
      <c r="BX14" s="24">
        <f t="shared" si="46"/>
        <v>4.2653187775606449E-3</v>
      </c>
      <c r="BY14" s="24">
        <f t="shared" si="46"/>
        <v>4.2653187775606449E-3</v>
      </c>
      <c r="BZ14" s="24">
        <f t="shared" si="46"/>
        <v>4.2653187775606449E-3</v>
      </c>
      <c r="CA14" s="24">
        <f t="shared" si="46"/>
        <v>4.2653187775606449E-3</v>
      </c>
      <c r="CB14" s="24">
        <f t="shared" si="46"/>
        <v>4.2653187775606449E-3</v>
      </c>
      <c r="CC14" s="24">
        <f t="shared" si="46"/>
        <v>4.2653187775606449E-3</v>
      </c>
      <c r="CD14" s="24">
        <f t="shared" si="46"/>
        <v>4.2653187775606449E-3</v>
      </c>
      <c r="CE14" s="24">
        <f t="shared" si="46"/>
        <v>4.2653187775606449E-3</v>
      </c>
      <c r="CF14" s="24">
        <f t="shared" si="46"/>
        <v>4.2653187775606449E-3</v>
      </c>
      <c r="CG14" s="24">
        <f t="shared" si="46"/>
        <v>4.2653187775606449E-3</v>
      </c>
      <c r="CH14" s="24">
        <f t="shared" si="46"/>
        <v>4.2653187775606449E-3</v>
      </c>
      <c r="CI14" s="24">
        <f t="shared" si="46"/>
        <v>4.2653187775606449E-3</v>
      </c>
      <c r="CJ14" s="24">
        <f t="shared" si="46"/>
        <v>4.2653187775606449E-3</v>
      </c>
      <c r="CK14" s="24">
        <f t="shared" si="46"/>
        <v>4.2653187775606449E-3</v>
      </c>
      <c r="CL14" s="24">
        <f t="shared" si="46"/>
        <v>4.2653187775606449E-3</v>
      </c>
      <c r="CM14" s="24">
        <f t="shared" si="46"/>
        <v>4.2653187775606449E-3</v>
      </c>
      <c r="CN14" s="24">
        <f t="shared" si="46"/>
        <v>4.2653187775606449E-3</v>
      </c>
      <c r="CO14" s="24">
        <f t="shared" si="46"/>
        <v>4.2653187775606449E-3</v>
      </c>
      <c r="CP14" s="24">
        <f t="shared" si="46"/>
        <v>4.2653187775606449E-3</v>
      </c>
      <c r="CQ14" s="24">
        <f t="shared" si="46"/>
        <v>4.2653187775606449E-3</v>
      </c>
      <c r="CS14" s="14">
        <f t="shared" si="30"/>
        <v>2015</v>
      </c>
      <c r="CT14" s="35">
        <v>0.05</v>
      </c>
      <c r="CU14" s="35">
        <v>0.05</v>
      </c>
      <c r="CV14" s="35">
        <v>0</v>
      </c>
    </row>
    <row r="15" spans="1:100" x14ac:dyDescent="0.2">
      <c r="A15" s="14">
        <v>2020</v>
      </c>
      <c r="B15" s="25">
        <v>3</v>
      </c>
      <c r="E15" s="6">
        <v>9</v>
      </c>
      <c r="F15" s="26">
        <v>2.7999999999999998E-4</v>
      </c>
      <c r="G15" s="27">
        <v>2.0000000000000001E-4</v>
      </c>
      <c r="H15" s="27">
        <f t="shared" si="31"/>
        <v>2.0000000000000001E-4</v>
      </c>
      <c r="I15" s="28">
        <f t="shared" si="25"/>
        <v>1.6668194639635203E-5</v>
      </c>
      <c r="J15" s="27">
        <f t="shared" si="32"/>
        <v>2.0000000000000001E-4</v>
      </c>
      <c r="K15" s="28">
        <f t="shared" si="26"/>
        <v>1.6668194639635203E-5</v>
      </c>
      <c r="L15" s="27">
        <f t="shared" si="33"/>
        <v>2.0000000000000001E-4</v>
      </c>
      <c r="M15" s="28">
        <f t="shared" si="27"/>
        <v>1.6668194639635203E-5</v>
      </c>
      <c r="N15" s="27">
        <f t="shared" si="34"/>
        <v>2.0000000000000001E-4</v>
      </c>
      <c r="O15" s="28">
        <f t="shared" si="28"/>
        <v>1.6668194639635203E-5</v>
      </c>
      <c r="P15" s="5">
        <v>4.0000000000000002E-4</v>
      </c>
      <c r="Q15" s="28">
        <f t="shared" si="35"/>
        <v>3.3339446006586115E-5</v>
      </c>
      <c r="R15" s="5">
        <v>9.8999999999999999E-4</v>
      </c>
      <c r="S15" s="28">
        <f t="shared" si="36"/>
        <v>8.2537458069298353E-5</v>
      </c>
      <c r="T15" s="30">
        <v>9.0000000000000006E-5</v>
      </c>
      <c r="U15" s="28">
        <f t="shared" si="37"/>
        <v>7.5003093927827891E-6</v>
      </c>
      <c r="V15" s="5">
        <v>4.0000000000000002E-4</v>
      </c>
      <c r="W15" s="28">
        <f t="shared" si="41"/>
        <v>3.3339446006586115E-5</v>
      </c>
      <c r="Z15" s="31">
        <v>9</v>
      </c>
      <c r="AA15" s="32">
        <v>5.2400000000000002E-2</v>
      </c>
      <c r="AB15" s="32">
        <v>6.5500000000000003E-2</v>
      </c>
      <c r="AC15" s="32">
        <v>7.22E-2</v>
      </c>
      <c r="AD15" s="32">
        <v>8.2600000000000007E-2</v>
      </c>
      <c r="AE15" s="32">
        <v>7.6999999999999999E-2</v>
      </c>
      <c r="AF15" s="32">
        <v>7.0400000000000004E-2</v>
      </c>
      <c r="AG15" s="32">
        <v>7.46E-2</v>
      </c>
      <c r="AH15" s="32">
        <v>7.3999999999999996E-2</v>
      </c>
      <c r="AI15" s="32">
        <v>7.0400000000000004E-2</v>
      </c>
      <c r="AJ15" s="32">
        <v>6.3899999999999998E-2</v>
      </c>
      <c r="AK15" s="32">
        <v>6.9500000000000006E-2</v>
      </c>
      <c r="AL15" s="32">
        <v>6.7199999999999996E-2</v>
      </c>
      <c r="AM15" s="32">
        <v>6.6622065000000008E-2</v>
      </c>
      <c r="AN15" s="32">
        <v>6.6473855833333331E-2</v>
      </c>
      <c r="AO15" s="32">
        <v>6.6441779999999992E-2</v>
      </c>
      <c r="AP15" s="32">
        <v>6.6441780000000006E-2</v>
      </c>
      <c r="AQ15" s="32">
        <v>6.7244100833333334E-2</v>
      </c>
      <c r="AR15" s="32">
        <v>6.7573988611111108E-2</v>
      </c>
      <c r="AS15" s="32">
        <v>6.7751787777777753E-2</v>
      </c>
      <c r="AT15" s="32">
        <v>6.7903881111111092E-2</v>
      </c>
      <c r="AU15" s="32">
        <v>6.7957650833333327E-2</v>
      </c>
      <c r="AV15" s="32">
        <v>6.7667570833333329E-2</v>
      </c>
      <c r="AW15" s="32">
        <v>6.7822874166666658E-2</v>
      </c>
      <c r="AX15" s="32">
        <v>6.8225109166666645E-2</v>
      </c>
      <c r="AY15" s="32">
        <v>7.0347090000000001E-2</v>
      </c>
      <c r="AZ15" s="32">
        <v>6.8961250000000002E-2</v>
      </c>
      <c r="BA15" s="32">
        <v>7.0760320000000002E-2</v>
      </c>
      <c r="BB15" s="32">
        <v>6.859765000000001E-2</v>
      </c>
      <c r="BC15" s="32">
        <v>6.8147559999999996E-2</v>
      </c>
      <c r="BD15" s="32">
        <v>6.6782269999999991E-2</v>
      </c>
      <c r="BE15" s="32">
        <v>6.6786459999999992E-2</v>
      </c>
      <c r="BF15" s="32">
        <v>6.4965770000000006E-2</v>
      </c>
      <c r="BG15" s="32">
        <v>6.5029920000000005E-2</v>
      </c>
      <c r="BJ15" s="31">
        <v>2020</v>
      </c>
      <c r="BK15" s="34">
        <v>3.3500000000000002E-2</v>
      </c>
      <c r="BM15" s="23">
        <v>2021</v>
      </c>
      <c r="BN15" s="24">
        <f t="shared" ref="BN15:CQ15" si="47">1-(1 - BN35)^(1/12)</f>
        <v>2.3688424222606752E-2</v>
      </c>
      <c r="BO15" s="24">
        <f t="shared" si="47"/>
        <v>1.8423470126248342E-2</v>
      </c>
      <c r="BP15" s="24">
        <f t="shared" si="47"/>
        <v>4.2653187775606449E-3</v>
      </c>
      <c r="BQ15" s="24">
        <f t="shared" si="47"/>
        <v>4.2653187775606449E-3</v>
      </c>
      <c r="BR15" s="24">
        <f t="shared" si="47"/>
        <v>4.2653187775606449E-3</v>
      </c>
      <c r="BS15" s="24">
        <f t="shared" si="47"/>
        <v>4.2653187775606449E-3</v>
      </c>
      <c r="BT15" s="24">
        <f t="shared" si="47"/>
        <v>4.2653187775606449E-3</v>
      </c>
      <c r="BU15" s="24">
        <f t="shared" si="47"/>
        <v>4.2653187775606449E-3</v>
      </c>
      <c r="BV15" s="24">
        <f t="shared" si="47"/>
        <v>4.2653187775606449E-3</v>
      </c>
      <c r="BW15" s="24">
        <f t="shared" si="47"/>
        <v>4.2653187775606449E-3</v>
      </c>
      <c r="BX15" s="24">
        <f t="shared" si="47"/>
        <v>4.2653187775606449E-3</v>
      </c>
      <c r="BY15" s="24">
        <f t="shared" si="47"/>
        <v>4.2653187775606449E-3</v>
      </c>
      <c r="BZ15" s="24">
        <f t="shared" si="47"/>
        <v>4.2653187775606449E-3</v>
      </c>
      <c r="CA15" s="24">
        <f t="shared" si="47"/>
        <v>4.2653187775606449E-3</v>
      </c>
      <c r="CB15" s="24">
        <f t="shared" si="47"/>
        <v>4.2653187775606449E-3</v>
      </c>
      <c r="CC15" s="24">
        <f t="shared" si="47"/>
        <v>4.2653187775606449E-3</v>
      </c>
      <c r="CD15" s="24">
        <f t="shared" si="47"/>
        <v>4.2653187775606449E-3</v>
      </c>
      <c r="CE15" s="24">
        <f t="shared" si="47"/>
        <v>4.2653187775606449E-3</v>
      </c>
      <c r="CF15" s="24">
        <f t="shared" si="47"/>
        <v>4.2653187775606449E-3</v>
      </c>
      <c r="CG15" s="24">
        <f t="shared" si="47"/>
        <v>4.2653187775606449E-3</v>
      </c>
      <c r="CH15" s="24">
        <f t="shared" si="47"/>
        <v>4.2653187775606449E-3</v>
      </c>
      <c r="CI15" s="24">
        <f t="shared" si="47"/>
        <v>4.2653187775606449E-3</v>
      </c>
      <c r="CJ15" s="24">
        <f t="shared" si="47"/>
        <v>4.2653187775606449E-3</v>
      </c>
      <c r="CK15" s="24">
        <f t="shared" si="47"/>
        <v>4.2653187775606449E-3</v>
      </c>
      <c r="CL15" s="24">
        <f t="shared" si="47"/>
        <v>4.2653187775606449E-3</v>
      </c>
      <c r="CM15" s="24">
        <f t="shared" si="47"/>
        <v>4.2653187775606449E-3</v>
      </c>
      <c r="CN15" s="24">
        <f t="shared" si="47"/>
        <v>4.2653187775606449E-3</v>
      </c>
      <c r="CO15" s="24">
        <f t="shared" si="47"/>
        <v>4.2653187775606449E-3</v>
      </c>
      <c r="CP15" s="24">
        <f t="shared" si="47"/>
        <v>4.2653187775606449E-3</v>
      </c>
      <c r="CQ15" s="24">
        <f t="shared" si="47"/>
        <v>4.2653187775606449E-3</v>
      </c>
      <c r="CS15" s="14">
        <f t="shared" si="30"/>
        <v>2016</v>
      </c>
      <c r="CT15" s="35">
        <v>0.05</v>
      </c>
      <c r="CU15" s="35">
        <v>0.05</v>
      </c>
      <c r="CV15" s="35">
        <v>0</v>
      </c>
    </row>
    <row r="16" spans="1:100" x14ac:dyDescent="0.2">
      <c r="A16" s="14">
        <v>2021</v>
      </c>
      <c r="B16" s="25">
        <v>3</v>
      </c>
      <c r="E16" s="6">
        <v>10</v>
      </c>
      <c r="F16" s="26">
        <v>2.7E-4</v>
      </c>
      <c r="G16" s="27">
        <v>1.9000000000000001E-4</v>
      </c>
      <c r="H16" s="27">
        <f t="shared" si="31"/>
        <v>1.9000000000000001E-4</v>
      </c>
      <c r="I16" s="28">
        <f t="shared" si="25"/>
        <v>1.5834712320139666E-5</v>
      </c>
      <c r="J16" s="27">
        <f t="shared" si="32"/>
        <v>1.9000000000000001E-4</v>
      </c>
      <c r="K16" s="28">
        <f t="shared" si="26"/>
        <v>1.5834712320139666E-5</v>
      </c>
      <c r="L16" s="27">
        <f t="shared" si="33"/>
        <v>1.9000000000000001E-4</v>
      </c>
      <c r="M16" s="28">
        <f t="shared" si="27"/>
        <v>1.5834712320139666E-5</v>
      </c>
      <c r="N16" s="27">
        <f t="shared" si="34"/>
        <v>1.9000000000000001E-4</v>
      </c>
      <c r="O16" s="28">
        <f t="shared" si="28"/>
        <v>1.5834712320139666E-5</v>
      </c>
      <c r="P16" s="5">
        <v>4.0000000000000002E-4</v>
      </c>
      <c r="Q16" s="28">
        <f t="shared" si="35"/>
        <v>3.3339446006586115E-5</v>
      </c>
      <c r="R16" s="5">
        <v>9.8999999999999999E-4</v>
      </c>
      <c r="S16" s="28">
        <f t="shared" si="36"/>
        <v>8.2537458069298353E-5</v>
      </c>
      <c r="T16" s="30">
        <v>9.0000000000000006E-5</v>
      </c>
      <c r="U16" s="28">
        <f t="shared" si="37"/>
        <v>7.5003093927827891E-6</v>
      </c>
      <c r="V16" s="5">
        <v>4.0000000000000002E-4</v>
      </c>
      <c r="W16" s="28">
        <f t="shared" si="41"/>
        <v>3.3339446006586115E-5</v>
      </c>
      <c r="Z16" s="31">
        <v>10</v>
      </c>
      <c r="AA16" s="32">
        <v>5.3900000000000003E-2</v>
      </c>
      <c r="AB16" s="32">
        <v>6.6799999999999998E-2</v>
      </c>
      <c r="AC16" s="32">
        <v>7.3200000000000001E-2</v>
      </c>
      <c r="AD16" s="32">
        <v>8.3000000000000004E-2</v>
      </c>
      <c r="AE16" s="32">
        <v>7.7600000000000002E-2</v>
      </c>
      <c r="AF16" s="32">
        <v>7.1300000000000002E-2</v>
      </c>
      <c r="AG16" s="32">
        <v>7.5300000000000006E-2</v>
      </c>
      <c r="AH16" s="32">
        <v>7.4899999999999994E-2</v>
      </c>
      <c r="AI16" s="32">
        <v>7.1599999999999997E-2</v>
      </c>
      <c r="AJ16" s="32">
        <v>6.5500000000000003E-2</v>
      </c>
      <c r="AK16" s="32">
        <v>7.0400000000000004E-2</v>
      </c>
      <c r="AL16" s="32">
        <v>6.8199999999999997E-2</v>
      </c>
      <c r="AM16" s="32">
        <v>6.7076208333333331E-2</v>
      </c>
      <c r="AN16" s="32">
        <v>6.6901279166666661E-2</v>
      </c>
      <c r="AO16" s="32">
        <v>6.6841539166666672E-2</v>
      </c>
      <c r="AP16" s="32">
        <v>6.68415391666667E-2</v>
      </c>
      <c r="AQ16" s="32">
        <v>6.755622583333333E-2</v>
      </c>
      <c r="AR16" s="32">
        <v>6.8154071666666663E-2</v>
      </c>
      <c r="AS16" s="32">
        <v>6.8306644166666666E-2</v>
      </c>
      <c r="AT16" s="32">
        <v>6.8480421666666666E-2</v>
      </c>
      <c r="AU16" s="32">
        <v>6.819094416666667E-2</v>
      </c>
      <c r="AV16" s="32">
        <v>6.7920017499999999E-2</v>
      </c>
      <c r="AW16" s="32">
        <v>6.8081759999999991E-2</v>
      </c>
      <c r="AX16" s="32">
        <v>6.8473646666666665E-2</v>
      </c>
      <c r="AY16" s="32">
        <v>7.0677420000000005E-2</v>
      </c>
      <c r="AZ16" s="32">
        <v>6.9255800000000006E-2</v>
      </c>
      <c r="BA16" s="32">
        <v>7.1037400000000001E-2</v>
      </c>
      <c r="BB16" s="32">
        <v>6.9023669999999995E-2</v>
      </c>
      <c r="BC16" s="32">
        <v>6.8646940000000004E-2</v>
      </c>
      <c r="BD16" s="32">
        <v>6.7364489999999999E-2</v>
      </c>
      <c r="BE16" s="32">
        <v>6.7569629999999992E-2</v>
      </c>
      <c r="BF16" s="32">
        <v>6.6146620000000003E-2</v>
      </c>
      <c r="BG16" s="32">
        <v>6.651907E-2</v>
      </c>
      <c r="BJ16" s="31">
        <v>2021</v>
      </c>
      <c r="BK16" s="34">
        <v>2.75E-2</v>
      </c>
      <c r="BM16" s="23">
        <v>2022</v>
      </c>
      <c r="BN16" s="24">
        <f t="shared" ref="BN16:CQ16" si="48">1-(1 - BN36)^(1/12)</f>
        <v>8.3717735912058888E-4</v>
      </c>
      <c r="BO16" s="24">
        <f t="shared" si="48"/>
        <v>1.6821425527395739E-3</v>
      </c>
      <c r="BP16" s="24">
        <f t="shared" si="48"/>
        <v>2.5350486138366879E-3</v>
      </c>
      <c r="BQ16" s="24">
        <f t="shared" si="48"/>
        <v>2.5350486138366879E-3</v>
      </c>
      <c r="BR16" s="24">
        <f t="shared" si="48"/>
        <v>2.5350486138366879E-3</v>
      </c>
      <c r="BS16" s="24">
        <f t="shared" si="48"/>
        <v>2.5350486138366879E-3</v>
      </c>
      <c r="BT16" s="24">
        <f t="shared" si="48"/>
        <v>2.5350486138366879E-3</v>
      </c>
      <c r="BU16" s="24">
        <f t="shared" si="48"/>
        <v>4.2653187775606449E-3</v>
      </c>
      <c r="BV16" s="24">
        <f t="shared" si="48"/>
        <v>3.3960531989175591E-3</v>
      </c>
      <c r="BW16" s="24">
        <f t="shared" si="48"/>
        <v>2.5350486138366879E-3</v>
      </c>
      <c r="BX16" s="24">
        <f t="shared" si="48"/>
        <v>2.5350486138366879E-3</v>
      </c>
      <c r="BY16" s="24">
        <f t="shared" si="48"/>
        <v>2.5350486138366879E-3</v>
      </c>
      <c r="BZ16" s="24">
        <f t="shared" si="48"/>
        <v>2.5350486138366879E-3</v>
      </c>
      <c r="CA16" s="24">
        <f t="shared" si="48"/>
        <v>2.5350486138366879E-3</v>
      </c>
      <c r="CB16" s="24">
        <f t="shared" si="48"/>
        <v>2.5350486138366879E-3</v>
      </c>
      <c r="CC16" s="24">
        <f t="shared" si="48"/>
        <v>2.5350486138366879E-3</v>
      </c>
      <c r="CD16" s="24">
        <f t="shared" si="48"/>
        <v>2.5350486138366879E-3</v>
      </c>
      <c r="CE16" s="24">
        <f t="shared" si="48"/>
        <v>2.5350486138366879E-3</v>
      </c>
      <c r="CF16" s="24">
        <f t="shared" si="48"/>
        <v>2.5350486138366879E-3</v>
      </c>
      <c r="CG16" s="24">
        <f t="shared" si="48"/>
        <v>2.5350486138366879E-3</v>
      </c>
      <c r="CH16" s="24">
        <f t="shared" si="48"/>
        <v>2.5350486138366879E-3</v>
      </c>
      <c r="CI16" s="24">
        <f t="shared" si="48"/>
        <v>2.5350486138366879E-3</v>
      </c>
      <c r="CJ16" s="24">
        <f t="shared" si="48"/>
        <v>2.5350486138366879E-3</v>
      </c>
      <c r="CK16" s="24">
        <f t="shared" si="48"/>
        <v>2.5350486138366879E-3</v>
      </c>
      <c r="CL16" s="24">
        <f t="shared" si="48"/>
        <v>2.5350486138366879E-3</v>
      </c>
      <c r="CM16" s="24">
        <f t="shared" si="48"/>
        <v>2.5350486138366879E-3</v>
      </c>
      <c r="CN16" s="24">
        <f t="shared" si="48"/>
        <v>2.5350486138366879E-3</v>
      </c>
      <c r="CO16" s="24">
        <f t="shared" si="48"/>
        <v>2.5350486138366879E-3</v>
      </c>
      <c r="CP16" s="24">
        <f t="shared" si="48"/>
        <v>2.5350486138366879E-3</v>
      </c>
      <c r="CQ16" s="24">
        <f t="shared" si="48"/>
        <v>2.5350486138366879E-3</v>
      </c>
      <c r="CS16" s="14">
        <f t="shared" si="30"/>
        <v>2017</v>
      </c>
      <c r="CT16" s="35">
        <v>0.05</v>
      </c>
      <c r="CU16" s="35">
        <v>0.05</v>
      </c>
      <c r="CV16" s="35">
        <v>0</v>
      </c>
    </row>
    <row r="17" spans="1:100" x14ac:dyDescent="0.2">
      <c r="A17" s="14">
        <v>2022</v>
      </c>
      <c r="B17" s="25">
        <v>3</v>
      </c>
      <c r="E17" s="6">
        <v>11</v>
      </c>
      <c r="F17" s="26">
        <v>2.7E-4</v>
      </c>
      <c r="G17" s="27">
        <v>1.9000000000000001E-4</v>
      </c>
      <c r="H17" s="27">
        <f t="shared" si="31"/>
        <v>1.9000000000000001E-4</v>
      </c>
      <c r="I17" s="28">
        <f t="shared" si="25"/>
        <v>1.5834712320139666E-5</v>
      </c>
      <c r="J17" s="27">
        <f t="shared" si="32"/>
        <v>1.9000000000000001E-4</v>
      </c>
      <c r="K17" s="28">
        <f t="shared" si="26"/>
        <v>1.5834712320139666E-5</v>
      </c>
      <c r="L17" s="27">
        <f t="shared" si="33"/>
        <v>1.9000000000000001E-4</v>
      </c>
      <c r="M17" s="28">
        <f t="shared" si="27"/>
        <v>1.5834712320139666E-5</v>
      </c>
      <c r="N17" s="27">
        <f t="shared" si="34"/>
        <v>1.9000000000000001E-4</v>
      </c>
      <c r="O17" s="28">
        <f t="shared" si="28"/>
        <v>1.5834712320139666E-5</v>
      </c>
      <c r="P17" s="5">
        <v>4.0000000000000002E-4</v>
      </c>
      <c r="Q17" s="28">
        <f t="shared" si="35"/>
        <v>3.3339446006586115E-5</v>
      </c>
      <c r="R17" s="5">
        <v>9.8999999999999999E-4</v>
      </c>
      <c r="S17" s="28">
        <f t="shared" si="36"/>
        <v>8.2537458069298353E-5</v>
      </c>
      <c r="T17" s="30">
        <v>9.0000000000000006E-5</v>
      </c>
      <c r="U17" s="28">
        <f t="shared" si="37"/>
        <v>7.5003093927827891E-6</v>
      </c>
      <c r="V17" s="5">
        <v>4.0000000000000002E-4</v>
      </c>
      <c r="W17" s="28">
        <f t="shared" si="41"/>
        <v>3.3339446006586115E-5</v>
      </c>
      <c r="Z17" s="31">
        <v>11</v>
      </c>
      <c r="AA17" s="32">
        <v>5.5300000000000002E-2</v>
      </c>
      <c r="AB17" s="32">
        <v>6.8099999999999994E-2</v>
      </c>
      <c r="AC17" s="32">
        <v>7.4200000000000002E-2</v>
      </c>
      <c r="AD17" s="32">
        <v>8.3400000000000002E-2</v>
      </c>
      <c r="AE17" s="32">
        <v>7.8100000000000003E-2</v>
      </c>
      <c r="AF17" s="32">
        <v>7.22E-2</v>
      </c>
      <c r="AG17" s="32">
        <v>7.5999999999999998E-2</v>
      </c>
      <c r="AH17" s="32">
        <v>7.5600000000000001E-2</v>
      </c>
      <c r="AI17" s="32">
        <v>7.2700000000000001E-2</v>
      </c>
      <c r="AJ17" s="32">
        <v>6.6799999999999998E-2</v>
      </c>
      <c r="AK17" s="32">
        <v>7.1300000000000002E-2</v>
      </c>
      <c r="AL17" s="32">
        <v>6.9000000000000006E-2</v>
      </c>
      <c r="AM17" s="32">
        <v>6.7474520833333329E-2</v>
      </c>
      <c r="AN17" s="32">
        <v>6.7280145833333346E-2</v>
      </c>
      <c r="AO17" s="32">
        <v>6.719831250000001E-2</v>
      </c>
      <c r="AP17" s="32">
        <v>6.719831250000001E-2</v>
      </c>
      <c r="AQ17" s="32">
        <v>6.7835974999999993E-2</v>
      </c>
      <c r="AR17" s="32">
        <v>6.839399916666665E-2</v>
      </c>
      <c r="AS17" s="32">
        <v>6.8521810833333335E-2</v>
      </c>
      <c r="AT17" s="32">
        <v>6.8680971666666674E-2</v>
      </c>
      <c r="AU17" s="32">
        <v>6.8402201666666662E-2</v>
      </c>
      <c r="AV17" s="32">
        <v>6.8147303333333339E-2</v>
      </c>
      <c r="AW17" s="32">
        <v>6.8311992500000016E-2</v>
      </c>
      <c r="AX17" s="32">
        <v>6.8692548333333339E-2</v>
      </c>
      <c r="AY17" s="32">
        <v>7.0937879999999995E-2</v>
      </c>
      <c r="AZ17" s="32">
        <v>6.9502519999999998E-2</v>
      </c>
      <c r="BA17" s="32">
        <v>7.1228639999999996E-2</v>
      </c>
      <c r="BB17" s="32">
        <v>6.9372340000000005E-2</v>
      </c>
      <c r="BC17" s="32">
        <v>6.9048890000000002E-2</v>
      </c>
      <c r="BD17" s="32">
        <v>6.7867810000000001E-2</v>
      </c>
      <c r="BE17" s="32">
        <v>6.8246700000000007E-2</v>
      </c>
      <c r="BF17" s="32">
        <v>6.7168829999999999E-2</v>
      </c>
      <c r="BG17" s="32">
        <v>6.7757919999999999E-2</v>
      </c>
      <c r="BJ17" s="31">
        <v>2022</v>
      </c>
      <c r="BK17" s="34">
        <v>2.2099999999999998E-2</v>
      </c>
      <c r="BM17" s="23">
        <v>2023</v>
      </c>
      <c r="BN17" s="24">
        <f t="shared" ref="BN17:CQ17" si="49">1-(1 - BN37)^(1/12)</f>
        <v>8.3717735912058888E-4</v>
      </c>
      <c r="BO17" s="24">
        <f t="shared" si="49"/>
        <v>1.6821425527395739E-3</v>
      </c>
      <c r="BP17" s="24">
        <f t="shared" si="49"/>
        <v>2.5350486138366879E-3</v>
      </c>
      <c r="BQ17" s="24">
        <f t="shared" si="49"/>
        <v>2.5350486138366879E-3</v>
      </c>
      <c r="BR17" s="24">
        <f t="shared" si="49"/>
        <v>2.5350486138366879E-3</v>
      </c>
      <c r="BS17" s="24">
        <f t="shared" si="49"/>
        <v>2.5350486138366879E-3</v>
      </c>
      <c r="BT17" s="24">
        <f t="shared" si="49"/>
        <v>2.5350486138366879E-3</v>
      </c>
      <c r="BU17" s="24">
        <f t="shared" si="49"/>
        <v>4.2653187775606449E-3</v>
      </c>
      <c r="BV17" s="24">
        <f t="shared" si="49"/>
        <v>3.3960531989175591E-3</v>
      </c>
      <c r="BW17" s="24">
        <f t="shared" si="49"/>
        <v>2.5350486138366879E-3</v>
      </c>
      <c r="BX17" s="24">
        <f t="shared" si="49"/>
        <v>2.5350486138366879E-3</v>
      </c>
      <c r="BY17" s="24">
        <f t="shared" si="49"/>
        <v>2.5350486138366879E-3</v>
      </c>
      <c r="BZ17" s="24">
        <f t="shared" si="49"/>
        <v>2.5350486138366879E-3</v>
      </c>
      <c r="CA17" s="24">
        <f t="shared" si="49"/>
        <v>2.5350486138366879E-3</v>
      </c>
      <c r="CB17" s="24">
        <f t="shared" si="49"/>
        <v>2.5350486138366879E-3</v>
      </c>
      <c r="CC17" s="24">
        <f t="shared" si="49"/>
        <v>2.5350486138366879E-3</v>
      </c>
      <c r="CD17" s="24">
        <f t="shared" si="49"/>
        <v>2.5350486138366879E-3</v>
      </c>
      <c r="CE17" s="24">
        <f t="shared" si="49"/>
        <v>2.5350486138366879E-3</v>
      </c>
      <c r="CF17" s="24">
        <f t="shared" si="49"/>
        <v>2.5350486138366879E-3</v>
      </c>
      <c r="CG17" s="24">
        <f t="shared" si="49"/>
        <v>2.5350486138366879E-3</v>
      </c>
      <c r="CH17" s="24">
        <f t="shared" si="49"/>
        <v>2.5350486138366879E-3</v>
      </c>
      <c r="CI17" s="24">
        <f t="shared" si="49"/>
        <v>2.5350486138366879E-3</v>
      </c>
      <c r="CJ17" s="24">
        <f t="shared" si="49"/>
        <v>2.5350486138366879E-3</v>
      </c>
      <c r="CK17" s="24">
        <f t="shared" si="49"/>
        <v>2.5350486138366879E-3</v>
      </c>
      <c r="CL17" s="24">
        <f t="shared" si="49"/>
        <v>2.5350486138366879E-3</v>
      </c>
      <c r="CM17" s="24">
        <f t="shared" si="49"/>
        <v>2.5350486138366879E-3</v>
      </c>
      <c r="CN17" s="24">
        <f t="shared" si="49"/>
        <v>2.5350486138366879E-3</v>
      </c>
      <c r="CO17" s="24">
        <f t="shared" si="49"/>
        <v>2.5350486138366879E-3</v>
      </c>
      <c r="CP17" s="24">
        <f t="shared" si="49"/>
        <v>2.5350486138366879E-3</v>
      </c>
      <c r="CQ17" s="24">
        <f t="shared" si="49"/>
        <v>2.5350486138366879E-3</v>
      </c>
      <c r="CS17" s="14">
        <f t="shared" si="30"/>
        <v>2018</v>
      </c>
      <c r="CT17" s="35">
        <v>0.05</v>
      </c>
      <c r="CU17" s="35">
        <v>0.05</v>
      </c>
      <c r="CV17" s="35">
        <v>0.05</v>
      </c>
    </row>
    <row r="18" spans="1:100" x14ac:dyDescent="0.2">
      <c r="A18" s="14">
        <v>2023</v>
      </c>
      <c r="B18" s="25">
        <v>3</v>
      </c>
      <c r="E18" s="6">
        <v>12</v>
      </c>
      <c r="F18" s="26">
        <v>2.5999999999999998E-4</v>
      </c>
      <c r="G18" s="27">
        <v>1.9000000000000001E-4</v>
      </c>
      <c r="H18" s="27">
        <f t="shared" si="31"/>
        <v>1.9000000000000001E-4</v>
      </c>
      <c r="I18" s="28">
        <f t="shared" si="25"/>
        <v>1.5834712320139666E-5</v>
      </c>
      <c r="J18" s="27">
        <f t="shared" si="32"/>
        <v>1.9000000000000001E-4</v>
      </c>
      <c r="K18" s="28">
        <f t="shared" si="26"/>
        <v>1.5834712320139666E-5</v>
      </c>
      <c r="L18" s="27">
        <f t="shared" si="33"/>
        <v>1.9000000000000001E-4</v>
      </c>
      <c r="M18" s="28">
        <f t="shared" si="27"/>
        <v>1.5834712320139666E-5</v>
      </c>
      <c r="N18" s="27">
        <f t="shared" si="34"/>
        <v>1.9000000000000001E-4</v>
      </c>
      <c r="O18" s="28">
        <f t="shared" si="28"/>
        <v>1.5834712320139666E-5</v>
      </c>
      <c r="P18" s="5">
        <v>4.0000000000000002E-4</v>
      </c>
      <c r="Q18" s="28">
        <f t="shared" si="35"/>
        <v>3.3339446006586115E-5</v>
      </c>
      <c r="R18" s="5">
        <v>9.8999999999999999E-4</v>
      </c>
      <c r="S18" s="28">
        <f t="shared" si="36"/>
        <v>8.2537458069298353E-5</v>
      </c>
      <c r="T18" s="30">
        <v>9.0000000000000006E-5</v>
      </c>
      <c r="U18" s="28">
        <f t="shared" si="37"/>
        <v>7.5003093927827891E-6</v>
      </c>
      <c r="V18" s="5">
        <v>4.0000000000000002E-4</v>
      </c>
      <c r="W18" s="28">
        <f t="shared" si="41"/>
        <v>3.3339446006586115E-5</v>
      </c>
      <c r="Z18" s="31">
        <v>12</v>
      </c>
      <c r="AA18" s="32">
        <v>5.6500000000000002E-2</v>
      </c>
      <c r="AB18" s="32">
        <v>6.93E-2</v>
      </c>
      <c r="AC18" s="32">
        <v>7.4999999999999997E-2</v>
      </c>
      <c r="AD18" s="32">
        <v>8.3699999999999997E-2</v>
      </c>
      <c r="AE18" s="32">
        <v>7.8600000000000003E-2</v>
      </c>
      <c r="AF18" s="32">
        <v>7.3099999999999998E-2</v>
      </c>
      <c r="AG18" s="32">
        <v>7.6600000000000001E-2</v>
      </c>
      <c r="AH18" s="32">
        <v>7.6300000000000007E-2</v>
      </c>
      <c r="AI18" s="32">
        <v>7.3599999999999999E-2</v>
      </c>
      <c r="AJ18" s="32">
        <v>6.7900000000000002E-2</v>
      </c>
      <c r="AK18" s="32">
        <v>7.1900000000000006E-2</v>
      </c>
      <c r="AL18" s="32">
        <v>6.9599999999999995E-2</v>
      </c>
      <c r="AM18" s="32">
        <v>6.781899416666666E-2</v>
      </c>
      <c r="AN18" s="32">
        <v>6.7611980000000002E-2</v>
      </c>
      <c r="AO18" s="32">
        <v>6.7513788333333338E-2</v>
      </c>
      <c r="AP18" s="32">
        <v>6.7513788333333297E-2</v>
      </c>
      <c r="AQ18" s="32">
        <v>6.8084894999999993E-2</v>
      </c>
      <c r="AR18" s="32">
        <v>6.8605320000000011E-2</v>
      </c>
      <c r="AS18" s="32">
        <v>6.87110425E-2</v>
      </c>
      <c r="AT18" s="32">
        <v>6.8856382499999993E-2</v>
      </c>
      <c r="AU18" s="32">
        <v>6.8592454166666678E-2</v>
      </c>
      <c r="AV18" s="32">
        <v>6.8350567500000015E-2</v>
      </c>
      <c r="AW18" s="32">
        <v>6.8515105000000007E-2</v>
      </c>
      <c r="AX18" s="32">
        <v>6.8883454166666677E-2</v>
      </c>
      <c r="AY18" s="32">
        <v>7.1137210000000006E-2</v>
      </c>
      <c r="AZ18" s="32">
        <v>6.9706080000000004E-2</v>
      </c>
      <c r="BA18" s="32">
        <v>7.1357390000000007E-2</v>
      </c>
      <c r="BB18" s="32">
        <v>6.9653069999999997E-2</v>
      </c>
      <c r="BC18" s="32">
        <v>6.9367620000000005E-2</v>
      </c>
      <c r="BD18" s="32">
        <v>6.8298249999999991E-2</v>
      </c>
      <c r="BE18" s="32">
        <v>6.8827340000000001E-2</v>
      </c>
      <c r="BF18" s="32">
        <v>6.8038379999999996E-2</v>
      </c>
      <c r="BG18" s="32">
        <v>6.8764850000000002E-2</v>
      </c>
      <c r="BJ18" s="31">
        <v>2023</v>
      </c>
      <c r="BK18" s="34">
        <v>2.6000000000000002E-2</v>
      </c>
      <c r="BM18" s="23">
        <v>2024</v>
      </c>
      <c r="BN18" s="24">
        <f t="shared" ref="BN18:CQ18" si="50">1-(1 - BN38)^(1/12)</f>
        <v>8.3717735912058888E-4</v>
      </c>
      <c r="BO18" s="24">
        <f t="shared" si="50"/>
        <v>8.3717735912058888E-4</v>
      </c>
      <c r="BP18" s="24">
        <f t="shared" si="50"/>
        <v>9.2132093628904954E-4</v>
      </c>
      <c r="BQ18" s="24">
        <f t="shared" si="50"/>
        <v>2.1075932318602719E-3</v>
      </c>
      <c r="BR18" s="24">
        <f t="shared" si="50"/>
        <v>2.4493962125633484E-3</v>
      </c>
      <c r="BS18" s="24">
        <f t="shared" si="50"/>
        <v>2.7924923467828044E-3</v>
      </c>
      <c r="BT18" s="24">
        <f t="shared" si="50"/>
        <v>3.223196672329065E-3</v>
      </c>
      <c r="BU18" s="24">
        <f t="shared" si="50"/>
        <v>3.223196672329065E-3</v>
      </c>
      <c r="BV18" s="24">
        <f t="shared" si="50"/>
        <v>3.223196672329065E-3</v>
      </c>
      <c r="BW18" s="24">
        <f t="shared" si="50"/>
        <v>3.223196672329065E-3</v>
      </c>
      <c r="BX18" s="24">
        <f t="shared" si="50"/>
        <v>3.223196672329065E-3</v>
      </c>
      <c r="BY18" s="24">
        <f t="shared" si="50"/>
        <v>3.223196672329065E-3</v>
      </c>
      <c r="BZ18" s="24">
        <f t="shared" si="50"/>
        <v>3.223196672329065E-3</v>
      </c>
      <c r="CA18" s="24">
        <f t="shared" si="50"/>
        <v>3.223196672329065E-3</v>
      </c>
      <c r="CB18" s="24">
        <f t="shared" si="50"/>
        <v>3.223196672329065E-3</v>
      </c>
      <c r="CC18" s="24">
        <f t="shared" si="50"/>
        <v>3.223196672329065E-3</v>
      </c>
      <c r="CD18" s="24">
        <f t="shared" si="50"/>
        <v>3.223196672329065E-3</v>
      </c>
      <c r="CE18" s="24">
        <f t="shared" si="50"/>
        <v>3.223196672329065E-3</v>
      </c>
      <c r="CF18" s="24">
        <f t="shared" si="50"/>
        <v>3.223196672329065E-3</v>
      </c>
      <c r="CG18" s="24">
        <f t="shared" si="50"/>
        <v>3.223196672329065E-3</v>
      </c>
      <c r="CH18" s="24">
        <f t="shared" si="50"/>
        <v>3.223196672329065E-3</v>
      </c>
      <c r="CI18" s="24">
        <f t="shared" si="50"/>
        <v>3.223196672329065E-3</v>
      </c>
      <c r="CJ18" s="24">
        <f t="shared" si="50"/>
        <v>3.223196672329065E-3</v>
      </c>
      <c r="CK18" s="24">
        <f t="shared" si="50"/>
        <v>3.223196672329065E-3</v>
      </c>
      <c r="CL18" s="24">
        <f t="shared" si="50"/>
        <v>3.223196672329065E-3</v>
      </c>
      <c r="CM18" s="24">
        <f t="shared" si="50"/>
        <v>3.223196672329065E-3</v>
      </c>
      <c r="CN18" s="24">
        <f t="shared" si="50"/>
        <v>3.223196672329065E-3</v>
      </c>
      <c r="CO18" s="24">
        <f t="shared" si="50"/>
        <v>3.223196672329065E-3</v>
      </c>
      <c r="CP18" s="24">
        <f t="shared" si="50"/>
        <v>3.223196672329065E-3</v>
      </c>
      <c r="CQ18" s="24">
        <f t="shared" si="50"/>
        <v>3.223196672329065E-3</v>
      </c>
      <c r="CS18" s="14">
        <f t="shared" si="30"/>
        <v>2019</v>
      </c>
      <c r="CT18" s="35">
        <v>0.05</v>
      </c>
      <c r="CU18" s="35">
        <v>0.05</v>
      </c>
      <c r="CV18" s="35">
        <v>0.05</v>
      </c>
    </row>
    <row r="19" spans="1:100" x14ac:dyDescent="0.2">
      <c r="A19" s="14">
        <v>2024</v>
      </c>
      <c r="B19" s="25">
        <v>3</v>
      </c>
      <c r="E19" s="6">
        <v>13</v>
      </c>
      <c r="F19" s="26">
        <v>2.5999999999999998E-4</v>
      </c>
      <c r="G19" s="27">
        <v>2.0000000000000001E-4</v>
      </c>
      <c r="H19" s="27">
        <f t="shared" si="31"/>
        <v>2.0000000000000001E-4</v>
      </c>
      <c r="I19" s="28">
        <f t="shared" si="25"/>
        <v>1.6668194639635203E-5</v>
      </c>
      <c r="J19" s="27">
        <f t="shared" si="32"/>
        <v>2.0000000000000001E-4</v>
      </c>
      <c r="K19" s="28">
        <f t="shared" si="26"/>
        <v>1.6668194639635203E-5</v>
      </c>
      <c r="L19" s="27">
        <f t="shared" si="33"/>
        <v>2.0000000000000001E-4</v>
      </c>
      <c r="M19" s="28">
        <f t="shared" si="27"/>
        <v>1.6668194639635203E-5</v>
      </c>
      <c r="N19" s="27">
        <f t="shared" si="34"/>
        <v>2.0000000000000001E-4</v>
      </c>
      <c r="O19" s="28">
        <f t="shared" si="28"/>
        <v>1.6668194639635203E-5</v>
      </c>
      <c r="P19" s="5">
        <v>4.0000000000000002E-4</v>
      </c>
      <c r="Q19" s="28">
        <f t="shared" si="35"/>
        <v>3.3339446006586115E-5</v>
      </c>
      <c r="R19" s="5">
        <v>9.8999999999999999E-4</v>
      </c>
      <c r="S19" s="28">
        <f t="shared" si="36"/>
        <v>8.2537458069298353E-5</v>
      </c>
      <c r="T19" s="30">
        <v>9.0000000000000006E-5</v>
      </c>
      <c r="U19" s="28">
        <f t="shared" si="37"/>
        <v>7.5003093927827891E-6</v>
      </c>
      <c r="V19" s="5">
        <v>4.0000000000000002E-4</v>
      </c>
      <c r="W19" s="28">
        <f t="shared" si="41"/>
        <v>3.3339446006586115E-5</v>
      </c>
      <c r="Z19" s="31">
        <v>13</v>
      </c>
      <c r="AA19" s="32">
        <v>5.7700000000000001E-2</v>
      </c>
      <c r="AB19" s="32">
        <v>7.0300000000000001E-2</v>
      </c>
      <c r="AC19" s="32">
        <v>7.5800000000000006E-2</v>
      </c>
      <c r="AD19" s="32">
        <v>8.4099999999999994E-2</v>
      </c>
      <c r="AE19" s="32">
        <v>7.9100000000000004E-2</v>
      </c>
      <c r="AF19" s="32">
        <v>7.3800000000000004E-2</v>
      </c>
      <c r="AG19" s="32">
        <v>7.7200000000000005E-2</v>
      </c>
      <c r="AH19" s="32">
        <v>7.6899999999999996E-2</v>
      </c>
      <c r="AI19" s="32">
        <v>7.4300000000000005E-2</v>
      </c>
      <c r="AJ19" s="32">
        <v>6.88E-2</v>
      </c>
      <c r="AK19" s="32">
        <v>7.2400000000000006E-2</v>
      </c>
      <c r="AL19" s="32">
        <v>7.0099999999999996E-2</v>
      </c>
      <c r="AM19" s="32">
        <v>6.8113944999999995E-2</v>
      </c>
      <c r="AN19" s="32">
        <v>6.7900040833333328E-2</v>
      </c>
      <c r="AO19" s="32">
        <v>6.7790744999999999E-2</v>
      </c>
      <c r="AP19" s="32">
        <v>6.7790744999999999E-2</v>
      </c>
      <c r="AQ19" s="32">
        <v>6.8305092499999998E-2</v>
      </c>
      <c r="AR19" s="32">
        <v>6.8790663333333335E-2</v>
      </c>
      <c r="AS19" s="32">
        <v>6.8876977499999992E-2</v>
      </c>
      <c r="AT19" s="32">
        <v>6.900963333333332E-2</v>
      </c>
      <c r="AU19" s="32">
        <v>6.8762817500000004E-2</v>
      </c>
      <c r="AV19" s="32">
        <v>6.8531236666666676E-2</v>
      </c>
      <c r="AW19" s="32">
        <v>6.8693050833333338E-2</v>
      </c>
      <c r="AX19" s="32">
        <v>6.9048528333333317E-2</v>
      </c>
      <c r="AY19" s="32">
        <v>7.1286169999999996E-2</v>
      </c>
      <c r="AZ19" s="32">
        <v>6.9871719999999998E-2</v>
      </c>
      <c r="BA19" s="32">
        <v>7.1442339999999993E-2</v>
      </c>
      <c r="BB19" s="32">
        <v>6.9875949999999992E-2</v>
      </c>
      <c r="BC19" s="32">
        <v>6.9617180000000001E-2</v>
      </c>
      <c r="BD19" s="32">
        <v>6.8662769999999998E-2</v>
      </c>
      <c r="BE19" s="32">
        <v>6.9321240000000006E-2</v>
      </c>
      <c r="BF19" s="32">
        <v>6.876575E-2</v>
      </c>
      <c r="BG19" s="32">
        <v>6.956495E-2</v>
      </c>
      <c r="BJ19" s="36">
        <v>45322</v>
      </c>
      <c r="BK19" s="34">
        <v>3.1788888888888894E-2</v>
      </c>
      <c r="BM19" s="23">
        <v>2025</v>
      </c>
      <c r="BN19" s="24">
        <f t="shared" ref="BN19:CQ19" si="51">1-(1 - BN39)^(1/12)</f>
        <v>8.3717735912058888E-4</v>
      </c>
      <c r="BO19" s="24">
        <f t="shared" si="51"/>
        <v>8.3717735912058888E-4</v>
      </c>
      <c r="BP19" s="24">
        <f t="shared" si="51"/>
        <v>8.3717735912058888E-4</v>
      </c>
      <c r="BQ19" s="24">
        <f t="shared" si="51"/>
        <v>1.3601287370708093E-3</v>
      </c>
      <c r="BR19" s="24">
        <f t="shared" si="51"/>
        <v>2.2270778164307226E-3</v>
      </c>
      <c r="BS19" s="24">
        <f t="shared" si="51"/>
        <v>2.9128833985161418E-3</v>
      </c>
      <c r="BT19" s="24">
        <f t="shared" si="51"/>
        <v>3.0765274376197693E-3</v>
      </c>
      <c r="BU19" s="24">
        <f t="shared" si="51"/>
        <v>3.0765274376197693E-3</v>
      </c>
      <c r="BV19" s="24">
        <f t="shared" si="51"/>
        <v>3.0765274376197693E-3</v>
      </c>
      <c r="BW19" s="24">
        <f t="shared" si="51"/>
        <v>3.0765274376197693E-3</v>
      </c>
      <c r="BX19" s="24">
        <f t="shared" si="51"/>
        <v>3.0765274376197693E-3</v>
      </c>
      <c r="BY19" s="24">
        <f t="shared" si="51"/>
        <v>3.0765274376197693E-3</v>
      </c>
      <c r="BZ19" s="24">
        <f t="shared" si="51"/>
        <v>3.0765274376197693E-3</v>
      </c>
      <c r="CA19" s="24">
        <f t="shared" si="51"/>
        <v>3.0765274376197693E-3</v>
      </c>
      <c r="CB19" s="24">
        <f t="shared" si="51"/>
        <v>3.0765274376197693E-3</v>
      </c>
      <c r="CC19" s="24">
        <f t="shared" si="51"/>
        <v>3.0765274376197693E-3</v>
      </c>
      <c r="CD19" s="24">
        <f t="shared" si="51"/>
        <v>3.0765274376197693E-3</v>
      </c>
      <c r="CE19" s="24">
        <f t="shared" si="51"/>
        <v>3.0765274376197693E-3</v>
      </c>
      <c r="CF19" s="24">
        <f t="shared" si="51"/>
        <v>3.0765274376197693E-3</v>
      </c>
      <c r="CG19" s="24">
        <f t="shared" si="51"/>
        <v>3.0765274376197693E-3</v>
      </c>
      <c r="CH19" s="24">
        <f t="shared" si="51"/>
        <v>3.0765274376197693E-3</v>
      </c>
      <c r="CI19" s="24">
        <f t="shared" si="51"/>
        <v>3.0765274376197693E-3</v>
      </c>
      <c r="CJ19" s="24">
        <f t="shared" si="51"/>
        <v>3.0765274376197693E-3</v>
      </c>
      <c r="CK19" s="24">
        <f t="shared" si="51"/>
        <v>3.0765274376197693E-3</v>
      </c>
      <c r="CL19" s="24">
        <f t="shared" si="51"/>
        <v>3.0765274376197693E-3</v>
      </c>
      <c r="CM19" s="24">
        <f t="shared" si="51"/>
        <v>3.0765274376197693E-3</v>
      </c>
      <c r="CN19" s="24">
        <f t="shared" si="51"/>
        <v>3.0765274376197693E-3</v>
      </c>
      <c r="CO19" s="24">
        <f t="shared" si="51"/>
        <v>3.0765274376197693E-3</v>
      </c>
      <c r="CP19" s="24">
        <f t="shared" si="51"/>
        <v>3.0765274376197693E-3</v>
      </c>
      <c r="CQ19" s="24">
        <f t="shared" si="51"/>
        <v>3.0765274376197693E-3</v>
      </c>
      <c r="CS19" s="14">
        <f t="shared" si="30"/>
        <v>2020</v>
      </c>
      <c r="CT19" s="35">
        <v>0.05</v>
      </c>
      <c r="CU19" s="35">
        <v>0.05</v>
      </c>
      <c r="CV19" s="35">
        <v>0.05</v>
      </c>
    </row>
    <row r="20" spans="1:100" x14ac:dyDescent="0.2">
      <c r="A20" s="14">
        <v>2025</v>
      </c>
      <c r="B20" s="25">
        <v>3</v>
      </c>
      <c r="E20" s="6">
        <v>14</v>
      </c>
      <c r="F20" s="26">
        <v>2.7E-4</v>
      </c>
      <c r="G20" s="27">
        <v>2.3000000000000001E-4</v>
      </c>
      <c r="H20" s="27">
        <f t="shared" si="31"/>
        <v>2.3000000000000001E-4</v>
      </c>
      <c r="I20" s="28">
        <f t="shared" si="25"/>
        <v>1.9168687449777622E-5</v>
      </c>
      <c r="J20" s="27">
        <f t="shared" si="32"/>
        <v>2.3000000000000001E-4</v>
      </c>
      <c r="K20" s="28">
        <f t="shared" si="26"/>
        <v>1.9168687449777622E-5</v>
      </c>
      <c r="L20" s="27">
        <f t="shared" si="33"/>
        <v>2.3000000000000001E-4</v>
      </c>
      <c r="M20" s="28">
        <f t="shared" si="27"/>
        <v>1.9168687449777622E-5</v>
      </c>
      <c r="N20" s="27">
        <f t="shared" si="34"/>
        <v>2.3000000000000001E-4</v>
      </c>
      <c r="O20" s="28">
        <f t="shared" si="28"/>
        <v>1.9168687449777622E-5</v>
      </c>
      <c r="P20" s="5">
        <v>4.0000000000000002E-4</v>
      </c>
      <c r="Q20" s="28">
        <f t="shared" si="35"/>
        <v>3.3339446006586115E-5</v>
      </c>
      <c r="R20" s="5">
        <v>9.8999999999999999E-4</v>
      </c>
      <c r="S20" s="28">
        <f t="shared" si="36"/>
        <v>8.2537458069298353E-5</v>
      </c>
      <c r="T20" s="30">
        <v>9.0000000000000006E-5</v>
      </c>
      <c r="U20" s="28">
        <f t="shared" si="37"/>
        <v>7.5003093927827891E-6</v>
      </c>
      <c r="V20" s="5">
        <v>4.0000000000000002E-4</v>
      </c>
      <c r="W20" s="28">
        <f t="shared" si="41"/>
        <v>3.3339446006586115E-5</v>
      </c>
      <c r="Z20" s="31">
        <v>14</v>
      </c>
      <c r="AA20" s="32">
        <v>5.8700000000000002E-2</v>
      </c>
      <c r="AB20" s="32">
        <v>7.1199999999999999E-2</v>
      </c>
      <c r="AC20" s="32">
        <v>7.6499999999999999E-2</v>
      </c>
      <c r="AD20" s="32">
        <v>8.4500000000000006E-2</v>
      </c>
      <c r="AE20" s="32">
        <v>7.9500000000000001E-2</v>
      </c>
      <c r="AF20" s="32">
        <v>7.4499999999999997E-2</v>
      </c>
      <c r="AG20" s="32">
        <v>7.7700000000000005E-2</v>
      </c>
      <c r="AH20" s="32">
        <v>7.7499999999999999E-2</v>
      </c>
      <c r="AI20" s="32">
        <v>7.4899999999999994E-2</v>
      </c>
      <c r="AJ20" s="32">
        <v>6.9500000000000006E-2</v>
      </c>
      <c r="AK20" s="32">
        <v>7.2900000000000006E-2</v>
      </c>
      <c r="AL20" s="32">
        <v>7.0499999999999993E-2</v>
      </c>
      <c r="AM20" s="32">
        <v>6.8364788333333329E-2</v>
      </c>
      <c r="AN20" s="32">
        <v>6.8148492499999991E-2</v>
      </c>
      <c r="AO20" s="32">
        <v>6.8032540833333335E-2</v>
      </c>
      <c r="AP20" s="32">
        <v>6.8032540833333308E-2</v>
      </c>
      <c r="AQ20" s="32">
        <v>6.8498969166666673E-2</v>
      </c>
      <c r="AR20" s="32">
        <v>6.8952628333333335E-2</v>
      </c>
      <c r="AS20" s="32">
        <v>6.9022144999999993E-2</v>
      </c>
      <c r="AT20" s="32">
        <v>6.9143431666666658E-2</v>
      </c>
      <c r="AU20" s="32">
        <v>6.8914548333333325E-2</v>
      </c>
      <c r="AV20" s="32">
        <v>6.8690964166666674E-2</v>
      </c>
      <c r="AW20" s="32">
        <v>6.8848047500000009E-2</v>
      </c>
      <c r="AX20" s="32">
        <v>6.9190243333333332E-2</v>
      </c>
      <c r="AY20" s="32">
        <v>7.1395340000000002E-2</v>
      </c>
      <c r="AZ20" s="32">
        <v>7.0004860000000002E-2</v>
      </c>
      <c r="BA20" s="32">
        <v>7.1497459999999999E-2</v>
      </c>
      <c r="BB20" s="32">
        <v>7.0050809999999991E-2</v>
      </c>
      <c r="BC20" s="32">
        <v>6.9810469999999999E-2</v>
      </c>
      <c r="BD20" s="32">
        <v>6.8968730000000006E-2</v>
      </c>
      <c r="BE20" s="32">
        <v>6.9737889999999997E-2</v>
      </c>
      <c r="BF20" s="32">
        <v>6.9364120000000001E-2</v>
      </c>
      <c r="BG20" s="32">
        <v>7.0186109999999996E-2</v>
      </c>
      <c r="BJ20" s="36">
        <f>EOMONTH(BJ19,1)</f>
        <v>45351</v>
      </c>
      <c r="BK20" s="34">
        <v>3.2169444444444445E-2</v>
      </c>
      <c r="CS20" s="14">
        <f t="shared" si="30"/>
        <v>2021</v>
      </c>
      <c r="CT20" s="35">
        <v>0.05</v>
      </c>
      <c r="CU20" s="35">
        <v>0.05</v>
      </c>
      <c r="CV20" s="35">
        <v>0.05</v>
      </c>
    </row>
    <row r="21" spans="1:100" x14ac:dyDescent="0.2">
      <c r="E21" s="6">
        <v>15</v>
      </c>
      <c r="F21" s="26">
        <v>2.9E-4</v>
      </c>
      <c r="G21" s="27">
        <v>2.7E-4</v>
      </c>
      <c r="H21" s="27">
        <f t="shared" si="31"/>
        <v>2.7E-4</v>
      </c>
      <c r="I21" s="28">
        <f t="shared" si="25"/>
        <v>2.2502784855382707E-5</v>
      </c>
      <c r="J21" s="27">
        <f t="shared" si="32"/>
        <v>2.7E-4</v>
      </c>
      <c r="K21" s="28">
        <f t="shared" si="26"/>
        <v>2.2502784855382707E-5</v>
      </c>
      <c r="L21" s="27">
        <f t="shared" si="33"/>
        <v>2.7E-4</v>
      </c>
      <c r="M21" s="28">
        <f t="shared" si="27"/>
        <v>2.2502784855382707E-5</v>
      </c>
      <c r="N21" s="27">
        <f t="shared" si="34"/>
        <v>2.7E-4</v>
      </c>
      <c r="O21" s="28">
        <f t="shared" si="28"/>
        <v>2.2502784855382707E-5</v>
      </c>
      <c r="P21" s="5">
        <v>4.0000000000000002E-4</v>
      </c>
      <c r="Q21" s="28">
        <f t="shared" si="35"/>
        <v>3.3339446006586115E-5</v>
      </c>
      <c r="R21" s="5">
        <v>9.8999999999999999E-4</v>
      </c>
      <c r="S21" s="28">
        <f t="shared" si="36"/>
        <v>8.2537458069298353E-5</v>
      </c>
      <c r="T21" s="30">
        <v>9.0000000000000006E-5</v>
      </c>
      <c r="U21" s="28">
        <f t="shared" si="37"/>
        <v>7.5003093927827891E-6</v>
      </c>
      <c r="V21" s="5">
        <v>4.0000000000000002E-4</v>
      </c>
      <c r="W21" s="28">
        <f t="shared" si="41"/>
        <v>3.3339446006586115E-5</v>
      </c>
      <c r="Z21" s="31">
        <v>15</v>
      </c>
      <c r="AA21" s="32">
        <v>5.949999999999999E-2</v>
      </c>
      <c r="AB21" s="32">
        <v>7.1999999999999995E-2</v>
      </c>
      <c r="AC21" s="32">
        <v>7.7100000000000002E-2</v>
      </c>
      <c r="AD21" s="32">
        <v>8.48E-2</v>
      </c>
      <c r="AE21" s="32">
        <v>7.9799999999999996E-2</v>
      </c>
      <c r="AF21" s="32">
        <v>7.51E-2</v>
      </c>
      <c r="AG21" s="32">
        <v>7.8100000000000003E-2</v>
      </c>
      <c r="AH21" s="32">
        <v>7.8E-2</v>
      </c>
      <c r="AI21" s="32">
        <v>7.5399999999999995E-2</v>
      </c>
      <c r="AJ21" s="32">
        <v>7.0199999999999999E-2</v>
      </c>
      <c r="AK21" s="32">
        <v>7.3200000000000001E-2</v>
      </c>
      <c r="AL21" s="32">
        <v>7.0800000000000002E-2</v>
      </c>
      <c r="AM21" s="32">
        <v>6.8577210833333332E-2</v>
      </c>
      <c r="AN21" s="32">
        <v>6.8361811666666675E-2</v>
      </c>
      <c r="AO21" s="32">
        <v>6.8242740833333343E-2</v>
      </c>
      <c r="AP21" s="32">
        <v>6.8242740833333343E-2</v>
      </c>
      <c r="AQ21" s="32">
        <v>6.8669008333333351E-2</v>
      </c>
      <c r="AR21" s="32">
        <v>6.9093706666666685E-2</v>
      </c>
      <c r="AS21" s="32">
        <v>6.9148889166666686E-2</v>
      </c>
      <c r="AT21" s="32">
        <v>6.9260183333333336E-2</v>
      </c>
      <c r="AU21" s="32">
        <v>6.9049008333333328E-2</v>
      </c>
      <c r="AV21" s="32">
        <v>6.8831523333333339E-2</v>
      </c>
      <c r="AW21" s="32">
        <v>6.8982415833333352E-2</v>
      </c>
      <c r="AX21" s="32">
        <v>6.9311173333333337E-2</v>
      </c>
      <c r="AY21" s="32">
        <v>7.1474040000000003E-2</v>
      </c>
      <c r="AZ21" s="32">
        <v>7.0110720000000001E-2</v>
      </c>
      <c r="BA21" s="32">
        <v>7.1532720000000008E-2</v>
      </c>
      <c r="BB21" s="32">
        <v>7.0186559999999995E-2</v>
      </c>
      <c r="BC21" s="32">
        <v>6.9958779999999998E-2</v>
      </c>
      <c r="BD21" s="32">
        <v>6.9223489999999999E-2</v>
      </c>
      <c r="BE21" s="32">
        <v>7.0086320000000008E-2</v>
      </c>
      <c r="BF21" s="32">
        <v>6.9847999999999993E-2</v>
      </c>
      <c r="BG21" s="32">
        <v>7.0656270000000007E-2</v>
      </c>
      <c r="BJ21" s="36">
        <f t="shared" ref="BJ21:BJ39" si="52">EOMONTH(BJ20,1)</f>
        <v>45382</v>
      </c>
      <c r="BK21" s="34">
        <v>3.2636111111111116E-2</v>
      </c>
      <c r="BM21" s="2" t="s">
        <v>316</v>
      </c>
      <c r="BN21" s="2">
        <f>YEAR(BEL!J4)</f>
        <v>2023</v>
      </c>
      <c r="CS21" s="14">
        <f t="shared" si="30"/>
        <v>2022</v>
      </c>
      <c r="CT21" s="35">
        <v>0.05</v>
      </c>
      <c r="CU21" s="35">
        <v>0.05</v>
      </c>
      <c r="CV21" s="35">
        <v>0.05</v>
      </c>
    </row>
    <row r="22" spans="1:100" x14ac:dyDescent="0.2">
      <c r="E22" s="6">
        <v>16</v>
      </c>
      <c r="F22" s="26">
        <v>2.9999999999999997E-4</v>
      </c>
      <c r="G22" s="27">
        <v>3.1E-4</v>
      </c>
      <c r="H22" s="27">
        <f t="shared" si="31"/>
        <v>3.1E-4</v>
      </c>
      <c r="I22" s="28">
        <f t="shared" si="25"/>
        <v>2.5837004546613862E-5</v>
      </c>
      <c r="J22" s="27">
        <f t="shared" si="32"/>
        <v>3.1E-4</v>
      </c>
      <c r="K22" s="28">
        <f t="shared" si="26"/>
        <v>2.5837004546613862E-5</v>
      </c>
      <c r="L22" s="27">
        <f t="shared" si="33"/>
        <v>3.1E-4</v>
      </c>
      <c r="M22" s="28">
        <f t="shared" si="27"/>
        <v>2.5837004546613862E-5</v>
      </c>
      <c r="N22" s="27">
        <f t="shared" si="34"/>
        <v>3.1E-4</v>
      </c>
      <c r="O22" s="28">
        <f t="shared" si="28"/>
        <v>2.5837004546613862E-5</v>
      </c>
      <c r="P22" s="5">
        <v>4.0000000000000002E-4</v>
      </c>
      <c r="Q22" s="28">
        <f t="shared" si="35"/>
        <v>3.3339446006586115E-5</v>
      </c>
      <c r="R22" s="5">
        <v>9.8999999999999999E-4</v>
      </c>
      <c r="S22" s="28">
        <f t="shared" si="36"/>
        <v>8.2537458069298353E-5</v>
      </c>
      <c r="T22" s="30">
        <v>9.0000000000000006E-5</v>
      </c>
      <c r="U22" s="28">
        <f t="shared" si="37"/>
        <v>7.5003093927827891E-6</v>
      </c>
      <c r="V22" s="5">
        <v>4.0000000000000002E-4</v>
      </c>
      <c r="W22" s="28">
        <f t="shared" si="41"/>
        <v>3.3339446006586115E-5</v>
      </c>
      <c r="Z22" s="31">
        <v>16</v>
      </c>
      <c r="AA22" s="32">
        <v>6.0299999999999999E-2</v>
      </c>
      <c r="AB22" s="32">
        <v>7.2700000000000001E-2</v>
      </c>
      <c r="AC22" s="32">
        <v>7.7700000000000005E-2</v>
      </c>
      <c r="AD22" s="32">
        <v>8.5099999999999995E-2</v>
      </c>
      <c r="AE22" s="32">
        <v>8.0199999999999994E-2</v>
      </c>
      <c r="AF22" s="32">
        <v>7.5600000000000001E-2</v>
      </c>
      <c r="AG22" s="32">
        <v>7.85E-2</v>
      </c>
      <c r="AH22" s="32">
        <v>7.8399999999999997E-2</v>
      </c>
      <c r="AI22" s="32">
        <v>7.5899999999999995E-2</v>
      </c>
      <c r="AJ22" s="32">
        <v>7.0699999999999999E-2</v>
      </c>
      <c r="AK22" s="32">
        <v>7.3200000000000001E-2</v>
      </c>
      <c r="AL22" s="32">
        <v>7.1099999999999997E-2</v>
      </c>
      <c r="AM22" s="32">
        <v>6.8756678333333335E-2</v>
      </c>
      <c r="AN22" s="32">
        <v>6.8544413333333332E-2</v>
      </c>
      <c r="AO22" s="32">
        <v>6.8424881666666673E-2</v>
      </c>
      <c r="AP22" s="32">
        <v>6.8424881666666673E-2</v>
      </c>
      <c r="AQ22" s="32">
        <v>6.8817670000000011E-2</v>
      </c>
      <c r="AR22" s="32">
        <v>6.9216257500000003E-2</v>
      </c>
      <c r="AS22" s="32">
        <v>6.9259369166666654E-2</v>
      </c>
      <c r="AT22" s="32">
        <v>6.9362021666666648E-2</v>
      </c>
      <c r="AU22" s="32">
        <v>6.9167630833333341E-2</v>
      </c>
      <c r="AV22" s="32">
        <v>6.8954730000000006E-2</v>
      </c>
      <c r="AW22" s="32">
        <v>6.9098460833333333E-2</v>
      </c>
      <c r="AX22" s="32">
        <v>6.9413850833333332E-2</v>
      </c>
      <c r="AY22" s="32">
        <v>7.153002E-2</v>
      </c>
      <c r="AZ22" s="32">
        <v>7.0194060000000003E-2</v>
      </c>
      <c r="BA22" s="32">
        <v>7.1555019999999997E-2</v>
      </c>
      <c r="BB22" s="32">
        <v>7.0290999999999992E-2</v>
      </c>
      <c r="BC22" s="32">
        <v>7.0071649999999999E-2</v>
      </c>
      <c r="BD22" s="32">
        <v>6.9434079999999995E-2</v>
      </c>
      <c r="BE22" s="32">
        <v>7.0374969999999995E-2</v>
      </c>
      <c r="BF22" s="32">
        <v>7.0232150000000007E-2</v>
      </c>
      <c r="BG22" s="32">
        <v>7.1001739999999994E-2</v>
      </c>
      <c r="BJ22" s="36">
        <f t="shared" si="52"/>
        <v>45412</v>
      </c>
      <c r="BK22" s="34">
        <v>3.3075E-2</v>
      </c>
      <c r="BM22" s="2" t="s">
        <v>67</v>
      </c>
      <c r="CS22" s="14">
        <f t="shared" si="30"/>
        <v>2023</v>
      </c>
      <c r="CT22" s="35">
        <v>0</v>
      </c>
      <c r="CU22" s="35">
        <v>-0.15</v>
      </c>
      <c r="CV22" s="35">
        <v>0.05</v>
      </c>
    </row>
    <row r="23" spans="1:100" x14ac:dyDescent="0.2">
      <c r="A23" s="37" t="s">
        <v>83</v>
      </c>
      <c r="B23" s="38" t="str">
        <f>BEL!J7</f>
        <v>Koperasi Sahabat Mitra Sejati UP Menurun</v>
      </c>
      <c r="E23" s="6">
        <v>17</v>
      </c>
      <c r="F23" s="26">
        <v>3.2000000000000003E-4</v>
      </c>
      <c r="G23" s="27">
        <v>3.6999999999999999E-4</v>
      </c>
      <c r="H23" s="27">
        <f t="shared" si="31"/>
        <v>3.6999999999999999E-4</v>
      </c>
      <c r="I23" s="28">
        <f t="shared" si="25"/>
        <v>3.0838563389146145E-5</v>
      </c>
      <c r="J23" s="27">
        <f t="shared" si="32"/>
        <v>3.6999999999999999E-4</v>
      </c>
      <c r="K23" s="28">
        <f t="shared" si="26"/>
        <v>3.0838563389146145E-5</v>
      </c>
      <c r="L23" s="27">
        <f t="shared" si="33"/>
        <v>3.6999999999999999E-4</v>
      </c>
      <c r="M23" s="28">
        <f t="shared" si="27"/>
        <v>3.0838563389146145E-5</v>
      </c>
      <c r="N23" s="27">
        <f t="shared" si="34"/>
        <v>3.6999999999999999E-4</v>
      </c>
      <c r="O23" s="28">
        <f t="shared" si="28"/>
        <v>3.0838563389146145E-5</v>
      </c>
      <c r="P23" s="5">
        <v>4.0000000000000002E-4</v>
      </c>
      <c r="Q23" s="28">
        <f t="shared" si="35"/>
        <v>3.3339446006586115E-5</v>
      </c>
      <c r="R23" s="5">
        <v>9.8999999999999999E-4</v>
      </c>
      <c r="S23" s="28">
        <f t="shared" si="36"/>
        <v>8.2537458069298353E-5</v>
      </c>
      <c r="T23" s="30">
        <v>9.0000000000000006E-5</v>
      </c>
      <c r="U23" s="28">
        <f t="shared" si="37"/>
        <v>7.5003093927827891E-6</v>
      </c>
      <c r="V23" s="5">
        <v>4.0000000000000002E-4</v>
      </c>
      <c r="W23" s="28">
        <f t="shared" si="41"/>
        <v>3.3339446006586115E-5</v>
      </c>
      <c r="Z23" s="31">
        <v>17</v>
      </c>
      <c r="AA23" s="32">
        <v>6.0899999999999996E-2</v>
      </c>
      <c r="AB23" s="32">
        <v>7.3300000000000004E-2</v>
      </c>
      <c r="AC23" s="32">
        <v>7.8100000000000003E-2</v>
      </c>
      <c r="AD23" s="32">
        <v>8.5400000000000004E-2</v>
      </c>
      <c r="AE23" s="32">
        <v>8.0399999999999999E-2</v>
      </c>
      <c r="AF23" s="32">
        <v>7.5999999999999998E-2</v>
      </c>
      <c r="AG23" s="32">
        <v>7.8899999999999998E-2</v>
      </c>
      <c r="AH23" s="32">
        <v>7.8799999999999995E-2</v>
      </c>
      <c r="AI23" s="32">
        <v>7.6200000000000004E-2</v>
      </c>
      <c r="AJ23" s="32">
        <v>7.1099999999999997E-2</v>
      </c>
      <c r="AK23" s="32">
        <v>7.3300000000000004E-2</v>
      </c>
      <c r="AL23" s="32">
        <v>7.1199999999999999E-2</v>
      </c>
      <c r="AM23" s="32">
        <v>6.8908169166666672E-2</v>
      </c>
      <c r="AN23" s="32">
        <v>6.8700426666666661E-2</v>
      </c>
      <c r="AO23" s="32">
        <v>6.8582313333333339E-2</v>
      </c>
      <c r="AP23" s="32">
        <v>6.8582313333333297E-2</v>
      </c>
      <c r="AQ23" s="32">
        <v>6.8947290833333341E-2</v>
      </c>
      <c r="AR23" s="32">
        <v>6.9322462500000001E-2</v>
      </c>
      <c r="AS23" s="32">
        <v>6.9355529999999999E-2</v>
      </c>
      <c r="AT23" s="32">
        <v>6.9450814166666666E-2</v>
      </c>
      <c r="AU23" s="32">
        <v>6.9271862500000003E-2</v>
      </c>
      <c r="AV23" s="32">
        <v>6.9062362500000002E-2</v>
      </c>
      <c r="AW23" s="32">
        <v>6.9198379166666671E-2</v>
      </c>
      <c r="AX23" s="32">
        <v>6.9500665833333336E-2</v>
      </c>
      <c r="AY23" s="32">
        <v>7.1569359999999999E-2</v>
      </c>
      <c r="AZ23" s="32">
        <v>7.025911E-2</v>
      </c>
      <c r="BA23" s="32">
        <v>7.1568960000000001E-2</v>
      </c>
      <c r="BB23" s="32">
        <v>7.0370710000000003E-2</v>
      </c>
      <c r="BC23" s="32">
        <v>7.0156919999999998E-2</v>
      </c>
      <c r="BD23" s="32">
        <v>6.9607020000000006E-2</v>
      </c>
      <c r="BE23" s="32">
        <v>7.0611590000000002E-2</v>
      </c>
      <c r="BF23" s="32">
        <v>7.0530850000000006E-2</v>
      </c>
      <c r="BG23" s="32">
        <v>7.1246169999999998E-2</v>
      </c>
      <c r="BJ23" s="36">
        <f t="shared" si="52"/>
        <v>45443</v>
      </c>
      <c r="BK23" s="34">
        <v>3.3397222222222231E-2</v>
      </c>
      <c r="BM23" s="6"/>
      <c r="BN23" s="2" t="s">
        <v>65</v>
      </c>
      <c r="CS23" s="14">
        <f t="shared" si="30"/>
        <v>2024</v>
      </c>
      <c r="CT23" s="35">
        <v>0</v>
      </c>
      <c r="CU23" s="35">
        <v>-0.08</v>
      </c>
      <c r="CV23" s="35">
        <v>0.05</v>
      </c>
    </row>
    <row r="24" spans="1:100" x14ac:dyDescent="0.2">
      <c r="A24" s="37" t="s">
        <v>80</v>
      </c>
      <c r="B24" s="37">
        <f>MAX(YEAR(BEL!J4),2011)</f>
        <v>2023</v>
      </c>
      <c r="E24" s="6">
        <v>18</v>
      </c>
      <c r="F24" s="26">
        <v>3.6000000000000002E-4</v>
      </c>
      <c r="G24" s="27">
        <v>4.2999999999999999E-4</v>
      </c>
      <c r="H24" s="27">
        <f t="shared" si="31"/>
        <v>4.2999999999999999E-4</v>
      </c>
      <c r="I24" s="28">
        <f t="shared" si="25"/>
        <v>3.584039742687839E-5</v>
      </c>
      <c r="J24" s="27">
        <f t="shared" si="32"/>
        <v>4.2999999999999999E-4</v>
      </c>
      <c r="K24" s="28">
        <f t="shared" si="26"/>
        <v>3.584039742687839E-5</v>
      </c>
      <c r="L24" s="27">
        <f t="shared" si="33"/>
        <v>4.2999999999999999E-4</v>
      </c>
      <c r="M24" s="28">
        <f t="shared" si="27"/>
        <v>3.584039742687839E-5</v>
      </c>
      <c r="N24" s="27">
        <f t="shared" si="34"/>
        <v>4.2999999999999999E-4</v>
      </c>
      <c r="O24" s="28">
        <f t="shared" si="28"/>
        <v>3.584039742687839E-5</v>
      </c>
      <c r="P24" s="5">
        <v>4.0000000000000002E-4</v>
      </c>
      <c r="Q24" s="28">
        <f t="shared" si="35"/>
        <v>3.3339446006586115E-5</v>
      </c>
      <c r="R24" s="5">
        <v>9.8999999999999999E-4</v>
      </c>
      <c r="S24" s="28">
        <f t="shared" si="36"/>
        <v>8.2537458069298353E-5</v>
      </c>
      <c r="T24" s="30">
        <v>9.0000000000000006E-5</v>
      </c>
      <c r="U24" s="28">
        <f t="shared" si="37"/>
        <v>7.5003093927827891E-6</v>
      </c>
      <c r="V24" s="5">
        <v>4.0000000000000002E-4</v>
      </c>
      <c r="W24" s="28">
        <f t="shared" si="41"/>
        <v>3.3339446006586115E-5</v>
      </c>
      <c r="Z24" s="31">
        <v>18</v>
      </c>
      <c r="AA24" s="32">
        <v>6.1500000000000006E-2</v>
      </c>
      <c r="AB24" s="32">
        <v>7.3899999999999993E-2</v>
      </c>
      <c r="AC24" s="32">
        <v>7.85E-2</v>
      </c>
      <c r="AD24" s="32">
        <v>8.5699999999999998E-2</v>
      </c>
      <c r="AE24" s="32">
        <v>8.0699999999999994E-2</v>
      </c>
      <c r="AF24" s="32">
        <v>7.6399999999999996E-2</v>
      </c>
      <c r="AG24" s="32">
        <v>7.9200000000000007E-2</v>
      </c>
      <c r="AH24" s="32">
        <v>7.9200000000000007E-2</v>
      </c>
      <c r="AI24" s="32">
        <v>7.6499999999999999E-2</v>
      </c>
      <c r="AJ24" s="32">
        <v>7.1499999999999994E-2</v>
      </c>
      <c r="AK24" s="32">
        <v>7.3400000000000007E-2</v>
      </c>
      <c r="AL24" s="32">
        <v>7.1400000000000005E-2</v>
      </c>
      <c r="AM24" s="32">
        <v>6.9036060833333343E-2</v>
      </c>
      <c r="AN24" s="32">
        <v>6.8833579166666672E-2</v>
      </c>
      <c r="AO24" s="32">
        <v>6.8718120833333327E-2</v>
      </c>
      <c r="AP24" s="32">
        <v>6.8718120833333299E-2</v>
      </c>
      <c r="AQ24" s="32">
        <v>6.9060046666666666E-2</v>
      </c>
      <c r="AR24" s="32">
        <v>6.9414313333333338E-2</v>
      </c>
      <c r="AS24" s="32">
        <v>6.9439114999999982E-2</v>
      </c>
      <c r="AT24" s="32">
        <v>6.9528194166666654E-2</v>
      </c>
      <c r="AU24" s="32">
        <v>6.9363124999999998E-2</v>
      </c>
      <c r="AV24" s="32">
        <v>6.9156120833333334E-2</v>
      </c>
      <c r="AW24" s="32">
        <v>6.9284209166666666E-2</v>
      </c>
      <c r="AX24" s="32">
        <v>6.9573806666666668E-2</v>
      </c>
      <c r="AY24" s="32">
        <v>7.1596729999999997E-2</v>
      </c>
      <c r="AZ24" s="32">
        <v>7.0309490000000002E-2</v>
      </c>
      <c r="BA24" s="32">
        <v>7.157761E-2</v>
      </c>
      <c r="BB24" s="32">
        <v>7.0431109999999991E-2</v>
      </c>
      <c r="BC24" s="32">
        <v>7.0220930000000001E-2</v>
      </c>
      <c r="BD24" s="32">
        <v>6.9748190000000002E-2</v>
      </c>
      <c r="BE24" s="32">
        <v>7.0803240000000003E-2</v>
      </c>
      <c r="BF24" s="32">
        <v>7.0757409999999993E-2</v>
      </c>
      <c r="BG24" s="32">
        <v>7.1410200000000007E-2</v>
      </c>
      <c r="BJ24" s="36">
        <f t="shared" si="52"/>
        <v>45473</v>
      </c>
      <c r="BK24" s="34">
        <v>3.3725000000000005E-2</v>
      </c>
      <c r="BM24" s="13" t="s">
        <v>66</v>
      </c>
      <c r="BN24" s="13">
        <v>1</v>
      </c>
      <c r="BO24" s="13">
        <f>BN24+1</f>
        <v>2</v>
      </c>
      <c r="BP24" s="13">
        <f t="shared" ref="BP24:BW24" si="53">BO24+1</f>
        <v>3</v>
      </c>
      <c r="BQ24" s="13">
        <f t="shared" si="53"/>
        <v>4</v>
      </c>
      <c r="BR24" s="13">
        <f t="shared" si="53"/>
        <v>5</v>
      </c>
      <c r="BS24" s="13">
        <f t="shared" si="53"/>
        <v>6</v>
      </c>
      <c r="BT24" s="13">
        <f t="shared" si="53"/>
        <v>7</v>
      </c>
      <c r="BU24" s="13">
        <f t="shared" si="53"/>
        <v>8</v>
      </c>
      <c r="BV24" s="13">
        <f t="shared" si="53"/>
        <v>9</v>
      </c>
      <c r="BW24" s="13">
        <f t="shared" si="53"/>
        <v>10</v>
      </c>
      <c r="BX24" s="13">
        <f t="shared" ref="BX24" si="54">BW24+1</f>
        <v>11</v>
      </c>
      <c r="BY24" s="13">
        <f t="shared" ref="BY24" si="55">BX24+1</f>
        <v>12</v>
      </c>
      <c r="BZ24" s="13">
        <f t="shared" ref="BZ24" si="56">BY24+1</f>
        <v>13</v>
      </c>
      <c r="CA24" s="13">
        <f t="shared" ref="CA24" si="57">BZ24+1</f>
        <v>14</v>
      </c>
      <c r="CB24" s="13">
        <f t="shared" ref="CB24" si="58">CA24+1</f>
        <v>15</v>
      </c>
      <c r="CC24" s="13">
        <f t="shared" ref="CC24" si="59">CB24+1</f>
        <v>16</v>
      </c>
      <c r="CD24" s="13">
        <f t="shared" ref="CD24" si="60">CC24+1</f>
        <v>17</v>
      </c>
      <c r="CE24" s="13">
        <f t="shared" ref="CE24" si="61">CD24+1</f>
        <v>18</v>
      </c>
      <c r="CF24" s="13">
        <f t="shared" ref="CF24" si="62">CE24+1</f>
        <v>19</v>
      </c>
      <c r="CG24" s="13">
        <f t="shared" ref="CG24" si="63">CF24+1</f>
        <v>20</v>
      </c>
      <c r="CH24" s="13">
        <f t="shared" ref="CH24" si="64">CG24+1</f>
        <v>21</v>
      </c>
      <c r="CI24" s="13">
        <f t="shared" ref="CI24" si="65">CH24+1</f>
        <v>22</v>
      </c>
      <c r="CJ24" s="13">
        <f t="shared" ref="CJ24" si="66">CI24+1</f>
        <v>23</v>
      </c>
      <c r="CK24" s="13">
        <f t="shared" ref="CK24" si="67">CJ24+1</f>
        <v>24</v>
      </c>
      <c r="CL24" s="13">
        <f t="shared" ref="CL24" si="68">CK24+1</f>
        <v>25</v>
      </c>
      <c r="CM24" s="13">
        <f t="shared" ref="CM24" si="69">CL24+1</f>
        <v>26</v>
      </c>
      <c r="CN24" s="13">
        <f t="shared" ref="CN24" si="70">CM24+1</f>
        <v>27</v>
      </c>
      <c r="CO24" s="13">
        <f t="shared" ref="CO24" si="71">CN24+1</f>
        <v>28</v>
      </c>
      <c r="CP24" s="13">
        <f t="shared" ref="CP24" si="72">CO24+1</f>
        <v>29</v>
      </c>
      <c r="CQ24" s="13">
        <f t="shared" ref="CQ24" si="73">CP24+1</f>
        <v>30</v>
      </c>
      <c r="CS24" s="14">
        <f t="shared" si="30"/>
        <v>2025</v>
      </c>
      <c r="CT24" s="35">
        <v>0.09</v>
      </c>
      <c r="CU24" s="35">
        <v>-0.11</v>
      </c>
      <c r="CV24" s="35">
        <v>0.05</v>
      </c>
    </row>
    <row r="25" spans="1:100" x14ac:dyDescent="0.2">
      <c r="A25" s="39" t="s">
        <v>35</v>
      </c>
      <c r="B25" s="39">
        <f>MPP</f>
        <v>0</v>
      </c>
      <c r="E25" s="6">
        <v>19</v>
      </c>
      <c r="F25" s="26">
        <v>4.0999999999999999E-4</v>
      </c>
      <c r="G25" s="27">
        <v>4.6999999999999999E-4</v>
      </c>
      <c r="H25" s="27">
        <f t="shared" si="31"/>
        <v>4.6999999999999999E-4</v>
      </c>
      <c r="I25" s="28">
        <f t="shared" si="25"/>
        <v>3.9175106353761535E-5</v>
      </c>
      <c r="J25" s="27">
        <f t="shared" si="32"/>
        <v>4.6999999999999999E-4</v>
      </c>
      <c r="K25" s="28">
        <f t="shared" si="26"/>
        <v>3.9175106353761535E-5</v>
      </c>
      <c r="L25" s="27">
        <f t="shared" si="33"/>
        <v>4.6999999999999999E-4</v>
      </c>
      <c r="M25" s="28">
        <f t="shared" si="27"/>
        <v>3.9175106353761535E-5</v>
      </c>
      <c r="N25" s="27">
        <f t="shared" si="34"/>
        <v>4.6999999999999999E-4</v>
      </c>
      <c r="O25" s="28">
        <f t="shared" si="28"/>
        <v>3.9175106353761535E-5</v>
      </c>
      <c r="P25" s="5">
        <v>4.0000000000000002E-4</v>
      </c>
      <c r="Q25" s="28">
        <f t="shared" si="35"/>
        <v>3.3339446006586115E-5</v>
      </c>
      <c r="R25" s="5">
        <v>9.8999999999999999E-4</v>
      </c>
      <c r="S25" s="28">
        <f t="shared" si="36"/>
        <v>8.2537458069298353E-5</v>
      </c>
      <c r="T25" s="30">
        <v>9.0000000000000006E-5</v>
      </c>
      <c r="U25" s="28">
        <f t="shared" si="37"/>
        <v>7.5003093927827891E-6</v>
      </c>
      <c r="V25" s="5">
        <v>4.0000000000000002E-4</v>
      </c>
      <c r="W25" s="28">
        <f t="shared" si="41"/>
        <v>3.3339446006586115E-5</v>
      </c>
      <c r="Z25" s="31">
        <v>19</v>
      </c>
      <c r="AA25" s="32">
        <v>6.2E-2</v>
      </c>
      <c r="AB25" s="32">
        <v>7.4300000000000005E-2</v>
      </c>
      <c r="AC25" s="32">
        <v>7.8899999999999998E-2</v>
      </c>
      <c r="AD25" s="32">
        <v>8.5900000000000004E-2</v>
      </c>
      <c r="AE25" s="32">
        <v>8.09E-2</v>
      </c>
      <c r="AF25" s="32">
        <v>7.6799999999999993E-2</v>
      </c>
      <c r="AG25" s="32">
        <v>7.9500000000000001E-2</v>
      </c>
      <c r="AH25" s="32">
        <v>7.9500000000000001E-2</v>
      </c>
      <c r="AI25" s="32">
        <v>7.6700000000000004E-2</v>
      </c>
      <c r="AJ25" s="32">
        <v>7.1800000000000003E-2</v>
      </c>
      <c r="AK25" s="32">
        <v>7.3400000000000007E-2</v>
      </c>
      <c r="AL25" s="32">
        <v>7.1400000000000005E-2</v>
      </c>
      <c r="AM25" s="32">
        <v>6.9144130000000012E-2</v>
      </c>
      <c r="AN25" s="32">
        <v>6.8947172500000001E-2</v>
      </c>
      <c r="AO25" s="32">
        <v>6.8835096666666665E-2</v>
      </c>
      <c r="AP25" s="32">
        <v>6.8835096666666706E-2</v>
      </c>
      <c r="AQ25" s="32">
        <v>6.9157938333333335E-2</v>
      </c>
      <c r="AR25" s="32">
        <v>6.9493614166666676E-2</v>
      </c>
      <c r="AS25" s="32">
        <v>6.9511680833333339E-2</v>
      </c>
      <c r="AT25" s="32">
        <v>6.959559333333333E-2</v>
      </c>
      <c r="AU25" s="32">
        <v>6.9442782500000008E-2</v>
      </c>
      <c r="AV25" s="32">
        <v>6.9237591666666654E-2</v>
      </c>
      <c r="AW25" s="32">
        <v>6.935780083333333E-2</v>
      </c>
      <c r="AX25" s="32">
        <v>6.9635238333333321E-2</v>
      </c>
      <c r="AY25" s="32">
        <v>7.1615609999999996E-2</v>
      </c>
      <c r="AZ25" s="32">
        <v>7.0348240000000006E-2</v>
      </c>
      <c r="BA25" s="32">
        <v>7.1582929999999989E-2</v>
      </c>
      <c r="BB25" s="32">
        <v>7.0476579999999997E-2</v>
      </c>
      <c r="BC25" s="32">
        <v>7.0268709999999998E-2</v>
      </c>
      <c r="BD25" s="32">
        <v>6.9862800000000003E-2</v>
      </c>
      <c r="BE25" s="32">
        <v>7.0956270000000002E-2</v>
      </c>
      <c r="BF25" s="32">
        <v>7.0923910000000007E-2</v>
      </c>
      <c r="BG25" s="32">
        <v>7.1511279999999997E-2</v>
      </c>
      <c r="BJ25" s="36">
        <f t="shared" si="52"/>
        <v>45504</v>
      </c>
      <c r="BK25" s="34">
        <v>3.3894444444444442E-2</v>
      </c>
      <c r="BM25" s="23">
        <v>2011</v>
      </c>
      <c r="BN25" s="35">
        <v>0.05</v>
      </c>
      <c r="BO25" s="35">
        <v>0.05</v>
      </c>
      <c r="BP25" s="35">
        <v>0.05</v>
      </c>
      <c r="BQ25" s="35">
        <v>0.05</v>
      </c>
      <c r="BR25" s="35">
        <v>0.05</v>
      </c>
      <c r="BS25" s="35">
        <v>0.05</v>
      </c>
      <c r="BT25" s="35">
        <v>0.05</v>
      </c>
      <c r="BU25" s="35">
        <v>0.05</v>
      </c>
      <c r="BV25" s="35">
        <v>0.05</v>
      </c>
      <c r="BW25" s="35">
        <v>0.05</v>
      </c>
      <c r="BX25" s="35">
        <v>0.05</v>
      </c>
      <c r="BY25" s="35">
        <v>0.05</v>
      </c>
      <c r="BZ25" s="35">
        <v>0.05</v>
      </c>
      <c r="CA25" s="35">
        <v>0.05</v>
      </c>
      <c r="CB25" s="35">
        <v>0.05</v>
      </c>
      <c r="CC25" s="35">
        <v>0.05</v>
      </c>
      <c r="CD25" s="35">
        <v>0.05</v>
      </c>
      <c r="CE25" s="35">
        <v>0.05</v>
      </c>
      <c r="CF25" s="35">
        <v>0.05</v>
      </c>
      <c r="CG25" s="35">
        <v>0.05</v>
      </c>
      <c r="CH25" s="35">
        <v>0.05</v>
      </c>
      <c r="CI25" s="35">
        <v>0.05</v>
      </c>
      <c r="CJ25" s="35">
        <v>0.05</v>
      </c>
      <c r="CK25" s="35">
        <v>0.05</v>
      </c>
      <c r="CL25" s="35">
        <v>0.05</v>
      </c>
      <c r="CM25" s="35">
        <v>0.05</v>
      </c>
      <c r="CN25" s="35">
        <v>0.05</v>
      </c>
      <c r="CO25" s="35">
        <v>0.05</v>
      </c>
      <c r="CP25" s="35">
        <v>0.05</v>
      </c>
      <c r="CQ25" s="35">
        <v>0.05</v>
      </c>
    </row>
    <row r="26" spans="1:100" x14ac:dyDescent="0.2">
      <c r="E26" s="6">
        <v>20</v>
      </c>
      <c r="F26" s="26">
        <v>4.8999999999999998E-4</v>
      </c>
      <c r="G26" s="27">
        <v>4.8999999999999998E-4</v>
      </c>
      <c r="H26" s="27">
        <f t="shared" si="31"/>
        <v>4.8999999999999998E-4</v>
      </c>
      <c r="I26" s="28">
        <f t="shared" si="25"/>
        <v>4.084250669134093E-5</v>
      </c>
      <c r="J26" s="27">
        <f t="shared" si="32"/>
        <v>4.8999999999999998E-4</v>
      </c>
      <c r="K26" s="28">
        <f t="shared" si="26"/>
        <v>4.084250669134093E-5</v>
      </c>
      <c r="L26" s="27">
        <f t="shared" si="33"/>
        <v>4.8999999999999998E-4</v>
      </c>
      <c r="M26" s="28">
        <f t="shared" si="27"/>
        <v>4.084250669134093E-5</v>
      </c>
      <c r="N26" s="27">
        <f t="shared" si="34"/>
        <v>4.8999999999999998E-4</v>
      </c>
      <c r="O26" s="28">
        <f t="shared" si="28"/>
        <v>4.084250669134093E-5</v>
      </c>
      <c r="P26" s="5">
        <v>4.0000000000000002E-4</v>
      </c>
      <c r="Q26" s="28">
        <f t="shared" si="35"/>
        <v>3.3339446006586115E-5</v>
      </c>
      <c r="R26" s="5">
        <v>9.8999999999999999E-4</v>
      </c>
      <c r="S26" s="28">
        <f t="shared" si="36"/>
        <v>8.2537458069298353E-5</v>
      </c>
      <c r="T26" s="30">
        <v>9.0000000000000006E-5</v>
      </c>
      <c r="U26" s="28">
        <f t="shared" si="37"/>
        <v>7.5003093927827891E-6</v>
      </c>
      <c r="V26" s="5">
        <v>4.0000000000000002E-4</v>
      </c>
      <c r="W26" s="28">
        <f t="shared" si="41"/>
        <v>3.3339446006586115E-5</v>
      </c>
      <c r="Z26" s="31">
        <v>20</v>
      </c>
      <c r="AA26" s="32">
        <v>6.239999999999999E-2</v>
      </c>
      <c r="AB26" s="32">
        <v>7.4700000000000003E-2</v>
      </c>
      <c r="AC26" s="32">
        <v>7.9200000000000007E-2</v>
      </c>
      <c r="AD26" s="32">
        <v>8.6199999999999999E-2</v>
      </c>
      <c r="AE26" s="32">
        <v>8.1100000000000005E-2</v>
      </c>
      <c r="AF26" s="32">
        <v>7.7100000000000002E-2</v>
      </c>
      <c r="AG26" s="32">
        <v>7.9699999999999993E-2</v>
      </c>
      <c r="AH26" s="32">
        <v>7.9699999999999993E-2</v>
      </c>
      <c r="AI26" s="32">
        <v>7.6899999999999996E-2</v>
      </c>
      <c r="AJ26" s="32">
        <v>7.1999999999999995E-2</v>
      </c>
      <c r="AK26" s="32">
        <v>7.3400000000000007E-2</v>
      </c>
      <c r="AL26" s="32">
        <v>7.1499999999999994E-2</v>
      </c>
      <c r="AM26" s="32">
        <v>6.9235572499999995E-2</v>
      </c>
      <c r="AN26" s="32">
        <v>6.9044076666666662E-2</v>
      </c>
      <c r="AO26" s="32">
        <v>6.8935730000000001E-2</v>
      </c>
      <c r="AP26" s="32">
        <v>6.8935730000000001E-2</v>
      </c>
      <c r="AQ26" s="32">
        <v>6.9242779166666671E-2</v>
      </c>
      <c r="AR26" s="32">
        <v>6.9561979166666663E-2</v>
      </c>
      <c r="AS26" s="32">
        <v>6.9574606666666663E-2</v>
      </c>
      <c r="AT26" s="32">
        <v>6.9654259999999996E-2</v>
      </c>
      <c r="AU26" s="32">
        <v>6.9512118333333331E-2</v>
      </c>
      <c r="AV26" s="32">
        <v>6.9308232499999983E-2</v>
      </c>
      <c r="AW26" s="32">
        <v>6.9420809166666653E-2</v>
      </c>
      <c r="AX26" s="32">
        <v>6.9686695833333326E-2</v>
      </c>
      <c r="AY26" s="32">
        <v>7.1628529999999996E-2</v>
      </c>
      <c r="AZ26" s="32">
        <v>7.0377850000000006E-2</v>
      </c>
      <c r="BA26" s="32">
        <v>7.1586179999999999E-2</v>
      </c>
      <c r="BB26" s="32">
        <v>7.0510630000000005E-2</v>
      </c>
      <c r="BC26" s="32">
        <v>7.0304179999999994E-2</v>
      </c>
      <c r="BD26" s="32">
        <v>6.9955390000000006E-2</v>
      </c>
      <c r="BE26" s="32">
        <v>7.1076340000000002E-2</v>
      </c>
      <c r="BF26" s="32">
        <v>7.104104E-2</v>
      </c>
      <c r="BG26" s="32">
        <v>7.1563910000000008E-2</v>
      </c>
      <c r="BJ26" s="36">
        <f t="shared" si="52"/>
        <v>45535</v>
      </c>
      <c r="BK26" s="34">
        <v>3.4041666666666665E-2</v>
      </c>
      <c r="BM26" s="23">
        <v>2012</v>
      </c>
      <c r="BN26" s="35">
        <v>0.05</v>
      </c>
      <c r="BO26" s="35">
        <v>0.05</v>
      </c>
      <c r="BP26" s="35">
        <v>0.05</v>
      </c>
      <c r="BQ26" s="35">
        <v>0.05</v>
      </c>
      <c r="BR26" s="35">
        <v>0.05</v>
      </c>
      <c r="BS26" s="35">
        <v>0.05</v>
      </c>
      <c r="BT26" s="35">
        <v>0.05</v>
      </c>
      <c r="BU26" s="35">
        <v>0.05</v>
      </c>
      <c r="BV26" s="35">
        <v>0.05</v>
      </c>
      <c r="BW26" s="35">
        <v>0.05</v>
      </c>
      <c r="BX26" s="35">
        <v>0.05</v>
      </c>
      <c r="BY26" s="35">
        <v>0.05</v>
      </c>
      <c r="BZ26" s="35">
        <v>0.05</v>
      </c>
      <c r="CA26" s="35">
        <v>0.05</v>
      </c>
      <c r="CB26" s="35">
        <v>0.05</v>
      </c>
      <c r="CC26" s="35">
        <v>0.05</v>
      </c>
      <c r="CD26" s="35">
        <v>0.05</v>
      </c>
      <c r="CE26" s="35">
        <v>0.05</v>
      </c>
      <c r="CF26" s="35">
        <v>0.05</v>
      </c>
      <c r="CG26" s="35">
        <v>0.05</v>
      </c>
      <c r="CH26" s="35">
        <v>0.05</v>
      </c>
      <c r="CI26" s="35">
        <v>0.05</v>
      </c>
      <c r="CJ26" s="35">
        <v>0.05</v>
      </c>
      <c r="CK26" s="35">
        <v>0.05</v>
      </c>
      <c r="CL26" s="35">
        <v>0.05</v>
      </c>
      <c r="CM26" s="35">
        <v>0.05</v>
      </c>
      <c r="CN26" s="35">
        <v>0.05</v>
      </c>
      <c r="CO26" s="35">
        <v>0.05</v>
      </c>
      <c r="CP26" s="35">
        <v>0.05</v>
      </c>
      <c r="CQ26" s="35">
        <v>0.05</v>
      </c>
    </row>
    <row r="27" spans="1:100" x14ac:dyDescent="0.2">
      <c r="E27" s="6">
        <v>21</v>
      </c>
      <c r="F27" s="26">
        <v>5.9000000000000003E-4</v>
      </c>
      <c r="G27" s="27">
        <v>4.8999999999999998E-4</v>
      </c>
      <c r="H27" s="27">
        <f t="shared" si="31"/>
        <v>4.8999999999999998E-4</v>
      </c>
      <c r="I27" s="28">
        <f t="shared" si="25"/>
        <v>4.084250669134093E-5</v>
      </c>
      <c r="J27" s="27">
        <f t="shared" si="32"/>
        <v>4.8999999999999998E-4</v>
      </c>
      <c r="K27" s="28">
        <f t="shared" si="26"/>
        <v>4.084250669134093E-5</v>
      </c>
      <c r="L27" s="27">
        <f t="shared" si="33"/>
        <v>4.8999999999999998E-4</v>
      </c>
      <c r="M27" s="28">
        <f t="shared" si="27"/>
        <v>4.084250669134093E-5</v>
      </c>
      <c r="N27" s="27">
        <f t="shared" si="34"/>
        <v>4.8999999999999998E-4</v>
      </c>
      <c r="O27" s="28">
        <f t="shared" si="28"/>
        <v>4.084250669134093E-5</v>
      </c>
      <c r="P27" s="5">
        <v>4.0000000000000002E-4</v>
      </c>
      <c r="Q27" s="28">
        <f t="shared" si="35"/>
        <v>3.3339446006586115E-5</v>
      </c>
      <c r="R27" s="5">
        <v>9.8999999999999999E-4</v>
      </c>
      <c r="S27" s="28">
        <f t="shared" si="36"/>
        <v>8.2537458069298353E-5</v>
      </c>
      <c r="T27" s="30">
        <v>9.0000000000000006E-5</v>
      </c>
      <c r="U27" s="28">
        <f t="shared" si="37"/>
        <v>7.5003093927827891E-6</v>
      </c>
      <c r="V27" s="5">
        <v>4.0000000000000002E-4</v>
      </c>
      <c r="W27" s="28">
        <f t="shared" si="41"/>
        <v>3.3339446006586115E-5</v>
      </c>
      <c r="Z27" s="31">
        <v>21</v>
      </c>
      <c r="AA27" s="32">
        <v>6.2700000000000006E-2</v>
      </c>
      <c r="AB27" s="32">
        <v>7.4999999999999997E-2</v>
      </c>
      <c r="AC27" s="32">
        <v>7.9399999999999998E-2</v>
      </c>
      <c r="AD27" s="32">
        <v>8.6400000000000005E-2</v>
      </c>
      <c r="AE27" s="32">
        <v>8.1199999999999994E-2</v>
      </c>
      <c r="AF27" s="32">
        <v>7.7299999999999994E-2</v>
      </c>
      <c r="AG27" s="32">
        <v>7.9899999999999999E-2</v>
      </c>
      <c r="AH27" s="32">
        <v>0.08</v>
      </c>
      <c r="AI27" s="32">
        <v>7.6999999999999999E-2</v>
      </c>
      <c r="AJ27" s="32">
        <v>7.22E-2</v>
      </c>
      <c r="AK27" s="32">
        <v>7.3499999999999996E-2</v>
      </c>
      <c r="AL27" s="32">
        <v>7.1499999999999994E-2</v>
      </c>
      <c r="AM27" s="32">
        <v>6.9313070000000004E-2</v>
      </c>
      <c r="AN27" s="32">
        <v>6.9126763333333327E-2</v>
      </c>
      <c r="AO27" s="32">
        <v>6.9022218333333329E-2</v>
      </c>
      <c r="AP27" s="32">
        <v>6.9022218333333302E-2</v>
      </c>
      <c r="AQ27" s="32">
        <v>6.931619583333333E-2</v>
      </c>
      <c r="AR27" s="32">
        <v>6.9620844166666654E-2</v>
      </c>
      <c r="AS27" s="32">
        <v>6.9629115000000005E-2</v>
      </c>
      <c r="AT27" s="32">
        <v>6.9705290833333336E-2</v>
      </c>
      <c r="AU27" s="32">
        <v>6.9572326666666656E-2</v>
      </c>
      <c r="AV27" s="32">
        <v>6.9369375000000011E-2</v>
      </c>
      <c r="AW27" s="32">
        <v>6.9474702500000013E-2</v>
      </c>
      <c r="AX27" s="32">
        <v>6.972969833333334E-2</v>
      </c>
      <c r="AY27" s="32">
        <v>7.163731000000001E-2</v>
      </c>
      <c r="AZ27" s="32">
        <v>7.0400359999999995E-2</v>
      </c>
      <c r="BA27" s="32">
        <v>7.1588150000000003E-2</v>
      </c>
      <c r="BB27" s="32">
        <v>7.0535990000000007E-2</v>
      </c>
      <c r="BC27" s="32">
        <v>7.0330389999999993E-2</v>
      </c>
      <c r="BD27" s="32">
        <v>7.0029859999999999E-2</v>
      </c>
      <c r="BE27" s="32">
        <v>7.1168449999999994E-2</v>
      </c>
      <c r="BF27" s="32">
        <v>7.111808E-2</v>
      </c>
      <c r="BG27" s="32">
        <v>7.1579900000000002E-2</v>
      </c>
      <c r="BJ27" s="36">
        <f t="shared" si="52"/>
        <v>45565</v>
      </c>
      <c r="BK27" s="34">
        <v>3.4108333333333331E-2</v>
      </c>
      <c r="BM27" s="23">
        <v>2013</v>
      </c>
      <c r="BN27" s="35">
        <v>0.05</v>
      </c>
      <c r="BO27" s="35">
        <v>0.05</v>
      </c>
      <c r="BP27" s="35">
        <v>0.05</v>
      </c>
      <c r="BQ27" s="35">
        <v>0.05</v>
      </c>
      <c r="BR27" s="35">
        <v>0.05</v>
      </c>
      <c r="BS27" s="35">
        <v>0.05</v>
      </c>
      <c r="BT27" s="35">
        <v>0.05</v>
      </c>
      <c r="BU27" s="35">
        <v>0.05</v>
      </c>
      <c r="BV27" s="35">
        <v>0.05</v>
      </c>
      <c r="BW27" s="35">
        <v>0.05</v>
      </c>
      <c r="BX27" s="35">
        <v>0.05</v>
      </c>
      <c r="BY27" s="35">
        <v>0.05</v>
      </c>
      <c r="BZ27" s="35">
        <v>0.05</v>
      </c>
      <c r="CA27" s="35">
        <v>0.05</v>
      </c>
      <c r="CB27" s="35">
        <v>0.05</v>
      </c>
      <c r="CC27" s="35">
        <v>0.05</v>
      </c>
      <c r="CD27" s="35">
        <v>0.05</v>
      </c>
      <c r="CE27" s="35">
        <v>0.05</v>
      </c>
      <c r="CF27" s="35">
        <v>0.05</v>
      </c>
      <c r="CG27" s="35">
        <v>0.05</v>
      </c>
      <c r="CH27" s="35">
        <v>0.05</v>
      </c>
      <c r="CI27" s="35">
        <v>0.05</v>
      </c>
      <c r="CJ27" s="35">
        <v>0.05</v>
      </c>
      <c r="CK27" s="35">
        <v>0.05</v>
      </c>
      <c r="CL27" s="35">
        <v>0.05</v>
      </c>
      <c r="CM27" s="35">
        <v>0.05</v>
      </c>
      <c r="CN27" s="35">
        <v>0.05</v>
      </c>
      <c r="CO27" s="35">
        <v>0.05</v>
      </c>
      <c r="CP27" s="35">
        <v>0.05</v>
      </c>
      <c r="CQ27" s="35">
        <v>0.05</v>
      </c>
    </row>
    <row r="28" spans="1:100" x14ac:dyDescent="0.2">
      <c r="E28" s="6">
        <v>22</v>
      </c>
      <c r="F28" s="26">
        <v>6.8999999999999997E-4</v>
      </c>
      <c r="G28" s="27">
        <v>4.8999999999999998E-4</v>
      </c>
      <c r="H28" s="27">
        <f t="shared" si="31"/>
        <v>4.8999999999999998E-4</v>
      </c>
      <c r="I28" s="28">
        <f t="shared" si="25"/>
        <v>4.084250669134093E-5</v>
      </c>
      <c r="J28" s="27">
        <f t="shared" si="32"/>
        <v>4.8999999999999998E-4</v>
      </c>
      <c r="K28" s="28">
        <f t="shared" si="26"/>
        <v>4.084250669134093E-5</v>
      </c>
      <c r="L28" s="27">
        <f t="shared" si="33"/>
        <v>4.8999999999999998E-4</v>
      </c>
      <c r="M28" s="28">
        <f t="shared" si="27"/>
        <v>4.084250669134093E-5</v>
      </c>
      <c r="N28" s="27">
        <f t="shared" si="34"/>
        <v>4.8999999999999998E-4</v>
      </c>
      <c r="O28" s="28">
        <f t="shared" si="28"/>
        <v>4.084250669134093E-5</v>
      </c>
      <c r="P28" s="5">
        <v>4.0000000000000002E-4</v>
      </c>
      <c r="Q28" s="28">
        <f t="shared" si="35"/>
        <v>3.3339446006586115E-5</v>
      </c>
      <c r="R28" s="5">
        <v>1.01E-3</v>
      </c>
      <c r="S28" s="28">
        <f t="shared" si="36"/>
        <v>8.4205653979374517E-5</v>
      </c>
      <c r="T28" s="30">
        <v>9.0000000000000006E-5</v>
      </c>
      <c r="U28" s="28">
        <f t="shared" si="37"/>
        <v>7.5003093927827891E-6</v>
      </c>
      <c r="V28" s="5">
        <v>4.0000000000000002E-4</v>
      </c>
      <c r="W28" s="28">
        <f t="shared" si="41"/>
        <v>3.3339446006586115E-5</v>
      </c>
      <c r="Z28" s="31">
        <v>22</v>
      </c>
      <c r="AA28" s="32">
        <v>6.3E-2</v>
      </c>
      <c r="AB28" s="32">
        <v>7.5300000000000006E-2</v>
      </c>
      <c r="AC28" s="32">
        <v>7.9600000000000004E-2</v>
      </c>
      <c r="AD28" s="32">
        <v>8.6599999999999996E-2</v>
      </c>
      <c r="AE28" s="32">
        <v>8.14E-2</v>
      </c>
      <c r="AF28" s="32">
        <v>7.7499999999999999E-2</v>
      </c>
      <c r="AG28" s="32">
        <v>8.0100000000000005E-2</v>
      </c>
      <c r="AH28" s="32">
        <v>8.0199999999999994E-2</v>
      </c>
      <c r="AI28" s="32">
        <v>7.7100000000000002E-2</v>
      </c>
      <c r="AJ28" s="32">
        <v>7.2400000000000006E-2</v>
      </c>
      <c r="AK28" s="32">
        <v>7.3499999999999996E-2</v>
      </c>
      <c r="AL28" s="32">
        <v>7.1599999999999997E-2</v>
      </c>
      <c r="AM28" s="32">
        <v>6.9378869166666676E-2</v>
      </c>
      <c r="AN28" s="32">
        <v>6.919735166666667E-2</v>
      </c>
      <c r="AO28" s="32">
        <v>6.9096493333333328E-2</v>
      </c>
      <c r="AP28" s="32">
        <v>6.90964933333333E-2</v>
      </c>
      <c r="AQ28" s="32">
        <v>6.9379643333333338E-2</v>
      </c>
      <c r="AR28" s="32">
        <v>6.9671474999999997E-2</v>
      </c>
      <c r="AS28" s="32">
        <v>6.9676283333333339E-2</v>
      </c>
      <c r="AT28" s="32">
        <v>6.9749644999999999E-2</v>
      </c>
      <c r="AU28" s="32">
        <v>6.962449666666666E-2</v>
      </c>
      <c r="AV28" s="32">
        <v>6.9422206666666667E-2</v>
      </c>
      <c r="AW28" s="32">
        <v>6.9520760000000001E-2</v>
      </c>
      <c r="AX28" s="32">
        <v>6.9765553333333341E-2</v>
      </c>
      <c r="AY28" s="32">
        <v>7.1643239999999997E-2</v>
      </c>
      <c r="AZ28" s="32">
        <v>7.0417370000000007E-2</v>
      </c>
      <c r="BA28" s="32">
        <v>7.1589340000000001E-2</v>
      </c>
      <c r="BB28" s="32">
        <v>7.0554790000000006E-2</v>
      </c>
      <c r="BC28" s="32">
        <v>7.0349679999999998E-2</v>
      </c>
      <c r="BD28" s="32">
        <v>7.0089499999999999E-2</v>
      </c>
      <c r="BE28" s="32">
        <v>7.1236969999999997E-2</v>
      </c>
      <c r="BF28" s="32">
        <v>7.1163000000000004E-2</v>
      </c>
      <c r="BG28" s="32">
        <v>7.1568699999999999E-2</v>
      </c>
      <c r="BJ28" s="36">
        <f t="shared" si="52"/>
        <v>45596</v>
      </c>
      <c r="BK28" s="34">
        <v>3.4122222222222227E-2</v>
      </c>
      <c r="BM28" s="23">
        <v>2014</v>
      </c>
      <c r="BN28" s="35">
        <v>0.05</v>
      </c>
      <c r="BO28" s="35">
        <v>0.05</v>
      </c>
      <c r="BP28" s="35">
        <v>0.05</v>
      </c>
      <c r="BQ28" s="35">
        <v>0.05</v>
      </c>
      <c r="BR28" s="35">
        <v>0.05</v>
      </c>
      <c r="BS28" s="35">
        <v>0.05</v>
      </c>
      <c r="BT28" s="35">
        <v>0.05</v>
      </c>
      <c r="BU28" s="35">
        <v>0.05</v>
      </c>
      <c r="BV28" s="35">
        <v>0.05</v>
      </c>
      <c r="BW28" s="35">
        <v>0.05</v>
      </c>
      <c r="BX28" s="35">
        <v>0.05</v>
      </c>
      <c r="BY28" s="35">
        <v>0.05</v>
      </c>
      <c r="BZ28" s="35">
        <v>0.05</v>
      </c>
      <c r="CA28" s="35">
        <v>0.05</v>
      </c>
      <c r="CB28" s="35">
        <v>0.05</v>
      </c>
      <c r="CC28" s="35">
        <v>0.05</v>
      </c>
      <c r="CD28" s="35">
        <v>0.05</v>
      </c>
      <c r="CE28" s="35">
        <v>0.05</v>
      </c>
      <c r="CF28" s="35">
        <v>0.05</v>
      </c>
      <c r="CG28" s="35">
        <v>0.05</v>
      </c>
      <c r="CH28" s="35">
        <v>0.05</v>
      </c>
      <c r="CI28" s="35">
        <v>0.05</v>
      </c>
      <c r="CJ28" s="35">
        <v>0.05</v>
      </c>
      <c r="CK28" s="35">
        <v>0.05</v>
      </c>
      <c r="CL28" s="35">
        <v>0.05</v>
      </c>
      <c r="CM28" s="35">
        <v>0.05</v>
      </c>
      <c r="CN28" s="35">
        <v>0.05</v>
      </c>
      <c r="CO28" s="35">
        <v>0.05</v>
      </c>
      <c r="CP28" s="35">
        <v>0.05</v>
      </c>
      <c r="CQ28" s="35">
        <v>0.05</v>
      </c>
    </row>
    <row r="29" spans="1:100" x14ac:dyDescent="0.2">
      <c r="E29" s="6">
        <v>23</v>
      </c>
      <c r="F29" s="26">
        <v>7.6999999999999996E-4</v>
      </c>
      <c r="G29" s="27">
        <v>4.8999999999999998E-4</v>
      </c>
      <c r="H29" s="27">
        <f t="shared" si="31"/>
        <v>4.8999999999999998E-4</v>
      </c>
      <c r="I29" s="28">
        <f t="shared" si="25"/>
        <v>4.084250669134093E-5</v>
      </c>
      <c r="J29" s="27">
        <f t="shared" si="32"/>
        <v>4.8999999999999998E-4</v>
      </c>
      <c r="K29" s="28">
        <f t="shared" si="26"/>
        <v>4.084250669134093E-5</v>
      </c>
      <c r="L29" s="27">
        <f t="shared" si="33"/>
        <v>4.8999999999999998E-4</v>
      </c>
      <c r="M29" s="28">
        <f t="shared" si="27"/>
        <v>4.084250669134093E-5</v>
      </c>
      <c r="N29" s="27">
        <f t="shared" si="34"/>
        <v>4.8999999999999998E-4</v>
      </c>
      <c r="O29" s="28">
        <f t="shared" si="28"/>
        <v>4.084250669134093E-5</v>
      </c>
      <c r="P29" s="5">
        <v>4.0000000000000002E-4</v>
      </c>
      <c r="Q29" s="28">
        <f t="shared" si="35"/>
        <v>3.3339446006586115E-5</v>
      </c>
      <c r="R29" s="5">
        <v>1.0500000000000002E-3</v>
      </c>
      <c r="S29" s="28">
        <f t="shared" si="36"/>
        <v>8.7542137645058027E-5</v>
      </c>
      <c r="T29" s="30">
        <v>9.0000000000000006E-5</v>
      </c>
      <c r="U29" s="28">
        <f t="shared" si="37"/>
        <v>7.5003093927827891E-6</v>
      </c>
      <c r="V29" s="5">
        <v>4.0000000000000002E-4</v>
      </c>
      <c r="W29" s="28">
        <f t="shared" si="41"/>
        <v>3.3339446006586115E-5</v>
      </c>
      <c r="Z29" s="31">
        <v>23</v>
      </c>
      <c r="AA29" s="32">
        <v>6.3200000000000006E-2</v>
      </c>
      <c r="AB29" s="32">
        <v>7.5499999999999998E-2</v>
      </c>
      <c r="AC29" s="32">
        <v>7.9799999999999996E-2</v>
      </c>
      <c r="AD29" s="32">
        <v>8.6699999999999999E-2</v>
      </c>
      <c r="AE29" s="32">
        <v>8.1500000000000003E-2</v>
      </c>
      <c r="AF29" s="32">
        <v>7.7700000000000005E-2</v>
      </c>
      <c r="AG29" s="32">
        <v>8.0199999999999994E-2</v>
      </c>
      <c r="AH29" s="32">
        <v>8.0299999999999996E-2</v>
      </c>
      <c r="AI29" s="32">
        <v>7.7200000000000005E-2</v>
      </c>
      <c r="AJ29" s="32">
        <v>7.2499999999999995E-2</v>
      </c>
      <c r="AK29" s="32">
        <v>7.3499999999999996E-2</v>
      </c>
      <c r="AL29" s="32">
        <v>7.1599999999999997E-2</v>
      </c>
      <c r="AM29" s="32">
        <v>6.9434834166666667E-2</v>
      </c>
      <c r="AN29" s="32">
        <v>6.9257644166666674E-2</v>
      </c>
      <c r="AO29" s="32">
        <v>6.9160239166666665E-2</v>
      </c>
      <c r="AP29" s="32">
        <v>6.9160239166666693E-2</v>
      </c>
      <c r="AQ29" s="32">
        <v>6.943441333333332E-2</v>
      </c>
      <c r="AR29" s="32">
        <v>6.9714987499999992E-2</v>
      </c>
      <c r="AS29" s="32">
        <v>6.9717063333333343E-2</v>
      </c>
      <c r="AT29" s="32">
        <v>6.9788166666666679E-2</v>
      </c>
      <c r="AU29" s="32">
        <v>6.9669619999999988E-2</v>
      </c>
      <c r="AV29" s="32">
        <v>6.9467797499999998E-2</v>
      </c>
      <c r="AW29" s="32">
        <v>6.9560103333333331E-2</v>
      </c>
      <c r="AX29" s="32">
        <v>6.9795389999999999E-2</v>
      </c>
      <c r="AY29" s="32">
        <v>7.1647219999999998E-2</v>
      </c>
      <c r="AZ29" s="32">
        <v>7.043017E-2</v>
      </c>
      <c r="BA29" s="32">
        <v>7.1590059999999997E-2</v>
      </c>
      <c r="BB29" s="32">
        <v>7.056867E-2</v>
      </c>
      <c r="BC29" s="32">
        <v>7.0363819999999994E-2</v>
      </c>
      <c r="BD29" s="32">
        <v>7.0137080000000004E-2</v>
      </c>
      <c r="BE29" s="32">
        <v>7.1285730000000005E-2</v>
      </c>
      <c r="BF29" s="32">
        <v>7.1182490000000001E-2</v>
      </c>
      <c r="BG29" s="32">
        <v>7.1537779999999995E-2</v>
      </c>
      <c r="BJ29" s="36">
        <f t="shared" si="52"/>
        <v>45626</v>
      </c>
      <c r="BK29" s="34">
        <v>3.4066666666666662E-2</v>
      </c>
      <c r="BM29" s="23">
        <v>2015</v>
      </c>
      <c r="BN29" s="35">
        <v>0.05</v>
      </c>
      <c r="BO29" s="35">
        <v>0.05</v>
      </c>
      <c r="BP29" s="35">
        <v>0.05</v>
      </c>
      <c r="BQ29" s="35">
        <v>0.05</v>
      </c>
      <c r="BR29" s="35">
        <v>0.05</v>
      </c>
      <c r="BS29" s="35">
        <v>0.05</v>
      </c>
      <c r="BT29" s="35">
        <v>0.05</v>
      </c>
      <c r="BU29" s="35">
        <v>0.05</v>
      </c>
      <c r="BV29" s="35">
        <v>0.05</v>
      </c>
      <c r="BW29" s="35">
        <v>0.05</v>
      </c>
      <c r="BX29" s="35">
        <v>0.05</v>
      </c>
      <c r="BY29" s="35">
        <v>0.05</v>
      </c>
      <c r="BZ29" s="35">
        <v>0.05</v>
      </c>
      <c r="CA29" s="35">
        <v>0.05</v>
      </c>
      <c r="CB29" s="35">
        <v>0.05</v>
      </c>
      <c r="CC29" s="35">
        <v>0.05</v>
      </c>
      <c r="CD29" s="35">
        <v>0.05</v>
      </c>
      <c r="CE29" s="35">
        <v>0.05</v>
      </c>
      <c r="CF29" s="35">
        <v>0.05</v>
      </c>
      <c r="CG29" s="35">
        <v>0.05</v>
      </c>
      <c r="CH29" s="35">
        <v>0.05</v>
      </c>
      <c r="CI29" s="35">
        <v>0.05</v>
      </c>
      <c r="CJ29" s="35">
        <v>0.05</v>
      </c>
      <c r="CK29" s="35">
        <v>0.05</v>
      </c>
      <c r="CL29" s="35">
        <v>0.05</v>
      </c>
      <c r="CM29" s="35">
        <v>0.05</v>
      </c>
      <c r="CN29" s="35">
        <v>0.05</v>
      </c>
      <c r="CO29" s="35">
        <v>0.05</v>
      </c>
      <c r="CP29" s="35">
        <v>0.05</v>
      </c>
      <c r="CQ29" s="35">
        <v>0.05</v>
      </c>
    </row>
    <row r="30" spans="1:100" x14ac:dyDescent="0.2">
      <c r="E30" s="6">
        <v>24</v>
      </c>
      <c r="F30" s="26">
        <v>8.3000000000000001E-4</v>
      </c>
      <c r="G30" s="27">
        <v>5.0000000000000001E-4</v>
      </c>
      <c r="H30" s="27">
        <f t="shared" si="31"/>
        <v>5.0000000000000001E-4</v>
      </c>
      <c r="I30" s="28">
        <f t="shared" si="25"/>
        <v>4.167621832917856E-5</v>
      </c>
      <c r="J30" s="27">
        <f t="shared" si="32"/>
        <v>5.0000000000000001E-4</v>
      </c>
      <c r="K30" s="28">
        <f t="shared" si="26"/>
        <v>4.167621832917856E-5</v>
      </c>
      <c r="L30" s="27">
        <f t="shared" si="33"/>
        <v>5.0000000000000001E-4</v>
      </c>
      <c r="M30" s="28">
        <f t="shared" si="27"/>
        <v>4.167621832917856E-5</v>
      </c>
      <c r="N30" s="27">
        <f t="shared" si="34"/>
        <v>5.0000000000000001E-4</v>
      </c>
      <c r="O30" s="28">
        <f t="shared" si="28"/>
        <v>4.167621832917856E-5</v>
      </c>
      <c r="P30" s="5">
        <v>4.0000000000000002E-4</v>
      </c>
      <c r="Q30" s="28">
        <f t="shared" si="35"/>
        <v>3.3339446006586115E-5</v>
      </c>
      <c r="R30" s="5">
        <v>1.1000000000000001E-3</v>
      </c>
      <c r="S30" s="28">
        <f t="shared" si="36"/>
        <v>9.1712914449537664E-5</v>
      </c>
      <c r="T30" s="30">
        <v>9.0000000000000006E-5</v>
      </c>
      <c r="U30" s="28">
        <f t="shared" si="37"/>
        <v>7.5003093927827891E-6</v>
      </c>
      <c r="V30" s="5">
        <v>4.0000000000000002E-4</v>
      </c>
      <c r="W30" s="28">
        <f t="shared" si="41"/>
        <v>3.3339446006586115E-5</v>
      </c>
      <c r="Z30" s="31">
        <v>24</v>
      </c>
      <c r="AA30" s="32">
        <v>6.3399999999999998E-2</v>
      </c>
      <c r="AB30" s="32">
        <v>7.5700000000000003E-2</v>
      </c>
      <c r="AC30" s="32">
        <v>0.08</v>
      </c>
      <c r="AD30" s="32">
        <v>8.6900000000000005E-2</v>
      </c>
      <c r="AE30" s="32">
        <v>8.1600000000000006E-2</v>
      </c>
      <c r="AF30" s="32">
        <v>7.7799999999999994E-2</v>
      </c>
      <c r="AG30" s="32">
        <v>8.0399999999999999E-2</v>
      </c>
      <c r="AH30" s="32">
        <v>8.0500000000000002E-2</v>
      </c>
      <c r="AI30" s="32">
        <v>7.7299999999999994E-2</v>
      </c>
      <c r="AJ30" s="32">
        <v>7.2599999999999998E-2</v>
      </c>
      <c r="AK30" s="32">
        <v>7.3499999999999996E-2</v>
      </c>
      <c r="AL30" s="32">
        <v>7.1599999999999997E-2</v>
      </c>
      <c r="AM30" s="32">
        <v>6.9482517500000007E-2</v>
      </c>
      <c r="AN30" s="32">
        <v>6.9309172500000016E-2</v>
      </c>
      <c r="AO30" s="32">
        <v>6.9214917500000001E-2</v>
      </c>
      <c r="AP30" s="32">
        <v>6.9214917500000001E-2</v>
      </c>
      <c r="AQ30" s="32">
        <v>6.9481643333333343E-2</v>
      </c>
      <c r="AR30" s="32">
        <v>6.9752355833333335E-2</v>
      </c>
      <c r="AS30" s="32">
        <v>6.9752286666666663E-2</v>
      </c>
      <c r="AT30" s="32">
        <v>6.9821594166666681E-2</v>
      </c>
      <c r="AU30" s="32">
        <v>6.9708584166666684E-2</v>
      </c>
      <c r="AV30" s="32">
        <v>6.9507089166666688E-2</v>
      </c>
      <c r="AW30" s="32">
        <v>6.9593696666666663E-2</v>
      </c>
      <c r="AX30" s="32">
        <v>6.9820169166666682E-2</v>
      </c>
      <c r="AY30" s="32">
        <v>7.1649879999999999E-2</v>
      </c>
      <c r="AZ30" s="32">
        <v>7.0439760000000004E-2</v>
      </c>
      <c r="BA30" s="32">
        <v>7.1590479999999998E-2</v>
      </c>
      <c r="BB30" s="32">
        <v>7.0578870000000002E-2</v>
      </c>
      <c r="BC30" s="32">
        <v>7.0374149999999996E-2</v>
      </c>
      <c r="BD30" s="32">
        <v>7.0174899999999998E-2</v>
      </c>
      <c r="BE30" s="32">
        <v>7.131802000000001E-2</v>
      </c>
      <c r="BF30" s="32">
        <v>7.118215E-2</v>
      </c>
      <c r="BG30" s="32">
        <v>7.1492959999999994E-2</v>
      </c>
      <c r="BJ30" s="36">
        <f t="shared" si="52"/>
        <v>45657</v>
      </c>
      <c r="BK30" s="34">
        <v>3.3983333333333338E-2</v>
      </c>
      <c r="BM30" s="23">
        <v>2016</v>
      </c>
      <c r="BN30" s="35">
        <v>0.05</v>
      </c>
      <c r="BO30" s="35">
        <v>0.05</v>
      </c>
      <c r="BP30" s="35">
        <v>0.05</v>
      </c>
      <c r="BQ30" s="35">
        <v>0.05</v>
      </c>
      <c r="BR30" s="35">
        <v>0.05</v>
      </c>
      <c r="BS30" s="35">
        <v>0.05</v>
      </c>
      <c r="BT30" s="35">
        <v>0.05</v>
      </c>
      <c r="BU30" s="35">
        <v>0.05</v>
      </c>
      <c r="BV30" s="35">
        <v>0.05</v>
      </c>
      <c r="BW30" s="35">
        <v>0.05</v>
      </c>
      <c r="BX30" s="35">
        <v>0.05</v>
      </c>
      <c r="BY30" s="35">
        <v>0.05</v>
      </c>
      <c r="BZ30" s="35">
        <v>0.05</v>
      </c>
      <c r="CA30" s="35">
        <v>0.05</v>
      </c>
      <c r="CB30" s="35">
        <v>0.05</v>
      </c>
      <c r="CC30" s="35">
        <v>0.05</v>
      </c>
      <c r="CD30" s="35">
        <v>0.05</v>
      </c>
      <c r="CE30" s="35">
        <v>0.05</v>
      </c>
      <c r="CF30" s="35">
        <v>0.05</v>
      </c>
      <c r="CG30" s="35">
        <v>0.05</v>
      </c>
      <c r="CH30" s="35">
        <v>0.05</v>
      </c>
      <c r="CI30" s="35">
        <v>0.05</v>
      </c>
      <c r="CJ30" s="35">
        <v>0.05</v>
      </c>
      <c r="CK30" s="35">
        <v>0.05</v>
      </c>
      <c r="CL30" s="35">
        <v>0.05</v>
      </c>
      <c r="CM30" s="35">
        <v>0.05</v>
      </c>
      <c r="CN30" s="35">
        <v>0.05</v>
      </c>
      <c r="CO30" s="35">
        <v>0.05</v>
      </c>
      <c r="CP30" s="35">
        <v>0.05</v>
      </c>
      <c r="CQ30" s="35">
        <v>0.05</v>
      </c>
    </row>
    <row r="31" spans="1:100" x14ac:dyDescent="0.2">
      <c r="E31" s="6">
        <v>25</v>
      </c>
      <c r="F31" s="26">
        <v>8.4999999999999995E-4</v>
      </c>
      <c r="G31" s="27">
        <v>5.1999999999999995E-4</v>
      </c>
      <c r="H31" s="27">
        <f t="shared" si="31"/>
        <v>5.1999999999999995E-4</v>
      </c>
      <c r="I31" s="28">
        <f t="shared" si="25"/>
        <v>4.3343664543504801E-5</v>
      </c>
      <c r="J31" s="27">
        <f t="shared" si="32"/>
        <v>5.1999999999999995E-4</v>
      </c>
      <c r="K31" s="28">
        <f t="shared" si="26"/>
        <v>4.3343664543504801E-5</v>
      </c>
      <c r="L31" s="27">
        <f t="shared" si="33"/>
        <v>5.1999999999999995E-4</v>
      </c>
      <c r="M31" s="28">
        <f t="shared" si="27"/>
        <v>4.3343664543504801E-5</v>
      </c>
      <c r="N31" s="27">
        <f t="shared" si="34"/>
        <v>5.1999999999999995E-4</v>
      </c>
      <c r="O31" s="28">
        <f t="shared" si="28"/>
        <v>4.3343664543504801E-5</v>
      </c>
      <c r="P31" s="5">
        <v>4.0000000000000002E-4</v>
      </c>
      <c r="Q31" s="28">
        <f t="shared" si="35"/>
        <v>3.3339446006586115E-5</v>
      </c>
      <c r="R31" s="5">
        <v>1.1799999999999998E-3</v>
      </c>
      <c r="S31" s="28">
        <f t="shared" si="36"/>
        <v>9.8386555405616249E-5</v>
      </c>
      <c r="T31" s="30">
        <v>9.0000000000000006E-5</v>
      </c>
      <c r="U31" s="28">
        <f t="shared" si="37"/>
        <v>7.5003093927827891E-6</v>
      </c>
      <c r="V31" s="5">
        <v>4.0000000000000002E-4</v>
      </c>
      <c r="W31" s="28">
        <f t="shared" si="41"/>
        <v>3.3339446006586115E-5</v>
      </c>
      <c r="Z31" s="31">
        <v>25</v>
      </c>
      <c r="AA31" s="32">
        <v>6.3600000000000004E-2</v>
      </c>
      <c r="AB31" s="32">
        <v>7.5899999999999995E-2</v>
      </c>
      <c r="AC31" s="32">
        <v>8.0100000000000005E-2</v>
      </c>
      <c r="AD31" s="32">
        <v>8.6999999999999994E-2</v>
      </c>
      <c r="AE31" s="32">
        <v>8.1600000000000006E-2</v>
      </c>
      <c r="AF31" s="32">
        <v>7.8E-2</v>
      </c>
      <c r="AG31" s="32">
        <v>8.0500000000000002E-2</v>
      </c>
      <c r="AH31" s="32">
        <v>8.0600000000000005E-2</v>
      </c>
      <c r="AI31" s="32">
        <v>7.7299999999999994E-2</v>
      </c>
      <c r="AJ31" s="32">
        <v>7.2700000000000001E-2</v>
      </c>
      <c r="AK31" s="32">
        <v>7.3200000000000001E-2</v>
      </c>
      <c r="AL31" s="32">
        <v>7.17E-2</v>
      </c>
      <c r="AM31" s="32">
        <v>6.9523212500000001E-2</v>
      </c>
      <c r="AN31" s="32">
        <v>6.9353239999999997E-2</v>
      </c>
      <c r="AO31" s="32">
        <v>6.9261804166666677E-2</v>
      </c>
      <c r="AP31" s="32">
        <v>6.9261804166666691E-2</v>
      </c>
      <c r="AQ31" s="32">
        <v>6.9522342500000001E-2</v>
      </c>
      <c r="AR31" s="32">
        <v>6.9784437500000004E-2</v>
      </c>
      <c r="AS31" s="32">
        <v>6.9782695833333339E-2</v>
      </c>
      <c r="AT31" s="32">
        <v>6.9850586666666672E-2</v>
      </c>
      <c r="AU31" s="32">
        <v>6.9742189999999996E-2</v>
      </c>
      <c r="AV31" s="32">
        <v>6.9540923333333324E-2</v>
      </c>
      <c r="AW31" s="32">
        <v>6.9622381666666663E-2</v>
      </c>
      <c r="AX31" s="32">
        <v>6.9840713333333318E-2</v>
      </c>
      <c r="AY31" s="32">
        <v>7.1651649999999997E-2</v>
      </c>
      <c r="AZ31" s="32">
        <v>7.044692000000001E-2</v>
      </c>
      <c r="BA31" s="32">
        <v>7.159074E-2</v>
      </c>
      <c r="BB31" s="32">
        <v>7.0586349999999992E-2</v>
      </c>
      <c r="BC31" s="32">
        <v>7.0381659999999999E-2</v>
      </c>
      <c r="BD31" s="32">
        <v>7.0204870000000003E-2</v>
      </c>
      <c r="BE31" s="32">
        <v>7.1336709999999998E-2</v>
      </c>
      <c r="BF31" s="32">
        <v>7.1166569999999998E-2</v>
      </c>
      <c r="BG31" s="32">
        <v>7.1438719999999997E-2</v>
      </c>
      <c r="BJ31" s="36">
        <f t="shared" si="52"/>
        <v>45688</v>
      </c>
      <c r="BK31" s="34">
        <v>3.3588888888888897E-2</v>
      </c>
      <c r="BM31" s="23">
        <v>2017</v>
      </c>
      <c r="BN31" s="15">
        <v>0.05</v>
      </c>
      <c r="BO31" s="15">
        <v>0.05</v>
      </c>
      <c r="BP31" s="15">
        <v>0.05</v>
      </c>
      <c r="BQ31" s="15">
        <v>0.05</v>
      </c>
      <c r="BR31" s="15">
        <v>0.05</v>
      </c>
      <c r="BS31" s="15">
        <v>0.05</v>
      </c>
      <c r="BT31" s="15">
        <v>0.05</v>
      </c>
      <c r="BU31" s="15">
        <v>0.05</v>
      </c>
      <c r="BV31" s="15">
        <v>0.05</v>
      </c>
      <c r="BW31" s="15">
        <v>0.05</v>
      </c>
      <c r="BX31" s="15">
        <v>0.05</v>
      </c>
      <c r="BY31" s="15">
        <v>0.05</v>
      </c>
      <c r="BZ31" s="15">
        <v>0.05</v>
      </c>
      <c r="CA31" s="15">
        <v>0.05</v>
      </c>
      <c r="CB31" s="15">
        <v>0.05</v>
      </c>
      <c r="CC31" s="15">
        <v>0.05</v>
      </c>
      <c r="CD31" s="15">
        <v>0.05</v>
      </c>
      <c r="CE31" s="15">
        <v>0.05</v>
      </c>
      <c r="CF31" s="15">
        <v>0.05</v>
      </c>
      <c r="CG31" s="15">
        <v>0.05</v>
      </c>
      <c r="CH31" s="15">
        <v>0.05</v>
      </c>
      <c r="CI31" s="15">
        <v>0.05</v>
      </c>
      <c r="CJ31" s="15">
        <v>0.05</v>
      </c>
      <c r="CK31" s="15">
        <v>0.05</v>
      </c>
      <c r="CL31" s="15">
        <v>0.05</v>
      </c>
      <c r="CM31" s="15">
        <v>0.05</v>
      </c>
      <c r="CN31" s="15">
        <v>0.05</v>
      </c>
      <c r="CO31" s="15">
        <v>0.05</v>
      </c>
      <c r="CP31" s="15">
        <v>0.05</v>
      </c>
      <c r="CQ31" s="15">
        <v>0.05</v>
      </c>
    </row>
    <row r="32" spans="1:100" x14ac:dyDescent="0.2">
      <c r="E32" s="6">
        <v>26</v>
      </c>
      <c r="F32" s="26">
        <v>8.3000000000000001E-4</v>
      </c>
      <c r="G32" s="27">
        <v>5.5000000000000003E-4</v>
      </c>
      <c r="H32" s="27">
        <f t="shared" si="31"/>
        <v>5.5000000000000003E-4</v>
      </c>
      <c r="I32" s="28">
        <f t="shared" si="25"/>
        <v>4.5844891214286143E-5</v>
      </c>
      <c r="J32" s="27">
        <f t="shared" si="32"/>
        <v>5.5000000000000003E-4</v>
      </c>
      <c r="K32" s="28">
        <f t="shared" si="26"/>
        <v>4.5844891214286143E-5</v>
      </c>
      <c r="L32" s="27">
        <f t="shared" si="33"/>
        <v>5.5000000000000003E-4</v>
      </c>
      <c r="M32" s="28">
        <f t="shared" si="27"/>
        <v>4.5844891214286143E-5</v>
      </c>
      <c r="N32" s="27">
        <f t="shared" si="34"/>
        <v>5.5000000000000003E-4</v>
      </c>
      <c r="O32" s="28">
        <f t="shared" si="28"/>
        <v>4.5844891214286143E-5</v>
      </c>
      <c r="P32" s="5">
        <v>4.0000000000000002E-4</v>
      </c>
      <c r="Q32" s="28">
        <f t="shared" si="35"/>
        <v>3.3339446006586115E-5</v>
      </c>
      <c r="R32" s="5">
        <v>1.2600000000000001E-3</v>
      </c>
      <c r="S32" s="28">
        <f t="shared" si="36"/>
        <v>1.0506068635807164E-4</v>
      </c>
      <c r="T32" s="30">
        <v>9.0000000000000006E-5</v>
      </c>
      <c r="U32" s="28">
        <f t="shared" si="37"/>
        <v>7.5003093927827891E-6</v>
      </c>
      <c r="V32" s="5">
        <v>4.0000000000000002E-4</v>
      </c>
      <c r="W32" s="28">
        <f t="shared" si="41"/>
        <v>3.3339446006586115E-5</v>
      </c>
      <c r="Z32" s="31">
        <v>26</v>
      </c>
      <c r="AA32" s="32">
        <v>6.3700000000000007E-2</v>
      </c>
      <c r="AB32" s="32">
        <v>7.5999999999999998E-2</v>
      </c>
      <c r="AC32" s="32">
        <v>8.0199999999999994E-2</v>
      </c>
      <c r="AD32" s="32">
        <v>8.7099999999999997E-2</v>
      </c>
      <c r="AE32" s="32">
        <v>8.1699999999999995E-2</v>
      </c>
      <c r="AF32" s="32">
        <v>7.8100000000000003E-2</v>
      </c>
      <c r="AG32" s="32">
        <v>8.0600000000000005E-2</v>
      </c>
      <c r="AH32" s="32">
        <v>8.0699999999999994E-2</v>
      </c>
      <c r="AI32" s="32">
        <v>7.3400000000000007E-2</v>
      </c>
      <c r="AJ32" s="32">
        <v>7.2700000000000001E-2</v>
      </c>
      <c r="AK32" s="32">
        <v>7.3499999999999996E-2</v>
      </c>
      <c r="AL32" s="32">
        <v>7.1400000000000005E-2</v>
      </c>
      <c r="AM32" s="32">
        <v>6.955799E-2</v>
      </c>
      <c r="AN32" s="32">
        <v>6.9390944166666677E-2</v>
      </c>
      <c r="AO32" s="32">
        <v>6.9301990000000008E-2</v>
      </c>
      <c r="AP32" s="32">
        <v>6.9301989999999994E-2</v>
      </c>
      <c r="AQ32" s="32">
        <v>6.9557382500000001E-2</v>
      </c>
      <c r="AR32" s="32">
        <v>6.9811964166666671E-2</v>
      </c>
      <c r="AS32" s="32">
        <v>6.9808924166666661E-2</v>
      </c>
      <c r="AT32" s="32">
        <v>6.9875707499999995E-2</v>
      </c>
      <c r="AU32" s="32">
        <v>6.9771136666666664E-2</v>
      </c>
      <c r="AV32" s="32">
        <v>6.9570028333333325E-2</v>
      </c>
      <c r="AW32" s="32">
        <v>6.9646871666666679E-2</v>
      </c>
      <c r="AX32" s="32">
        <v>6.9857714166666668E-2</v>
      </c>
      <c r="AY32" s="32">
        <v>7.1652820000000006E-2</v>
      </c>
      <c r="AZ32" s="32">
        <v>7.0452239999999999E-2</v>
      </c>
      <c r="BA32" s="32">
        <v>7.1590890000000004E-2</v>
      </c>
      <c r="BB32" s="32">
        <v>7.0591809999999991E-2</v>
      </c>
      <c r="BC32" s="32">
        <v>7.0387119999999997E-2</v>
      </c>
      <c r="BD32" s="32">
        <v>7.0228550000000001E-2</v>
      </c>
      <c r="BE32" s="32">
        <v>7.134422E-2</v>
      </c>
      <c r="BF32" s="32">
        <v>7.1139510000000003E-2</v>
      </c>
      <c r="BG32" s="32">
        <v>7.137845000000001E-2</v>
      </c>
      <c r="BJ32" s="36">
        <f t="shared" si="52"/>
        <v>45716</v>
      </c>
      <c r="BK32" s="34">
        <v>3.3041666666666664E-2</v>
      </c>
      <c r="BM32" s="23">
        <v>2018</v>
      </c>
      <c r="BN32" s="15">
        <v>0.05</v>
      </c>
      <c r="BO32" s="15">
        <v>0.05</v>
      </c>
      <c r="BP32" s="15">
        <v>0.05</v>
      </c>
      <c r="BQ32" s="15">
        <v>0.05</v>
      </c>
      <c r="BR32" s="15">
        <v>0.05</v>
      </c>
      <c r="BS32" s="15">
        <v>0.05</v>
      </c>
      <c r="BT32" s="15">
        <v>0.05</v>
      </c>
      <c r="BU32" s="15">
        <v>0.05</v>
      </c>
      <c r="BV32" s="15">
        <v>0.05</v>
      </c>
      <c r="BW32" s="15">
        <v>0.05</v>
      </c>
      <c r="BX32" s="15">
        <v>0.05</v>
      </c>
      <c r="BY32" s="15">
        <v>0.05</v>
      </c>
      <c r="BZ32" s="15">
        <v>0.05</v>
      </c>
      <c r="CA32" s="15">
        <v>0.05</v>
      </c>
      <c r="CB32" s="15">
        <v>0.05</v>
      </c>
      <c r="CC32" s="15">
        <v>0.05</v>
      </c>
      <c r="CD32" s="15">
        <v>0.05</v>
      </c>
      <c r="CE32" s="15">
        <v>0.05</v>
      </c>
      <c r="CF32" s="15">
        <v>0.05</v>
      </c>
      <c r="CG32" s="15">
        <v>0.05</v>
      </c>
      <c r="CH32" s="15">
        <v>0.05</v>
      </c>
      <c r="CI32" s="15">
        <v>0.05</v>
      </c>
      <c r="CJ32" s="15">
        <v>0.05</v>
      </c>
      <c r="CK32" s="15">
        <v>0.05</v>
      </c>
      <c r="CL32" s="15">
        <v>0.05</v>
      </c>
      <c r="CM32" s="15">
        <v>0.05</v>
      </c>
      <c r="CN32" s="15">
        <v>0.05</v>
      </c>
      <c r="CO32" s="15">
        <v>0.05</v>
      </c>
      <c r="CP32" s="15">
        <v>0.05</v>
      </c>
      <c r="CQ32" s="15">
        <v>0.05</v>
      </c>
    </row>
    <row r="33" spans="5:96" x14ac:dyDescent="0.2">
      <c r="E33" s="6">
        <v>27</v>
      </c>
      <c r="F33" s="26">
        <v>7.9000000000000001E-4</v>
      </c>
      <c r="G33" s="27">
        <v>5.9999999999999995E-4</v>
      </c>
      <c r="H33" s="27">
        <f t="shared" si="31"/>
        <v>5.9999999999999995E-4</v>
      </c>
      <c r="I33" s="28">
        <f t="shared" si="25"/>
        <v>5.0013755273137228E-5</v>
      </c>
      <c r="J33" s="27">
        <f t="shared" si="32"/>
        <v>5.9999999999999995E-4</v>
      </c>
      <c r="K33" s="28">
        <f t="shared" si="26"/>
        <v>5.0013755273137228E-5</v>
      </c>
      <c r="L33" s="27">
        <f t="shared" si="33"/>
        <v>5.9999999999999995E-4</v>
      </c>
      <c r="M33" s="28">
        <f t="shared" si="27"/>
        <v>5.0013755273137228E-5</v>
      </c>
      <c r="N33" s="27">
        <f t="shared" si="34"/>
        <v>5.9999999999999995E-4</v>
      </c>
      <c r="O33" s="28">
        <f t="shared" si="28"/>
        <v>5.0013755273137228E-5</v>
      </c>
      <c r="P33" s="5">
        <v>4.0000000000000002E-4</v>
      </c>
      <c r="Q33" s="28">
        <f t="shared" si="35"/>
        <v>3.3339446006586115E-5</v>
      </c>
      <c r="R33" s="5">
        <v>1.34E-3</v>
      </c>
      <c r="S33" s="28">
        <f t="shared" si="36"/>
        <v>1.1173530738228798E-4</v>
      </c>
      <c r="T33" s="30">
        <v>9.0000000000000006E-5</v>
      </c>
      <c r="U33" s="28">
        <f t="shared" si="37"/>
        <v>7.5003093927827891E-6</v>
      </c>
      <c r="V33" s="5">
        <v>4.0000000000000002E-4</v>
      </c>
      <c r="W33" s="28">
        <f t="shared" si="41"/>
        <v>3.3339446006586115E-5</v>
      </c>
      <c r="Z33" s="31">
        <v>27</v>
      </c>
      <c r="AA33" s="32">
        <v>6.3799999999999996E-2</v>
      </c>
      <c r="AB33" s="32">
        <v>7.6100000000000001E-2</v>
      </c>
      <c r="AC33" s="32">
        <v>8.0299999999999996E-2</v>
      </c>
      <c r="AD33" s="32">
        <v>8.72E-2</v>
      </c>
      <c r="AE33" s="32">
        <v>8.1799999999999998E-2</v>
      </c>
      <c r="AF33" s="32">
        <v>7.8100000000000003E-2</v>
      </c>
      <c r="AG33" s="32">
        <v>8.0699999999999994E-2</v>
      </c>
      <c r="AH33" s="32">
        <v>8.0799999999999997E-2</v>
      </c>
      <c r="AI33" s="32">
        <v>7.7399999999999997E-2</v>
      </c>
      <c r="AJ33" s="32">
        <v>7.2800000000000004E-2</v>
      </c>
      <c r="AK33" s="32">
        <v>7.3499999999999996E-2</v>
      </c>
      <c r="AL33" s="32">
        <v>7.17E-2</v>
      </c>
      <c r="AM33" s="32">
        <v>6.9587755833333334E-2</v>
      </c>
      <c r="AN33" s="32">
        <v>6.9423225833333324E-2</v>
      </c>
      <c r="AO33" s="32">
        <v>6.9336427500000006E-2</v>
      </c>
      <c r="AP33" s="32">
        <v>6.9336427499999992E-2</v>
      </c>
      <c r="AQ33" s="32">
        <v>6.9587535833333339E-2</v>
      </c>
      <c r="AR33" s="32">
        <v>6.9835580833333341E-2</v>
      </c>
      <c r="AS33" s="32">
        <v>6.9831538333333332E-2</v>
      </c>
      <c r="AT33" s="32">
        <v>6.989746333333334E-2</v>
      </c>
      <c r="AU33" s="32">
        <v>6.9796048333333319E-2</v>
      </c>
      <c r="AV33" s="32">
        <v>6.9595050000000006E-2</v>
      </c>
      <c r="AW33" s="32">
        <v>6.9667786666666662E-2</v>
      </c>
      <c r="AX33" s="32">
        <v>6.9871761666666657E-2</v>
      </c>
      <c r="AY33" s="32">
        <v>7.1653599999999998E-2</v>
      </c>
      <c r="AZ33" s="32">
        <v>7.0456180000000007E-2</v>
      </c>
      <c r="BA33" s="32">
        <v>7.1590979999999999E-2</v>
      </c>
      <c r="BB33" s="32">
        <v>7.0595779999999997E-2</v>
      </c>
      <c r="BC33" s="32">
        <v>7.039107E-2</v>
      </c>
      <c r="BD33" s="32">
        <v>7.024720000000001E-2</v>
      </c>
      <c r="BE33" s="32">
        <v>7.1342630000000004E-2</v>
      </c>
      <c r="BF33" s="32">
        <v>7.1103990000000006E-2</v>
      </c>
      <c r="BG33" s="32">
        <v>7.1314710000000003E-2</v>
      </c>
      <c r="BJ33" s="36">
        <f t="shared" si="52"/>
        <v>45747</v>
      </c>
      <c r="BK33" s="34">
        <v>3.2544444444444452E-2</v>
      </c>
      <c r="BM33" s="23">
        <v>2019</v>
      </c>
      <c r="BN33" s="35">
        <v>0.25</v>
      </c>
      <c r="BO33" s="35">
        <v>0.2</v>
      </c>
      <c r="BP33" s="35">
        <v>0.05</v>
      </c>
      <c r="BQ33" s="35">
        <v>0.05</v>
      </c>
      <c r="BR33" s="35">
        <v>0.05</v>
      </c>
      <c r="BS33" s="35">
        <v>0.05</v>
      </c>
      <c r="BT33" s="35">
        <v>0.05</v>
      </c>
      <c r="BU33" s="35">
        <v>0.05</v>
      </c>
      <c r="BV33" s="35">
        <v>0.05</v>
      </c>
      <c r="BW33" s="35">
        <v>0.05</v>
      </c>
      <c r="BX33" s="35">
        <v>0.05</v>
      </c>
      <c r="BY33" s="35">
        <v>0.05</v>
      </c>
      <c r="BZ33" s="35">
        <v>0.05</v>
      </c>
      <c r="CA33" s="35">
        <v>0.05</v>
      </c>
      <c r="CB33" s="35">
        <v>0.05</v>
      </c>
      <c r="CC33" s="35">
        <v>0.05</v>
      </c>
      <c r="CD33" s="35">
        <v>0.05</v>
      </c>
      <c r="CE33" s="35">
        <v>0.05</v>
      </c>
      <c r="CF33" s="35">
        <v>0.05</v>
      </c>
      <c r="CG33" s="35">
        <v>0.05</v>
      </c>
      <c r="CH33" s="35">
        <v>0.05</v>
      </c>
      <c r="CI33" s="35">
        <v>0.05</v>
      </c>
      <c r="CJ33" s="35">
        <v>0.05</v>
      </c>
      <c r="CK33" s="35">
        <v>0.05</v>
      </c>
      <c r="CL33" s="35">
        <v>0.05</v>
      </c>
      <c r="CM33" s="35">
        <v>0.05</v>
      </c>
      <c r="CN33" s="35">
        <v>0.05</v>
      </c>
      <c r="CO33" s="35">
        <v>0.05</v>
      </c>
      <c r="CP33" s="35">
        <v>0.05</v>
      </c>
      <c r="CQ33" s="35">
        <v>0.05</v>
      </c>
    </row>
    <row r="34" spans="5:96" x14ac:dyDescent="0.2">
      <c r="E34" s="6">
        <v>28</v>
      </c>
      <c r="F34" s="26">
        <v>7.5000000000000002E-4</v>
      </c>
      <c r="G34" s="27">
        <v>6.4999999999999997E-4</v>
      </c>
      <c r="H34" s="27">
        <f t="shared" si="31"/>
        <v>6.4999999999999997E-4</v>
      </c>
      <c r="I34" s="28">
        <f t="shared" si="25"/>
        <v>5.4182810524050495E-5</v>
      </c>
      <c r="J34" s="27">
        <f t="shared" si="32"/>
        <v>6.4999999999999997E-4</v>
      </c>
      <c r="K34" s="28">
        <f t="shared" si="26"/>
        <v>5.4182810524050495E-5</v>
      </c>
      <c r="L34" s="27">
        <f t="shared" si="33"/>
        <v>6.4999999999999997E-4</v>
      </c>
      <c r="M34" s="28">
        <f t="shared" si="27"/>
        <v>5.4182810524050495E-5</v>
      </c>
      <c r="N34" s="27">
        <f t="shared" si="34"/>
        <v>6.4999999999999997E-4</v>
      </c>
      <c r="O34" s="28">
        <f t="shared" si="28"/>
        <v>5.4182810524050495E-5</v>
      </c>
      <c r="P34" s="5">
        <v>4.0000000000000002E-4</v>
      </c>
      <c r="Q34" s="28">
        <f t="shared" si="35"/>
        <v>3.3339446006586115E-5</v>
      </c>
      <c r="R34" s="5">
        <v>1.34E-3</v>
      </c>
      <c r="S34" s="28">
        <f t="shared" si="36"/>
        <v>1.1173530738228798E-4</v>
      </c>
      <c r="T34" s="30">
        <v>9.0000000000000006E-5</v>
      </c>
      <c r="U34" s="28">
        <f t="shared" si="37"/>
        <v>7.5003093927827891E-6</v>
      </c>
      <c r="V34" s="5">
        <v>4.0000000000000002E-4</v>
      </c>
      <c r="W34" s="28">
        <f t="shared" si="41"/>
        <v>3.3339446006586115E-5</v>
      </c>
      <c r="Z34" s="31">
        <v>28</v>
      </c>
      <c r="AA34" s="32">
        <v>6.3899999999999998E-2</v>
      </c>
      <c r="AB34" s="32">
        <v>7.6200000000000004E-2</v>
      </c>
      <c r="AC34" s="32">
        <v>8.0299999999999996E-2</v>
      </c>
      <c r="AD34" s="32">
        <v>8.7300000000000003E-2</v>
      </c>
      <c r="AE34" s="32">
        <v>8.1799999999999998E-2</v>
      </c>
      <c r="AF34" s="32">
        <v>7.8200000000000006E-2</v>
      </c>
      <c r="AG34" s="32">
        <v>8.0799999999999997E-2</v>
      </c>
      <c r="AH34" s="32">
        <v>8.09E-2</v>
      </c>
      <c r="AI34" s="32">
        <v>7.7399999999999997E-2</v>
      </c>
      <c r="AJ34" s="32">
        <v>7.2800000000000004E-2</v>
      </c>
      <c r="AK34" s="32">
        <v>7.3499999999999996E-2</v>
      </c>
      <c r="AL34" s="32">
        <v>7.17E-2</v>
      </c>
      <c r="AM34" s="32">
        <v>6.9613259166666663E-2</v>
      </c>
      <c r="AN34" s="32">
        <v>6.9450877499999994E-2</v>
      </c>
      <c r="AO34" s="32">
        <v>6.9365932499999991E-2</v>
      </c>
      <c r="AP34" s="32">
        <v>6.9365932499999991E-2</v>
      </c>
      <c r="AQ34" s="32">
        <v>6.9613471666666663E-2</v>
      </c>
      <c r="AR34" s="32">
        <v>6.9855840833333335E-2</v>
      </c>
      <c r="AS34" s="32">
        <v>6.9851028333333329E-2</v>
      </c>
      <c r="AT34" s="32">
        <v>6.9916294166666657E-2</v>
      </c>
      <c r="AU34" s="32">
        <v>6.9817471666666658E-2</v>
      </c>
      <c r="AV34" s="32">
        <v>6.9616549166666666E-2</v>
      </c>
      <c r="AW34" s="32">
        <v>6.9685651666666654E-2</v>
      </c>
      <c r="AX34" s="32">
        <v>6.9883346666666665E-2</v>
      </c>
      <c r="AY34" s="32">
        <v>7.1654099999999998E-2</v>
      </c>
      <c r="AZ34" s="32">
        <v>7.0459090000000002E-2</v>
      </c>
      <c r="BA34" s="32">
        <v>7.159103E-2</v>
      </c>
      <c r="BB34" s="32">
        <v>7.0598670000000002E-2</v>
      </c>
      <c r="BC34" s="32">
        <v>7.0393919999999999E-2</v>
      </c>
      <c r="BD34" s="32">
        <v>7.0261850000000001E-2</v>
      </c>
      <c r="BE34" s="32">
        <v>7.13337E-2</v>
      </c>
      <c r="BF34" s="32">
        <v>7.1062429999999996E-2</v>
      </c>
      <c r="BG34" s="32">
        <v>7.1249359999999998E-2</v>
      </c>
      <c r="BJ34" s="36">
        <f t="shared" si="52"/>
        <v>45777</v>
      </c>
      <c r="BK34" s="34">
        <v>3.2122222222222226E-2</v>
      </c>
      <c r="BM34" s="23">
        <v>2020</v>
      </c>
      <c r="BN34" s="35">
        <v>0.25</v>
      </c>
      <c r="BO34" s="35">
        <v>0.2</v>
      </c>
      <c r="BP34" s="35">
        <v>0.05</v>
      </c>
      <c r="BQ34" s="35">
        <v>0.05</v>
      </c>
      <c r="BR34" s="35">
        <v>0.05</v>
      </c>
      <c r="BS34" s="35">
        <v>0.05</v>
      </c>
      <c r="BT34" s="35">
        <v>0.05</v>
      </c>
      <c r="BU34" s="35">
        <v>0.05</v>
      </c>
      <c r="BV34" s="35">
        <v>0.05</v>
      </c>
      <c r="BW34" s="35">
        <v>0.05</v>
      </c>
      <c r="BX34" s="35">
        <v>0.05</v>
      </c>
      <c r="BY34" s="35">
        <v>0.05</v>
      </c>
      <c r="BZ34" s="35">
        <v>0.05</v>
      </c>
      <c r="CA34" s="35">
        <v>0.05</v>
      </c>
      <c r="CB34" s="35">
        <v>0.05</v>
      </c>
      <c r="CC34" s="35">
        <v>0.05</v>
      </c>
      <c r="CD34" s="35">
        <v>0.05</v>
      </c>
      <c r="CE34" s="35">
        <v>0.05</v>
      </c>
      <c r="CF34" s="35">
        <v>0.05</v>
      </c>
      <c r="CG34" s="35">
        <v>0.05</v>
      </c>
      <c r="CH34" s="35">
        <v>0.05</v>
      </c>
      <c r="CI34" s="35">
        <v>0.05</v>
      </c>
      <c r="CJ34" s="35">
        <v>0.05</v>
      </c>
      <c r="CK34" s="35">
        <v>0.05</v>
      </c>
      <c r="CL34" s="35">
        <v>0.05</v>
      </c>
      <c r="CM34" s="35">
        <v>0.05</v>
      </c>
      <c r="CN34" s="35">
        <v>0.05</v>
      </c>
      <c r="CO34" s="35">
        <v>0.05</v>
      </c>
      <c r="CP34" s="35">
        <v>0.05</v>
      </c>
      <c r="CQ34" s="35">
        <v>0.05</v>
      </c>
    </row>
    <row r="35" spans="5:96" x14ac:dyDescent="0.2">
      <c r="E35" s="6">
        <v>29</v>
      </c>
      <c r="F35" s="26">
        <v>7.3999999999999999E-4</v>
      </c>
      <c r="G35" s="27">
        <v>6.9999999999999999E-4</v>
      </c>
      <c r="H35" s="27">
        <f t="shared" si="31"/>
        <v>6.9999999999999999E-4</v>
      </c>
      <c r="I35" s="28">
        <f t="shared" si="25"/>
        <v>5.8352056985233602E-5</v>
      </c>
      <c r="J35" s="27">
        <f t="shared" si="32"/>
        <v>6.9999999999999999E-4</v>
      </c>
      <c r="K35" s="28">
        <f t="shared" si="26"/>
        <v>5.8352056985233602E-5</v>
      </c>
      <c r="L35" s="27">
        <f t="shared" si="33"/>
        <v>6.9999999999999999E-4</v>
      </c>
      <c r="M35" s="28">
        <f t="shared" si="27"/>
        <v>5.8352056985233602E-5</v>
      </c>
      <c r="N35" s="27">
        <f t="shared" si="34"/>
        <v>6.9999999999999999E-4</v>
      </c>
      <c r="O35" s="28">
        <f t="shared" si="28"/>
        <v>5.8352056985233602E-5</v>
      </c>
      <c r="P35" s="5">
        <v>4.0000000000000002E-4</v>
      </c>
      <c r="Q35" s="28">
        <f t="shared" si="35"/>
        <v>3.3339446006586115E-5</v>
      </c>
      <c r="R35" s="5">
        <v>1.4399999999999999E-3</v>
      </c>
      <c r="S35" s="28">
        <f t="shared" si="36"/>
        <v>1.200792729405542E-4</v>
      </c>
      <c r="T35" s="30">
        <v>9.0000000000000006E-5</v>
      </c>
      <c r="U35" s="28">
        <f t="shared" si="37"/>
        <v>7.5003093927827891E-6</v>
      </c>
      <c r="V35" s="5">
        <v>4.0000000000000002E-4</v>
      </c>
      <c r="W35" s="28">
        <f t="shared" si="41"/>
        <v>3.3339446006586115E-5</v>
      </c>
      <c r="Z35" s="31">
        <v>29</v>
      </c>
      <c r="AA35" s="32">
        <v>6.4000000000000001E-2</v>
      </c>
      <c r="AB35" s="32">
        <v>7.6300000000000007E-2</v>
      </c>
      <c r="AC35" s="32">
        <v>8.0399999999999999E-2</v>
      </c>
      <c r="AD35" s="32">
        <v>8.7300000000000003E-2</v>
      </c>
      <c r="AE35" s="32">
        <v>8.1900000000000001E-2</v>
      </c>
      <c r="AF35" s="32">
        <v>7.8299999999999995E-2</v>
      </c>
      <c r="AG35" s="32">
        <v>8.0799999999999997E-2</v>
      </c>
      <c r="AH35" s="32">
        <v>8.1000000000000003E-2</v>
      </c>
      <c r="AI35" s="32">
        <v>7.7499999999999999E-2</v>
      </c>
      <c r="AJ35" s="32">
        <v>7.2900000000000006E-2</v>
      </c>
      <c r="AK35" s="32">
        <v>7.3499999999999996E-2</v>
      </c>
      <c r="AL35" s="32">
        <v>7.17E-2</v>
      </c>
      <c r="AM35" s="32">
        <v>6.963513583333332E-2</v>
      </c>
      <c r="AN35" s="32">
        <v>6.9474577500000009E-2</v>
      </c>
      <c r="AO35" s="32">
        <v>6.9391209999999995E-2</v>
      </c>
      <c r="AP35" s="32">
        <v>6.9391209999999995E-2</v>
      </c>
      <c r="AQ35" s="32">
        <v>6.9635772500000012E-2</v>
      </c>
      <c r="AR35" s="32">
        <v>6.9873223333333345E-2</v>
      </c>
      <c r="AS35" s="32">
        <v>6.986782083333333E-2</v>
      </c>
      <c r="AT35" s="32">
        <v>6.9932585833333338E-2</v>
      </c>
      <c r="AU35" s="32">
        <v>6.9835885833333333E-2</v>
      </c>
      <c r="AV35" s="32">
        <v>6.9635014999999981E-2</v>
      </c>
      <c r="AW35" s="32">
        <v>6.9700921666666651E-2</v>
      </c>
      <c r="AX35" s="32">
        <v>6.9892889166666652E-2</v>
      </c>
      <c r="AY35" s="32">
        <v>7.165444E-2</v>
      </c>
      <c r="AZ35" s="32">
        <v>7.0461239999999994E-2</v>
      </c>
      <c r="BA35" s="32">
        <v>7.1591059999999998E-2</v>
      </c>
      <c r="BB35" s="32">
        <v>7.0600759999999999E-2</v>
      </c>
      <c r="BC35" s="32">
        <v>7.0395970000000002E-2</v>
      </c>
      <c r="BD35" s="32">
        <v>7.0273340000000004E-2</v>
      </c>
      <c r="BE35" s="32">
        <v>7.1318919999999994E-2</v>
      </c>
      <c r="BF35" s="32">
        <v>7.1016750000000003E-2</v>
      </c>
      <c r="BG35" s="32">
        <v>7.1183769999999993E-2</v>
      </c>
      <c r="BJ35" s="36">
        <f t="shared" si="52"/>
        <v>45808</v>
      </c>
      <c r="BK35" s="34">
        <v>3.1580555555555556E-2</v>
      </c>
      <c r="BM35" s="23">
        <v>2021</v>
      </c>
      <c r="BN35" s="35">
        <v>0.25</v>
      </c>
      <c r="BO35" s="35">
        <v>0.2</v>
      </c>
      <c r="BP35" s="35">
        <v>0.05</v>
      </c>
      <c r="BQ35" s="35">
        <v>0.05</v>
      </c>
      <c r="BR35" s="35">
        <v>0.05</v>
      </c>
      <c r="BS35" s="35">
        <v>0.05</v>
      </c>
      <c r="BT35" s="35">
        <v>0.05</v>
      </c>
      <c r="BU35" s="35">
        <v>0.05</v>
      </c>
      <c r="BV35" s="35">
        <v>0.05</v>
      </c>
      <c r="BW35" s="35">
        <v>0.05</v>
      </c>
      <c r="BX35" s="35">
        <v>0.05</v>
      </c>
      <c r="BY35" s="35">
        <v>0.05</v>
      </c>
      <c r="BZ35" s="35">
        <v>0.05</v>
      </c>
      <c r="CA35" s="35">
        <v>0.05</v>
      </c>
      <c r="CB35" s="35">
        <v>0.05</v>
      </c>
      <c r="CC35" s="35">
        <v>0.05</v>
      </c>
      <c r="CD35" s="35">
        <v>0.05</v>
      </c>
      <c r="CE35" s="35">
        <v>0.05</v>
      </c>
      <c r="CF35" s="35">
        <v>0.05</v>
      </c>
      <c r="CG35" s="35">
        <v>0.05</v>
      </c>
      <c r="CH35" s="35">
        <v>0.05</v>
      </c>
      <c r="CI35" s="35">
        <v>0.05</v>
      </c>
      <c r="CJ35" s="35">
        <v>0.05</v>
      </c>
      <c r="CK35" s="35">
        <v>0.05</v>
      </c>
      <c r="CL35" s="35">
        <v>0.05</v>
      </c>
      <c r="CM35" s="35">
        <v>0.05</v>
      </c>
      <c r="CN35" s="35">
        <v>0.05</v>
      </c>
      <c r="CO35" s="35">
        <v>0.05</v>
      </c>
      <c r="CP35" s="35">
        <v>0.05</v>
      </c>
      <c r="CQ35" s="35">
        <v>0.05</v>
      </c>
    </row>
    <row r="36" spans="5:96" x14ac:dyDescent="0.2">
      <c r="E36" s="6">
        <v>30</v>
      </c>
      <c r="F36" s="26">
        <v>7.6000000000000004E-4</v>
      </c>
      <c r="G36" s="27">
        <v>7.5000000000000002E-4</v>
      </c>
      <c r="H36" s="27">
        <f t="shared" si="31"/>
        <v>7.5000000000000002E-4</v>
      </c>
      <c r="I36" s="28">
        <f t="shared" si="25"/>
        <v>6.2521494675227274E-5</v>
      </c>
      <c r="J36" s="27">
        <f t="shared" si="32"/>
        <v>7.5000000000000002E-4</v>
      </c>
      <c r="K36" s="28">
        <f t="shared" si="26"/>
        <v>6.2521494675227274E-5</v>
      </c>
      <c r="L36" s="27">
        <f t="shared" si="33"/>
        <v>7.5000000000000002E-4</v>
      </c>
      <c r="M36" s="28">
        <f t="shared" si="27"/>
        <v>6.2521494675227274E-5</v>
      </c>
      <c r="N36" s="27">
        <f t="shared" si="34"/>
        <v>7.5000000000000002E-4</v>
      </c>
      <c r="O36" s="28">
        <f t="shared" si="28"/>
        <v>6.2521494675227274E-5</v>
      </c>
      <c r="P36" s="5">
        <v>4.0000000000000002E-4</v>
      </c>
      <c r="Q36" s="28">
        <f t="shared" si="35"/>
        <v>3.3339446006586115E-5</v>
      </c>
      <c r="R36" s="5">
        <v>1.5100000000000001E-3</v>
      </c>
      <c r="S36" s="28">
        <f t="shared" si="36"/>
        <v>1.2592050459359072E-4</v>
      </c>
      <c r="T36" s="30">
        <v>9.0000000000000006E-5</v>
      </c>
      <c r="U36" s="28">
        <f t="shared" si="37"/>
        <v>7.5003093927827891E-6</v>
      </c>
      <c r="V36" s="5">
        <v>4.0000000000000002E-4</v>
      </c>
      <c r="W36" s="28">
        <f t="shared" si="41"/>
        <v>3.3339446006586115E-5</v>
      </c>
      <c r="Z36" s="31">
        <v>30</v>
      </c>
      <c r="AA36" s="32">
        <v>6.4000000000000001E-2</v>
      </c>
      <c r="AB36" s="32">
        <v>7.6300000000000007E-2</v>
      </c>
      <c r="AC36" s="32">
        <v>8.0500000000000002E-2</v>
      </c>
      <c r="AD36" s="32">
        <v>8.7400000000000005E-2</v>
      </c>
      <c r="AE36" s="32">
        <v>8.1900000000000001E-2</v>
      </c>
      <c r="AF36" s="32">
        <v>7.8299999999999995E-2</v>
      </c>
      <c r="AG36" s="32">
        <v>8.09E-2</v>
      </c>
      <c r="AH36" s="32">
        <v>8.1000000000000003E-2</v>
      </c>
      <c r="AI36" s="32">
        <v>7.7499999999999999E-2</v>
      </c>
      <c r="AJ36" s="32">
        <v>7.2900000000000006E-2</v>
      </c>
      <c r="AK36" s="32">
        <v>7.2900000000000006E-2</v>
      </c>
      <c r="AL36" s="32">
        <v>7.17E-2</v>
      </c>
      <c r="AM36" s="32">
        <v>6.9653916666666649E-2</v>
      </c>
      <c r="AN36" s="32">
        <v>6.9494896666666667E-2</v>
      </c>
      <c r="AO36" s="32">
        <v>6.9412861666666673E-2</v>
      </c>
      <c r="AP36" s="32">
        <v>6.94128616666667E-2</v>
      </c>
      <c r="AQ36" s="32">
        <v>6.9654942500000025E-2</v>
      </c>
      <c r="AR36" s="32">
        <v>6.9888138333333349E-2</v>
      </c>
      <c r="AS36" s="32">
        <v>6.9882285000000002E-2</v>
      </c>
      <c r="AT36" s="32">
        <v>6.9946674166666667E-2</v>
      </c>
      <c r="AU36" s="32">
        <v>6.9851706666666666E-2</v>
      </c>
      <c r="AV36" s="32">
        <v>6.9650870833333337E-2</v>
      </c>
      <c r="AW36" s="32">
        <v>6.9713978333333329E-2</v>
      </c>
      <c r="AX36" s="32">
        <v>6.9900736666666657E-2</v>
      </c>
      <c r="AY36" s="32">
        <v>7.1654660000000009E-2</v>
      </c>
      <c r="AZ36" s="32">
        <v>7.0462819999999995E-2</v>
      </c>
      <c r="BA36" s="32">
        <v>7.1591080000000001E-2</v>
      </c>
      <c r="BB36" s="32">
        <v>7.060226E-2</v>
      </c>
      <c r="BC36" s="32">
        <v>7.0397439999999992E-2</v>
      </c>
      <c r="BD36" s="32">
        <v>7.0282319999999995E-2</v>
      </c>
      <c r="BE36" s="32">
        <v>7.1299520000000005E-2</v>
      </c>
      <c r="BF36" s="32">
        <v>7.0968429999999999E-2</v>
      </c>
      <c r="BG36" s="32">
        <v>7.1118909999999994E-2</v>
      </c>
      <c r="BJ36" s="36">
        <f t="shared" si="52"/>
        <v>45838</v>
      </c>
      <c r="BK36" s="34">
        <v>3.0891666666666664E-2</v>
      </c>
      <c r="BM36" s="23">
        <v>2022</v>
      </c>
      <c r="BN36" s="35">
        <v>0.01</v>
      </c>
      <c r="BO36" s="35">
        <v>0.02</v>
      </c>
      <c r="BP36" s="35">
        <v>0.03</v>
      </c>
      <c r="BQ36" s="35">
        <v>0.03</v>
      </c>
      <c r="BR36" s="35">
        <v>0.03</v>
      </c>
      <c r="BS36" s="35">
        <v>0.03</v>
      </c>
      <c r="BT36" s="35">
        <v>0.03</v>
      </c>
      <c r="BU36" s="35">
        <v>0.05</v>
      </c>
      <c r="BV36" s="35">
        <v>0.04</v>
      </c>
      <c r="BW36" s="35">
        <v>0.03</v>
      </c>
      <c r="BX36" s="35">
        <v>0.03</v>
      </c>
      <c r="BY36" s="35">
        <v>0.03</v>
      </c>
      <c r="BZ36" s="35">
        <v>0.03</v>
      </c>
      <c r="CA36" s="35">
        <v>0.03</v>
      </c>
      <c r="CB36" s="35">
        <v>0.03</v>
      </c>
      <c r="CC36" s="35">
        <v>0.03</v>
      </c>
      <c r="CD36" s="35">
        <v>0.03</v>
      </c>
      <c r="CE36" s="35">
        <v>0.03</v>
      </c>
      <c r="CF36" s="35">
        <v>0.03</v>
      </c>
      <c r="CG36" s="35">
        <v>0.03</v>
      </c>
      <c r="CH36" s="35">
        <v>0.03</v>
      </c>
      <c r="CI36" s="35">
        <v>0.03</v>
      </c>
      <c r="CJ36" s="35">
        <v>0.03</v>
      </c>
      <c r="CK36" s="35">
        <v>0.03</v>
      </c>
      <c r="CL36" s="35">
        <v>0.03</v>
      </c>
      <c r="CM36" s="35">
        <v>0.03</v>
      </c>
      <c r="CN36" s="35">
        <v>0.03</v>
      </c>
      <c r="CO36" s="35">
        <v>0.03</v>
      </c>
      <c r="CP36" s="35">
        <v>0.03</v>
      </c>
      <c r="CQ36" s="35">
        <v>0.03</v>
      </c>
    </row>
    <row r="37" spans="5:96" x14ac:dyDescent="0.2">
      <c r="E37" s="6">
        <v>31</v>
      </c>
      <c r="F37" s="26">
        <v>8.0000000000000004E-4</v>
      </c>
      <c r="G37" s="27">
        <v>8.0999999999999996E-4</v>
      </c>
      <c r="H37" s="27">
        <f t="shared" si="31"/>
        <v>8.0999999999999996E-4</v>
      </c>
      <c r="I37" s="28">
        <f t="shared" si="25"/>
        <v>6.7525072350860249E-5</v>
      </c>
      <c r="J37" s="27">
        <f t="shared" si="32"/>
        <v>8.0999999999999996E-4</v>
      </c>
      <c r="K37" s="28">
        <f t="shared" si="26"/>
        <v>6.7525072350860249E-5</v>
      </c>
      <c r="L37" s="27">
        <f t="shared" si="33"/>
        <v>8.0999999999999996E-4</v>
      </c>
      <c r="M37" s="28">
        <f t="shared" si="27"/>
        <v>6.7525072350860249E-5</v>
      </c>
      <c r="N37" s="27">
        <f t="shared" si="34"/>
        <v>8.0999999999999996E-4</v>
      </c>
      <c r="O37" s="28">
        <f t="shared" si="28"/>
        <v>6.7525072350860249E-5</v>
      </c>
      <c r="P37" s="5">
        <v>4.0000000000000002E-4</v>
      </c>
      <c r="Q37" s="28">
        <f t="shared" si="35"/>
        <v>3.3339446006586115E-5</v>
      </c>
      <c r="R37" s="5">
        <v>1.56E-3</v>
      </c>
      <c r="S37" s="28">
        <f t="shared" si="36"/>
        <v>1.3009304274569367E-4</v>
      </c>
      <c r="T37" s="30">
        <v>9.0000000000000006E-5</v>
      </c>
      <c r="U37" s="28">
        <f t="shared" si="37"/>
        <v>7.5003093927827891E-6</v>
      </c>
      <c r="V37" s="5">
        <v>4.0000000000000002E-4</v>
      </c>
      <c r="W37" s="28">
        <f t="shared" si="41"/>
        <v>3.3339446006586115E-5</v>
      </c>
      <c r="AA37" s="40"/>
      <c r="AB37" s="40"/>
      <c r="AC37" s="40"/>
      <c r="AD37" s="40"/>
      <c r="AE37" s="40"/>
      <c r="AF37" s="40"/>
      <c r="AG37" s="40"/>
      <c r="AH37" s="40"/>
      <c r="AI37" s="40"/>
      <c r="AK37" s="41"/>
      <c r="BJ37" s="36">
        <f t="shared" si="52"/>
        <v>45869</v>
      </c>
      <c r="BK37" s="34">
        <v>3.0177777777777779E-2</v>
      </c>
      <c r="BM37" s="23">
        <v>2023</v>
      </c>
      <c r="BN37" s="35">
        <v>0.01</v>
      </c>
      <c r="BO37" s="35">
        <v>0.02</v>
      </c>
      <c r="BP37" s="35">
        <v>0.03</v>
      </c>
      <c r="BQ37" s="35">
        <v>0.03</v>
      </c>
      <c r="BR37" s="35">
        <v>0.03</v>
      </c>
      <c r="BS37" s="35">
        <v>0.03</v>
      </c>
      <c r="BT37" s="35">
        <v>0.03</v>
      </c>
      <c r="BU37" s="35">
        <v>0.05</v>
      </c>
      <c r="BV37" s="35">
        <v>0.04</v>
      </c>
      <c r="BW37" s="35">
        <v>0.03</v>
      </c>
      <c r="BX37" s="35">
        <v>0.03</v>
      </c>
      <c r="BY37" s="35">
        <v>0.03</v>
      </c>
      <c r="BZ37" s="35">
        <v>0.03</v>
      </c>
      <c r="CA37" s="35">
        <v>0.03</v>
      </c>
      <c r="CB37" s="35">
        <v>0.03</v>
      </c>
      <c r="CC37" s="35">
        <v>0.03</v>
      </c>
      <c r="CD37" s="35">
        <v>0.03</v>
      </c>
      <c r="CE37" s="35">
        <v>0.03</v>
      </c>
      <c r="CF37" s="35">
        <v>0.03</v>
      </c>
      <c r="CG37" s="35">
        <v>0.03</v>
      </c>
      <c r="CH37" s="35">
        <v>0.03</v>
      </c>
      <c r="CI37" s="35">
        <v>0.03</v>
      </c>
      <c r="CJ37" s="35">
        <v>0.03</v>
      </c>
      <c r="CK37" s="35">
        <v>0.03</v>
      </c>
      <c r="CL37" s="35">
        <v>0.03</v>
      </c>
      <c r="CM37" s="35">
        <v>0.03</v>
      </c>
      <c r="CN37" s="35">
        <v>0.03</v>
      </c>
      <c r="CO37" s="35">
        <v>0.03</v>
      </c>
      <c r="CP37" s="35">
        <v>0.03</v>
      </c>
      <c r="CQ37" s="35">
        <v>0.03</v>
      </c>
    </row>
    <row r="38" spans="5:96" x14ac:dyDescent="0.2">
      <c r="E38" s="6">
        <v>32</v>
      </c>
      <c r="F38" s="26">
        <v>8.3000000000000001E-4</v>
      </c>
      <c r="G38" s="27">
        <v>8.7000000000000001E-4</v>
      </c>
      <c r="H38" s="27">
        <f t="shared" si="31"/>
        <v>8.7000000000000001E-4</v>
      </c>
      <c r="I38" s="28">
        <f t="shared" ref="I38:I69" si="74">1-(1 - H38)^(1/12)</f>
        <v>7.2528925453951842E-5</v>
      </c>
      <c r="J38" s="27">
        <f t="shared" si="32"/>
        <v>8.7000000000000001E-4</v>
      </c>
      <c r="K38" s="28">
        <f t="shared" si="26"/>
        <v>7.2528925453951842E-5</v>
      </c>
      <c r="L38" s="27">
        <f t="shared" si="33"/>
        <v>8.7000000000000001E-4</v>
      </c>
      <c r="M38" s="28">
        <f t="shared" si="27"/>
        <v>7.2528925453951842E-5</v>
      </c>
      <c r="N38" s="27">
        <f t="shared" si="34"/>
        <v>8.7000000000000001E-4</v>
      </c>
      <c r="O38" s="28">
        <f t="shared" si="28"/>
        <v>7.2528925453951842E-5</v>
      </c>
      <c r="P38" s="5">
        <v>4.0000000000000002E-4</v>
      </c>
      <c r="Q38" s="28">
        <f t="shared" si="35"/>
        <v>3.3339446006586115E-5</v>
      </c>
      <c r="R38" s="5">
        <v>1.6000000000000001E-3</v>
      </c>
      <c r="S38" s="28">
        <f t="shared" si="36"/>
        <v>1.3343121117848078E-4</v>
      </c>
      <c r="T38" s="30">
        <v>9.0000000000000006E-5</v>
      </c>
      <c r="U38" s="28">
        <f t="shared" si="37"/>
        <v>7.5003093927827891E-6</v>
      </c>
      <c r="V38" s="5">
        <v>4.0000000000000002E-4</v>
      </c>
      <c r="W38" s="28">
        <f t="shared" si="41"/>
        <v>3.3339446006586115E-5</v>
      </c>
      <c r="Z38" s="42"/>
      <c r="AA38" s="6"/>
      <c r="AB38" s="6"/>
      <c r="AC38" s="6"/>
      <c r="AD38" s="6"/>
      <c r="AE38" s="6"/>
      <c r="AF38" s="6"/>
      <c r="AG38" s="6"/>
      <c r="AH38" s="6"/>
      <c r="AI38" s="6"/>
      <c r="AJ38" s="2" t="s">
        <v>60</v>
      </c>
      <c r="BJ38" s="36">
        <f t="shared" si="52"/>
        <v>45900</v>
      </c>
      <c r="BK38" s="34">
        <v>2.9516666666666677E-2</v>
      </c>
      <c r="BM38" s="23">
        <v>2024</v>
      </c>
      <c r="BN38" s="35">
        <v>0.01</v>
      </c>
      <c r="BO38" s="35">
        <v>0.01</v>
      </c>
      <c r="BP38" s="35">
        <v>1.0999999999999999E-2</v>
      </c>
      <c r="BQ38" s="35">
        <v>2.5000000000000001E-2</v>
      </c>
      <c r="BR38" s="35">
        <v>2.9000000000000005E-2</v>
      </c>
      <c r="BS38" s="35">
        <v>3.3000000000000002E-2</v>
      </c>
      <c r="BT38" s="35">
        <v>3.7999999999999999E-2</v>
      </c>
      <c r="BU38" s="35">
        <v>3.7999999999999999E-2</v>
      </c>
      <c r="BV38" s="35">
        <v>3.7999999999999999E-2</v>
      </c>
      <c r="BW38" s="35">
        <v>3.7999999999999999E-2</v>
      </c>
      <c r="BX38" s="35">
        <v>3.7999999999999999E-2</v>
      </c>
      <c r="BY38" s="35">
        <v>3.7999999999999999E-2</v>
      </c>
      <c r="BZ38" s="35">
        <v>3.7999999999999999E-2</v>
      </c>
      <c r="CA38" s="35">
        <v>3.7999999999999999E-2</v>
      </c>
      <c r="CB38" s="35">
        <v>3.7999999999999999E-2</v>
      </c>
      <c r="CC38" s="35">
        <v>3.7999999999999999E-2</v>
      </c>
      <c r="CD38" s="35">
        <v>3.7999999999999999E-2</v>
      </c>
      <c r="CE38" s="35">
        <v>3.7999999999999999E-2</v>
      </c>
      <c r="CF38" s="35">
        <v>3.7999999999999999E-2</v>
      </c>
      <c r="CG38" s="35">
        <v>3.7999999999999999E-2</v>
      </c>
      <c r="CH38" s="35">
        <v>3.7999999999999999E-2</v>
      </c>
      <c r="CI38" s="35">
        <v>3.7999999999999999E-2</v>
      </c>
      <c r="CJ38" s="35">
        <v>3.7999999999999999E-2</v>
      </c>
      <c r="CK38" s="35">
        <v>3.7999999999999999E-2</v>
      </c>
      <c r="CL38" s="35">
        <v>3.7999999999999999E-2</v>
      </c>
      <c r="CM38" s="35">
        <v>3.7999999999999999E-2</v>
      </c>
      <c r="CN38" s="35">
        <v>3.7999999999999999E-2</v>
      </c>
      <c r="CO38" s="35">
        <v>3.7999999999999999E-2</v>
      </c>
      <c r="CP38" s="35">
        <v>3.7999999999999999E-2</v>
      </c>
      <c r="CQ38" s="35">
        <v>3.7999999999999999E-2</v>
      </c>
    </row>
    <row r="39" spans="5:96" x14ac:dyDescent="0.2">
      <c r="E39" s="6">
        <v>33</v>
      </c>
      <c r="F39" s="26">
        <v>8.4000000000000003E-4</v>
      </c>
      <c r="G39" s="27">
        <v>9.3000000000000005E-4</v>
      </c>
      <c r="H39" s="27">
        <f t="shared" si="31"/>
        <v>9.3000000000000005E-4</v>
      </c>
      <c r="I39" s="28">
        <f t="shared" si="74"/>
        <v>7.7533054016254432E-5</v>
      </c>
      <c r="J39" s="27">
        <f t="shared" si="32"/>
        <v>9.3000000000000005E-4</v>
      </c>
      <c r="K39" s="28">
        <f t="shared" si="26"/>
        <v>7.7533054016254432E-5</v>
      </c>
      <c r="L39" s="27">
        <f t="shared" si="33"/>
        <v>9.3000000000000005E-4</v>
      </c>
      <c r="M39" s="28">
        <f t="shared" si="27"/>
        <v>7.7533054016254432E-5</v>
      </c>
      <c r="N39" s="27">
        <f t="shared" si="34"/>
        <v>9.3000000000000005E-4</v>
      </c>
      <c r="O39" s="28">
        <f t="shared" si="28"/>
        <v>7.7533054016254432E-5</v>
      </c>
      <c r="P39" s="5">
        <v>4.0000000000000002E-4</v>
      </c>
      <c r="Q39" s="28">
        <f t="shared" si="35"/>
        <v>3.3339446006586115E-5</v>
      </c>
      <c r="R39" s="5">
        <v>1.6899999999999999E-3</v>
      </c>
      <c r="S39" s="28">
        <f t="shared" si="36"/>
        <v>1.4094253841523408E-4</v>
      </c>
      <c r="T39" s="30">
        <v>9.9000000000000008E-5</v>
      </c>
      <c r="U39" s="28">
        <f t="shared" si="37"/>
        <v>8.2503743674688934E-6</v>
      </c>
      <c r="V39" s="5">
        <v>4.0000000000000002E-4</v>
      </c>
      <c r="W39" s="28">
        <f t="shared" si="41"/>
        <v>3.3339446006586115E-5</v>
      </c>
      <c r="BJ39" s="36">
        <f t="shared" si="52"/>
        <v>45930</v>
      </c>
      <c r="BK39" s="34">
        <v>2.86E-2</v>
      </c>
      <c r="BM39" s="23">
        <v>2025</v>
      </c>
      <c r="BN39" s="35">
        <v>0.01</v>
      </c>
      <c r="BO39" s="35">
        <v>0.01</v>
      </c>
      <c r="BP39" s="35">
        <v>0.01</v>
      </c>
      <c r="BQ39" s="35">
        <v>1.6199999999999999E-2</v>
      </c>
      <c r="BR39" s="35">
        <v>2.64E-2</v>
      </c>
      <c r="BS39" s="35">
        <v>3.44E-2</v>
      </c>
      <c r="BT39" s="35">
        <v>3.6299999999999999E-2</v>
      </c>
      <c r="BU39" s="35">
        <v>3.6299999999999999E-2</v>
      </c>
      <c r="BV39" s="35">
        <v>3.6299999999999999E-2</v>
      </c>
      <c r="BW39" s="35">
        <v>3.6299999999999999E-2</v>
      </c>
      <c r="BX39" s="35">
        <v>3.6299999999999999E-2</v>
      </c>
      <c r="BY39" s="35">
        <v>3.6299999999999999E-2</v>
      </c>
      <c r="BZ39" s="35">
        <v>3.6299999999999999E-2</v>
      </c>
      <c r="CA39" s="35">
        <v>3.6299999999999999E-2</v>
      </c>
      <c r="CB39" s="35">
        <v>3.6299999999999999E-2</v>
      </c>
      <c r="CC39" s="35">
        <v>3.6299999999999999E-2</v>
      </c>
      <c r="CD39" s="35">
        <v>3.6299999999999999E-2</v>
      </c>
      <c r="CE39" s="35">
        <v>3.6299999999999999E-2</v>
      </c>
      <c r="CF39" s="35">
        <v>3.6299999999999999E-2</v>
      </c>
      <c r="CG39" s="35">
        <v>3.6299999999999999E-2</v>
      </c>
      <c r="CH39" s="35">
        <v>3.6299999999999999E-2</v>
      </c>
      <c r="CI39" s="35">
        <v>3.6299999999999999E-2</v>
      </c>
      <c r="CJ39" s="35">
        <v>3.6299999999999999E-2</v>
      </c>
      <c r="CK39" s="35">
        <v>3.6299999999999999E-2</v>
      </c>
      <c r="CL39" s="35">
        <v>3.6299999999999999E-2</v>
      </c>
      <c r="CM39" s="35">
        <v>3.6299999999999999E-2</v>
      </c>
      <c r="CN39" s="35">
        <v>3.6299999999999999E-2</v>
      </c>
      <c r="CO39" s="35">
        <v>3.6299999999999999E-2</v>
      </c>
      <c r="CP39" s="35">
        <v>3.6299999999999999E-2</v>
      </c>
      <c r="CQ39" s="35">
        <v>3.6299999999999999E-2</v>
      </c>
    </row>
    <row r="40" spans="5:96" x14ac:dyDescent="0.2">
      <c r="E40" s="6">
        <v>34</v>
      </c>
      <c r="F40" s="26">
        <v>8.5999999999999998E-4</v>
      </c>
      <c r="G40" s="27">
        <v>9.8999999999999999E-4</v>
      </c>
      <c r="H40" s="27">
        <f t="shared" si="31"/>
        <v>9.8999999999999999E-4</v>
      </c>
      <c r="I40" s="28">
        <f t="shared" si="74"/>
        <v>8.2537458069298353E-5</v>
      </c>
      <c r="J40" s="27">
        <f t="shared" si="32"/>
        <v>9.8999999999999999E-4</v>
      </c>
      <c r="K40" s="28">
        <f t="shared" si="26"/>
        <v>8.2537458069298353E-5</v>
      </c>
      <c r="L40" s="27">
        <f t="shared" si="33"/>
        <v>9.8999999999999999E-4</v>
      </c>
      <c r="M40" s="28">
        <f t="shared" si="27"/>
        <v>8.2537458069298353E-5</v>
      </c>
      <c r="N40" s="27">
        <f t="shared" si="34"/>
        <v>9.8999999999999999E-4</v>
      </c>
      <c r="O40" s="28">
        <f t="shared" si="28"/>
        <v>8.2537458069298353E-5</v>
      </c>
      <c r="P40" s="5">
        <v>4.0000000000000002E-4</v>
      </c>
      <c r="Q40" s="28">
        <f t="shared" si="35"/>
        <v>3.3339446006586115E-5</v>
      </c>
      <c r="R40" s="5">
        <v>1.7099999999999999E-3</v>
      </c>
      <c r="S40" s="28">
        <f t="shared" si="36"/>
        <v>1.4261180654251415E-4</v>
      </c>
      <c r="T40" s="30">
        <v>1.1700000000000001E-4</v>
      </c>
      <c r="U40" s="28">
        <f t="shared" si="37"/>
        <v>9.7505228828786983E-6</v>
      </c>
      <c r="V40" s="5">
        <v>4.0000000000000002E-4</v>
      </c>
      <c r="W40" s="28">
        <f t="shared" si="41"/>
        <v>3.3339446006586115E-5</v>
      </c>
      <c r="X40" s="43"/>
    </row>
    <row r="41" spans="5:96" x14ac:dyDescent="0.2">
      <c r="E41" s="6">
        <v>35</v>
      </c>
      <c r="F41" s="26">
        <v>9.1E-4</v>
      </c>
      <c r="G41" s="27">
        <v>1.07E-3</v>
      </c>
      <c r="H41" s="27">
        <f t="shared" si="31"/>
        <v>1.07E-3</v>
      </c>
      <c r="I41" s="28">
        <f t="shared" si="74"/>
        <v>8.921042540299684E-5</v>
      </c>
      <c r="J41" s="27">
        <f t="shared" si="32"/>
        <v>1.07E-3</v>
      </c>
      <c r="K41" s="28">
        <f t="shared" si="26"/>
        <v>8.921042540299684E-5</v>
      </c>
      <c r="L41" s="27">
        <f t="shared" si="33"/>
        <v>1.07E-3</v>
      </c>
      <c r="M41" s="28">
        <f t="shared" si="27"/>
        <v>8.921042540299684E-5</v>
      </c>
      <c r="N41" s="27">
        <f t="shared" si="34"/>
        <v>1.07E-3</v>
      </c>
      <c r="O41" s="28">
        <f t="shared" si="28"/>
        <v>8.921042540299684E-5</v>
      </c>
      <c r="P41" s="5">
        <v>4.0000000000000002E-4</v>
      </c>
      <c r="Q41" s="28">
        <f t="shared" si="35"/>
        <v>3.3339446006586115E-5</v>
      </c>
      <c r="R41" s="5">
        <v>1.7800000000000001E-3</v>
      </c>
      <c r="S41" s="28">
        <f t="shared" si="36"/>
        <v>1.4845448641120917E-4</v>
      </c>
      <c r="T41" s="30">
        <v>1.2600000000000003E-4</v>
      </c>
      <c r="U41" s="28">
        <f t="shared" si="37"/>
        <v>1.0500606423824443E-5</v>
      </c>
      <c r="V41" s="5">
        <v>4.0000000000000002E-4</v>
      </c>
      <c r="W41" s="28">
        <f t="shared" si="41"/>
        <v>3.3339446006586115E-5</v>
      </c>
    </row>
    <row r="42" spans="5:96" x14ac:dyDescent="0.2">
      <c r="E42" s="6">
        <v>36</v>
      </c>
      <c r="F42" s="26">
        <v>9.8999999999999999E-4</v>
      </c>
      <c r="G42" s="27">
        <v>1.16E-3</v>
      </c>
      <c r="H42" s="27">
        <f t="shared" si="31"/>
        <v>1.16E-3</v>
      </c>
      <c r="I42" s="28">
        <f t="shared" si="74"/>
        <v>9.6718099232395716E-5</v>
      </c>
      <c r="J42" s="27">
        <f t="shared" si="32"/>
        <v>1.16E-3</v>
      </c>
      <c r="K42" s="28">
        <f t="shared" si="26"/>
        <v>9.6718099232395716E-5</v>
      </c>
      <c r="L42" s="27">
        <f t="shared" si="33"/>
        <v>1.16E-3</v>
      </c>
      <c r="M42" s="28">
        <f t="shared" si="27"/>
        <v>9.6718099232395716E-5</v>
      </c>
      <c r="N42" s="27">
        <f t="shared" si="34"/>
        <v>1.16E-3</v>
      </c>
      <c r="O42" s="28">
        <f t="shared" si="28"/>
        <v>9.6718099232395716E-5</v>
      </c>
      <c r="P42" s="5">
        <v>4.0000000000000002E-4</v>
      </c>
      <c r="Q42" s="28">
        <f t="shared" si="35"/>
        <v>3.3339446006586115E-5</v>
      </c>
      <c r="R42" s="5">
        <v>1.8600000000000001E-3</v>
      </c>
      <c r="S42" s="28">
        <f t="shared" si="36"/>
        <v>1.5513229473662626E-4</v>
      </c>
      <c r="T42" s="30">
        <v>1.35E-4</v>
      </c>
      <c r="U42" s="28">
        <f t="shared" si="37"/>
        <v>1.1250696153819462E-5</v>
      </c>
      <c r="V42" s="5">
        <v>4.0000000000000002E-4</v>
      </c>
      <c r="W42" s="28">
        <f t="shared" si="41"/>
        <v>3.3339446006586115E-5</v>
      </c>
      <c r="BM42" s="2" t="s">
        <v>316</v>
      </c>
      <c r="BO42" s="1" t="s">
        <v>362</v>
      </c>
    </row>
    <row r="43" spans="5:96" x14ac:dyDescent="0.2">
      <c r="E43" s="6">
        <v>37</v>
      </c>
      <c r="F43" s="26">
        <v>1.09E-3</v>
      </c>
      <c r="G43" s="27">
        <v>1.2700000000000001E-3</v>
      </c>
      <c r="H43" s="27">
        <f t="shared" si="31"/>
        <v>1.2700000000000001E-3</v>
      </c>
      <c r="I43" s="28">
        <f t="shared" si="74"/>
        <v>1.0589498718371892E-4</v>
      </c>
      <c r="J43" s="27">
        <f t="shared" si="32"/>
        <v>1.2700000000000001E-3</v>
      </c>
      <c r="K43" s="28">
        <f t="shared" si="26"/>
        <v>1.0589498718371892E-4</v>
      </c>
      <c r="L43" s="27">
        <f t="shared" si="33"/>
        <v>1.2700000000000001E-3</v>
      </c>
      <c r="M43" s="28">
        <f t="shared" si="27"/>
        <v>1.0589498718371892E-4</v>
      </c>
      <c r="N43" s="27">
        <f t="shared" si="34"/>
        <v>1.2700000000000001E-3</v>
      </c>
      <c r="O43" s="28">
        <f t="shared" si="28"/>
        <v>1.0589498718371892E-4</v>
      </c>
      <c r="P43" s="5">
        <v>4.0000000000000002E-4</v>
      </c>
      <c r="Q43" s="28">
        <f t="shared" si="35"/>
        <v>3.3339446006586115E-5</v>
      </c>
      <c r="R43" s="5">
        <v>1.9599999999999999E-3</v>
      </c>
      <c r="S43" s="28">
        <f t="shared" si="36"/>
        <v>1.6348024510992598E-4</v>
      </c>
      <c r="T43" s="30">
        <v>1.35E-4</v>
      </c>
      <c r="U43" s="28">
        <f t="shared" si="37"/>
        <v>1.1250696153819462E-5</v>
      </c>
      <c r="V43" s="5">
        <v>4.0000000000000002E-4</v>
      </c>
      <c r="W43" s="28">
        <f t="shared" si="41"/>
        <v>3.3339446006586115E-5</v>
      </c>
      <c r="BM43" s="13" t="s">
        <v>63</v>
      </c>
      <c r="BN43" s="13" t="s">
        <v>318</v>
      </c>
      <c r="BO43" s="13">
        <v>1</v>
      </c>
      <c r="BP43" s="13">
        <f>BO43+1</f>
        <v>2</v>
      </c>
      <c r="BQ43" s="13">
        <f t="shared" ref="BQ43" si="75">BP43+1</f>
        <v>3</v>
      </c>
      <c r="BR43" s="13">
        <f t="shared" ref="BR43" si="76">BQ43+1</f>
        <v>4</v>
      </c>
      <c r="BS43" s="13">
        <f t="shared" ref="BS43" si="77">BR43+1</f>
        <v>5</v>
      </c>
      <c r="BT43" s="13">
        <f t="shared" ref="BT43" si="78">BS43+1</f>
        <v>6</v>
      </c>
      <c r="BU43" s="13">
        <f t="shared" ref="BU43" si="79">BT43+1</f>
        <v>7</v>
      </c>
      <c r="BV43" s="13">
        <f t="shared" ref="BV43" si="80">BU43+1</f>
        <v>8</v>
      </c>
      <c r="BW43" s="13">
        <f t="shared" ref="BW43" si="81">BV43+1</f>
        <v>9</v>
      </c>
      <c r="BX43" s="13">
        <f t="shared" ref="BX43:BY43" si="82">BW43+1</f>
        <v>10</v>
      </c>
      <c r="BY43" s="13">
        <f t="shared" si="82"/>
        <v>11</v>
      </c>
      <c r="BZ43" s="13">
        <f t="shared" ref="BZ43" si="83">BY43+1</f>
        <v>12</v>
      </c>
      <c r="CA43" s="13">
        <f t="shared" ref="CA43" si="84">BZ43+1</f>
        <v>13</v>
      </c>
      <c r="CB43" s="13">
        <f t="shared" ref="CB43" si="85">CA43+1</f>
        <v>14</v>
      </c>
      <c r="CC43" s="13">
        <f t="shared" ref="CC43" si="86">CB43+1</f>
        <v>15</v>
      </c>
      <c r="CD43" s="13">
        <f t="shared" ref="CD43" si="87">CC43+1</f>
        <v>16</v>
      </c>
      <c r="CE43" s="13">
        <f t="shared" ref="CE43" si="88">CD43+1</f>
        <v>17</v>
      </c>
      <c r="CF43" s="13">
        <f t="shared" ref="CF43" si="89">CE43+1</f>
        <v>18</v>
      </c>
      <c r="CG43" s="13">
        <f t="shared" ref="CG43" si="90">CF43+1</f>
        <v>19</v>
      </c>
      <c r="CH43" s="13">
        <f t="shared" ref="CH43" si="91">CG43+1</f>
        <v>20</v>
      </c>
      <c r="CI43" s="13">
        <f t="shared" ref="CI43" si="92">CH43+1</f>
        <v>21</v>
      </c>
      <c r="CJ43" s="13">
        <f t="shared" ref="CJ43" si="93">CI43+1</f>
        <v>22</v>
      </c>
      <c r="CK43" s="13">
        <f t="shared" ref="CK43" si="94">CJ43+1</f>
        <v>23</v>
      </c>
      <c r="CL43" s="13">
        <f t="shared" ref="CL43" si="95">CK43+1</f>
        <v>24</v>
      </c>
      <c r="CM43" s="13">
        <f t="shared" ref="CM43" si="96">CL43+1</f>
        <v>25</v>
      </c>
      <c r="CN43" s="13">
        <f t="shared" ref="CN43" si="97">CM43+1</f>
        <v>26</v>
      </c>
      <c r="CO43" s="13">
        <f t="shared" ref="CO43" si="98">CN43+1</f>
        <v>27</v>
      </c>
      <c r="CP43" s="13">
        <f t="shared" ref="CP43" si="99">CO43+1</f>
        <v>28</v>
      </c>
      <c r="CQ43" s="13">
        <f t="shared" ref="CQ43" si="100">CP43+1</f>
        <v>29</v>
      </c>
      <c r="CR43" s="13">
        <f t="shared" ref="CR43" si="101">CQ43+1</f>
        <v>30</v>
      </c>
    </row>
    <row r="44" spans="5:96" x14ac:dyDescent="0.2">
      <c r="E44" s="6">
        <v>38</v>
      </c>
      <c r="F44" s="26">
        <v>1.1999999999999999E-3</v>
      </c>
      <c r="G44" s="27">
        <v>1.39E-3</v>
      </c>
      <c r="H44" s="27">
        <f t="shared" si="31"/>
        <v>1.39E-3</v>
      </c>
      <c r="I44" s="28">
        <f t="shared" si="74"/>
        <v>1.1590719442045039E-4</v>
      </c>
      <c r="J44" s="27">
        <f t="shared" si="32"/>
        <v>1.39E-3</v>
      </c>
      <c r="K44" s="28">
        <f t="shared" si="26"/>
        <v>1.1590719442045039E-4</v>
      </c>
      <c r="L44" s="27">
        <f t="shared" si="33"/>
        <v>1.39E-3</v>
      </c>
      <c r="M44" s="28">
        <f t="shared" si="27"/>
        <v>1.1590719442045039E-4</v>
      </c>
      <c r="N44" s="27">
        <f t="shared" si="34"/>
        <v>1.39E-3</v>
      </c>
      <c r="O44" s="28">
        <f t="shared" si="28"/>
        <v>1.1590719442045039E-4</v>
      </c>
      <c r="P44" s="5">
        <v>4.0000000000000002E-4</v>
      </c>
      <c r="Q44" s="28">
        <f t="shared" si="35"/>
        <v>3.3339446006586115E-5</v>
      </c>
      <c r="R44" s="5">
        <v>2.1099999999999999E-3</v>
      </c>
      <c r="S44" s="28">
        <f t="shared" si="36"/>
        <v>1.7600360840341889E-4</v>
      </c>
      <c r="T44" s="30">
        <v>1.35E-4</v>
      </c>
      <c r="U44" s="28">
        <f t="shared" si="37"/>
        <v>1.1250696153819462E-5</v>
      </c>
      <c r="V44" s="5">
        <v>4.0000000000000002E-4</v>
      </c>
      <c r="W44" s="28">
        <f t="shared" si="41"/>
        <v>3.3339446006586115E-5</v>
      </c>
      <c r="BM44" s="23">
        <f>$BN$21</f>
        <v>2023</v>
      </c>
      <c r="BN44" s="23">
        <v>0</v>
      </c>
      <c r="BO44" s="15">
        <f t="shared" ref="BO44:CR52" si="102">VLOOKUP($BM$45,$BM$24:$CQ$39,BO$43+1,FALSE)</f>
        <v>0.01</v>
      </c>
      <c r="BP44" s="15">
        <f t="shared" si="102"/>
        <v>0.02</v>
      </c>
      <c r="BQ44" s="15">
        <f t="shared" si="102"/>
        <v>0.03</v>
      </c>
      <c r="BR44" s="15">
        <f t="shared" si="102"/>
        <v>0.03</v>
      </c>
      <c r="BS44" s="15">
        <f t="shared" si="102"/>
        <v>0.03</v>
      </c>
      <c r="BT44" s="15">
        <f t="shared" si="102"/>
        <v>0.03</v>
      </c>
      <c r="BU44" s="15">
        <f t="shared" si="102"/>
        <v>0.03</v>
      </c>
      <c r="BV44" s="15">
        <f t="shared" si="102"/>
        <v>0.05</v>
      </c>
      <c r="BW44" s="15">
        <f t="shared" si="102"/>
        <v>0.04</v>
      </c>
      <c r="BX44" s="15">
        <f t="shared" si="102"/>
        <v>0.03</v>
      </c>
      <c r="BY44" s="15">
        <f t="shared" si="102"/>
        <v>0.03</v>
      </c>
      <c r="BZ44" s="15">
        <f t="shared" si="102"/>
        <v>0.03</v>
      </c>
      <c r="CA44" s="15">
        <f t="shared" si="102"/>
        <v>0.03</v>
      </c>
      <c r="CB44" s="15">
        <f t="shared" si="102"/>
        <v>0.03</v>
      </c>
      <c r="CC44" s="15">
        <f t="shared" si="102"/>
        <v>0.03</v>
      </c>
      <c r="CD44" s="15">
        <f t="shared" si="102"/>
        <v>0.03</v>
      </c>
      <c r="CE44" s="15">
        <f t="shared" si="102"/>
        <v>0.03</v>
      </c>
      <c r="CF44" s="15">
        <f t="shared" si="102"/>
        <v>0.03</v>
      </c>
      <c r="CG44" s="15">
        <f t="shared" si="102"/>
        <v>0.03</v>
      </c>
      <c r="CH44" s="15">
        <f t="shared" si="102"/>
        <v>0.03</v>
      </c>
      <c r="CI44" s="15">
        <f t="shared" si="102"/>
        <v>0.03</v>
      </c>
      <c r="CJ44" s="15">
        <f t="shared" si="102"/>
        <v>0.03</v>
      </c>
      <c r="CK44" s="15">
        <f t="shared" si="102"/>
        <v>0.03</v>
      </c>
      <c r="CL44" s="15">
        <f t="shared" si="102"/>
        <v>0.03</v>
      </c>
      <c r="CM44" s="15">
        <f t="shared" si="102"/>
        <v>0.03</v>
      </c>
      <c r="CN44" s="15">
        <f t="shared" si="102"/>
        <v>0.03</v>
      </c>
      <c r="CO44" s="15">
        <f t="shared" si="102"/>
        <v>0.03</v>
      </c>
      <c r="CP44" s="15">
        <f t="shared" si="102"/>
        <v>0.03</v>
      </c>
      <c r="CQ44" s="15">
        <f t="shared" si="102"/>
        <v>0.03</v>
      </c>
      <c r="CR44" s="15">
        <f t="shared" si="102"/>
        <v>0.03</v>
      </c>
    </row>
    <row r="45" spans="5:96" x14ac:dyDescent="0.2">
      <c r="E45" s="6">
        <v>39</v>
      </c>
      <c r="F45" s="26">
        <v>1.3500000000000001E-3</v>
      </c>
      <c r="G45" s="27">
        <v>1.5499999999999999E-3</v>
      </c>
      <c r="H45" s="27">
        <f t="shared" si="31"/>
        <v>1.5499999999999999E-3</v>
      </c>
      <c r="I45" s="28">
        <f t="shared" si="74"/>
        <v>1.2925851979228575E-4</v>
      </c>
      <c r="J45" s="27">
        <f t="shared" si="32"/>
        <v>1.5499999999999999E-3</v>
      </c>
      <c r="K45" s="28">
        <f t="shared" si="26"/>
        <v>1.2925851979228575E-4</v>
      </c>
      <c r="L45" s="27">
        <f t="shared" si="33"/>
        <v>1.5499999999999999E-3</v>
      </c>
      <c r="M45" s="28">
        <f t="shared" si="27"/>
        <v>1.2925851979228575E-4</v>
      </c>
      <c r="N45" s="27">
        <f t="shared" si="34"/>
        <v>1.5499999999999999E-3</v>
      </c>
      <c r="O45" s="28">
        <f t="shared" si="28"/>
        <v>1.2925851979228575E-4</v>
      </c>
      <c r="P45" s="5">
        <v>4.0000000000000002E-4</v>
      </c>
      <c r="Q45" s="28">
        <f t="shared" si="35"/>
        <v>3.3339446006586115E-5</v>
      </c>
      <c r="R45" s="5">
        <v>2.3799999999999997E-3</v>
      </c>
      <c r="S45" s="28">
        <f t="shared" si="36"/>
        <v>1.9855001148649798E-4</v>
      </c>
      <c r="T45" s="30">
        <v>1.44E-4</v>
      </c>
      <c r="U45" s="28">
        <f t="shared" si="37"/>
        <v>1.2000792072863753E-5</v>
      </c>
      <c r="V45" s="5">
        <v>4.0000000000000002E-4</v>
      </c>
      <c r="W45" s="28">
        <f t="shared" si="41"/>
        <v>3.3339446006586115E-5</v>
      </c>
      <c r="BM45" s="44">
        <f>$BN$21</f>
        <v>2023</v>
      </c>
      <c r="BN45" s="23">
        <v>1</v>
      </c>
      <c r="BO45" s="15">
        <f>VLOOKUP($BM$45,$BM$24:$CQ$39,BO$43+1,FALSE)</f>
        <v>0.01</v>
      </c>
      <c r="BP45" s="15">
        <f t="shared" si="102"/>
        <v>0.02</v>
      </c>
      <c r="BQ45" s="15">
        <f t="shared" si="102"/>
        <v>0.03</v>
      </c>
      <c r="BR45" s="15">
        <f t="shared" si="102"/>
        <v>0.03</v>
      </c>
      <c r="BS45" s="15">
        <f t="shared" si="102"/>
        <v>0.03</v>
      </c>
      <c r="BT45" s="15">
        <f t="shared" si="102"/>
        <v>0.03</v>
      </c>
      <c r="BU45" s="15">
        <f t="shared" si="102"/>
        <v>0.03</v>
      </c>
      <c r="BV45" s="15">
        <f t="shared" si="102"/>
        <v>0.05</v>
      </c>
      <c r="BW45" s="15">
        <f t="shared" si="102"/>
        <v>0.04</v>
      </c>
      <c r="BX45" s="15">
        <f t="shared" si="102"/>
        <v>0.03</v>
      </c>
      <c r="BY45" s="15">
        <f t="shared" si="102"/>
        <v>0.03</v>
      </c>
      <c r="BZ45" s="15">
        <f t="shared" si="102"/>
        <v>0.03</v>
      </c>
      <c r="CA45" s="15">
        <f t="shared" si="102"/>
        <v>0.03</v>
      </c>
      <c r="CB45" s="15">
        <f t="shared" si="102"/>
        <v>0.03</v>
      </c>
      <c r="CC45" s="15">
        <f t="shared" si="102"/>
        <v>0.03</v>
      </c>
      <c r="CD45" s="15">
        <f t="shared" si="102"/>
        <v>0.03</v>
      </c>
      <c r="CE45" s="15">
        <f t="shared" si="102"/>
        <v>0.03</v>
      </c>
      <c r="CF45" s="15">
        <f t="shared" si="102"/>
        <v>0.03</v>
      </c>
      <c r="CG45" s="15">
        <f t="shared" si="102"/>
        <v>0.03</v>
      </c>
      <c r="CH45" s="15">
        <f t="shared" si="102"/>
        <v>0.03</v>
      </c>
      <c r="CI45" s="15">
        <f t="shared" si="102"/>
        <v>0.03</v>
      </c>
      <c r="CJ45" s="15">
        <f t="shared" si="102"/>
        <v>0.03</v>
      </c>
      <c r="CK45" s="15">
        <f t="shared" si="102"/>
        <v>0.03</v>
      </c>
      <c r="CL45" s="15">
        <f t="shared" si="102"/>
        <v>0.03</v>
      </c>
      <c r="CM45" s="15">
        <f t="shared" si="102"/>
        <v>0.03</v>
      </c>
      <c r="CN45" s="15">
        <f t="shared" si="102"/>
        <v>0.03</v>
      </c>
      <c r="CO45" s="15">
        <f t="shared" si="102"/>
        <v>0.03</v>
      </c>
      <c r="CP45" s="15">
        <f t="shared" si="102"/>
        <v>0.03</v>
      </c>
      <c r="CQ45" s="15">
        <f t="shared" si="102"/>
        <v>0.03</v>
      </c>
      <c r="CR45" s="15">
        <f t="shared" si="102"/>
        <v>0.03</v>
      </c>
    </row>
    <row r="46" spans="5:96" x14ac:dyDescent="0.2">
      <c r="E46" s="6">
        <v>40</v>
      </c>
      <c r="F46" s="26">
        <v>1.5299999999999999E-3</v>
      </c>
      <c r="G46" s="27">
        <v>1.73E-3</v>
      </c>
      <c r="H46" s="27">
        <f t="shared" si="31"/>
        <v>1.73E-3</v>
      </c>
      <c r="I46" s="28">
        <f t="shared" si="74"/>
        <v>1.4428110532571647E-4</v>
      </c>
      <c r="J46" s="27">
        <f t="shared" si="32"/>
        <v>1.73E-3</v>
      </c>
      <c r="K46" s="28">
        <f t="shared" si="26"/>
        <v>1.4428110532571647E-4</v>
      </c>
      <c r="L46" s="27">
        <f t="shared" si="33"/>
        <v>1.73E-3</v>
      </c>
      <c r="M46" s="28">
        <f t="shared" si="27"/>
        <v>1.4428110532571647E-4</v>
      </c>
      <c r="N46" s="27">
        <f t="shared" si="34"/>
        <v>1.73E-3</v>
      </c>
      <c r="O46" s="28">
        <f t="shared" si="28"/>
        <v>1.4428110532571647E-4</v>
      </c>
      <c r="P46" s="5">
        <v>4.0000000000000002E-4</v>
      </c>
      <c r="Q46" s="28">
        <f t="shared" si="35"/>
        <v>3.3339446006586115E-5</v>
      </c>
      <c r="R46" s="5">
        <v>2.6800000000000001E-3</v>
      </c>
      <c r="S46" s="28">
        <f t="shared" si="36"/>
        <v>2.2360813174104877E-4</v>
      </c>
      <c r="T46" s="30">
        <v>1.6200000000000001E-4</v>
      </c>
      <c r="U46" s="28">
        <f t="shared" si="37"/>
        <v>1.3501002478766289E-5</v>
      </c>
      <c r="V46" s="5">
        <v>4.0000000000000002E-4</v>
      </c>
      <c r="W46" s="28">
        <f t="shared" si="41"/>
        <v>3.3339446006586115E-5</v>
      </c>
      <c r="BM46" s="23">
        <f>BM45</f>
        <v>2023</v>
      </c>
      <c r="BN46" s="23">
        <f>+BN45+1</f>
        <v>2</v>
      </c>
      <c r="BO46" s="15">
        <f t="shared" ref="BO46:BP74" si="103">VLOOKUP($BM$45,$BM$24:$CQ$39,BO$43+1,FALSE)</f>
        <v>0.01</v>
      </c>
      <c r="BP46" s="15">
        <f t="shared" si="103"/>
        <v>0.02</v>
      </c>
      <c r="BQ46" s="15">
        <f t="shared" si="102"/>
        <v>0.03</v>
      </c>
      <c r="BR46" s="15">
        <f t="shared" si="102"/>
        <v>0.03</v>
      </c>
      <c r="BS46" s="15">
        <f t="shared" si="102"/>
        <v>0.03</v>
      </c>
      <c r="BT46" s="15">
        <f t="shared" si="102"/>
        <v>0.03</v>
      </c>
      <c r="BU46" s="15">
        <f t="shared" si="102"/>
        <v>0.03</v>
      </c>
      <c r="BV46" s="15">
        <f t="shared" si="102"/>
        <v>0.05</v>
      </c>
      <c r="BW46" s="15">
        <f t="shared" si="102"/>
        <v>0.04</v>
      </c>
      <c r="BX46" s="15">
        <f t="shared" si="102"/>
        <v>0.03</v>
      </c>
      <c r="BY46" s="15">
        <f t="shared" si="102"/>
        <v>0.03</v>
      </c>
      <c r="BZ46" s="15">
        <f t="shared" si="102"/>
        <v>0.03</v>
      </c>
      <c r="CA46" s="15">
        <f t="shared" si="102"/>
        <v>0.03</v>
      </c>
      <c r="CB46" s="15">
        <f t="shared" si="102"/>
        <v>0.03</v>
      </c>
      <c r="CC46" s="15">
        <f t="shared" si="102"/>
        <v>0.03</v>
      </c>
      <c r="CD46" s="15">
        <f t="shared" si="102"/>
        <v>0.03</v>
      </c>
      <c r="CE46" s="15">
        <f t="shared" si="102"/>
        <v>0.03</v>
      </c>
      <c r="CF46" s="15">
        <f t="shared" si="102"/>
        <v>0.03</v>
      </c>
      <c r="CG46" s="15">
        <f t="shared" si="102"/>
        <v>0.03</v>
      </c>
      <c r="CH46" s="15">
        <f t="shared" si="102"/>
        <v>0.03</v>
      </c>
      <c r="CI46" s="15">
        <f t="shared" si="102"/>
        <v>0.03</v>
      </c>
      <c r="CJ46" s="15">
        <f t="shared" si="102"/>
        <v>0.03</v>
      </c>
      <c r="CK46" s="15">
        <f t="shared" si="102"/>
        <v>0.03</v>
      </c>
      <c r="CL46" s="15">
        <f t="shared" si="102"/>
        <v>0.03</v>
      </c>
      <c r="CM46" s="15">
        <f t="shared" si="102"/>
        <v>0.03</v>
      </c>
      <c r="CN46" s="15">
        <f t="shared" si="102"/>
        <v>0.03</v>
      </c>
      <c r="CO46" s="15">
        <f t="shared" si="102"/>
        <v>0.03</v>
      </c>
      <c r="CP46" s="15">
        <f t="shared" si="102"/>
        <v>0.03</v>
      </c>
      <c r="CQ46" s="15">
        <f t="shared" si="102"/>
        <v>0.03</v>
      </c>
      <c r="CR46" s="15">
        <f t="shared" si="102"/>
        <v>0.03</v>
      </c>
    </row>
    <row r="47" spans="5:96" x14ac:dyDescent="0.2">
      <c r="E47" s="6">
        <v>41</v>
      </c>
      <c r="F47" s="26">
        <v>1.75E-3</v>
      </c>
      <c r="G47" s="27">
        <v>1.9300000000000001E-3</v>
      </c>
      <c r="H47" s="27">
        <f t="shared" si="31"/>
        <v>1.9300000000000001E-3</v>
      </c>
      <c r="I47" s="28">
        <f t="shared" si="74"/>
        <v>1.6097577949414354E-4</v>
      </c>
      <c r="J47" s="27">
        <f t="shared" si="32"/>
        <v>1.9300000000000001E-3</v>
      </c>
      <c r="K47" s="28">
        <f t="shared" si="26"/>
        <v>1.6097577949414354E-4</v>
      </c>
      <c r="L47" s="27">
        <f t="shared" si="33"/>
        <v>1.9300000000000001E-3</v>
      </c>
      <c r="M47" s="28">
        <f t="shared" si="27"/>
        <v>1.6097577949414354E-4</v>
      </c>
      <c r="N47" s="27">
        <f t="shared" si="34"/>
        <v>1.9300000000000001E-3</v>
      </c>
      <c r="O47" s="28">
        <f t="shared" si="28"/>
        <v>1.6097577949414354E-4</v>
      </c>
      <c r="P47" s="5">
        <v>4.0000000000000002E-4</v>
      </c>
      <c r="Q47" s="28">
        <f t="shared" si="35"/>
        <v>3.3339446006586115E-5</v>
      </c>
      <c r="R47" s="5">
        <v>3.0499999999999998E-3</v>
      </c>
      <c r="S47" s="28">
        <f t="shared" si="36"/>
        <v>2.5452266437853144E-4</v>
      </c>
      <c r="T47" s="30">
        <v>1.8000000000000001E-4</v>
      </c>
      <c r="U47" s="28">
        <f t="shared" si="37"/>
        <v>1.5001237642309206E-5</v>
      </c>
      <c r="V47" s="5">
        <v>4.0000000000000002E-4</v>
      </c>
      <c r="W47" s="28">
        <f t="shared" si="41"/>
        <v>3.3339446006586115E-5</v>
      </c>
      <c r="BM47" s="23">
        <f t="shared" ref="BM47:BM74" si="104">BM46</f>
        <v>2023</v>
      </c>
      <c r="BN47" s="23">
        <f t="shared" ref="BN47:BN74" si="105">+BN46+1</f>
        <v>3</v>
      </c>
      <c r="BO47" s="15">
        <f t="shared" si="103"/>
        <v>0.01</v>
      </c>
      <c r="BP47" s="15">
        <f t="shared" si="102"/>
        <v>0.02</v>
      </c>
      <c r="BQ47" s="15">
        <f t="shared" si="102"/>
        <v>0.03</v>
      </c>
      <c r="BR47" s="15">
        <f t="shared" si="102"/>
        <v>0.03</v>
      </c>
      <c r="BS47" s="15">
        <f t="shared" si="102"/>
        <v>0.03</v>
      </c>
      <c r="BT47" s="15">
        <f t="shared" si="102"/>
        <v>0.03</v>
      </c>
      <c r="BU47" s="15">
        <f t="shared" si="102"/>
        <v>0.03</v>
      </c>
      <c r="BV47" s="15">
        <f t="shared" si="102"/>
        <v>0.05</v>
      </c>
      <c r="BW47" s="15">
        <f t="shared" si="102"/>
        <v>0.04</v>
      </c>
      <c r="BX47" s="15">
        <f t="shared" si="102"/>
        <v>0.03</v>
      </c>
      <c r="BY47" s="15">
        <f t="shared" si="102"/>
        <v>0.03</v>
      </c>
      <c r="BZ47" s="15">
        <f t="shared" si="102"/>
        <v>0.03</v>
      </c>
      <c r="CA47" s="15">
        <f t="shared" si="102"/>
        <v>0.03</v>
      </c>
      <c r="CB47" s="15">
        <f t="shared" si="102"/>
        <v>0.03</v>
      </c>
      <c r="CC47" s="15">
        <f t="shared" si="102"/>
        <v>0.03</v>
      </c>
      <c r="CD47" s="15">
        <f t="shared" si="102"/>
        <v>0.03</v>
      </c>
      <c r="CE47" s="15">
        <f t="shared" si="102"/>
        <v>0.03</v>
      </c>
      <c r="CF47" s="15">
        <f t="shared" si="102"/>
        <v>0.03</v>
      </c>
      <c r="CG47" s="15">
        <f t="shared" si="102"/>
        <v>0.03</v>
      </c>
      <c r="CH47" s="15">
        <f t="shared" si="102"/>
        <v>0.03</v>
      </c>
      <c r="CI47" s="15">
        <f t="shared" si="102"/>
        <v>0.03</v>
      </c>
      <c r="CJ47" s="15">
        <f t="shared" si="102"/>
        <v>0.03</v>
      </c>
      <c r="CK47" s="15">
        <f t="shared" si="102"/>
        <v>0.03</v>
      </c>
      <c r="CL47" s="15">
        <f t="shared" si="102"/>
        <v>0.03</v>
      </c>
      <c r="CM47" s="15">
        <f t="shared" si="102"/>
        <v>0.03</v>
      </c>
      <c r="CN47" s="15">
        <f t="shared" si="102"/>
        <v>0.03</v>
      </c>
      <c r="CO47" s="15">
        <f t="shared" si="102"/>
        <v>0.03</v>
      </c>
      <c r="CP47" s="15">
        <f t="shared" si="102"/>
        <v>0.03</v>
      </c>
      <c r="CQ47" s="15">
        <f t="shared" si="102"/>
        <v>0.03</v>
      </c>
      <c r="CR47" s="15">
        <f t="shared" si="102"/>
        <v>0.03</v>
      </c>
    </row>
    <row r="48" spans="5:96" x14ac:dyDescent="0.2">
      <c r="E48" s="6">
        <v>42</v>
      </c>
      <c r="F48" s="26">
        <v>1.9599999999999999E-3</v>
      </c>
      <c r="G48" s="27">
        <v>2.16E-3</v>
      </c>
      <c r="H48" s="27">
        <f t="shared" si="31"/>
        <v>2.16E-3</v>
      </c>
      <c r="I48" s="28">
        <f t="shared" si="74"/>
        <v>1.8017844630402458E-4</v>
      </c>
      <c r="J48" s="27">
        <f t="shared" si="32"/>
        <v>2.16E-3</v>
      </c>
      <c r="K48" s="28">
        <f t="shared" si="26"/>
        <v>1.8017844630402458E-4</v>
      </c>
      <c r="L48" s="27">
        <f t="shared" si="33"/>
        <v>2.16E-3</v>
      </c>
      <c r="M48" s="28">
        <f t="shared" si="27"/>
        <v>1.8017844630402458E-4</v>
      </c>
      <c r="N48" s="27">
        <f t="shared" si="34"/>
        <v>2.16E-3</v>
      </c>
      <c r="O48" s="28">
        <f t="shared" si="28"/>
        <v>1.8017844630402458E-4</v>
      </c>
      <c r="P48" s="5">
        <v>4.0000000000000002E-4</v>
      </c>
      <c r="Q48" s="28">
        <f t="shared" si="35"/>
        <v>3.3339446006586115E-5</v>
      </c>
      <c r="R48" s="5">
        <v>3.49E-3</v>
      </c>
      <c r="S48" s="28">
        <f t="shared" si="36"/>
        <v>2.9129958542695178E-4</v>
      </c>
      <c r="T48" s="30">
        <v>1.9800000000000002E-4</v>
      </c>
      <c r="U48" s="28">
        <f t="shared" si="37"/>
        <v>1.6501497564491707E-5</v>
      </c>
      <c r="V48" s="5">
        <v>4.0000000000000002E-4</v>
      </c>
      <c r="W48" s="28">
        <f t="shared" si="41"/>
        <v>3.3339446006586115E-5</v>
      </c>
      <c r="BM48" s="23">
        <f t="shared" si="104"/>
        <v>2023</v>
      </c>
      <c r="BN48" s="23">
        <f t="shared" si="105"/>
        <v>4</v>
      </c>
      <c r="BO48" s="15">
        <f t="shared" si="103"/>
        <v>0.01</v>
      </c>
      <c r="BP48" s="15">
        <f t="shared" si="102"/>
        <v>0.02</v>
      </c>
      <c r="BQ48" s="15">
        <f t="shared" si="102"/>
        <v>0.03</v>
      </c>
      <c r="BR48" s="15">
        <f t="shared" si="102"/>
        <v>0.03</v>
      </c>
      <c r="BS48" s="15">
        <f t="shared" si="102"/>
        <v>0.03</v>
      </c>
      <c r="BT48" s="15">
        <f t="shared" si="102"/>
        <v>0.03</v>
      </c>
      <c r="BU48" s="15">
        <f t="shared" si="102"/>
        <v>0.03</v>
      </c>
      <c r="BV48" s="15">
        <f t="shared" si="102"/>
        <v>0.05</v>
      </c>
      <c r="BW48" s="15">
        <f t="shared" si="102"/>
        <v>0.04</v>
      </c>
      <c r="BX48" s="15">
        <f t="shared" si="102"/>
        <v>0.03</v>
      </c>
      <c r="BY48" s="15">
        <f t="shared" si="102"/>
        <v>0.03</v>
      </c>
      <c r="BZ48" s="15">
        <f t="shared" si="102"/>
        <v>0.03</v>
      </c>
      <c r="CA48" s="15">
        <f t="shared" si="102"/>
        <v>0.03</v>
      </c>
      <c r="CB48" s="15">
        <f t="shared" si="102"/>
        <v>0.03</v>
      </c>
      <c r="CC48" s="15">
        <f t="shared" si="102"/>
        <v>0.03</v>
      </c>
      <c r="CD48" s="15">
        <f t="shared" si="102"/>
        <v>0.03</v>
      </c>
      <c r="CE48" s="15">
        <f t="shared" si="102"/>
        <v>0.03</v>
      </c>
      <c r="CF48" s="15">
        <f t="shared" si="102"/>
        <v>0.03</v>
      </c>
      <c r="CG48" s="15">
        <f t="shared" si="102"/>
        <v>0.03</v>
      </c>
      <c r="CH48" s="15">
        <f t="shared" si="102"/>
        <v>0.03</v>
      </c>
      <c r="CI48" s="15">
        <f t="shared" si="102"/>
        <v>0.03</v>
      </c>
      <c r="CJ48" s="15">
        <f t="shared" si="102"/>
        <v>0.03</v>
      </c>
      <c r="CK48" s="15">
        <f t="shared" si="102"/>
        <v>0.03</v>
      </c>
      <c r="CL48" s="15">
        <f t="shared" si="102"/>
        <v>0.03</v>
      </c>
      <c r="CM48" s="15">
        <f t="shared" si="102"/>
        <v>0.03</v>
      </c>
      <c r="CN48" s="15">
        <f t="shared" si="102"/>
        <v>0.03</v>
      </c>
      <c r="CO48" s="15">
        <f t="shared" si="102"/>
        <v>0.03</v>
      </c>
      <c r="CP48" s="15">
        <f t="shared" si="102"/>
        <v>0.03</v>
      </c>
      <c r="CQ48" s="15">
        <f t="shared" si="102"/>
        <v>0.03</v>
      </c>
      <c r="CR48" s="15">
        <f t="shared" si="102"/>
        <v>0.03</v>
      </c>
    </row>
    <row r="49" spans="5:96" x14ac:dyDescent="0.2">
      <c r="E49" s="6">
        <v>43</v>
      </c>
      <c r="F49" s="26">
        <v>2.1900000000000001E-3</v>
      </c>
      <c r="G49" s="27">
        <v>2.4099999999999998E-3</v>
      </c>
      <c r="H49" s="27">
        <f t="shared" si="31"/>
        <v>2.4099999999999998E-3</v>
      </c>
      <c r="I49" s="28">
        <f t="shared" si="74"/>
        <v>2.0105551265503507E-4</v>
      </c>
      <c r="J49" s="27">
        <f t="shared" si="32"/>
        <v>2.4099999999999998E-3</v>
      </c>
      <c r="K49" s="28">
        <f t="shared" si="26"/>
        <v>2.0105551265503507E-4</v>
      </c>
      <c r="L49" s="27">
        <f t="shared" si="33"/>
        <v>2.4099999999999998E-3</v>
      </c>
      <c r="M49" s="28">
        <f t="shared" si="27"/>
        <v>2.0105551265503507E-4</v>
      </c>
      <c r="N49" s="27">
        <f t="shared" si="34"/>
        <v>2.4099999999999998E-3</v>
      </c>
      <c r="O49" s="28">
        <f t="shared" si="28"/>
        <v>2.0105551265503507E-4</v>
      </c>
      <c r="P49" s="5">
        <v>4.0000000000000002E-4</v>
      </c>
      <c r="Q49" s="28">
        <f t="shared" si="35"/>
        <v>3.3339446006586115E-5</v>
      </c>
      <c r="R49" s="5">
        <v>3.9900000000000005E-3</v>
      </c>
      <c r="S49" s="28">
        <f t="shared" si="36"/>
        <v>3.3310961394350525E-4</v>
      </c>
      <c r="T49" s="30">
        <v>2.2499999999999999E-4</v>
      </c>
      <c r="U49" s="28">
        <f t="shared" si="37"/>
        <v>1.8751933871796744E-5</v>
      </c>
      <c r="V49" s="5">
        <v>4.0000000000000002E-4</v>
      </c>
      <c r="W49" s="28">
        <f t="shared" si="41"/>
        <v>3.3339446006586115E-5</v>
      </c>
      <c r="BM49" s="23">
        <f t="shared" si="104"/>
        <v>2023</v>
      </c>
      <c r="BN49" s="23">
        <f t="shared" si="105"/>
        <v>5</v>
      </c>
      <c r="BO49" s="15">
        <f t="shared" si="103"/>
        <v>0.01</v>
      </c>
      <c r="BP49" s="15">
        <f t="shared" si="102"/>
        <v>0.02</v>
      </c>
      <c r="BQ49" s="15">
        <f t="shared" si="102"/>
        <v>0.03</v>
      </c>
      <c r="BR49" s="15">
        <f t="shared" si="102"/>
        <v>0.03</v>
      </c>
      <c r="BS49" s="15">
        <f t="shared" si="102"/>
        <v>0.03</v>
      </c>
      <c r="BT49" s="15">
        <f t="shared" si="102"/>
        <v>0.03</v>
      </c>
      <c r="BU49" s="15">
        <f t="shared" si="102"/>
        <v>0.03</v>
      </c>
      <c r="BV49" s="15">
        <f t="shared" si="102"/>
        <v>0.05</v>
      </c>
      <c r="BW49" s="15">
        <f t="shared" si="102"/>
        <v>0.04</v>
      </c>
      <c r="BX49" s="15">
        <f t="shared" si="102"/>
        <v>0.03</v>
      </c>
      <c r="BY49" s="15">
        <f t="shared" si="102"/>
        <v>0.03</v>
      </c>
      <c r="BZ49" s="15">
        <f t="shared" si="102"/>
        <v>0.03</v>
      </c>
      <c r="CA49" s="15">
        <f t="shared" si="102"/>
        <v>0.03</v>
      </c>
      <c r="CB49" s="15">
        <f t="shared" si="102"/>
        <v>0.03</v>
      </c>
      <c r="CC49" s="15">
        <f t="shared" si="102"/>
        <v>0.03</v>
      </c>
      <c r="CD49" s="15">
        <f t="shared" si="102"/>
        <v>0.03</v>
      </c>
      <c r="CE49" s="15">
        <f t="shared" si="102"/>
        <v>0.03</v>
      </c>
      <c r="CF49" s="15">
        <f t="shared" si="102"/>
        <v>0.03</v>
      </c>
      <c r="CG49" s="15">
        <f t="shared" si="102"/>
        <v>0.03</v>
      </c>
      <c r="CH49" s="15">
        <f t="shared" si="102"/>
        <v>0.03</v>
      </c>
      <c r="CI49" s="15">
        <f t="shared" si="102"/>
        <v>0.03</v>
      </c>
      <c r="CJ49" s="15">
        <f t="shared" si="102"/>
        <v>0.03</v>
      </c>
      <c r="CK49" s="15">
        <f t="shared" si="102"/>
        <v>0.03</v>
      </c>
      <c r="CL49" s="15">
        <f t="shared" si="102"/>
        <v>0.03</v>
      </c>
      <c r="CM49" s="15">
        <f t="shared" si="102"/>
        <v>0.03</v>
      </c>
      <c r="CN49" s="15">
        <f t="shared" si="102"/>
        <v>0.03</v>
      </c>
      <c r="CO49" s="15">
        <f t="shared" si="102"/>
        <v>0.03</v>
      </c>
      <c r="CP49" s="15">
        <f t="shared" si="102"/>
        <v>0.03</v>
      </c>
      <c r="CQ49" s="15">
        <f t="shared" si="102"/>
        <v>0.03</v>
      </c>
      <c r="CR49" s="15">
        <f t="shared" si="102"/>
        <v>0.03</v>
      </c>
    </row>
    <row r="50" spans="5:96" x14ac:dyDescent="0.2">
      <c r="E50" s="6">
        <v>44</v>
      </c>
      <c r="F50" s="26">
        <v>2.4599999999999999E-3</v>
      </c>
      <c r="G50" s="27">
        <v>2.7000000000000001E-3</v>
      </c>
      <c r="H50" s="27">
        <f t="shared" si="31"/>
        <v>2.7000000000000001E-3</v>
      </c>
      <c r="I50" s="28">
        <f t="shared" si="74"/>
        <v>2.252789187523474E-4</v>
      </c>
      <c r="J50" s="27">
        <f t="shared" si="32"/>
        <v>2.7000000000000001E-3</v>
      </c>
      <c r="K50" s="28">
        <f t="shared" si="26"/>
        <v>2.252789187523474E-4</v>
      </c>
      <c r="L50" s="27">
        <f t="shared" si="33"/>
        <v>2.7000000000000001E-3</v>
      </c>
      <c r="M50" s="28">
        <f t="shared" si="27"/>
        <v>2.252789187523474E-4</v>
      </c>
      <c r="N50" s="27">
        <f t="shared" si="34"/>
        <v>2.7000000000000001E-3</v>
      </c>
      <c r="O50" s="28">
        <f t="shared" si="28"/>
        <v>2.252789187523474E-4</v>
      </c>
      <c r="P50" s="5">
        <v>4.0000000000000002E-4</v>
      </c>
      <c r="Q50" s="28">
        <f t="shared" si="35"/>
        <v>3.3339446006586115E-5</v>
      </c>
      <c r="R50" s="5">
        <v>4.5599999999999998E-3</v>
      </c>
      <c r="S50" s="28">
        <f t="shared" si="36"/>
        <v>3.8079652149014542E-4</v>
      </c>
      <c r="T50" s="30">
        <v>2.5200000000000005E-4</v>
      </c>
      <c r="U50" s="28">
        <f t="shared" si="37"/>
        <v>2.1002425890537246E-5</v>
      </c>
      <c r="V50" s="5">
        <v>4.0000000000000002E-4</v>
      </c>
      <c r="W50" s="28">
        <f t="shared" si="41"/>
        <v>3.3339446006586115E-5</v>
      </c>
      <c r="BM50" s="23">
        <f t="shared" si="104"/>
        <v>2023</v>
      </c>
      <c r="BN50" s="23">
        <f t="shared" si="105"/>
        <v>6</v>
      </c>
      <c r="BO50" s="15">
        <f t="shared" si="103"/>
        <v>0.01</v>
      </c>
      <c r="BP50" s="15">
        <f t="shared" si="102"/>
        <v>0.02</v>
      </c>
      <c r="BQ50" s="15">
        <f t="shared" si="102"/>
        <v>0.03</v>
      </c>
      <c r="BR50" s="15">
        <f t="shared" si="102"/>
        <v>0.03</v>
      </c>
      <c r="BS50" s="15">
        <f t="shared" si="102"/>
        <v>0.03</v>
      </c>
      <c r="BT50" s="15">
        <f t="shared" si="102"/>
        <v>0.03</v>
      </c>
      <c r="BU50" s="15">
        <f t="shared" si="102"/>
        <v>0.03</v>
      </c>
      <c r="BV50" s="15">
        <f t="shared" si="102"/>
        <v>0.05</v>
      </c>
      <c r="BW50" s="15">
        <f t="shared" si="102"/>
        <v>0.04</v>
      </c>
      <c r="BX50" s="15">
        <f t="shared" si="102"/>
        <v>0.03</v>
      </c>
      <c r="BY50" s="15">
        <f t="shared" si="102"/>
        <v>0.03</v>
      </c>
      <c r="BZ50" s="15">
        <f t="shared" si="102"/>
        <v>0.03</v>
      </c>
      <c r="CA50" s="15">
        <f t="shared" si="102"/>
        <v>0.03</v>
      </c>
      <c r="CB50" s="15">
        <f t="shared" si="102"/>
        <v>0.03</v>
      </c>
      <c r="CC50" s="15">
        <f t="shared" si="102"/>
        <v>0.03</v>
      </c>
      <c r="CD50" s="15">
        <f t="shared" si="102"/>
        <v>0.03</v>
      </c>
      <c r="CE50" s="15">
        <f t="shared" si="102"/>
        <v>0.03</v>
      </c>
      <c r="CF50" s="15">
        <f t="shared" si="102"/>
        <v>0.03</v>
      </c>
      <c r="CG50" s="15">
        <f t="shared" si="102"/>
        <v>0.03</v>
      </c>
      <c r="CH50" s="15">
        <f t="shared" si="102"/>
        <v>0.03</v>
      </c>
      <c r="CI50" s="15">
        <f t="shared" si="102"/>
        <v>0.03</v>
      </c>
      <c r="CJ50" s="15">
        <f t="shared" si="102"/>
        <v>0.03</v>
      </c>
      <c r="CK50" s="15">
        <f t="shared" si="102"/>
        <v>0.03</v>
      </c>
      <c r="CL50" s="15">
        <f t="shared" si="102"/>
        <v>0.03</v>
      </c>
      <c r="CM50" s="15">
        <f t="shared" si="102"/>
        <v>0.03</v>
      </c>
      <c r="CN50" s="15">
        <f t="shared" si="102"/>
        <v>0.03</v>
      </c>
      <c r="CO50" s="15">
        <f t="shared" si="102"/>
        <v>0.03</v>
      </c>
      <c r="CP50" s="15">
        <f t="shared" si="102"/>
        <v>0.03</v>
      </c>
      <c r="CQ50" s="15">
        <f t="shared" si="102"/>
        <v>0.03</v>
      </c>
      <c r="CR50" s="15">
        <f t="shared" si="102"/>
        <v>0.03</v>
      </c>
    </row>
    <row r="51" spans="5:96" x14ac:dyDescent="0.2">
      <c r="E51" s="6">
        <v>45</v>
      </c>
      <c r="F51" s="26">
        <v>2.7899999999999999E-3</v>
      </c>
      <c r="G51" s="27">
        <v>3.0200000000000001E-3</v>
      </c>
      <c r="H51" s="27">
        <f t="shared" si="31"/>
        <v>3.0200000000000001E-3</v>
      </c>
      <c r="I51" s="28">
        <f t="shared" si="74"/>
        <v>2.5201568888066905E-4</v>
      </c>
      <c r="J51" s="27">
        <f t="shared" si="32"/>
        <v>3.0200000000000001E-3</v>
      </c>
      <c r="K51" s="28">
        <f t="shared" si="26"/>
        <v>2.5201568888066905E-4</v>
      </c>
      <c r="L51" s="27">
        <f t="shared" si="33"/>
        <v>3.0200000000000001E-3</v>
      </c>
      <c r="M51" s="28">
        <f t="shared" si="27"/>
        <v>2.5201568888066905E-4</v>
      </c>
      <c r="N51" s="27">
        <f t="shared" si="34"/>
        <v>3.0200000000000001E-3</v>
      </c>
      <c r="O51" s="28">
        <f t="shared" si="28"/>
        <v>2.5201568888066905E-4</v>
      </c>
      <c r="P51" s="5">
        <v>4.0000000000000002E-4</v>
      </c>
      <c r="Q51" s="28">
        <f t="shared" si="35"/>
        <v>3.3339446006586115E-5</v>
      </c>
      <c r="R51" s="5">
        <v>5.2100000000000002E-3</v>
      </c>
      <c r="S51" s="28">
        <f t="shared" si="36"/>
        <v>4.3520688460019219E-4</v>
      </c>
      <c r="T51" s="30">
        <v>2.7900000000000001E-4</v>
      </c>
      <c r="U51" s="28">
        <f t="shared" si="37"/>
        <v>2.3252973623821838E-5</v>
      </c>
      <c r="V51" s="5">
        <v>4.0000000000000002E-4</v>
      </c>
      <c r="W51" s="28">
        <f t="shared" si="41"/>
        <v>3.3339446006586115E-5</v>
      </c>
      <c r="BM51" s="23">
        <f t="shared" si="104"/>
        <v>2023</v>
      </c>
      <c r="BN51" s="23">
        <f t="shared" si="105"/>
        <v>7</v>
      </c>
      <c r="BO51" s="15">
        <f t="shared" si="103"/>
        <v>0.01</v>
      </c>
      <c r="BP51" s="15">
        <f t="shared" si="102"/>
        <v>0.02</v>
      </c>
      <c r="BQ51" s="15">
        <f t="shared" si="102"/>
        <v>0.03</v>
      </c>
      <c r="BR51" s="15">
        <f t="shared" si="102"/>
        <v>0.03</v>
      </c>
      <c r="BS51" s="15">
        <f t="shared" si="102"/>
        <v>0.03</v>
      </c>
      <c r="BT51" s="15">
        <f t="shared" si="102"/>
        <v>0.03</v>
      </c>
      <c r="BU51" s="15">
        <f t="shared" si="102"/>
        <v>0.03</v>
      </c>
      <c r="BV51" s="15">
        <f t="shared" si="102"/>
        <v>0.05</v>
      </c>
      <c r="BW51" s="15">
        <f t="shared" si="102"/>
        <v>0.04</v>
      </c>
      <c r="BX51" s="15">
        <f t="shared" si="102"/>
        <v>0.03</v>
      </c>
      <c r="BY51" s="15">
        <f t="shared" si="102"/>
        <v>0.03</v>
      </c>
      <c r="BZ51" s="15">
        <f t="shared" si="102"/>
        <v>0.03</v>
      </c>
      <c r="CA51" s="15">
        <f t="shared" si="102"/>
        <v>0.03</v>
      </c>
      <c r="CB51" s="15">
        <f t="shared" si="102"/>
        <v>0.03</v>
      </c>
      <c r="CC51" s="15">
        <f t="shared" si="102"/>
        <v>0.03</v>
      </c>
      <c r="CD51" s="15">
        <f t="shared" si="102"/>
        <v>0.03</v>
      </c>
      <c r="CE51" s="15">
        <f t="shared" si="102"/>
        <v>0.03</v>
      </c>
      <c r="CF51" s="15">
        <f t="shared" si="102"/>
        <v>0.03</v>
      </c>
      <c r="CG51" s="15">
        <f t="shared" si="102"/>
        <v>0.03</v>
      </c>
      <c r="CH51" s="15">
        <f t="shared" si="102"/>
        <v>0.03</v>
      </c>
      <c r="CI51" s="15">
        <f t="shared" si="102"/>
        <v>0.03</v>
      </c>
      <c r="CJ51" s="15">
        <f t="shared" si="102"/>
        <v>0.03</v>
      </c>
      <c r="CK51" s="15">
        <f t="shared" si="102"/>
        <v>0.03</v>
      </c>
      <c r="CL51" s="15">
        <f t="shared" si="102"/>
        <v>0.03</v>
      </c>
      <c r="CM51" s="15">
        <f t="shared" si="102"/>
        <v>0.03</v>
      </c>
      <c r="CN51" s="15">
        <f t="shared" si="102"/>
        <v>0.03</v>
      </c>
      <c r="CO51" s="15">
        <f t="shared" si="102"/>
        <v>0.03</v>
      </c>
      <c r="CP51" s="15">
        <f t="shared" si="102"/>
        <v>0.03</v>
      </c>
      <c r="CQ51" s="15">
        <f t="shared" si="102"/>
        <v>0.03</v>
      </c>
      <c r="CR51" s="15">
        <f t="shared" si="102"/>
        <v>0.03</v>
      </c>
    </row>
    <row r="52" spans="5:96" x14ac:dyDescent="0.2">
      <c r="E52" s="6">
        <v>46</v>
      </c>
      <c r="F52" s="26">
        <v>3.1800000000000001E-3</v>
      </c>
      <c r="G52" s="27">
        <v>3.3800000000000002E-3</v>
      </c>
      <c r="H52" s="27">
        <f t="shared" si="31"/>
        <v>3.3800000000000002E-3</v>
      </c>
      <c r="I52" s="28">
        <f t="shared" si="74"/>
        <v>2.8210395987682269E-4</v>
      </c>
      <c r="J52" s="27">
        <f t="shared" si="32"/>
        <v>3.3800000000000002E-3</v>
      </c>
      <c r="K52" s="28">
        <f t="shared" si="26"/>
        <v>2.8210395987682269E-4</v>
      </c>
      <c r="L52" s="27">
        <f t="shared" si="33"/>
        <v>3.3800000000000002E-3</v>
      </c>
      <c r="M52" s="28">
        <f t="shared" si="27"/>
        <v>2.8210395987682269E-4</v>
      </c>
      <c r="N52" s="27">
        <f t="shared" si="34"/>
        <v>3.3800000000000002E-3</v>
      </c>
      <c r="O52" s="28">
        <f t="shared" si="28"/>
        <v>2.8210395987682269E-4</v>
      </c>
      <c r="P52" s="5">
        <v>4.0000000000000002E-4</v>
      </c>
      <c r="Q52" s="28">
        <f t="shared" si="35"/>
        <v>3.3339446006586115E-5</v>
      </c>
      <c r="R52" s="5">
        <v>5.8899999999999994E-3</v>
      </c>
      <c r="S52" s="28">
        <f t="shared" si="36"/>
        <v>4.9216338655322378E-4</v>
      </c>
      <c r="T52" s="30">
        <v>2.9700000000000006E-4</v>
      </c>
      <c r="U52" s="28">
        <f t="shared" si="37"/>
        <v>2.4753369733176989E-5</v>
      </c>
      <c r="V52" s="5">
        <v>4.0000000000000002E-4</v>
      </c>
      <c r="W52" s="28">
        <f t="shared" si="41"/>
        <v>3.3339446006586115E-5</v>
      </c>
      <c r="BM52" s="23">
        <f t="shared" si="104"/>
        <v>2023</v>
      </c>
      <c r="BN52" s="23">
        <f t="shared" si="105"/>
        <v>8</v>
      </c>
      <c r="BO52" s="15">
        <f t="shared" si="103"/>
        <v>0.01</v>
      </c>
      <c r="BP52" s="15">
        <f t="shared" si="102"/>
        <v>0.02</v>
      </c>
      <c r="BQ52" s="15">
        <f t="shared" si="102"/>
        <v>0.03</v>
      </c>
      <c r="BR52" s="15">
        <f t="shared" si="102"/>
        <v>0.03</v>
      </c>
      <c r="BS52" s="15">
        <f t="shared" si="102"/>
        <v>0.03</v>
      </c>
      <c r="BT52" s="15">
        <f t="shared" si="102"/>
        <v>0.03</v>
      </c>
      <c r="BU52" s="15">
        <f t="shared" si="102"/>
        <v>0.03</v>
      </c>
      <c r="BV52" s="15">
        <f t="shared" si="102"/>
        <v>0.05</v>
      </c>
      <c r="BW52" s="15">
        <f t="shared" si="102"/>
        <v>0.04</v>
      </c>
      <c r="BX52" s="15">
        <f t="shared" si="102"/>
        <v>0.03</v>
      </c>
      <c r="BY52" s="15">
        <f t="shared" si="102"/>
        <v>0.03</v>
      </c>
      <c r="BZ52" s="15">
        <f t="shared" si="102"/>
        <v>0.03</v>
      </c>
      <c r="CA52" s="15">
        <f t="shared" si="102"/>
        <v>0.03</v>
      </c>
      <c r="CB52" s="15">
        <f t="shared" si="102"/>
        <v>0.03</v>
      </c>
      <c r="CC52" s="15">
        <f t="shared" si="102"/>
        <v>0.03</v>
      </c>
      <c r="CD52" s="15">
        <f t="shared" si="102"/>
        <v>0.03</v>
      </c>
      <c r="CE52" s="15">
        <f t="shared" si="102"/>
        <v>0.03</v>
      </c>
      <c r="CF52" s="15">
        <f t="shared" si="102"/>
        <v>0.03</v>
      </c>
      <c r="CG52" s="15">
        <f t="shared" si="102"/>
        <v>0.03</v>
      </c>
      <c r="CH52" s="15">
        <f t="shared" si="102"/>
        <v>0.03</v>
      </c>
      <c r="CI52" s="15">
        <f t="shared" si="102"/>
        <v>0.03</v>
      </c>
      <c r="CJ52" s="15">
        <f t="shared" si="102"/>
        <v>0.03</v>
      </c>
      <c r="CK52" s="15">
        <f t="shared" si="102"/>
        <v>0.03</v>
      </c>
      <c r="CL52" s="15">
        <f t="shared" si="102"/>
        <v>0.03</v>
      </c>
      <c r="CM52" s="15">
        <f t="shared" ref="CM52:CR52" si="106">VLOOKUP($BM$45,$BM$24:$CQ$39,CM$43+1,FALSE)</f>
        <v>0.03</v>
      </c>
      <c r="CN52" s="15">
        <f t="shared" si="106"/>
        <v>0.03</v>
      </c>
      <c r="CO52" s="15">
        <f t="shared" si="106"/>
        <v>0.03</v>
      </c>
      <c r="CP52" s="15">
        <f t="shared" si="106"/>
        <v>0.03</v>
      </c>
      <c r="CQ52" s="15">
        <f t="shared" si="106"/>
        <v>0.03</v>
      </c>
      <c r="CR52" s="15">
        <f t="shared" si="106"/>
        <v>0.03</v>
      </c>
    </row>
    <row r="53" spans="5:96" x14ac:dyDescent="0.2">
      <c r="E53" s="6">
        <v>47</v>
      </c>
      <c r="F53" s="26">
        <v>3.63E-3</v>
      </c>
      <c r="G53" s="27">
        <v>3.7699999999999999E-3</v>
      </c>
      <c r="H53" s="27">
        <f t="shared" si="31"/>
        <v>3.7699999999999999E-3</v>
      </c>
      <c r="I53" s="28">
        <f t="shared" si="74"/>
        <v>3.1471083161482838E-4</v>
      </c>
      <c r="J53" s="27">
        <f t="shared" si="32"/>
        <v>3.7699999999999999E-3</v>
      </c>
      <c r="K53" s="28">
        <f t="shared" si="26"/>
        <v>3.1471083161482838E-4</v>
      </c>
      <c r="L53" s="27">
        <f t="shared" si="33"/>
        <v>3.7699999999999999E-3</v>
      </c>
      <c r="M53" s="28">
        <f t="shared" si="27"/>
        <v>3.1471083161482838E-4</v>
      </c>
      <c r="N53" s="27">
        <f t="shared" si="34"/>
        <v>3.7699999999999999E-3</v>
      </c>
      <c r="O53" s="28">
        <f t="shared" si="28"/>
        <v>3.1471083161482838E-4</v>
      </c>
      <c r="P53" s="5">
        <v>4.0000000000000002E-4</v>
      </c>
      <c r="Q53" s="28">
        <f t="shared" si="35"/>
        <v>3.3339446006586115E-5</v>
      </c>
      <c r="R53" s="5">
        <v>6.8600000000000006E-3</v>
      </c>
      <c r="S53" s="28">
        <f t="shared" si="36"/>
        <v>5.7347199923385439E-4</v>
      </c>
      <c r="T53" s="30">
        <v>3.2400000000000001E-4</v>
      </c>
      <c r="U53" s="28">
        <f t="shared" si="37"/>
        <v>2.7004010330178296E-5</v>
      </c>
      <c r="V53" s="5">
        <v>4.0000000000000002E-4</v>
      </c>
      <c r="W53" s="28">
        <f t="shared" si="41"/>
        <v>3.3339446006586115E-5</v>
      </c>
      <c r="BM53" s="23">
        <f t="shared" si="104"/>
        <v>2023</v>
      </c>
      <c r="BN53" s="23">
        <f t="shared" si="105"/>
        <v>9</v>
      </c>
      <c r="BO53" s="15">
        <f t="shared" si="103"/>
        <v>0.01</v>
      </c>
      <c r="BP53" s="15">
        <f t="shared" ref="BP53:CR61" si="107">VLOOKUP($BM$45,$BM$24:$CQ$39,BP$43+1,FALSE)</f>
        <v>0.02</v>
      </c>
      <c r="BQ53" s="15">
        <f t="shared" si="107"/>
        <v>0.03</v>
      </c>
      <c r="BR53" s="15">
        <f t="shared" si="107"/>
        <v>0.03</v>
      </c>
      <c r="BS53" s="15">
        <f t="shared" si="107"/>
        <v>0.03</v>
      </c>
      <c r="BT53" s="15">
        <f t="shared" si="107"/>
        <v>0.03</v>
      </c>
      <c r="BU53" s="15">
        <f t="shared" si="107"/>
        <v>0.03</v>
      </c>
      <c r="BV53" s="15">
        <f t="shared" si="107"/>
        <v>0.05</v>
      </c>
      <c r="BW53" s="15">
        <f t="shared" si="107"/>
        <v>0.04</v>
      </c>
      <c r="BX53" s="15">
        <f t="shared" si="107"/>
        <v>0.03</v>
      </c>
      <c r="BY53" s="15">
        <f t="shared" si="107"/>
        <v>0.03</v>
      </c>
      <c r="BZ53" s="15">
        <f t="shared" si="107"/>
        <v>0.03</v>
      </c>
      <c r="CA53" s="15">
        <f t="shared" si="107"/>
        <v>0.03</v>
      </c>
      <c r="CB53" s="15">
        <f t="shared" si="107"/>
        <v>0.03</v>
      </c>
      <c r="CC53" s="15">
        <f t="shared" si="107"/>
        <v>0.03</v>
      </c>
      <c r="CD53" s="15">
        <f t="shared" si="107"/>
        <v>0.03</v>
      </c>
      <c r="CE53" s="15">
        <f t="shared" si="107"/>
        <v>0.03</v>
      </c>
      <c r="CF53" s="15">
        <f t="shared" si="107"/>
        <v>0.03</v>
      </c>
      <c r="CG53" s="15">
        <f t="shared" si="107"/>
        <v>0.03</v>
      </c>
      <c r="CH53" s="15">
        <f t="shared" si="107"/>
        <v>0.03</v>
      </c>
      <c r="CI53" s="15">
        <f t="shared" si="107"/>
        <v>0.03</v>
      </c>
      <c r="CJ53" s="15">
        <f t="shared" si="107"/>
        <v>0.03</v>
      </c>
      <c r="CK53" s="15">
        <f t="shared" si="107"/>
        <v>0.03</v>
      </c>
      <c r="CL53" s="15">
        <f t="shared" si="107"/>
        <v>0.03</v>
      </c>
      <c r="CM53" s="15">
        <f t="shared" si="107"/>
        <v>0.03</v>
      </c>
      <c r="CN53" s="15">
        <f t="shared" si="107"/>
        <v>0.03</v>
      </c>
      <c r="CO53" s="15">
        <f t="shared" si="107"/>
        <v>0.03</v>
      </c>
      <c r="CP53" s="15">
        <f t="shared" si="107"/>
        <v>0.03</v>
      </c>
      <c r="CQ53" s="15">
        <f t="shared" si="107"/>
        <v>0.03</v>
      </c>
      <c r="CR53" s="15">
        <f t="shared" si="107"/>
        <v>0.03</v>
      </c>
    </row>
    <row r="54" spans="5:96" x14ac:dyDescent="0.2">
      <c r="E54" s="6">
        <v>48</v>
      </c>
      <c r="F54" s="26">
        <v>4.1399999999999996E-3</v>
      </c>
      <c r="G54" s="27">
        <v>4.1799999999999997E-3</v>
      </c>
      <c r="H54" s="27">
        <f t="shared" si="31"/>
        <v>4.1799999999999997E-3</v>
      </c>
      <c r="I54" s="28">
        <f t="shared" si="74"/>
        <v>3.4900246958580183E-4</v>
      </c>
      <c r="J54" s="27">
        <f t="shared" si="32"/>
        <v>4.1799999999999997E-3</v>
      </c>
      <c r="K54" s="28">
        <f t="shared" si="26"/>
        <v>3.4900246958580183E-4</v>
      </c>
      <c r="L54" s="27">
        <f t="shared" si="33"/>
        <v>4.1799999999999997E-3</v>
      </c>
      <c r="M54" s="28">
        <f t="shared" si="27"/>
        <v>3.4900246958580183E-4</v>
      </c>
      <c r="N54" s="27">
        <f t="shared" si="34"/>
        <v>4.1799999999999997E-3</v>
      </c>
      <c r="O54" s="28">
        <f t="shared" si="28"/>
        <v>3.4900246958580183E-4</v>
      </c>
      <c r="P54" s="5">
        <v>4.0000000000000002E-4</v>
      </c>
      <c r="Q54" s="28">
        <f t="shared" si="35"/>
        <v>3.3339446006586115E-5</v>
      </c>
      <c r="R54" s="5">
        <v>7.7800000000000005E-3</v>
      </c>
      <c r="S54" s="28">
        <f t="shared" si="36"/>
        <v>6.5065673870468022E-4</v>
      </c>
      <c r="T54" s="30">
        <v>3.5100000000000002E-4</v>
      </c>
      <c r="U54" s="28">
        <f t="shared" si="37"/>
        <v>2.925470664927321E-5</v>
      </c>
      <c r="V54" s="5">
        <v>4.0000000000000002E-4</v>
      </c>
      <c r="W54" s="28">
        <f t="shared" si="41"/>
        <v>3.3339446006586115E-5</v>
      </c>
      <c r="BM54" s="23">
        <f t="shared" si="104"/>
        <v>2023</v>
      </c>
      <c r="BN54" s="23">
        <f t="shared" si="105"/>
        <v>10</v>
      </c>
      <c r="BO54" s="15">
        <f t="shared" si="103"/>
        <v>0.01</v>
      </c>
      <c r="BP54" s="15">
        <f t="shared" si="107"/>
        <v>0.02</v>
      </c>
      <c r="BQ54" s="15">
        <f t="shared" si="107"/>
        <v>0.03</v>
      </c>
      <c r="BR54" s="15">
        <f t="shared" si="107"/>
        <v>0.03</v>
      </c>
      <c r="BS54" s="15">
        <f t="shared" si="107"/>
        <v>0.03</v>
      </c>
      <c r="BT54" s="15">
        <f t="shared" si="107"/>
        <v>0.03</v>
      </c>
      <c r="BU54" s="15">
        <f t="shared" si="107"/>
        <v>0.03</v>
      </c>
      <c r="BV54" s="15">
        <f t="shared" si="107"/>
        <v>0.05</v>
      </c>
      <c r="BW54" s="15">
        <f t="shared" si="107"/>
        <v>0.04</v>
      </c>
      <c r="BX54" s="15">
        <f t="shared" si="107"/>
        <v>0.03</v>
      </c>
      <c r="BY54" s="15">
        <f t="shared" si="107"/>
        <v>0.03</v>
      </c>
      <c r="BZ54" s="15">
        <f t="shared" si="107"/>
        <v>0.03</v>
      </c>
      <c r="CA54" s="15">
        <f t="shared" si="107"/>
        <v>0.03</v>
      </c>
      <c r="CB54" s="15">
        <f t="shared" si="107"/>
        <v>0.03</v>
      </c>
      <c r="CC54" s="15">
        <f t="shared" si="107"/>
        <v>0.03</v>
      </c>
      <c r="CD54" s="15">
        <f t="shared" si="107"/>
        <v>0.03</v>
      </c>
      <c r="CE54" s="15">
        <f t="shared" si="107"/>
        <v>0.03</v>
      </c>
      <c r="CF54" s="15">
        <f t="shared" si="107"/>
        <v>0.03</v>
      </c>
      <c r="CG54" s="15">
        <f t="shared" si="107"/>
        <v>0.03</v>
      </c>
      <c r="CH54" s="15">
        <f t="shared" si="107"/>
        <v>0.03</v>
      </c>
      <c r="CI54" s="15">
        <f t="shared" si="107"/>
        <v>0.03</v>
      </c>
      <c r="CJ54" s="15">
        <f t="shared" si="107"/>
        <v>0.03</v>
      </c>
      <c r="CK54" s="15">
        <f t="shared" si="107"/>
        <v>0.03</v>
      </c>
      <c r="CL54" s="15">
        <f t="shared" si="107"/>
        <v>0.03</v>
      </c>
      <c r="CM54" s="15">
        <f t="shared" si="107"/>
        <v>0.03</v>
      </c>
      <c r="CN54" s="15">
        <f t="shared" si="107"/>
        <v>0.03</v>
      </c>
      <c r="CO54" s="15">
        <f t="shared" si="107"/>
        <v>0.03</v>
      </c>
      <c r="CP54" s="15">
        <f t="shared" si="107"/>
        <v>0.03</v>
      </c>
      <c r="CQ54" s="15">
        <f t="shared" si="107"/>
        <v>0.03</v>
      </c>
      <c r="CR54" s="15">
        <f t="shared" si="107"/>
        <v>0.03</v>
      </c>
    </row>
    <row r="55" spans="5:96" x14ac:dyDescent="0.2">
      <c r="E55" s="6">
        <v>49</v>
      </c>
      <c r="F55" s="26">
        <v>4.7099999999999998E-3</v>
      </c>
      <c r="G55" s="27">
        <v>4.6100000000000004E-3</v>
      </c>
      <c r="H55" s="27">
        <f t="shared" si="31"/>
        <v>4.6100000000000004E-3</v>
      </c>
      <c r="I55" s="28">
        <f t="shared" si="74"/>
        <v>3.8498077760262817E-4</v>
      </c>
      <c r="J55" s="27">
        <f t="shared" si="32"/>
        <v>4.6100000000000004E-3</v>
      </c>
      <c r="K55" s="28">
        <f t="shared" si="26"/>
        <v>3.8498077760262817E-4</v>
      </c>
      <c r="L55" s="27">
        <f t="shared" si="33"/>
        <v>4.6100000000000004E-3</v>
      </c>
      <c r="M55" s="28">
        <f t="shared" si="27"/>
        <v>3.8498077760262817E-4</v>
      </c>
      <c r="N55" s="27">
        <f t="shared" si="34"/>
        <v>4.6100000000000004E-3</v>
      </c>
      <c r="O55" s="28">
        <f t="shared" si="28"/>
        <v>3.8498077760262817E-4</v>
      </c>
      <c r="P55" s="5">
        <v>4.0000000000000002E-4</v>
      </c>
      <c r="Q55" s="28">
        <f t="shared" si="35"/>
        <v>3.3339446006586115E-5</v>
      </c>
      <c r="R55" s="5">
        <v>8.7100000000000007E-3</v>
      </c>
      <c r="S55" s="28">
        <f t="shared" si="36"/>
        <v>7.2874714786330674E-4</v>
      </c>
      <c r="T55" s="30">
        <v>3.8700000000000003E-4</v>
      </c>
      <c r="U55" s="28">
        <f t="shared" si="37"/>
        <v>3.2255721758467359E-5</v>
      </c>
      <c r="V55" s="5">
        <v>4.0000000000000002E-4</v>
      </c>
      <c r="W55" s="28">
        <f t="shared" si="41"/>
        <v>3.3339446006586115E-5</v>
      </c>
      <c r="BM55" s="23">
        <f t="shared" si="104"/>
        <v>2023</v>
      </c>
      <c r="BN55" s="23">
        <f t="shared" si="105"/>
        <v>11</v>
      </c>
      <c r="BO55" s="15">
        <f t="shared" si="103"/>
        <v>0.01</v>
      </c>
      <c r="BP55" s="15">
        <f t="shared" si="107"/>
        <v>0.02</v>
      </c>
      <c r="BQ55" s="15">
        <f t="shared" si="107"/>
        <v>0.03</v>
      </c>
      <c r="BR55" s="15">
        <f t="shared" si="107"/>
        <v>0.03</v>
      </c>
      <c r="BS55" s="15">
        <f t="shared" si="107"/>
        <v>0.03</v>
      </c>
      <c r="BT55" s="15">
        <f t="shared" si="107"/>
        <v>0.03</v>
      </c>
      <c r="BU55" s="15">
        <f t="shared" si="107"/>
        <v>0.03</v>
      </c>
      <c r="BV55" s="15">
        <f t="shared" si="107"/>
        <v>0.05</v>
      </c>
      <c r="BW55" s="15">
        <f t="shared" si="107"/>
        <v>0.04</v>
      </c>
      <c r="BX55" s="15">
        <f t="shared" si="107"/>
        <v>0.03</v>
      </c>
      <c r="BY55" s="15">
        <f t="shared" si="107"/>
        <v>0.03</v>
      </c>
      <c r="BZ55" s="15">
        <f t="shared" si="107"/>
        <v>0.03</v>
      </c>
      <c r="CA55" s="15">
        <f t="shared" si="107"/>
        <v>0.03</v>
      </c>
      <c r="CB55" s="15">
        <f t="shared" si="107"/>
        <v>0.03</v>
      </c>
      <c r="CC55" s="15">
        <f t="shared" si="107"/>
        <v>0.03</v>
      </c>
      <c r="CD55" s="15">
        <f t="shared" si="107"/>
        <v>0.03</v>
      </c>
      <c r="CE55" s="15">
        <f t="shared" si="107"/>
        <v>0.03</v>
      </c>
      <c r="CF55" s="15">
        <f t="shared" si="107"/>
        <v>0.03</v>
      </c>
      <c r="CG55" s="15">
        <f t="shared" si="107"/>
        <v>0.03</v>
      </c>
      <c r="CH55" s="15">
        <f t="shared" si="107"/>
        <v>0.03</v>
      </c>
      <c r="CI55" s="15">
        <f t="shared" si="107"/>
        <v>0.03</v>
      </c>
      <c r="CJ55" s="15">
        <f t="shared" si="107"/>
        <v>0.03</v>
      </c>
      <c r="CK55" s="15">
        <f t="shared" si="107"/>
        <v>0.03</v>
      </c>
      <c r="CL55" s="15">
        <f t="shared" si="107"/>
        <v>0.03</v>
      </c>
      <c r="CM55" s="15">
        <f t="shared" si="107"/>
        <v>0.03</v>
      </c>
      <c r="CN55" s="15">
        <f t="shared" si="107"/>
        <v>0.03</v>
      </c>
      <c r="CO55" s="15">
        <f t="shared" si="107"/>
        <v>0.03</v>
      </c>
      <c r="CP55" s="15">
        <f t="shared" si="107"/>
        <v>0.03</v>
      </c>
      <c r="CQ55" s="15">
        <f t="shared" si="107"/>
        <v>0.03</v>
      </c>
      <c r="CR55" s="15">
        <f t="shared" si="107"/>
        <v>0.03</v>
      </c>
    </row>
    <row r="56" spans="5:96" x14ac:dyDescent="0.2">
      <c r="E56" s="6">
        <v>50</v>
      </c>
      <c r="F56" s="26">
        <v>5.3800000000000002E-3</v>
      </c>
      <c r="G56" s="27">
        <v>5.0800000000000003E-3</v>
      </c>
      <c r="H56" s="27">
        <f t="shared" si="31"/>
        <v>5.0800000000000003E-3</v>
      </c>
      <c r="I56" s="28">
        <f t="shared" si="74"/>
        <v>4.2432220535937315E-4</v>
      </c>
      <c r="J56" s="27">
        <f t="shared" si="32"/>
        <v>5.0800000000000003E-3</v>
      </c>
      <c r="K56" s="28">
        <f t="shared" si="26"/>
        <v>4.2432220535937315E-4</v>
      </c>
      <c r="L56" s="27">
        <f t="shared" si="33"/>
        <v>5.0800000000000003E-3</v>
      </c>
      <c r="M56" s="28">
        <f t="shared" si="27"/>
        <v>4.2432220535937315E-4</v>
      </c>
      <c r="N56" s="27">
        <f t="shared" si="34"/>
        <v>5.0800000000000003E-3</v>
      </c>
      <c r="O56" s="28">
        <f t="shared" si="28"/>
        <v>4.2432220535937315E-4</v>
      </c>
      <c r="P56" s="5">
        <v>4.0000000000000002E-4</v>
      </c>
      <c r="Q56" s="28">
        <f t="shared" si="35"/>
        <v>3.3339446006586115E-5</v>
      </c>
      <c r="R56" s="5">
        <v>9.6600000000000002E-3</v>
      </c>
      <c r="S56" s="28">
        <f t="shared" si="36"/>
        <v>8.0858629028945916E-4</v>
      </c>
      <c r="T56" s="30">
        <v>4.2299999999999998E-4</v>
      </c>
      <c r="U56" s="28">
        <f t="shared" si="37"/>
        <v>3.5256835941188669E-5</v>
      </c>
      <c r="V56" s="5">
        <v>4.0000000000000002E-4</v>
      </c>
      <c r="W56" s="28">
        <f t="shared" si="41"/>
        <v>3.3339446006586115E-5</v>
      </c>
      <c r="BM56" s="23">
        <f t="shared" si="104"/>
        <v>2023</v>
      </c>
      <c r="BN56" s="23">
        <f t="shared" si="105"/>
        <v>12</v>
      </c>
      <c r="BO56" s="15">
        <f t="shared" si="103"/>
        <v>0.01</v>
      </c>
      <c r="BP56" s="15">
        <f t="shared" si="107"/>
        <v>0.02</v>
      </c>
      <c r="BQ56" s="15">
        <f t="shared" si="107"/>
        <v>0.03</v>
      </c>
      <c r="BR56" s="15">
        <f t="shared" si="107"/>
        <v>0.03</v>
      </c>
      <c r="BS56" s="15">
        <f t="shared" si="107"/>
        <v>0.03</v>
      </c>
      <c r="BT56" s="15">
        <f t="shared" si="107"/>
        <v>0.03</v>
      </c>
      <c r="BU56" s="15">
        <f t="shared" si="107"/>
        <v>0.03</v>
      </c>
      <c r="BV56" s="15">
        <f t="shared" si="107"/>
        <v>0.05</v>
      </c>
      <c r="BW56" s="15">
        <f t="shared" si="107"/>
        <v>0.04</v>
      </c>
      <c r="BX56" s="15">
        <f t="shared" si="107"/>
        <v>0.03</v>
      </c>
      <c r="BY56" s="15">
        <f t="shared" si="107"/>
        <v>0.03</v>
      </c>
      <c r="BZ56" s="15">
        <f t="shared" si="107"/>
        <v>0.03</v>
      </c>
      <c r="CA56" s="15">
        <f t="shared" si="107"/>
        <v>0.03</v>
      </c>
      <c r="CB56" s="15">
        <f t="shared" si="107"/>
        <v>0.03</v>
      </c>
      <c r="CC56" s="15">
        <f t="shared" si="107"/>
        <v>0.03</v>
      </c>
      <c r="CD56" s="15">
        <f t="shared" si="107"/>
        <v>0.03</v>
      </c>
      <c r="CE56" s="15">
        <f t="shared" si="107"/>
        <v>0.03</v>
      </c>
      <c r="CF56" s="15">
        <f t="shared" si="107"/>
        <v>0.03</v>
      </c>
      <c r="CG56" s="15">
        <f t="shared" si="107"/>
        <v>0.03</v>
      </c>
      <c r="CH56" s="15">
        <f t="shared" si="107"/>
        <v>0.03</v>
      </c>
      <c r="CI56" s="15">
        <f t="shared" si="107"/>
        <v>0.03</v>
      </c>
      <c r="CJ56" s="15">
        <f t="shared" si="107"/>
        <v>0.03</v>
      </c>
      <c r="CK56" s="15">
        <f t="shared" si="107"/>
        <v>0.03</v>
      </c>
      <c r="CL56" s="15">
        <f t="shared" si="107"/>
        <v>0.03</v>
      </c>
      <c r="CM56" s="15">
        <f t="shared" si="107"/>
        <v>0.03</v>
      </c>
      <c r="CN56" s="15">
        <f t="shared" si="107"/>
        <v>0.03</v>
      </c>
      <c r="CO56" s="15">
        <f t="shared" si="107"/>
        <v>0.03</v>
      </c>
      <c r="CP56" s="15">
        <f t="shared" si="107"/>
        <v>0.03</v>
      </c>
      <c r="CQ56" s="15">
        <f t="shared" si="107"/>
        <v>0.03</v>
      </c>
      <c r="CR56" s="15">
        <f t="shared" si="107"/>
        <v>0.03</v>
      </c>
    </row>
    <row r="57" spans="5:96" x14ac:dyDescent="0.2">
      <c r="E57" s="6">
        <v>51</v>
      </c>
      <c r="F57" s="26">
        <v>6.1500000000000001E-3</v>
      </c>
      <c r="G57" s="27">
        <v>5.5599999999999998E-3</v>
      </c>
      <c r="H57" s="27">
        <f t="shared" si="31"/>
        <v>5.5599999999999998E-3</v>
      </c>
      <c r="I57" s="28">
        <f t="shared" si="74"/>
        <v>4.6451827239701871E-4</v>
      </c>
      <c r="J57" s="27">
        <f t="shared" si="32"/>
        <v>5.5599999999999998E-3</v>
      </c>
      <c r="K57" s="28">
        <f t="shared" si="26"/>
        <v>4.6451827239701871E-4</v>
      </c>
      <c r="L57" s="27">
        <f t="shared" si="33"/>
        <v>5.5599999999999998E-3</v>
      </c>
      <c r="M57" s="28">
        <f t="shared" si="27"/>
        <v>4.6451827239701871E-4</v>
      </c>
      <c r="N57" s="27">
        <f t="shared" si="34"/>
        <v>5.5599999999999998E-3</v>
      </c>
      <c r="O57" s="28">
        <f t="shared" si="28"/>
        <v>4.6451827239701871E-4</v>
      </c>
      <c r="P57" s="5">
        <v>4.0000000000000002E-4</v>
      </c>
      <c r="Q57" s="28">
        <f t="shared" si="35"/>
        <v>3.3339446006586115E-5</v>
      </c>
      <c r="R57" s="5">
        <v>1.068E-2</v>
      </c>
      <c r="S57" s="28">
        <f t="shared" si="36"/>
        <v>8.9438650963935551E-4</v>
      </c>
      <c r="T57" s="30">
        <v>4.6800000000000005E-4</v>
      </c>
      <c r="U57" s="28">
        <f t="shared" si="37"/>
        <v>3.9008368002191318E-5</v>
      </c>
      <c r="V57" s="5">
        <v>4.0000000000000002E-4</v>
      </c>
      <c r="W57" s="28">
        <f t="shared" si="41"/>
        <v>3.3339446006586115E-5</v>
      </c>
      <c r="BM57" s="23">
        <f t="shared" si="104"/>
        <v>2023</v>
      </c>
      <c r="BN57" s="23">
        <f t="shared" si="105"/>
        <v>13</v>
      </c>
      <c r="BO57" s="15">
        <f t="shared" si="103"/>
        <v>0.01</v>
      </c>
      <c r="BP57" s="15">
        <f t="shared" si="107"/>
        <v>0.02</v>
      </c>
      <c r="BQ57" s="15">
        <f t="shared" si="107"/>
        <v>0.03</v>
      </c>
      <c r="BR57" s="15">
        <f t="shared" si="107"/>
        <v>0.03</v>
      </c>
      <c r="BS57" s="15">
        <f t="shared" si="107"/>
        <v>0.03</v>
      </c>
      <c r="BT57" s="15">
        <f t="shared" si="107"/>
        <v>0.03</v>
      </c>
      <c r="BU57" s="15">
        <f t="shared" si="107"/>
        <v>0.03</v>
      </c>
      <c r="BV57" s="15">
        <f t="shared" si="107"/>
        <v>0.05</v>
      </c>
      <c r="BW57" s="15">
        <f t="shared" si="107"/>
        <v>0.04</v>
      </c>
      <c r="BX57" s="15">
        <f t="shared" si="107"/>
        <v>0.03</v>
      </c>
      <c r="BY57" s="15">
        <f t="shared" si="107"/>
        <v>0.03</v>
      </c>
      <c r="BZ57" s="15">
        <f t="shared" si="107"/>
        <v>0.03</v>
      </c>
      <c r="CA57" s="15">
        <f t="shared" si="107"/>
        <v>0.03</v>
      </c>
      <c r="CB57" s="15">
        <f t="shared" si="107"/>
        <v>0.03</v>
      </c>
      <c r="CC57" s="15">
        <f t="shared" si="107"/>
        <v>0.03</v>
      </c>
      <c r="CD57" s="15">
        <f t="shared" si="107"/>
        <v>0.03</v>
      </c>
      <c r="CE57" s="15">
        <f t="shared" si="107"/>
        <v>0.03</v>
      </c>
      <c r="CF57" s="15">
        <f t="shared" si="107"/>
        <v>0.03</v>
      </c>
      <c r="CG57" s="15">
        <f t="shared" si="107"/>
        <v>0.03</v>
      </c>
      <c r="CH57" s="15">
        <f t="shared" si="107"/>
        <v>0.03</v>
      </c>
      <c r="CI57" s="15">
        <f t="shared" si="107"/>
        <v>0.03</v>
      </c>
      <c r="CJ57" s="15">
        <f t="shared" si="107"/>
        <v>0.03</v>
      </c>
      <c r="CK57" s="15">
        <f t="shared" si="107"/>
        <v>0.03</v>
      </c>
      <c r="CL57" s="15">
        <f t="shared" si="107"/>
        <v>0.03</v>
      </c>
      <c r="CM57" s="15">
        <f t="shared" si="107"/>
        <v>0.03</v>
      </c>
      <c r="CN57" s="15">
        <f t="shared" si="107"/>
        <v>0.03</v>
      </c>
      <c r="CO57" s="15">
        <f t="shared" si="107"/>
        <v>0.03</v>
      </c>
      <c r="CP57" s="15">
        <f t="shared" si="107"/>
        <v>0.03</v>
      </c>
      <c r="CQ57" s="15">
        <f t="shared" si="107"/>
        <v>0.03</v>
      </c>
      <c r="CR57" s="15">
        <f t="shared" si="107"/>
        <v>0.03</v>
      </c>
    </row>
    <row r="58" spans="5:96" x14ac:dyDescent="0.2">
      <c r="E58" s="6">
        <v>52</v>
      </c>
      <c r="F58" s="26">
        <v>6.9899999999999997E-3</v>
      </c>
      <c r="G58" s="27">
        <v>6.0899999999999999E-3</v>
      </c>
      <c r="H58" s="27">
        <f t="shared" si="31"/>
        <v>6.0899999999999999E-3</v>
      </c>
      <c r="I58" s="28">
        <f t="shared" si="74"/>
        <v>5.0892209556374635E-4</v>
      </c>
      <c r="J58" s="27">
        <f t="shared" si="32"/>
        <v>6.0899999999999999E-3</v>
      </c>
      <c r="K58" s="28">
        <f t="shared" si="26"/>
        <v>5.0892209556374635E-4</v>
      </c>
      <c r="L58" s="27">
        <f t="shared" si="33"/>
        <v>6.0899999999999999E-3</v>
      </c>
      <c r="M58" s="28">
        <f t="shared" si="27"/>
        <v>5.0892209556374635E-4</v>
      </c>
      <c r="N58" s="27">
        <f t="shared" si="34"/>
        <v>6.0899999999999999E-3</v>
      </c>
      <c r="O58" s="28">
        <f t="shared" si="28"/>
        <v>5.0892209556374635E-4</v>
      </c>
      <c r="P58" s="5">
        <v>4.0000000000000002E-4</v>
      </c>
      <c r="Q58" s="28">
        <f t="shared" si="35"/>
        <v>3.3339446006586115E-5</v>
      </c>
      <c r="R58" s="5">
        <v>1.1789999999999998E-2</v>
      </c>
      <c r="S58" s="28">
        <f t="shared" si="36"/>
        <v>9.8784952281383287E-4</v>
      </c>
      <c r="T58" s="30">
        <v>5.22E-4</v>
      </c>
      <c r="U58" s="28">
        <f t="shared" si="37"/>
        <v>4.3510410847158454E-5</v>
      </c>
      <c r="V58" s="5">
        <v>4.0000000000000002E-4</v>
      </c>
      <c r="W58" s="28">
        <f t="shared" si="41"/>
        <v>3.3339446006586115E-5</v>
      </c>
      <c r="BM58" s="23">
        <f t="shared" si="104"/>
        <v>2023</v>
      </c>
      <c r="BN58" s="23">
        <f t="shared" si="105"/>
        <v>14</v>
      </c>
      <c r="BO58" s="15">
        <f t="shared" si="103"/>
        <v>0.01</v>
      </c>
      <c r="BP58" s="15">
        <f t="shared" si="107"/>
        <v>0.02</v>
      </c>
      <c r="BQ58" s="15">
        <f t="shared" si="107"/>
        <v>0.03</v>
      </c>
      <c r="BR58" s="15">
        <f t="shared" si="107"/>
        <v>0.03</v>
      </c>
      <c r="BS58" s="15">
        <f t="shared" si="107"/>
        <v>0.03</v>
      </c>
      <c r="BT58" s="15">
        <f t="shared" si="107"/>
        <v>0.03</v>
      </c>
      <c r="BU58" s="15">
        <f t="shared" si="107"/>
        <v>0.03</v>
      </c>
      <c r="BV58" s="15">
        <f t="shared" si="107"/>
        <v>0.05</v>
      </c>
      <c r="BW58" s="15">
        <f t="shared" si="107"/>
        <v>0.04</v>
      </c>
      <c r="BX58" s="15">
        <f t="shared" si="107"/>
        <v>0.03</v>
      </c>
      <c r="BY58" s="15">
        <f t="shared" si="107"/>
        <v>0.03</v>
      </c>
      <c r="BZ58" s="15">
        <f t="shared" si="107"/>
        <v>0.03</v>
      </c>
      <c r="CA58" s="15">
        <f t="shared" si="107"/>
        <v>0.03</v>
      </c>
      <c r="CB58" s="15">
        <f t="shared" si="107"/>
        <v>0.03</v>
      </c>
      <c r="CC58" s="15">
        <f t="shared" si="107"/>
        <v>0.03</v>
      </c>
      <c r="CD58" s="15">
        <f t="shared" si="107"/>
        <v>0.03</v>
      </c>
      <c r="CE58" s="15">
        <f t="shared" si="107"/>
        <v>0.03</v>
      </c>
      <c r="CF58" s="15">
        <f t="shared" si="107"/>
        <v>0.03</v>
      </c>
      <c r="CG58" s="15">
        <f t="shared" si="107"/>
        <v>0.03</v>
      </c>
      <c r="CH58" s="15">
        <f t="shared" si="107"/>
        <v>0.03</v>
      </c>
      <c r="CI58" s="15">
        <f t="shared" si="107"/>
        <v>0.03</v>
      </c>
      <c r="CJ58" s="15">
        <f t="shared" si="107"/>
        <v>0.03</v>
      </c>
      <c r="CK58" s="15">
        <f t="shared" si="107"/>
        <v>0.03</v>
      </c>
      <c r="CL58" s="15">
        <f t="shared" si="107"/>
        <v>0.03</v>
      </c>
      <c r="CM58" s="15">
        <f t="shared" si="107"/>
        <v>0.03</v>
      </c>
      <c r="CN58" s="15">
        <f t="shared" si="107"/>
        <v>0.03</v>
      </c>
      <c r="CO58" s="15">
        <f t="shared" si="107"/>
        <v>0.03</v>
      </c>
      <c r="CP58" s="15">
        <f t="shared" si="107"/>
        <v>0.03</v>
      </c>
      <c r="CQ58" s="15">
        <f t="shared" si="107"/>
        <v>0.03</v>
      </c>
      <c r="CR58" s="15">
        <f t="shared" si="107"/>
        <v>0.03</v>
      </c>
    </row>
    <row r="59" spans="5:96" x14ac:dyDescent="0.2">
      <c r="E59" s="6">
        <v>53</v>
      </c>
      <c r="F59" s="26">
        <v>7.8399999999999997E-3</v>
      </c>
      <c r="G59" s="27">
        <v>6.6699999999999997E-3</v>
      </c>
      <c r="H59" s="27">
        <f t="shared" si="31"/>
        <v>6.6699999999999997E-3</v>
      </c>
      <c r="I59" s="28">
        <f t="shared" si="74"/>
        <v>5.5753983862982803E-4</v>
      </c>
      <c r="J59" s="27">
        <f t="shared" si="32"/>
        <v>6.6699999999999997E-3</v>
      </c>
      <c r="K59" s="28">
        <f t="shared" si="26"/>
        <v>5.5753983862982803E-4</v>
      </c>
      <c r="L59" s="27">
        <f t="shared" si="33"/>
        <v>6.6699999999999997E-3</v>
      </c>
      <c r="M59" s="28">
        <f t="shared" si="27"/>
        <v>5.5753983862982803E-4</v>
      </c>
      <c r="N59" s="27">
        <f t="shared" si="34"/>
        <v>6.6699999999999997E-3</v>
      </c>
      <c r="O59" s="28">
        <f t="shared" si="28"/>
        <v>5.5753983862982803E-4</v>
      </c>
      <c r="P59" s="5">
        <v>4.0000000000000002E-4</v>
      </c>
      <c r="Q59" s="28">
        <f t="shared" si="35"/>
        <v>3.3339446006586115E-5</v>
      </c>
      <c r="R59" s="5">
        <v>1.2930000000000001E-2</v>
      </c>
      <c r="S59" s="28">
        <f t="shared" si="36"/>
        <v>1.0839387866334871E-3</v>
      </c>
      <c r="T59" s="30">
        <v>5.9400000000000013E-4</v>
      </c>
      <c r="U59" s="28">
        <f t="shared" si="37"/>
        <v>4.9513481491514355E-5</v>
      </c>
      <c r="V59" s="5">
        <v>4.0000000000000002E-4</v>
      </c>
      <c r="W59" s="28">
        <f t="shared" si="41"/>
        <v>3.3339446006586115E-5</v>
      </c>
      <c r="BM59" s="23">
        <f t="shared" si="104"/>
        <v>2023</v>
      </c>
      <c r="BN59" s="23">
        <f t="shared" si="105"/>
        <v>15</v>
      </c>
      <c r="BO59" s="15">
        <f t="shared" si="103"/>
        <v>0.01</v>
      </c>
      <c r="BP59" s="15">
        <f t="shared" si="107"/>
        <v>0.02</v>
      </c>
      <c r="BQ59" s="15">
        <f t="shared" si="107"/>
        <v>0.03</v>
      </c>
      <c r="BR59" s="15">
        <f t="shared" si="107"/>
        <v>0.03</v>
      </c>
      <c r="BS59" s="15">
        <f t="shared" si="107"/>
        <v>0.03</v>
      </c>
      <c r="BT59" s="15">
        <f t="shared" si="107"/>
        <v>0.03</v>
      </c>
      <c r="BU59" s="15">
        <f t="shared" si="107"/>
        <v>0.03</v>
      </c>
      <c r="BV59" s="15">
        <f t="shared" si="107"/>
        <v>0.05</v>
      </c>
      <c r="BW59" s="15">
        <f t="shared" si="107"/>
        <v>0.04</v>
      </c>
      <c r="BX59" s="15">
        <f t="shared" si="107"/>
        <v>0.03</v>
      </c>
      <c r="BY59" s="15">
        <f t="shared" si="107"/>
        <v>0.03</v>
      </c>
      <c r="BZ59" s="15">
        <f t="shared" si="107"/>
        <v>0.03</v>
      </c>
      <c r="CA59" s="15">
        <f t="shared" si="107"/>
        <v>0.03</v>
      </c>
      <c r="CB59" s="15">
        <f t="shared" si="107"/>
        <v>0.03</v>
      </c>
      <c r="CC59" s="15">
        <f t="shared" si="107"/>
        <v>0.03</v>
      </c>
      <c r="CD59" s="15">
        <f t="shared" si="107"/>
        <v>0.03</v>
      </c>
      <c r="CE59" s="15">
        <f t="shared" si="107"/>
        <v>0.03</v>
      </c>
      <c r="CF59" s="15">
        <f t="shared" si="107"/>
        <v>0.03</v>
      </c>
      <c r="CG59" s="15">
        <f t="shared" si="107"/>
        <v>0.03</v>
      </c>
      <c r="CH59" s="15">
        <f t="shared" si="107"/>
        <v>0.03</v>
      </c>
      <c r="CI59" s="15">
        <f t="shared" si="107"/>
        <v>0.03</v>
      </c>
      <c r="CJ59" s="15">
        <f t="shared" si="107"/>
        <v>0.03</v>
      </c>
      <c r="CK59" s="15">
        <f t="shared" si="107"/>
        <v>0.03</v>
      </c>
      <c r="CL59" s="15">
        <f t="shared" si="107"/>
        <v>0.03</v>
      </c>
      <c r="CM59" s="15">
        <f t="shared" si="107"/>
        <v>0.03</v>
      </c>
      <c r="CN59" s="15">
        <f t="shared" si="107"/>
        <v>0.03</v>
      </c>
      <c r="CO59" s="15">
        <f t="shared" si="107"/>
        <v>0.03</v>
      </c>
      <c r="CP59" s="15">
        <f t="shared" si="107"/>
        <v>0.03</v>
      </c>
      <c r="CQ59" s="15">
        <f t="shared" si="107"/>
        <v>0.03</v>
      </c>
      <c r="CR59" s="15">
        <f t="shared" si="107"/>
        <v>0.03</v>
      </c>
    </row>
    <row r="60" spans="5:96" x14ac:dyDescent="0.2">
      <c r="E60" s="6">
        <v>54</v>
      </c>
      <c r="F60" s="26">
        <v>8.7200000000000003E-3</v>
      </c>
      <c r="G60" s="27">
        <v>7.2700000000000004E-3</v>
      </c>
      <c r="H60" s="27">
        <f t="shared" si="31"/>
        <v>7.2700000000000004E-3</v>
      </c>
      <c r="I60" s="28">
        <f t="shared" si="74"/>
        <v>6.0786144671576281E-4</v>
      </c>
      <c r="J60" s="27">
        <f t="shared" si="32"/>
        <v>7.2700000000000004E-3</v>
      </c>
      <c r="K60" s="28">
        <f t="shared" si="26"/>
        <v>6.0786144671576281E-4</v>
      </c>
      <c r="L60" s="27">
        <f t="shared" si="33"/>
        <v>7.2700000000000004E-3</v>
      </c>
      <c r="M60" s="28">
        <f t="shared" si="27"/>
        <v>6.0786144671576281E-4</v>
      </c>
      <c r="N60" s="27">
        <f t="shared" si="34"/>
        <v>7.2700000000000004E-3</v>
      </c>
      <c r="O60" s="28">
        <f t="shared" si="28"/>
        <v>6.0786144671576281E-4</v>
      </c>
      <c r="P60" s="5">
        <v>4.0000000000000002E-4</v>
      </c>
      <c r="Q60" s="28">
        <f t="shared" si="35"/>
        <v>3.3339446006586115E-5</v>
      </c>
      <c r="R60" s="5">
        <v>1.4189999999999999E-2</v>
      </c>
      <c r="S60" s="28">
        <f t="shared" si="36"/>
        <v>1.1902611363605597E-3</v>
      </c>
      <c r="T60" s="30">
        <v>6.8400000000000004E-4</v>
      </c>
      <c r="U60" s="28">
        <f t="shared" si="37"/>
        <v>5.7017877312826037E-5</v>
      </c>
      <c r="V60" s="5">
        <v>4.0000000000000002E-4</v>
      </c>
      <c r="W60" s="28">
        <f t="shared" si="41"/>
        <v>3.3339446006586115E-5</v>
      </c>
      <c r="BM60" s="23">
        <f t="shared" si="104"/>
        <v>2023</v>
      </c>
      <c r="BN60" s="23">
        <f t="shared" si="105"/>
        <v>16</v>
      </c>
      <c r="BO60" s="15">
        <f t="shared" si="103"/>
        <v>0.01</v>
      </c>
      <c r="BP60" s="15">
        <f t="shared" si="107"/>
        <v>0.02</v>
      </c>
      <c r="BQ60" s="15">
        <f t="shared" si="107"/>
        <v>0.03</v>
      </c>
      <c r="BR60" s="15">
        <f t="shared" si="107"/>
        <v>0.03</v>
      </c>
      <c r="BS60" s="15">
        <f t="shared" si="107"/>
        <v>0.03</v>
      </c>
      <c r="BT60" s="15">
        <f t="shared" si="107"/>
        <v>0.03</v>
      </c>
      <c r="BU60" s="15">
        <f t="shared" si="107"/>
        <v>0.03</v>
      </c>
      <c r="BV60" s="15">
        <f t="shared" si="107"/>
        <v>0.05</v>
      </c>
      <c r="BW60" s="15">
        <f t="shared" si="107"/>
        <v>0.04</v>
      </c>
      <c r="BX60" s="15">
        <f t="shared" si="107"/>
        <v>0.03</v>
      </c>
      <c r="BY60" s="15">
        <f t="shared" si="107"/>
        <v>0.03</v>
      </c>
      <c r="BZ60" s="15">
        <f t="shared" si="107"/>
        <v>0.03</v>
      </c>
      <c r="CA60" s="15">
        <f t="shared" si="107"/>
        <v>0.03</v>
      </c>
      <c r="CB60" s="15">
        <f t="shared" si="107"/>
        <v>0.03</v>
      </c>
      <c r="CC60" s="15">
        <f t="shared" si="107"/>
        <v>0.03</v>
      </c>
      <c r="CD60" s="15">
        <f t="shared" si="107"/>
        <v>0.03</v>
      </c>
      <c r="CE60" s="15">
        <f t="shared" si="107"/>
        <v>0.03</v>
      </c>
      <c r="CF60" s="15">
        <f t="shared" si="107"/>
        <v>0.03</v>
      </c>
      <c r="CG60" s="15">
        <f t="shared" si="107"/>
        <v>0.03</v>
      </c>
      <c r="CH60" s="15">
        <f t="shared" si="107"/>
        <v>0.03</v>
      </c>
      <c r="CI60" s="15">
        <f t="shared" si="107"/>
        <v>0.03</v>
      </c>
      <c r="CJ60" s="15">
        <f t="shared" si="107"/>
        <v>0.03</v>
      </c>
      <c r="CK60" s="15">
        <f t="shared" si="107"/>
        <v>0.03</v>
      </c>
      <c r="CL60" s="15">
        <f t="shared" si="107"/>
        <v>0.03</v>
      </c>
      <c r="CM60" s="15">
        <f t="shared" si="107"/>
        <v>0.03</v>
      </c>
      <c r="CN60" s="15">
        <f t="shared" si="107"/>
        <v>0.03</v>
      </c>
      <c r="CO60" s="15">
        <f t="shared" si="107"/>
        <v>0.03</v>
      </c>
      <c r="CP60" s="15">
        <f t="shared" si="107"/>
        <v>0.03</v>
      </c>
      <c r="CQ60" s="15">
        <f t="shared" si="107"/>
        <v>0.03</v>
      </c>
      <c r="CR60" s="15">
        <f t="shared" si="107"/>
        <v>0.03</v>
      </c>
    </row>
    <row r="61" spans="5:96" x14ac:dyDescent="0.2">
      <c r="E61" s="6">
        <v>55</v>
      </c>
      <c r="F61" s="26">
        <v>9.6100000000000005E-3</v>
      </c>
      <c r="G61" s="27">
        <v>7.8899999999999994E-3</v>
      </c>
      <c r="H61" s="27">
        <f t="shared" si="31"/>
        <v>7.8899999999999994E-3</v>
      </c>
      <c r="I61" s="28">
        <f t="shared" si="74"/>
        <v>6.5988973926878192E-4</v>
      </c>
      <c r="J61" s="27">
        <f t="shared" si="32"/>
        <v>7.8899999999999994E-3</v>
      </c>
      <c r="K61" s="28">
        <f t="shared" si="26"/>
        <v>6.5988973926878192E-4</v>
      </c>
      <c r="L61" s="27">
        <f t="shared" si="33"/>
        <v>7.8899999999999994E-3</v>
      </c>
      <c r="M61" s="28">
        <f t="shared" si="27"/>
        <v>6.5988973926878192E-4</v>
      </c>
      <c r="N61" s="27">
        <f t="shared" si="34"/>
        <v>7.8899999999999994E-3</v>
      </c>
      <c r="O61" s="28">
        <f t="shared" si="28"/>
        <v>6.5988973926878192E-4</v>
      </c>
      <c r="P61" s="5">
        <v>4.0000000000000002E-4</v>
      </c>
      <c r="Q61" s="28">
        <f t="shared" si="35"/>
        <v>3.3339446006586115E-5</v>
      </c>
      <c r="R61" s="5">
        <v>1.559E-2</v>
      </c>
      <c r="S61" s="28">
        <f t="shared" si="36"/>
        <v>1.3085432800308272E-3</v>
      </c>
      <c r="T61" s="30">
        <v>8.0100000000000006E-4</v>
      </c>
      <c r="U61" s="28">
        <f t="shared" si="37"/>
        <v>6.6774518141854422E-5</v>
      </c>
      <c r="V61" s="5">
        <v>4.0000000000000002E-4</v>
      </c>
      <c r="W61" s="28">
        <f t="shared" si="41"/>
        <v>3.3339446006586115E-5</v>
      </c>
      <c r="BM61" s="23">
        <f t="shared" si="104"/>
        <v>2023</v>
      </c>
      <c r="BN61" s="23">
        <f t="shared" si="105"/>
        <v>17</v>
      </c>
      <c r="BO61" s="15">
        <f t="shared" si="103"/>
        <v>0.01</v>
      </c>
      <c r="BP61" s="15">
        <f t="shared" si="107"/>
        <v>0.02</v>
      </c>
      <c r="BQ61" s="15">
        <f t="shared" si="107"/>
        <v>0.03</v>
      </c>
      <c r="BR61" s="15">
        <f t="shared" si="107"/>
        <v>0.03</v>
      </c>
      <c r="BS61" s="15">
        <f t="shared" si="107"/>
        <v>0.03</v>
      </c>
      <c r="BT61" s="15">
        <f t="shared" si="107"/>
        <v>0.03</v>
      </c>
      <c r="BU61" s="15">
        <f t="shared" si="107"/>
        <v>0.03</v>
      </c>
      <c r="BV61" s="15">
        <f t="shared" si="107"/>
        <v>0.05</v>
      </c>
      <c r="BW61" s="15">
        <f t="shared" si="107"/>
        <v>0.04</v>
      </c>
      <c r="BX61" s="15">
        <f t="shared" si="107"/>
        <v>0.03</v>
      </c>
      <c r="BY61" s="15">
        <f t="shared" si="107"/>
        <v>0.03</v>
      </c>
      <c r="BZ61" s="15">
        <f t="shared" si="107"/>
        <v>0.03</v>
      </c>
      <c r="CA61" s="15">
        <f t="shared" si="107"/>
        <v>0.03</v>
      </c>
      <c r="CB61" s="15">
        <f t="shared" si="107"/>
        <v>0.03</v>
      </c>
      <c r="CC61" s="15">
        <f t="shared" si="107"/>
        <v>0.03</v>
      </c>
      <c r="CD61" s="15">
        <f t="shared" si="107"/>
        <v>0.03</v>
      </c>
      <c r="CE61" s="15">
        <f t="shared" si="107"/>
        <v>0.03</v>
      </c>
      <c r="CF61" s="15">
        <f t="shared" si="107"/>
        <v>0.03</v>
      </c>
      <c r="CG61" s="15">
        <f t="shared" si="107"/>
        <v>0.03</v>
      </c>
      <c r="CH61" s="15">
        <f t="shared" si="107"/>
        <v>0.03</v>
      </c>
      <c r="CI61" s="15">
        <f t="shared" si="107"/>
        <v>0.03</v>
      </c>
      <c r="CJ61" s="15">
        <f t="shared" si="107"/>
        <v>0.03</v>
      </c>
      <c r="CK61" s="15">
        <f t="shared" si="107"/>
        <v>0.03</v>
      </c>
      <c r="CL61" s="15">
        <f t="shared" si="107"/>
        <v>0.03</v>
      </c>
      <c r="CM61" s="15">
        <f t="shared" ref="CM61:CR61" si="108">VLOOKUP($BM$45,$BM$24:$CQ$39,CM$43+1,FALSE)</f>
        <v>0.03</v>
      </c>
      <c r="CN61" s="15">
        <f t="shared" si="108"/>
        <v>0.03</v>
      </c>
      <c r="CO61" s="15">
        <f t="shared" si="108"/>
        <v>0.03</v>
      </c>
      <c r="CP61" s="15">
        <f t="shared" si="108"/>
        <v>0.03</v>
      </c>
      <c r="CQ61" s="15">
        <f t="shared" si="108"/>
        <v>0.03</v>
      </c>
      <c r="CR61" s="15">
        <f t="shared" si="108"/>
        <v>0.03</v>
      </c>
    </row>
    <row r="62" spans="5:96" x14ac:dyDescent="0.2">
      <c r="E62" s="6">
        <v>56</v>
      </c>
      <c r="F62" s="26">
        <v>1.051E-2</v>
      </c>
      <c r="G62" s="27">
        <v>8.4700000000000001E-3</v>
      </c>
      <c r="H62" s="27">
        <f t="shared" si="31"/>
        <v>8.4700000000000001E-3</v>
      </c>
      <c r="I62" s="28">
        <f t="shared" si="74"/>
        <v>7.0858835710885248E-4</v>
      </c>
      <c r="J62" s="27">
        <f t="shared" si="32"/>
        <v>8.4700000000000001E-3</v>
      </c>
      <c r="K62" s="28">
        <f t="shared" si="26"/>
        <v>7.0858835710885248E-4</v>
      </c>
      <c r="L62" s="27">
        <f t="shared" si="33"/>
        <v>8.4700000000000001E-3</v>
      </c>
      <c r="M62" s="28">
        <f t="shared" si="27"/>
        <v>7.0858835710885248E-4</v>
      </c>
      <c r="N62" s="27">
        <f t="shared" si="34"/>
        <v>8.4700000000000001E-3</v>
      </c>
      <c r="O62" s="28">
        <f t="shared" si="28"/>
        <v>7.0858835710885248E-4</v>
      </c>
      <c r="P62" s="5">
        <v>4.0000000000000002E-4</v>
      </c>
      <c r="Q62" s="28">
        <f t="shared" si="35"/>
        <v>3.3339446006586115E-5</v>
      </c>
      <c r="R62" s="5">
        <v>1.711E-2</v>
      </c>
      <c r="S62" s="28">
        <f t="shared" si="36"/>
        <v>1.4371386121873053E-3</v>
      </c>
      <c r="T62" s="30">
        <v>9.2700000000000009E-4</v>
      </c>
      <c r="U62" s="28">
        <f t="shared" si="37"/>
        <v>7.7282841045467343E-5</v>
      </c>
      <c r="V62" s="5">
        <v>4.0000000000000002E-4</v>
      </c>
      <c r="W62" s="28">
        <f t="shared" si="41"/>
        <v>3.3339446006586115E-5</v>
      </c>
      <c r="BM62" s="23">
        <f t="shared" si="104"/>
        <v>2023</v>
      </c>
      <c r="BN62" s="23">
        <f t="shared" si="105"/>
        <v>18</v>
      </c>
      <c r="BO62" s="15">
        <f t="shared" si="103"/>
        <v>0.01</v>
      </c>
      <c r="BP62" s="15">
        <f t="shared" ref="BP62:CR70" si="109">VLOOKUP($BM$45,$BM$24:$CQ$39,BP$43+1,FALSE)</f>
        <v>0.02</v>
      </c>
      <c r="BQ62" s="15">
        <f t="shared" si="109"/>
        <v>0.03</v>
      </c>
      <c r="BR62" s="15">
        <f t="shared" si="109"/>
        <v>0.03</v>
      </c>
      <c r="BS62" s="15">
        <f t="shared" si="109"/>
        <v>0.03</v>
      </c>
      <c r="BT62" s="15">
        <f t="shared" si="109"/>
        <v>0.03</v>
      </c>
      <c r="BU62" s="15">
        <f t="shared" si="109"/>
        <v>0.03</v>
      </c>
      <c r="BV62" s="15">
        <f t="shared" si="109"/>
        <v>0.05</v>
      </c>
      <c r="BW62" s="15">
        <f t="shared" si="109"/>
        <v>0.04</v>
      </c>
      <c r="BX62" s="15">
        <f t="shared" si="109"/>
        <v>0.03</v>
      </c>
      <c r="BY62" s="15">
        <f t="shared" si="109"/>
        <v>0.03</v>
      </c>
      <c r="BZ62" s="15">
        <f t="shared" si="109"/>
        <v>0.03</v>
      </c>
      <c r="CA62" s="15">
        <f t="shared" si="109"/>
        <v>0.03</v>
      </c>
      <c r="CB62" s="15">
        <f t="shared" si="109"/>
        <v>0.03</v>
      </c>
      <c r="CC62" s="15">
        <f t="shared" si="109"/>
        <v>0.03</v>
      </c>
      <c r="CD62" s="15">
        <f t="shared" si="109"/>
        <v>0.03</v>
      </c>
      <c r="CE62" s="15">
        <f t="shared" si="109"/>
        <v>0.03</v>
      </c>
      <c r="CF62" s="15">
        <f t="shared" si="109"/>
        <v>0.03</v>
      </c>
      <c r="CG62" s="15">
        <f t="shared" si="109"/>
        <v>0.03</v>
      </c>
      <c r="CH62" s="15">
        <f t="shared" si="109"/>
        <v>0.03</v>
      </c>
      <c r="CI62" s="15">
        <f t="shared" si="109"/>
        <v>0.03</v>
      </c>
      <c r="CJ62" s="15">
        <f t="shared" si="109"/>
        <v>0.03</v>
      </c>
      <c r="CK62" s="15">
        <f t="shared" si="109"/>
        <v>0.03</v>
      </c>
      <c r="CL62" s="15">
        <f t="shared" si="109"/>
        <v>0.03</v>
      </c>
      <c r="CM62" s="15">
        <f t="shared" si="109"/>
        <v>0.03</v>
      </c>
      <c r="CN62" s="15">
        <f t="shared" si="109"/>
        <v>0.03</v>
      </c>
      <c r="CO62" s="15">
        <f t="shared" si="109"/>
        <v>0.03</v>
      </c>
      <c r="CP62" s="15">
        <f t="shared" si="109"/>
        <v>0.03</v>
      </c>
      <c r="CQ62" s="15">
        <f t="shared" si="109"/>
        <v>0.03</v>
      </c>
      <c r="CR62" s="15">
        <f t="shared" si="109"/>
        <v>0.03</v>
      </c>
    </row>
    <row r="63" spans="5:96" x14ac:dyDescent="0.2">
      <c r="E63" s="6">
        <v>57</v>
      </c>
      <c r="F63" s="26">
        <v>1.142E-2</v>
      </c>
      <c r="G63" s="27">
        <v>8.9800000000000001E-3</v>
      </c>
      <c r="H63" s="27">
        <f t="shared" si="31"/>
        <v>8.9800000000000001E-3</v>
      </c>
      <c r="I63" s="28">
        <f t="shared" si="74"/>
        <v>7.5143113586961796E-4</v>
      </c>
      <c r="J63" s="27">
        <f t="shared" si="32"/>
        <v>8.9800000000000001E-3</v>
      </c>
      <c r="K63" s="28">
        <f t="shared" si="26"/>
        <v>7.5143113586961796E-4</v>
      </c>
      <c r="L63" s="27">
        <f t="shared" si="33"/>
        <v>8.9800000000000001E-3</v>
      </c>
      <c r="M63" s="28">
        <f t="shared" si="27"/>
        <v>7.5143113586961796E-4</v>
      </c>
      <c r="N63" s="27">
        <f t="shared" si="34"/>
        <v>8.9800000000000001E-3</v>
      </c>
      <c r="O63" s="28">
        <f t="shared" si="28"/>
        <v>7.5143113586961796E-4</v>
      </c>
      <c r="P63" s="5">
        <v>4.0000000000000002E-4</v>
      </c>
      <c r="Q63" s="28">
        <f t="shared" si="35"/>
        <v>3.3339446006586115E-5</v>
      </c>
      <c r="R63" s="5">
        <v>1.883E-2</v>
      </c>
      <c r="S63" s="28">
        <f t="shared" si="36"/>
        <v>1.5828744200527822E-3</v>
      </c>
      <c r="T63" s="30">
        <v>1.0709999999999999E-3</v>
      </c>
      <c r="U63" s="28">
        <f t="shared" si="37"/>
        <v>8.9293840594528717E-5</v>
      </c>
      <c r="V63" s="5">
        <v>4.0000000000000002E-4</v>
      </c>
      <c r="W63" s="28">
        <f t="shared" si="41"/>
        <v>3.3339446006586115E-5</v>
      </c>
      <c r="BM63" s="23">
        <f t="shared" si="104"/>
        <v>2023</v>
      </c>
      <c r="BN63" s="23">
        <f t="shared" si="105"/>
        <v>19</v>
      </c>
      <c r="BO63" s="15">
        <f t="shared" si="103"/>
        <v>0.01</v>
      </c>
      <c r="BP63" s="15">
        <f t="shared" si="109"/>
        <v>0.02</v>
      </c>
      <c r="BQ63" s="15">
        <f t="shared" si="109"/>
        <v>0.03</v>
      </c>
      <c r="BR63" s="15">
        <f t="shared" si="109"/>
        <v>0.03</v>
      </c>
      <c r="BS63" s="15">
        <f t="shared" si="109"/>
        <v>0.03</v>
      </c>
      <c r="BT63" s="15">
        <f t="shared" si="109"/>
        <v>0.03</v>
      </c>
      <c r="BU63" s="15">
        <f t="shared" si="109"/>
        <v>0.03</v>
      </c>
      <c r="BV63" s="15">
        <f t="shared" si="109"/>
        <v>0.05</v>
      </c>
      <c r="BW63" s="15">
        <f t="shared" si="109"/>
        <v>0.04</v>
      </c>
      <c r="BX63" s="15">
        <f t="shared" si="109"/>
        <v>0.03</v>
      </c>
      <c r="BY63" s="15">
        <f t="shared" si="109"/>
        <v>0.03</v>
      </c>
      <c r="BZ63" s="15">
        <f t="shared" si="109"/>
        <v>0.03</v>
      </c>
      <c r="CA63" s="15">
        <f t="shared" si="109"/>
        <v>0.03</v>
      </c>
      <c r="CB63" s="15">
        <f t="shared" si="109"/>
        <v>0.03</v>
      </c>
      <c r="CC63" s="15">
        <f t="shared" si="109"/>
        <v>0.03</v>
      </c>
      <c r="CD63" s="15">
        <f t="shared" si="109"/>
        <v>0.03</v>
      </c>
      <c r="CE63" s="15">
        <f t="shared" si="109"/>
        <v>0.03</v>
      </c>
      <c r="CF63" s="15">
        <f t="shared" si="109"/>
        <v>0.03</v>
      </c>
      <c r="CG63" s="15">
        <f t="shared" si="109"/>
        <v>0.03</v>
      </c>
      <c r="CH63" s="15">
        <f t="shared" si="109"/>
        <v>0.03</v>
      </c>
      <c r="CI63" s="15">
        <f t="shared" si="109"/>
        <v>0.03</v>
      </c>
      <c r="CJ63" s="15">
        <f t="shared" si="109"/>
        <v>0.03</v>
      </c>
      <c r="CK63" s="15">
        <f t="shared" si="109"/>
        <v>0.03</v>
      </c>
      <c r="CL63" s="15">
        <f t="shared" si="109"/>
        <v>0.03</v>
      </c>
      <c r="CM63" s="15">
        <f t="shared" si="109"/>
        <v>0.03</v>
      </c>
      <c r="CN63" s="15">
        <f t="shared" si="109"/>
        <v>0.03</v>
      </c>
      <c r="CO63" s="15">
        <f t="shared" si="109"/>
        <v>0.03</v>
      </c>
      <c r="CP63" s="15">
        <f t="shared" si="109"/>
        <v>0.03</v>
      </c>
      <c r="CQ63" s="15">
        <f t="shared" si="109"/>
        <v>0.03</v>
      </c>
      <c r="CR63" s="15">
        <f t="shared" si="109"/>
        <v>0.03</v>
      </c>
    </row>
    <row r="64" spans="5:96" x14ac:dyDescent="0.2">
      <c r="E64" s="6">
        <v>58</v>
      </c>
      <c r="F64" s="26">
        <v>1.2319999999999999E-2</v>
      </c>
      <c r="G64" s="27">
        <v>9.3900000000000008E-3</v>
      </c>
      <c r="H64" s="27">
        <f t="shared" si="31"/>
        <v>9.3900000000000008E-3</v>
      </c>
      <c r="I64" s="28">
        <f t="shared" si="74"/>
        <v>7.8588802702972416E-4</v>
      </c>
      <c r="J64" s="27">
        <f t="shared" si="32"/>
        <v>9.3900000000000008E-3</v>
      </c>
      <c r="K64" s="28">
        <f t="shared" si="26"/>
        <v>7.8588802702972416E-4</v>
      </c>
      <c r="L64" s="27">
        <f t="shared" si="33"/>
        <v>9.3900000000000008E-3</v>
      </c>
      <c r="M64" s="28">
        <f t="shared" si="27"/>
        <v>7.8588802702972416E-4</v>
      </c>
      <c r="N64" s="27">
        <f t="shared" si="34"/>
        <v>9.3900000000000008E-3</v>
      </c>
      <c r="O64" s="28">
        <f t="shared" si="28"/>
        <v>7.8588802702972416E-4</v>
      </c>
      <c r="P64" s="5">
        <v>4.0000000000000002E-4</v>
      </c>
      <c r="Q64" s="28">
        <f t="shared" si="35"/>
        <v>3.3339446006586115E-5</v>
      </c>
      <c r="R64" s="5">
        <v>2.06E-2</v>
      </c>
      <c r="S64" s="28">
        <f t="shared" si="36"/>
        <v>1.7330914357645E-3</v>
      </c>
      <c r="T64" s="30">
        <v>1.2330000000000002E-3</v>
      </c>
      <c r="U64" s="28">
        <f t="shared" si="37"/>
        <v>1.0280811237683984E-4</v>
      </c>
      <c r="V64" s="5">
        <v>4.0000000000000002E-4</v>
      </c>
      <c r="W64" s="28">
        <f t="shared" si="41"/>
        <v>3.3339446006586115E-5</v>
      </c>
      <c r="BM64" s="23">
        <f t="shared" si="104"/>
        <v>2023</v>
      </c>
      <c r="BN64" s="23">
        <f t="shared" si="105"/>
        <v>20</v>
      </c>
      <c r="BO64" s="15">
        <f t="shared" si="103"/>
        <v>0.01</v>
      </c>
      <c r="BP64" s="15">
        <f t="shared" si="109"/>
        <v>0.02</v>
      </c>
      <c r="BQ64" s="15">
        <f t="shared" si="109"/>
        <v>0.03</v>
      </c>
      <c r="BR64" s="15">
        <f t="shared" si="109"/>
        <v>0.03</v>
      </c>
      <c r="BS64" s="15">
        <f t="shared" si="109"/>
        <v>0.03</v>
      </c>
      <c r="BT64" s="15">
        <f t="shared" si="109"/>
        <v>0.03</v>
      </c>
      <c r="BU64" s="15">
        <f t="shared" si="109"/>
        <v>0.03</v>
      </c>
      <c r="BV64" s="15">
        <f t="shared" si="109"/>
        <v>0.05</v>
      </c>
      <c r="BW64" s="15">
        <f t="shared" si="109"/>
        <v>0.04</v>
      </c>
      <c r="BX64" s="15">
        <f t="shared" si="109"/>
        <v>0.03</v>
      </c>
      <c r="BY64" s="15">
        <f t="shared" si="109"/>
        <v>0.03</v>
      </c>
      <c r="BZ64" s="15">
        <f t="shared" si="109"/>
        <v>0.03</v>
      </c>
      <c r="CA64" s="15">
        <f t="shared" si="109"/>
        <v>0.03</v>
      </c>
      <c r="CB64" s="15">
        <f t="shared" si="109"/>
        <v>0.03</v>
      </c>
      <c r="CC64" s="15">
        <f t="shared" si="109"/>
        <v>0.03</v>
      </c>
      <c r="CD64" s="15">
        <f t="shared" si="109"/>
        <v>0.03</v>
      </c>
      <c r="CE64" s="15">
        <f t="shared" si="109"/>
        <v>0.03</v>
      </c>
      <c r="CF64" s="15">
        <f t="shared" si="109"/>
        <v>0.03</v>
      </c>
      <c r="CG64" s="15">
        <f t="shared" si="109"/>
        <v>0.03</v>
      </c>
      <c r="CH64" s="15">
        <f t="shared" si="109"/>
        <v>0.03</v>
      </c>
      <c r="CI64" s="15">
        <f t="shared" si="109"/>
        <v>0.03</v>
      </c>
      <c r="CJ64" s="15">
        <f t="shared" si="109"/>
        <v>0.03</v>
      </c>
      <c r="CK64" s="15">
        <f t="shared" si="109"/>
        <v>0.03</v>
      </c>
      <c r="CL64" s="15">
        <f t="shared" si="109"/>
        <v>0.03</v>
      </c>
      <c r="CM64" s="15">
        <f t="shared" si="109"/>
        <v>0.03</v>
      </c>
      <c r="CN64" s="15">
        <f t="shared" si="109"/>
        <v>0.03</v>
      </c>
      <c r="CO64" s="15">
        <f t="shared" si="109"/>
        <v>0.03</v>
      </c>
      <c r="CP64" s="15">
        <f t="shared" si="109"/>
        <v>0.03</v>
      </c>
      <c r="CQ64" s="15">
        <f t="shared" si="109"/>
        <v>0.03</v>
      </c>
      <c r="CR64" s="15">
        <f t="shared" si="109"/>
        <v>0.03</v>
      </c>
    </row>
    <row r="65" spans="5:96" x14ac:dyDescent="0.2">
      <c r="E65" s="6">
        <v>59</v>
      </c>
      <c r="F65" s="26">
        <v>1.3220000000000001E-2</v>
      </c>
      <c r="G65" s="27">
        <v>9.7099999999999999E-3</v>
      </c>
      <c r="H65" s="27">
        <f t="shared" si="31"/>
        <v>9.7099999999999999E-3</v>
      </c>
      <c r="I65" s="28">
        <f t="shared" si="74"/>
        <v>8.1279029487346666E-4</v>
      </c>
      <c r="J65" s="27">
        <f t="shared" si="32"/>
        <v>9.7099999999999999E-3</v>
      </c>
      <c r="K65" s="28">
        <f t="shared" si="26"/>
        <v>8.1279029487346666E-4</v>
      </c>
      <c r="L65" s="27">
        <f t="shared" si="33"/>
        <v>9.7099999999999999E-3</v>
      </c>
      <c r="M65" s="28">
        <f t="shared" si="27"/>
        <v>8.1279029487346666E-4</v>
      </c>
      <c r="N65" s="27">
        <f t="shared" si="34"/>
        <v>9.7099999999999999E-3</v>
      </c>
      <c r="O65" s="28">
        <f t="shared" si="28"/>
        <v>8.1279029487346666E-4</v>
      </c>
      <c r="P65" s="5">
        <v>4.0000000000000002E-4</v>
      </c>
      <c r="Q65" s="28">
        <f t="shared" si="35"/>
        <v>3.3339446006586115E-5</v>
      </c>
      <c r="R65" s="5">
        <v>2.2339999999999999E-2</v>
      </c>
      <c r="S65" s="28">
        <f t="shared" si="36"/>
        <v>1.8810051592778043E-3</v>
      </c>
      <c r="T65" s="30">
        <v>1.4040000000000001E-3</v>
      </c>
      <c r="U65" s="28">
        <f t="shared" si="37"/>
        <v>1.1707535710392403E-4</v>
      </c>
      <c r="V65" s="5">
        <v>4.0000000000000002E-4</v>
      </c>
      <c r="W65" s="28">
        <f t="shared" si="41"/>
        <v>3.3339446006586115E-5</v>
      </c>
      <c r="BM65" s="23">
        <f t="shared" si="104"/>
        <v>2023</v>
      </c>
      <c r="BN65" s="23">
        <f t="shared" si="105"/>
        <v>21</v>
      </c>
      <c r="BO65" s="15">
        <f t="shared" si="103"/>
        <v>0.01</v>
      </c>
      <c r="BP65" s="15">
        <f t="shared" si="109"/>
        <v>0.02</v>
      </c>
      <c r="BQ65" s="15">
        <f t="shared" si="109"/>
        <v>0.03</v>
      </c>
      <c r="BR65" s="15">
        <f t="shared" si="109"/>
        <v>0.03</v>
      </c>
      <c r="BS65" s="15">
        <f t="shared" si="109"/>
        <v>0.03</v>
      </c>
      <c r="BT65" s="15">
        <f t="shared" si="109"/>
        <v>0.03</v>
      </c>
      <c r="BU65" s="15">
        <f t="shared" si="109"/>
        <v>0.03</v>
      </c>
      <c r="BV65" s="15">
        <f t="shared" si="109"/>
        <v>0.05</v>
      </c>
      <c r="BW65" s="15">
        <f t="shared" si="109"/>
        <v>0.04</v>
      </c>
      <c r="BX65" s="15">
        <f t="shared" si="109"/>
        <v>0.03</v>
      </c>
      <c r="BY65" s="15">
        <f t="shared" si="109"/>
        <v>0.03</v>
      </c>
      <c r="BZ65" s="15">
        <f t="shared" si="109"/>
        <v>0.03</v>
      </c>
      <c r="CA65" s="15">
        <f t="shared" si="109"/>
        <v>0.03</v>
      </c>
      <c r="CB65" s="15">
        <f t="shared" si="109"/>
        <v>0.03</v>
      </c>
      <c r="CC65" s="15">
        <f t="shared" si="109"/>
        <v>0.03</v>
      </c>
      <c r="CD65" s="15">
        <f t="shared" si="109"/>
        <v>0.03</v>
      </c>
      <c r="CE65" s="15">
        <f t="shared" si="109"/>
        <v>0.03</v>
      </c>
      <c r="CF65" s="15">
        <f t="shared" si="109"/>
        <v>0.03</v>
      </c>
      <c r="CG65" s="15">
        <f t="shared" si="109"/>
        <v>0.03</v>
      </c>
      <c r="CH65" s="15">
        <f t="shared" si="109"/>
        <v>0.03</v>
      </c>
      <c r="CI65" s="15">
        <f t="shared" si="109"/>
        <v>0.03</v>
      </c>
      <c r="CJ65" s="15">
        <f t="shared" si="109"/>
        <v>0.03</v>
      </c>
      <c r="CK65" s="15">
        <f t="shared" si="109"/>
        <v>0.03</v>
      </c>
      <c r="CL65" s="15">
        <f t="shared" si="109"/>
        <v>0.03</v>
      </c>
      <c r="CM65" s="15">
        <f t="shared" si="109"/>
        <v>0.03</v>
      </c>
      <c r="CN65" s="15">
        <f t="shared" si="109"/>
        <v>0.03</v>
      </c>
      <c r="CO65" s="15">
        <f t="shared" si="109"/>
        <v>0.03</v>
      </c>
      <c r="CP65" s="15">
        <f t="shared" si="109"/>
        <v>0.03</v>
      </c>
      <c r="CQ65" s="15">
        <f t="shared" si="109"/>
        <v>0.03</v>
      </c>
      <c r="CR65" s="15">
        <f t="shared" si="109"/>
        <v>0.03</v>
      </c>
    </row>
    <row r="66" spans="5:96" x14ac:dyDescent="0.2">
      <c r="E66" s="6">
        <v>60</v>
      </c>
      <c r="F66" s="26">
        <v>1.417E-2</v>
      </c>
      <c r="G66" s="27">
        <v>9.9900000000000006E-3</v>
      </c>
      <c r="H66" s="27">
        <f t="shared" si="31"/>
        <v>9.9900000000000006E-3</v>
      </c>
      <c r="I66" s="28">
        <f t="shared" si="74"/>
        <v>8.3633631686730325E-4</v>
      </c>
      <c r="J66" s="27">
        <f t="shared" si="32"/>
        <v>9.9900000000000006E-3</v>
      </c>
      <c r="K66" s="28">
        <f t="shared" si="26"/>
        <v>8.3633631686730325E-4</v>
      </c>
      <c r="L66" s="27">
        <f t="shared" si="33"/>
        <v>9.9900000000000006E-3</v>
      </c>
      <c r="M66" s="28">
        <f t="shared" si="27"/>
        <v>8.3633631686730325E-4</v>
      </c>
      <c r="N66" s="27">
        <f t="shared" si="34"/>
        <v>9.9900000000000006E-3</v>
      </c>
      <c r="O66" s="28">
        <f t="shared" si="28"/>
        <v>8.3633631686730325E-4</v>
      </c>
      <c r="P66" s="5">
        <v>4.0000000000000002E-4</v>
      </c>
      <c r="Q66" s="28">
        <f t="shared" si="35"/>
        <v>3.3339446006586115E-5</v>
      </c>
      <c r="R66" s="5">
        <v>2.4199999999999999E-2</v>
      </c>
      <c r="S66" s="28">
        <f t="shared" si="36"/>
        <v>2.0393869188619629E-3</v>
      </c>
      <c r="T66" s="30">
        <v>1.6020000000000001E-3</v>
      </c>
      <c r="U66" s="28">
        <f t="shared" si="37"/>
        <v>1.3359812281821259E-4</v>
      </c>
      <c r="V66" s="5">
        <v>4.0000000000000002E-4</v>
      </c>
      <c r="W66" s="28">
        <f t="shared" si="41"/>
        <v>3.3339446006586115E-5</v>
      </c>
      <c r="BM66" s="23">
        <f t="shared" si="104"/>
        <v>2023</v>
      </c>
      <c r="BN66" s="23">
        <f t="shared" si="105"/>
        <v>22</v>
      </c>
      <c r="BO66" s="15">
        <f t="shared" si="103"/>
        <v>0.01</v>
      </c>
      <c r="BP66" s="15">
        <f t="shared" si="109"/>
        <v>0.02</v>
      </c>
      <c r="BQ66" s="15">
        <f t="shared" si="109"/>
        <v>0.03</v>
      </c>
      <c r="BR66" s="15">
        <f t="shared" si="109"/>
        <v>0.03</v>
      </c>
      <c r="BS66" s="15">
        <f t="shared" si="109"/>
        <v>0.03</v>
      </c>
      <c r="BT66" s="15">
        <f t="shared" si="109"/>
        <v>0.03</v>
      </c>
      <c r="BU66" s="15">
        <f t="shared" si="109"/>
        <v>0.03</v>
      </c>
      <c r="BV66" s="15">
        <f t="shared" si="109"/>
        <v>0.05</v>
      </c>
      <c r="BW66" s="15">
        <f t="shared" si="109"/>
        <v>0.04</v>
      </c>
      <c r="BX66" s="15">
        <f t="shared" si="109"/>
        <v>0.03</v>
      </c>
      <c r="BY66" s="15">
        <f t="shared" si="109"/>
        <v>0.03</v>
      </c>
      <c r="BZ66" s="15">
        <f t="shared" si="109"/>
        <v>0.03</v>
      </c>
      <c r="CA66" s="15">
        <f t="shared" si="109"/>
        <v>0.03</v>
      </c>
      <c r="CB66" s="15">
        <f t="shared" si="109"/>
        <v>0.03</v>
      </c>
      <c r="CC66" s="15">
        <f t="shared" si="109"/>
        <v>0.03</v>
      </c>
      <c r="CD66" s="15">
        <f t="shared" si="109"/>
        <v>0.03</v>
      </c>
      <c r="CE66" s="15">
        <f t="shared" si="109"/>
        <v>0.03</v>
      </c>
      <c r="CF66" s="15">
        <f t="shared" si="109"/>
        <v>0.03</v>
      </c>
      <c r="CG66" s="15">
        <f t="shared" si="109"/>
        <v>0.03</v>
      </c>
      <c r="CH66" s="15">
        <f t="shared" si="109"/>
        <v>0.03</v>
      </c>
      <c r="CI66" s="15">
        <f t="shared" si="109"/>
        <v>0.03</v>
      </c>
      <c r="CJ66" s="15">
        <f t="shared" si="109"/>
        <v>0.03</v>
      </c>
      <c r="CK66" s="15">
        <f t="shared" si="109"/>
        <v>0.03</v>
      </c>
      <c r="CL66" s="15">
        <f t="shared" si="109"/>
        <v>0.03</v>
      </c>
      <c r="CM66" s="15">
        <f t="shared" si="109"/>
        <v>0.03</v>
      </c>
      <c r="CN66" s="15">
        <f t="shared" si="109"/>
        <v>0.03</v>
      </c>
      <c r="CO66" s="15">
        <f t="shared" si="109"/>
        <v>0.03</v>
      </c>
      <c r="CP66" s="15">
        <f t="shared" si="109"/>
        <v>0.03</v>
      </c>
      <c r="CQ66" s="15">
        <f t="shared" si="109"/>
        <v>0.03</v>
      </c>
      <c r="CR66" s="15">
        <f t="shared" si="109"/>
        <v>0.03</v>
      </c>
    </row>
    <row r="67" spans="5:96" x14ac:dyDescent="0.2">
      <c r="E67" s="6">
        <v>61</v>
      </c>
      <c r="F67" s="26">
        <v>1.521E-2</v>
      </c>
      <c r="G67" s="27">
        <v>1.0240000000000001E-2</v>
      </c>
      <c r="H67" s="27">
        <f t="shared" si="31"/>
        <v>1.0240000000000001E-2</v>
      </c>
      <c r="I67" s="28">
        <f t="shared" si="74"/>
        <v>8.5736470978581281E-4</v>
      </c>
      <c r="J67" s="27">
        <f t="shared" si="32"/>
        <v>1.0240000000000001E-2</v>
      </c>
      <c r="K67" s="28">
        <f t="shared" si="26"/>
        <v>8.5736470978581281E-4</v>
      </c>
      <c r="L67" s="27">
        <f t="shared" si="33"/>
        <v>1.0240000000000001E-2</v>
      </c>
      <c r="M67" s="28">
        <f t="shared" si="27"/>
        <v>8.5736470978581281E-4</v>
      </c>
      <c r="N67" s="27">
        <f t="shared" si="34"/>
        <v>1.0240000000000001E-2</v>
      </c>
      <c r="O67" s="28">
        <f t="shared" si="28"/>
        <v>8.5736470978581281E-4</v>
      </c>
      <c r="P67" s="5">
        <v>4.0000000000000002E-4</v>
      </c>
      <c r="Q67" s="28">
        <f t="shared" si="35"/>
        <v>3.3339446006586115E-5</v>
      </c>
      <c r="R67" s="5">
        <v>2.6210000000000001E-2</v>
      </c>
      <c r="S67" s="28">
        <f t="shared" si="36"/>
        <v>2.2108528180836418E-3</v>
      </c>
      <c r="T67" s="30">
        <v>2.637E-3</v>
      </c>
      <c r="U67" s="28">
        <f t="shared" si="37"/>
        <v>2.2001604366772565E-4</v>
      </c>
      <c r="V67" s="5">
        <v>4.0000000000000002E-4</v>
      </c>
      <c r="W67" s="28">
        <f t="shared" si="41"/>
        <v>3.3339446006586115E-5</v>
      </c>
      <c r="BM67" s="23">
        <f t="shared" si="104"/>
        <v>2023</v>
      </c>
      <c r="BN67" s="23">
        <f t="shared" si="105"/>
        <v>23</v>
      </c>
      <c r="BO67" s="15">
        <f t="shared" si="103"/>
        <v>0.01</v>
      </c>
      <c r="BP67" s="15">
        <f t="shared" si="109"/>
        <v>0.02</v>
      </c>
      <c r="BQ67" s="15">
        <f t="shared" si="109"/>
        <v>0.03</v>
      </c>
      <c r="BR67" s="15">
        <f t="shared" si="109"/>
        <v>0.03</v>
      </c>
      <c r="BS67" s="15">
        <f t="shared" si="109"/>
        <v>0.03</v>
      </c>
      <c r="BT67" s="15">
        <f t="shared" si="109"/>
        <v>0.03</v>
      </c>
      <c r="BU67" s="15">
        <f t="shared" si="109"/>
        <v>0.03</v>
      </c>
      <c r="BV67" s="15">
        <f t="shared" si="109"/>
        <v>0.05</v>
      </c>
      <c r="BW67" s="15">
        <f t="shared" si="109"/>
        <v>0.04</v>
      </c>
      <c r="BX67" s="15">
        <f t="shared" si="109"/>
        <v>0.03</v>
      </c>
      <c r="BY67" s="15">
        <f t="shared" si="109"/>
        <v>0.03</v>
      </c>
      <c r="BZ67" s="15">
        <f t="shared" si="109"/>
        <v>0.03</v>
      </c>
      <c r="CA67" s="15">
        <f t="shared" si="109"/>
        <v>0.03</v>
      </c>
      <c r="CB67" s="15">
        <f t="shared" si="109"/>
        <v>0.03</v>
      </c>
      <c r="CC67" s="15">
        <f t="shared" si="109"/>
        <v>0.03</v>
      </c>
      <c r="CD67" s="15">
        <f t="shared" si="109"/>
        <v>0.03</v>
      </c>
      <c r="CE67" s="15">
        <f t="shared" si="109"/>
        <v>0.03</v>
      </c>
      <c r="CF67" s="15">
        <f t="shared" si="109"/>
        <v>0.03</v>
      </c>
      <c r="CG67" s="15">
        <f t="shared" si="109"/>
        <v>0.03</v>
      </c>
      <c r="CH67" s="15">
        <f t="shared" si="109"/>
        <v>0.03</v>
      </c>
      <c r="CI67" s="15">
        <f t="shared" si="109"/>
        <v>0.03</v>
      </c>
      <c r="CJ67" s="15">
        <f t="shared" si="109"/>
        <v>0.03</v>
      </c>
      <c r="CK67" s="15">
        <f t="shared" si="109"/>
        <v>0.03</v>
      </c>
      <c r="CL67" s="15">
        <f t="shared" si="109"/>
        <v>0.03</v>
      </c>
      <c r="CM67" s="15">
        <f t="shared" si="109"/>
        <v>0.03</v>
      </c>
      <c r="CN67" s="15">
        <f t="shared" si="109"/>
        <v>0.03</v>
      </c>
      <c r="CO67" s="15">
        <f t="shared" si="109"/>
        <v>0.03</v>
      </c>
      <c r="CP67" s="15">
        <f t="shared" si="109"/>
        <v>0.03</v>
      </c>
      <c r="CQ67" s="15">
        <f t="shared" si="109"/>
        <v>0.03</v>
      </c>
      <c r="CR67" s="15">
        <f t="shared" si="109"/>
        <v>0.03</v>
      </c>
    </row>
    <row r="68" spans="5:96" x14ac:dyDescent="0.2">
      <c r="E68" s="6">
        <v>62</v>
      </c>
      <c r="F68" s="26">
        <v>1.6389999999999998E-2</v>
      </c>
      <c r="G68" s="27">
        <v>1.0460000000000001E-2</v>
      </c>
      <c r="H68" s="27">
        <f t="shared" si="31"/>
        <v>1.0460000000000001E-2</v>
      </c>
      <c r="I68" s="28">
        <f t="shared" si="74"/>
        <v>8.7587372346664694E-4</v>
      </c>
      <c r="J68" s="27">
        <f t="shared" si="32"/>
        <v>1.0460000000000001E-2</v>
      </c>
      <c r="K68" s="28">
        <f t="shared" si="26"/>
        <v>8.7587372346664694E-4</v>
      </c>
      <c r="L68" s="27">
        <f t="shared" si="33"/>
        <v>1.0460000000000001E-2</v>
      </c>
      <c r="M68" s="28">
        <f t="shared" si="27"/>
        <v>8.7587372346664694E-4</v>
      </c>
      <c r="N68" s="27">
        <f t="shared" si="34"/>
        <v>1.0460000000000001E-2</v>
      </c>
      <c r="O68" s="28">
        <f t="shared" si="28"/>
        <v>8.7587372346664694E-4</v>
      </c>
      <c r="P68" s="5">
        <v>4.0000000000000002E-4</v>
      </c>
      <c r="Q68" s="28">
        <f t="shared" si="35"/>
        <v>3.3339446006586115E-5</v>
      </c>
      <c r="R68" s="5">
        <v>2.8629999999999999E-2</v>
      </c>
      <c r="S68" s="28">
        <f t="shared" si="36"/>
        <v>2.4177253167890767E-3</v>
      </c>
      <c r="T68" s="30">
        <v>2.9610000000000001E-3</v>
      </c>
      <c r="U68" s="28">
        <f t="shared" si="37"/>
        <v>2.4708550545615715E-4</v>
      </c>
      <c r="V68" s="5">
        <v>4.0000000000000002E-4</v>
      </c>
      <c r="W68" s="28">
        <f t="shared" si="41"/>
        <v>3.3339446006586115E-5</v>
      </c>
      <c r="BM68" s="23">
        <f t="shared" si="104"/>
        <v>2023</v>
      </c>
      <c r="BN68" s="23">
        <f t="shared" si="105"/>
        <v>24</v>
      </c>
      <c r="BO68" s="15">
        <f t="shared" si="103"/>
        <v>0.01</v>
      </c>
      <c r="BP68" s="15">
        <f t="shared" si="109"/>
        <v>0.02</v>
      </c>
      <c r="BQ68" s="15">
        <f t="shared" si="109"/>
        <v>0.03</v>
      </c>
      <c r="BR68" s="15">
        <f t="shared" si="109"/>
        <v>0.03</v>
      </c>
      <c r="BS68" s="15">
        <f t="shared" si="109"/>
        <v>0.03</v>
      </c>
      <c r="BT68" s="15">
        <f t="shared" si="109"/>
        <v>0.03</v>
      </c>
      <c r="BU68" s="15">
        <f t="shared" si="109"/>
        <v>0.03</v>
      </c>
      <c r="BV68" s="15">
        <f t="shared" si="109"/>
        <v>0.05</v>
      </c>
      <c r="BW68" s="15">
        <f t="shared" si="109"/>
        <v>0.04</v>
      </c>
      <c r="BX68" s="15">
        <f t="shared" si="109"/>
        <v>0.03</v>
      </c>
      <c r="BY68" s="15">
        <f t="shared" si="109"/>
        <v>0.03</v>
      </c>
      <c r="BZ68" s="15">
        <f t="shared" si="109"/>
        <v>0.03</v>
      </c>
      <c r="CA68" s="15">
        <f t="shared" si="109"/>
        <v>0.03</v>
      </c>
      <c r="CB68" s="15">
        <f t="shared" si="109"/>
        <v>0.03</v>
      </c>
      <c r="CC68" s="15">
        <f t="shared" si="109"/>
        <v>0.03</v>
      </c>
      <c r="CD68" s="15">
        <f t="shared" si="109"/>
        <v>0.03</v>
      </c>
      <c r="CE68" s="15">
        <f t="shared" si="109"/>
        <v>0.03</v>
      </c>
      <c r="CF68" s="15">
        <f t="shared" si="109"/>
        <v>0.03</v>
      </c>
      <c r="CG68" s="15">
        <f t="shared" si="109"/>
        <v>0.03</v>
      </c>
      <c r="CH68" s="15">
        <f t="shared" si="109"/>
        <v>0.03</v>
      </c>
      <c r="CI68" s="15">
        <f t="shared" si="109"/>
        <v>0.03</v>
      </c>
      <c r="CJ68" s="15">
        <f t="shared" si="109"/>
        <v>0.03</v>
      </c>
      <c r="CK68" s="15">
        <f t="shared" si="109"/>
        <v>0.03</v>
      </c>
      <c r="CL68" s="15">
        <f t="shared" si="109"/>
        <v>0.03</v>
      </c>
      <c r="CM68" s="15">
        <f t="shared" si="109"/>
        <v>0.03</v>
      </c>
      <c r="CN68" s="15">
        <f t="shared" si="109"/>
        <v>0.03</v>
      </c>
      <c r="CO68" s="15">
        <f t="shared" si="109"/>
        <v>0.03</v>
      </c>
      <c r="CP68" s="15">
        <f t="shared" si="109"/>
        <v>0.03</v>
      </c>
      <c r="CQ68" s="15">
        <f t="shared" si="109"/>
        <v>0.03</v>
      </c>
      <c r="CR68" s="15">
        <f t="shared" si="109"/>
        <v>0.03</v>
      </c>
    </row>
    <row r="69" spans="5:96" x14ac:dyDescent="0.2">
      <c r="E69" s="6">
        <v>63</v>
      </c>
      <c r="F69" s="26">
        <v>1.7729999999999999E-2</v>
      </c>
      <c r="G69" s="27">
        <v>1.0710000000000001E-2</v>
      </c>
      <c r="H69" s="27">
        <f t="shared" si="31"/>
        <v>1.0710000000000001E-2</v>
      </c>
      <c r="I69" s="28">
        <f t="shared" si="74"/>
        <v>8.9691127285995709E-4</v>
      </c>
      <c r="J69" s="27">
        <f t="shared" si="32"/>
        <v>1.0710000000000001E-2</v>
      </c>
      <c r="K69" s="28">
        <f t="shared" si="26"/>
        <v>8.9691127285995709E-4</v>
      </c>
      <c r="L69" s="27">
        <f t="shared" si="33"/>
        <v>1.0710000000000001E-2</v>
      </c>
      <c r="M69" s="28">
        <f t="shared" si="27"/>
        <v>8.9691127285995709E-4</v>
      </c>
      <c r="N69" s="27">
        <f t="shared" si="34"/>
        <v>1.0710000000000001E-2</v>
      </c>
      <c r="O69" s="28">
        <f t="shared" si="28"/>
        <v>8.9691127285995709E-4</v>
      </c>
      <c r="P69" s="5">
        <v>4.0000000000000002E-4</v>
      </c>
      <c r="Q69" s="28">
        <f t="shared" si="35"/>
        <v>3.3339446006586115E-5</v>
      </c>
      <c r="R69" s="5">
        <v>3.1050000000000001E-2</v>
      </c>
      <c r="S69" s="28">
        <f t="shared" si="36"/>
        <v>2.6250707941383178E-3</v>
      </c>
      <c r="T69" s="30">
        <v>3.3300000000000001E-3</v>
      </c>
      <c r="U69" s="28">
        <f t="shared" si="37"/>
        <v>2.7792443763796637E-4</v>
      </c>
      <c r="V69" s="5">
        <v>4.0000000000000002E-4</v>
      </c>
      <c r="W69" s="28">
        <f t="shared" si="41"/>
        <v>3.3339446006586115E-5</v>
      </c>
      <c r="BM69" s="23">
        <f t="shared" si="104"/>
        <v>2023</v>
      </c>
      <c r="BN69" s="23">
        <f t="shared" si="105"/>
        <v>25</v>
      </c>
      <c r="BO69" s="15">
        <f t="shared" si="103"/>
        <v>0.01</v>
      </c>
      <c r="BP69" s="15">
        <f t="shared" si="109"/>
        <v>0.02</v>
      </c>
      <c r="BQ69" s="15">
        <f t="shared" si="109"/>
        <v>0.03</v>
      </c>
      <c r="BR69" s="15">
        <f t="shared" si="109"/>
        <v>0.03</v>
      </c>
      <c r="BS69" s="15">
        <f t="shared" si="109"/>
        <v>0.03</v>
      </c>
      <c r="BT69" s="15">
        <f t="shared" si="109"/>
        <v>0.03</v>
      </c>
      <c r="BU69" s="15">
        <f t="shared" si="109"/>
        <v>0.03</v>
      </c>
      <c r="BV69" s="15">
        <f t="shared" si="109"/>
        <v>0.05</v>
      </c>
      <c r="BW69" s="15">
        <f t="shared" si="109"/>
        <v>0.04</v>
      </c>
      <c r="BX69" s="15">
        <f t="shared" si="109"/>
        <v>0.03</v>
      </c>
      <c r="BY69" s="15">
        <f t="shared" si="109"/>
        <v>0.03</v>
      </c>
      <c r="BZ69" s="15">
        <f t="shared" si="109"/>
        <v>0.03</v>
      </c>
      <c r="CA69" s="15">
        <f t="shared" si="109"/>
        <v>0.03</v>
      </c>
      <c r="CB69" s="15">
        <f t="shared" si="109"/>
        <v>0.03</v>
      </c>
      <c r="CC69" s="15">
        <f t="shared" si="109"/>
        <v>0.03</v>
      </c>
      <c r="CD69" s="15">
        <f t="shared" si="109"/>
        <v>0.03</v>
      </c>
      <c r="CE69" s="15">
        <f t="shared" si="109"/>
        <v>0.03</v>
      </c>
      <c r="CF69" s="15">
        <f t="shared" si="109"/>
        <v>0.03</v>
      </c>
      <c r="CG69" s="15">
        <f t="shared" si="109"/>
        <v>0.03</v>
      </c>
      <c r="CH69" s="15">
        <f t="shared" si="109"/>
        <v>0.03</v>
      </c>
      <c r="CI69" s="15">
        <f t="shared" si="109"/>
        <v>0.03</v>
      </c>
      <c r="CJ69" s="15">
        <f t="shared" si="109"/>
        <v>0.03</v>
      </c>
      <c r="CK69" s="15">
        <f t="shared" si="109"/>
        <v>0.03</v>
      </c>
      <c r="CL69" s="15">
        <f t="shared" si="109"/>
        <v>0.03</v>
      </c>
      <c r="CM69" s="15">
        <f t="shared" si="109"/>
        <v>0.03</v>
      </c>
      <c r="CN69" s="15">
        <f t="shared" si="109"/>
        <v>0.03</v>
      </c>
      <c r="CO69" s="15">
        <f t="shared" si="109"/>
        <v>0.03</v>
      </c>
      <c r="CP69" s="15">
        <f t="shared" si="109"/>
        <v>0.03</v>
      </c>
      <c r="CQ69" s="15">
        <f t="shared" si="109"/>
        <v>0.03</v>
      </c>
      <c r="CR69" s="15">
        <f t="shared" si="109"/>
        <v>0.03</v>
      </c>
    </row>
    <row r="70" spans="5:96" x14ac:dyDescent="0.2">
      <c r="E70" s="6">
        <v>64</v>
      </c>
      <c r="F70" s="26">
        <v>1.9259999999999999E-2</v>
      </c>
      <c r="G70" s="27">
        <v>1.1039999999999999E-2</v>
      </c>
      <c r="H70" s="27">
        <f t="shared" si="31"/>
        <v>1.1039999999999999E-2</v>
      </c>
      <c r="I70" s="28">
        <f t="shared" ref="I70:I101" si="110">1-(1 - H70)^(1/12)</f>
        <v>9.2468830130321145E-4</v>
      </c>
      <c r="J70" s="27">
        <f t="shared" si="32"/>
        <v>1.1039999999999999E-2</v>
      </c>
      <c r="K70" s="28">
        <f t="shared" ref="K70:K117" si="111">1-(1 - J70)^(1/12)</f>
        <v>9.2468830130321145E-4</v>
      </c>
      <c r="L70" s="27">
        <f t="shared" si="33"/>
        <v>1.1039999999999999E-2</v>
      </c>
      <c r="M70" s="28">
        <f t="shared" ref="M70:M117" si="112">1-(1 - L70)^(1/12)</f>
        <v>9.2468830130321145E-4</v>
      </c>
      <c r="N70" s="27">
        <f t="shared" si="34"/>
        <v>1.1039999999999999E-2</v>
      </c>
      <c r="O70" s="28">
        <f t="shared" ref="O70:O117" si="113">1-(1 - N70)^(1/12)</f>
        <v>9.2468830130321145E-4</v>
      </c>
      <c r="P70" s="5">
        <v>4.0000000000000002E-4</v>
      </c>
      <c r="Q70" s="28">
        <f t="shared" si="35"/>
        <v>3.3339446006586115E-5</v>
      </c>
      <c r="R70" s="5">
        <v>3.3259999999999998E-2</v>
      </c>
      <c r="S70" s="28">
        <f t="shared" si="36"/>
        <v>2.814838598823699E-3</v>
      </c>
      <c r="T70" s="30">
        <v>3.7260000000000001E-3</v>
      </c>
      <c r="U70" s="28">
        <f t="shared" si="37"/>
        <v>3.1103152208977747E-4</v>
      </c>
      <c r="V70" s="5">
        <v>4.0000000000000002E-4</v>
      </c>
      <c r="W70" s="28">
        <f t="shared" ref="W70:W117" si="114">1-(1 - V70)^(1/12)</f>
        <v>3.3339446006586115E-5</v>
      </c>
      <c r="BM70" s="23">
        <f t="shared" si="104"/>
        <v>2023</v>
      </c>
      <c r="BN70" s="23">
        <f t="shared" si="105"/>
        <v>26</v>
      </c>
      <c r="BO70" s="15">
        <f t="shared" si="103"/>
        <v>0.01</v>
      </c>
      <c r="BP70" s="15">
        <f t="shared" si="109"/>
        <v>0.02</v>
      </c>
      <c r="BQ70" s="15">
        <f t="shared" si="109"/>
        <v>0.03</v>
      </c>
      <c r="BR70" s="15">
        <f t="shared" si="109"/>
        <v>0.03</v>
      </c>
      <c r="BS70" s="15">
        <f t="shared" si="109"/>
        <v>0.03</v>
      </c>
      <c r="BT70" s="15">
        <f t="shared" si="109"/>
        <v>0.03</v>
      </c>
      <c r="BU70" s="15">
        <f t="shared" si="109"/>
        <v>0.03</v>
      </c>
      <c r="BV70" s="15">
        <f t="shared" si="109"/>
        <v>0.05</v>
      </c>
      <c r="BW70" s="15">
        <f t="shared" si="109"/>
        <v>0.04</v>
      </c>
      <c r="BX70" s="15">
        <f t="shared" si="109"/>
        <v>0.03</v>
      </c>
      <c r="BY70" s="15">
        <f t="shared" si="109"/>
        <v>0.03</v>
      </c>
      <c r="BZ70" s="15">
        <f t="shared" si="109"/>
        <v>0.03</v>
      </c>
      <c r="CA70" s="15">
        <f t="shared" si="109"/>
        <v>0.03</v>
      </c>
      <c r="CB70" s="15">
        <f t="shared" si="109"/>
        <v>0.03</v>
      </c>
      <c r="CC70" s="15">
        <f t="shared" si="109"/>
        <v>0.03</v>
      </c>
      <c r="CD70" s="15">
        <f t="shared" si="109"/>
        <v>0.03</v>
      </c>
      <c r="CE70" s="15">
        <f t="shared" si="109"/>
        <v>0.03</v>
      </c>
      <c r="CF70" s="15">
        <f t="shared" si="109"/>
        <v>0.03</v>
      </c>
      <c r="CG70" s="15">
        <f t="shared" si="109"/>
        <v>0.03</v>
      </c>
      <c r="CH70" s="15">
        <f t="shared" si="109"/>
        <v>0.03</v>
      </c>
      <c r="CI70" s="15">
        <f t="shared" si="109"/>
        <v>0.03</v>
      </c>
      <c r="CJ70" s="15">
        <f t="shared" si="109"/>
        <v>0.03</v>
      </c>
      <c r="CK70" s="15">
        <f t="shared" si="109"/>
        <v>0.03</v>
      </c>
      <c r="CL70" s="15">
        <f t="shared" si="109"/>
        <v>0.03</v>
      </c>
      <c r="CM70" s="15">
        <f t="shared" ref="CM70:CR70" si="115">VLOOKUP($BM$45,$BM$24:$CQ$39,CM$43+1,FALSE)</f>
        <v>0.03</v>
      </c>
      <c r="CN70" s="15">
        <f t="shared" si="115"/>
        <v>0.03</v>
      </c>
      <c r="CO70" s="15">
        <f t="shared" si="115"/>
        <v>0.03</v>
      </c>
      <c r="CP70" s="15">
        <f t="shared" si="115"/>
        <v>0.03</v>
      </c>
      <c r="CQ70" s="15">
        <f t="shared" si="115"/>
        <v>0.03</v>
      </c>
      <c r="CR70" s="15">
        <f t="shared" si="115"/>
        <v>0.03</v>
      </c>
    </row>
    <row r="71" spans="5:96" x14ac:dyDescent="0.2">
      <c r="E71" s="6">
        <v>65</v>
      </c>
      <c r="F71" s="26">
        <v>2.1000000000000001E-2</v>
      </c>
      <c r="G71" s="27">
        <v>1.146E-2</v>
      </c>
      <c r="H71" s="27">
        <f t="shared" ref="H71:H117" si="116">VLOOKUP(E71,$E$5:$G$117,VLOOKUP($B$24,$A$5:$B$20,2,FALSE),FALSE)</f>
        <v>1.146E-2</v>
      </c>
      <c r="I71" s="28">
        <f t="shared" si="110"/>
        <v>9.6005317366354426E-4</v>
      </c>
      <c r="J71" s="27">
        <f t="shared" ref="J71:J117" si="117">H71</f>
        <v>1.146E-2</v>
      </c>
      <c r="K71" s="28">
        <f t="shared" si="111"/>
        <v>9.6005317366354426E-4</v>
      </c>
      <c r="L71" s="27">
        <f t="shared" ref="L71:L117" si="118">H71</f>
        <v>1.146E-2</v>
      </c>
      <c r="M71" s="28">
        <f t="shared" si="112"/>
        <v>9.6005317366354426E-4</v>
      </c>
      <c r="N71" s="27">
        <f t="shared" ref="N71:N117" si="119">J71</f>
        <v>1.146E-2</v>
      </c>
      <c r="O71" s="28">
        <f t="shared" si="113"/>
        <v>9.6005317366354426E-4</v>
      </c>
      <c r="P71" s="5">
        <v>4.0000000000000002E-4</v>
      </c>
      <c r="Q71" s="28">
        <f t="shared" ref="Q71:Q117" si="120">1-(1 - P71)^(1/12)</f>
        <v>3.3339446006586115E-5</v>
      </c>
      <c r="R71" s="5">
        <v>3.5659999999999997E-2</v>
      </c>
      <c r="S71" s="28">
        <f t="shared" ref="S71:S76" si="121">1-(1 - R71)^(1/12)</f>
        <v>3.0213722285837852E-3</v>
      </c>
      <c r="T71" s="30">
        <v>4.1669999999999997E-3</v>
      </c>
      <c r="U71" s="28">
        <f t="shared" ref="U71:U76" si="122">1-(1 - T71)^(1/12)</f>
        <v>3.4791497509112368E-4</v>
      </c>
      <c r="V71" s="5">
        <v>4.0000000000000002E-4</v>
      </c>
      <c r="W71" s="28">
        <f t="shared" si="114"/>
        <v>3.3339446006586115E-5</v>
      </c>
      <c r="BM71" s="23">
        <f t="shared" si="104"/>
        <v>2023</v>
      </c>
      <c r="BN71" s="23">
        <f t="shared" si="105"/>
        <v>27</v>
      </c>
      <c r="BO71" s="15">
        <f t="shared" si="103"/>
        <v>0.01</v>
      </c>
      <c r="BP71" s="15">
        <f t="shared" ref="BP71:CR74" si="123">VLOOKUP($BM$45,$BM$24:$CQ$39,BP$43+1,FALSE)</f>
        <v>0.02</v>
      </c>
      <c r="BQ71" s="15">
        <f t="shared" si="123"/>
        <v>0.03</v>
      </c>
      <c r="BR71" s="15">
        <f t="shared" si="123"/>
        <v>0.03</v>
      </c>
      <c r="BS71" s="15">
        <f t="shared" si="123"/>
        <v>0.03</v>
      </c>
      <c r="BT71" s="15">
        <f t="shared" si="123"/>
        <v>0.03</v>
      </c>
      <c r="BU71" s="15">
        <f t="shared" si="123"/>
        <v>0.03</v>
      </c>
      <c r="BV71" s="15">
        <f t="shared" si="123"/>
        <v>0.05</v>
      </c>
      <c r="BW71" s="15">
        <f t="shared" si="123"/>
        <v>0.04</v>
      </c>
      <c r="BX71" s="15">
        <f t="shared" si="123"/>
        <v>0.03</v>
      </c>
      <c r="BY71" s="15">
        <f t="shared" si="123"/>
        <v>0.03</v>
      </c>
      <c r="BZ71" s="15">
        <f t="shared" si="123"/>
        <v>0.03</v>
      </c>
      <c r="CA71" s="15">
        <f t="shared" si="123"/>
        <v>0.03</v>
      </c>
      <c r="CB71" s="15">
        <f t="shared" si="123"/>
        <v>0.03</v>
      </c>
      <c r="CC71" s="15">
        <f t="shared" si="123"/>
        <v>0.03</v>
      </c>
      <c r="CD71" s="15">
        <f t="shared" si="123"/>
        <v>0.03</v>
      </c>
      <c r="CE71" s="15">
        <f t="shared" si="123"/>
        <v>0.03</v>
      </c>
      <c r="CF71" s="15">
        <f t="shared" si="123"/>
        <v>0.03</v>
      </c>
      <c r="CG71" s="15">
        <f t="shared" si="123"/>
        <v>0.03</v>
      </c>
      <c r="CH71" s="15">
        <f t="shared" si="123"/>
        <v>0.03</v>
      </c>
      <c r="CI71" s="15">
        <f t="shared" si="123"/>
        <v>0.03</v>
      </c>
      <c r="CJ71" s="15">
        <f t="shared" si="123"/>
        <v>0.03</v>
      </c>
      <c r="CK71" s="15">
        <f t="shared" si="123"/>
        <v>0.03</v>
      </c>
      <c r="CL71" s="15">
        <f t="shared" si="123"/>
        <v>0.03</v>
      </c>
      <c r="CM71" s="15">
        <f t="shared" si="123"/>
        <v>0.03</v>
      </c>
      <c r="CN71" s="15">
        <f t="shared" si="123"/>
        <v>0.03</v>
      </c>
      <c r="CO71" s="15">
        <f t="shared" si="123"/>
        <v>0.03</v>
      </c>
      <c r="CP71" s="15">
        <f t="shared" si="123"/>
        <v>0.03</v>
      </c>
      <c r="CQ71" s="15">
        <f t="shared" si="123"/>
        <v>0.03</v>
      </c>
      <c r="CR71" s="15">
        <f t="shared" si="123"/>
        <v>0.03</v>
      </c>
    </row>
    <row r="72" spans="5:96" x14ac:dyDescent="0.2">
      <c r="E72" s="6">
        <v>66</v>
      </c>
      <c r="F72" s="26">
        <v>2.2880000000000001E-2</v>
      </c>
      <c r="G72" s="27">
        <v>1.1990000000000001E-2</v>
      </c>
      <c r="H72" s="27">
        <f t="shared" si="116"/>
        <v>1.1990000000000001E-2</v>
      </c>
      <c r="I72" s="28">
        <f t="shared" si="110"/>
        <v>1.0046999363753084E-3</v>
      </c>
      <c r="J72" s="27">
        <f t="shared" si="117"/>
        <v>1.1990000000000001E-2</v>
      </c>
      <c r="K72" s="28">
        <f t="shared" si="111"/>
        <v>1.0046999363753084E-3</v>
      </c>
      <c r="L72" s="27">
        <f t="shared" si="118"/>
        <v>1.1990000000000001E-2</v>
      </c>
      <c r="M72" s="28">
        <f t="shared" si="112"/>
        <v>1.0046999363753084E-3</v>
      </c>
      <c r="N72" s="27">
        <f t="shared" si="119"/>
        <v>1.1990000000000001E-2</v>
      </c>
      <c r="O72" s="28">
        <f t="shared" si="113"/>
        <v>1.0046999363753084E-3</v>
      </c>
      <c r="P72" s="5">
        <v>4.0000000000000002E-4</v>
      </c>
      <c r="Q72" s="28">
        <f t="shared" si="120"/>
        <v>3.3339446006586115E-5</v>
      </c>
      <c r="R72" s="5">
        <v>3.823E-2</v>
      </c>
      <c r="S72" s="28">
        <f t="shared" si="121"/>
        <v>3.2430584005807006E-3</v>
      </c>
      <c r="T72" s="30">
        <v>0</v>
      </c>
      <c r="U72" s="28">
        <f t="shared" si="122"/>
        <v>0</v>
      </c>
      <c r="V72" s="5">
        <v>4.0000000000000002E-4</v>
      </c>
      <c r="W72" s="28">
        <f t="shared" si="114"/>
        <v>3.3339446006586115E-5</v>
      </c>
      <c r="BM72" s="23">
        <f t="shared" si="104"/>
        <v>2023</v>
      </c>
      <c r="BN72" s="23">
        <f t="shared" si="105"/>
        <v>28</v>
      </c>
      <c r="BO72" s="15">
        <f t="shared" si="103"/>
        <v>0.01</v>
      </c>
      <c r="BP72" s="15">
        <f t="shared" si="123"/>
        <v>0.02</v>
      </c>
      <c r="BQ72" s="15">
        <f t="shared" si="123"/>
        <v>0.03</v>
      </c>
      <c r="BR72" s="15">
        <f t="shared" si="123"/>
        <v>0.03</v>
      </c>
      <c r="BS72" s="15">
        <f t="shared" si="123"/>
        <v>0.03</v>
      </c>
      <c r="BT72" s="15">
        <f t="shared" si="123"/>
        <v>0.03</v>
      </c>
      <c r="BU72" s="15">
        <f t="shared" si="123"/>
        <v>0.03</v>
      </c>
      <c r="BV72" s="15">
        <f t="shared" si="123"/>
        <v>0.05</v>
      </c>
      <c r="BW72" s="15">
        <f t="shared" si="123"/>
        <v>0.04</v>
      </c>
      <c r="BX72" s="15">
        <f t="shared" si="123"/>
        <v>0.03</v>
      </c>
      <c r="BY72" s="15">
        <f t="shared" si="123"/>
        <v>0.03</v>
      </c>
      <c r="BZ72" s="15">
        <f t="shared" si="123"/>
        <v>0.03</v>
      </c>
      <c r="CA72" s="15">
        <f t="shared" si="123"/>
        <v>0.03</v>
      </c>
      <c r="CB72" s="15">
        <f t="shared" si="123"/>
        <v>0.03</v>
      </c>
      <c r="CC72" s="15">
        <f t="shared" si="123"/>
        <v>0.03</v>
      </c>
      <c r="CD72" s="15">
        <f t="shared" si="123"/>
        <v>0.03</v>
      </c>
      <c r="CE72" s="15">
        <f t="shared" si="123"/>
        <v>0.03</v>
      </c>
      <c r="CF72" s="15">
        <f t="shared" si="123"/>
        <v>0.03</v>
      </c>
      <c r="CG72" s="15">
        <f t="shared" si="123"/>
        <v>0.03</v>
      </c>
      <c r="CH72" s="15">
        <f t="shared" si="123"/>
        <v>0.03</v>
      </c>
      <c r="CI72" s="15">
        <f t="shared" si="123"/>
        <v>0.03</v>
      </c>
      <c r="CJ72" s="15">
        <f t="shared" si="123"/>
        <v>0.03</v>
      </c>
      <c r="CK72" s="15">
        <f t="shared" si="123"/>
        <v>0.03</v>
      </c>
      <c r="CL72" s="15">
        <f t="shared" si="123"/>
        <v>0.03</v>
      </c>
      <c r="CM72" s="15">
        <f t="shared" si="123"/>
        <v>0.03</v>
      </c>
      <c r="CN72" s="15">
        <f t="shared" si="123"/>
        <v>0.03</v>
      </c>
      <c r="CO72" s="15">
        <f t="shared" si="123"/>
        <v>0.03</v>
      </c>
      <c r="CP72" s="15">
        <f t="shared" si="123"/>
        <v>0.03</v>
      </c>
      <c r="CQ72" s="15">
        <f t="shared" si="123"/>
        <v>0.03</v>
      </c>
      <c r="CR72" s="15">
        <f t="shared" si="123"/>
        <v>0.03</v>
      </c>
    </row>
    <row r="73" spans="5:96" x14ac:dyDescent="0.2">
      <c r="E73" s="6">
        <v>67</v>
      </c>
      <c r="F73" s="26">
        <v>2.486E-2</v>
      </c>
      <c r="G73" s="27">
        <v>1.26E-2</v>
      </c>
      <c r="H73" s="27">
        <f t="shared" si="116"/>
        <v>1.26E-2</v>
      </c>
      <c r="I73" s="28">
        <f t="shared" si="110"/>
        <v>1.0561130161312882E-3</v>
      </c>
      <c r="J73" s="27">
        <f t="shared" si="117"/>
        <v>1.26E-2</v>
      </c>
      <c r="K73" s="28">
        <f t="shared" si="111"/>
        <v>1.0561130161312882E-3</v>
      </c>
      <c r="L73" s="27">
        <f t="shared" si="118"/>
        <v>1.26E-2</v>
      </c>
      <c r="M73" s="28">
        <f t="shared" si="112"/>
        <v>1.0561130161312882E-3</v>
      </c>
      <c r="N73" s="27">
        <f t="shared" si="119"/>
        <v>1.26E-2</v>
      </c>
      <c r="O73" s="28">
        <f t="shared" si="113"/>
        <v>1.0561130161312882E-3</v>
      </c>
      <c r="P73" s="5">
        <v>4.0000000000000002E-4</v>
      </c>
      <c r="Q73" s="28">
        <f t="shared" si="120"/>
        <v>3.3339446006586115E-5</v>
      </c>
      <c r="R73" s="5">
        <v>4.1030000000000004E-2</v>
      </c>
      <c r="S73" s="28">
        <f t="shared" si="121"/>
        <v>3.4852031292517127E-3</v>
      </c>
      <c r="T73" s="30">
        <v>0</v>
      </c>
      <c r="U73" s="28">
        <f t="shared" si="122"/>
        <v>0</v>
      </c>
      <c r="V73" s="5">
        <v>4.0000000000000002E-4</v>
      </c>
      <c r="W73" s="28">
        <f t="shared" si="114"/>
        <v>3.3339446006586115E-5</v>
      </c>
      <c r="BM73" s="23">
        <f t="shared" si="104"/>
        <v>2023</v>
      </c>
      <c r="BN73" s="23">
        <f t="shared" si="105"/>
        <v>29</v>
      </c>
      <c r="BO73" s="15">
        <f t="shared" si="103"/>
        <v>0.01</v>
      </c>
      <c r="BP73" s="15">
        <f t="shared" si="123"/>
        <v>0.02</v>
      </c>
      <c r="BQ73" s="15">
        <f t="shared" si="123"/>
        <v>0.03</v>
      </c>
      <c r="BR73" s="15">
        <f t="shared" si="123"/>
        <v>0.03</v>
      </c>
      <c r="BS73" s="15">
        <f t="shared" si="123"/>
        <v>0.03</v>
      </c>
      <c r="BT73" s="15">
        <f t="shared" si="123"/>
        <v>0.03</v>
      </c>
      <c r="BU73" s="15">
        <f t="shared" si="123"/>
        <v>0.03</v>
      </c>
      <c r="BV73" s="15">
        <f t="shared" si="123"/>
        <v>0.05</v>
      </c>
      <c r="BW73" s="15">
        <f t="shared" si="123"/>
        <v>0.04</v>
      </c>
      <c r="BX73" s="15">
        <f t="shared" si="123"/>
        <v>0.03</v>
      </c>
      <c r="BY73" s="15">
        <f t="shared" si="123"/>
        <v>0.03</v>
      </c>
      <c r="BZ73" s="15">
        <f t="shared" si="123"/>
        <v>0.03</v>
      </c>
      <c r="CA73" s="15">
        <f t="shared" si="123"/>
        <v>0.03</v>
      </c>
      <c r="CB73" s="15">
        <f t="shared" si="123"/>
        <v>0.03</v>
      </c>
      <c r="CC73" s="15">
        <f t="shared" si="123"/>
        <v>0.03</v>
      </c>
      <c r="CD73" s="15">
        <f t="shared" si="123"/>
        <v>0.03</v>
      </c>
      <c r="CE73" s="15">
        <f t="shared" si="123"/>
        <v>0.03</v>
      </c>
      <c r="CF73" s="15">
        <f t="shared" si="123"/>
        <v>0.03</v>
      </c>
      <c r="CG73" s="15">
        <f t="shared" si="123"/>
        <v>0.03</v>
      </c>
      <c r="CH73" s="15">
        <f t="shared" si="123"/>
        <v>0.03</v>
      </c>
      <c r="CI73" s="15">
        <f t="shared" si="123"/>
        <v>0.03</v>
      </c>
      <c r="CJ73" s="15">
        <f t="shared" si="123"/>
        <v>0.03</v>
      </c>
      <c r="CK73" s="15">
        <f t="shared" si="123"/>
        <v>0.03</v>
      </c>
      <c r="CL73" s="15">
        <f t="shared" si="123"/>
        <v>0.03</v>
      </c>
      <c r="CM73" s="15">
        <f t="shared" si="123"/>
        <v>0.03</v>
      </c>
      <c r="CN73" s="15">
        <f t="shared" si="123"/>
        <v>0.03</v>
      </c>
      <c r="CO73" s="15">
        <f t="shared" si="123"/>
        <v>0.03</v>
      </c>
      <c r="CP73" s="15">
        <f t="shared" si="123"/>
        <v>0.03</v>
      </c>
      <c r="CQ73" s="15">
        <f t="shared" si="123"/>
        <v>0.03</v>
      </c>
      <c r="CR73" s="15">
        <f t="shared" si="123"/>
        <v>0.03</v>
      </c>
    </row>
    <row r="74" spans="5:96" x14ac:dyDescent="0.2">
      <c r="E74" s="6">
        <v>68</v>
      </c>
      <c r="F74" s="26">
        <v>2.7019999999999999E-2</v>
      </c>
      <c r="G74" s="27">
        <v>1.329E-2</v>
      </c>
      <c r="H74" s="27">
        <f t="shared" si="116"/>
        <v>1.329E-2</v>
      </c>
      <c r="I74" s="28">
        <f t="shared" si="110"/>
        <v>1.1143038999588128E-3</v>
      </c>
      <c r="J74" s="27">
        <f t="shared" si="117"/>
        <v>1.329E-2</v>
      </c>
      <c r="K74" s="28">
        <f t="shared" si="111"/>
        <v>1.1143038999588128E-3</v>
      </c>
      <c r="L74" s="27">
        <f t="shared" si="118"/>
        <v>1.329E-2</v>
      </c>
      <c r="M74" s="28">
        <f t="shared" si="112"/>
        <v>1.1143038999588128E-3</v>
      </c>
      <c r="N74" s="27">
        <f t="shared" si="119"/>
        <v>1.329E-2</v>
      </c>
      <c r="O74" s="28">
        <f t="shared" si="113"/>
        <v>1.1143038999588128E-3</v>
      </c>
      <c r="P74" s="5">
        <v>4.0000000000000002E-4</v>
      </c>
      <c r="Q74" s="28">
        <f t="shared" si="120"/>
        <v>3.3339446006586115E-5</v>
      </c>
      <c r="R74" s="5">
        <v>4.3810000000000002E-2</v>
      </c>
      <c r="S74" s="28">
        <f t="shared" si="121"/>
        <v>3.7262602731175098E-3</v>
      </c>
      <c r="T74" s="30">
        <v>0</v>
      </c>
      <c r="U74" s="28">
        <f t="shared" si="122"/>
        <v>0</v>
      </c>
      <c r="V74" s="5">
        <v>4.0000000000000002E-4</v>
      </c>
      <c r="W74" s="28">
        <f t="shared" si="114"/>
        <v>3.3339446006586115E-5</v>
      </c>
      <c r="BM74" s="23">
        <f t="shared" si="104"/>
        <v>2023</v>
      </c>
      <c r="BN74" s="23">
        <f t="shared" si="105"/>
        <v>30</v>
      </c>
      <c r="BO74" s="15">
        <f t="shared" si="103"/>
        <v>0.01</v>
      </c>
      <c r="BP74" s="15">
        <f t="shared" si="123"/>
        <v>0.02</v>
      </c>
      <c r="BQ74" s="15">
        <f t="shared" si="123"/>
        <v>0.03</v>
      </c>
      <c r="BR74" s="15">
        <f t="shared" si="123"/>
        <v>0.03</v>
      </c>
      <c r="BS74" s="15">
        <f t="shared" si="123"/>
        <v>0.03</v>
      </c>
      <c r="BT74" s="15">
        <f t="shared" si="123"/>
        <v>0.03</v>
      </c>
      <c r="BU74" s="15">
        <f t="shared" si="123"/>
        <v>0.03</v>
      </c>
      <c r="BV74" s="15">
        <f t="shared" si="123"/>
        <v>0.05</v>
      </c>
      <c r="BW74" s="15">
        <f t="shared" si="123"/>
        <v>0.04</v>
      </c>
      <c r="BX74" s="15">
        <f t="shared" si="123"/>
        <v>0.03</v>
      </c>
      <c r="BY74" s="15">
        <f t="shared" si="123"/>
        <v>0.03</v>
      </c>
      <c r="BZ74" s="15">
        <f t="shared" si="123"/>
        <v>0.03</v>
      </c>
      <c r="CA74" s="15">
        <f t="shared" si="123"/>
        <v>0.03</v>
      </c>
      <c r="CB74" s="15">
        <f t="shared" si="123"/>
        <v>0.03</v>
      </c>
      <c r="CC74" s="15">
        <f t="shared" si="123"/>
        <v>0.03</v>
      </c>
      <c r="CD74" s="15">
        <f t="shared" si="123"/>
        <v>0.03</v>
      </c>
      <c r="CE74" s="15">
        <f t="shared" si="123"/>
        <v>0.03</v>
      </c>
      <c r="CF74" s="15">
        <f t="shared" si="123"/>
        <v>0.03</v>
      </c>
      <c r="CG74" s="15">
        <f t="shared" si="123"/>
        <v>0.03</v>
      </c>
      <c r="CH74" s="15">
        <f t="shared" si="123"/>
        <v>0.03</v>
      </c>
      <c r="CI74" s="15">
        <f t="shared" si="123"/>
        <v>0.03</v>
      </c>
      <c r="CJ74" s="15">
        <f t="shared" si="123"/>
        <v>0.03</v>
      </c>
      <c r="CK74" s="15">
        <f t="shared" si="123"/>
        <v>0.03</v>
      </c>
      <c r="CL74" s="15">
        <f t="shared" si="123"/>
        <v>0.03</v>
      </c>
      <c r="CM74" s="15">
        <f t="shared" si="123"/>
        <v>0.03</v>
      </c>
      <c r="CN74" s="15">
        <f t="shared" si="123"/>
        <v>0.03</v>
      </c>
      <c r="CO74" s="15">
        <f t="shared" si="123"/>
        <v>0.03</v>
      </c>
      <c r="CP74" s="15">
        <f t="shared" si="123"/>
        <v>0.03</v>
      </c>
      <c r="CQ74" s="15">
        <f t="shared" si="123"/>
        <v>0.03</v>
      </c>
      <c r="CR74" s="15">
        <f t="shared" si="123"/>
        <v>0.03</v>
      </c>
    </row>
    <row r="75" spans="5:96" x14ac:dyDescent="0.2">
      <c r="E75" s="6">
        <v>69</v>
      </c>
      <c r="F75" s="26">
        <v>2.921E-2</v>
      </c>
      <c r="G75" s="27">
        <v>1.405E-2</v>
      </c>
      <c r="H75" s="27">
        <f t="shared" si="116"/>
        <v>1.405E-2</v>
      </c>
      <c r="I75" s="28">
        <f t="shared" si="110"/>
        <v>1.1784413923200399E-3</v>
      </c>
      <c r="J75" s="27">
        <f t="shared" si="117"/>
        <v>1.405E-2</v>
      </c>
      <c r="K75" s="28">
        <f t="shared" si="111"/>
        <v>1.1784413923200399E-3</v>
      </c>
      <c r="L75" s="27">
        <f t="shared" si="118"/>
        <v>1.405E-2</v>
      </c>
      <c r="M75" s="28">
        <f t="shared" si="112"/>
        <v>1.1784413923200399E-3</v>
      </c>
      <c r="N75" s="27">
        <f t="shared" si="119"/>
        <v>1.405E-2</v>
      </c>
      <c r="O75" s="28">
        <f t="shared" si="113"/>
        <v>1.1784413923200399E-3</v>
      </c>
      <c r="P75" s="5">
        <v>4.0000000000000002E-4</v>
      </c>
      <c r="Q75" s="28">
        <f t="shared" si="120"/>
        <v>3.3339446006586115E-5</v>
      </c>
      <c r="R75" s="5">
        <v>4.6289999999999998E-2</v>
      </c>
      <c r="S75" s="28">
        <f t="shared" si="121"/>
        <v>3.9418468593269695E-3</v>
      </c>
      <c r="T75" s="30">
        <v>0</v>
      </c>
      <c r="U75" s="28">
        <f t="shared" si="122"/>
        <v>0</v>
      </c>
      <c r="V75" s="5">
        <v>4.0000000000000002E-4</v>
      </c>
      <c r="W75" s="28">
        <f t="shared" si="114"/>
        <v>3.3339446006586115E-5</v>
      </c>
    </row>
    <row r="76" spans="5:96" x14ac:dyDescent="0.2">
      <c r="E76" s="6">
        <v>70</v>
      </c>
      <c r="F76" s="26">
        <v>3.1820000000000001E-2</v>
      </c>
      <c r="G76" s="27">
        <v>1.485E-2</v>
      </c>
      <c r="H76" s="27">
        <f t="shared" si="116"/>
        <v>1.485E-2</v>
      </c>
      <c r="I76" s="28">
        <f t="shared" si="110"/>
        <v>1.246003520539829E-3</v>
      </c>
      <c r="J76" s="27">
        <f t="shared" si="117"/>
        <v>1.485E-2</v>
      </c>
      <c r="K76" s="28">
        <f t="shared" si="111"/>
        <v>1.246003520539829E-3</v>
      </c>
      <c r="L76" s="27">
        <f t="shared" si="118"/>
        <v>1.485E-2</v>
      </c>
      <c r="M76" s="28">
        <f t="shared" si="112"/>
        <v>1.246003520539829E-3</v>
      </c>
      <c r="N76" s="27">
        <f t="shared" si="119"/>
        <v>1.485E-2</v>
      </c>
      <c r="O76" s="28">
        <f t="shared" si="113"/>
        <v>1.246003520539829E-3</v>
      </c>
      <c r="P76" s="5">
        <v>4.0000000000000002E-4</v>
      </c>
      <c r="Q76" s="28">
        <f t="shared" si="120"/>
        <v>3.3339446006586115E-5</v>
      </c>
      <c r="R76" s="5">
        <v>4.8989999999999999E-2</v>
      </c>
      <c r="S76" s="28">
        <f t="shared" si="121"/>
        <v>4.1771431366550704E-3</v>
      </c>
      <c r="U76" s="28">
        <f t="shared" si="122"/>
        <v>0</v>
      </c>
      <c r="V76" s="5">
        <v>4.0000000000000002E-4</v>
      </c>
      <c r="W76" s="28">
        <f t="shared" si="114"/>
        <v>3.3339446006586115E-5</v>
      </c>
      <c r="BM76" s="2" t="s">
        <v>68</v>
      </c>
    </row>
    <row r="77" spans="5:96" x14ac:dyDescent="0.2">
      <c r="E77" s="6">
        <v>71</v>
      </c>
      <c r="F77" s="26">
        <v>3.4729999999999997E-2</v>
      </c>
      <c r="G77" s="27">
        <v>1.5740000000000001E-2</v>
      </c>
      <c r="H77" s="27">
        <f t="shared" si="116"/>
        <v>1.5740000000000001E-2</v>
      </c>
      <c r="I77" s="28">
        <f t="shared" si="110"/>
        <v>1.3212255111503257E-3</v>
      </c>
      <c r="J77" s="27">
        <f t="shared" si="117"/>
        <v>1.5740000000000001E-2</v>
      </c>
      <c r="K77" s="28">
        <f t="shared" si="111"/>
        <v>1.3212255111503257E-3</v>
      </c>
      <c r="L77" s="27">
        <f t="shared" si="118"/>
        <v>1.5740000000000001E-2</v>
      </c>
      <c r="M77" s="28">
        <f t="shared" si="112"/>
        <v>1.3212255111503257E-3</v>
      </c>
      <c r="N77" s="27">
        <f t="shared" si="119"/>
        <v>1.5740000000000001E-2</v>
      </c>
      <c r="O77" s="28">
        <f t="shared" si="113"/>
        <v>1.3212255111503257E-3</v>
      </c>
      <c r="P77" s="5">
        <v>4.0000000000000002E-4</v>
      </c>
      <c r="Q77" s="28">
        <f t="shared" si="120"/>
        <v>3.3339446006586115E-5</v>
      </c>
      <c r="S77" s="28"/>
      <c r="U77" s="28"/>
      <c r="V77" s="5">
        <v>4.0000000000000002E-4</v>
      </c>
      <c r="W77" s="28">
        <f t="shared" si="114"/>
        <v>3.3339446006586115E-5</v>
      </c>
      <c r="BM77" s="13" t="s">
        <v>63</v>
      </c>
      <c r="BN77" s="13" t="s">
        <v>318</v>
      </c>
      <c r="BO77" s="13">
        <v>1</v>
      </c>
      <c r="BP77" s="13">
        <f>BO77+1</f>
        <v>2</v>
      </c>
      <c r="BQ77" s="13">
        <f t="shared" ref="BQ77:BX77" si="124">BP77+1</f>
        <v>3</v>
      </c>
      <c r="BR77" s="13">
        <f t="shared" si="124"/>
        <v>4</v>
      </c>
      <c r="BS77" s="13">
        <f t="shared" si="124"/>
        <v>5</v>
      </c>
      <c r="BT77" s="13">
        <f t="shared" si="124"/>
        <v>6</v>
      </c>
      <c r="BU77" s="13">
        <f t="shared" si="124"/>
        <v>7</v>
      </c>
      <c r="BV77" s="13">
        <f t="shared" si="124"/>
        <v>8</v>
      </c>
      <c r="BW77" s="13">
        <f t="shared" si="124"/>
        <v>9</v>
      </c>
      <c r="BX77" s="13">
        <f t="shared" si="124"/>
        <v>10</v>
      </c>
      <c r="BY77" s="13">
        <f t="shared" ref="BY77" si="125">BX77+1</f>
        <v>11</v>
      </c>
      <c r="BZ77" s="13">
        <f t="shared" ref="BZ77" si="126">BY77+1</f>
        <v>12</v>
      </c>
      <c r="CA77" s="13">
        <f t="shared" ref="CA77" si="127">BZ77+1</f>
        <v>13</v>
      </c>
      <c r="CB77" s="13">
        <f t="shared" ref="CB77" si="128">CA77+1</f>
        <v>14</v>
      </c>
      <c r="CC77" s="13">
        <f t="shared" ref="CC77" si="129">CB77+1</f>
        <v>15</v>
      </c>
      <c r="CD77" s="13">
        <f t="shared" ref="CD77" si="130">CC77+1</f>
        <v>16</v>
      </c>
      <c r="CE77" s="13">
        <f t="shared" ref="CE77" si="131">CD77+1</f>
        <v>17</v>
      </c>
      <c r="CF77" s="13">
        <f t="shared" ref="CF77" si="132">CE77+1</f>
        <v>18</v>
      </c>
      <c r="CG77" s="13">
        <f t="shared" ref="CG77" si="133">CF77+1</f>
        <v>19</v>
      </c>
      <c r="CH77" s="13">
        <f t="shared" ref="CH77" si="134">CG77+1</f>
        <v>20</v>
      </c>
      <c r="CI77" s="13">
        <f t="shared" ref="CI77" si="135">CH77+1</f>
        <v>21</v>
      </c>
      <c r="CJ77" s="13">
        <f t="shared" ref="CJ77" si="136">CI77+1</f>
        <v>22</v>
      </c>
      <c r="CK77" s="13">
        <f t="shared" ref="CK77" si="137">CJ77+1</f>
        <v>23</v>
      </c>
      <c r="CL77" s="13">
        <f t="shared" ref="CL77" si="138">CK77+1</f>
        <v>24</v>
      </c>
      <c r="CM77" s="13">
        <f t="shared" ref="CM77" si="139">CL77+1</f>
        <v>25</v>
      </c>
      <c r="CN77" s="13">
        <f t="shared" ref="CN77" si="140">CM77+1</f>
        <v>26</v>
      </c>
      <c r="CO77" s="13">
        <f t="shared" ref="CO77" si="141">CN77+1</f>
        <v>27</v>
      </c>
      <c r="CP77" s="13">
        <f t="shared" ref="CP77" si="142">CO77+1</f>
        <v>28</v>
      </c>
      <c r="CQ77" s="13">
        <f t="shared" ref="CQ77" si="143">CP77+1</f>
        <v>29</v>
      </c>
      <c r="CR77" s="13">
        <f t="shared" ref="CR77" si="144">CQ77+1</f>
        <v>30</v>
      </c>
    </row>
    <row r="78" spans="5:96" x14ac:dyDescent="0.2">
      <c r="E78" s="6">
        <v>72</v>
      </c>
      <c r="F78" s="26">
        <v>3.8609999999999998E-2</v>
      </c>
      <c r="G78" s="27">
        <v>1.67E-2</v>
      </c>
      <c r="H78" s="27">
        <f t="shared" si="116"/>
        <v>1.67E-2</v>
      </c>
      <c r="I78" s="28">
        <f t="shared" si="110"/>
        <v>1.402433769017275E-3</v>
      </c>
      <c r="J78" s="27">
        <f t="shared" si="117"/>
        <v>1.67E-2</v>
      </c>
      <c r="K78" s="28">
        <f t="shared" si="111"/>
        <v>1.402433769017275E-3</v>
      </c>
      <c r="L78" s="27">
        <f t="shared" si="118"/>
        <v>1.67E-2</v>
      </c>
      <c r="M78" s="28">
        <f t="shared" si="112"/>
        <v>1.402433769017275E-3</v>
      </c>
      <c r="N78" s="27">
        <f t="shared" si="119"/>
        <v>1.67E-2</v>
      </c>
      <c r="O78" s="28">
        <f t="shared" si="113"/>
        <v>1.402433769017275E-3</v>
      </c>
      <c r="P78" s="5">
        <v>4.0000000000000002E-4</v>
      </c>
      <c r="Q78" s="28">
        <f t="shared" si="120"/>
        <v>3.3339446006586115E-5</v>
      </c>
      <c r="S78" s="28"/>
      <c r="U78" s="28"/>
      <c r="V78" s="5">
        <v>4.0000000000000002E-4</v>
      </c>
      <c r="W78" s="28">
        <f t="shared" si="114"/>
        <v>3.3339446006586115E-5</v>
      </c>
      <c r="BM78" s="23">
        <f t="shared" ref="BM78:BM108" si="145">BM44</f>
        <v>2023</v>
      </c>
      <c r="BN78" s="23">
        <v>0</v>
      </c>
      <c r="BO78" s="24">
        <f t="shared" ref="BO78:CR78" si="146">1-(1 -BO44)^(1/12)</f>
        <v>8.3717735912058888E-4</v>
      </c>
      <c r="BP78" s="24">
        <f t="shared" si="146"/>
        <v>1.6821425527395739E-3</v>
      </c>
      <c r="BQ78" s="24">
        <f t="shared" si="146"/>
        <v>2.5350486138366879E-3</v>
      </c>
      <c r="BR78" s="24">
        <f t="shared" si="146"/>
        <v>2.5350486138366879E-3</v>
      </c>
      <c r="BS78" s="24">
        <f t="shared" si="146"/>
        <v>2.5350486138366879E-3</v>
      </c>
      <c r="BT78" s="24">
        <f t="shared" si="146"/>
        <v>2.5350486138366879E-3</v>
      </c>
      <c r="BU78" s="24">
        <f t="shared" si="146"/>
        <v>2.5350486138366879E-3</v>
      </c>
      <c r="BV78" s="24">
        <f t="shared" si="146"/>
        <v>4.2653187775606449E-3</v>
      </c>
      <c r="BW78" s="24">
        <f t="shared" si="146"/>
        <v>3.3960531989175591E-3</v>
      </c>
      <c r="BX78" s="24">
        <f t="shared" si="146"/>
        <v>2.5350486138366879E-3</v>
      </c>
      <c r="BY78" s="24">
        <f t="shared" si="146"/>
        <v>2.5350486138366879E-3</v>
      </c>
      <c r="BZ78" s="24">
        <f t="shared" si="146"/>
        <v>2.5350486138366879E-3</v>
      </c>
      <c r="CA78" s="24">
        <f t="shared" si="146"/>
        <v>2.5350486138366879E-3</v>
      </c>
      <c r="CB78" s="24">
        <f t="shared" si="146"/>
        <v>2.5350486138366879E-3</v>
      </c>
      <c r="CC78" s="24">
        <f t="shared" si="146"/>
        <v>2.5350486138366879E-3</v>
      </c>
      <c r="CD78" s="24">
        <f t="shared" si="146"/>
        <v>2.5350486138366879E-3</v>
      </c>
      <c r="CE78" s="24">
        <f t="shared" si="146"/>
        <v>2.5350486138366879E-3</v>
      </c>
      <c r="CF78" s="24">
        <f t="shared" si="146"/>
        <v>2.5350486138366879E-3</v>
      </c>
      <c r="CG78" s="24">
        <f t="shared" si="146"/>
        <v>2.5350486138366879E-3</v>
      </c>
      <c r="CH78" s="24">
        <f t="shared" si="146"/>
        <v>2.5350486138366879E-3</v>
      </c>
      <c r="CI78" s="24">
        <f t="shared" si="146"/>
        <v>2.5350486138366879E-3</v>
      </c>
      <c r="CJ78" s="24">
        <f t="shared" si="146"/>
        <v>2.5350486138366879E-3</v>
      </c>
      <c r="CK78" s="24">
        <f t="shared" si="146"/>
        <v>2.5350486138366879E-3</v>
      </c>
      <c r="CL78" s="24">
        <f t="shared" si="146"/>
        <v>2.5350486138366879E-3</v>
      </c>
      <c r="CM78" s="24">
        <f t="shared" si="146"/>
        <v>2.5350486138366879E-3</v>
      </c>
      <c r="CN78" s="24">
        <f t="shared" si="146"/>
        <v>2.5350486138366879E-3</v>
      </c>
      <c r="CO78" s="24">
        <f t="shared" si="146"/>
        <v>2.5350486138366879E-3</v>
      </c>
      <c r="CP78" s="24">
        <f t="shared" si="146"/>
        <v>2.5350486138366879E-3</v>
      </c>
      <c r="CQ78" s="24">
        <f t="shared" si="146"/>
        <v>2.5350486138366879E-3</v>
      </c>
      <c r="CR78" s="24">
        <f t="shared" si="146"/>
        <v>2.5350486138366879E-3</v>
      </c>
    </row>
    <row r="79" spans="5:96" x14ac:dyDescent="0.2">
      <c r="E79" s="6">
        <v>73</v>
      </c>
      <c r="F79" s="26">
        <v>4.2639999999999997E-2</v>
      </c>
      <c r="G79" s="27">
        <v>1.7770000000000001E-2</v>
      </c>
      <c r="H79" s="27">
        <f t="shared" si="116"/>
        <v>1.7770000000000001E-2</v>
      </c>
      <c r="I79" s="28">
        <f t="shared" si="110"/>
        <v>1.4930328296762774E-3</v>
      </c>
      <c r="J79" s="27">
        <f t="shared" si="117"/>
        <v>1.7770000000000001E-2</v>
      </c>
      <c r="K79" s="28">
        <f t="shared" si="111"/>
        <v>1.4930328296762774E-3</v>
      </c>
      <c r="L79" s="27">
        <f t="shared" si="118"/>
        <v>1.7770000000000001E-2</v>
      </c>
      <c r="M79" s="28">
        <f t="shared" si="112"/>
        <v>1.4930328296762774E-3</v>
      </c>
      <c r="N79" s="27">
        <f t="shared" si="119"/>
        <v>1.7770000000000001E-2</v>
      </c>
      <c r="O79" s="28">
        <f t="shared" si="113"/>
        <v>1.4930328296762774E-3</v>
      </c>
      <c r="P79" s="5">
        <v>4.0000000000000002E-4</v>
      </c>
      <c r="Q79" s="28">
        <f t="shared" si="120"/>
        <v>3.3339446006586115E-5</v>
      </c>
      <c r="S79" s="28"/>
      <c r="U79" s="28"/>
      <c r="V79" s="5">
        <v>4.0000000000000002E-4</v>
      </c>
      <c r="W79" s="28">
        <f t="shared" si="114"/>
        <v>3.3339446006586115E-5</v>
      </c>
      <c r="BM79" s="23">
        <f t="shared" si="145"/>
        <v>2023</v>
      </c>
      <c r="BN79" s="23">
        <v>1</v>
      </c>
      <c r="BO79" s="24">
        <f t="shared" ref="BO79:CR79" si="147">1-(1 -BO45)^(1/12)</f>
        <v>8.3717735912058888E-4</v>
      </c>
      <c r="BP79" s="24">
        <f t="shared" si="147"/>
        <v>1.6821425527395739E-3</v>
      </c>
      <c r="BQ79" s="24">
        <f t="shared" si="147"/>
        <v>2.5350486138366879E-3</v>
      </c>
      <c r="BR79" s="24">
        <f t="shared" si="147"/>
        <v>2.5350486138366879E-3</v>
      </c>
      <c r="BS79" s="24">
        <f t="shared" si="147"/>
        <v>2.5350486138366879E-3</v>
      </c>
      <c r="BT79" s="24">
        <f t="shared" si="147"/>
        <v>2.5350486138366879E-3</v>
      </c>
      <c r="BU79" s="24">
        <f t="shared" si="147"/>
        <v>2.5350486138366879E-3</v>
      </c>
      <c r="BV79" s="24">
        <f t="shared" si="147"/>
        <v>4.2653187775606449E-3</v>
      </c>
      <c r="BW79" s="24">
        <f t="shared" si="147"/>
        <v>3.3960531989175591E-3</v>
      </c>
      <c r="BX79" s="24">
        <f t="shared" si="147"/>
        <v>2.5350486138366879E-3</v>
      </c>
      <c r="BY79" s="24">
        <f t="shared" si="147"/>
        <v>2.5350486138366879E-3</v>
      </c>
      <c r="BZ79" s="24">
        <f t="shared" si="147"/>
        <v>2.5350486138366879E-3</v>
      </c>
      <c r="CA79" s="24">
        <f t="shared" si="147"/>
        <v>2.5350486138366879E-3</v>
      </c>
      <c r="CB79" s="24">
        <f t="shared" si="147"/>
        <v>2.5350486138366879E-3</v>
      </c>
      <c r="CC79" s="24">
        <f t="shared" si="147"/>
        <v>2.5350486138366879E-3</v>
      </c>
      <c r="CD79" s="24">
        <f t="shared" si="147"/>
        <v>2.5350486138366879E-3</v>
      </c>
      <c r="CE79" s="24">
        <f t="shared" si="147"/>
        <v>2.5350486138366879E-3</v>
      </c>
      <c r="CF79" s="24">
        <f t="shared" si="147"/>
        <v>2.5350486138366879E-3</v>
      </c>
      <c r="CG79" s="24">
        <f t="shared" si="147"/>
        <v>2.5350486138366879E-3</v>
      </c>
      <c r="CH79" s="24">
        <f t="shared" si="147"/>
        <v>2.5350486138366879E-3</v>
      </c>
      <c r="CI79" s="24">
        <f t="shared" si="147"/>
        <v>2.5350486138366879E-3</v>
      </c>
      <c r="CJ79" s="24">
        <f t="shared" si="147"/>
        <v>2.5350486138366879E-3</v>
      </c>
      <c r="CK79" s="24">
        <f t="shared" si="147"/>
        <v>2.5350486138366879E-3</v>
      </c>
      <c r="CL79" s="24">
        <f t="shared" si="147"/>
        <v>2.5350486138366879E-3</v>
      </c>
      <c r="CM79" s="24">
        <f t="shared" si="147"/>
        <v>2.5350486138366879E-3</v>
      </c>
      <c r="CN79" s="24">
        <f t="shared" si="147"/>
        <v>2.5350486138366879E-3</v>
      </c>
      <c r="CO79" s="24">
        <f t="shared" si="147"/>
        <v>2.5350486138366879E-3</v>
      </c>
      <c r="CP79" s="24">
        <f t="shared" si="147"/>
        <v>2.5350486138366879E-3</v>
      </c>
      <c r="CQ79" s="24">
        <f t="shared" si="147"/>
        <v>2.5350486138366879E-3</v>
      </c>
      <c r="CR79" s="24">
        <f t="shared" si="147"/>
        <v>2.5350486138366879E-3</v>
      </c>
    </row>
    <row r="80" spans="5:96" x14ac:dyDescent="0.2">
      <c r="E80" s="6">
        <v>74</v>
      </c>
      <c r="F80" s="26">
        <v>4.6870000000000002E-2</v>
      </c>
      <c r="G80" s="27">
        <v>1.8950000000000002E-2</v>
      </c>
      <c r="H80" s="27">
        <f t="shared" si="116"/>
        <v>1.8950000000000002E-2</v>
      </c>
      <c r="I80" s="28">
        <f t="shared" si="110"/>
        <v>1.5930507717222264E-3</v>
      </c>
      <c r="J80" s="27">
        <f t="shared" si="117"/>
        <v>1.8950000000000002E-2</v>
      </c>
      <c r="K80" s="28">
        <f t="shared" si="111"/>
        <v>1.5930507717222264E-3</v>
      </c>
      <c r="L80" s="27">
        <f t="shared" si="118"/>
        <v>1.8950000000000002E-2</v>
      </c>
      <c r="M80" s="28">
        <f t="shared" si="112"/>
        <v>1.5930507717222264E-3</v>
      </c>
      <c r="N80" s="27">
        <f t="shared" si="119"/>
        <v>1.8950000000000002E-2</v>
      </c>
      <c r="O80" s="28">
        <f t="shared" si="113"/>
        <v>1.5930507717222264E-3</v>
      </c>
      <c r="P80" s="5">
        <v>4.0000000000000002E-4</v>
      </c>
      <c r="Q80" s="28">
        <f t="shared" si="120"/>
        <v>3.3339446006586115E-5</v>
      </c>
      <c r="S80" s="28"/>
      <c r="U80" s="28"/>
      <c r="V80" s="5">
        <v>4.0000000000000002E-4</v>
      </c>
      <c r="W80" s="28">
        <f t="shared" si="114"/>
        <v>3.3339446006586115E-5</v>
      </c>
      <c r="BM80" s="23">
        <f t="shared" si="145"/>
        <v>2023</v>
      </c>
      <c r="BN80" s="23">
        <f>+BN79+1</f>
        <v>2</v>
      </c>
      <c r="BO80" s="24">
        <f t="shared" ref="BO80:CR80" si="148">1-(1 -BO46)^(1/12)</f>
        <v>8.3717735912058888E-4</v>
      </c>
      <c r="BP80" s="24">
        <f t="shared" si="148"/>
        <v>1.6821425527395739E-3</v>
      </c>
      <c r="BQ80" s="24">
        <f t="shared" si="148"/>
        <v>2.5350486138366879E-3</v>
      </c>
      <c r="BR80" s="24">
        <f t="shared" si="148"/>
        <v>2.5350486138366879E-3</v>
      </c>
      <c r="BS80" s="24">
        <f t="shared" si="148"/>
        <v>2.5350486138366879E-3</v>
      </c>
      <c r="BT80" s="24">
        <f t="shared" si="148"/>
        <v>2.5350486138366879E-3</v>
      </c>
      <c r="BU80" s="24">
        <f t="shared" si="148"/>
        <v>2.5350486138366879E-3</v>
      </c>
      <c r="BV80" s="24">
        <f t="shared" si="148"/>
        <v>4.2653187775606449E-3</v>
      </c>
      <c r="BW80" s="24">
        <f t="shared" si="148"/>
        <v>3.3960531989175591E-3</v>
      </c>
      <c r="BX80" s="24">
        <f t="shared" si="148"/>
        <v>2.5350486138366879E-3</v>
      </c>
      <c r="BY80" s="24">
        <f t="shared" si="148"/>
        <v>2.5350486138366879E-3</v>
      </c>
      <c r="BZ80" s="24">
        <f t="shared" si="148"/>
        <v>2.5350486138366879E-3</v>
      </c>
      <c r="CA80" s="24">
        <f t="shared" si="148"/>
        <v>2.5350486138366879E-3</v>
      </c>
      <c r="CB80" s="24">
        <f t="shared" si="148"/>
        <v>2.5350486138366879E-3</v>
      </c>
      <c r="CC80" s="24">
        <f t="shared" si="148"/>
        <v>2.5350486138366879E-3</v>
      </c>
      <c r="CD80" s="24">
        <f t="shared" si="148"/>
        <v>2.5350486138366879E-3</v>
      </c>
      <c r="CE80" s="24">
        <f t="shared" si="148"/>
        <v>2.5350486138366879E-3</v>
      </c>
      <c r="CF80" s="24">
        <f t="shared" si="148"/>
        <v>2.5350486138366879E-3</v>
      </c>
      <c r="CG80" s="24">
        <f t="shared" si="148"/>
        <v>2.5350486138366879E-3</v>
      </c>
      <c r="CH80" s="24">
        <f t="shared" si="148"/>
        <v>2.5350486138366879E-3</v>
      </c>
      <c r="CI80" s="24">
        <f t="shared" si="148"/>
        <v>2.5350486138366879E-3</v>
      </c>
      <c r="CJ80" s="24">
        <f t="shared" si="148"/>
        <v>2.5350486138366879E-3</v>
      </c>
      <c r="CK80" s="24">
        <f t="shared" si="148"/>
        <v>2.5350486138366879E-3</v>
      </c>
      <c r="CL80" s="24">
        <f t="shared" si="148"/>
        <v>2.5350486138366879E-3</v>
      </c>
      <c r="CM80" s="24">
        <f t="shared" si="148"/>
        <v>2.5350486138366879E-3</v>
      </c>
      <c r="CN80" s="24">
        <f t="shared" si="148"/>
        <v>2.5350486138366879E-3</v>
      </c>
      <c r="CO80" s="24">
        <f t="shared" si="148"/>
        <v>2.5350486138366879E-3</v>
      </c>
      <c r="CP80" s="24">
        <f t="shared" si="148"/>
        <v>2.5350486138366879E-3</v>
      </c>
      <c r="CQ80" s="24">
        <f t="shared" si="148"/>
        <v>2.5350486138366879E-3</v>
      </c>
      <c r="CR80" s="24">
        <f t="shared" si="148"/>
        <v>2.5350486138366879E-3</v>
      </c>
    </row>
    <row r="81" spans="5:96" x14ac:dyDescent="0.2">
      <c r="E81" s="6">
        <v>75</v>
      </c>
      <c r="F81" s="26">
        <v>5.1549999999999999E-2</v>
      </c>
      <c r="G81" s="27">
        <v>2.026E-2</v>
      </c>
      <c r="H81" s="27">
        <f t="shared" si="116"/>
        <v>2.026E-2</v>
      </c>
      <c r="I81" s="28">
        <f t="shared" si="110"/>
        <v>1.7042168903884658E-3</v>
      </c>
      <c r="J81" s="27">
        <f t="shared" si="117"/>
        <v>2.026E-2</v>
      </c>
      <c r="K81" s="28">
        <f t="shared" si="111"/>
        <v>1.7042168903884658E-3</v>
      </c>
      <c r="L81" s="27">
        <f t="shared" si="118"/>
        <v>2.026E-2</v>
      </c>
      <c r="M81" s="28">
        <f t="shared" si="112"/>
        <v>1.7042168903884658E-3</v>
      </c>
      <c r="N81" s="27">
        <f t="shared" si="119"/>
        <v>2.026E-2</v>
      </c>
      <c r="O81" s="28">
        <f t="shared" si="113"/>
        <v>1.7042168903884658E-3</v>
      </c>
      <c r="P81" s="5">
        <v>4.0000000000000002E-4</v>
      </c>
      <c r="Q81" s="28">
        <f t="shared" si="120"/>
        <v>3.3339446006586115E-5</v>
      </c>
      <c r="S81" s="28"/>
      <c r="U81" s="28"/>
      <c r="V81" s="5">
        <v>4.0000000000000002E-4</v>
      </c>
      <c r="W81" s="28">
        <f t="shared" si="114"/>
        <v>3.3339446006586115E-5</v>
      </c>
      <c r="BM81" s="23">
        <f t="shared" si="145"/>
        <v>2023</v>
      </c>
      <c r="BN81" s="23">
        <f t="shared" ref="BN81:BN108" si="149">+BN80+1</f>
        <v>3</v>
      </c>
      <c r="BO81" s="24">
        <f t="shared" ref="BO81:CR81" si="150">1-(1 -BO47)^(1/12)</f>
        <v>8.3717735912058888E-4</v>
      </c>
      <c r="BP81" s="24">
        <f t="shared" si="150"/>
        <v>1.6821425527395739E-3</v>
      </c>
      <c r="BQ81" s="24">
        <f t="shared" si="150"/>
        <v>2.5350486138366879E-3</v>
      </c>
      <c r="BR81" s="24">
        <f t="shared" si="150"/>
        <v>2.5350486138366879E-3</v>
      </c>
      <c r="BS81" s="24">
        <f t="shared" si="150"/>
        <v>2.5350486138366879E-3</v>
      </c>
      <c r="BT81" s="24">
        <f t="shared" si="150"/>
        <v>2.5350486138366879E-3</v>
      </c>
      <c r="BU81" s="24">
        <f t="shared" si="150"/>
        <v>2.5350486138366879E-3</v>
      </c>
      <c r="BV81" s="24">
        <f t="shared" si="150"/>
        <v>4.2653187775606449E-3</v>
      </c>
      <c r="BW81" s="24">
        <f t="shared" si="150"/>
        <v>3.3960531989175591E-3</v>
      </c>
      <c r="BX81" s="24">
        <f t="shared" si="150"/>
        <v>2.5350486138366879E-3</v>
      </c>
      <c r="BY81" s="24">
        <f t="shared" si="150"/>
        <v>2.5350486138366879E-3</v>
      </c>
      <c r="BZ81" s="24">
        <f t="shared" si="150"/>
        <v>2.5350486138366879E-3</v>
      </c>
      <c r="CA81" s="24">
        <f t="shared" si="150"/>
        <v>2.5350486138366879E-3</v>
      </c>
      <c r="CB81" s="24">
        <f t="shared" si="150"/>
        <v>2.5350486138366879E-3</v>
      </c>
      <c r="CC81" s="24">
        <f t="shared" si="150"/>
        <v>2.5350486138366879E-3</v>
      </c>
      <c r="CD81" s="24">
        <f t="shared" si="150"/>
        <v>2.5350486138366879E-3</v>
      </c>
      <c r="CE81" s="24">
        <f t="shared" si="150"/>
        <v>2.5350486138366879E-3</v>
      </c>
      <c r="CF81" s="24">
        <f t="shared" si="150"/>
        <v>2.5350486138366879E-3</v>
      </c>
      <c r="CG81" s="24">
        <f t="shared" si="150"/>
        <v>2.5350486138366879E-3</v>
      </c>
      <c r="CH81" s="24">
        <f t="shared" si="150"/>
        <v>2.5350486138366879E-3</v>
      </c>
      <c r="CI81" s="24">
        <f t="shared" si="150"/>
        <v>2.5350486138366879E-3</v>
      </c>
      <c r="CJ81" s="24">
        <f t="shared" si="150"/>
        <v>2.5350486138366879E-3</v>
      </c>
      <c r="CK81" s="24">
        <f t="shared" si="150"/>
        <v>2.5350486138366879E-3</v>
      </c>
      <c r="CL81" s="24">
        <f t="shared" si="150"/>
        <v>2.5350486138366879E-3</v>
      </c>
      <c r="CM81" s="24">
        <f t="shared" si="150"/>
        <v>2.5350486138366879E-3</v>
      </c>
      <c r="CN81" s="24">
        <f t="shared" si="150"/>
        <v>2.5350486138366879E-3</v>
      </c>
      <c r="CO81" s="24">
        <f t="shared" si="150"/>
        <v>2.5350486138366879E-3</v>
      </c>
      <c r="CP81" s="24">
        <f t="shared" si="150"/>
        <v>2.5350486138366879E-3</v>
      </c>
      <c r="CQ81" s="24">
        <f t="shared" si="150"/>
        <v>2.5350486138366879E-3</v>
      </c>
      <c r="CR81" s="24">
        <f t="shared" si="150"/>
        <v>2.5350486138366879E-3</v>
      </c>
    </row>
    <row r="82" spans="5:96" x14ac:dyDescent="0.2">
      <c r="E82" s="6">
        <v>76</v>
      </c>
      <c r="F82" s="26">
        <v>5.6640000000000003E-2</v>
      </c>
      <c r="G82" s="27">
        <v>2.3689999999999999E-2</v>
      </c>
      <c r="H82" s="27">
        <f t="shared" si="116"/>
        <v>2.3689999999999999E-2</v>
      </c>
      <c r="I82" s="28">
        <f t="shared" si="110"/>
        <v>1.9959321438459687E-3</v>
      </c>
      <c r="J82" s="27">
        <f t="shared" si="117"/>
        <v>2.3689999999999999E-2</v>
      </c>
      <c r="K82" s="28">
        <f t="shared" si="111"/>
        <v>1.9959321438459687E-3</v>
      </c>
      <c r="L82" s="27">
        <f t="shared" si="118"/>
        <v>2.3689999999999999E-2</v>
      </c>
      <c r="M82" s="28">
        <f t="shared" si="112"/>
        <v>1.9959321438459687E-3</v>
      </c>
      <c r="N82" s="27">
        <f t="shared" si="119"/>
        <v>2.3689999999999999E-2</v>
      </c>
      <c r="O82" s="28">
        <f t="shared" si="113"/>
        <v>1.9959321438459687E-3</v>
      </c>
      <c r="P82" s="5">
        <v>4.0000000000000002E-4</v>
      </c>
      <c r="Q82" s="28">
        <f t="shared" si="120"/>
        <v>3.3339446006586115E-5</v>
      </c>
      <c r="S82" s="28"/>
      <c r="U82" s="28"/>
      <c r="V82" s="5">
        <v>4.0000000000000002E-4</v>
      </c>
      <c r="W82" s="28">
        <f t="shared" si="114"/>
        <v>3.3339446006586115E-5</v>
      </c>
      <c r="BM82" s="23">
        <f t="shared" si="145"/>
        <v>2023</v>
      </c>
      <c r="BN82" s="23">
        <f t="shared" si="149"/>
        <v>4</v>
      </c>
      <c r="BO82" s="24">
        <f t="shared" ref="BO82:CR82" si="151">1-(1 -BO48)^(1/12)</f>
        <v>8.3717735912058888E-4</v>
      </c>
      <c r="BP82" s="24">
        <f t="shared" si="151"/>
        <v>1.6821425527395739E-3</v>
      </c>
      <c r="BQ82" s="24">
        <f t="shared" si="151"/>
        <v>2.5350486138366879E-3</v>
      </c>
      <c r="BR82" s="24">
        <f t="shared" si="151"/>
        <v>2.5350486138366879E-3</v>
      </c>
      <c r="BS82" s="24">
        <f t="shared" si="151"/>
        <v>2.5350486138366879E-3</v>
      </c>
      <c r="BT82" s="24">
        <f t="shared" si="151"/>
        <v>2.5350486138366879E-3</v>
      </c>
      <c r="BU82" s="24">
        <f t="shared" si="151"/>
        <v>2.5350486138366879E-3</v>
      </c>
      <c r="BV82" s="24">
        <f t="shared" si="151"/>
        <v>4.2653187775606449E-3</v>
      </c>
      <c r="BW82" s="24">
        <f t="shared" si="151"/>
        <v>3.3960531989175591E-3</v>
      </c>
      <c r="BX82" s="24">
        <f t="shared" si="151"/>
        <v>2.5350486138366879E-3</v>
      </c>
      <c r="BY82" s="24">
        <f t="shared" si="151"/>
        <v>2.5350486138366879E-3</v>
      </c>
      <c r="BZ82" s="24">
        <f t="shared" si="151"/>
        <v>2.5350486138366879E-3</v>
      </c>
      <c r="CA82" s="24">
        <f t="shared" si="151"/>
        <v>2.5350486138366879E-3</v>
      </c>
      <c r="CB82" s="24">
        <f t="shared" si="151"/>
        <v>2.5350486138366879E-3</v>
      </c>
      <c r="CC82" s="24">
        <f t="shared" si="151"/>
        <v>2.5350486138366879E-3</v>
      </c>
      <c r="CD82" s="24">
        <f t="shared" si="151"/>
        <v>2.5350486138366879E-3</v>
      </c>
      <c r="CE82" s="24">
        <f t="shared" si="151"/>
        <v>2.5350486138366879E-3</v>
      </c>
      <c r="CF82" s="24">
        <f t="shared" si="151"/>
        <v>2.5350486138366879E-3</v>
      </c>
      <c r="CG82" s="24">
        <f t="shared" si="151"/>
        <v>2.5350486138366879E-3</v>
      </c>
      <c r="CH82" s="24">
        <f t="shared" si="151"/>
        <v>2.5350486138366879E-3</v>
      </c>
      <c r="CI82" s="24">
        <f t="shared" si="151"/>
        <v>2.5350486138366879E-3</v>
      </c>
      <c r="CJ82" s="24">
        <f t="shared" si="151"/>
        <v>2.5350486138366879E-3</v>
      </c>
      <c r="CK82" s="24">
        <f t="shared" si="151"/>
        <v>2.5350486138366879E-3</v>
      </c>
      <c r="CL82" s="24">
        <f t="shared" si="151"/>
        <v>2.5350486138366879E-3</v>
      </c>
      <c r="CM82" s="24">
        <f t="shared" si="151"/>
        <v>2.5350486138366879E-3</v>
      </c>
      <c r="CN82" s="24">
        <f t="shared" si="151"/>
        <v>2.5350486138366879E-3</v>
      </c>
      <c r="CO82" s="24">
        <f t="shared" si="151"/>
        <v>2.5350486138366879E-3</v>
      </c>
      <c r="CP82" s="24">
        <f t="shared" si="151"/>
        <v>2.5350486138366879E-3</v>
      </c>
      <c r="CQ82" s="24">
        <f t="shared" si="151"/>
        <v>2.5350486138366879E-3</v>
      </c>
      <c r="CR82" s="24">
        <f t="shared" si="151"/>
        <v>2.5350486138366879E-3</v>
      </c>
    </row>
    <row r="83" spans="5:96" x14ac:dyDescent="0.2">
      <c r="E83" s="6">
        <v>77</v>
      </c>
      <c r="F83" s="26">
        <v>6.2539999999999998E-2</v>
      </c>
      <c r="G83" s="27">
        <v>2.7380000000000002E-2</v>
      </c>
      <c r="H83" s="27">
        <f t="shared" si="116"/>
        <v>2.7380000000000002E-2</v>
      </c>
      <c r="I83" s="28">
        <f t="shared" si="110"/>
        <v>2.3108107719939097E-3</v>
      </c>
      <c r="J83" s="27">
        <f t="shared" si="117"/>
        <v>2.7380000000000002E-2</v>
      </c>
      <c r="K83" s="28">
        <f t="shared" si="111"/>
        <v>2.3108107719939097E-3</v>
      </c>
      <c r="L83" s="27">
        <f t="shared" si="118"/>
        <v>2.7380000000000002E-2</v>
      </c>
      <c r="M83" s="28">
        <f t="shared" si="112"/>
        <v>2.3108107719939097E-3</v>
      </c>
      <c r="N83" s="27">
        <f t="shared" si="119"/>
        <v>2.7380000000000002E-2</v>
      </c>
      <c r="O83" s="28">
        <f t="shared" si="113"/>
        <v>2.3108107719939097E-3</v>
      </c>
      <c r="P83" s="5">
        <v>4.0000000000000002E-4</v>
      </c>
      <c r="Q83" s="28">
        <f t="shared" si="120"/>
        <v>3.3339446006586115E-5</v>
      </c>
      <c r="S83" s="28"/>
      <c r="U83" s="28"/>
      <c r="V83" s="5">
        <v>4.0000000000000002E-4</v>
      </c>
      <c r="W83" s="28">
        <f t="shared" si="114"/>
        <v>3.3339446006586115E-5</v>
      </c>
      <c r="BM83" s="23">
        <f t="shared" si="145"/>
        <v>2023</v>
      </c>
      <c r="BN83" s="23">
        <f t="shared" si="149"/>
        <v>5</v>
      </c>
      <c r="BO83" s="24">
        <f t="shared" ref="BO83:CR83" si="152">1-(1 -BO49)^(1/12)</f>
        <v>8.3717735912058888E-4</v>
      </c>
      <c r="BP83" s="24">
        <f t="shared" si="152"/>
        <v>1.6821425527395739E-3</v>
      </c>
      <c r="BQ83" s="24">
        <f t="shared" si="152"/>
        <v>2.5350486138366879E-3</v>
      </c>
      <c r="BR83" s="24">
        <f t="shared" si="152"/>
        <v>2.5350486138366879E-3</v>
      </c>
      <c r="BS83" s="24">
        <f t="shared" si="152"/>
        <v>2.5350486138366879E-3</v>
      </c>
      <c r="BT83" s="24">
        <f t="shared" si="152"/>
        <v>2.5350486138366879E-3</v>
      </c>
      <c r="BU83" s="24">
        <f t="shared" si="152"/>
        <v>2.5350486138366879E-3</v>
      </c>
      <c r="BV83" s="24">
        <f t="shared" si="152"/>
        <v>4.2653187775606449E-3</v>
      </c>
      <c r="BW83" s="24">
        <f t="shared" si="152"/>
        <v>3.3960531989175591E-3</v>
      </c>
      <c r="BX83" s="24">
        <f t="shared" si="152"/>
        <v>2.5350486138366879E-3</v>
      </c>
      <c r="BY83" s="24">
        <f t="shared" si="152"/>
        <v>2.5350486138366879E-3</v>
      </c>
      <c r="BZ83" s="24">
        <f t="shared" si="152"/>
        <v>2.5350486138366879E-3</v>
      </c>
      <c r="CA83" s="24">
        <f t="shared" si="152"/>
        <v>2.5350486138366879E-3</v>
      </c>
      <c r="CB83" s="24">
        <f t="shared" si="152"/>
        <v>2.5350486138366879E-3</v>
      </c>
      <c r="CC83" s="24">
        <f t="shared" si="152"/>
        <v>2.5350486138366879E-3</v>
      </c>
      <c r="CD83" s="24">
        <f t="shared" si="152"/>
        <v>2.5350486138366879E-3</v>
      </c>
      <c r="CE83" s="24">
        <f t="shared" si="152"/>
        <v>2.5350486138366879E-3</v>
      </c>
      <c r="CF83" s="24">
        <f t="shared" si="152"/>
        <v>2.5350486138366879E-3</v>
      </c>
      <c r="CG83" s="24">
        <f t="shared" si="152"/>
        <v>2.5350486138366879E-3</v>
      </c>
      <c r="CH83" s="24">
        <f t="shared" si="152"/>
        <v>2.5350486138366879E-3</v>
      </c>
      <c r="CI83" s="24">
        <f t="shared" si="152"/>
        <v>2.5350486138366879E-3</v>
      </c>
      <c r="CJ83" s="24">
        <f t="shared" si="152"/>
        <v>2.5350486138366879E-3</v>
      </c>
      <c r="CK83" s="24">
        <f t="shared" si="152"/>
        <v>2.5350486138366879E-3</v>
      </c>
      <c r="CL83" s="24">
        <f t="shared" si="152"/>
        <v>2.5350486138366879E-3</v>
      </c>
      <c r="CM83" s="24">
        <f t="shared" si="152"/>
        <v>2.5350486138366879E-3</v>
      </c>
      <c r="CN83" s="24">
        <f t="shared" si="152"/>
        <v>2.5350486138366879E-3</v>
      </c>
      <c r="CO83" s="24">
        <f t="shared" si="152"/>
        <v>2.5350486138366879E-3</v>
      </c>
      <c r="CP83" s="24">
        <f t="shared" si="152"/>
        <v>2.5350486138366879E-3</v>
      </c>
      <c r="CQ83" s="24">
        <f t="shared" si="152"/>
        <v>2.5350486138366879E-3</v>
      </c>
      <c r="CR83" s="24">
        <f t="shared" si="152"/>
        <v>2.5350486138366879E-3</v>
      </c>
    </row>
    <row r="84" spans="5:96" x14ac:dyDescent="0.2">
      <c r="E84" s="6">
        <v>78</v>
      </c>
      <c r="F84" s="26">
        <v>6.9419999999999996E-2</v>
      </c>
      <c r="G84" s="27">
        <v>3.1300000000000001E-2</v>
      </c>
      <c r="H84" s="27">
        <f t="shared" si="116"/>
        <v>3.1300000000000001E-2</v>
      </c>
      <c r="I84" s="28">
        <f t="shared" si="110"/>
        <v>2.6465178264365452E-3</v>
      </c>
      <c r="J84" s="27">
        <f t="shared" si="117"/>
        <v>3.1300000000000001E-2</v>
      </c>
      <c r="K84" s="28">
        <f t="shared" si="111"/>
        <v>2.6465178264365452E-3</v>
      </c>
      <c r="L84" s="27">
        <f t="shared" si="118"/>
        <v>3.1300000000000001E-2</v>
      </c>
      <c r="M84" s="28">
        <f t="shared" si="112"/>
        <v>2.6465178264365452E-3</v>
      </c>
      <c r="N84" s="27">
        <f t="shared" si="119"/>
        <v>3.1300000000000001E-2</v>
      </c>
      <c r="O84" s="28">
        <f t="shared" si="113"/>
        <v>2.6465178264365452E-3</v>
      </c>
      <c r="P84" s="5">
        <v>4.0000000000000002E-4</v>
      </c>
      <c r="Q84" s="28">
        <f t="shared" si="120"/>
        <v>3.3339446006586115E-5</v>
      </c>
      <c r="S84" s="28"/>
      <c r="U84" s="28"/>
      <c r="V84" s="5">
        <v>4.0000000000000002E-4</v>
      </c>
      <c r="W84" s="28">
        <f t="shared" si="114"/>
        <v>3.3339446006586115E-5</v>
      </c>
      <c r="BM84" s="23">
        <f t="shared" si="145"/>
        <v>2023</v>
      </c>
      <c r="BN84" s="23">
        <f t="shared" si="149"/>
        <v>6</v>
      </c>
      <c r="BO84" s="24">
        <f t="shared" ref="BO84:CR84" si="153">1-(1 -BO50)^(1/12)</f>
        <v>8.3717735912058888E-4</v>
      </c>
      <c r="BP84" s="24">
        <f t="shared" si="153"/>
        <v>1.6821425527395739E-3</v>
      </c>
      <c r="BQ84" s="24">
        <f t="shared" si="153"/>
        <v>2.5350486138366879E-3</v>
      </c>
      <c r="BR84" s="24">
        <f t="shared" si="153"/>
        <v>2.5350486138366879E-3</v>
      </c>
      <c r="BS84" s="24">
        <f t="shared" si="153"/>
        <v>2.5350486138366879E-3</v>
      </c>
      <c r="BT84" s="24">
        <f t="shared" si="153"/>
        <v>2.5350486138366879E-3</v>
      </c>
      <c r="BU84" s="24">
        <f t="shared" si="153"/>
        <v>2.5350486138366879E-3</v>
      </c>
      <c r="BV84" s="24">
        <f t="shared" si="153"/>
        <v>4.2653187775606449E-3</v>
      </c>
      <c r="BW84" s="24">
        <f t="shared" si="153"/>
        <v>3.3960531989175591E-3</v>
      </c>
      <c r="BX84" s="24">
        <f t="shared" si="153"/>
        <v>2.5350486138366879E-3</v>
      </c>
      <c r="BY84" s="24">
        <f t="shared" si="153"/>
        <v>2.5350486138366879E-3</v>
      </c>
      <c r="BZ84" s="24">
        <f t="shared" si="153"/>
        <v>2.5350486138366879E-3</v>
      </c>
      <c r="CA84" s="24">
        <f t="shared" si="153"/>
        <v>2.5350486138366879E-3</v>
      </c>
      <c r="CB84" s="24">
        <f t="shared" si="153"/>
        <v>2.5350486138366879E-3</v>
      </c>
      <c r="CC84" s="24">
        <f t="shared" si="153"/>
        <v>2.5350486138366879E-3</v>
      </c>
      <c r="CD84" s="24">
        <f t="shared" si="153"/>
        <v>2.5350486138366879E-3</v>
      </c>
      <c r="CE84" s="24">
        <f t="shared" si="153"/>
        <v>2.5350486138366879E-3</v>
      </c>
      <c r="CF84" s="24">
        <f t="shared" si="153"/>
        <v>2.5350486138366879E-3</v>
      </c>
      <c r="CG84" s="24">
        <f t="shared" si="153"/>
        <v>2.5350486138366879E-3</v>
      </c>
      <c r="CH84" s="24">
        <f t="shared" si="153"/>
        <v>2.5350486138366879E-3</v>
      </c>
      <c r="CI84" s="24">
        <f t="shared" si="153"/>
        <v>2.5350486138366879E-3</v>
      </c>
      <c r="CJ84" s="24">
        <f t="shared" si="153"/>
        <v>2.5350486138366879E-3</v>
      </c>
      <c r="CK84" s="24">
        <f t="shared" si="153"/>
        <v>2.5350486138366879E-3</v>
      </c>
      <c r="CL84" s="24">
        <f t="shared" si="153"/>
        <v>2.5350486138366879E-3</v>
      </c>
      <c r="CM84" s="24">
        <f t="shared" si="153"/>
        <v>2.5350486138366879E-3</v>
      </c>
      <c r="CN84" s="24">
        <f t="shared" si="153"/>
        <v>2.5350486138366879E-3</v>
      </c>
      <c r="CO84" s="24">
        <f t="shared" si="153"/>
        <v>2.5350486138366879E-3</v>
      </c>
      <c r="CP84" s="24">
        <f t="shared" si="153"/>
        <v>2.5350486138366879E-3</v>
      </c>
      <c r="CQ84" s="24">
        <f t="shared" si="153"/>
        <v>2.5350486138366879E-3</v>
      </c>
      <c r="CR84" s="24">
        <f t="shared" si="153"/>
        <v>2.5350486138366879E-3</v>
      </c>
    </row>
    <row r="85" spans="5:96" x14ac:dyDescent="0.2">
      <c r="E85" s="6">
        <v>79</v>
      </c>
      <c r="F85" s="26">
        <v>7.7340000000000006E-2</v>
      </c>
      <c r="G85" s="27">
        <v>3.6929999999999998E-2</v>
      </c>
      <c r="H85" s="27">
        <f t="shared" si="116"/>
        <v>3.6929999999999998E-2</v>
      </c>
      <c r="I85" s="28">
        <f t="shared" si="110"/>
        <v>3.1308536499841111E-3</v>
      </c>
      <c r="J85" s="27">
        <f t="shared" si="117"/>
        <v>3.6929999999999998E-2</v>
      </c>
      <c r="K85" s="28">
        <f t="shared" si="111"/>
        <v>3.1308536499841111E-3</v>
      </c>
      <c r="L85" s="27">
        <f t="shared" si="118"/>
        <v>3.6929999999999998E-2</v>
      </c>
      <c r="M85" s="28">
        <f t="shared" si="112"/>
        <v>3.1308536499841111E-3</v>
      </c>
      <c r="N85" s="27">
        <f t="shared" si="119"/>
        <v>3.6929999999999998E-2</v>
      </c>
      <c r="O85" s="28">
        <f t="shared" si="113"/>
        <v>3.1308536499841111E-3</v>
      </c>
      <c r="P85" s="5">
        <v>4.0000000000000002E-4</v>
      </c>
      <c r="Q85" s="28">
        <f t="shared" si="120"/>
        <v>3.3339446006586115E-5</v>
      </c>
      <c r="S85" s="28"/>
      <c r="U85" s="28"/>
      <c r="V85" s="5">
        <v>4.0000000000000002E-4</v>
      </c>
      <c r="W85" s="28">
        <f t="shared" si="114"/>
        <v>3.3339446006586115E-5</v>
      </c>
      <c r="BM85" s="23">
        <f t="shared" si="145"/>
        <v>2023</v>
      </c>
      <c r="BN85" s="23">
        <f t="shared" si="149"/>
        <v>7</v>
      </c>
      <c r="BO85" s="24">
        <f t="shared" ref="BO85:CR85" si="154">1-(1 -BO51)^(1/12)</f>
        <v>8.3717735912058888E-4</v>
      </c>
      <c r="BP85" s="24">
        <f t="shared" si="154"/>
        <v>1.6821425527395739E-3</v>
      </c>
      <c r="BQ85" s="24">
        <f t="shared" si="154"/>
        <v>2.5350486138366879E-3</v>
      </c>
      <c r="BR85" s="24">
        <f t="shared" si="154"/>
        <v>2.5350486138366879E-3</v>
      </c>
      <c r="BS85" s="24">
        <f t="shared" si="154"/>
        <v>2.5350486138366879E-3</v>
      </c>
      <c r="BT85" s="24">
        <f t="shared" si="154"/>
        <v>2.5350486138366879E-3</v>
      </c>
      <c r="BU85" s="24">
        <f t="shared" si="154"/>
        <v>2.5350486138366879E-3</v>
      </c>
      <c r="BV85" s="24">
        <f t="shared" si="154"/>
        <v>4.2653187775606449E-3</v>
      </c>
      <c r="BW85" s="24">
        <f t="shared" si="154"/>
        <v>3.3960531989175591E-3</v>
      </c>
      <c r="BX85" s="24">
        <f t="shared" si="154"/>
        <v>2.5350486138366879E-3</v>
      </c>
      <c r="BY85" s="24">
        <f t="shared" si="154"/>
        <v>2.5350486138366879E-3</v>
      </c>
      <c r="BZ85" s="24">
        <f t="shared" si="154"/>
        <v>2.5350486138366879E-3</v>
      </c>
      <c r="CA85" s="24">
        <f t="shared" si="154"/>
        <v>2.5350486138366879E-3</v>
      </c>
      <c r="CB85" s="24">
        <f t="shared" si="154"/>
        <v>2.5350486138366879E-3</v>
      </c>
      <c r="CC85" s="24">
        <f t="shared" si="154"/>
        <v>2.5350486138366879E-3</v>
      </c>
      <c r="CD85" s="24">
        <f t="shared" si="154"/>
        <v>2.5350486138366879E-3</v>
      </c>
      <c r="CE85" s="24">
        <f t="shared" si="154"/>
        <v>2.5350486138366879E-3</v>
      </c>
      <c r="CF85" s="24">
        <f t="shared" si="154"/>
        <v>2.5350486138366879E-3</v>
      </c>
      <c r="CG85" s="24">
        <f t="shared" si="154"/>
        <v>2.5350486138366879E-3</v>
      </c>
      <c r="CH85" s="24">
        <f t="shared" si="154"/>
        <v>2.5350486138366879E-3</v>
      </c>
      <c r="CI85" s="24">
        <f t="shared" si="154"/>
        <v>2.5350486138366879E-3</v>
      </c>
      <c r="CJ85" s="24">
        <f t="shared" si="154"/>
        <v>2.5350486138366879E-3</v>
      </c>
      <c r="CK85" s="24">
        <f t="shared" si="154"/>
        <v>2.5350486138366879E-3</v>
      </c>
      <c r="CL85" s="24">
        <f t="shared" si="154"/>
        <v>2.5350486138366879E-3</v>
      </c>
      <c r="CM85" s="24">
        <f t="shared" si="154"/>
        <v>2.5350486138366879E-3</v>
      </c>
      <c r="CN85" s="24">
        <f t="shared" si="154"/>
        <v>2.5350486138366879E-3</v>
      </c>
      <c r="CO85" s="24">
        <f t="shared" si="154"/>
        <v>2.5350486138366879E-3</v>
      </c>
      <c r="CP85" s="24">
        <f t="shared" si="154"/>
        <v>2.5350486138366879E-3</v>
      </c>
      <c r="CQ85" s="24">
        <f t="shared" si="154"/>
        <v>2.5350486138366879E-3</v>
      </c>
      <c r="CR85" s="24">
        <f t="shared" si="154"/>
        <v>2.5350486138366879E-3</v>
      </c>
    </row>
    <row r="86" spans="5:96" x14ac:dyDescent="0.2">
      <c r="E86" s="6">
        <v>80</v>
      </c>
      <c r="F86" s="26">
        <v>8.5970000000000005E-2</v>
      </c>
      <c r="G86" s="27">
        <v>4.5179999999999998E-2</v>
      </c>
      <c r="H86" s="27">
        <f t="shared" si="116"/>
        <v>4.5179999999999998E-2</v>
      </c>
      <c r="I86" s="28">
        <f t="shared" si="110"/>
        <v>3.8452910229609394E-3</v>
      </c>
      <c r="J86" s="27">
        <f t="shared" si="117"/>
        <v>4.5179999999999998E-2</v>
      </c>
      <c r="K86" s="28">
        <f t="shared" si="111"/>
        <v>3.8452910229609394E-3</v>
      </c>
      <c r="L86" s="27">
        <f t="shared" si="118"/>
        <v>4.5179999999999998E-2</v>
      </c>
      <c r="M86" s="28">
        <f t="shared" si="112"/>
        <v>3.8452910229609394E-3</v>
      </c>
      <c r="N86" s="27">
        <f t="shared" si="119"/>
        <v>4.5179999999999998E-2</v>
      </c>
      <c r="O86" s="28">
        <f t="shared" si="113"/>
        <v>3.8452910229609394E-3</v>
      </c>
      <c r="P86" s="5">
        <v>4.0000000000000002E-4</v>
      </c>
      <c r="Q86" s="28">
        <f t="shared" si="120"/>
        <v>3.3339446006586115E-5</v>
      </c>
      <c r="S86" s="28"/>
      <c r="U86" s="28"/>
      <c r="V86" s="5">
        <v>4.0000000000000002E-4</v>
      </c>
      <c r="W86" s="28">
        <f t="shared" si="114"/>
        <v>3.3339446006586115E-5</v>
      </c>
      <c r="BM86" s="23">
        <f t="shared" si="145"/>
        <v>2023</v>
      </c>
      <c r="BN86" s="23">
        <f t="shared" si="149"/>
        <v>8</v>
      </c>
      <c r="BO86" s="24">
        <f t="shared" ref="BO86:CR86" si="155">1-(1 -BO52)^(1/12)</f>
        <v>8.3717735912058888E-4</v>
      </c>
      <c r="BP86" s="24">
        <f t="shared" si="155"/>
        <v>1.6821425527395739E-3</v>
      </c>
      <c r="BQ86" s="24">
        <f t="shared" si="155"/>
        <v>2.5350486138366879E-3</v>
      </c>
      <c r="BR86" s="24">
        <f t="shared" si="155"/>
        <v>2.5350486138366879E-3</v>
      </c>
      <c r="BS86" s="24">
        <f t="shared" si="155"/>
        <v>2.5350486138366879E-3</v>
      </c>
      <c r="BT86" s="24">
        <f t="shared" si="155"/>
        <v>2.5350486138366879E-3</v>
      </c>
      <c r="BU86" s="24">
        <f t="shared" si="155"/>
        <v>2.5350486138366879E-3</v>
      </c>
      <c r="BV86" s="24">
        <f t="shared" si="155"/>
        <v>4.2653187775606449E-3</v>
      </c>
      <c r="BW86" s="24">
        <f t="shared" si="155"/>
        <v>3.3960531989175591E-3</v>
      </c>
      <c r="BX86" s="24">
        <f t="shared" si="155"/>
        <v>2.5350486138366879E-3</v>
      </c>
      <c r="BY86" s="24">
        <f t="shared" si="155"/>
        <v>2.5350486138366879E-3</v>
      </c>
      <c r="BZ86" s="24">
        <f t="shared" si="155"/>
        <v>2.5350486138366879E-3</v>
      </c>
      <c r="CA86" s="24">
        <f t="shared" si="155"/>
        <v>2.5350486138366879E-3</v>
      </c>
      <c r="CB86" s="24">
        <f t="shared" si="155"/>
        <v>2.5350486138366879E-3</v>
      </c>
      <c r="CC86" s="24">
        <f t="shared" si="155"/>
        <v>2.5350486138366879E-3</v>
      </c>
      <c r="CD86" s="24">
        <f t="shared" si="155"/>
        <v>2.5350486138366879E-3</v>
      </c>
      <c r="CE86" s="24">
        <f t="shared" si="155"/>
        <v>2.5350486138366879E-3</v>
      </c>
      <c r="CF86" s="24">
        <f t="shared" si="155"/>
        <v>2.5350486138366879E-3</v>
      </c>
      <c r="CG86" s="24">
        <f t="shared" si="155"/>
        <v>2.5350486138366879E-3</v>
      </c>
      <c r="CH86" s="24">
        <f t="shared" si="155"/>
        <v>2.5350486138366879E-3</v>
      </c>
      <c r="CI86" s="24">
        <f t="shared" si="155"/>
        <v>2.5350486138366879E-3</v>
      </c>
      <c r="CJ86" s="24">
        <f t="shared" si="155"/>
        <v>2.5350486138366879E-3</v>
      </c>
      <c r="CK86" s="24">
        <f t="shared" si="155"/>
        <v>2.5350486138366879E-3</v>
      </c>
      <c r="CL86" s="24">
        <f t="shared" si="155"/>
        <v>2.5350486138366879E-3</v>
      </c>
      <c r="CM86" s="24">
        <f t="shared" si="155"/>
        <v>2.5350486138366879E-3</v>
      </c>
      <c r="CN86" s="24">
        <f t="shared" si="155"/>
        <v>2.5350486138366879E-3</v>
      </c>
      <c r="CO86" s="24">
        <f t="shared" si="155"/>
        <v>2.5350486138366879E-3</v>
      </c>
      <c r="CP86" s="24">
        <f t="shared" si="155"/>
        <v>2.5350486138366879E-3</v>
      </c>
      <c r="CQ86" s="24">
        <f t="shared" si="155"/>
        <v>2.5350486138366879E-3</v>
      </c>
      <c r="CR86" s="24">
        <f t="shared" si="155"/>
        <v>2.5350486138366879E-3</v>
      </c>
    </row>
    <row r="87" spans="5:96" x14ac:dyDescent="0.2">
      <c r="E87" s="6">
        <v>81</v>
      </c>
      <c r="F87" s="26">
        <v>9.5769999999999994E-2</v>
      </c>
      <c r="G87" s="27">
        <v>5.527E-2</v>
      </c>
      <c r="H87" s="27">
        <f t="shared" si="116"/>
        <v>5.527E-2</v>
      </c>
      <c r="I87" s="28">
        <f t="shared" si="110"/>
        <v>4.7268022251634179E-3</v>
      </c>
      <c r="J87" s="27">
        <f t="shared" si="117"/>
        <v>5.527E-2</v>
      </c>
      <c r="K87" s="28">
        <f t="shared" si="111"/>
        <v>4.7268022251634179E-3</v>
      </c>
      <c r="L87" s="27">
        <f t="shared" si="118"/>
        <v>5.527E-2</v>
      </c>
      <c r="M87" s="28">
        <f t="shared" si="112"/>
        <v>4.7268022251634179E-3</v>
      </c>
      <c r="N87" s="27">
        <f t="shared" si="119"/>
        <v>5.527E-2</v>
      </c>
      <c r="O87" s="28">
        <f t="shared" si="113"/>
        <v>4.7268022251634179E-3</v>
      </c>
      <c r="P87" s="5">
        <v>4.0000000000000002E-4</v>
      </c>
      <c r="Q87" s="28">
        <f t="shared" si="120"/>
        <v>3.3339446006586115E-5</v>
      </c>
      <c r="S87" s="28"/>
      <c r="U87" s="28"/>
      <c r="V87" s="5">
        <v>4.0000000000000002E-4</v>
      </c>
      <c r="W87" s="28">
        <f t="shared" si="114"/>
        <v>3.3339446006586115E-5</v>
      </c>
      <c r="BM87" s="23">
        <f t="shared" si="145"/>
        <v>2023</v>
      </c>
      <c r="BN87" s="23">
        <f t="shared" si="149"/>
        <v>9</v>
      </c>
      <c r="BO87" s="24">
        <f t="shared" ref="BO87:CR87" si="156">1-(1 -BO53)^(1/12)</f>
        <v>8.3717735912058888E-4</v>
      </c>
      <c r="BP87" s="24">
        <f t="shared" si="156"/>
        <v>1.6821425527395739E-3</v>
      </c>
      <c r="BQ87" s="24">
        <f t="shared" si="156"/>
        <v>2.5350486138366879E-3</v>
      </c>
      <c r="BR87" s="24">
        <f t="shared" si="156"/>
        <v>2.5350486138366879E-3</v>
      </c>
      <c r="BS87" s="24">
        <f t="shared" si="156"/>
        <v>2.5350486138366879E-3</v>
      </c>
      <c r="BT87" s="24">
        <f t="shared" si="156"/>
        <v>2.5350486138366879E-3</v>
      </c>
      <c r="BU87" s="24">
        <f t="shared" si="156"/>
        <v>2.5350486138366879E-3</v>
      </c>
      <c r="BV87" s="24">
        <f t="shared" si="156"/>
        <v>4.2653187775606449E-3</v>
      </c>
      <c r="BW87" s="24">
        <f t="shared" si="156"/>
        <v>3.3960531989175591E-3</v>
      </c>
      <c r="BX87" s="24">
        <f t="shared" si="156"/>
        <v>2.5350486138366879E-3</v>
      </c>
      <c r="BY87" s="24">
        <f t="shared" si="156"/>
        <v>2.5350486138366879E-3</v>
      </c>
      <c r="BZ87" s="24">
        <f t="shared" si="156"/>
        <v>2.5350486138366879E-3</v>
      </c>
      <c r="CA87" s="24">
        <f t="shared" si="156"/>
        <v>2.5350486138366879E-3</v>
      </c>
      <c r="CB87" s="24">
        <f t="shared" si="156"/>
        <v>2.5350486138366879E-3</v>
      </c>
      <c r="CC87" s="24">
        <f t="shared" si="156"/>
        <v>2.5350486138366879E-3</v>
      </c>
      <c r="CD87" s="24">
        <f t="shared" si="156"/>
        <v>2.5350486138366879E-3</v>
      </c>
      <c r="CE87" s="24">
        <f t="shared" si="156"/>
        <v>2.5350486138366879E-3</v>
      </c>
      <c r="CF87" s="24">
        <f t="shared" si="156"/>
        <v>2.5350486138366879E-3</v>
      </c>
      <c r="CG87" s="24">
        <f t="shared" si="156"/>
        <v>2.5350486138366879E-3</v>
      </c>
      <c r="CH87" s="24">
        <f t="shared" si="156"/>
        <v>2.5350486138366879E-3</v>
      </c>
      <c r="CI87" s="24">
        <f t="shared" si="156"/>
        <v>2.5350486138366879E-3</v>
      </c>
      <c r="CJ87" s="24">
        <f t="shared" si="156"/>
        <v>2.5350486138366879E-3</v>
      </c>
      <c r="CK87" s="24">
        <f t="shared" si="156"/>
        <v>2.5350486138366879E-3</v>
      </c>
      <c r="CL87" s="24">
        <f t="shared" si="156"/>
        <v>2.5350486138366879E-3</v>
      </c>
      <c r="CM87" s="24">
        <f t="shared" si="156"/>
        <v>2.5350486138366879E-3</v>
      </c>
      <c r="CN87" s="24">
        <f t="shared" si="156"/>
        <v>2.5350486138366879E-3</v>
      </c>
      <c r="CO87" s="24">
        <f t="shared" si="156"/>
        <v>2.5350486138366879E-3</v>
      </c>
      <c r="CP87" s="24">
        <f t="shared" si="156"/>
        <v>2.5350486138366879E-3</v>
      </c>
      <c r="CQ87" s="24">
        <f t="shared" si="156"/>
        <v>2.5350486138366879E-3</v>
      </c>
      <c r="CR87" s="24">
        <f t="shared" si="156"/>
        <v>2.5350486138366879E-3</v>
      </c>
    </row>
    <row r="88" spans="5:96" x14ac:dyDescent="0.2">
      <c r="E88" s="6">
        <v>82</v>
      </c>
      <c r="F88" s="26">
        <v>0.10593</v>
      </c>
      <c r="G88" s="27">
        <v>6.7320000000000005E-2</v>
      </c>
      <c r="H88" s="27">
        <f t="shared" si="116"/>
        <v>6.7320000000000005E-2</v>
      </c>
      <c r="I88" s="28">
        <f t="shared" si="110"/>
        <v>5.7909272823247759E-3</v>
      </c>
      <c r="J88" s="27">
        <f t="shared" si="117"/>
        <v>6.7320000000000005E-2</v>
      </c>
      <c r="K88" s="28">
        <f t="shared" si="111"/>
        <v>5.7909272823247759E-3</v>
      </c>
      <c r="L88" s="27">
        <f t="shared" si="118"/>
        <v>6.7320000000000005E-2</v>
      </c>
      <c r="M88" s="28">
        <f t="shared" si="112"/>
        <v>5.7909272823247759E-3</v>
      </c>
      <c r="N88" s="27">
        <f t="shared" si="119"/>
        <v>6.7320000000000005E-2</v>
      </c>
      <c r="O88" s="28">
        <f t="shared" si="113"/>
        <v>5.7909272823247759E-3</v>
      </c>
      <c r="P88" s="5">
        <v>4.0000000000000002E-4</v>
      </c>
      <c r="Q88" s="28">
        <f t="shared" si="120"/>
        <v>3.3339446006586115E-5</v>
      </c>
      <c r="S88" s="28"/>
      <c r="U88" s="28"/>
      <c r="V88" s="5">
        <v>4.0000000000000002E-4</v>
      </c>
      <c r="W88" s="28">
        <f t="shared" si="114"/>
        <v>3.3339446006586115E-5</v>
      </c>
      <c r="BM88" s="23">
        <f t="shared" si="145"/>
        <v>2023</v>
      </c>
      <c r="BN88" s="23">
        <f t="shared" si="149"/>
        <v>10</v>
      </c>
      <c r="BO88" s="24">
        <f t="shared" ref="BO88:CR88" si="157">1-(1 -BO54)^(1/12)</f>
        <v>8.3717735912058888E-4</v>
      </c>
      <c r="BP88" s="24">
        <f t="shared" si="157"/>
        <v>1.6821425527395739E-3</v>
      </c>
      <c r="BQ88" s="24">
        <f t="shared" si="157"/>
        <v>2.5350486138366879E-3</v>
      </c>
      <c r="BR88" s="24">
        <f t="shared" si="157"/>
        <v>2.5350486138366879E-3</v>
      </c>
      <c r="BS88" s="24">
        <f t="shared" si="157"/>
        <v>2.5350486138366879E-3</v>
      </c>
      <c r="BT88" s="24">
        <f t="shared" si="157"/>
        <v>2.5350486138366879E-3</v>
      </c>
      <c r="BU88" s="24">
        <f t="shared" si="157"/>
        <v>2.5350486138366879E-3</v>
      </c>
      <c r="BV88" s="24">
        <f t="shared" si="157"/>
        <v>4.2653187775606449E-3</v>
      </c>
      <c r="BW88" s="24">
        <f t="shared" si="157"/>
        <v>3.3960531989175591E-3</v>
      </c>
      <c r="BX88" s="24">
        <f t="shared" si="157"/>
        <v>2.5350486138366879E-3</v>
      </c>
      <c r="BY88" s="24">
        <f t="shared" si="157"/>
        <v>2.5350486138366879E-3</v>
      </c>
      <c r="BZ88" s="24">
        <f t="shared" si="157"/>
        <v>2.5350486138366879E-3</v>
      </c>
      <c r="CA88" s="24">
        <f t="shared" si="157"/>
        <v>2.5350486138366879E-3</v>
      </c>
      <c r="CB88" s="24">
        <f t="shared" si="157"/>
        <v>2.5350486138366879E-3</v>
      </c>
      <c r="CC88" s="24">
        <f t="shared" si="157"/>
        <v>2.5350486138366879E-3</v>
      </c>
      <c r="CD88" s="24">
        <f t="shared" si="157"/>
        <v>2.5350486138366879E-3</v>
      </c>
      <c r="CE88" s="24">
        <f t="shared" si="157"/>
        <v>2.5350486138366879E-3</v>
      </c>
      <c r="CF88" s="24">
        <f t="shared" si="157"/>
        <v>2.5350486138366879E-3</v>
      </c>
      <c r="CG88" s="24">
        <f t="shared" si="157"/>
        <v>2.5350486138366879E-3</v>
      </c>
      <c r="CH88" s="24">
        <f t="shared" si="157"/>
        <v>2.5350486138366879E-3</v>
      </c>
      <c r="CI88" s="24">
        <f t="shared" si="157"/>
        <v>2.5350486138366879E-3</v>
      </c>
      <c r="CJ88" s="24">
        <f t="shared" si="157"/>
        <v>2.5350486138366879E-3</v>
      </c>
      <c r="CK88" s="24">
        <f t="shared" si="157"/>
        <v>2.5350486138366879E-3</v>
      </c>
      <c r="CL88" s="24">
        <f t="shared" si="157"/>
        <v>2.5350486138366879E-3</v>
      </c>
      <c r="CM88" s="24">
        <f t="shared" si="157"/>
        <v>2.5350486138366879E-3</v>
      </c>
      <c r="CN88" s="24">
        <f t="shared" si="157"/>
        <v>2.5350486138366879E-3</v>
      </c>
      <c r="CO88" s="24">
        <f t="shared" si="157"/>
        <v>2.5350486138366879E-3</v>
      </c>
      <c r="CP88" s="24">
        <f t="shared" si="157"/>
        <v>2.5350486138366879E-3</v>
      </c>
      <c r="CQ88" s="24">
        <f t="shared" si="157"/>
        <v>2.5350486138366879E-3</v>
      </c>
      <c r="CR88" s="24">
        <f t="shared" si="157"/>
        <v>2.5350486138366879E-3</v>
      </c>
    </row>
    <row r="89" spans="5:96" x14ac:dyDescent="0.2">
      <c r="E89" s="6">
        <v>83</v>
      </c>
      <c r="F89" s="26">
        <v>0.11683</v>
      </c>
      <c r="G89" s="27">
        <v>8.2280000000000006E-2</v>
      </c>
      <c r="H89" s="27">
        <f t="shared" si="116"/>
        <v>8.2280000000000006E-2</v>
      </c>
      <c r="I89" s="28">
        <f t="shared" si="110"/>
        <v>7.1297076588283659E-3</v>
      </c>
      <c r="J89" s="27">
        <f t="shared" si="117"/>
        <v>8.2280000000000006E-2</v>
      </c>
      <c r="K89" s="28">
        <f t="shared" si="111"/>
        <v>7.1297076588283659E-3</v>
      </c>
      <c r="L89" s="27">
        <f t="shared" si="118"/>
        <v>8.2280000000000006E-2</v>
      </c>
      <c r="M89" s="28">
        <f t="shared" si="112"/>
        <v>7.1297076588283659E-3</v>
      </c>
      <c r="N89" s="27">
        <f t="shared" si="119"/>
        <v>8.2280000000000006E-2</v>
      </c>
      <c r="O89" s="28">
        <f t="shared" si="113"/>
        <v>7.1297076588283659E-3</v>
      </c>
      <c r="P89" s="5">
        <v>4.0000000000000002E-4</v>
      </c>
      <c r="Q89" s="28">
        <f t="shared" si="120"/>
        <v>3.3339446006586115E-5</v>
      </c>
      <c r="S89" s="28"/>
      <c r="U89" s="28"/>
      <c r="V89" s="5">
        <v>4.0000000000000002E-4</v>
      </c>
      <c r="W89" s="28">
        <f t="shared" si="114"/>
        <v>3.3339446006586115E-5</v>
      </c>
      <c r="BM89" s="23">
        <f t="shared" si="145"/>
        <v>2023</v>
      </c>
      <c r="BN89" s="23">
        <f t="shared" si="149"/>
        <v>11</v>
      </c>
      <c r="BO89" s="24">
        <f t="shared" ref="BO89:CR89" si="158">1-(1 -BO55)^(1/12)</f>
        <v>8.3717735912058888E-4</v>
      </c>
      <c r="BP89" s="24">
        <f t="shared" si="158"/>
        <v>1.6821425527395739E-3</v>
      </c>
      <c r="BQ89" s="24">
        <f t="shared" si="158"/>
        <v>2.5350486138366879E-3</v>
      </c>
      <c r="BR89" s="24">
        <f t="shared" si="158"/>
        <v>2.5350486138366879E-3</v>
      </c>
      <c r="BS89" s="24">
        <f t="shared" si="158"/>
        <v>2.5350486138366879E-3</v>
      </c>
      <c r="BT89" s="24">
        <f t="shared" si="158"/>
        <v>2.5350486138366879E-3</v>
      </c>
      <c r="BU89" s="24">
        <f t="shared" si="158"/>
        <v>2.5350486138366879E-3</v>
      </c>
      <c r="BV89" s="24">
        <f t="shared" si="158"/>
        <v>4.2653187775606449E-3</v>
      </c>
      <c r="BW89" s="24">
        <f t="shared" si="158"/>
        <v>3.3960531989175591E-3</v>
      </c>
      <c r="BX89" s="24">
        <f t="shared" si="158"/>
        <v>2.5350486138366879E-3</v>
      </c>
      <c r="BY89" s="24">
        <f t="shared" si="158"/>
        <v>2.5350486138366879E-3</v>
      </c>
      <c r="BZ89" s="24">
        <f t="shared" si="158"/>
        <v>2.5350486138366879E-3</v>
      </c>
      <c r="CA89" s="24">
        <f t="shared" si="158"/>
        <v>2.5350486138366879E-3</v>
      </c>
      <c r="CB89" s="24">
        <f t="shared" si="158"/>
        <v>2.5350486138366879E-3</v>
      </c>
      <c r="CC89" s="24">
        <f t="shared" si="158"/>
        <v>2.5350486138366879E-3</v>
      </c>
      <c r="CD89" s="24">
        <f t="shared" si="158"/>
        <v>2.5350486138366879E-3</v>
      </c>
      <c r="CE89" s="24">
        <f t="shared" si="158"/>
        <v>2.5350486138366879E-3</v>
      </c>
      <c r="CF89" s="24">
        <f t="shared" si="158"/>
        <v>2.5350486138366879E-3</v>
      </c>
      <c r="CG89" s="24">
        <f t="shared" si="158"/>
        <v>2.5350486138366879E-3</v>
      </c>
      <c r="CH89" s="24">
        <f t="shared" si="158"/>
        <v>2.5350486138366879E-3</v>
      </c>
      <c r="CI89" s="24">
        <f t="shared" si="158"/>
        <v>2.5350486138366879E-3</v>
      </c>
      <c r="CJ89" s="24">
        <f t="shared" si="158"/>
        <v>2.5350486138366879E-3</v>
      </c>
      <c r="CK89" s="24">
        <f t="shared" si="158"/>
        <v>2.5350486138366879E-3</v>
      </c>
      <c r="CL89" s="24">
        <f t="shared" si="158"/>
        <v>2.5350486138366879E-3</v>
      </c>
      <c r="CM89" s="24">
        <f t="shared" si="158"/>
        <v>2.5350486138366879E-3</v>
      </c>
      <c r="CN89" s="24">
        <f t="shared" si="158"/>
        <v>2.5350486138366879E-3</v>
      </c>
      <c r="CO89" s="24">
        <f t="shared" si="158"/>
        <v>2.5350486138366879E-3</v>
      </c>
      <c r="CP89" s="24">
        <f t="shared" si="158"/>
        <v>2.5350486138366879E-3</v>
      </c>
      <c r="CQ89" s="24">
        <f t="shared" si="158"/>
        <v>2.5350486138366879E-3</v>
      </c>
      <c r="CR89" s="24">
        <f t="shared" si="158"/>
        <v>2.5350486138366879E-3</v>
      </c>
    </row>
    <row r="90" spans="5:96" x14ac:dyDescent="0.2">
      <c r="E90" s="6">
        <v>84</v>
      </c>
      <c r="F90" s="26">
        <v>0.12887999999999999</v>
      </c>
      <c r="G90" s="27">
        <v>9.4780000000000003E-2</v>
      </c>
      <c r="H90" s="27">
        <f t="shared" si="116"/>
        <v>9.4780000000000003E-2</v>
      </c>
      <c r="I90" s="28">
        <f t="shared" si="110"/>
        <v>8.2637716630449276E-3</v>
      </c>
      <c r="J90" s="27">
        <f t="shared" si="117"/>
        <v>9.4780000000000003E-2</v>
      </c>
      <c r="K90" s="28">
        <f t="shared" si="111"/>
        <v>8.2637716630449276E-3</v>
      </c>
      <c r="L90" s="27">
        <f t="shared" si="118"/>
        <v>9.4780000000000003E-2</v>
      </c>
      <c r="M90" s="28">
        <f t="shared" si="112"/>
        <v>8.2637716630449276E-3</v>
      </c>
      <c r="N90" s="27">
        <f t="shared" si="119"/>
        <v>9.4780000000000003E-2</v>
      </c>
      <c r="O90" s="28">
        <f t="shared" si="113"/>
        <v>8.2637716630449276E-3</v>
      </c>
      <c r="P90" s="5">
        <v>4.0000000000000002E-4</v>
      </c>
      <c r="Q90" s="28">
        <f t="shared" si="120"/>
        <v>3.3339446006586115E-5</v>
      </c>
      <c r="S90" s="28"/>
      <c r="U90" s="28"/>
      <c r="V90" s="5">
        <v>4.0000000000000002E-4</v>
      </c>
      <c r="W90" s="28">
        <f t="shared" si="114"/>
        <v>3.3339446006586115E-5</v>
      </c>
      <c r="BM90" s="23">
        <f t="shared" si="145"/>
        <v>2023</v>
      </c>
      <c r="BN90" s="23">
        <f t="shared" si="149"/>
        <v>12</v>
      </c>
      <c r="BO90" s="24">
        <f t="shared" ref="BO90:CR90" si="159">1-(1 -BO56)^(1/12)</f>
        <v>8.3717735912058888E-4</v>
      </c>
      <c r="BP90" s="24">
        <f t="shared" si="159"/>
        <v>1.6821425527395739E-3</v>
      </c>
      <c r="BQ90" s="24">
        <f t="shared" si="159"/>
        <v>2.5350486138366879E-3</v>
      </c>
      <c r="BR90" s="24">
        <f t="shared" si="159"/>
        <v>2.5350486138366879E-3</v>
      </c>
      <c r="BS90" s="24">
        <f t="shared" si="159"/>
        <v>2.5350486138366879E-3</v>
      </c>
      <c r="BT90" s="24">
        <f t="shared" si="159"/>
        <v>2.5350486138366879E-3</v>
      </c>
      <c r="BU90" s="24">
        <f t="shared" si="159"/>
        <v>2.5350486138366879E-3</v>
      </c>
      <c r="BV90" s="24">
        <f t="shared" si="159"/>
        <v>4.2653187775606449E-3</v>
      </c>
      <c r="BW90" s="24">
        <f t="shared" si="159"/>
        <v>3.3960531989175591E-3</v>
      </c>
      <c r="BX90" s="24">
        <f t="shared" si="159"/>
        <v>2.5350486138366879E-3</v>
      </c>
      <c r="BY90" s="24">
        <f t="shared" si="159"/>
        <v>2.5350486138366879E-3</v>
      </c>
      <c r="BZ90" s="24">
        <f t="shared" si="159"/>
        <v>2.5350486138366879E-3</v>
      </c>
      <c r="CA90" s="24">
        <f t="shared" si="159"/>
        <v>2.5350486138366879E-3</v>
      </c>
      <c r="CB90" s="24">
        <f t="shared" si="159"/>
        <v>2.5350486138366879E-3</v>
      </c>
      <c r="CC90" s="24">
        <f t="shared" si="159"/>
        <v>2.5350486138366879E-3</v>
      </c>
      <c r="CD90" s="24">
        <f t="shared" si="159"/>
        <v>2.5350486138366879E-3</v>
      </c>
      <c r="CE90" s="24">
        <f t="shared" si="159"/>
        <v>2.5350486138366879E-3</v>
      </c>
      <c r="CF90" s="24">
        <f t="shared" si="159"/>
        <v>2.5350486138366879E-3</v>
      </c>
      <c r="CG90" s="24">
        <f t="shared" si="159"/>
        <v>2.5350486138366879E-3</v>
      </c>
      <c r="CH90" s="24">
        <f t="shared" si="159"/>
        <v>2.5350486138366879E-3</v>
      </c>
      <c r="CI90" s="24">
        <f t="shared" si="159"/>
        <v>2.5350486138366879E-3</v>
      </c>
      <c r="CJ90" s="24">
        <f t="shared" si="159"/>
        <v>2.5350486138366879E-3</v>
      </c>
      <c r="CK90" s="24">
        <f t="shared" si="159"/>
        <v>2.5350486138366879E-3</v>
      </c>
      <c r="CL90" s="24">
        <f t="shared" si="159"/>
        <v>2.5350486138366879E-3</v>
      </c>
      <c r="CM90" s="24">
        <f t="shared" si="159"/>
        <v>2.5350486138366879E-3</v>
      </c>
      <c r="CN90" s="24">
        <f t="shared" si="159"/>
        <v>2.5350486138366879E-3</v>
      </c>
      <c r="CO90" s="24">
        <f t="shared" si="159"/>
        <v>2.5350486138366879E-3</v>
      </c>
      <c r="CP90" s="24">
        <f t="shared" si="159"/>
        <v>2.5350486138366879E-3</v>
      </c>
      <c r="CQ90" s="24">
        <f t="shared" si="159"/>
        <v>2.5350486138366879E-3</v>
      </c>
      <c r="CR90" s="24">
        <f t="shared" si="159"/>
        <v>2.5350486138366879E-3</v>
      </c>
    </row>
    <row r="91" spans="5:96" x14ac:dyDescent="0.2">
      <c r="E91" s="6">
        <v>85</v>
      </c>
      <c r="F91" s="26">
        <v>0.14241000000000001</v>
      </c>
      <c r="G91" s="27">
        <v>0.10465000000000001</v>
      </c>
      <c r="H91" s="27">
        <f t="shared" si="116"/>
        <v>0.10465000000000001</v>
      </c>
      <c r="I91" s="28">
        <f t="shared" si="110"/>
        <v>9.1694167765549173E-3</v>
      </c>
      <c r="J91" s="27">
        <f t="shared" si="117"/>
        <v>0.10465000000000001</v>
      </c>
      <c r="K91" s="28">
        <f t="shared" si="111"/>
        <v>9.1694167765549173E-3</v>
      </c>
      <c r="L91" s="27">
        <f t="shared" si="118"/>
        <v>0.10465000000000001</v>
      </c>
      <c r="M91" s="28">
        <f t="shared" si="112"/>
        <v>9.1694167765549173E-3</v>
      </c>
      <c r="N91" s="27">
        <f t="shared" si="119"/>
        <v>0.10465000000000001</v>
      </c>
      <c r="O91" s="28">
        <f t="shared" si="113"/>
        <v>9.1694167765549173E-3</v>
      </c>
      <c r="P91" s="5">
        <v>4.0000000000000002E-4</v>
      </c>
      <c r="Q91" s="28">
        <f t="shared" si="120"/>
        <v>3.3339446006586115E-5</v>
      </c>
      <c r="S91" s="28"/>
      <c r="U91" s="28"/>
      <c r="V91" s="5">
        <v>4.0000000000000002E-4</v>
      </c>
      <c r="W91" s="28">
        <f t="shared" si="114"/>
        <v>3.3339446006586115E-5</v>
      </c>
      <c r="BM91" s="23">
        <f t="shared" si="145"/>
        <v>2023</v>
      </c>
      <c r="BN91" s="23">
        <f t="shared" si="149"/>
        <v>13</v>
      </c>
      <c r="BO91" s="24">
        <f t="shared" ref="BO91:CR91" si="160">1-(1 -BO57)^(1/12)</f>
        <v>8.3717735912058888E-4</v>
      </c>
      <c r="BP91" s="24">
        <f t="shared" si="160"/>
        <v>1.6821425527395739E-3</v>
      </c>
      <c r="BQ91" s="24">
        <f t="shared" si="160"/>
        <v>2.5350486138366879E-3</v>
      </c>
      <c r="BR91" s="24">
        <f t="shared" si="160"/>
        <v>2.5350486138366879E-3</v>
      </c>
      <c r="BS91" s="24">
        <f t="shared" si="160"/>
        <v>2.5350486138366879E-3</v>
      </c>
      <c r="BT91" s="24">
        <f t="shared" si="160"/>
        <v>2.5350486138366879E-3</v>
      </c>
      <c r="BU91" s="24">
        <f t="shared" si="160"/>
        <v>2.5350486138366879E-3</v>
      </c>
      <c r="BV91" s="24">
        <f t="shared" si="160"/>
        <v>4.2653187775606449E-3</v>
      </c>
      <c r="BW91" s="24">
        <f t="shared" si="160"/>
        <v>3.3960531989175591E-3</v>
      </c>
      <c r="BX91" s="24">
        <f t="shared" si="160"/>
        <v>2.5350486138366879E-3</v>
      </c>
      <c r="BY91" s="24">
        <f t="shared" si="160"/>
        <v>2.5350486138366879E-3</v>
      </c>
      <c r="BZ91" s="24">
        <f t="shared" si="160"/>
        <v>2.5350486138366879E-3</v>
      </c>
      <c r="CA91" s="24">
        <f t="shared" si="160"/>
        <v>2.5350486138366879E-3</v>
      </c>
      <c r="CB91" s="24">
        <f t="shared" si="160"/>
        <v>2.5350486138366879E-3</v>
      </c>
      <c r="CC91" s="24">
        <f t="shared" si="160"/>
        <v>2.5350486138366879E-3</v>
      </c>
      <c r="CD91" s="24">
        <f t="shared" si="160"/>
        <v>2.5350486138366879E-3</v>
      </c>
      <c r="CE91" s="24">
        <f t="shared" si="160"/>
        <v>2.5350486138366879E-3</v>
      </c>
      <c r="CF91" s="24">
        <f t="shared" si="160"/>
        <v>2.5350486138366879E-3</v>
      </c>
      <c r="CG91" s="24">
        <f t="shared" si="160"/>
        <v>2.5350486138366879E-3</v>
      </c>
      <c r="CH91" s="24">
        <f t="shared" si="160"/>
        <v>2.5350486138366879E-3</v>
      </c>
      <c r="CI91" s="24">
        <f t="shared" si="160"/>
        <v>2.5350486138366879E-3</v>
      </c>
      <c r="CJ91" s="24">
        <f t="shared" si="160"/>
        <v>2.5350486138366879E-3</v>
      </c>
      <c r="CK91" s="24">
        <f t="shared" si="160"/>
        <v>2.5350486138366879E-3</v>
      </c>
      <c r="CL91" s="24">
        <f t="shared" si="160"/>
        <v>2.5350486138366879E-3</v>
      </c>
      <c r="CM91" s="24">
        <f t="shared" si="160"/>
        <v>2.5350486138366879E-3</v>
      </c>
      <c r="CN91" s="24">
        <f t="shared" si="160"/>
        <v>2.5350486138366879E-3</v>
      </c>
      <c r="CO91" s="24">
        <f t="shared" si="160"/>
        <v>2.5350486138366879E-3</v>
      </c>
      <c r="CP91" s="24">
        <f t="shared" si="160"/>
        <v>2.5350486138366879E-3</v>
      </c>
      <c r="CQ91" s="24">
        <f t="shared" si="160"/>
        <v>2.5350486138366879E-3</v>
      </c>
      <c r="CR91" s="24">
        <f t="shared" si="160"/>
        <v>2.5350486138366879E-3</v>
      </c>
    </row>
    <row r="92" spans="5:96" x14ac:dyDescent="0.2">
      <c r="E92" s="6">
        <v>86</v>
      </c>
      <c r="F92" s="26">
        <v>0.15737999999999999</v>
      </c>
      <c r="G92" s="27">
        <v>0.11533</v>
      </c>
      <c r="H92" s="27">
        <f t="shared" si="116"/>
        <v>0.11533</v>
      </c>
      <c r="I92" s="28">
        <f t="shared" si="110"/>
        <v>1.0159752865847471E-2</v>
      </c>
      <c r="J92" s="27">
        <f t="shared" si="117"/>
        <v>0.11533</v>
      </c>
      <c r="K92" s="28">
        <f t="shared" si="111"/>
        <v>1.0159752865847471E-2</v>
      </c>
      <c r="L92" s="27">
        <f t="shared" si="118"/>
        <v>0.11533</v>
      </c>
      <c r="M92" s="28">
        <f t="shared" si="112"/>
        <v>1.0159752865847471E-2</v>
      </c>
      <c r="N92" s="27">
        <f t="shared" si="119"/>
        <v>0.11533</v>
      </c>
      <c r="O92" s="28">
        <f t="shared" si="113"/>
        <v>1.0159752865847471E-2</v>
      </c>
      <c r="P92" s="5">
        <v>4.0000000000000002E-4</v>
      </c>
      <c r="Q92" s="28">
        <f t="shared" si="120"/>
        <v>3.3339446006586115E-5</v>
      </c>
      <c r="S92" s="28"/>
      <c r="U92" s="28"/>
      <c r="V92" s="5">
        <v>4.0000000000000002E-4</v>
      </c>
      <c r="W92" s="28">
        <f t="shared" si="114"/>
        <v>3.3339446006586115E-5</v>
      </c>
      <c r="BM92" s="23">
        <f t="shared" si="145"/>
        <v>2023</v>
      </c>
      <c r="BN92" s="23">
        <f t="shared" si="149"/>
        <v>14</v>
      </c>
      <c r="BO92" s="24">
        <f t="shared" ref="BO92:CR92" si="161">1-(1 -BO58)^(1/12)</f>
        <v>8.3717735912058888E-4</v>
      </c>
      <c r="BP92" s="24">
        <f t="shared" si="161"/>
        <v>1.6821425527395739E-3</v>
      </c>
      <c r="BQ92" s="24">
        <f t="shared" si="161"/>
        <v>2.5350486138366879E-3</v>
      </c>
      <c r="BR92" s="24">
        <f t="shared" si="161"/>
        <v>2.5350486138366879E-3</v>
      </c>
      <c r="BS92" s="24">
        <f t="shared" si="161"/>
        <v>2.5350486138366879E-3</v>
      </c>
      <c r="BT92" s="24">
        <f t="shared" si="161"/>
        <v>2.5350486138366879E-3</v>
      </c>
      <c r="BU92" s="24">
        <f t="shared" si="161"/>
        <v>2.5350486138366879E-3</v>
      </c>
      <c r="BV92" s="24">
        <f t="shared" si="161"/>
        <v>4.2653187775606449E-3</v>
      </c>
      <c r="BW92" s="24">
        <f t="shared" si="161"/>
        <v>3.3960531989175591E-3</v>
      </c>
      <c r="BX92" s="24">
        <f t="shared" si="161"/>
        <v>2.5350486138366879E-3</v>
      </c>
      <c r="BY92" s="24">
        <f t="shared" si="161"/>
        <v>2.5350486138366879E-3</v>
      </c>
      <c r="BZ92" s="24">
        <f t="shared" si="161"/>
        <v>2.5350486138366879E-3</v>
      </c>
      <c r="CA92" s="24">
        <f t="shared" si="161"/>
        <v>2.5350486138366879E-3</v>
      </c>
      <c r="CB92" s="24">
        <f t="shared" si="161"/>
        <v>2.5350486138366879E-3</v>
      </c>
      <c r="CC92" s="24">
        <f t="shared" si="161"/>
        <v>2.5350486138366879E-3</v>
      </c>
      <c r="CD92" s="24">
        <f t="shared" si="161"/>
        <v>2.5350486138366879E-3</v>
      </c>
      <c r="CE92" s="24">
        <f t="shared" si="161"/>
        <v>2.5350486138366879E-3</v>
      </c>
      <c r="CF92" s="24">
        <f t="shared" si="161"/>
        <v>2.5350486138366879E-3</v>
      </c>
      <c r="CG92" s="24">
        <f t="shared" si="161"/>
        <v>2.5350486138366879E-3</v>
      </c>
      <c r="CH92" s="24">
        <f t="shared" si="161"/>
        <v>2.5350486138366879E-3</v>
      </c>
      <c r="CI92" s="24">
        <f t="shared" si="161"/>
        <v>2.5350486138366879E-3</v>
      </c>
      <c r="CJ92" s="24">
        <f t="shared" si="161"/>
        <v>2.5350486138366879E-3</v>
      </c>
      <c r="CK92" s="24">
        <f t="shared" si="161"/>
        <v>2.5350486138366879E-3</v>
      </c>
      <c r="CL92" s="24">
        <f t="shared" si="161"/>
        <v>2.5350486138366879E-3</v>
      </c>
      <c r="CM92" s="24">
        <f t="shared" si="161"/>
        <v>2.5350486138366879E-3</v>
      </c>
      <c r="CN92" s="24">
        <f t="shared" si="161"/>
        <v>2.5350486138366879E-3</v>
      </c>
      <c r="CO92" s="24">
        <f t="shared" si="161"/>
        <v>2.5350486138366879E-3</v>
      </c>
      <c r="CP92" s="24">
        <f t="shared" si="161"/>
        <v>2.5350486138366879E-3</v>
      </c>
      <c r="CQ92" s="24">
        <f t="shared" si="161"/>
        <v>2.5350486138366879E-3</v>
      </c>
      <c r="CR92" s="24">
        <f t="shared" si="161"/>
        <v>2.5350486138366879E-3</v>
      </c>
    </row>
    <row r="93" spans="5:96" x14ac:dyDescent="0.2">
      <c r="E93" s="6">
        <v>87</v>
      </c>
      <c r="F93" s="26">
        <v>0.17368</v>
      </c>
      <c r="G93" s="27">
        <v>0.12698000000000001</v>
      </c>
      <c r="H93" s="27">
        <f t="shared" si="116"/>
        <v>0.12698000000000001</v>
      </c>
      <c r="I93" s="28">
        <f t="shared" si="110"/>
        <v>1.1252611540252477E-2</v>
      </c>
      <c r="J93" s="27">
        <f t="shared" si="117"/>
        <v>0.12698000000000001</v>
      </c>
      <c r="K93" s="28">
        <f t="shared" si="111"/>
        <v>1.1252611540252477E-2</v>
      </c>
      <c r="L93" s="27">
        <f t="shared" si="118"/>
        <v>0.12698000000000001</v>
      </c>
      <c r="M93" s="28">
        <f t="shared" si="112"/>
        <v>1.1252611540252477E-2</v>
      </c>
      <c r="N93" s="27">
        <f t="shared" si="119"/>
        <v>0.12698000000000001</v>
      </c>
      <c r="O93" s="28">
        <f t="shared" si="113"/>
        <v>1.1252611540252477E-2</v>
      </c>
      <c r="P93" s="5">
        <v>4.0000000000000002E-4</v>
      </c>
      <c r="Q93" s="28">
        <f t="shared" si="120"/>
        <v>3.3339446006586115E-5</v>
      </c>
      <c r="S93" s="28"/>
      <c r="U93" s="28"/>
      <c r="V93" s="5">
        <v>4.0000000000000002E-4</v>
      </c>
      <c r="W93" s="28">
        <f t="shared" si="114"/>
        <v>3.3339446006586115E-5</v>
      </c>
      <c r="BM93" s="23">
        <f t="shared" si="145"/>
        <v>2023</v>
      </c>
      <c r="BN93" s="23">
        <f t="shared" si="149"/>
        <v>15</v>
      </c>
      <c r="BO93" s="24">
        <f t="shared" ref="BO93:CR93" si="162">1-(1 -BO59)^(1/12)</f>
        <v>8.3717735912058888E-4</v>
      </c>
      <c r="BP93" s="24">
        <f t="shared" si="162"/>
        <v>1.6821425527395739E-3</v>
      </c>
      <c r="BQ93" s="24">
        <f t="shared" si="162"/>
        <v>2.5350486138366879E-3</v>
      </c>
      <c r="BR93" s="24">
        <f t="shared" si="162"/>
        <v>2.5350486138366879E-3</v>
      </c>
      <c r="BS93" s="24">
        <f t="shared" si="162"/>
        <v>2.5350486138366879E-3</v>
      </c>
      <c r="BT93" s="24">
        <f t="shared" si="162"/>
        <v>2.5350486138366879E-3</v>
      </c>
      <c r="BU93" s="24">
        <f t="shared" si="162"/>
        <v>2.5350486138366879E-3</v>
      </c>
      <c r="BV93" s="24">
        <f t="shared" si="162"/>
        <v>4.2653187775606449E-3</v>
      </c>
      <c r="BW93" s="24">
        <f t="shared" si="162"/>
        <v>3.3960531989175591E-3</v>
      </c>
      <c r="BX93" s="24">
        <f t="shared" si="162"/>
        <v>2.5350486138366879E-3</v>
      </c>
      <c r="BY93" s="24">
        <f t="shared" si="162"/>
        <v>2.5350486138366879E-3</v>
      </c>
      <c r="BZ93" s="24">
        <f t="shared" si="162"/>
        <v>2.5350486138366879E-3</v>
      </c>
      <c r="CA93" s="24">
        <f t="shared" si="162"/>
        <v>2.5350486138366879E-3</v>
      </c>
      <c r="CB93" s="24">
        <f t="shared" si="162"/>
        <v>2.5350486138366879E-3</v>
      </c>
      <c r="CC93" s="24">
        <f t="shared" si="162"/>
        <v>2.5350486138366879E-3</v>
      </c>
      <c r="CD93" s="24">
        <f t="shared" si="162"/>
        <v>2.5350486138366879E-3</v>
      </c>
      <c r="CE93" s="24">
        <f t="shared" si="162"/>
        <v>2.5350486138366879E-3</v>
      </c>
      <c r="CF93" s="24">
        <f t="shared" si="162"/>
        <v>2.5350486138366879E-3</v>
      </c>
      <c r="CG93" s="24">
        <f t="shared" si="162"/>
        <v>2.5350486138366879E-3</v>
      </c>
      <c r="CH93" s="24">
        <f t="shared" si="162"/>
        <v>2.5350486138366879E-3</v>
      </c>
      <c r="CI93" s="24">
        <f t="shared" si="162"/>
        <v>2.5350486138366879E-3</v>
      </c>
      <c r="CJ93" s="24">
        <f t="shared" si="162"/>
        <v>2.5350486138366879E-3</v>
      </c>
      <c r="CK93" s="24">
        <f t="shared" si="162"/>
        <v>2.5350486138366879E-3</v>
      </c>
      <c r="CL93" s="24">
        <f t="shared" si="162"/>
        <v>2.5350486138366879E-3</v>
      </c>
      <c r="CM93" s="24">
        <f t="shared" si="162"/>
        <v>2.5350486138366879E-3</v>
      </c>
      <c r="CN93" s="24">
        <f t="shared" si="162"/>
        <v>2.5350486138366879E-3</v>
      </c>
      <c r="CO93" s="24">
        <f t="shared" si="162"/>
        <v>2.5350486138366879E-3</v>
      </c>
      <c r="CP93" s="24">
        <f t="shared" si="162"/>
        <v>2.5350486138366879E-3</v>
      </c>
      <c r="CQ93" s="24">
        <f t="shared" si="162"/>
        <v>2.5350486138366879E-3</v>
      </c>
      <c r="CR93" s="24">
        <f t="shared" si="162"/>
        <v>2.5350486138366879E-3</v>
      </c>
    </row>
    <row r="94" spans="5:96" x14ac:dyDescent="0.2">
      <c r="E94" s="6">
        <v>88</v>
      </c>
      <c r="F94" s="26">
        <v>0.19109999999999999</v>
      </c>
      <c r="G94" s="27">
        <v>0.13947000000000001</v>
      </c>
      <c r="H94" s="27">
        <f t="shared" si="116"/>
        <v>0.13947000000000001</v>
      </c>
      <c r="I94" s="28">
        <f t="shared" si="110"/>
        <v>1.243921865695885E-2</v>
      </c>
      <c r="J94" s="27">
        <f t="shared" si="117"/>
        <v>0.13947000000000001</v>
      </c>
      <c r="K94" s="28">
        <f t="shared" si="111"/>
        <v>1.243921865695885E-2</v>
      </c>
      <c r="L94" s="27">
        <f t="shared" si="118"/>
        <v>0.13947000000000001</v>
      </c>
      <c r="M94" s="28">
        <f t="shared" si="112"/>
        <v>1.243921865695885E-2</v>
      </c>
      <c r="N94" s="27">
        <f t="shared" si="119"/>
        <v>0.13947000000000001</v>
      </c>
      <c r="O94" s="28">
        <f t="shared" si="113"/>
        <v>1.243921865695885E-2</v>
      </c>
      <c r="P94" s="5">
        <v>4.0000000000000002E-4</v>
      </c>
      <c r="Q94" s="28">
        <f t="shared" si="120"/>
        <v>3.3339446006586115E-5</v>
      </c>
      <c r="S94" s="28"/>
      <c r="U94" s="28"/>
      <c r="V94" s="5">
        <v>4.0000000000000002E-4</v>
      </c>
      <c r="W94" s="28">
        <f t="shared" si="114"/>
        <v>3.3339446006586115E-5</v>
      </c>
      <c r="BM94" s="23">
        <f t="shared" si="145"/>
        <v>2023</v>
      </c>
      <c r="BN94" s="23">
        <f t="shared" si="149"/>
        <v>16</v>
      </c>
      <c r="BO94" s="24">
        <f t="shared" ref="BO94:CR94" si="163">1-(1 -BO60)^(1/12)</f>
        <v>8.3717735912058888E-4</v>
      </c>
      <c r="BP94" s="24">
        <f t="shared" si="163"/>
        <v>1.6821425527395739E-3</v>
      </c>
      <c r="BQ94" s="24">
        <f t="shared" si="163"/>
        <v>2.5350486138366879E-3</v>
      </c>
      <c r="BR94" s="24">
        <f t="shared" si="163"/>
        <v>2.5350486138366879E-3</v>
      </c>
      <c r="BS94" s="24">
        <f t="shared" si="163"/>
        <v>2.5350486138366879E-3</v>
      </c>
      <c r="BT94" s="24">
        <f t="shared" si="163"/>
        <v>2.5350486138366879E-3</v>
      </c>
      <c r="BU94" s="24">
        <f t="shared" si="163"/>
        <v>2.5350486138366879E-3</v>
      </c>
      <c r="BV94" s="24">
        <f t="shared" si="163"/>
        <v>4.2653187775606449E-3</v>
      </c>
      <c r="BW94" s="24">
        <f t="shared" si="163"/>
        <v>3.3960531989175591E-3</v>
      </c>
      <c r="BX94" s="24">
        <f t="shared" si="163"/>
        <v>2.5350486138366879E-3</v>
      </c>
      <c r="BY94" s="24">
        <f t="shared" si="163"/>
        <v>2.5350486138366879E-3</v>
      </c>
      <c r="BZ94" s="24">
        <f t="shared" si="163"/>
        <v>2.5350486138366879E-3</v>
      </c>
      <c r="CA94" s="24">
        <f t="shared" si="163"/>
        <v>2.5350486138366879E-3</v>
      </c>
      <c r="CB94" s="24">
        <f t="shared" si="163"/>
        <v>2.5350486138366879E-3</v>
      </c>
      <c r="CC94" s="24">
        <f t="shared" si="163"/>
        <v>2.5350486138366879E-3</v>
      </c>
      <c r="CD94" s="24">
        <f t="shared" si="163"/>
        <v>2.5350486138366879E-3</v>
      </c>
      <c r="CE94" s="24">
        <f t="shared" si="163"/>
        <v>2.5350486138366879E-3</v>
      </c>
      <c r="CF94" s="24">
        <f t="shared" si="163"/>
        <v>2.5350486138366879E-3</v>
      </c>
      <c r="CG94" s="24">
        <f t="shared" si="163"/>
        <v>2.5350486138366879E-3</v>
      </c>
      <c r="CH94" s="24">
        <f t="shared" si="163"/>
        <v>2.5350486138366879E-3</v>
      </c>
      <c r="CI94" s="24">
        <f t="shared" si="163"/>
        <v>2.5350486138366879E-3</v>
      </c>
      <c r="CJ94" s="24">
        <f t="shared" si="163"/>
        <v>2.5350486138366879E-3</v>
      </c>
      <c r="CK94" s="24">
        <f t="shared" si="163"/>
        <v>2.5350486138366879E-3</v>
      </c>
      <c r="CL94" s="24">
        <f t="shared" si="163"/>
        <v>2.5350486138366879E-3</v>
      </c>
      <c r="CM94" s="24">
        <f t="shared" si="163"/>
        <v>2.5350486138366879E-3</v>
      </c>
      <c r="CN94" s="24">
        <f t="shared" si="163"/>
        <v>2.5350486138366879E-3</v>
      </c>
      <c r="CO94" s="24">
        <f t="shared" si="163"/>
        <v>2.5350486138366879E-3</v>
      </c>
      <c r="CP94" s="24">
        <f t="shared" si="163"/>
        <v>2.5350486138366879E-3</v>
      </c>
      <c r="CQ94" s="24">
        <f t="shared" si="163"/>
        <v>2.5350486138366879E-3</v>
      </c>
      <c r="CR94" s="24">
        <f t="shared" si="163"/>
        <v>2.5350486138366879E-3</v>
      </c>
    </row>
    <row r="95" spans="5:96" x14ac:dyDescent="0.2">
      <c r="E95" s="6">
        <v>89</v>
      </c>
      <c r="F95" s="26">
        <v>0.20945</v>
      </c>
      <c r="G95" s="27">
        <v>0.15271000000000001</v>
      </c>
      <c r="H95" s="27">
        <f t="shared" si="116"/>
        <v>0.15271000000000001</v>
      </c>
      <c r="I95" s="28">
        <f t="shared" si="110"/>
        <v>1.3714443088679418E-2</v>
      </c>
      <c r="J95" s="27">
        <f t="shared" si="117"/>
        <v>0.15271000000000001</v>
      </c>
      <c r="K95" s="28">
        <f t="shared" si="111"/>
        <v>1.3714443088679418E-2</v>
      </c>
      <c r="L95" s="27">
        <f t="shared" si="118"/>
        <v>0.15271000000000001</v>
      </c>
      <c r="M95" s="28">
        <f t="shared" si="112"/>
        <v>1.3714443088679418E-2</v>
      </c>
      <c r="N95" s="27">
        <f t="shared" si="119"/>
        <v>0.15271000000000001</v>
      </c>
      <c r="O95" s="28">
        <f t="shared" si="113"/>
        <v>1.3714443088679418E-2</v>
      </c>
      <c r="P95" s="5">
        <v>4.0000000000000002E-4</v>
      </c>
      <c r="Q95" s="28">
        <f t="shared" si="120"/>
        <v>3.3339446006586115E-5</v>
      </c>
      <c r="S95" s="28"/>
      <c r="U95" s="28"/>
      <c r="V95" s="5">
        <v>4.0000000000000002E-4</v>
      </c>
      <c r="W95" s="28">
        <f t="shared" si="114"/>
        <v>3.3339446006586115E-5</v>
      </c>
      <c r="BM95" s="23">
        <f t="shared" si="145"/>
        <v>2023</v>
      </c>
      <c r="BN95" s="23">
        <f t="shared" si="149"/>
        <v>17</v>
      </c>
      <c r="BO95" s="24">
        <f t="shared" ref="BO95:CR95" si="164">1-(1 -BO61)^(1/12)</f>
        <v>8.3717735912058888E-4</v>
      </c>
      <c r="BP95" s="24">
        <f t="shared" si="164"/>
        <v>1.6821425527395739E-3</v>
      </c>
      <c r="BQ95" s="24">
        <f t="shared" si="164"/>
        <v>2.5350486138366879E-3</v>
      </c>
      <c r="BR95" s="24">
        <f t="shared" si="164"/>
        <v>2.5350486138366879E-3</v>
      </c>
      <c r="BS95" s="24">
        <f t="shared" si="164"/>
        <v>2.5350486138366879E-3</v>
      </c>
      <c r="BT95" s="24">
        <f t="shared" si="164"/>
        <v>2.5350486138366879E-3</v>
      </c>
      <c r="BU95" s="24">
        <f t="shared" si="164"/>
        <v>2.5350486138366879E-3</v>
      </c>
      <c r="BV95" s="24">
        <f t="shared" si="164"/>
        <v>4.2653187775606449E-3</v>
      </c>
      <c r="BW95" s="24">
        <f t="shared" si="164"/>
        <v>3.3960531989175591E-3</v>
      </c>
      <c r="BX95" s="24">
        <f t="shared" si="164"/>
        <v>2.5350486138366879E-3</v>
      </c>
      <c r="BY95" s="24">
        <f t="shared" si="164"/>
        <v>2.5350486138366879E-3</v>
      </c>
      <c r="BZ95" s="24">
        <f t="shared" si="164"/>
        <v>2.5350486138366879E-3</v>
      </c>
      <c r="CA95" s="24">
        <f t="shared" si="164"/>
        <v>2.5350486138366879E-3</v>
      </c>
      <c r="CB95" s="24">
        <f t="shared" si="164"/>
        <v>2.5350486138366879E-3</v>
      </c>
      <c r="CC95" s="24">
        <f t="shared" si="164"/>
        <v>2.5350486138366879E-3</v>
      </c>
      <c r="CD95" s="24">
        <f t="shared" si="164"/>
        <v>2.5350486138366879E-3</v>
      </c>
      <c r="CE95" s="24">
        <f t="shared" si="164"/>
        <v>2.5350486138366879E-3</v>
      </c>
      <c r="CF95" s="24">
        <f t="shared" si="164"/>
        <v>2.5350486138366879E-3</v>
      </c>
      <c r="CG95" s="24">
        <f t="shared" si="164"/>
        <v>2.5350486138366879E-3</v>
      </c>
      <c r="CH95" s="24">
        <f t="shared" si="164"/>
        <v>2.5350486138366879E-3</v>
      </c>
      <c r="CI95" s="24">
        <f t="shared" si="164"/>
        <v>2.5350486138366879E-3</v>
      </c>
      <c r="CJ95" s="24">
        <f t="shared" si="164"/>
        <v>2.5350486138366879E-3</v>
      </c>
      <c r="CK95" s="24">
        <f t="shared" si="164"/>
        <v>2.5350486138366879E-3</v>
      </c>
      <c r="CL95" s="24">
        <f t="shared" si="164"/>
        <v>2.5350486138366879E-3</v>
      </c>
      <c r="CM95" s="24">
        <f t="shared" si="164"/>
        <v>2.5350486138366879E-3</v>
      </c>
      <c r="CN95" s="24">
        <f t="shared" si="164"/>
        <v>2.5350486138366879E-3</v>
      </c>
      <c r="CO95" s="24">
        <f t="shared" si="164"/>
        <v>2.5350486138366879E-3</v>
      </c>
      <c r="CP95" s="24">
        <f t="shared" si="164"/>
        <v>2.5350486138366879E-3</v>
      </c>
      <c r="CQ95" s="24">
        <f t="shared" si="164"/>
        <v>2.5350486138366879E-3</v>
      </c>
      <c r="CR95" s="24">
        <f t="shared" si="164"/>
        <v>2.5350486138366879E-3</v>
      </c>
    </row>
    <row r="96" spans="5:96" x14ac:dyDescent="0.2">
      <c r="E96" s="6">
        <v>90</v>
      </c>
      <c r="F96" s="26">
        <v>0.22853000000000001</v>
      </c>
      <c r="G96" s="27">
        <v>0.16658999999999999</v>
      </c>
      <c r="H96" s="27">
        <f t="shared" si="116"/>
        <v>0.16658999999999999</v>
      </c>
      <c r="I96" s="28">
        <f t="shared" si="110"/>
        <v>1.5071073993618733E-2</v>
      </c>
      <c r="J96" s="27">
        <f t="shared" si="117"/>
        <v>0.16658999999999999</v>
      </c>
      <c r="K96" s="28">
        <f t="shared" si="111"/>
        <v>1.5071073993618733E-2</v>
      </c>
      <c r="L96" s="27">
        <f t="shared" si="118"/>
        <v>0.16658999999999999</v>
      </c>
      <c r="M96" s="28">
        <f t="shared" si="112"/>
        <v>1.5071073993618733E-2</v>
      </c>
      <c r="N96" s="27">
        <f t="shared" si="119"/>
        <v>0.16658999999999999</v>
      </c>
      <c r="O96" s="28">
        <f t="shared" si="113"/>
        <v>1.5071073993618733E-2</v>
      </c>
      <c r="P96" s="5">
        <v>4.0000000000000002E-4</v>
      </c>
      <c r="Q96" s="28">
        <f t="shared" si="120"/>
        <v>3.3339446006586115E-5</v>
      </c>
      <c r="S96" s="28"/>
      <c r="U96" s="28"/>
      <c r="V96" s="5">
        <v>4.0000000000000002E-4</v>
      </c>
      <c r="W96" s="28">
        <f t="shared" si="114"/>
        <v>3.3339446006586115E-5</v>
      </c>
      <c r="BM96" s="23">
        <f t="shared" si="145"/>
        <v>2023</v>
      </c>
      <c r="BN96" s="23">
        <f t="shared" si="149"/>
        <v>18</v>
      </c>
      <c r="BO96" s="24">
        <f t="shared" ref="BO96:CR96" si="165">1-(1 -BO62)^(1/12)</f>
        <v>8.3717735912058888E-4</v>
      </c>
      <c r="BP96" s="24">
        <f t="shared" si="165"/>
        <v>1.6821425527395739E-3</v>
      </c>
      <c r="BQ96" s="24">
        <f t="shared" si="165"/>
        <v>2.5350486138366879E-3</v>
      </c>
      <c r="BR96" s="24">
        <f t="shared" si="165"/>
        <v>2.5350486138366879E-3</v>
      </c>
      <c r="BS96" s="24">
        <f t="shared" si="165"/>
        <v>2.5350486138366879E-3</v>
      </c>
      <c r="BT96" s="24">
        <f t="shared" si="165"/>
        <v>2.5350486138366879E-3</v>
      </c>
      <c r="BU96" s="24">
        <f t="shared" si="165"/>
        <v>2.5350486138366879E-3</v>
      </c>
      <c r="BV96" s="24">
        <f t="shared" si="165"/>
        <v>4.2653187775606449E-3</v>
      </c>
      <c r="BW96" s="24">
        <f t="shared" si="165"/>
        <v>3.3960531989175591E-3</v>
      </c>
      <c r="BX96" s="24">
        <f t="shared" si="165"/>
        <v>2.5350486138366879E-3</v>
      </c>
      <c r="BY96" s="24">
        <f t="shared" si="165"/>
        <v>2.5350486138366879E-3</v>
      </c>
      <c r="BZ96" s="24">
        <f t="shared" si="165"/>
        <v>2.5350486138366879E-3</v>
      </c>
      <c r="CA96" s="24">
        <f t="shared" si="165"/>
        <v>2.5350486138366879E-3</v>
      </c>
      <c r="CB96" s="24">
        <f t="shared" si="165"/>
        <v>2.5350486138366879E-3</v>
      </c>
      <c r="CC96" s="24">
        <f t="shared" si="165"/>
        <v>2.5350486138366879E-3</v>
      </c>
      <c r="CD96" s="24">
        <f t="shared" si="165"/>
        <v>2.5350486138366879E-3</v>
      </c>
      <c r="CE96" s="24">
        <f t="shared" si="165"/>
        <v>2.5350486138366879E-3</v>
      </c>
      <c r="CF96" s="24">
        <f t="shared" si="165"/>
        <v>2.5350486138366879E-3</v>
      </c>
      <c r="CG96" s="24">
        <f t="shared" si="165"/>
        <v>2.5350486138366879E-3</v>
      </c>
      <c r="CH96" s="24">
        <f t="shared" si="165"/>
        <v>2.5350486138366879E-3</v>
      </c>
      <c r="CI96" s="24">
        <f t="shared" si="165"/>
        <v>2.5350486138366879E-3</v>
      </c>
      <c r="CJ96" s="24">
        <f t="shared" si="165"/>
        <v>2.5350486138366879E-3</v>
      </c>
      <c r="CK96" s="24">
        <f t="shared" si="165"/>
        <v>2.5350486138366879E-3</v>
      </c>
      <c r="CL96" s="24">
        <f t="shared" si="165"/>
        <v>2.5350486138366879E-3</v>
      </c>
      <c r="CM96" s="24">
        <f t="shared" si="165"/>
        <v>2.5350486138366879E-3</v>
      </c>
      <c r="CN96" s="24">
        <f t="shared" si="165"/>
        <v>2.5350486138366879E-3</v>
      </c>
      <c r="CO96" s="24">
        <f t="shared" si="165"/>
        <v>2.5350486138366879E-3</v>
      </c>
      <c r="CP96" s="24">
        <f t="shared" si="165"/>
        <v>2.5350486138366879E-3</v>
      </c>
      <c r="CQ96" s="24">
        <f t="shared" si="165"/>
        <v>2.5350486138366879E-3</v>
      </c>
      <c r="CR96" s="24">
        <f t="shared" si="165"/>
        <v>2.5350486138366879E-3</v>
      </c>
    </row>
    <row r="97" spans="5:96" x14ac:dyDescent="0.2">
      <c r="E97" s="6">
        <v>91</v>
      </c>
      <c r="F97" s="26">
        <v>0.24637999999999999</v>
      </c>
      <c r="G97" s="27">
        <v>0.17990999999999999</v>
      </c>
      <c r="H97" s="27">
        <f t="shared" si="116"/>
        <v>0.17990999999999999</v>
      </c>
      <c r="I97" s="28">
        <f t="shared" si="110"/>
        <v>1.6392587313932228E-2</v>
      </c>
      <c r="J97" s="27">
        <f t="shared" si="117"/>
        <v>0.17990999999999999</v>
      </c>
      <c r="K97" s="28">
        <f t="shared" si="111"/>
        <v>1.6392587313932228E-2</v>
      </c>
      <c r="L97" s="27">
        <f t="shared" si="118"/>
        <v>0.17990999999999999</v>
      </c>
      <c r="M97" s="28">
        <f t="shared" si="112"/>
        <v>1.6392587313932228E-2</v>
      </c>
      <c r="N97" s="27">
        <f t="shared" si="119"/>
        <v>0.17990999999999999</v>
      </c>
      <c r="O97" s="28">
        <f t="shared" si="113"/>
        <v>1.6392587313932228E-2</v>
      </c>
      <c r="P97" s="5">
        <v>4.0000000000000002E-4</v>
      </c>
      <c r="Q97" s="28">
        <f t="shared" si="120"/>
        <v>3.3339446006586115E-5</v>
      </c>
      <c r="S97" s="28"/>
      <c r="U97" s="28"/>
      <c r="V97" s="5">
        <v>4.0000000000000002E-4</v>
      </c>
      <c r="W97" s="28">
        <f t="shared" si="114"/>
        <v>3.3339446006586115E-5</v>
      </c>
      <c r="BM97" s="23">
        <f t="shared" si="145"/>
        <v>2023</v>
      </c>
      <c r="BN97" s="23">
        <f t="shared" si="149"/>
        <v>19</v>
      </c>
      <c r="BO97" s="24">
        <f t="shared" ref="BO97:CR97" si="166">1-(1 -BO63)^(1/12)</f>
        <v>8.3717735912058888E-4</v>
      </c>
      <c r="BP97" s="24">
        <f t="shared" si="166"/>
        <v>1.6821425527395739E-3</v>
      </c>
      <c r="BQ97" s="24">
        <f t="shared" si="166"/>
        <v>2.5350486138366879E-3</v>
      </c>
      <c r="BR97" s="24">
        <f t="shared" si="166"/>
        <v>2.5350486138366879E-3</v>
      </c>
      <c r="BS97" s="24">
        <f t="shared" si="166"/>
        <v>2.5350486138366879E-3</v>
      </c>
      <c r="BT97" s="24">
        <f t="shared" si="166"/>
        <v>2.5350486138366879E-3</v>
      </c>
      <c r="BU97" s="24">
        <f t="shared" si="166"/>
        <v>2.5350486138366879E-3</v>
      </c>
      <c r="BV97" s="24">
        <f t="shared" si="166"/>
        <v>4.2653187775606449E-3</v>
      </c>
      <c r="BW97" s="24">
        <f t="shared" si="166"/>
        <v>3.3960531989175591E-3</v>
      </c>
      <c r="BX97" s="24">
        <f t="shared" si="166"/>
        <v>2.5350486138366879E-3</v>
      </c>
      <c r="BY97" s="24">
        <f t="shared" si="166"/>
        <v>2.5350486138366879E-3</v>
      </c>
      <c r="BZ97" s="24">
        <f t="shared" si="166"/>
        <v>2.5350486138366879E-3</v>
      </c>
      <c r="CA97" s="24">
        <f t="shared" si="166"/>
        <v>2.5350486138366879E-3</v>
      </c>
      <c r="CB97" s="24">
        <f t="shared" si="166"/>
        <v>2.5350486138366879E-3</v>
      </c>
      <c r="CC97" s="24">
        <f t="shared" si="166"/>
        <v>2.5350486138366879E-3</v>
      </c>
      <c r="CD97" s="24">
        <f t="shared" si="166"/>
        <v>2.5350486138366879E-3</v>
      </c>
      <c r="CE97" s="24">
        <f t="shared" si="166"/>
        <v>2.5350486138366879E-3</v>
      </c>
      <c r="CF97" s="24">
        <f t="shared" si="166"/>
        <v>2.5350486138366879E-3</v>
      </c>
      <c r="CG97" s="24">
        <f t="shared" si="166"/>
        <v>2.5350486138366879E-3</v>
      </c>
      <c r="CH97" s="24">
        <f t="shared" si="166"/>
        <v>2.5350486138366879E-3</v>
      </c>
      <c r="CI97" s="24">
        <f t="shared" si="166"/>
        <v>2.5350486138366879E-3</v>
      </c>
      <c r="CJ97" s="24">
        <f t="shared" si="166"/>
        <v>2.5350486138366879E-3</v>
      </c>
      <c r="CK97" s="24">
        <f t="shared" si="166"/>
        <v>2.5350486138366879E-3</v>
      </c>
      <c r="CL97" s="24">
        <f t="shared" si="166"/>
        <v>2.5350486138366879E-3</v>
      </c>
      <c r="CM97" s="24">
        <f t="shared" si="166"/>
        <v>2.5350486138366879E-3</v>
      </c>
      <c r="CN97" s="24">
        <f t="shared" si="166"/>
        <v>2.5350486138366879E-3</v>
      </c>
      <c r="CO97" s="24">
        <f t="shared" si="166"/>
        <v>2.5350486138366879E-3</v>
      </c>
      <c r="CP97" s="24">
        <f t="shared" si="166"/>
        <v>2.5350486138366879E-3</v>
      </c>
      <c r="CQ97" s="24">
        <f t="shared" si="166"/>
        <v>2.5350486138366879E-3</v>
      </c>
      <c r="CR97" s="24">
        <f t="shared" si="166"/>
        <v>2.5350486138366879E-3</v>
      </c>
    </row>
    <row r="98" spans="5:96" x14ac:dyDescent="0.2">
      <c r="E98" s="6">
        <v>92</v>
      </c>
      <c r="F98" s="26">
        <v>0.26495999999999997</v>
      </c>
      <c r="G98" s="27">
        <v>0.19389999999999999</v>
      </c>
      <c r="H98" s="27">
        <f t="shared" si="116"/>
        <v>0.19389999999999999</v>
      </c>
      <c r="I98" s="28">
        <f t="shared" si="110"/>
        <v>1.7801929216410772E-2</v>
      </c>
      <c r="J98" s="27">
        <f t="shared" si="117"/>
        <v>0.19389999999999999</v>
      </c>
      <c r="K98" s="28">
        <f t="shared" si="111"/>
        <v>1.7801929216410772E-2</v>
      </c>
      <c r="L98" s="27">
        <f t="shared" si="118"/>
        <v>0.19389999999999999</v>
      </c>
      <c r="M98" s="28">
        <f t="shared" si="112"/>
        <v>1.7801929216410772E-2</v>
      </c>
      <c r="N98" s="27">
        <f t="shared" si="119"/>
        <v>0.19389999999999999</v>
      </c>
      <c r="O98" s="28">
        <f t="shared" si="113"/>
        <v>1.7801929216410772E-2</v>
      </c>
      <c r="P98" s="5">
        <v>4.0000000000000002E-4</v>
      </c>
      <c r="Q98" s="28">
        <f t="shared" si="120"/>
        <v>3.3339446006586115E-5</v>
      </c>
      <c r="S98" s="28"/>
      <c r="U98" s="28"/>
      <c r="V98" s="5">
        <v>4.0000000000000002E-4</v>
      </c>
      <c r="W98" s="28">
        <f t="shared" si="114"/>
        <v>3.3339446006586115E-5</v>
      </c>
      <c r="BM98" s="23">
        <f t="shared" si="145"/>
        <v>2023</v>
      </c>
      <c r="BN98" s="23">
        <f t="shared" si="149"/>
        <v>20</v>
      </c>
      <c r="BO98" s="24">
        <f t="shared" ref="BO98:CR98" si="167">1-(1 -BO64)^(1/12)</f>
        <v>8.3717735912058888E-4</v>
      </c>
      <c r="BP98" s="24">
        <f t="shared" si="167"/>
        <v>1.6821425527395739E-3</v>
      </c>
      <c r="BQ98" s="24">
        <f t="shared" si="167"/>
        <v>2.5350486138366879E-3</v>
      </c>
      <c r="BR98" s="24">
        <f t="shared" si="167"/>
        <v>2.5350486138366879E-3</v>
      </c>
      <c r="BS98" s="24">
        <f t="shared" si="167"/>
        <v>2.5350486138366879E-3</v>
      </c>
      <c r="BT98" s="24">
        <f t="shared" si="167"/>
        <v>2.5350486138366879E-3</v>
      </c>
      <c r="BU98" s="24">
        <f t="shared" si="167"/>
        <v>2.5350486138366879E-3</v>
      </c>
      <c r="BV98" s="24">
        <f t="shared" si="167"/>
        <v>4.2653187775606449E-3</v>
      </c>
      <c r="BW98" s="24">
        <f t="shared" si="167"/>
        <v>3.3960531989175591E-3</v>
      </c>
      <c r="BX98" s="24">
        <f t="shared" si="167"/>
        <v>2.5350486138366879E-3</v>
      </c>
      <c r="BY98" s="24">
        <f t="shared" si="167"/>
        <v>2.5350486138366879E-3</v>
      </c>
      <c r="BZ98" s="24">
        <f t="shared" si="167"/>
        <v>2.5350486138366879E-3</v>
      </c>
      <c r="CA98" s="24">
        <f t="shared" si="167"/>
        <v>2.5350486138366879E-3</v>
      </c>
      <c r="CB98" s="24">
        <f t="shared" si="167"/>
        <v>2.5350486138366879E-3</v>
      </c>
      <c r="CC98" s="24">
        <f t="shared" si="167"/>
        <v>2.5350486138366879E-3</v>
      </c>
      <c r="CD98" s="24">
        <f t="shared" si="167"/>
        <v>2.5350486138366879E-3</v>
      </c>
      <c r="CE98" s="24">
        <f t="shared" si="167"/>
        <v>2.5350486138366879E-3</v>
      </c>
      <c r="CF98" s="24">
        <f t="shared" si="167"/>
        <v>2.5350486138366879E-3</v>
      </c>
      <c r="CG98" s="24">
        <f t="shared" si="167"/>
        <v>2.5350486138366879E-3</v>
      </c>
      <c r="CH98" s="24">
        <f t="shared" si="167"/>
        <v>2.5350486138366879E-3</v>
      </c>
      <c r="CI98" s="24">
        <f t="shared" si="167"/>
        <v>2.5350486138366879E-3</v>
      </c>
      <c r="CJ98" s="24">
        <f t="shared" si="167"/>
        <v>2.5350486138366879E-3</v>
      </c>
      <c r="CK98" s="24">
        <f t="shared" si="167"/>
        <v>2.5350486138366879E-3</v>
      </c>
      <c r="CL98" s="24">
        <f t="shared" si="167"/>
        <v>2.5350486138366879E-3</v>
      </c>
      <c r="CM98" s="24">
        <f t="shared" si="167"/>
        <v>2.5350486138366879E-3</v>
      </c>
      <c r="CN98" s="24">
        <f t="shared" si="167"/>
        <v>2.5350486138366879E-3</v>
      </c>
      <c r="CO98" s="24">
        <f t="shared" si="167"/>
        <v>2.5350486138366879E-3</v>
      </c>
      <c r="CP98" s="24">
        <f t="shared" si="167"/>
        <v>2.5350486138366879E-3</v>
      </c>
      <c r="CQ98" s="24">
        <f t="shared" si="167"/>
        <v>2.5350486138366879E-3</v>
      </c>
      <c r="CR98" s="24">
        <f t="shared" si="167"/>
        <v>2.5350486138366879E-3</v>
      </c>
    </row>
    <row r="99" spans="5:96" x14ac:dyDescent="0.2">
      <c r="E99" s="6">
        <v>93</v>
      </c>
      <c r="F99" s="26">
        <v>0.28449999999999998</v>
      </c>
      <c r="G99" s="27">
        <v>0.20874000000000001</v>
      </c>
      <c r="H99" s="27">
        <f t="shared" si="116"/>
        <v>0.20874000000000001</v>
      </c>
      <c r="I99" s="28">
        <f t="shared" si="110"/>
        <v>1.9321619976947035E-2</v>
      </c>
      <c r="J99" s="27">
        <f t="shared" si="117"/>
        <v>0.20874000000000001</v>
      </c>
      <c r="K99" s="28">
        <f t="shared" si="111"/>
        <v>1.9321619976947035E-2</v>
      </c>
      <c r="L99" s="27">
        <f t="shared" si="118"/>
        <v>0.20874000000000001</v>
      </c>
      <c r="M99" s="28">
        <f t="shared" si="112"/>
        <v>1.9321619976947035E-2</v>
      </c>
      <c r="N99" s="27">
        <f t="shared" si="119"/>
        <v>0.20874000000000001</v>
      </c>
      <c r="O99" s="28">
        <f t="shared" si="113"/>
        <v>1.9321619976947035E-2</v>
      </c>
      <c r="P99" s="5">
        <v>4.0000000000000002E-4</v>
      </c>
      <c r="Q99" s="28">
        <f t="shared" si="120"/>
        <v>3.3339446006586115E-5</v>
      </c>
      <c r="S99" s="28"/>
      <c r="U99" s="28"/>
      <c r="V99" s="5">
        <v>4.0000000000000002E-4</v>
      </c>
      <c r="W99" s="28">
        <f t="shared" si="114"/>
        <v>3.3339446006586115E-5</v>
      </c>
      <c r="BM99" s="23">
        <f t="shared" si="145"/>
        <v>2023</v>
      </c>
      <c r="BN99" s="23">
        <f t="shared" si="149"/>
        <v>21</v>
      </c>
      <c r="BO99" s="24">
        <f t="shared" ref="BO99:CR99" si="168">1-(1 -BO65)^(1/12)</f>
        <v>8.3717735912058888E-4</v>
      </c>
      <c r="BP99" s="24">
        <f t="shared" si="168"/>
        <v>1.6821425527395739E-3</v>
      </c>
      <c r="BQ99" s="24">
        <f t="shared" si="168"/>
        <v>2.5350486138366879E-3</v>
      </c>
      <c r="BR99" s="24">
        <f t="shared" si="168"/>
        <v>2.5350486138366879E-3</v>
      </c>
      <c r="BS99" s="24">
        <f t="shared" si="168"/>
        <v>2.5350486138366879E-3</v>
      </c>
      <c r="BT99" s="24">
        <f t="shared" si="168"/>
        <v>2.5350486138366879E-3</v>
      </c>
      <c r="BU99" s="24">
        <f t="shared" si="168"/>
        <v>2.5350486138366879E-3</v>
      </c>
      <c r="BV99" s="24">
        <f t="shared" si="168"/>
        <v>4.2653187775606449E-3</v>
      </c>
      <c r="BW99" s="24">
        <f t="shared" si="168"/>
        <v>3.3960531989175591E-3</v>
      </c>
      <c r="BX99" s="24">
        <f t="shared" si="168"/>
        <v>2.5350486138366879E-3</v>
      </c>
      <c r="BY99" s="24">
        <f t="shared" si="168"/>
        <v>2.5350486138366879E-3</v>
      </c>
      <c r="BZ99" s="24">
        <f t="shared" si="168"/>
        <v>2.5350486138366879E-3</v>
      </c>
      <c r="CA99" s="24">
        <f t="shared" si="168"/>
        <v>2.5350486138366879E-3</v>
      </c>
      <c r="CB99" s="24">
        <f t="shared" si="168"/>
        <v>2.5350486138366879E-3</v>
      </c>
      <c r="CC99" s="24">
        <f t="shared" si="168"/>
        <v>2.5350486138366879E-3</v>
      </c>
      <c r="CD99" s="24">
        <f t="shared" si="168"/>
        <v>2.5350486138366879E-3</v>
      </c>
      <c r="CE99" s="24">
        <f t="shared" si="168"/>
        <v>2.5350486138366879E-3</v>
      </c>
      <c r="CF99" s="24">
        <f t="shared" si="168"/>
        <v>2.5350486138366879E-3</v>
      </c>
      <c r="CG99" s="24">
        <f t="shared" si="168"/>
        <v>2.5350486138366879E-3</v>
      </c>
      <c r="CH99" s="24">
        <f t="shared" si="168"/>
        <v>2.5350486138366879E-3</v>
      </c>
      <c r="CI99" s="24">
        <f t="shared" si="168"/>
        <v>2.5350486138366879E-3</v>
      </c>
      <c r="CJ99" s="24">
        <f t="shared" si="168"/>
        <v>2.5350486138366879E-3</v>
      </c>
      <c r="CK99" s="24">
        <f t="shared" si="168"/>
        <v>2.5350486138366879E-3</v>
      </c>
      <c r="CL99" s="24">
        <f t="shared" si="168"/>
        <v>2.5350486138366879E-3</v>
      </c>
      <c r="CM99" s="24">
        <f t="shared" si="168"/>
        <v>2.5350486138366879E-3</v>
      </c>
      <c r="CN99" s="24">
        <f t="shared" si="168"/>
        <v>2.5350486138366879E-3</v>
      </c>
      <c r="CO99" s="24">
        <f t="shared" si="168"/>
        <v>2.5350486138366879E-3</v>
      </c>
      <c r="CP99" s="24">
        <f t="shared" si="168"/>
        <v>2.5350486138366879E-3</v>
      </c>
      <c r="CQ99" s="24">
        <f t="shared" si="168"/>
        <v>2.5350486138366879E-3</v>
      </c>
      <c r="CR99" s="24">
        <f t="shared" si="168"/>
        <v>2.5350486138366879E-3</v>
      </c>
    </row>
    <row r="100" spans="5:96" x14ac:dyDescent="0.2">
      <c r="E100" s="6">
        <v>94</v>
      </c>
      <c r="F100" s="26">
        <v>0.30510999999999999</v>
      </c>
      <c r="G100" s="27">
        <v>0.22450999999999999</v>
      </c>
      <c r="H100" s="27">
        <f t="shared" si="116"/>
        <v>0.22450999999999999</v>
      </c>
      <c r="I100" s="28">
        <f t="shared" si="110"/>
        <v>2.0965453249060517E-2</v>
      </c>
      <c r="J100" s="27">
        <f t="shared" si="117"/>
        <v>0.22450999999999999</v>
      </c>
      <c r="K100" s="28">
        <f t="shared" si="111"/>
        <v>2.0965453249060517E-2</v>
      </c>
      <c r="L100" s="27">
        <f t="shared" si="118"/>
        <v>0.22450999999999999</v>
      </c>
      <c r="M100" s="28">
        <f t="shared" si="112"/>
        <v>2.0965453249060517E-2</v>
      </c>
      <c r="N100" s="27">
        <f t="shared" si="119"/>
        <v>0.22450999999999999</v>
      </c>
      <c r="O100" s="28">
        <f t="shared" si="113"/>
        <v>2.0965453249060517E-2</v>
      </c>
      <c r="P100" s="5">
        <v>4.0000000000000002E-4</v>
      </c>
      <c r="Q100" s="28">
        <f t="shared" si="120"/>
        <v>3.3339446006586115E-5</v>
      </c>
      <c r="S100" s="28"/>
      <c r="U100" s="28"/>
      <c r="V100" s="5">
        <v>4.0000000000000002E-4</v>
      </c>
      <c r="W100" s="28">
        <f t="shared" si="114"/>
        <v>3.3339446006586115E-5</v>
      </c>
      <c r="BM100" s="23">
        <f t="shared" si="145"/>
        <v>2023</v>
      </c>
      <c r="BN100" s="23">
        <f t="shared" si="149"/>
        <v>22</v>
      </c>
      <c r="BO100" s="24">
        <f t="shared" ref="BO100:CR100" si="169">1-(1 -BO66)^(1/12)</f>
        <v>8.3717735912058888E-4</v>
      </c>
      <c r="BP100" s="24">
        <f t="shared" si="169"/>
        <v>1.6821425527395739E-3</v>
      </c>
      <c r="BQ100" s="24">
        <f t="shared" si="169"/>
        <v>2.5350486138366879E-3</v>
      </c>
      <c r="BR100" s="24">
        <f t="shared" si="169"/>
        <v>2.5350486138366879E-3</v>
      </c>
      <c r="BS100" s="24">
        <f t="shared" si="169"/>
        <v>2.5350486138366879E-3</v>
      </c>
      <c r="BT100" s="24">
        <f t="shared" si="169"/>
        <v>2.5350486138366879E-3</v>
      </c>
      <c r="BU100" s="24">
        <f t="shared" si="169"/>
        <v>2.5350486138366879E-3</v>
      </c>
      <c r="BV100" s="24">
        <f t="shared" si="169"/>
        <v>4.2653187775606449E-3</v>
      </c>
      <c r="BW100" s="24">
        <f t="shared" si="169"/>
        <v>3.3960531989175591E-3</v>
      </c>
      <c r="BX100" s="24">
        <f t="shared" si="169"/>
        <v>2.5350486138366879E-3</v>
      </c>
      <c r="BY100" s="24">
        <f t="shared" si="169"/>
        <v>2.5350486138366879E-3</v>
      </c>
      <c r="BZ100" s="24">
        <f t="shared" si="169"/>
        <v>2.5350486138366879E-3</v>
      </c>
      <c r="CA100" s="24">
        <f t="shared" si="169"/>
        <v>2.5350486138366879E-3</v>
      </c>
      <c r="CB100" s="24">
        <f t="shared" si="169"/>
        <v>2.5350486138366879E-3</v>
      </c>
      <c r="CC100" s="24">
        <f t="shared" si="169"/>
        <v>2.5350486138366879E-3</v>
      </c>
      <c r="CD100" s="24">
        <f t="shared" si="169"/>
        <v>2.5350486138366879E-3</v>
      </c>
      <c r="CE100" s="24">
        <f t="shared" si="169"/>
        <v>2.5350486138366879E-3</v>
      </c>
      <c r="CF100" s="24">
        <f t="shared" si="169"/>
        <v>2.5350486138366879E-3</v>
      </c>
      <c r="CG100" s="24">
        <f t="shared" si="169"/>
        <v>2.5350486138366879E-3</v>
      </c>
      <c r="CH100" s="24">
        <f t="shared" si="169"/>
        <v>2.5350486138366879E-3</v>
      </c>
      <c r="CI100" s="24">
        <f t="shared" si="169"/>
        <v>2.5350486138366879E-3</v>
      </c>
      <c r="CJ100" s="24">
        <f t="shared" si="169"/>
        <v>2.5350486138366879E-3</v>
      </c>
      <c r="CK100" s="24">
        <f t="shared" si="169"/>
        <v>2.5350486138366879E-3</v>
      </c>
      <c r="CL100" s="24">
        <f t="shared" si="169"/>
        <v>2.5350486138366879E-3</v>
      </c>
      <c r="CM100" s="24">
        <f t="shared" si="169"/>
        <v>2.5350486138366879E-3</v>
      </c>
      <c r="CN100" s="24">
        <f t="shared" si="169"/>
        <v>2.5350486138366879E-3</v>
      </c>
      <c r="CO100" s="24">
        <f t="shared" si="169"/>
        <v>2.5350486138366879E-3</v>
      </c>
      <c r="CP100" s="24">
        <f t="shared" si="169"/>
        <v>2.5350486138366879E-3</v>
      </c>
      <c r="CQ100" s="24">
        <f t="shared" si="169"/>
        <v>2.5350486138366879E-3</v>
      </c>
      <c r="CR100" s="24">
        <f t="shared" si="169"/>
        <v>2.5350486138366879E-3</v>
      </c>
    </row>
    <row r="101" spans="5:96" x14ac:dyDescent="0.2">
      <c r="E101" s="6">
        <v>95</v>
      </c>
      <c r="F101" s="26">
        <v>0.32682</v>
      </c>
      <c r="G101" s="27">
        <v>0.24126</v>
      </c>
      <c r="H101" s="27">
        <f t="shared" si="116"/>
        <v>0.24126</v>
      </c>
      <c r="I101" s="28">
        <f t="shared" si="110"/>
        <v>2.2745343763855286E-2</v>
      </c>
      <c r="J101" s="27">
        <f t="shared" si="117"/>
        <v>0.24126</v>
      </c>
      <c r="K101" s="28">
        <f t="shared" si="111"/>
        <v>2.2745343763855286E-2</v>
      </c>
      <c r="L101" s="27">
        <f t="shared" si="118"/>
        <v>0.24126</v>
      </c>
      <c r="M101" s="28">
        <f t="shared" si="112"/>
        <v>2.2745343763855286E-2</v>
      </c>
      <c r="N101" s="27">
        <f t="shared" si="119"/>
        <v>0.24126</v>
      </c>
      <c r="O101" s="28">
        <f t="shared" si="113"/>
        <v>2.2745343763855286E-2</v>
      </c>
      <c r="P101" s="5">
        <v>4.0000000000000002E-4</v>
      </c>
      <c r="Q101" s="28">
        <f t="shared" si="120"/>
        <v>3.3339446006586115E-5</v>
      </c>
      <c r="S101" s="28"/>
      <c r="U101" s="28"/>
      <c r="V101" s="5">
        <v>4.0000000000000002E-4</v>
      </c>
      <c r="W101" s="28">
        <f t="shared" si="114"/>
        <v>3.3339446006586115E-5</v>
      </c>
      <c r="BM101" s="23">
        <f t="shared" si="145"/>
        <v>2023</v>
      </c>
      <c r="BN101" s="23">
        <f t="shared" si="149"/>
        <v>23</v>
      </c>
      <c r="BO101" s="24">
        <f t="shared" ref="BO101:CR101" si="170">1-(1 -BO67)^(1/12)</f>
        <v>8.3717735912058888E-4</v>
      </c>
      <c r="BP101" s="24">
        <f t="shared" si="170"/>
        <v>1.6821425527395739E-3</v>
      </c>
      <c r="BQ101" s="24">
        <f t="shared" si="170"/>
        <v>2.5350486138366879E-3</v>
      </c>
      <c r="BR101" s="24">
        <f t="shared" si="170"/>
        <v>2.5350486138366879E-3</v>
      </c>
      <c r="BS101" s="24">
        <f t="shared" si="170"/>
        <v>2.5350486138366879E-3</v>
      </c>
      <c r="BT101" s="24">
        <f t="shared" si="170"/>
        <v>2.5350486138366879E-3</v>
      </c>
      <c r="BU101" s="24">
        <f t="shared" si="170"/>
        <v>2.5350486138366879E-3</v>
      </c>
      <c r="BV101" s="24">
        <f t="shared" si="170"/>
        <v>4.2653187775606449E-3</v>
      </c>
      <c r="BW101" s="24">
        <f t="shared" si="170"/>
        <v>3.3960531989175591E-3</v>
      </c>
      <c r="BX101" s="24">
        <f t="shared" si="170"/>
        <v>2.5350486138366879E-3</v>
      </c>
      <c r="BY101" s="24">
        <f t="shared" si="170"/>
        <v>2.5350486138366879E-3</v>
      </c>
      <c r="BZ101" s="24">
        <f t="shared" si="170"/>
        <v>2.5350486138366879E-3</v>
      </c>
      <c r="CA101" s="24">
        <f t="shared" si="170"/>
        <v>2.5350486138366879E-3</v>
      </c>
      <c r="CB101" s="24">
        <f t="shared" si="170"/>
        <v>2.5350486138366879E-3</v>
      </c>
      <c r="CC101" s="24">
        <f t="shared" si="170"/>
        <v>2.5350486138366879E-3</v>
      </c>
      <c r="CD101" s="24">
        <f t="shared" si="170"/>
        <v>2.5350486138366879E-3</v>
      </c>
      <c r="CE101" s="24">
        <f t="shared" si="170"/>
        <v>2.5350486138366879E-3</v>
      </c>
      <c r="CF101" s="24">
        <f t="shared" si="170"/>
        <v>2.5350486138366879E-3</v>
      </c>
      <c r="CG101" s="24">
        <f t="shared" si="170"/>
        <v>2.5350486138366879E-3</v>
      </c>
      <c r="CH101" s="24">
        <f t="shared" si="170"/>
        <v>2.5350486138366879E-3</v>
      </c>
      <c r="CI101" s="24">
        <f t="shared" si="170"/>
        <v>2.5350486138366879E-3</v>
      </c>
      <c r="CJ101" s="24">
        <f t="shared" si="170"/>
        <v>2.5350486138366879E-3</v>
      </c>
      <c r="CK101" s="24">
        <f t="shared" si="170"/>
        <v>2.5350486138366879E-3</v>
      </c>
      <c r="CL101" s="24">
        <f t="shared" si="170"/>
        <v>2.5350486138366879E-3</v>
      </c>
      <c r="CM101" s="24">
        <f t="shared" si="170"/>
        <v>2.5350486138366879E-3</v>
      </c>
      <c r="CN101" s="24">
        <f t="shared" si="170"/>
        <v>2.5350486138366879E-3</v>
      </c>
      <c r="CO101" s="24">
        <f t="shared" si="170"/>
        <v>2.5350486138366879E-3</v>
      </c>
      <c r="CP101" s="24">
        <f t="shared" si="170"/>
        <v>2.5350486138366879E-3</v>
      </c>
      <c r="CQ101" s="24">
        <f t="shared" si="170"/>
        <v>2.5350486138366879E-3</v>
      </c>
      <c r="CR101" s="24">
        <f t="shared" si="170"/>
        <v>2.5350486138366879E-3</v>
      </c>
    </row>
    <row r="102" spans="5:96" x14ac:dyDescent="0.2">
      <c r="E102" s="6">
        <v>96</v>
      </c>
      <c r="F102" s="26">
        <v>0.34661999999999998</v>
      </c>
      <c r="G102" s="27">
        <v>0.25714999999999999</v>
      </c>
      <c r="H102" s="27">
        <f t="shared" si="116"/>
        <v>0.25714999999999999</v>
      </c>
      <c r="I102" s="28">
        <f t="shared" ref="I102:I117" si="171">1-(1 - H102)^(1/12)</f>
        <v>2.4467459368125111E-2</v>
      </c>
      <c r="J102" s="27">
        <f t="shared" si="117"/>
        <v>0.25714999999999999</v>
      </c>
      <c r="K102" s="28">
        <f t="shared" si="111"/>
        <v>2.4467459368125111E-2</v>
      </c>
      <c r="L102" s="27">
        <f t="shared" si="118"/>
        <v>0.25714999999999999</v>
      </c>
      <c r="M102" s="28">
        <f t="shared" si="112"/>
        <v>2.4467459368125111E-2</v>
      </c>
      <c r="N102" s="27">
        <f t="shared" si="119"/>
        <v>0.25714999999999999</v>
      </c>
      <c r="O102" s="28">
        <f t="shared" si="113"/>
        <v>2.4467459368125111E-2</v>
      </c>
      <c r="P102" s="5">
        <v>4.0000000000000002E-4</v>
      </c>
      <c r="Q102" s="28">
        <f t="shared" si="120"/>
        <v>3.3339446006586115E-5</v>
      </c>
      <c r="S102" s="28"/>
      <c r="U102" s="28"/>
      <c r="V102" s="5">
        <v>4.0000000000000002E-4</v>
      </c>
      <c r="W102" s="28">
        <f t="shared" si="114"/>
        <v>3.3339446006586115E-5</v>
      </c>
      <c r="BM102" s="23">
        <f t="shared" si="145"/>
        <v>2023</v>
      </c>
      <c r="BN102" s="23">
        <f t="shared" si="149"/>
        <v>24</v>
      </c>
      <c r="BO102" s="24">
        <f t="shared" ref="BO102:CR102" si="172">1-(1 -BO68)^(1/12)</f>
        <v>8.3717735912058888E-4</v>
      </c>
      <c r="BP102" s="24">
        <f t="shared" si="172"/>
        <v>1.6821425527395739E-3</v>
      </c>
      <c r="BQ102" s="24">
        <f t="shared" si="172"/>
        <v>2.5350486138366879E-3</v>
      </c>
      <c r="BR102" s="24">
        <f t="shared" si="172"/>
        <v>2.5350486138366879E-3</v>
      </c>
      <c r="BS102" s="24">
        <f t="shared" si="172"/>
        <v>2.5350486138366879E-3</v>
      </c>
      <c r="BT102" s="24">
        <f t="shared" si="172"/>
        <v>2.5350486138366879E-3</v>
      </c>
      <c r="BU102" s="24">
        <f t="shared" si="172"/>
        <v>2.5350486138366879E-3</v>
      </c>
      <c r="BV102" s="24">
        <f t="shared" si="172"/>
        <v>4.2653187775606449E-3</v>
      </c>
      <c r="BW102" s="24">
        <f t="shared" si="172"/>
        <v>3.3960531989175591E-3</v>
      </c>
      <c r="BX102" s="24">
        <f t="shared" si="172"/>
        <v>2.5350486138366879E-3</v>
      </c>
      <c r="BY102" s="24">
        <f t="shared" si="172"/>
        <v>2.5350486138366879E-3</v>
      </c>
      <c r="BZ102" s="24">
        <f t="shared" si="172"/>
        <v>2.5350486138366879E-3</v>
      </c>
      <c r="CA102" s="24">
        <f t="shared" si="172"/>
        <v>2.5350486138366879E-3</v>
      </c>
      <c r="CB102" s="24">
        <f t="shared" si="172"/>
        <v>2.5350486138366879E-3</v>
      </c>
      <c r="CC102" s="24">
        <f t="shared" si="172"/>
        <v>2.5350486138366879E-3</v>
      </c>
      <c r="CD102" s="24">
        <f t="shared" si="172"/>
        <v>2.5350486138366879E-3</v>
      </c>
      <c r="CE102" s="24">
        <f t="shared" si="172"/>
        <v>2.5350486138366879E-3</v>
      </c>
      <c r="CF102" s="24">
        <f t="shared" si="172"/>
        <v>2.5350486138366879E-3</v>
      </c>
      <c r="CG102" s="24">
        <f t="shared" si="172"/>
        <v>2.5350486138366879E-3</v>
      </c>
      <c r="CH102" s="24">
        <f t="shared" si="172"/>
        <v>2.5350486138366879E-3</v>
      </c>
      <c r="CI102" s="24">
        <f t="shared" si="172"/>
        <v>2.5350486138366879E-3</v>
      </c>
      <c r="CJ102" s="24">
        <f t="shared" si="172"/>
        <v>2.5350486138366879E-3</v>
      </c>
      <c r="CK102" s="24">
        <f t="shared" si="172"/>
        <v>2.5350486138366879E-3</v>
      </c>
      <c r="CL102" s="24">
        <f t="shared" si="172"/>
        <v>2.5350486138366879E-3</v>
      </c>
      <c r="CM102" s="24">
        <f t="shared" si="172"/>
        <v>2.5350486138366879E-3</v>
      </c>
      <c r="CN102" s="24">
        <f t="shared" si="172"/>
        <v>2.5350486138366879E-3</v>
      </c>
      <c r="CO102" s="24">
        <f t="shared" si="172"/>
        <v>2.5350486138366879E-3</v>
      </c>
      <c r="CP102" s="24">
        <f t="shared" si="172"/>
        <v>2.5350486138366879E-3</v>
      </c>
      <c r="CQ102" s="24">
        <f t="shared" si="172"/>
        <v>2.5350486138366879E-3</v>
      </c>
      <c r="CR102" s="24">
        <f t="shared" si="172"/>
        <v>2.5350486138366879E-3</v>
      </c>
    </row>
    <row r="103" spans="5:96" x14ac:dyDescent="0.2">
      <c r="E103" s="6">
        <v>97</v>
      </c>
      <c r="F103" s="26">
        <v>0.36770000000000003</v>
      </c>
      <c r="G103" s="27">
        <v>0.27418999999999999</v>
      </c>
      <c r="H103" s="27">
        <f t="shared" si="116"/>
        <v>0.27418999999999999</v>
      </c>
      <c r="I103" s="28">
        <f t="shared" si="171"/>
        <v>2.6352143032386421E-2</v>
      </c>
      <c r="J103" s="27">
        <f t="shared" si="117"/>
        <v>0.27418999999999999</v>
      </c>
      <c r="K103" s="28">
        <f t="shared" si="111"/>
        <v>2.6352143032386421E-2</v>
      </c>
      <c r="L103" s="27">
        <f t="shared" si="118"/>
        <v>0.27418999999999999</v>
      </c>
      <c r="M103" s="28">
        <f t="shared" si="112"/>
        <v>2.6352143032386421E-2</v>
      </c>
      <c r="N103" s="27">
        <f t="shared" si="119"/>
        <v>0.27418999999999999</v>
      </c>
      <c r="O103" s="28">
        <f t="shared" si="113"/>
        <v>2.6352143032386421E-2</v>
      </c>
      <c r="P103" s="5">
        <v>4.0000000000000002E-4</v>
      </c>
      <c r="Q103" s="28">
        <f t="shared" si="120"/>
        <v>3.3339446006586115E-5</v>
      </c>
      <c r="S103" s="28"/>
      <c r="U103" s="28"/>
      <c r="V103" s="5">
        <v>4.0000000000000002E-4</v>
      </c>
      <c r="W103" s="28">
        <f t="shared" si="114"/>
        <v>3.3339446006586115E-5</v>
      </c>
      <c r="BM103" s="23">
        <f t="shared" si="145"/>
        <v>2023</v>
      </c>
      <c r="BN103" s="23">
        <f t="shared" si="149"/>
        <v>25</v>
      </c>
      <c r="BO103" s="24">
        <f t="shared" ref="BO103:CR103" si="173">1-(1 -BO69)^(1/12)</f>
        <v>8.3717735912058888E-4</v>
      </c>
      <c r="BP103" s="24">
        <f t="shared" si="173"/>
        <v>1.6821425527395739E-3</v>
      </c>
      <c r="BQ103" s="24">
        <f t="shared" si="173"/>
        <v>2.5350486138366879E-3</v>
      </c>
      <c r="BR103" s="24">
        <f t="shared" si="173"/>
        <v>2.5350486138366879E-3</v>
      </c>
      <c r="BS103" s="24">
        <f t="shared" si="173"/>
        <v>2.5350486138366879E-3</v>
      </c>
      <c r="BT103" s="24">
        <f t="shared" si="173"/>
        <v>2.5350486138366879E-3</v>
      </c>
      <c r="BU103" s="24">
        <f t="shared" si="173"/>
        <v>2.5350486138366879E-3</v>
      </c>
      <c r="BV103" s="24">
        <f t="shared" si="173"/>
        <v>4.2653187775606449E-3</v>
      </c>
      <c r="BW103" s="24">
        <f t="shared" si="173"/>
        <v>3.3960531989175591E-3</v>
      </c>
      <c r="BX103" s="24">
        <f t="shared" si="173"/>
        <v>2.5350486138366879E-3</v>
      </c>
      <c r="BY103" s="24">
        <f t="shared" si="173"/>
        <v>2.5350486138366879E-3</v>
      </c>
      <c r="BZ103" s="24">
        <f t="shared" si="173"/>
        <v>2.5350486138366879E-3</v>
      </c>
      <c r="CA103" s="24">
        <f t="shared" si="173"/>
        <v>2.5350486138366879E-3</v>
      </c>
      <c r="CB103" s="24">
        <f t="shared" si="173"/>
        <v>2.5350486138366879E-3</v>
      </c>
      <c r="CC103" s="24">
        <f t="shared" si="173"/>
        <v>2.5350486138366879E-3</v>
      </c>
      <c r="CD103" s="24">
        <f t="shared" si="173"/>
        <v>2.5350486138366879E-3</v>
      </c>
      <c r="CE103" s="24">
        <f t="shared" si="173"/>
        <v>2.5350486138366879E-3</v>
      </c>
      <c r="CF103" s="24">
        <f t="shared" si="173"/>
        <v>2.5350486138366879E-3</v>
      </c>
      <c r="CG103" s="24">
        <f t="shared" si="173"/>
        <v>2.5350486138366879E-3</v>
      </c>
      <c r="CH103" s="24">
        <f t="shared" si="173"/>
        <v>2.5350486138366879E-3</v>
      </c>
      <c r="CI103" s="24">
        <f t="shared" si="173"/>
        <v>2.5350486138366879E-3</v>
      </c>
      <c r="CJ103" s="24">
        <f t="shared" si="173"/>
        <v>2.5350486138366879E-3</v>
      </c>
      <c r="CK103" s="24">
        <f t="shared" si="173"/>
        <v>2.5350486138366879E-3</v>
      </c>
      <c r="CL103" s="24">
        <f t="shared" si="173"/>
        <v>2.5350486138366879E-3</v>
      </c>
      <c r="CM103" s="24">
        <f t="shared" si="173"/>
        <v>2.5350486138366879E-3</v>
      </c>
      <c r="CN103" s="24">
        <f t="shared" si="173"/>
        <v>2.5350486138366879E-3</v>
      </c>
      <c r="CO103" s="24">
        <f t="shared" si="173"/>
        <v>2.5350486138366879E-3</v>
      </c>
      <c r="CP103" s="24">
        <f t="shared" si="173"/>
        <v>2.5350486138366879E-3</v>
      </c>
      <c r="CQ103" s="24">
        <f t="shared" si="173"/>
        <v>2.5350486138366879E-3</v>
      </c>
      <c r="CR103" s="24">
        <f t="shared" si="173"/>
        <v>2.5350486138366879E-3</v>
      </c>
    </row>
    <row r="104" spans="5:96" x14ac:dyDescent="0.2">
      <c r="E104" s="6">
        <v>98</v>
      </c>
      <c r="F104" s="26">
        <v>0.39016000000000001</v>
      </c>
      <c r="G104" s="27">
        <v>0.29249000000000003</v>
      </c>
      <c r="H104" s="27">
        <f t="shared" si="116"/>
        <v>0.29249000000000003</v>
      </c>
      <c r="I104" s="28">
        <f t="shared" si="171"/>
        <v>2.8421903911531432E-2</v>
      </c>
      <c r="J104" s="27">
        <f t="shared" si="117"/>
        <v>0.29249000000000003</v>
      </c>
      <c r="K104" s="28">
        <f t="shared" si="111"/>
        <v>2.8421903911531432E-2</v>
      </c>
      <c r="L104" s="27">
        <f t="shared" si="118"/>
        <v>0.29249000000000003</v>
      </c>
      <c r="M104" s="28">
        <f t="shared" si="112"/>
        <v>2.8421903911531432E-2</v>
      </c>
      <c r="N104" s="27">
        <f t="shared" si="119"/>
        <v>0.29249000000000003</v>
      </c>
      <c r="O104" s="28">
        <f t="shared" si="113"/>
        <v>2.8421903911531432E-2</v>
      </c>
      <c r="P104" s="5">
        <v>4.0000000000000002E-4</v>
      </c>
      <c r="Q104" s="28">
        <f t="shared" si="120"/>
        <v>3.3339446006586115E-5</v>
      </c>
      <c r="S104" s="28"/>
      <c r="U104" s="28"/>
      <c r="V104" s="5">
        <v>4.0000000000000002E-4</v>
      </c>
      <c r="W104" s="28">
        <f t="shared" si="114"/>
        <v>3.3339446006586115E-5</v>
      </c>
      <c r="BM104" s="23">
        <f t="shared" si="145"/>
        <v>2023</v>
      </c>
      <c r="BN104" s="23">
        <f t="shared" si="149"/>
        <v>26</v>
      </c>
      <c r="BO104" s="24">
        <f t="shared" ref="BO104:CR104" si="174">1-(1 -BO70)^(1/12)</f>
        <v>8.3717735912058888E-4</v>
      </c>
      <c r="BP104" s="24">
        <f t="shared" si="174"/>
        <v>1.6821425527395739E-3</v>
      </c>
      <c r="BQ104" s="24">
        <f t="shared" si="174"/>
        <v>2.5350486138366879E-3</v>
      </c>
      <c r="BR104" s="24">
        <f t="shared" si="174"/>
        <v>2.5350486138366879E-3</v>
      </c>
      <c r="BS104" s="24">
        <f t="shared" si="174"/>
        <v>2.5350486138366879E-3</v>
      </c>
      <c r="BT104" s="24">
        <f t="shared" si="174"/>
        <v>2.5350486138366879E-3</v>
      </c>
      <c r="BU104" s="24">
        <f t="shared" si="174"/>
        <v>2.5350486138366879E-3</v>
      </c>
      <c r="BV104" s="24">
        <f t="shared" si="174"/>
        <v>4.2653187775606449E-3</v>
      </c>
      <c r="BW104" s="24">
        <f t="shared" si="174"/>
        <v>3.3960531989175591E-3</v>
      </c>
      <c r="BX104" s="24">
        <f t="shared" si="174"/>
        <v>2.5350486138366879E-3</v>
      </c>
      <c r="BY104" s="24">
        <f t="shared" si="174"/>
        <v>2.5350486138366879E-3</v>
      </c>
      <c r="BZ104" s="24">
        <f t="shared" si="174"/>
        <v>2.5350486138366879E-3</v>
      </c>
      <c r="CA104" s="24">
        <f t="shared" si="174"/>
        <v>2.5350486138366879E-3</v>
      </c>
      <c r="CB104" s="24">
        <f t="shared" si="174"/>
        <v>2.5350486138366879E-3</v>
      </c>
      <c r="CC104" s="24">
        <f t="shared" si="174"/>
        <v>2.5350486138366879E-3</v>
      </c>
      <c r="CD104" s="24">
        <f t="shared" si="174"/>
        <v>2.5350486138366879E-3</v>
      </c>
      <c r="CE104" s="24">
        <f t="shared" si="174"/>
        <v>2.5350486138366879E-3</v>
      </c>
      <c r="CF104" s="24">
        <f t="shared" si="174"/>
        <v>2.5350486138366879E-3</v>
      </c>
      <c r="CG104" s="24">
        <f t="shared" si="174"/>
        <v>2.5350486138366879E-3</v>
      </c>
      <c r="CH104" s="24">
        <f t="shared" si="174"/>
        <v>2.5350486138366879E-3</v>
      </c>
      <c r="CI104" s="24">
        <f t="shared" si="174"/>
        <v>2.5350486138366879E-3</v>
      </c>
      <c r="CJ104" s="24">
        <f t="shared" si="174"/>
        <v>2.5350486138366879E-3</v>
      </c>
      <c r="CK104" s="24">
        <f t="shared" si="174"/>
        <v>2.5350486138366879E-3</v>
      </c>
      <c r="CL104" s="24">
        <f t="shared" si="174"/>
        <v>2.5350486138366879E-3</v>
      </c>
      <c r="CM104" s="24">
        <f t="shared" si="174"/>
        <v>2.5350486138366879E-3</v>
      </c>
      <c r="CN104" s="24">
        <f t="shared" si="174"/>
        <v>2.5350486138366879E-3</v>
      </c>
      <c r="CO104" s="24">
        <f t="shared" si="174"/>
        <v>2.5350486138366879E-3</v>
      </c>
      <c r="CP104" s="24">
        <f t="shared" si="174"/>
        <v>2.5350486138366879E-3</v>
      </c>
      <c r="CQ104" s="24">
        <f t="shared" si="174"/>
        <v>2.5350486138366879E-3</v>
      </c>
      <c r="CR104" s="24">
        <f t="shared" si="174"/>
        <v>2.5350486138366879E-3</v>
      </c>
    </row>
    <row r="105" spans="5:96" x14ac:dyDescent="0.2">
      <c r="E105" s="6">
        <v>99</v>
      </c>
      <c r="F105" s="26">
        <v>0.41413</v>
      </c>
      <c r="G105" s="27">
        <v>0.31214999999999998</v>
      </c>
      <c r="H105" s="27">
        <f t="shared" si="116"/>
        <v>0.31214999999999998</v>
      </c>
      <c r="I105" s="28">
        <f t="shared" si="171"/>
        <v>3.0700894847026761E-2</v>
      </c>
      <c r="J105" s="27">
        <f t="shared" si="117"/>
        <v>0.31214999999999998</v>
      </c>
      <c r="K105" s="28">
        <f t="shared" si="111"/>
        <v>3.0700894847026761E-2</v>
      </c>
      <c r="L105" s="27">
        <f t="shared" si="118"/>
        <v>0.31214999999999998</v>
      </c>
      <c r="M105" s="28">
        <f t="shared" si="112"/>
        <v>3.0700894847026761E-2</v>
      </c>
      <c r="N105" s="27">
        <f t="shared" si="119"/>
        <v>0.31214999999999998</v>
      </c>
      <c r="O105" s="28">
        <f t="shared" si="113"/>
        <v>3.0700894847026761E-2</v>
      </c>
      <c r="P105" s="5">
        <v>4.0000000000000002E-4</v>
      </c>
      <c r="Q105" s="28">
        <f t="shared" si="120"/>
        <v>3.3339446006586115E-5</v>
      </c>
      <c r="S105" s="28"/>
      <c r="U105" s="28"/>
      <c r="V105" s="5">
        <v>4.0000000000000002E-4</v>
      </c>
      <c r="W105" s="28">
        <f t="shared" si="114"/>
        <v>3.3339446006586115E-5</v>
      </c>
      <c r="BM105" s="23">
        <f t="shared" si="145"/>
        <v>2023</v>
      </c>
      <c r="BN105" s="23">
        <f t="shared" si="149"/>
        <v>27</v>
      </c>
      <c r="BO105" s="24">
        <f t="shared" ref="BO105:CR105" si="175">1-(1 -BO71)^(1/12)</f>
        <v>8.3717735912058888E-4</v>
      </c>
      <c r="BP105" s="24">
        <f t="shared" si="175"/>
        <v>1.6821425527395739E-3</v>
      </c>
      <c r="BQ105" s="24">
        <f t="shared" si="175"/>
        <v>2.5350486138366879E-3</v>
      </c>
      <c r="BR105" s="24">
        <f t="shared" si="175"/>
        <v>2.5350486138366879E-3</v>
      </c>
      <c r="BS105" s="24">
        <f t="shared" si="175"/>
        <v>2.5350486138366879E-3</v>
      </c>
      <c r="BT105" s="24">
        <f t="shared" si="175"/>
        <v>2.5350486138366879E-3</v>
      </c>
      <c r="BU105" s="24">
        <f t="shared" si="175"/>
        <v>2.5350486138366879E-3</v>
      </c>
      <c r="BV105" s="24">
        <f t="shared" si="175"/>
        <v>4.2653187775606449E-3</v>
      </c>
      <c r="BW105" s="24">
        <f t="shared" si="175"/>
        <v>3.3960531989175591E-3</v>
      </c>
      <c r="BX105" s="24">
        <f t="shared" si="175"/>
        <v>2.5350486138366879E-3</v>
      </c>
      <c r="BY105" s="24">
        <f t="shared" si="175"/>
        <v>2.5350486138366879E-3</v>
      </c>
      <c r="BZ105" s="24">
        <f t="shared" si="175"/>
        <v>2.5350486138366879E-3</v>
      </c>
      <c r="CA105" s="24">
        <f t="shared" si="175"/>
        <v>2.5350486138366879E-3</v>
      </c>
      <c r="CB105" s="24">
        <f t="shared" si="175"/>
        <v>2.5350486138366879E-3</v>
      </c>
      <c r="CC105" s="24">
        <f t="shared" si="175"/>
        <v>2.5350486138366879E-3</v>
      </c>
      <c r="CD105" s="24">
        <f t="shared" si="175"/>
        <v>2.5350486138366879E-3</v>
      </c>
      <c r="CE105" s="24">
        <f t="shared" si="175"/>
        <v>2.5350486138366879E-3</v>
      </c>
      <c r="CF105" s="24">
        <f t="shared" si="175"/>
        <v>2.5350486138366879E-3</v>
      </c>
      <c r="CG105" s="24">
        <f t="shared" si="175"/>
        <v>2.5350486138366879E-3</v>
      </c>
      <c r="CH105" s="24">
        <f t="shared" si="175"/>
        <v>2.5350486138366879E-3</v>
      </c>
      <c r="CI105" s="24">
        <f t="shared" si="175"/>
        <v>2.5350486138366879E-3</v>
      </c>
      <c r="CJ105" s="24">
        <f t="shared" si="175"/>
        <v>2.5350486138366879E-3</v>
      </c>
      <c r="CK105" s="24">
        <f t="shared" si="175"/>
        <v>2.5350486138366879E-3</v>
      </c>
      <c r="CL105" s="24">
        <f t="shared" si="175"/>
        <v>2.5350486138366879E-3</v>
      </c>
      <c r="CM105" s="24">
        <f t="shared" si="175"/>
        <v>2.5350486138366879E-3</v>
      </c>
      <c r="CN105" s="24">
        <f t="shared" si="175"/>
        <v>2.5350486138366879E-3</v>
      </c>
      <c r="CO105" s="24">
        <f t="shared" si="175"/>
        <v>2.5350486138366879E-3</v>
      </c>
      <c r="CP105" s="24">
        <f t="shared" si="175"/>
        <v>2.5350486138366879E-3</v>
      </c>
      <c r="CQ105" s="24">
        <f t="shared" si="175"/>
        <v>2.5350486138366879E-3</v>
      </c>
      <c r="CR105" s="24">
        <f t="shared" si="175"/>
        <v>2.5350486138366879E-3</v>
      </c>
    </row>
    <row r="106" spans="5:96" x14ac:dyDescent="0.2">
      <c r="E106" s="6">
        <v>100</v>
      </c>
      <c r="F106" s="26">
        <v>0.43974000000000002</v>
      </c>
      <c r="G106" s="27">
        <v>0.33331</v>
      </c>
      <c r="H106" s="27">
        <f t="shared" si="116"/>
        <v>0.33331</v>
      </c>
      <c r="I106" s="28">
        <f t="shared" si="171"/>
        <v>3.3221474555691355E-2</v>
      </c>
      <c r="J106" s="27">
        <f t="shared" si="117"/>
        <v>0.33331</v>
      </c>
      <c r="K106" s="28">
        <f t="shared" si="111"/>
        <v>3.3221474555691355E-2</v>
      </c>
      <c r="L106" s="27">
        <f t="shared" si="118"/>
        <v>0.33331</v>
      </c>
      <c r="M106" s="28">
        <f t="shared" si="112"/>
        <v>3.3221474555691355E-2</v>
      </c>
      <c r="N106" s="27">
        <f t="shared" si="119"/>
        <v>0.33331</v>
      </c>
      <c r="O106" s="28">
        <f t="shared" si="113"/>
        <v>3.3221474555691355E-2</v>
      </c>
      <c r="P106" s="5">
        <v>4.0000000000000002E-4</v>
      </c>
      <c r="Q106" s="28">
        <f t="shared" si="120"/>
        <v>3.3339446006586115E-5</v>
      </c>
      <c r="S106" s="28"/>
      <c r="U106" s="28"/>
      <c r="V106" s="5">
        <v>4.0000000000000002E-4</v>
      </c>
      <c r="W106" s="28">
        <f t="shared" si="114"/>
        <v>3.3339446006586115E-5</v>
      </c>
      <c r="BM106" s="23">
        <f t="shared" si="145"/>
        <v>2023</v>
      </c>
      <c r="BN106" s="23">
        <f t="shared" si="149"/>
        <v>28</v>
      </c>
      <c r="BO106" s="24">
        <f t="shared" ref="BO106:CR106" si="176">1-(1 -BO72)^(1/12)</f>
        <v>8.3717735912058888E-4</v>
      </c>
      <c r="BP106" s="24">
        <f t="shared" si="176"/>
        <v>1.6821425527395739E-3</v>
      </c>
      <c r="BQ106" s="24">
        <f t="shared" si="176"/>
        <v>2.5350486138366879E-3</v>
      </c>
      <c r="BR106" s="24">
        <f t="shared" si="176"/>
        <v>2.5350486138366879E-3</v>
      </c>
      <c r="BS106" s="24">
        <f t="shared" si="176"/>
        <v>2.5350486138366879E-3</v>
      </c>
      <c r="BT106" s="24">
        <f t="shared" si="176"/>
        <v>2.5350486138366879E-3</v>
      </c>
      <c r="BU106" s="24">
        <f t="shared" si="176"/>
        <v>2.5350486138366879E-3</v>
      </c>
      <c r="BV106" s="24">
        <f t="shared" si="176"/>
        <v>4.2653187775606449E-3</v>
      </c>
      <c r="BW106" s="24">
        <f t="shared" si="176"/>
        <v>3.3960531989175591E-3</v>
      </c>
      <c r="BX106" s="24">
        <f t="shared" si="176"/>
        <v>2.5350486138366879E-3</v>
      </c>
      <c r="BY106" s="24">
        <f t="shared" si="176"/>
        <v>2.5350486138366879E-3</v>
      </c>
      <c r="BZ106" s="24">
        <f t="shared" si="176"/>
        <v>2.5350486138366879E-3</v>
      </c>
      <c r="CA106" s="24">
        <f t="shared" si="176"/>
        <v>2.5350486138366879E-3</v>
      </c>
      <c r="CB106" s="24">
        <f t="shared" si="176"/>
        <v>2.5350486138366879E-3</v>
      </c>
      <c r="CC106" s="24">
        <f t="shared" si="176"/>
        <v>2.5350486138366879E-3</v>
      </c>
      <c r="CD106" s="24">
        <f t="shared" si="176"/>
        <v>2.5350486138366879E-3</v>
      </c>
      <c r="CE106" s="24">
        <f t="shared" si="176"/>
        <v>2.5350486138366879E-3</v>
      </c>
      <c r="CF106" s="24">
        <f t="shared" si="176"/>
        <v>2.5350486138366879E-3</v>
      </c>
      <c r="CG106" s="24">
        <f t="shared" si="176"/>
        <v>2.5350486138366879E-3</v>
      </c>
      <c r="CH106" s="24">
        <f t="shared" si="176"/>
        <v>2.5350486138366879E-3</v>
      </c>
      <c r="CI106" s="24">
        <f t="shared" si="176"/>
        <v>2.5350486138366879E-3</v>
      </c>
      <c r="CJ106" s="24">
        <f t="shared" si="176"/>
        <v>2.5350486138366879E-3</v>
      </c>
      <c r="CK106" s="24">
        <f t="shared" si="176"/>
        <v>2.5350486138366879E-3</v>
      </c>
      <c r="CL106" s="24">
        <f t="shared" si="176"/>
        <v>2.5350486138366879E-3</v>
      </c>
      <c r="CM106" s="24">
        <f t="shared" si="176"/>
        <v>2.5350486138366879E-3</v>
      </c>
      <c r="CN106" s="24">
        <f t="shared" si="176"/>
        <v>2.5350486138366879E-3</v>
      </c>
      <c r="CO106" s="24">
        <f t="shared" si="176"/>
        <v>2.5350486138366879E-3</v>
      </c>
      <c r="CP106" s="24">
        <f t="shared" si="176"/>
        <v>2.5350486138366879E-3</v>
      </c>
      <c r="CQ106" s="24">
        <f t="shared" si="176"/>
        <v>2.5350486138366879E-3</v>
      </c>
      <c r="CR106" s="24">
        <f t="shared" si="176"/>
        <v>2.5350486138366879E-3</v>
      </c>
    </row>
    <row r="107" spans="5:96" x14ac:dyDescent="0.2">
      <c r="E107" s="6">
        <v>101</v>
      </c>
      <c r="F107" s="26">
        <v>0.45994000000000002</v>
      </c>
      <c r="G107" s="27">
        <v>0.35163</v>
      </c>
      <c r="H107" s="27">
        <f t="shared" si="116"/>
        <v>0.35163</v>
      </c>
      <c r="I107" s="28">
        <f t="shared" si="171"/>
        <v>3.5463701829608341E-2</v>
      </c>
      <c r="J107" s="27">
        <f t="shared" si="117"/>
        <v>0.35163</v>
      </c>
      <c r="K107" s="28">
        <f t="shared" si="111"/>
        <v>3.5463701829608341E-2</v>
      </c>
      <c r="L107" s="27">
        <f t="shared" si="118"/>
        <v>0.35163</v>
      </c>
      <c r="M107" s="28">
        <f t="shared" si="112"/>
        <v>3.5463701829608341E-2</v>
      </c>
      <c r="N107" s="27">
        <f t="shared" si="119"/>
        <v>0.35163</v>
      </c>
      <c r="O107" s="28">
        <f t="shared" si="113"/>
        <v>3.5463701829608341E-2</v>
      </c>
      <c r="P107" s="5">
        <v>4.0000000000000002E-4</v>
      </c>
      <c r="Q107" s="28">
        <f t="shared" si="120"/>
        <v>3.3339446006586115E-5</v>
      </c>
      <c r="S107" s="28"/>
      <c r="U107" s="28"/>
      <c r="V107" s="5">
        <v>4.0000000000000002E-4</v>
      </c>
      <c r="W107" s="28">
        <f t="shared" si="114"/>
        <v>3.3339446006586115E-5</v>
      </c>
      <c r="BM107" s="23">
        <f t="shared" si="145"/>
        <v>2023</v>
      </c>
      <c r="BN107" s="23">
        <f t="shared" si="149"/>
        <v>29</v>
      </c>
      <c r="BO107" s="24">
        <f t="shared" ref="BO107:CR107" si="177">1-(1 -BO73)^(1/12)</f>
        <v>8.3717735912058888E-4</v>
      </c>
      <c r="BP107" s="24">
        <f t="shared" si="177"/>
        <v>1.6821425527395739E-3</v>
      </c>
      <c r="BQ107" s="24">
        <f t="shared" si="177"/>
        <v>2.5350486138366879E-3</v>
      </c>
      <c r="BR107" s="24">
        <f t="shared" si="177"/>
        <v>2.5350486138366879E-3</v>
      </c>
      <c r="BS107" s="24">
        <f t="shared" si="177"/>
        <v>2.5350486138366879E-3</v>
      </c>
      <c r="BT107" s="24">
        <f t="shared" si="177"/>
        <v>2.5350486138366879E-3</v>
      </c>
      <c r="BU107" s="24">
        <f t="shared" si="177"/>
        <v>2.5350486138366879E-3</v>
      </c>
      <c r="BV107" s="24">
        <f t="shared" si="177"/>
        <v>4.2653187775606449E-3</v>
      </c>
      <c r="BW107" s="24">
        <f t="shared" si="177"/>
        <v>3.3960531989175591E-3</v>
      </c>
      <c r="BX107" s="24">
        <f t="shared" si="177"/>
        <v>2.5350486138366879E-3</v>
      </c>
      <c r="BY107" s="24">
        <f t="shared" si="177"/>
        <v>2.5350486138366879E-3</v>
      </c>
      <c r="BZ107" s="24">
        <f t="shared" si="177"/>
        <v>2.5350486138366879E-3</v>
      </c>
      <c r="CA107" s="24">
        <f t="shared" si="177"/>
        <v>2.5350486138366879E-3</v>
      </c>
      <c r="CB107" s="24">
        <f t="shared" si="177"/>
        <v>2.5350486138366879E-3</v>
      </c>
      <c r="CC107" s="24">
        <f t="shared" si="177"/>
        <v>2.5350486138366879E-3</v>
      </c>
      <c r="CD107" s="24">
        <f t="shared" si="177"/>
        <v>2.5350486138366879E-3</v>
      </c>
      <c r="CE107" s="24">
        <f t="shared" si="177"/>
        <v>2.5350486138366879E-3</v>
      </c>
      <c r="CF107" s="24">
        <f t="shared" si="177"/>
        <v>2.5350486138366879E-3</v>
      </c>
      <c r="CG107" s="24">
        <f t="shared" si="177"/>
        <v>2.5350486138366879E-3</v>
      </c>
      <c r="CH107" s="24">
        <f t="shared" si="177"/>
        <v>2.5350486138366879E-3</v>
      </c>
      <c r="CI107" s="24">
        <f t="shared" si="177"/>
        <v>2.5350486138366879E-3</v>
      </c>
      <c r="CJ107" s="24">
        <f t="shared" si="177"/>
        <v>2.5350486138366879E-3</v>
      </c>
      <c r="CK107" s="24">
        <f t="shared" si="177"/>
        <v>2.5350486138366879E-3</v>
      </c>
      <c r="CL107" s="24">
        <f t="shared" si="177"/>
        <v>2.5350486138366879E-3</v>
      </c>
      <c r="CM107" s="24">
        <f t="shared" si="177"/>
        <v>2.5350486138366879E-3</v>
      </c>
      <c r="CN107" s="24">
        <f t="shared" si="177"/>
        <v>2.5350486138366879E-3</v>
      </c>
      <c r="CO107" s="24">
        <f t="shared" si="177"/>
        <v>2.5350486138366879E-3</v>
      </c>
      <c r="CP107" s="24">
        <f t="shared" si="177"/>
        <v>2.5350486138366879E-3</v>
      </c>
      <c r="CQ107" s="24">
        <f t="shared" si="177"/>
        <v>2.5350486138366879E-3</v>
      </c>
      <c r="CR107" s="24">
        <f t="shared" si="177"/>
        <v>2.5350486138366879E-3</v>
      </c>
    </row>
    <row r="108" spans="5:96" x14ac:dyDescent="0.2">
      <c r="E108" s="6">
        <v>102</v>
      </c>
      <c r="F108" s="26">
        <v>0.48143000000000002</v>
      </c>
      <c r="G108" s="27">
        <v>0.37131999999999998</v>
      </c>
      <c r="H108" s="27">
        <f t="shared" si="116"/>
        <v>0.37131999999999998</v>
      </c>
      <c r="I108" s="28">
        <f t="shared" si="171"/>
        <v>3.7939308389737691E-2</v>
      </c>
      <c r="J108" s="27">
        <f t="shared" si="117"/>
        <v>0.37131999999999998</v>
      </c>
      <c r="K108" s="28">
        <f t="shared" si="111"/>
        <v>3.7939308389737691E-2</v>
      </c>
      <c r="L108" s="27">
        <f t="shared" si="118"/>
        <v>0.37131999999999998</v>
      </c>
      <c r="M108" s="28">
        <f t="shared" si="112"/>
        <v>3.7939308389737691E-2</v>
      </c>
      <c r="N108" s="27">
        <f t="shared" si="119"/>
        <v>0.37131999999999998</v>
      </c>
      <c r="O108" s="28">
        <f t="shared" si="113"/>
        <v>3.7939308389737691E-2</v>
      </c>
      <c r="P108" s="5">
        <v>4.0000000000000002E-4</v>
      </c>
      <c r="Q108" s="28">
        <f t="shared" si="120"/>
        <v>3.3339446006586115E-5</v>
      </c>
      <c r="S108" s="28"/>
      <c r="U108" s="28"/>
      <c r="V108" s="5">
        <v>4.0000000000000002E-4</v>
      </c>
      <c r="W108" s="28">
        <f t="shared" si="114"/>
        <v>3.3339446006586115E-5</v>
      </c>
      <c r="BM108" s="23">
        <f t="shared" si="145"/>
        <v>2023</v>
      </c>
      <c r="BN108" s="23">
        <f t="shared" si="149"/>
        <v>30</v>
      </c>
      <c r="BO108" s="24">
        <f t="shared" ref="BO108:CR108" si="178">1-(1 -BO74)^(1/12)</f>
        <v>8.3717735912058888E-4</v>
      </c>
      <c r="BP108" s="24">
        <f t="shared" si="178"/>
        <v>1.6821425527395739E-3</v>
      </c>
      <c r="BQ108" s="24">
        <f t="shared" si="178"/>
        <v>2.5350486138366879E-3</v>
      </c>
      <c r="BR108" s="24">
        <f t="shared" si="178"/>
        <v>2.5350486138366879E-3</v>
      </c>
      <c r="BS108" s="24">
        <f t="shared" si="178"/>
        <v>2.5350486138366879E-3</v>
      </c>
      <c r="BT108" s="24">
        <f t="shared" si="178"/>
        <v>2.5350486138366879E-3</v>
      </c>
      <c r="BU108" s="24">
        <f t="shared" si="178"/>
        <v>2.5350486138366879E-3</v>
      </c>
      <c r="BV108" s="24">
        <f t="shared" si="178"/>
        <v>4.2653187775606449E-3</v>
      </c>
      <c r="BW108" s="24">
        <f t="shared" si="178"/>
        <v>3.3960531989175591E-3</v>
      </c>
      <c r="BX108" s="24">
        <f t="shared" si="178"/>
        <v>2.5350486138366879E-3</v>
      </c>
      <c r="BY108" s="24">
        <f t="shared" si="178"/>
        <v>2.5350486138366879E-3</v>
      </c>
      <c r="BZ108" s="24">
        <f t="shared" si="178"/>
        <v>2.5350486138366879E-3</v>
      </c>
      <c r="CA108" s="24">
        <f t="shared" si="178"/>
        <v>2.5350486138366879E-3</v>
      </c>
      <c r="CB108" s="24">
        <f t="shared" si="178"/>
        <v>2.5350486138366879E-3</v>
      </c>
      <c r="CC108" s="24">
        <f t="shared" si="178"/>
        <v>2.5350486138366879E-3</v>
      </c>
      <c r="CD108" s="24">
        <f t="shared" si="178"/>
        <v>2.5350486138366879E-3</v>
      </c>
      <c r="CE108" s="24">
        <f t="shared" si="178"/>
        <v>2.5350486138366879E-3</v>
      </c>
      <c r="CF108" s="24">
        <f t="shared" si="178"/>
        <v>2.5350486138366879E-3</v>
      </c>
      <c r="CG108" s="24">
        <f t="shared" si="178"/>
        <v>2.5350486138366879E-3</v>
      </c>
      <c r="CH108" s="24">
        <f t="shared" si="178"/>
        <v>2.5350486138366879E-3</v>
      </c>
      <c r="CI108" s="24">
        <f t="shared" si="178"/>
        <v>2.5350486138366879E-3</v>
      </c>
      <c r="CJ108" s="24">
        <f t="shared" si="178"/>
        <v>2.5350486138366879E-3</v>
      </c>
      <c r="CK108" s="24">
        <f t="shared" si="178"/>
        <v>2.5350486138366879E-3</v>
      </c>
      <c r="CL108" s="24">
        <f t="shared" si="178"/>
        <v>2.5350486138366879E-3</v>
      </c>
      <c r="CM108" s="24">
        <f t="shared" si="178"/>
        <v>2.5350486138366879E-3</v>
      </c>
      <c r="CN108" s="24">
        <f t="shared" si="178"/>
        <v>2.5350486138366879E-3</v>
      </c>
      <c r="CO108" s="24">
        <f t="shared" si="178"/>
        <v>2.5350486138366879E-3</v>
      </c>
      <c r="CP108" s="24">
        <f t="shared" si="178"/>
        <v>2.5350486138366879E-3</v>
      </c>
      <c r="CQ108" s="24">
        <f t="shared" si="178"/>
        <v>2.5350486138366879E-3</v>
      </c>
      <c r="CR108" s="24">
        <f t="shared" si="178"/>
        <v>2.5350486138366879E-3</v>
      </c>
    </row>
    <row r="109" spans="5:96" x14ac:dyDescent="0.2">
      <c r="E109" s="6">
        <v>103</v>
      </c>
      <c r="F109" s="26">
        <v>0.50431000000000004</v>
      </c>
      <c r="G109" s="27">
        <v>0.39250000000000002</v>
      </c>
      <c r="H109" s="27">
        <f t="shared" si="116"/>
        <v>0.39250000000000002</v>
      </c>
      <c r="I109" s="28">
        <f t="shared" si="171"/>
        <v>4.0682890561538843E-2</v>
      </c>
      <c r="J109" s="27">
        <f t="shared" si="117"/>
        <v>0.39250000000000002</v>
      </c>
      <c r="K109" s="28">
        <f t="shared" si="111"/>
        <v>4.0682890561538843E-2</v>
      </c>
      <c r="L109" s="27">
        <f t="shared" si="118"/>
        <v>0.39250000000000002</v>
      </c>
      <c r="M109" s="28">
        <f t="shared" si="112"/>
        <v>4.0682890561538843E-2</v>
      </c>
      <c r="N109" s="27">
        <f t="shared" si="119"/>
        <v>0.39250000000000002</v>
      </c>
      <c r="O109" s="28">
        <f t="shared" si="113"/>
        <v>4.0682890561538843E-2</v>
      </c>
      <c r="P109" s="5">
        <v>4.0000000000000002E-4</v>
      </c>
      <c r="Q109" s="28">
        <f t="shared" si="120"/>
        <v>3.3339446006586115E-5</v>
      </c>
      <c r="S109" s="28"/>
      <c r="U109" s="28"/>
      <c r="V109" s="5">
        <v>4.0000000000000002E-4</v>
      </c>
      <c r="W109" s="28">
        <f t="shared" si="114"/>
        <v>3.3339446006586115E-5</v>
      </c>
    </row>
    <row r="110" spans="5:96" x14ac:dyDescent="0.2">
      <c r="E110" s="6">
        <v>104</v>
      </c>
      <c r="F110" s="26">
        <v>0.52864</v>
      </c>
      <c r="G110" s="27">
        <v>0.41526999999999997</v>
      </c>
      <c r="H110" s="27">
        <f t="shared" si="116"/>
        <v>0.41526999999999997</v>
      </c>
      <c r="I110" s="28">
        <f t="shared" si="171"/>
        <v>4.3732018398898731E-2</v>
      </c>
      <c r="J110" s="27">
        <f t="shared" si="117"/>
        <v>0.41526999999999997</v>
      </c>
      <c r="K110" s="28">
        <f t="shared" si="111"/>
        <v>4.3732018398898731E-2</v>
      </c>
      <c r="L110" s="27">
        <f t="shared" si="118"/>
        <v>0.41526999999999997</v>
      </c>
      <c r="M110" s="28">
        <f t="shared" si="112"/>
        <v>4.3732018398898731E-2</v>
      </c>
      <c r="N110" s="27">
        <f t="shared" si="119"/>
        <v>0.41526999999999997</v>
      </c>
      <c r="O110" s="28">
        <f t="shared" si="113"/>
        <v>4.3732018398898731E-2</v>
      </c>
      <c r="P110" s="5">
        <v>4.0000000000000002E-4</v>
      </c>
      <c r="Q110" s="28">
        <f t="shared" si="120"/>
        <v>3.3339446006586115E-5</v>
      </c>
      <c r="S110" s="28"/>
      <c r="U110" s="28"/>
      <c r="V110" s="5">
        <v>4.0000000000000002E-4</v>
      </c>
      <c r="W110" s="28">
        <f t="shared" si="114"/>
        <v>3.3339446006586115E-5</v>
      </c>
    </row>
    <row r="111" spans="5:96" x14ac:dyDescent="0.2">
      <c r="E111" s="6">
        <v>105</v>
      </c>
      <c r="F111" s="26">
        <v>0.55449999999999999</v>
      </c>
      <c r="G111" s="27">
        <v>0.43973000000000001</v>
      </c>
      <c r="H111" s="27">
        <f t="shared" si="116"/>
        <v>0.43973000000000001</v>
      </c>
      <c r="I111" s="28">
        <f t="shared" si="171"/>
        <v>4.7131184496399636E-2</v>
      </c>
      <c r="J111" s="27">
        <f t="shared" si="117"/>
        <v>0.43973000000000001</v>
      </c>
      <c r="K111" s="28">
        <f t="shared" si="111"/>
        <v>4.7131184496399636E-2</v>
      </c>
      <c r="L111" s="27">
        <f t="shared" si="118"/>
        <v>0.43973000000000001</v>
      </c>
      <c r="M111" s="28">
        <f t="shared" si="112"/>
        <v>4.7131184496399636E-2</v>
      </c>
      <c r="N111" s="27">
        <f t="shared" si="119"/>
        <v>0.43973000000000001</v>
      </c>
      <c r="O111" s="28">
        <f t="shared" si="113"/>
        <v>4.7131184496399636E-2</v>
      </c>
      <c r="P111" s="5">
        <v>4.0000000000000002E-4</v>
      </c>
      <c r="Q111" s="28">
        <f t="shared" si="120"/>
        <v>3.3339446006586115E-5</v>
      </c>
      <c r="S111" s="28"/>
      <c r="U111" s="28"/>
      <c r="V111" s="5">
        <v>4.0000000000000002E-4</v>
      </c>
      <c r="W111" s="28">
        <f t="shared" si="114"/>
        <v>3.3339446006586115E-5</v>
      </c>
    </row>
    <row r="112" spans="5:96" x14ac:dyDescent="0.2">
      <c r="E112" s="6">
        <v>106</v>
      </c>
      <c r="F112" s="26">
        <v>0.58198000000000005</v>
      </c>
      <c r="G112" s="27">
        <v>0.46601999999999999</v>
      </c>
      <c r="H112" s="27">
        <f t="shared" si="116"/>
        <v>0.46601999999999999</v>
      </c>
      <c r="I112" s="28">
        <f t="shared" si="171"/>
        <v>5.0939825912231562E-2</v>
      </c>
      <c r="J112" s="27">
        <f t="shared" si="117"/>
        <v>0.46601999999999999</v>
      </c>
      <c r="K112" s="28">
        <f t="shared" si="111"/>
        <v>5.0939825912231562E-2</v>
      </c>
      <c r="L112" s="27">
        <f t="shared" si="118"/>
        <v>0.46601999999999999</v>
      </c>
      <c r="M112" s="28">
        <f t="shared" si="112"/>
        <v>5.0939825912231562E-2</v>
      </c>
      <c r="N112" s="27">
        <f t="shared" si="119"/>
        <v>0.46601999999999999</v>
      </c>
      <c r="O112" s="28">
        <f t="shared" si="113"/>
        <v>5.0939825912231562E-2</v>
      </c>
      <c r="P112" s="5">
        <v>4.0000000000000002E-4</v>
      </c>
      <c r="Q112" s="28">
        <f t="shared" si="120"/>
        <v>3.3339446006586115E-5</v>
      </c>
      <c r="S112" s="28"/>
      <c r="U112" s="28"/>
      <c r="V112" s="5">
        <v>4.0000000000000002E-4</v>
      </c>
      <c r="W112" s="28">
        <f t="shared" si="114"/>
        <v>3.3339446006586115E-5</v>
      </c>
    </row>
    <row r="113" spans="5:23" x14ac:dyDescent="0.2">
      <c r="E113" s="6">
        <v>107</v>
      </c>
      <c r="F113" s="26">
        <v>0.61119000000000001</v>
      </c>
      <c r="G113" s="27">
        <v>0.49429000000000001</v>
      </c>
      <c r="H113" s="27">
        <f t="shared" si="116"/>
        <v>0.49429000000000001</v>
      </c>
      <c r="I113" s="28">
        <f t="shared" si="171"/>
        <v>5.5232101186738158E-2</v>
      </c>
      <c r="J113" s="27">
        <f t="shared" si="117"/>
        <v>0.49429000000000001</v>
      </c>
      <c r="K113" s="28">
        <f t="shared" si="111"/>
        <v>5.5232101186738158E-2</v>
      </c>
      <c r="L113" s="27">
        <f t="shared" si="118"/>
        <v>0.49429000000000001</v>
      </c>
      <c r="M113" s="28">
        <f t="shared" si="112"/>
        <v>5.5232101186738158E-2</v>
      </c>
      <c r="N113" s="27">
        <f t="shared" si="119"/>
        <v>0.49429000000000001</v>
      </c>
      <c r="O113" s="28">
        <f t="shared" si="113"/>
        <v>5.5232101186738158E-2</v>
      </c>
      <c r="P113" s="5">
        <v>4.0000000000000002E-4</v>
      </c>
      <c r="Q113" s="28">
        <f t="shared" si="120"/>
        <v>3.3339446006586115E-5</v>
      </c>
      <c r="S113" s="28"/>
      <c r="U113" s="28"/>
      <c r="V113" s="5">
        <v>4.0000000000000002E-4</v>
      </c>
      <c r="W113" s="28">
        <f t="shared" si="114"/>
        <v>3.3339446006586115E-5</v>
      </c>
    </row>
    <row r="114" spans="5:23" x14ac:dyDescent="0.2">
      <c r="E114" s="6">
        <v>108</v>
      </c>
      <c r="F114" s="26">
        <v>0.64222000000000001</v>
      </c>
      <c r="G114" s="27">
        <v>0.52466999999999997</v>
      </c>
      <c r="H114" s="27">
        <f t="shared" si="116"/>
        <v>0.52466999999999997</v>
      </c>
      <c r="I114" s="28">
        <f t="shared" si="171"/>
        <v>6.0097217191086183E-2</v>
      </c>
      <c r="J114" s="27">
        <f t="shared" si="117"/>
        <v>0.52466999999999997</v>
      </c>
      <c r="K114" s="28">
        <f t="shared" si="111"/>
        <v>6.0097217191086183E-2</v>
      </c>
      <c r="L114" s="27">
        <f t="shared" si="118"/>
        <v>0.52466999999999997</v>
      </c>
      <c r="M114" s="28">
        <f t="shared" si="112"/>
        <v>6.0097217191086183E-2</v>
      </c>
      <c r="N114" s="27">
        <f t="shared" si="119"/>
        <v>0.52466999999999997</v>
      </c>
      <c r="O114" s="28">
        <f t="shared" si="113"/>
        <v>6.0097217191086183E-2</v>
      </c>
      <c r="P114" s="5">
        <v>4.0000000000000002E-4</v>
      </c>
      <c r="Q114" s="28">
        <f t="shared" si="120"/>
        <v>3.3339446006586115E-5</v>
      </c>
      <c r="S114" s="28"/>
      <c r="U114" s="28"/>
      <c r="V114" s="5">
        <v>4.0000000000000002E-4</v>
      </c>
      <c r="W114" s="28">
        <f t="shared" si="114"/>
        <v>3.3339446006586115E-5</v>
      </c>
    </row>
    <row r="115" spans="5:23" x14ac:dyDescent="0.2">
      <c r="E115" s="6">
        <v>109</v>
      </c>
      <c r="F115" s="26">
        <v>0.67518</v>
      </c>
      <c r="G115" s="27">
        <v>0.55732999999999999</v>
      </c>
      <c r="H115" s="27">
        <f t="shared" si="116"/>
        <v>0.55732999999999999</v>
      </c>
      <c r="I115" s="28">
        <f t="shared" si="171"/>
        <v>6.5656272905482038E-2</v>
      </c>
      <c r="J115" s="27">
        <f t="shared" si="117"/>
        <v>0.55732999999999999</v>
      </c>
      <c r="K115" s="28">
        <f t="shared" si="111"/>
        <v>6.5656272905482038E-2</v>
      </c>
      <c r="L115" s="27">
        <f t="shared" si="118"/>
        <v>0.55732999999999999</v>
      </c>
      <c r="M115" s="28">
        <f t="shared" si="112"/>
        <v>6.5656272905482038E-2</v>
      </c>
      <c r="N115" s="27">
        <f t="shared" si="119"/>
        <v>0.55732999999999999</v>
      </c>
      <c r="O115" s="28">
        <f t="shared" si="113"/>
        <v>6.5656272905482038E-2</v>
      </c>
      <c r="P115" s="5">
        <v>4.0000000000000002E-4</v>
      </c>
      <c r="Q115" s="28">
        <f t="shared" si="120"/>
        <v>3.3339446006586115E-5</v>
      </c>
      <c r="S115" s="28"/>
      <c r="U115" s="28"/>
      <c r="V115" s="5">
        <v>4.0000000000000002E-4</v>
      </c>
      <c r="W115" s="28">
        <f t="shared" si="114"/>
        <v>3.3339446006586115E-5</v>
      </c>
    </row>
    <row r="116" spans="5:23" x14ac:dyDescent="0.2">
      <c r="E116" s="6">
        <v>110</v>
      </c>
      <c r="F116" s="26">
        <v>0.71016000000000001</v>
      </c>
      <c r="G116" s="27">
        <v>0.59243999999999997</v>
      </c>
      <c r="H116" s="27">
        <f t="shared" si="116"/>
        <v>0.59243999999999997</v>
      </c>
      <c r="I116" s="28">
        <f t="shared" si="171"/>
        <v>7.2068403724744656E-2</v>
      </c>
      <c r="J116" s="27">
        <f t="shared" si="117"/>
        <v>0.59243999999999997</v>
      </c>
      <c r="K116" s="28">
        <f t="shared" si="111"/>
        <v>7.2068403724744656E-2</v>
      </c>
      <c r="L116" s="27">
        <f t="shared" si="118"/>
        <v>0.59243999999999997</v>
      </c>
      <c r="M116" s="28">
        <f t="shared" si="112"/>
        <v>7.2068403724744656E-2</v>
      </c>
      <c r="N116" s="27">
        <f t="shared" si="119"/>
        <v>0.59243999999999997</v>
      </c>
      <c r="O116" s="28">
        <f t="shared" si="113"/>
        <v>7.2068403724744656E-2</v>
      </c>
      <c r="P116" s="5">
        <v>4.0000000000000002E-4</v>
      </c>
      <c r="Q116" s="28">
        <f t="shared" si="120"/>
        <v>3.3339446006586115E-5</v>
      </c>
      <c r="S116" s="28"/>
      <c r="U116" s="28"/>
      <c r="V116" s="5">
        <v>4.0000000000000002E-4</v>
      </c>
      <c r="W116" s="28">
        <f t="shared" si="114"/>
        <v>3.3339446006586115E-5</v>
      </c>
    </row>
    <row r="117" spans="5:23" x14ac:dyDescent="0.2">
      <c r="E117" s="6">
        <v>111</v>
      </c>
      <c r="F117" s="26">
        <v>1</v>
      </c>
      <c r="G117" s="27">
        <v>1</v>
      </c>
      <c r="H117" s="27">
        <f t="shared" si="116"/>
        <v>1</v>
      </c>
      <c r="I117" s="28">
        <f t="shared" si="171"/>
        <v>1</v>
      </c>
      <c r="J117" s="27">
        <f t="shared" si="117"/>
        <v>1</v>
      </c>
      <c r="K117" s="28">
        <f t="shared" si="111"/>
        <v>1</v>
      </c>
      <c r="L117" s="27">
        <f t="shared" si="118"/>
        <v>1</v>
      </c>
      <c r="M117" s="28">
        <f t="shared" si="112"/>
        <v>1</v>
      </c>
      <c r="N117" s="27">
        <f t="shared" si="119"/>
        <v>1</v>
      </c>
      <c r="O117" s="28">
        <f t="shared" si="113"/>
        <v>1</v>
      </c>
      <c r="P117" s="5">
        <v>4.0000000000000002E-4</v>
      </c>
      <c r="Q117" s="28">
        <f t="shared" si="120"/>
        <v>3.3339446006586115E-5</v>
      </c>
      <c r="S117" s="28"/>
      <c r="U117" s="28"/>
      <c r="V117" s="5">
        <v>4.0000000000000002E-4</v>
      </c>
      <c r="W117" s="28">
        <f t="shared" si="114"/>
        <v>3.3339446006586115E-5</v>
      </c>
    </row>
  </sheetData>
  <mergeCells count="2">
    <mergeCell ref="BJ4:BJ5"/>
    <mergeCell ref="BK4:BK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3" tint="0.59999389629810485"/>
  </sheetPr>
  <dimension ref="A1:CR264"/>
  <sheetViews>
    <sheetView showGridLines="0" tabSelected="1" zoomScale="74" zoomScaleNormal="100" workbookViewId="0">
      <selection activeCell="K13" sqref="K13"/>
    </sheetView>
  </sheetViews>
  <sheetFormatPr defaultColWidth="9.140625" defaultRowHeight="12.75" x14ac:dyDescent="0.2"/>
  <cols>
    <col min="1" max="1" width="2.42578125" style="208" bestFit="1" customWidth="1"/>
    <col min="2" max="2" width="18.7109375" style="208" bestFit="1" customWidth="1"/>
    <col min="3" max="3" width="7.85546875" style="208" bestFit="1" customWidth="1"/>
    <col min="4" max="4" width="9.5703125" style="208" bestFit="1" customWidth="1"/>
    <col min="5" max="5" width="23.28515625" style="208" bestFit="1" customWidth="1"/>
    <col min="6" max="6" width="9.85546875" style="208" bestFit="1" customWidth="1"/>
    <col min="7" max="7" width="33.28515625" style="208" bestFit="1" customWidth="1"/>
    <col min="8" max="8" width="21" style="208" bestFit="1" customWidth="1"/>
    <col min="9" max="9" width="15.140625" style="208" bestFit="1" customWidth="1"/>
    <col min="10" max="10" width="39.85546875" style="242" bestFit="1" customWidth="1"/>
    <col min="11" max="11" width="10.5703125" style="198" bestFit="1" customWidth="1"/>
    <col min="12" max="12" width="21" style="208" bestFit="1" customWidth="1"/>
    <col min="13" max="13" width="16.140625" style="208" bestFit="1" customWidth="1"/>
    <col min="14" max="14" width="13.85546875" style="208" bestFit="1" customWidth="1"/>
    <col min="15" max="16" width="13.140625" style="208" bestFit="1" customWidth="1"/>
    <col min="17" max="17" width="11.85546875" style="208" bestFit="1" customWidth="1"/>
    <col min="18" max="20" width="13.140625" style="208" bestFit="1" customWidth="1"/>
    <col min="21" max="21" width="21" style="208" bestFit="1" customWidth="1"/>
    <col min="22" max="22" width="11.85546875" style="208" bestFit="1" customWidth="1"/>
    <col min="23" max="23" width="12.28515625" style="208" bestFit="1" customWidth="1"/>
    <col min="24" max="24" width="11.5703125" style="208" bestFit="1" customWidth="1"/>
    <col min="25" max="26" width="11.140625" style="208" bestFit="1" customWidth="1"/>
    <col min="27" max="27" width="11.7109375" style="208" bestFit="1" customWidth="1"/>
    <col min="28" max="28" width="4.7109375" style="208" bestFit="1" customWidth="1"/>
    <col min="29" max="29" width="11.5703125" style="208" bestFit="1" customWidth="1"/>
    <col min="30" max="30" width="10.5703125" style="208" bestFit="1" customWidth="1"/>
    <col min="31" max="31" width="4.7109375" style="208" bestFit="1" customWidth="1"/>
    <col min="32" max="32" width="3.85546875" style="208" bestFit="1" customWidth="1"/>
    <col min="33" max="33" width="6.140625" style="208" bestFit="1" customWidth="1"/>
    <col min="34" max="34" width="4.7109375" style="208" bestFit="1" customWidth="1"/>
    <col min="35" max="35" width="18.42578125" style="208" bestFit="1" customWidth="1"/>
    <col min="36" max="36" width="4.7109375" style="208" bestFit="1" customWidth="1"/>
    <col min="37" max="37" width="17.5703125" style="208" bestFit="1" customWidth="1"/>
    <col min="38" max="38" width="10.5703125" style="208" bestFit="1" customWidth="1"/>
    <col min="39" max="39" width="4.7109375" style="208" bestFit="1" customWidth="1"/>
    <col min="40" max="40" width="25.42578125" style="208" bestFit="1" customWidth="1"/>
    <col min="41" max="41" width="13.7109375" style="208" bestFit="1" customWidth="1"/>
    <col min="42" max="42" width="4.42578125" style="208" bestFit="1" customWidth="1"/>
    <col min="43" max="43" width="6.140625" style="208" bestFit="1" customWidth="1"/>
    <col min="44" max="44" width="23.7109375" style="208" bestFit="1" customWidth="1"/>
    <col min="45" max="45" width="8.42578125" style="208" bestFit="1" customWidth="1"/>
    <col min="46" max="46" width="32" style="208" bestFit="1" customWidth="1"/>
    <col min="47" max="47" width="14.28515625" style="208" bestFit="1" customWidth="1"/>
    <col min="48" max="48" width="11.140625" style="208" bestFit="1" customWidth="1"/>
    <col min="49" max="49" width="10.140625" style="208" bestFit="1" customWidth="1"/>
    <col min="50" max="50" width="11.5703125" style="208" bestFit="1" customWidth="1"/>
    <col min="51" max="51" width="5.7109375" style="208" bestFit="1" customWidth="1"/>
    <col min="52" max="52" width="17.5703125" style="208" bestFit="1" customWidth="1"/>
    <col min="53" max="53" width="10.5703125" style="208" bestFit="1" customWidth="1"/>
    <col min="54" max="54" width="5.7109375" style="208" bestFit="1" customWidth="1"/>
    <col min="55" max="55" width="11.7109375" style="208" bestFit="1" customWidth="1"/>
    <col min="56" max="56" width="5.7109375" style="208" bestFit="1" customWidth="1"/>
    <col min="57" max="57" width="6.140625" style="208" bestFit="1" customWidth="1"/>
    <col min="58" max="58" width="5.7109375" style="208" bestFit="1" customWidth="1"/>
    <col min="59" max="59" width="12.28515625" style="208" bestFit="1" customWidth="1"/>
    <col min="60" max="60" width="11.140625" style="208" bestFit="1" customWidth="1"/>
    <col min="61" max="61" width="10.140625" style="208" bestFit="1" customWidth="1"/>
    <col min="62" max="62" width="14.5703125" style="208" bestFit="1" customWidth="1"/>
    <col min="63" max="63" width="12.28515625" style="208" bestFit="1" customWidth="1"/>
    <col min="64" max="64" width="33.140625" style="208" bestFit="1" customWidth="1"/>
    <col min="65" max="65" width="19" style="208" bestFit="1" customWidth="1"/>
    <col min="66" max="66" width="10.140625" style="208" bestFit="1" customWidth="1"/>
    <col min="67" max="67" width="15.140625" style="208" bestFit="1" customWidth="1"/>
    <col min="68" max="69" width="14.5703125" style="208" bestFit="1" customWidth="1"/>
    <col min="70" max="70" width="19.85546875" style="208" bestFit="1" customWidth="1"/>
    <col min="71" max="71" width="12.28515625" style="208" bestFit="1" customWidth="1"/>
    <col min="72" max="72" width="13.85546875" style="208" bestFit="1" customWidth="1"/>
    <col min="73" max="73" width="12.28515625" style="208" bestFit="1" customWidth="1"/>
    <col min="74" max="74" width="19" style="208" bestFit="1" customWidth="1"/>
    <col min="75" max="75" width="14.85546875" style="208" bestFit="1" customWidth="1"/>
    <col min="76" max="76" width="12.85546875" style="208" bestFit="1" customWidth="1"/>
    <col min="77" max="77" width="14.28515625" style="208" bestFit="1" customWidth="1"/>
    <col min="78" max="79" width="12.28515625" style="208" bestFit="1" customWidth="1"/>
    <col min="80" max="80" width="25.5703125" style="208" bestFit="1" customWidth="1"/>
    <col min="81" max="81" width="15" style="208" bestFit="1" customWidth="1"/>
    <col min="82" max="82" width="5.42578125" style="208" customWidth="1"/>
    <col min="83" max="83" width="19" style="198" bestFit="1" customWidth="1"/>
    <col min="84" max="84" width="15.7109375" style="198" bestFit="1" customWidth="1"/>
    <col min="85" max="85" width="18.140625" style="198" bestFit="1" customWidth="1"/>
    <col min="86" max="86" width="15.7109375" style="198" bestFit="1" customWidth="1"/>
    <col min="87" max="87" width="12.42578125" style="198" bestFit="1" customWidth="1"/>
    <col min="88" max="88" width="12.28515625" style="198" bestFit="1" customWidth="1"/>
    <col min="89" max="89" width="17.28515625" style="198" bestFit="1" customWidth="1"/>
    <col min="90" max="90" width="9.42578125" style="198" bestFit="1" customWidth="1"/>
    <col min="91" max="91" width="19" style="198" bestFit="1" customWidth="1"/>
    <col min="92" max="92" width="13.85546875" style="198" bestFit="1" customWidth="1"/>
    <col min="93" max="93" width="8.85546875" style="208" bestFit="1" customWidth="1"/>
    <col min="94" max="95" width="9.140625" style="208" customWidth="1"/>
    <col min="96" max="16384" width="9.140625" style="208"/>
  </cols>
  <sheetData>
    <row r="1" spans="2:96" x14ac:dyDescent="0.2">
      <c r="B1" s="201" t="s">
        <v>2</v>
      </c>
      <c r="C1" s="202"/>
      <c r="D1" s="203" t="s">
        <v>10</v>
      </c>
      <c r="E1" s="204">
        <v>1</v>
      </c>
      <c r="F1" s="202"/>
      <c r="G1" s="202"/>
      <c r="H1" s="202" t="s">
        <v>6</v>
      </c>
      <c r="I1" s="203" t="s">
        <v>10</v>
      </c>
      <c r="J1" s="205" t="str">
        <f>'DATA INPUT - HEADER'!AD5</f>
        <v>SEKALIGUS</v>
      </c>
      <c r="K1" s="206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7"/>
      <c r="CO1" s="209"/>
    </row>
    <row r="2" spans="2:96" x14ac:dyDescent="0.2">
      <c r="B2" s="210" t="s">
        <v>37</v>
      </c>
      <c r="D2" s="211" t="s">
        <v>10</v>
      </c>
      <c r="E2" s="212" t="str">
        <f>'DATA INPUT - HEADER'!R5</f>
        <v>NUNUNG NURHAENI</v>
      </c>
      <c r="G2" s="213"/>
      <c r="H2" s="213" t="s">
        <v>7</v>
      </c>
      <c r="I2" s="211" t="s">
        <v>10</v>
      </c>
      <c r="J2" s="214">
        <f>'DATA INPUT - HEADER'!AC5</f>
        <v>0</v>
      </c>
      <c r="L2" s="215" t="s">
        <v>19</v>
      </c>
      <c r="M2" s="286">
        <v>45291</v>
      </c>
      <c r="N2" s="217"/>
      <c r="O2" s="217"/>
      <c r="P2" s="217"/>
      <c r="Q2" s="216"/>
      <c r="U2" s="198"/>
      <c r="X2" s="218"/>
      <c r="Y2" s="218"/>
      <c r="AB2" s="218"/>
      <c r="AC2" s="218"/>
      <c r="AD2" s="218"/>
      <c r="AE2" s="218"/>
      <c r="AF2" s="218"/>
      <c r="AG2" s="218"/>
      <c r="AH2" s="218"/>
      <c r="AR2" s="215" t="s">
        <v>95</v>
      </c>
      <c r="AS2" s="219">
        <f>BS4*80%</f>
        <v>4.2959999999999998E-2</v>
      </c>
      <c r="AT2" s="220" t="s">
        <v>282</v>
      </c>
      <c r="CO2" s="198"/>
    </row>
    <row r="3" spans="2:96" x14ac:dyDescent="0.2">
      <c r="B3" s="210" t="s">
        <v>3</v>
      </c>
      <c r="D3" s="211" t="s">
        <v>10</v>
      </c>
      <c r="E3" s="208">
        <f>'DATA INPUT - HEADER'!U5</f>
        <v>35</v>
      </c>
      <c r="G3" s="213"/>
      <c r="H3" s="213" t="s">
        <v>5</v>
      </c>
      <c r="I3" s="211" t="s">
        <v>10</v>
      </c>
      <c r="J3" s="214">
        <f>'DATA INPUT - HEADER'!AB5</f>
        <v>50000000</v>
      </c>
      <c r="M3" s="221"/>
      <c r="N3" s="217"/>
      <c r="O3" s="217"/>
      <c r="P3" s="217"/>
      <c r="Q3" s="221"/>
      <c r="R3" s="221"/>
      <c r="S3" s="221"/>
      <c r="T3" s="221"/>
      <c r="U3" s="222" t="s">
        <v>28</v>
      </c>
      <c r="V3" s="223">
        <v>0</v>
      </c>
      <c r="W3" s="223"/>
      <c r="AC3" s="222"/>
      <c r="AD3" s="222"/>
      <c r="AF3" s="222"/>
      <c r="AG3" s="222"/>
      <c r="AH3" s="222"/>
      <c r="CB3" s="215" t="s">
        <v>50</v>
      </c>
      <c r="CC3" s="224" t="s">
        <v>144</v>
      </c>
      <c r="CD3" s="212"/>
    </row>
    <row r="4" spans="2:96" x14ac:dyDescent="0.2">
      <c r="B4" s="210" t="s">
        <v>4</v>
      </c>
      <c r="D4" s="211" t="s">
        <v>10</v>
      </c>
      <c r="E4" s="208">
        <f>'DATA INPUT - HEADER'!Z5</f>
        <v>3</v>
      </c>
      <c r="F4" s="208" t="s">
        <v>31</v>
      </c>
      <c r="H4" s="208" t="s">
        <v>8</v>
      </c>
      <c r="I4" s="211" t="s">
        <v>10</v>
      </c>
      <c r="J4" s="225">
        <f>'DATA INPUT - HEADER'!W5</f>
        <v>45267</v>
      </c>
      <c r="L4" s="222" t="s">
        <v>22</v>
      </c>
      <c r="M4" s="217">
        <f>IF(YEAR(J4)&gt;2023,VLOOKUP(EOMONTH(J4,0),ASUMSI!BJ6:BK39,2,0),VLOOKUP(MAX(YEAR(J4),2011), ASUMSI!BJ6:BK39,2))</f>
        <v>2.6000000000000002E-2</v>
      </c>
      <c r="N4" s="217"/>
      <c r="O4" s="217"/>
      <c r="P4" s="217"/>
      <c r="Q4" s="217"/>
      <c r="R4" s="217"/>
      <c r="S4" s="217"/>
      <c r="T4" s="217"/>
      <c r="U4" s="222" t="s">
        <v>27</v>
      </c>
      <c r="V4" s="223">
        <v>0</v>
      </c>
      <c r="W4" s="223"/>
      <c r="AC4" s="222"/>
      <c r="AD4" s="222"/>
      <c r="AF4" s="222"/>
      <c r="AG4" s="222"/>
      <c r="AH4" s="222"/>
      <c r="AR4" s="215" t="s">
        <v>95</v>
      </c>
      <c r="AS4" s="226">
        <f>(1+AS2)^(1/12) - 1</f>
        <v>3.5113858860877922E-3</v>
      </c>
      <c r="AT4" s="227" t="s">
        <v>20</v>
      </c>
      <c r="BR4" s="222" t="s">
        <v>13</v>
      </c>
      <c r="BS4" s="226">
        <f>IF(YEAR(J4)&gt;2023,HLOOKUP(EOMONTH(J4,0), ASUMSI!AA4:BG36,E4+3),HLOOKUP(MAX(YEAR(J4),2011), ASUMSI!AA4:BG36,E4+3))</f>
        <v>5.3699999999999998E-2</v>
      </c>
      <c r="BT4" s="226"/>
      <c r="CB4" s="215" t="s">
        <v>43</v>
      </c>
      <c r="CC4" s="228">
        <f>INT(((M2-J4)/365.25)*12)</f>
        <v>0</v>
      </c>
      <c r="CD4" s="207"/>
    </row>
    <row r="5" spans="2:96" x14ac:dyDescent="0.2">
      <c r="B5" s="210" t="s">
        <v>4</v>
      </c>
      <c r="D5" s="211" t="s">
        <v>10</v>
      </c>
      <c r="E5" s="208">
        <f>'DATA INPUT - HEADER'!AA5</f>
        <v>36</v>
      </c>
      <c r="F5" s="208" t="s">
        <v>38</v>
      </c>
      <c r="H5" s="208" t="s">
        <v>9</v>
      </c>
      <c r="I5" s="211" t="s">
        <v>10</v>
      </c>
      <c r="J5" s="225">
        <f>'DATA INPUT - HEADER'!Y5</f>
        <v>46363</v>
      </c>
      <c r="L5" s="222" t="s">
        <v>22</v>
      </c>
      <c r="M5" s="226">
        <f>(1+M4)^(1/12) - 1</f>
        <v>2.1412681429993086E-3</v>
      </c>
      <c r="N5" s="229" t="s">
        <v>20</v>
      </c>
      <c r="O5" s="229"/>
      <c r="P5" s="229"/>
      <c r="R5" s="226"/>
      <c r="S5" s="226"/>
      <c r="T5" s="226"/>
      <c r="U5" s="222" t="s">
        <v>53</v>
      </c>
      <c r="V5" s="223">
        <v>0</v>
      </c>
      <c r="W5" s="223"/>
      <c r="AC5" s="222"/>
      <c r="AD5" s="222"/>
      <c r="AF5" s="222"/>
      <c r="AG5" s="222"/>
      <c r="AH5" s="222"/>
      <c r="BR5" s="222" t="s">
        <v>13</v>
      </c>
      <c r="BS5" s="226">
        <f>(1+BS4)^(1/12) - 1</f>
        <v>4.3684958147485187E-3</v>
      </c>
      <c r="BT5" s="227" t="s">
        <v>20</v>
      </c>
      <c r="CB5" s="215" t="s">
        <v>61</v>
      </c>
      <c r="CC5" s="230">
        <f>IF(CC3&lt;&gt;"INFORCE",0,VLOOKUP(CC4,BEL,87,FALSE))</f>
        <v>0</v>
      </c>
    </row>
    <row r="6" spans="2:96" x14ac:dyDescent="0.2">
      <c r="B6" s="210" t="s">
        <v>49</v>
      </c>
      <c r="D6" s="211" t="s">
        <v>10</v>
      </c>
      <c r="E6" s="231">
        <f>'DATA INPUT - HEADER'!AF5</f>
        <v>368000</v>
      </c>
      <c r="F6" s="212"/>
      <c r="H6" s="208" t="s">
        <v>51</v>
      </c>
      <c r="I6" s="211" t="s">
        <v>10</v>
      </c>
      <c r="J6" s="232">
        <f>'DATA INPUT - HEADER'!V5</f>
        <v>0</v>
      </c>
      <c r="K6" s="208"/>
    </row>
    <row r="7" spans="2:96" x14ac:dyDescent="0.2">
      <c r="B7" s="233"/>
      <c r="C7" s="234"/>
      <c r="D7" s="235"/>
      <c r="E7" s="236"/>
      <c r="F7" s="237"/>
      <c r="G7" s="234"/>
      <c r="H7" s="234" t="s">
        <v>83</v>
      </c>
      <c r="I7" s="235" t="s">
        <v>10</v>
      </c>
      <c r="J7" s="238" t="str">
        <f>'DATA INPUT - HEADER'!B5</f>
        <v>Koperasi Sahabat Mitra Sejati UP Menurun</v>
      </c>
      <c r="K7" s="208"/>
      <c r="M7" s="303" t="s">
        <v>92</v>
      </c>
      <c r="N7" s="304"/>
      <c r="O7" s="304"/>
      <c r="P7" s="304"/>
      <c r="Q7" s="304"/>
      <c r="R7" s="304"/>
      <c r="S7" s="304"/>
      <c r="T7" s="304"/>
      <c r="U7" s="304"/>
      <c r="V7" s="305"/>
      <c r="W7" s="303" t="s">
        <v>92</v>
      </c>
      <c r="X7" s="304"/>
      <c r="Y7" s="304"/>
      <c r="Z7" s="304"/>
      <c r="AA7" s="304"/>
      <c r="AB7" s="304"/>
      <c r="AC7" s="304"/>
      <c r="AD7" s="304"/>
      <c r="AE7" s="304"/>
      <c r="AF7" s="304"/>
      <c r="AG7" s="304"/>
      <c r="AH7" s="305"/>
      <c r="AI7" s="239">
        <f t="shared" ref="AI7:AW7" si="0">SUM(AI12:AI1048576)</f>
        <v>1013667002.8520198</v>
      </c>
      <c r="AJ7" s="240">
        <f t="shared" si="0"/>
        <v>0</v>
      </c>
      <c r="AK7" s="240">
        <f t="shared" si="0"/>
        <v>0</v>
      </c>
      <c r="AL7" s="240">
        <f t="shared" si="0"/>
        <v>0</v>
      </c>
      <c r="AM7" s="240">
        <f t="shared" si="0"/>
        <v>0</v>
      </c>
      <c r="AN7" s="240">
        <f t="shared" si="0"/>
        <v>0</v>
      </c>
      <c r="AO7" s="240">
        <f t="shared" si="0"/>
        <v>0</v>
      </c>
      <c r="AP7" s="240">
        <f t="shared" si="0"/>
        <v>0</v>
      </c>
      <c r="AQ7" s="240">
        <f t="shared" si="0"/>
        <v>0</v>
      </c>
      <c r="AR7" s="240">
        <f t="shared" si="0"/>
        <v>0</v>
      </c>
      <c r="AS7" s="240">
        <f t="shared" si="0"/>
        <v>0</v>
      </c>
      <c r="AT7" s="240">
        <f t="shared" si="0"/>
        <v>0</v>
      </c>
      <c r="AU7" s="240">
        <f t="shared" si="0"/>
        <v>2898000</v>
      </c>
      <c r="AV7" s="240">
        <f t="shared" si="0"/>
        <v>0</v>
      </c>
      <c r="AW7" s="240">
        <f t="shared" si="0"/>
        <v>0</v>
      </c>
      <c r="BJ7" s="241">
        <f>SUM(BJ13:BJ192)</f>
        <v>88939.000172885455</v>
      </c>
      <c r="BK7" s="241"/>
      <c r="BL7" s="241"/>
      <c r="BM7" s="241"/>
      <c r="BN7" s="241"/>
      <c r="BO7" s="241"/>
      <c r="BP7" s="241"/>
      <c r="BQ7" s="241"/>
      <c r="BR7" s="241"/>
      <c r="BS7" s="206">
        <f>BS12/$AA13</f>
        <v>0</v>
      </c>
      <c r="BT7" s="206"/>
      <c r="BU7" s="206"/>
      <c r="BV7" s="206"/>
      <c r="BW7" s="206"/>
      <c r="BX7" s="206"/>
      <c r="BY7" s="206"/>
      <c r="BZ7" s="206"/>
      <c r="CA7" s="206"/>
      <c r="CB7" s="206"/>
    </row>
    <row r="8" spans="2:96" x14ac:dyDescent="0.2">
      <c r="M8" s="303" t="s">
        <v>55</v>
      </c>
      <c r="N8" s="304"/>
      <c r="O8" s="304"/>
      <c r="P8" s="304"/>
      <c r="Q8" s="304"/>
      <c r="R8" s="304"/>
      <c r="S8" s="304"/>
      <c r="T8" s="304"/>
      <c r="U8" s="304"/>
      <c r="V8" s="305"/>
      <c r="W8" s="320" t="s">
        <v>15</v>
      </c>
      <c r="X8" s="321"/>
      <c r="Y8" s="321"/>
      <c r="Z8" s="321"/>
      <c r="AA8" s="322"/>
      <c r="AB8" s="243"/>
      <c r="AC8" s="243"/>
      <c r="AD8" s="243"/>
      <c r="AE8" s="243"/>
      <c r="AF8" s="243"/>
      <c r="AG8" s="243"/>
      <c r="AH8" s="243"/>
      <c r="AI8" s="303" t="s">
        <v>33</v>
      </c>
      <c r="AJ8" s="304"/>
      <c r="AK8" s="304"/>
      <c r="AL8" s="304"/>
      <c r="AM8" s="304"/>
      <c r="AN8" s="304"/>
      <c r="AO8" s="304"/>
      <c r="AP8" s="304"/>
      <c r="AQ8" s="304"/>
      <c r="AR8" s="304"/>
      <c r="AS8" s="304"/>
      <c r="AT8" s="304"/>
      <c r="AU8" s="304"/>
      <c r="AV8" s="305"/>
      <c r="AW8" s="244"/>
      <c r="AX8" s="303" t="s">
        <v>16</v>
      </c>
      <c r="AY8" s="304"/>
      <c r="AZ8" s="304"/>
      <c r="BA8" s="304"/>
      <c r="BB8" s="304"/>
      <c r="BC8" s="304"/>
      <c r="BD8" s="304"/>
      <c r="BE8" s="304"/>
      <c r="BF8" s="304"/>
      <c r="BG8" s="304"/>
      <c r="BH8" s="304"/>
      <c r="BI8" s="305"/>
      <c r="BJ8" s="303" t="s">
        <v>16</v>
      </c>
      <c r="BK8" s="304"/>
      <c r="BL8" s="304"/>
      <c r="BM8" s="304"/>
      <c r="BN8" s="304"/>
      <c r="BO8" s="304"/>
      <c r="BP8" s="304"/>
      <c r="BQ8" s="304"/>
      <c r="BR8" s="305"/>
      <c r="BS8" s="237"/>
      <c r="BT8" s="212"/>
      <c r="BU8" s="212"/>
      <c r="BV8" s="212"/>
      <c r="BW8" s="212"/>
      <c r="BX8" s="212"/>
      <c r="BY8" s="212"/>
      <c r="CA8" s="241"/>
      <c r="CE8" s="229" t="s">
        <v>326</v>
      </c>
      <c r="CL8" s="245">
        <f>BS5</f>
        <v>4.3684958147485187E-3</v>
      </c>
      <c r="CM8" s="245"/>
    </row>
    <row r="9" spans="2:96" ht="53.25" customHeight="1" x14ac:dyDescent="0.2">
      <c r="B9" s="246" t="s">
        <v>31</v>
      </c>
      <c r="C9" s="301" t="s">
        <v>21</v>
      </c>
      <c r="D9" s="301" t="s">
        <v>0</v>
      </c>
      <c r="E9" s="301" t="s">
        <v>1</v>
      </c>
      <c r="F9" s="301" t="s">
        <v>46</v>
      </c>
      <c r="G9" s="313" t="s">
        <v>47</v>
      </c>
      <c r="H9" s="314"/>
      <c r="I9" s="315"/>
      <c r="J9" s="309" t="s">
        <v>41</v>
      </c>
      <c r="K9" s="311" t="s">
        <v>42</v>
      </c>
      <c r="L9" s="301" t="s">
        <v>23</v>
      </c>
      <c r="M9" s="301" t="s">
        <v>100</v>
      </c>
      <c r="N9" s="301" t="s">
        <v>101</v>
      </c>
      <c r="O9" s="301" t="s">
        <v>365</v>
      </c>
      <c r="P9" s="301" t="s">
        <v>364</v>
      </c>
      <c r="Q9" s="301" t="s">
        <v>87</v>
      </c>
      <c r="R9" s="301" t="s">
        <v>88</v>
      </c>
      <c r="S9" s="301" t="s">
        <v>96</v>
      </c>
      <c r="T9" s="301" t="s">
        <v>122</v>
      </c>
      <c r="U9" s="316" t="s">
        <v>39</v>
      </c>
      <c r="V9" s="301" t="s">
        <v>40</v>
      </c>
      <c r="W9" s="318" t="s">
        <v>321</v>
      </c>
      <c r="X9" s="318" t="s">
        <v>102</v>
      </c>
      <c r="Y9" s="318" t="s">
        <v>30</v>
      </c>
      <c r="Z9" s="318" t="s">
        <v>32</v>
      </c>
      <c r="AA9" s="318" t="s">
        <v>322</v>
      </c>
      <c r="AB9" s="301" t="s">
        <v>103</v>
      </c>
      <c r="AC9" s="301" t="s">
        <v>123</v>
      </c>
      <c r="AD9" s="301" t="s">
        <v>124</v>
      </c>
      <c r="AE9" s="301" t="s">
        <v>84</v>
      </c>
      <c r="AF9" s="301" t="s">
        <v>85</v>
      </c>
      <c r="AG9" s="301" t="s">
        <v>97</v>
      </c>
      <c r="AH9" s="301" t="s">
        <v>108</v>
      </c>
      <c r="AI9" s="306" t="s">
        <v>111</v>
      </c>
      <c r="AJ9" s="307"/>
      <c r="AK9" s="307"/>
      <c r="AL9" s="307"/>
      <c r="AM9" s="307"/>
      <c r="AN9" s="307"/>
      <c r="AO9" s="307"/>
      <c r="AP9" s="307"/>
      <c r="AQ9" s="307"/>
      <c r="AR9" s="307"/>
      <c r="AS9" s="307"/>
      <c r="AT9" s="308"/>
      <c r="AU9" s="306" t="s">
        <v>34</v>
      </c>
      <c r="AV9" s="307"/>
      <c r="AW9" s="308"/>
      <c r="AX9" s="306" t="s">
        <v>111</v>
      </c>
      <c r="AY9" s="307"/>
      <c r="AZ9" s="307"/>
      <c r="BA9" s="307"/>
      <c r="BB9" s="307"/>
      <c r="BC9" s="307"/>
      <c r="BD9" s="307"/>
      <c r="BE9" s="307"/>
      <c r="BF9" s="308"/>
      <c r="BG9" s="306" t="s">
        <v>34</v>
      </c>
      <c r="BH9" s="307"/>
      <c r="BI9" s="308"/>
      <c r="BJ9" s="247" t="s">
        <v>25</v>
      </c>
      <c r="BK9" s="164" t="s">
        <v>11</v>
      </c>
      <c r="BL9" s="247" t="s">
        <v>1</v>
      </c>
      <c r="BM9" s="247" t="s">
        <v>46</v>
      </c>
      <c r="BN9" s="247" t="s">
        <v>48</v>
      </c>
      <c r="BO9" s="247" t="s">
        <v>110</v>
      </c>
      <c r="BP9" s="248" t="s">
        <v>256</v>
      </c>
      <c r="BQ9" s="248" t="s">
        <v>26</v>
      </c>
      <c r="BR9" s="248" t="s">
        <v>44</v>
      </c>
      <c r="BS9" s="247" t="s">
        <v>17</v>
      </c>
      <c r="BT9" s="164" t="s">
        <v>292</v>
      </c>
      <c r="BU9" s="247" t="s">
        <v>271</v>
      </c>
      <c r="BV9" s="247" t="s">
        <v>257</v>
      </c>
      <c r="BW9" s="247" t="s">
        <v>258</v>
      </c>
      <c r="BX9" s="247" t="s">
        <v>259</v>
      </c>
      <c r="BY9" s="248" t="s">
        <v>261</v>
      </c>
      <c r="BZ9" s="248" t="s">
        <v>18</v>
      </c>
      <c r="CA9" s="248" t="s">
        <v>45</v>
      </c>
      <c r="CB9" s="301" t="s">
        <v>56</v>
      </c>
      <c r="CC9" s="301" t="s">
        <v>57</v>
      </c>
      <c r="CE9" s="301" t="s">
        <v>324</v>
      </c>
      <c r="CF9" s="301" t="s">
        <v>277</v>
      </c>
      <c r="CG9" s="301" t="s">
        <v>387</v>
      </c>
      <c r="CH9" s="301" t="s">
        <v>278</v>
      </c>
      <c r="CI9" s="323" t="s">
        <v>386</v>
      </c>
      <c r="CJ9" s="301" t="s">
        <v>279</v>
      </c>
      <c r="CK9" s="301" t="s">
        <v>336</v>
      </c>
      <c r="CL9" s="301" t="s">
        <v>74</v>
      </c>
      <c r="CM9" s="301" t="s">
        <v>366</v>
      </c>
      <c r="CN9" s="301" t="s">
        <v>325</v>
      </c>
      <c r="CO9" s="301" t="s">
        <v>280</v>
      </c>
    </row>
    <row r="10" spans="2:96" ht="15" customHeight="1" x14ac:dyDescent="0.2">
      <c r="B10" s="249" t="s">
        <v>54</v>
      </c>
      <c r="C10" s="302"/>
      <c r="D10" s="302"/>
      <c r="E10" s="302"/>
      <c r="F10" s="302"/>
      <c r="G10" s="173" t="s">
        <v>48</v>
      </c>
      <c r="H10" s="250" t="s">
        <v>36</v>
      </c>
      <c r="I10" s="168" t="s">
        <v>110</v>
      </c>
      <c r="J10" s="310" t="s">
        <v>14</v>
      </c>
      <c r="K10" s="312" t="s">
        <v>14</v>
      </c>
      <c r="L10" s="302"/>
      <c r="M10" s="302"/>
      <c r="N10" s="302"/>
      <c r="O10" s="302"/>
      <c r="P10" s="302"/>
      <c r="Q10" s="302"/>
      <c r="R10" s="302"/>
      <c r="S10" s="302"/>
      <c r="T10" s="302"/>
      <c r="U10" s="317"/>
      <c r="V10" s="302"/>
      <c r="W10" s="319" t="s">
        <v>14</v>
      </c>
      <c r="X10" s="319"/>
      <c r="Y10" s="319"/>
      <c r="Z10" s="319"/>
      <c r="AA10" s="319" t="s">
        <v>14</v>
      </c>
      <c r="AB10" s="302"/>
      <c r="AC10" s="302"/>
      <c r="AD10" s="302"/>
      <c r="AE10" s="302"/>
      <c r="AF10" s="302"/>
      <c r="AG10" s="302"/>
      <c r="AH10" s="302"/>
      <c r="AI10" s="251" t="s">
        <v>102</v>
      </c>
      <c r="AJ10" s="251" t="s">
        <v>103</v>
      </c>
      <c r="AK10" s="251" t="s">
        <v>104</v>
      </c>
      <c r="AL10" s="251" t="s">
        <v>105</v>
      </c>
      <c r="AM10" s="251" t="s">
        <v>84</v>
      </c>
      <c r="AN10" s="251" t="s">
        <v>106</v>
      </c>
      <c r="AO10" s="170" t="s">
        <v>107</v>
      </c>
      <c r="AP10" s="251" t="s">
        <v>85</v>
      </c>
      <c r="AQ10" s="251" t="s">
        <v>97</v>
      </c>
      <c r="AR10" s="251" t="s">
        <v>108</v>
      </c>
      <c r="AS10" s="251" t="s">
        <v>93</v>
      </c>
      <c r="AT10" s="170" t="s">
        <v>94</v>
      </c>
      <c r="AU10" s="251" t="s">
        <v>11</v>
      </c>
      <c r="AV10" s="251" t="s">
        <v>52</v>
      </c>
      <c r="AW10" s="251" t="s">
        <v>109</v>
      </c>
      <c r="AX10" s="170" t="s">
        <v>102</v>
      </c>
      <c r="AY10" s="251" t="s">
        <v>103</v>
      </c>
      <c r="AZ10" s="251" t="s">
        <v>104</v>
      </c>
      <c r="BA10" s="251" t="s">
        <v>105</v>
      </c>
      <c r="BB10" s="251" t="s">
        <v>84</v>
      </c>
      <c r="BC10" s="251" t="s">
        <v>86</v>
      </c>
      <c r="BD10" s="251" t="s">
        <v>85</v>
      </c>
      <c r="BE10" s="251" t="s">
        <v>97</v>
      </c>
      <c r="BF10" s="251" t="s">
        <v>108</v>
      </c>
      <c r="BG10" s="252" t="s">
        <v>11</v>
      </c>
      <c r="BH10" s="253" t="s">
        <v>52</v>
      </c>
      <c r="BI10" s="254" t="s">
        <v>109</v>
      </c>
      <c r="BJ10" s="173" t="s">
        <v>289</v>
      </c>
      <c r="BK10" s="172" t="s">
        <v>293</v>
      </c>
      <c r="BL10" s="173"/>
      <c r="BM10" s="173" t="s">
        <v>287</v>
      </c>
      <c r="BN10" s="173"/>
      <c r="BO10" s="173"/>
      <c r="BP10" s="255"/>
      <c r="BQ10" s="255"/>
      <c r="BR10" s="255"/>
      <c r="BS10" s="173" t="s">
        <v>289</v>
      </c>
      <c r="BT10" s="172" t="s">
        <v>293</v>
      </c>
      <c r="BU10" s="173"/>
      <c r="BV10" s="173" t="s">
        <v>287</v>
      </c>
      <c r="BW10" s="173"/>
      <c r="BX10" s="173"/>
      <c r="BY10" s="255"/>
      <c r="BZ10" s="255"/>
      <c r="CA10" s="255"/>
      <c r="CB10" s="302" t="s">
        <v>14</v>
      </c>
      <c r="CC10" s="302" t="s">
        <v>14</v>
      </c>
      <c r="CE10" s="302"/>
      <c r="CF10" s="302"/>
      <c r="CG10" s="302"/>
      <c r="CH10" s="302"/>
      <c r="CI10" s="324"/>
      <c r="CJ10" s="302"/>
      <c r="CK10" s="302"/>
      <c r="CL10" s="302"/>
      <c r="CM10" s="302"/>
      <c r="CN10" s="302"/>
      <c r="CO10" s="302"/>
    </row>
    <row r="11" spans="2:96" x14ac:dyDescent="0.2">
      <c r="B11" s="221"/>
      <c r="C11" s="256"/>
      <c r="D11" s="257"/>
      <c r="E11" s="258"/>
      <c r="F11" s="258"/>
      <c r="G11" s="258"/>
      <c r="H11" s="258"/>
      <c r="I11" s="180" t="s">
        <v>288</v>
      </c>
      <c r="J11" s="259"/>
      <c r="K11" s="260"/>
      <c r="L11" s="257"/>
      <c r="M11" s="261"/>
      <c r="N11" s="261"/>
      <c r="O11" s="261"/>
      <c r="P11" s="261"/>
      <c r="Q11" s="261"/>
      <c r="R11" s="261"/>
      <c r="S11" s="261"/>
      <c r="T11" s="261"/>
      <c r="U11" s="262"/>
      <c r="V11" s="262"/>
      <c r="W11" s="262"/>
      <c r="X11" s="196"/>
      <c r="Y11" s="196"/>
      <c r="Z11" s="196"/>
      <c r="AA11" s="263"/>
      <c r="AB11" s="196"/>
      <c r="AC11" s="196"/>
      <c r="AD11" s="196"/>
      <c r="AE11" s="196"/>
      <c r="AF11" s="196"/>
      <c r="AG11" s="196"/>
      <c r="AH11" s="196"/>
      <c r="AI11" s="264"/>
      <c r="AJ11" s="264"/>
      <c r="AK11" s="264"/>
      <c r="AL11" s="264"/>
      <c r="AM11" s="264"/>
      <c r="AN11" s="264"/>
      <c r="AO11" s="180" t="s">
        <v>288</v>
      </c>
      <c r="AP11" s="264"/>
      <c r="AQ11" s="264"/>
      <c r="AR11" s="264"/>
      <c r="AS11" s="264"/>
      <c r="AT11" s="180" t="s">
        <v>288</v>
      </c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2"/>
      <c r="BK11" s="262"/>
      <c r="BL11" s="262"/>
      <c r="BM11" s="262"/>
      <c r="BN11" s="262"/>
      <c r="BO11" s="262"/>
      <c r="BP11" s="262"/>
      <c r="BQ11" s="258"/>
      <c r="BR11" s="258"/>
      <c r="BS11" s="265"/>
      <c r="BT11" s="265"/>
      <c r="BU11" s="265"/>
      <c r="BV11" s="265"/>
      <c r="BW11" s="265"/>
      <c r="BX11" s="265"/>
      <c r="BY11" s="265"/>
      <c r="BZ11" s="265"/>
      <c r="CA11" s="265"/>
      <c r="CB11" s="241"/>
      <c r="CC11" s="266"/>
      <c r="CD11" s="241"/>
    </row>
    <row r="12" spans="2:96" x14ac:dyDescent="0.2">
      <c r="B12" s="221"/>
      <c r="C12" s="211"/>
      <c r="D12" s="257"/>
      <c r="E12" s="258"/>
      <c r="F12" s="258"/>
      <c r="G12" s="287" t="s">
        <v>363</v>
      </c>
      <c r="H12" s="179"/>
      <c r="I12" s="258"/>
      <c r="J12" s="258"/>
      <c r="K12" s="258"/>
      <c r="L12" s="267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268"/>
      <c r="AB12" s="196"/>
      <c r="AC12" s="196"/>
      <c r="AD12" s="196"/>
      <c r="AE12" s="196"/>
      <c r="AF12" s="196"/>
      <c r="AG12" s="196"/>
      <c r="AH12" s="196"/>
      <c r="AI12" s="266"/>
      <c r="AJ12" s="266"/>
      <c r="AK12" s="266"/>
      <c r="AL12" s="266"/>
      <c r="AM12" s="266"/>
      <c r="AN12" s="266"/>
      <c r="AO12" s="198"/>
      <c r="AP12" s="266"/>
      <c r="AQ12" s="266"/>
      <c r="AR12" s="266"/>
      <c r="AS12" s="266"/>
      <c r="AT12" s="26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6"/>
      <c r="BF12" s="206"/>
      <c r="BG12" s="206"/>
      <c r="BH12" s="206"/>
      <c r="BI12" s="206"/>
      <c r="BJ12" s="266"/>
      <c r="BK12" s="266"/>
      <c r="BL12" s="192" t="s">
        <v>323</v>
      </c>
      <c r="BM12" s="192"/>
      <c r="BN12" s="192"/>
      <c r="BO12" s="192"/>
      <c r="BP12" s="192"/>
      <c r="BQ12" s="193"/>
      <c r="BR12" s="193"/>
      <c r="BS12" s="265"/>
      <c r="BT12" s="265"/>
      <c r="BU12" s="265"/>
      <c r="BV12" s="265"/>
      <c r="BW12" s="265"/>
      <c r="BX12" s="265"/>
      <c r="BY12" s="265"/>
      <c r="BZ12" s="265"/>
      <c r="CA12" s="265"/>
      <c r="CB12" s="269"/>
      <c r="CC12" s="266"/>
      <c r="CD12" s="241"/>
      <c r="CM12" s="270"/>
      <c r="CO12" s="209"/>
    </row>
    <row r="13" spans="2:96" x14ac:dyDescent="0.2">
      <c r="B13" s="221">
        <f>'DATA INPUT - DETAIL'!D4</f>
        <v>1</v>
      </c>
      <c r="C13" s="211">
        <f>'DATA INPUT - DETAIL'!E4</f>
        <v>1</v>
      </c>
      <c r="D13" s="257">
        <f>'DATA INPUT - DETAIL'!I4</f>
        <v>368000</v>
      </c>
      <c r="E13" s="258">
        <f>'DATA INPUT - DETAIL'!K4</f>
        <v>92000</v>
      </c>
      <c r="F13" s="258">
        <f>'DATA INPUT - DETAIL'!L4</f>
        <v>17000</v>
      </c>
      <c r="G13" s="179">
        <f>'DATA INPUT - DETAIL'!M4*(1+$V$5)</f>
        <v>27600</v>
      </c>
      <c r="H13" s="179">
        <f>'DATA INPUT - DETAIL'!N4*(1+$V$5)</f>
        <v>1000</v>
      </c>
      <c r="I13" s="258">
        <f>H13*(1+$M$5)^C13</f>
        <v>1002.1412681429993</v>
      </c>
      <c r="J13" s="258">
        <f>'DATA INPUT - DETAIL'!O4</f>
        <v>0</v>
      </c>
      <c r="K13" s="258">
        <f>'DATA INPUT - DETAIL'!P4</f>
        <v>0</v>
      </c>
      <c r="L13" s="267">
        <f>ROUNDDOWN('DATA INPUT - DETAIL'!G4,0)</f>
        <v>35</v>
      </c>
      <c r="M13" s="196">
        <f>IF(AND(C13&lt;=$E$5-1,C13&lt;&gt;0),VLOOKUP(L13,Mortality,5,FALSE)*(1+$V$3),0)</f>
        <v>8.921042540299684E-5</v>
      </c>
      <c r="N13" s="196">
        <f t="shared" ref="N13:N43" si="1">IF($AJ$7=0,0,IF(AND(C13&lt;=$E$5-1,C13&lt;&gt;0), VLOOKUP(L13,Mortality,7,FALSE)*(1+$V$3), 0))</f>
        <v>0</v>
      </c>
      <c r="O13" s="196">
        <f t="shared" ref="O13:O43" si="2">IF($AK$7=0,0,IF(AND(C13&lt;=$E$5-1,C13&lt;&gt;0), VLOOKUP(L13,Mortality,9,FALSE)*(1+$V$3), 0))</f>
        <v>0</v>
      </c>
      <c r="P13" s="196">
        <f t="shared" ref="P13:P43" si="3">IF($AL$7=0,0,IF(AND(C13&lt;=$E$5-1,C13&lt;&gt;0), VLOOKUP(L13,Mortality,11,FALSE)*(1+$V$3), 0))</f>
        <v>0</v>
      </c>
      <c r="Q13" s="196">
        <f t="shared" ref="Q13:Q43" si="4">IF($AM$7=0,0,IF(AND(C13&lt;=$E$5-1,C13&lt;&gt;0), VLOOKUP(L13,Mortality,13,FALSE)*(1+$V$3), 0))</f>
        <v>0</v>
      </c>
      <c r="R13" s="196">
        <f t="shared" ref="R13:R43" si="5">IF($AP$7=0,0,IF(AND(C13&lt;=$E$5-1,C13&lt;&gt;0), VLOOKUP(L13,Mortality,15,FALSE)*(1+$V$3), 0))</f>
        <v>0</v>
      </c>
      <c r="S13" s="196">
        <f t="shared" ref="S13:S43" si="6">IF($AQ$7=0,0,IF(AND(C13&lt;=$E$5-1,C13&lt;&gt;0), VLOOKUP(L13,Mortality,17,FALSE)*(1+$V$3), 0))</f>
        <v>0</v>
      </c>
      <c r="T13" s="196">
        <f t="shared" ref="T13:T43" si="7">IF($AR$7=0,0,IF(AND(C13&lt;=$E$5-1,C13&lt;&gt;0), VLOOKUP(L13,Mortality,19,FALSE)*(1+$V$3), 0))</f>
        <v>0</v>
      </c>
      <c r="U13" s="185">
        <f>(C13&gt;0)*(C13&lt;$E$5)*VLOOKUP(MPP,ASUMSI!$BN$77:$CR$108,B13+1)*(1+$V$4)</f>
        <v>8.3717735912058888E-4</v>
      </c>
      <c r="V13" s="196">
        <f t="shared" ref="V13:V72" si="8">IF(C13=$E$5,1,0)</f>
        <v>0</v>
      </c>
      <c r="W13" s="196">
        <v>1</v>
      </c>
      <c r="X13" s="196">
        <f>M13*$W13</f>
        <v>8.921042540299684E-5</v>
      </c>
      <c r="Y13" s="196">
        <f>U13*W13</f>
        <v>8.3717735912058888E-4</v>
      </c>
      <c r="Z13" s="196">
        <f>V13*W13</f>
        <v>0</v>
      </c>
      <c r="AA13" s="185">
        <f>IF(C13=0,0,W13-SUM(X13:Z13))</f>
        <v>0.99907361221547641</v>
      </c>
      <c r="AB13" s="196">
        <f t="shared" ref="AB13:AH13" si="9">N13*$W13</f>
        <v>0</v>
      </c>
      <c r="AC13" s="196">
        <f t="shared" si="9"/>
        <v>0</v>
      </c>
      <c r="AD13" s="196">
        <f t="shared" si="9"/>
        <v>0</v>
      </c>
      <c r="AE13" s="196">
        <f t="shared" si="9"/>
        <v>0</v>
      </c>
      <c r="AF13" s="196">
        <f t="shared" si="9"/>
        <v>0</v>
      </c>
      <c r="AG13" s="196">
        <f t="shared" si="9"/>
        <v>0</v>
      </c>
      <c r="AH13" s="196">
        <f t="shared" si="9"/>
        <v>0</v>
      </c>
      <c r="AI13" s="266">
        <f>'DATA INPUT - DETAIL'!R4</f>
        <v>50000000</v>
      </c>
      <c r="AJ13" s="266">
        <f>'DATA INPUT - DETAIL'!S4</f>
        <v>0</v>
      </c>
      <c r="AK13" s="266">
        <f>'DATA INPUT - DETAIL'!T4</f>
        <v>0</v>
      </c>
      <c r="AL13" s="266">
        <f>'DATA INPUT - DETAIL'!U4</f>
        <v>0</v>
      </c>
      <c r="AM13" s="266">
        <f>'DATA INPUT - DETAIL'!V4</f>
        <v>0</v>
      </c>
      <c r="AN13" s="266">
        <f>'DATA INPUT - DETAIL'!W4</f>
        <v>0</v>
      </c>
      <c r="AO13" s="198">
        <f t="shared" ref="AO13:AO71" si="10">AN13+AO14/(1+$BS$5)</f>
        <v>0</v>
      </c>
      <c r="AP13" s="266">
        <f>'DATA INPUT - DETAIL'!X4</f>
        <v>0</v>
      </c>
      <c r="AQ13" s="266">
        <f>'DATA INPUT - DETAIL'!Y4</f>
        <v>0</v>
      </c>
      <c r="AR13" s="266">
        <f>'DATA INPUT - DETAIL'!Z4</f>
        <v>0</v>
      </c>
      <c r="AS13" s="266">
        <f>'DATA INPUT - DETAIL'!AD4</f>
        <v>0</v>
      </c>
      <c r="AT13" s="266">
        <f>AS13+AT14*(1+$AS$4)</f>
        <v>0</v>
      </c>
      <c r="AU13" s="206">
        <f>'DATA INPUT - DETAIL'!AA4</f>
        <v>161000</v>
      </c>
      <c r="AV13" s="206">
        <f>'DATA INPUT - DETAIL'!AB4</f>
        <v>0</v>
      </c>
      <c r="AW13" s="206">
        <f>'DATA INPUT - DETAIL'!AC4</f>
        <v>0</v>
      </c>
      <c r="AX13" s="206">
        <f t="shared" ref="AX13:AX43" si="11">IF(AI13=0,0,(AI13+AT13)*X13)</f>
        <v>4460.5212701498422</v>
      </c>
      <c r="AY13" s="206">
        <f>IF(AJ13=0,0,AJ13*AB13)</f>
        <v>0</v>
      </c>
      <c r="AZ13" s="206">
        <f>AK13*AC13</f>
        <v>0</v>
      </c>
      <c r="BA13" s="206">
        <f t="shared" ref="BA13:BA43" si="12">AL13*AD13</f>
        <v>0</v>
      </c>
      <c r="BB13" s="206">
        <f t="shared" ref="BB13:BB43" si="13">AM13*AE13</f>
        <v>0</v>
      </c>
      <c r="BC13" s="206">
        <f t="shared" ref="BC13:BC43" si="14">AO13*X13</f>
        <v>0</v>
      </c>
      <c r="BD13" s="206">
        <f t="shared" ref="BD13:BD43" si="15">AP13*AF13</f>
        <v>0</v>
      </c>
      <c r="BE13" s="206">
        <f t="shared" ref="BE13:BE43" si="16">AQ13*AG13</f>
        <v>0</v>
      </c>
      <c r="BF13" s="206">
        <f t="shared" ref="BF13:BF43" si="17">AR13*AH13</f>
        <v>0</v>
      </c>
      <c r="BG13" s="206">
        <f>(AU13+AT13)*Y13</f>
        <v>134.78555481841482</v>
      </c>
      <c r="BH13" s="206">
        <f t="shared" ref="BH13:BH43" si="18">AV13*AA13</f>
        <v>0</v>
      </c>
      <c r="BI13" s="206">
        <f t="shared" ref="BI13:BI72" si="19">(AW13+AT13)*Z13</f>
        <v>0</v>
      </c>
      <c r="BJ13" s="266">
        <f>SUM(AX13:BF13)+SUM(BH13:BI13)</f>
        <v>4460.5212701498422</v>
      </c>
      <c r="BK13" s="266">
        <f>BG13</f>
        <v>134.78555481841482</v>
      </c>
      <c r="BL13" s="192">
        <f>E13*$W13</f>
        <v>92000</v>
      </c>
      <c r="BM13" s="192">
        <f>F13*$W13</f>
        <v>17000</v>
      </c>
      <c r="BN13" s="192">
        <f>G13*$W13</f>
        <v>27600</v>
      </c>
      <c r="BO13" s="192">
        <f>I13*$W13</f>
        <v>1002.1412681429993</v>
      </c>
      <c r="BP13" s="192">
        <f>SUM(BN13:BO13)</f>
        <v>28602.141268143001</v>
      </c>
      <c r="BQ13" s="193">
        <f>(SUM(E13:G13)+I13)*W13</f>
        <v>137602.14126814299</v>
      </c>
      <c r="BR13" s="193">
        <f>D13*W13</f>
        <v>368000</v>
      </c>
      <c r="BS13" s="265">
        <f>(BJ13+BS14)/(1+$BS$5)</f>
        <v>84063.726003759861</v>
      </c>
      <c r="BT13" s="265">
        <f>(BK13+BT14)/(1+$BS$5)</f>
        <v>3448.9335084901618</v>
      </c>
      <c r="BU13" s="265">
        <f t="shared" ref="BU13" si="20">BL13+BU14/(1+$BS$5)</f>
        <v>92000</v>
      </c>
      <c r="BV13" s="265">
        <f t="shared" ref="BV13" si="21">BM13+BV14/(1+$BS$5)</f>
        <v>17000</v>
      </c>
      <c r="BW13" s="265">
        <f t="shared" ref="BW13" si="22">BN13+BW14/(1+$BS$5)</f>
        <v>27600</v>
      </c>
      <c r="BX13" s="265">
        <f t="shared" ref="BX13" si="23">BO13+BX14/(1+$BS$5)</f>
        <v>33898.996994221663</v>
      </c>
      <c r="BY13" s="265">
        <f>BP13+BY14/(1+$BS$5)</f>
        <v>61498.996994221663</v>
      </c>
      <c r="BZ13" s="265">
        <f>BQ13+BZ14/(1+$BS$5)</f>
        <v>170498.99699422164</v>
      </c>
      <c r="CA13" s="265">
        <f t="shared" ref="CA13" si="24">BR13+CA14/(1+$BS$5)</f>
        <v>368000</v>
      </c>
      <c r="CB13" s="269">
        <f>BS13+BT13+BZ13-CA13</f>
        <v>-109988.34349352831</v>
      </c>
      <c r="CC13" s="266">
        <f>IF(AND(C13=0,C14=0),0,CB13/W13)</f>
        <v>-109988.34349352831</v>
      </c>
      <c r="CD13" s="241"/>
      <c r="CE13" s="198">
        <f>CB13</f>
        <v>-109988.34349352831</v>
      </c>
      <c r="CF13" s="198">
        <f>IFERROR(BR13/W13,0)</f>
        <v>368000</v>
      </c>
      <c r="CG13" s="198">
        <f>IFERROR(-BL13/W13,0)</f>
        <v>-92000</v>
      </c>
      <c r="CH13" s="198">
        <f>IFERROR(-BP13/W13,0)</f>
        <v>-28602.141268143001</v>
      </c>
      <c r="CI13" s="198">
        <f>IFERROR(-BM13/W13,0)</f>
        <v>-17000</v>
      </c>
      <c r="CJ13" s="198">
        <f>IFERROR(-BJ13/W13,0)</f>
        <v>-4460.5212701498422</v>
      </c>
      <c r="CK13" s="198">
        <f>IFERROR(-BK13/W13,0)</f>
        <v>-134.78555481841482</v>
      </c>
      <c r="CL13" s="198">
        <f>SUM(CE13:CI13)*$CL$8</f>
        <v>526.00846337453686</v>
      </c>
      <c r="CM13" s="271">
        <f>IF(CB14=0,0,CB14*(1/AA13-1/W13))</f>
        <v>107.87609085624891</v>
      </c>
      <c r="CN13" s="198">
        <f>SUM(CE13:CM13)</f>
        <v>116448.09296759123</v>
      </c>
      <c r="CO13" s="209">
        <f>CE13-CC13</f>
        <v>0</v>
      </c>
      <c r="CR13" s="241"/>
    </row>
    <row r="14" spans="2:96" x14ac:dyDescent="0.2">
      <c r="B14" s="221">
        <f>'DATA INPUT - DETAIL'!D5</f>
        <v>1</v>
      </c>
      <c r="C14" s="211">
        <f>'DATA INPUT - DETAIL'!E5</f>
        <v>2</v>
      </c>
      <c r="D14" s="257">
        <f>'DATA INPUT - DETAIL'!I5</f>
        <v>0</v>
      </c>
      <c r="E14" s="258">
        <f>'DATA INPUT - DETAIL'!K5</f>
        <v>0</v>
      </c>
      <c r="F14" s="258">
        <f>'DATA INPUT - DETAIL'!L5</f>
        <v>0</v>
      </c>
      <c r="G14" s="179">
        <f>'DATA INPUT - DETAIL'!M5*(1+$V$5)</f>
        <v>0</v>
      </c>
      <c r="H14" s="179">
        <f>'DATA INPUT - DETAIL'!N5*(1+$V$5)</f>
        <v>1000</v>
      </c>
      <c r="I14" s="258">
        <f>H14*(1+$M$5)^C14</f>
        <v>1004.2871213152589</v>
      </c>
      <c r="J14" s="258">
        <f>'DATA INPUT - DETAIL'!O5</f>
        <v>0</v>
      </c>
      <c r="K14" s="258">
        <f>'DATA INPUT - DETAIL'!P5</f>
        <v>0</v>
      </c>
      <c r="L14" s="267">
        <f>ROUNDDOWN('DATA INPUT - DETAIL'!G5,0)</f>
        <v>35</v>
      </c>
      <c r="M14" s="196">
        <f t="shared" ref="M13:M44" si="25">IF(AND(C14&lt;=$E$5-1,C14&lt;&gt;0),VLOOKUP(L14,Mortality,5,FALSE)*(1+$V$3),0)</f>
        <v>8.921042540299684E-5</v>
      </c>
      <c r="N14" s="196">
        <f t="shared" si="1"/>
        <v>0</v>
      </c>
      <c r="O14" s="196">
        <f t="shared" si="2"/>
        <v>0</v>
      </c>
      <c r="P14" s="196">
        <f t="shared" si="3"/>
        <v>0</v>
      </c>
      <c r="Q14" s="196">
        <f t="shared" si="4"/>
        <v>0</v>
      </c>
      <c r="R14" s="196">
        <f t="shared" si="5"/>
        <v>0</v>
      </c>
      <c r="S14" s="196">
        <f t="shared" si="6"/>
        <v>0</v>
      </c>
      <c r="T14" s="196">
        <f t="shared" si="7"/>
        <v>0</v>
      </c>
      <c r="U14" s="185">
        <f>(C14&gt;0)*(C14&lt;$E$5)*VLOOKUP(MPP,ASUMSI!$BN$77:$CR$108,B14+1)*(1+$V$4)</f>
        <v>8.3717735912058888E-4</v>
      </c>
      <c r="V14" s="196">
        <f t="shared" si="8"/>
        <v>0</v>
      </c>
      <c r="W14" s="196">
        <f>AA13</f>
        <v>0.99907361221547641</v>
      </c>
      <c r="X14" s="196">
        <f>M14*$AA13</f>
        <v>8.9127781954651355E-5</v>
      </c>
      <c r="Y14" s="196">
        <f t="shared" ref="Y14:Y43" si="26">U14*AA13</f>
        <v>8.3640180824161986E-4</v>
      </c>
      <c r="Z14" s="196">
        <f t="shared" ref="Z14:Z43" si="27">V14*AA13</f>
        <v>0</v>
      </c>
      <c r="AA14" s="185">
        <f t="shared" ref="AA14:AA72" si="28">IF(C14=0,0,W14-SUM(X14:Z14))</f>
        <v>0.9981480826252801</v>
      </c>
      <c r="AB14" s="196">
        <f t="shared" ref="AB14:AD43" si="29">N14*$AA13</f>
        <v>0</v>
      </c>
      <c r="AC14" s="196">
        <f t="shared" si="29"/>
        <v>0</v>
      </c>
      <c r="AD14" s="196">
        <f t="shared" si="29"/>
        <v>0</v>
      </c>
      <c r="AE14" s="196">
        <f>Q14*$AA13</f>
        <v>0</v>
      </c>
      <c r="AF14" s="196">
        <f t="shared" ref="AF14:AF43" si="30">R14*$AA13</f>
        <v>0</v>
      </c>
      <c r="AG14" s="196">
        <f t="shared" ref="AG14:AG43" si="31">S14*$AA13</f>
        <v>0</v>
      </c>
      <c r="AH14" s="196">
        <f t="shared" ref="AH14:AH43" si="32">T14*$AA13</f>
        <v>0</v>
      </c>
      <c r="AI14" s="266">
        <f>'DATA INPUT - DETAIL'!R5</f>
        <v>48975154.165299997</v>
      </c>
      <c r="AJ14" s="266">
        <f>'DATA INPUT - DETAIL'!S5</f>
        <v>0</v>
      </c>
      <c r="AK14" s="266">
        <f>'DATA INPUT - DETAIL'!T5</f>
        <v>0</v>
      </c>
      <c r="AL14" s="266">
        <f>'DATA INPUT - DETAIL'!U5</f>
        <v>0</v>
      </c>
      <c r="AM14" s="266">
        <f>'DATA INPUT - DETAIL'!V5</f>
        <v>0</v>
      </c>
      <c r="AN14" s="266">
        <f>'DATA INPUT - DETAIL'!W5</f>
        <v>0</v>
      </c>
      <c r="AO14" s="198">
        <f t="shared" si="10"/>
        <v>0</v>
      </c>
      <c r="AP14" s="266">
        <f>'DATA INPUT - DETAIL'!X5</f>
        <v>0</v>
      </c>
      <c r="AQ14" s="266">
        <f>'DATA INPUT - DETAIL'!Y5</f>
        <v>0</v>
      </c>
      <c r="AR14" s="266">
        <f>'DATA INPUT - DETAIL'!Z5</f>
        <v>0</v>
      </c>
      <c r="AS14" s="266">
        <f>'DATA INPUT - DETAIL'!AD5</f>
        <v>0</v>
      </c>
      <c r="AT14" s="266">
        <f t="shared" ref="AT14:AT72" si="33">AS14+AT15*(1+$AS$4)</f>
        <v>0</v>
      </c>
      <c r="AU14" s="206">
        <f>'DATA INPUT - DETAIL'!AA5</f>
        <v>156400</v>
      </c>
      <c r="AV14" s="206">
        <f>'DATA INPUT - DETAIL'!AB5</f>
        <v>0</v>
      </c>
      <c r="AW14" s="206">
        <f>'DATA INPUT - DETAIL'!AC5</f>
        <v>0</v>
      </c>
      <c r="AX14" s="206">
        <f t="shared" si="11"/>
        <v>4365.0468616402932</v>
      </c>
      <c r="AY14" s="206">
        <f t="shared" ref="AY14:AY72" si="34">IF(AJ14=0,0,AJ14*AB14)</f>
        <v>0</v>
      </c>
      <c r="AZ14" s="206">
        <f t="shared" ref="AZ14:AZ43" si="35">AK14*AC14</f>
        <v>0</v>
      </c>
      <c r="BA14" s="206">
        <f t="shared" si="12"/>
        <v>0</v>
      </c>
      <c r="BB14" s="206">
        <f t="shared" si="13"/>
        <v>0</v>
      </c>
      <c r="BC14" s="206">
        <f t="shared" si="14"/>
        <v>0</v>
      </c>
      <c r="BD14" s="206">
        <f t="shared" si="15"/>
        <v>0</v>
      </c>
      <c r="BE14" s="206">
        <f t="shared" si="16"/>
        <v>0</v>
      </c>
      <c r="BF14" s="206">
        <f t="shared" si="17"/>
        <v>0</v>
      </c>
      <c r="BG14" s="206">
        <f t="shared" ref="BG14:BG43" si="36">(AU14+AT14)*Y14</f>
        <v>130.81324280898934</v>
      </c>
      <c r="BH14" s="206">
        <f t="shared" si="18"/>
        <v>0</v>
      </c>
      <c r="BI14" s="206">
        <f t="shared" si="19"/>
        <v>0</v>
      </c>
      <c r="BJ14" s="266">
        <f t="shared" ref="BJ14:BJ72" si="37">SUM(AX14:BF14)+SUM(BH14:BI14)</f>
        <v>4365.0468616402932</v>
      </c>
      <c r="BK14" s="266">
        <f t="shared" ref="BK14:BK72" si="38">BG14</f>
        <v>130.81324280898934</v>
      </c>
      <c r="BL14" s="192">
        <f t="shared" ref="BL14:BL72" si="39">E14*$W14</f>
        <v>0</v>
      </c>
      <c r="BM14" s="192">
        <f t="shared" ref="BM14:BM72" si="40">F14*$W14</f>
        <v>0</v>
      </c>
      <c r="BN14" s="192">
        <f t="shared" ref="BN14:BN72" si="41">G14*$W14</f>
        <v>0</v>
      </c>
      <c r="BO14" s="192">
        <f t="shared" ref="BO14:BO72" si="42">I14*$W14</f>
        <v>1003.3567619939181</v>
      </c>
      <c r="BP14" s="192">
        <f t="shared" ref="BP14:BP72" si="43">SUM(BN14:BO14)</f>
        <v>1003.3567619939181</v>
      </c>
      <c r="BQ14" s="193">
        <f t="shared" ref="BQ14:BQ72" si="44">(SUM(E14:G14)+I14)*W14</f>
        <v>1003.3567619939181</v>
      </c>
      <c r="BR14" s="193">
        <f t="shared" ref="BR14:BR72" si="45">D14*W14</f>
        <v>0</v>
      </c>
      <c r="BS14" s="265">
        <f t="shared" ref="BS14:BS77" si="46">(BJ14+BS15)/(1+$BS$5)</f>
        <v>79970.436768829619</v>
      </c>
      <c r="BT14" s="265">
        <f t="shared" ref="BT14:BT77" si="47">(BK14+BT15)/(1+$BS$5)</f>
        <v>3329.2146052689322</v>
      </c>
      <c r="BU14" s="265">
        <f t="shared" ref="BU14:BU77" si="48">BL14+BU15/(1+$BS$5)</f>
        <v>0</v>
      </c>
      <c r="BV14" s="265">
        <f t="shared" ref="BV14:BV77" si="49">BM14+BV15/(1+$BS$5)</f>
        <v>0</v>
      </c>
      <c r="BW14" s="265">
        <f t="shared" ref="BW14:BW77" si="50">BN14+BW15/(1+$BS$5)</f>
        <v>0</v>
      </c>
      <c r="BX14" s="265">
        <f t="shared" ref="BX14:BX77" si="51">BO14+BX15/(1+$BS$5)</f>
        <v>33040.565502636426</v>
      </c>
      <c r="BY14" s="265">
        <f t="shared" ref="BY14:BY77" si="52">BP14+BY15/(1+$BS$5)</f>
        <v>33040.565502636426</v>
      </c>
      <c r="BZ14" s="265">
        <f t="shared" ref="BZ14:BZ77" si="53">BQ14+BZ15/(1+$BS$5)</f>
        <v>33040.565502636426</v>
      </c>
      <c r="CA14" s="265">
        <f t="shared" ref="CA14:CA77" si="54">BR14+CA15/(1+$BS$5)</f>
        <v>0</v>
      </c>
      <c r="CB14" s="269">
        <f t="shared" ref="CB14:CB77" si="55">BS14+BT14+BZ14-CA14</f>
        <v>116340.21687673498</v>
      </c>
      <c r="CC14" s="266">
        <f t="shared" ref="CC14:CC77" si="56">IF(AND(C14=0,C15=0),0,CB14/W14)</f>
        <v>116448.09296759122</v>
      </c>
      <c r="CD14" s="241"/>
      <c r="CE14" s="198">
        <f t="shared" ref="CE14" si="57">CN13</f>
        <v>116448.09296759123</v>
      </c>
      <c r="CF14" s="198">
        <f t="shared" ref="CF14:CF77" si="58">IFERROR(BR14/W14,0)</f>
        <v>0</v>
      </c>
      <c r="CG14" s="198">
        <f t="shared" ref="CG14:CG77" si="59">IFERROR(-BL14/W14,0)</f>
        <v>0</v>
      </c>
      <c r="CH14" s="198">
        <f t="shared" ref="CH14:CH77" si="60">IFERROR(-BP14/W14,0)</f>
        <v>-1004.2871213152589</v>
      </c>
      <c r="CI14" s="198">
        <f t="shared" ref="CI14:CI77" si="61">IFERROR(-BM14/W14,0)</f>
        <v>0</v>
      </c>
      <c r="CJ14" s="198">
        <f t="shared" ref="CJ14:CJ77" si="62">IFERROR(-BJ14/W14,0)</f>
        <v>-4369.0943372637657</v>
      </c>
      <c r="CK14" s="198">
        <f t="shared" ref="CK14:CK77" si="63">IFERROR(-BK14/W14,0)</f>
        <v>-130.93453896646011</v>
      </c>
      <c r="CL14" s="198">
        <f t="shared" ref="CL14:CL77" si="64">SUM(CE14:CI14)*$CL$8</f>
        <v>504.31578267809721</v>
      </c>
      <c r="CM14" s="271">
        <f t="shared" ref="CM14:CM77" si="65">IF(CB15=0,0,CB15*(1/AA14-1/W14))</f>
        <v>103.33988454127551</v>
      </c>
      <c r="CN14" s="198">
        <f t="shared" ref="CN14:CN77" si="66">SUM(CE14:CM14)</f>
        <v>111551.43263726511</v>
      </c>
      <c r="CO14" s="209">
        <f t="shared" ref="CO14" si="67">CE14-CC14</f>
        <v>0</v>
      </c>
    </row>
    <row r="15" spans="2:96" x14ac:dyDescent="0.2">
      <c r="B15" s="221">
        <f>'DATA INPUT - DETAIL'!D6</f>
        <v>1</v>
      </c>
      <c r="C15" s="211">
        <f>'DATA INPUT - DETAIL'!E6</f>
        <v>3</v>
      </c>
      <c r="D15" s="257">
        <f>'DATA INPUT - DETAIL'!I6</f>
        <v>0</v>
      </c>
      <c r="E15" s="258">
        <f>'DATA INPUT - DETAIL'!K6</f>
        <v>0</v>
      </c>
      <c r="F15" s="258">
        <f>'DATA INPUT - DETAIL'!L6</f>
        <v>0</v>
      </c>
      <c r="G15" s="179">
        <f>'DATA INPUT - DETAIL'!M6*(1+$V$5)</f>
        <v>0</v>
      </c>
      <c r="H15" s="179">
        <f>'DATA INPUT - DETAIL'!N6*(1+$V$5)</f>
        <v>1000</v>
      </c>
      <c r="I15" s="258">
        <f>H15*(1+$M$5)^C15</f>
        <v>1006.4375693345557</v>
      </c>
      <c r="J15" s="258">
        <f>'DATA INPUT - DETAIL'!O6</f>
        <v>0</v>
      </c>
      <c r="K15" s="258">
        <f>'DATA INPUT - DETAIL'!P6</f>
        <v>0</v>
      </c>
      <c r="L15" s="267">
        <f>ROUNDDOWN('DATA INPUT - DETAIL'!G6,0)</f>
        <v>35</v>
      </c>
      <c r="M15" s="196">
        <f t="shared" si="25"/>
        <v>8.921042540299684E-5</v>
      </c>
      <c r="N15" s="196">
        <f t="shared" si="1"/>
        <v>0</v>
      </c>
      <c r="O15" s="196">
        <f t="shared" si="2"/>
        <v>0</v>
      </c>
      <c r="P15" s="196">
        <f t="shared" si="3"/>
        <v>0</v>
      </c>
      <c r="Q15" s="196">
        <f t="shared" si="4"/>
        <v>0</v>
      </c>
      <c r="R15" s="196">
        <f t="shared" si="5"/>
        <v>0</v>
      </c>
      <c r="S15" s="196">
        <f t="shared" si="6"/>
        <v>0</v>
      </c>
      <c r="T15" s="196">
        <f t="shared" si="7"/>
        <v>0</v>
      </c>
      <c r="U15" s="185">
        <f>(C15&gt;0)*(C15&lt;$E$5)*VLOOKUP(MPP,ASUMSI!$BN$77:$CR$108,B15+1)*(1+$V$4)</f>
        <v>8.3717735912058888E-4</v>
      </c>
      <c r="V15" s="196">
        <f t="shared" si="8"/>
        <v>0</v>
      </c>
      <c r="W15" s="196">
        <f t="shared" ref="W15:W72" si="68">AA14</f>
        <v>0.9981480826252801</v>
      </c>
      <c r="X15" s="196">
        <f t="shared" ref="X15:X43" si="69">M15*$AA14</f>
        <v>8.9045215066186877E-5</v>
      </c>
      <c r="Y15" s="196">
        <f t="shared" si="26"/>
        <v>8.3562697582351131E-4</v>
      </c>
      <c r="Z15" s="196">
        <f t="shared" si="27"/>
        <v>0</v>
      </c>
      <c r="AA15" s="185">
        <f t="shared" si="28"/>
        <v>0.99722341043439044</v>
      </c>
      <c r="AB15" s="196">
        <f t="shared" si="29"/>
        <v>0</v>
      </c>
      <c r="AC15" s="196">
        <f t="shared" si="29"/>
        <v>0</v>
      </c>
      <c r="AD15" s="196">
        <f t="shared" si="29"/>
        <v>0</v>
      </c>
      <c r="AE15" s="196">
        <f>Q15*$AA14</f>
        <v>0</v>
      </c>
      <c r="AF15" s="196">
        <f t="shared" si="30"/>
        <v>0</v>
      </c>
      <c r="AG15" s="196">
        <f t="shared" si="31"/>
        <v>0</v>
      </c>
      <c r="AH15" s="196">
        <f t="shared" si="32"/>
        <v>0</v>
      </c>
      <c r="AI15" s="266">
        <f>'DATA INPUT - DETAIL'!R6</f>
        <v>47933227.566799998</v>
      </c>
      <c r="AJ15" s="266">
        <f>'DATA INPUT - DETAIL'!S6</f>
        <v>0</v>
      </c>
      <c r="AK15" s="266">
        <f>'DATA INPUT - DETAIL'!T6</f>
        <v>0</v>
      </c>
      <c r="AL15" s="266">
        <f>'DATA INPUT - DETAIL'!U6</f>
        <v>0</v>
      </c>
      <c r="AM15" s="266">
        <f>'DATA INPUT - DETAIL'!V6</f>
        <v>0</v>
      </c>
      <c r="AN15" s="266">
        <f>'DATA INPUT - DETAIL'!W6</f>
        <v>0</v>
      </c>
      <c r="AO15" s="198">
        <f t="shared" si="10"/>
        <v>0</v>
      </c>
      <c r="AP15" s="266">
        <f>'DATA INPUT - DETAIL'!X6</f>
        <v>0</v>
      </c>
      <c r="AQ15" s="266">
        <f>'DATA INPUT - DETAIL'!Y6</f>
        <v>0</v>
      </c>
      <c r="AR15" s="266">
        <f>'DATA INPUT - DETAIL'!Z6</f>
        <v>0</v>
      </c>
      <c r="AS15" s="266">
        <f>'DATA INPUT - DETAIL'!AD6</f>
        <v>0</v>
      </c>
      <c r="AT15" s="266">
        <f t="shared" si="33"/>
        <v>0</v>
      </c>
      <c r="AU15" s="206">
        <f>'DATA INPUT - DETAIL'!AA6</f>
        <v>151800</v>
      </c>
      <c r="AV15" s="206">
        <f>'DATA INPUT - DETAIL'!AB6</f>
        <v>0</v>
      </c>
      <c r="AW15" s="206">
        <f>'DATA INPUT - DETAIL'!AC6</f>
        <v>0</v>
      </c>
      <c r="AX15" s="206">
        <f t="shared" si="11"/>
        <v>4268.2245575021834</v>
      </c>
      <c r="AY15" s="206">
        <f t="shared" si="34"/>
        <v>0</v>
      </c>
      <c r="AZ15" s="206">
        <f t="shared" si="35"/>
        <v>0</v>
      </c>
      <c r="BA15" s="206">
        <f t="shared" si="12"/>
        <v>0</v>
      </c>
      <c r="BB15" s="206">
        <f t="shared" si="13"/>
        <v>0</v>
      </c>
      <c r="BC15" s="206">
        <f t="shared" si="14"/>
        <v>0</v>
      </c>
      <c r="BD15" s="206">
        <f t="shared" si="15"/>
        <v>0</v>
      </c>
      <c r="BE15" s="206">
        <f t="shared" si="16"/>
        <v>0</v>
      </c>
      <c r="BF15" s="206">
        <f t="shared" si="17"/>
        <v>0</v>
      </c>
      <c r="BG15" s="206">
        <f t="shared" si="36"/>
        <v>126.84817493000902</v>
      </c>
      <c r="BH15" s="206">
        <f t="shared" si="18"/>
        <v>0</v>
      </c>
      <c r="BI15" s="206">
        <f t="shared" si="19"/>
        <v>0</v>
      </c>
      <c r="BJ15" s="266">
        <f t="shared" si="37"/>
        <v>4268.2245575021834</v>
      </c>
      <c r="BK15" s="266">
        <f t="shared" si="38"/>
        <v>126.84817493000902</v>
      </c>
      <c r="BL15" s="192">
        <f t="shared" si="39"/>
        <v>0</v>
      </c>
      <c r="BM15" s="192">
        <f t="shared" si="40"/>
        <v>0</v>
      </c>
      <c r="BN15" s="192">
        <f t="shared" si="41"/>
        <v>0</v>
      </c>
      <c r="BO15" s="192">
        <f t="shared" si="42"/>
        <v>1004.5737301133342</v>
      </c>
      <c r="BP15" s="192">
        <f t="shared" si="43"/>
        <v>1004.5737301133342</v>
      </c>
      <c r="BQ15" s="193">
        <f t="shared" si="44"/>
        <v>1004.5737301133342</v>
      </c>
      <c r="BR15" s="193">
        <f t="shared" si="45"/>
        <v>0</v>
      </c>
      <c r="BS15" s="265">
        <f t="shared" si="46"/>
        <v>75954.740425517564</v>
      </c>
      <c r="BT15" s="265">
        <f t="shared" si="47"/>
        <v>3212.9450225294599</v>
      </c>
      <c r="BU15" s="265">
        <f t="shared" si="48"/>
        <v>0</v>
      </c>
      <c r="BV15" s="265">
        <f t="shared" si="49"/>
        <v>0</v>
      </c>
      <c r="BW15" s="265">
        <f t="shared" si="50"/>
        <v>0</v>
      </c>
      <c r="BX15" s="265">
        <f t="shared" si="51"/>
        <v>32177.16315294223</v>
      </c>
      <c r="BY15" s="265">
        <f t="shared" si="52"/>
        <v>32177.16315294223</v>
      </c>
      <c r="BZ15" s="265">
        <f t="shared" si="53"/>
        <v>32177.16315294223</v>
      </c>
      <c r="CA15" s="265">
        <f t="shared" si="54"/>
        <v>0</v>
      </c>
      <c r="CB15" s="269">
        <f t="shared" si="55"/>
        <v>111344.84860098925</v>
      </c>
      <c r="CC15" s="266">
        <f t="shared" si="56"/>
        <v>111551.4326372651</v>
      </c>
      <c r="CD15" s="241"/>
      <c r="CE15" s="198">
        <f t="shared" ref="CE15:CE72" si="70">CN14</f>
        <v>111551.43263726511</v>
      </c>
      <c r="CF15" s="198">
        <f t="shared" si="58"/>
        <v>0</v>
      </c>
      <c r="CG15" s="198">
        <f t="shared" si="59"/>
        <v>0</v>
      </c>
      <c r="CH15" s="198">
        <f t="shared" si="60"/>
        <v>-1006.4375693345557</v>
      </c>
      <c r="CI15" s="198">
        <f t="shared" si="61"/>
        <v>0</v>
      </c>
      <c r="CJ15" s="198">
        <f t="shared" si="62"/>
        <v>-4276.1436221728827</v>
      </c>
      <c r="CK15" s="198">
        <f t="shared" si="63"/>
        <v>-127.0835231145054</v>
      </c>
      <c r="CL15" s="198">
        <f t="shared" si="64"/>
        <v>482.91534829565029</v>
      </c>
      <c r="CM15" s="271">
        <f t="shared" si="65"/>
        <v>98.867393656644978</v>
      </c>
      <c r="CN15" s="198">
        <f t="shared" si="66"/>
        <v>106723.55066459547</v>
      </c>
      <c r="CO15" s="209">
        <f t="shared" ref="CO15:CO72" si="71">CE15-CC15</f>
        <v>0</v>
      </c>
    </row>
    <row r="16" spans="2:96" x14ac:dyDescent="0.2">
      <c r="B16" s="221">
        <f>'DATA INPUT - DETAIL'!D7</f>
        <v>1</v>
      </c>
      <c r="C16" s="211">
        <f>'DATA INPUT - DETAIL'!E7</f>
        <v>4</v>
      </c>
      <c r="D16" s="257">
        <f>'DATA INPUT - DETAIL'!I7</f>
        <v>0</v>
      </c>
      <c r="E16" s="258">
        <f>'DATA INPUT - DETAIL'!K7</f>
        <v>0</v>
      </c>
      <c r="F16" s="258">
        <f>'DATA INPUT - DETAIL'!L7</f>
        <v>0</v>
      </c>
      <c r="G16" s="179">
        <f>'DATA INPUT - DETAIL'!M7*(1+$V$5)</f>
        <v>0</v>
      </c>
      <c r="H16" s="179">
        <f>'DATA INPUT - DETAIL'!N7*(1+$V$5)</f>
        <v>1000</v>
      </c>
      <c r="I16" s="258">
        <f t="shared" ref="I16:I72" si="72">H16*(1+$M$5)^C16</f>
        <v>1008.5926220396894</v>
      </c>
      <c r="J16" s="258">
        <f>'DATA INPUT - DETAIL'!O7</f>
        <v>0</v>
      </c>
      <c r="K16" s="258">
        <f>'DATA INPUT - DETAIL'!P7</f>
        <v>0</v>
      </c>
      <c r="L16" s="267">
        <f>ROUNDDOWN('DATA INPUT - DETAIL'!G7,0)</f>
        <v>35</v>
      </c>
      <c r="M16" s="196">
        <f t="shared" si="25"/>
        <v>8.921042540299684E-5</v>
      </c>
      <c r="N16" s="196">
        <f t="shared" si="1"/>
        <v>0</v>
      </c>
      <c r="O16" s="196">
        <f t="shared" si="2"/>
        <v>0</v>
      </c>
      <c r="P16" s="196">
        <f t="shared" si="3"/>
        <v>0</v>
      </c>
      <c r="Q16" s="196">
        <f t="shared" si="4"/>
        <v>0</v>
      </c>
      <c r="R16" s="196">
        <f t="shared" si="5"/>
        <v>0</v>
      </c>
      <c r="S16" s="196">
        <f t="shared" si="6"/>
        <v>0</v>
      </c>
      <c r="T16" s="196">
        <f t="shared" si="7"/>
        <v>0</v>
      </c>
      <c r="U16" s="185">
        <f>(C16&gt;0)*(C16&lt;$E$5)*VLOOKUP(MPP,ASUMSI!$BN$77:$CR$108,B16+1)*(1+$V$4)</f>
        <v>8.3717735912058888E-4</v>
      </c>
      <c r="V16" s="196">
        <f t="shared" si="8"/>
        <v>0</v>
      </c>
      <c r="W16" s="196">
        <f t="shared" si="68"/>
        <v>0.99722341043439044</v>
      </c>
      <c r="X16" s="196">
        <f t="shared" si="69"/>
        <v>8.8962724666679291E-5</v>
      </c>
      <c r="Y16" s="196">
        <f t="shared" si="26"/>
        <v>8.3485286120069005E-4</v>
      </c>
      <c r="Z16" s="196">
        <f t="shared" si="27"/>
        <v>0</v>
      </c>
      <c r="AA16" s="185">
        <f t="shared" si="28"/>
        <v>0.99629959484852304</v>
      </c>
      <c r="AB16" s="196">
        <f t="shared" si="29"/>
        <v>0</v>
      </c>
      <c r="AC16" s="196">
        <f t="shared" si="29"/>
        <v>0</v>
      </c>
      <c r="AD16" s="196">
        <f t="shared" si="29"/>
        <v>0</v>
      </c>
      <c r="AE16" s="196">
        <f>Q16*$AA15</f>
        <v>0</v>
      </c>
      <c r="AF16" s="196">
        <f t="shared" si="30"/>
        <v>0</v>
      </c>
      <c r="AG16" s="196">
        <f t="shared" si="31"/>
        <v>0</v>
      </c>
      <c r="AH16" s="196">
        <f t="shared" si="32"/>
        <v>0</v>
      </c>
      <c r="AI16" s="266">
        <f>'DATA INPUT - DETAIL'!R7</f>
        <v>46873935.524899997</v>
      </c>
      <c r="AJ16" s="266">
        <f>'DATA INPUT - DETAIL'!S7</f>
        <v>0</v>
      </c>
      <c r="AK16" s="266">
        <f>'DATA INPUT - DETAIL'!T7</f>
        <v>0</v>
      </c>
      <c r="AL16" s="266">
        <f>'DATA INPUT - DETAIL'!U7</f>
        <v>0</v>
      </c>
      <c r="AM16" s="266">
        <f>'DATA INPUT - DETAIL'!V7</f>
        <v>0</v>
      </c>
      <c r="AN16" s="266">
        <f>'DATA INPUT - DETAIL'!W7</f>
        <v>0</v>
      </c>
      <c r="AO16" s="198">
        <f t="shared" si="10"/>
        <v>0</v>
      </c>
      <c r="AP16" s="266">
        <f>'DATA INPUT - DETAIL'!X7</f>
        <v>0</v>
      </c>
      <c r="AQ16" s="266">
        <f>'DATA INPUT - DETAIL'!Y7</f>
        <v>0</v>
      </c>
      <c r="AR16" s="266">
        <f>'DATA INPUT - DETAIL'!Z7</f>
        <v>0</v>
      </c>
      <c r="AS16" s="266">
        <f>'DATA INPUT - DETAIL'!AD7</f>
        <v>0</v>
      </c>
      <c r="AT16" s="266">
        <f t="shared" si="33"/>
        <v>0</v>
      </c>
      <c r="AU16" s="206">
        <f>'DATA INPUT - DETAIL'!AA7</f>
        <v>147200</v>
      </c>
      <c r="AV16" s="206">
        <f>'DATA INPUT - DETAIL'!AB7</f>
        <v>0</v>
      </c>
      <c r="AW16" s="206">
        <f>'DATA INPUT - DETAIL'!AC7</f>
        <v>0</v>
      </c>
      <c r="AX16" s="206">
        <f t="shared" si="11"/>
        <v>4170.0330201453553</v>
      </c>
      <c r="AY16" s="206">
        <f t="shared" si="34"/>
        <v>0</v>
      </c>
      <c r="AZ16" s="206">
        <f t="shared" si="35"/>
        <v>0</v>
      </c>
      <c r="BA16" s="206">
        <f t="shared" si="12"/>
        <v>0</v>
      </c>
      <c r="BB16" s="206">
        <f t="shared" si="13"/>
        <v>0</v>
      </c>
      <c r="BC16" s="206">
        <f t="shared" si="14"/>
        <v>0</v>
      </c>
      <c r="BD16" s="206">
        <f t="shared" si="15"/>
        <v>0</v>
      </c>
      <c r="BE16" s="206">
        <f t="shared" si="16"/>
        <v>0</v>
      </c>
      <c r="BF16" s="206">
        <f t="shared" si="17"/>
        <v>0</v>
      </c>
      <c r="BG16" s="206">
        <f t="shared" si="36"/>
        <v>122.89034116874157</v>
      </c>
      <c r="BH16" s="206">
        <f t="shared" si="18"/>
        <v>0</v>
      </c>
      <c r="BI16" s="206">
        <f t="shared" si="19"/>
        <v>0</v>
      </c>
      <c r="BJ16" s="266">
        <f t="shared" si="37"/>
        <v>4170.0330201453553</v>
      </c>
      <c r="BK16" s="266">
        <f t="shared" si="38"/>
        <v>122.89034116874157</v>
      </c>
      <c r="BL16" s="192">
        <f t="shared" si="39"/>
        <v>0</v>
      </c>
      <c r="BM16" s="192">
        <f t="shared" si="40"/>
        <v>0</v>
      </c>
      <c r="BN16" s="192">
        <f t="shared" si="41"/>
        <v>0</v>
      </c>
      <c r="BO16" s="192">
        <f t="shared" si="42"/>
        <v>1005.7921742893833</v>
      </c>
      <c r="BP16" s="192">
        <f t="shared" si="43"/>
        <v>1005.7921742893833</v>
      </c>
      <c r="BQ16" s="193">
        <f t="shared" si="44"/>
        <v>1005.7921742893833</v>
      </c>
      <c r="BR16" s="193">
        <f t="shared" si="45"/>
        <v>0</v>
      </c>
      <c r="BS16" s="265">
        <f t="shared" si="46"/>
        <v>72018.323833674571</v>
      </c>
      <c r="BT16" s="265">
        <f t="shared" si="47"/>
        <v>3100.1325844833877</v>
      </c>
      <c r="BU16" s="265">
        <f t="shared" si="48"/>
        <v>0</v>
      </c>
      <c r="BV16" s="265">
        <f t="shared" si="49"/>
        <v>0</v>
      </c>
      <c r="BW16" s="265">
        <f t="shared" si="50"/>
        <v>0</v>
      </c>
      <c r="BX16" s="265">
        <f t="shared" si="51"/>
        <v>31308.766749257396</v>
      </c>
      <c r="BY16" s="265">
        <f t="shared" si="52"/>
        <v>31308.766749257396</v>
      </c>
      <c r="BZ16" s="265">
        <f t="shared" si="53"/>
        <v>31308.766749257396</v>
      </c>
      <c r="CA16" s="265">
        <f t="shared" si="54"/>
        <v>0</v>
      </c>
      <c r="CB16" s="269">
        <f t="shared" si="55"/>
        <v>106427.22316741536</v>
      </c>
      <c r="CC16" s="266">
        <f t="shared" si="56"/>
        <v>106723.55066459547</v>
      </c>
      <c r="CD16" s="241"/>
      <c r="CE16" s="198">
        <f t="shared" si="70"/>
        <v>106723.55066459547</v>
      </c>
      <c r="CF16" s="198">
        <f t="shared" si="58"/>
        <v>0</v>
      </c>
      <c r="CG16" s="198">
        <f t="shared" si="59"/>
        <v>0</v>
      </c>
      <c r="CH16" s="198">
        <f t="shared" si="60"/>
        <v>-1008.5926220396894</v>
      </c>
      <c r="CI16" s="198">
        <f t="shared" si="61"/>
        <v>0</v>
      </c>
      <c r="CJ16" s="198">
        <f t="shared" si="62"/>
        <v>-4181.6437284889744</v>
      </c>
      <c r="CK16" s="198">
        <f t="shared" si="63"/>
        <v>-123.23250726255067</v>
      </c>
      <c r="CL16" s="198">
        <f t="shared" si="64"/>
        <v>461.81535176522016</v>
      </c>
      <c r="CM16" s="271">
        <f t="shared" si="65"/>
        <v>94.460388063576957</v>
      </c>
      <c r="CN16" s="198">
        <f t="shared" si="66"/>
        <v>101966.35754663307</v>
      </c>
      <c r="CO16" s="209">
        <f t="shared" si="71"/>
        <v>0</v>
      </c>
    </row>
    <row r="17" spans="2:93" x14ac:dyDescent="0.2">
      <c r="B17" s="221">
        <f>'DATA INPUT - DETAIL'!D8</f>
        <v>1</v>
      </c>
      <c r="C17" s="211">
        <f>'DATA INPUT - DETAIL'!E8</f>
        <v>5</v>
      </c>
      <c r="D17" s="257">
        <f>'DATA INPUT - DETAIL'!I8</f>
        <v>0</v>
      </c>
      <c r="E17" s="258">
        <f>'DATA INPUT - DETAIL'!K8</f>
        <v>0</v>
      </c>
      <c r="F17" s="258">
        <f>'DATA INPUT - DETAIL'!L8</f>
        <v>0</v>
      </c>
      <c r="G17" s="179">
        <f>'DATA INPUT - DETAIL'!M8*(1+$V$5)</f>
        <v>0</v>
      </c>
      <c r="H17" s="179">
        <f>'DATA INPUT - DETAIL'!N8*(1+$V$5)</f>
        <v>1000</v>
      </c>
      <c r="I17" s="258">
        <f t="shared" si="72"/>
        <v>1010.7522892905272</v>
      </c>
      <c r="J17" s="258">
        <f>'DATA INPUT - DETAIL'!O8</f>
        <v>0</v>
      </c>
      <c r="K17" s="258">
        <f>'DATA INPUT - DETAIL'!P8</f>
        <v>0</v>
      </c>
      <c r="L17" s="267">
        <f>ROUNDDOWN('DATA INPUT - DETAIL'!G8,0)</f>
        <v>35</v>
      </c>
      <c r="M17" s="196">
        <f t="shared" si="25"/>
        <v>8.921042540299684E-5</v>
      </c>
      <c r="N17" s="196">
        <f t="shared" si="1"/>
        <v>0</v>
      </c>
      <c r="O17" s="196">
        <f t="shared" si="2"/>
        <v>0</v>
      </c>
      <c r="P17" s="196">
        <f t="shared" si="3"/>
        <v>0</v>
      </c>
      <c r="Q17" s="196">
        <f t="shared" si="4"/>
        <v>0</v>
      </c>
      <c r="R17" s="196">
        <f t="shared" si="5"/>
        <v>0</v>
      </c>
      <c r="S17" s="196">
        <f t="shared" si="6"/>
        <v>0</v>
      </c>
      <c r="T17" s="196">
        <f t="shared" si="7"/>
        <v>0</v>
      </c>
      <c r="U17" s="185">
        <f>(C17&gt;0)*(C17&lt;$E$5)*VLOOKUP(MPP,ASUMSI!$BN$77:$CR$108,B17+1)*(1+$V$4)</f>
        <v>8.3717735912058888E-4</v>
      </c>
      <c r="V17" s="196">
        <f t="shared" si="8"/>
        <v>0</v>
      </c>
      <c r="W17" s="196">
        <f t="shared" si="68"/>
        <v>0.99629959484852304</v>
      </c>
      <c r="X17" s="196">
        <f t="shared" si="69"/>
        <v>8.8880310685270143E-5</v>
      </c>
      <c r="Y17" s="196">
        <f t="shared" si="26"/>
        <v>8.3407946370819917E-4</v>
      </c>
      <c r="Z17" s="196">
        <f t="shared" si="27"/>
        <v>0</v>
      </c>
      <c r="AA17" s="185">
        <f t="shared" si="28"/>
        <v>0.99537663507412955</v>
      </c>
      <c r="AB17" s="196">
        <f t="shared" si="29"/>
        <v>0</v>
      </c>
      <c r="AC17" s="196">
        <f t="shared" si="29"/>
        <v>0</v>
      </c>
      <c r="AD17" s="196">
        <f t="shared" si="29"/>
        <v>0</v>
      </c>
      <c r="AE17" s="196">
        <f>Q17*$AA16</f>
        <v>0</v>
      </c>
      <c r="AF17" s="196">
        <f t="shared" si="30"/>
        <v>0</v>
      </c>
      <c r="AG17" s="196">
        <f t="shared" si="31"/>
        <v>0</v>
      </c>
      <c r="AH17" s="196">
        <f t="shared" si="32"/>
        <v>0</v>
      </c>
      <c r="AI17" s="266">
        <f>'DATA INPUT - DETAIL'!R8</f>
        <v>45796988.615699999</v>
      </c>
      <c r="AJ17" s="266">
        <f>'DATA INPUT - DETAIL'!S8</f>
        <v>0</v>
      </c>
      <c r="AK17" s="266">
        <f>'DATA INPUT - DETAIL'!T8</f>
        <v>0</v>
      </c>
      <c r="AL17" s="266">
        <f>'DATA INPUT - DETAIL'!U8</f>
        <v>0</v>
      </c>
      <c r="AM17" s="266">
        <f>'DATA INPUT - DETAIL'!V8</f>
        <v>0</v>
      </c>
      <c r="AN17" s="266">
        <f>'DATA INPUT - DETAIL'!W8</f>
        <v>0</v>
      </c>
      <c r="AO17" s="198">
        <f t="shared" si="10"/>
        <v>0</v>
      </c>
      <c r="AP17" s="266">
        <f>'DATA INPUT - DETAIL'!X8</f>
        <v>0</v>
      </c>
      <c r="AQ17" s="266">
        <f>'DATA INPUT - DETAIL'!Y8</f>
        <v>0</v>
      </c>
      <c r="AR17" s="266">
        <f>'DATA INPUT - DETAIL'!Z8</f>
        <v>0</v>
      </c>
      <c r="AS17" s="266">
        <f>'DATA INPUT - DETAIL'!AD8</f>
        <v>0</v>
      </c>
      <c r="AT17" s="266">
        <f t="shared" si="33"/>
        <v>0</v>
      </c>
      <c r="AU17" s="206">
        <f>'DATA INPUT - DETAIL'!AA8</f>
        <v>142600</v>
      </c>
      <c r="AV17" s="206">
        <f>'DATA INPUT - DETAIL'!AB8</f>
        <v>0</v>
      </c>
      <c r="AW17" s="206">
        <f>'DATA INPUT - DETAIL'!AC8</f>
        <v>0</v>
      </c>
      <c r="AX17" s="206">
        <f t="shared" si="11"/>
        <v>4070.4505766131956</v>
      </c>
      <c r="AY17" s="206">
        <f t="shared" si="34"/>
        <v>0</v>
      </c>
      <c r="AZ17" s="206">
        <f t="shared" si="35"/>
        <v>0</v>
      </c>
      <c r="BA17" s="206">
        <f t="shared" si="12"/>
        <v>0</v>
      </c>
      <c r="BB17" s="206">
        <f t="shared" si="13"/>
        <v>0</v>
      </c>
      <c r="BC17" s="206">
        <f t="shared" si="14"/>
        <v>0</v>
      </c>
      <c r="BD17" s="206">
        <f t="shared" si="15"/>
        <v>0</v>
      </c>
      <c r="BE17" s="206">
        <f t="shared" si="16"/>
        <v>0</v>
      </c>
      <c r="BF17" s="206">
        <f t="shared" si="17"/>
        <v>0</v>
      </c>
      <c r="BG17" s="206">
        <f t="shared" si="36"/>
        <v>118.9397315247892</v>
      </c>
      <c r="BH17" s="206">
        <f t="shared" si="18"/>
        <v>0</v>
      </c>
      <c r="BI17" s="206">
        <f t="shared" si="19"/>
        <v>0</v>
      </c>
      <c r="BJ17" s="266">
        <f t="shared" si="37"/>
        <v>4070.4505766131956</v>
      </c>
      <c r="BK17" s="266">
        <f t="shared" si="38"/>
        <v>118.9397315247892</v>
      </c>
      <c r="BL17" s="192">
        <f t="shared" si="39"/>
        <v>0</v>
      </c>
      <c r="BM17" s="192">
        <f t="shared" si="40"/>
        <v>0</v>
      </c>
      <c r="BN17" s="192">
        <f t="shared" si="41"/>
        <v>0</v>
      </c>
      <c r="BO17" s="192">
        <f t="shared" si="42"/>
        <v>1007.0120963123694</v>
      </c>
      <c r="BP17" s="192">
        <f t="shared" si="43"/>
        <v>1007.0120963123694</v>
      </c>
      <c r="BQ17" s="193">
        <f t="shared" si="44"/>
        <v>1007.0120963123694</v>
      </c>
      <c r="BR17" s="193">
        <f t="shared" si="45"/>
        <v>0</v>
      </c>
      <c r="BS17" s="265">
        <f t="shared" si="46"/>
        <v>68162.902559781825</v>
      </c>
      <c r="BT17" s="265">
        <f t="shared" si="47"/>
        <v>2990.7851595351276</v>
      </c>
      <c r="BU17" s="265">
        <f t="shared" si="48"/>
        <v>0</v>
      </c>
      <c r="BV17" s="265">
        <f t="shared" si="49"/>
        <v>0</v>
      </c>
      <c r="BW17" s="265">
        <f t="shared" si="50"/>
        <v>0</v>
      </c>
      <c r="BX17" s="265">
        <f t="shared" si="51"/>
        <v>30435.352992573189</v>
      </c>
      <c r="BY17" s="265">
        <f t="shared" si="52"/>
        <v>30435.352992573189</v>
      </c>
      <c r="BZ17" s="265">
        <f t="shared" si="53"/>
        <v>30435.352992573189</v>
      </c>
      <c r="CA17" s="265">
        <f t="shared" si="54"/>
        <v>0</v>
      </c>
      <c r="CB17" s="269">
        <f t="shared" si="55"/>
        <v>101589.04071189013</v>
      </c>
      <c r="CC17" s="266">
        <f t="shared" si="56"/>
        <v>101966.35754663304</v>
      </c>
      <c r="CD17" s="241"/>
      <c r="CE17" s="198">
        <f t="shared" si="70"/>
        <v>101966.35754663307</v>
      </c>
      <c r="CF17" s="198">
        <f t="shared" si="58"/>
        <v>0</v>
      </c>
      <c r="CG17" s="198">
        <f t="shared" si="59"/>
        <v>0</v>
      </c>
      <c r="CH17" s="198">
        <f t="shared" si="60"/>
        <v>-1010.7522892905272</v>
      </c>
      <c r="CI17" s="198">
        <f t="shared" si="61"/>
        <v>0</v>
      </c>
      <c r="CJ17" s="198">
        <f t="shared" si="62"/>
        <v>-4085.5688365828005</v>
      </c>
      <c r="CK17" s="198">
        <f t="shared" si="63"/>
        <v>-119.38149141059597</v>
      </c>
      <c r="CL17" s="198">
        <f t="shared" si="64"/>
        <v>441.02413904210442</v>
      </c>
      <c r="CM17" s="271">
        <f t="shared" si="65"/>
        <v>90.120670934984688</v>
      </c>
      <c r="CN17" s="198">
        <f t="shared" si="66"/>
        <v>97281.799739326234</v>
      </c>
      <c r="CO17" s="209">
        <f t="shared" si="71"/>
        <v>0</v>
      </c>
    </row>
    <row r="18" spans="2:93" x14ac:dyDescent="0.2">
      <c r="B18" s="221">
        <f>'DATA INPUT - DETAIL'!D9</f>
        <v>1</v>
      </c>
      <c r="C18" s="211">
        <f>'DATA INPUT - DETAIL'!E9</f>
        <v>6</v>
      </c>
      <c r="D18" s="257">
        <f>'DATA INPUT - DETAIL'!I9</f>
        <v>0</v>
      </c>
      <c r="E18" s="258">
        <f>'DATA INPUT - DETAIL'!K9</f>
        <v>0</v>
      </c>
      <c r="F18" s="258">
        <f>'DATA INPUT - DETAIL'!L9</f>
        <v>0</v>
      </c>
      <c r="G18" s="179">
        <f>'DATA INPUT - DETAIL'!M9*(1+$V$5)</f>
        <v>0</v>
      </c>
      <c r="H18" s="179">
        <f>'DATA INPUT - DETAIL'!N9*(1+$V$5)</f>
        <v>1000</v>
      </c>
      <c r="I18" s="258">
        <f t="shared" si="72"/>
        <v>1012.9165809680487</v>
      </c>
      <c r="J18" s="258">
        <f>'DATA INPUT - DETAIL'!O9</f>
        <v>0</v>
      </c>
      <c r="K18" s="258">
        <f>'DATA INPUT - DETAIL'!P9</f>
        <v>0</v>
      </c>
      <c r="L18" s="267">
        <f>ROUNDDOWN('DATA INPUT - DETAIL'!G9,0)</f>
        <v>35</v>
      </c>
      <c r="M18" s="196">
        <f t="shared" si="25"/>
        <v>8.921042540299684E-5</v>
      </c>
      <c r="N18" s="196">
        <f t="shared" si="1"/>
        <v>0</v>
      </c>
      <c r="O18" s="196">
        <f t="shared" si="2"/>
        <v>0</v>
      </c>
      <c r="P18" s="196">
        <f t="shared" si="3"/>
        <v>0</v>
      </c>
      <c r="Q18" s="196">
        <f t="shared" si="4"/>
        <v>0</v>
      </c>
      <c r="R18" s="196">
        <f t="shared" si="5"/>
        <v>0</v>
      </c>
      <c r="S18" s="196">
        <f t="shared" si="6"/>
        <v>0</v>
      </c>
      <c r="T18" s="196">
        <f t="shared" si="7"/>
        <v>0</v>
      </c>
      <c r="U18" s="185">
        <f>(C18&gt;0)*(C18&lt;$E$5)*VLOOKUP(MPP,ASUMSI!$BN$77:$CR$108,B18+1)*(1+$V$4)</f>
        <v>8.3717735912058888E-4</v>
      </c>
      <c r="V18" s="196">
        <f t="shared" si="8"/>
        <v>0</v>
      </c>
      <c r="W18" s="196">
        <f t="shared" si="68"/>
        <v>0.99537663507412955</v>
      </c>
      <c r="X18" s="196">
        <f t="shared" si="69"/>
        <v>8.8797973051166643E-5</v>
      </c>
      <c r="Y18" s="196">
        <f t="shared" si="26"/>
        <v>8.333067826816979E-4</v>
      </c>
      <c r="Z18" s="196">
        <f t="shared" si="27"/>
        <v>0</v>
      </c>
      <c r="AA18" s="185">
        <f t="shared" si="28"/>
        <v>0.9944545303183967</v>
      </c>
      <c r="AB18" s="196">
        <f t="shared" si="29"/>
        <v>0</v>
      </c>
      <c r="AC18" s="196">
        <f t="shared" si="29"/>
        <v>0</v>
      </c>
      <c r="AD18" s="196">
        <f t="shared" si="29"/>
        <v>0</v>
      </c>
      <c r="AE18" s="196">
        <f t="shared" ref="AE18:AE43" si="73">Q18*$AA17</f>
        <v>0</v>
      </c>
      <c r="AF18" s="196">
        <f t="shared" si="30"/>
        <v>0</v>
      </c>
      <c r="AG18" s="196">
        <f t="shared" si="31"/>
        <v>0</v>
      </c>
      <c r="AH18" s="196">
        <f t="shared" si="32"/>
        <v>0</v>
      </c>
      <c r="AI18" s="266">
        <f>'DATA INPUT - DETAIL'!R9</f>
        <v>44702092.591300003</v>
      </c>
      <c r="AJ18" s="266">
        <f>'DATA INPUT - DETAIL'!S9</f>
        <v>0</v>
      </c>
      <c r="AK18" s="266">
        <f>'DATA INPUT - DETAIL'!T9</f>
        <v>0</v>
      </c>
      <c r="AL18" s="266">
        <f>'DATA INPUT - DETAIL'!U9</f>
        <v>0</v>
      </c>
      <c r="AM18" s="266">
        <f>'DATA INPUT - DETAIL'!V9</f>
        <v>0</v>
      </c>
      <c r="AN18" s="266">
        <f>'DATA INPUT - DETAIL'!W9</f>
        <v>0</v>
      </c>
      <c r="AO18" s="198">
        <f t="shared" si="10"/>
        <v>0</v>
      </c>
      <c r="AP18" s="266">
        <f>'DATA INPUT - DETAIL'!X9</f>
        <v>0</v>
      </c>
      <c r="AQ18" s="266">
        <f>'DATA INPUT - DETAIL'!Y9</f>
        <v>0</v>
      </c>
      <c r="AR18" s="266">
        <f>'DATA INPUT - DETAIL'!Z9</f>
        <v>0</v>
      </c>
      <c r="AS18" s="266">
        <f>'DATA INPUT - DETAIL'!AD9</f>
        <v>0</v>
      </c>
      <c r="AT18" s="266">
        <f t="shared" si="33"/>
        <v>0</v>
      </c>
      <c r="AU18" s="206">
        <f>'DATA INPUT - DETAIL'!AA9</f>
        <v>138000</v>
      </c>
      <c r="AV18" s="206">
        <f>'DATA INPUT - DETAIL'!AB9</f>
        <v>0</v>
      </c>
      <c r="AW18" s="206">
        <f>'DATA INPUT - DETAIL'!AC9</f>
        <v>0</v>
      </c>
      <c r="AX18" s="206">
        <f t="shared" si="11"/>
        <v>3969.4552132530139</v>
      </c>
      <c r="AY18" s="206">
        <f t="shared" si="34"/>
        <v>0</v>
      </c>
      <c r="AZ18" s="206">
        <f t="shared" si="35"/>
        <v>0</v>
      </c>
      <c r="BA18" s="206">
        <f t="shared" si="12"/>
        <v>0</v>
      </c>
      <c r="BB18" s="206">
        <f t="shared" si="13"/>
        <v>0</v>
      </c>
      <c r="BC18" s="206">
        <f t="shared" si="14"/>
        <v>0</v>
      </c>
      <c r="BD18" s="206">
        <f t="shared" si="15"/>
        <v>0</v>
      </c>
      <c r="BE18" s="206">
        <f t="shared" si="16"/>
        <v>0</v>
      </c>
      <c r="BF18" s="206">
        <f t="shared" si="17"/>
        <v>0</v>
      </c>
      <c r="BG18" s="206">
        <f t="shared" si="36"/>
        <v>114.99633601007432</v>
      </c>
      <c r="BH18" s="206">
        <f t="shared" si="18"/>
        <v>0</v>
      </c>
      <c r="BI18" s="206">
        <f t="shared" si="19"/>
        <v>0</v>
      </c>
      <c r="BJ18" s="266">
        <f t="shared" si="37"/>
        <v>3969.4552132530139</v>
      </c>
      <c r="BK18" s="266">
        <f t="shared" si="38"/>
        <v>114.99633601007432</v>
      </c>
      <c r="BL18" s="192">
        <f t="shared" si="39"/>
        <v>0</v>
      </c>
      <c r="BM18" s="192">
        <f t="shared" si="40"/>
        <v>0</v>
      </c>
      <c r="BN18" s="192">
        <f t="shared" si="41"/>
        <v>0</v>
      </c>
      <c r="BO18" s="192">
        <f t="shared" si="42"/>
        <v>1008.2334979747684</v>
      </c>
      <c r="BP18" s="192">
        <f t="shared" si="43"/>
        <v>1008.2334979747684</v>
      </c>
      <c r="BQ18" s="193">
        <f t="shared" si="44"/>
        <v>1008.2334979747684</v>
      </c>
      <c r="BR18" s="193">
        <f t="shared" si="45"/>
        <v>0</v>
      </c>
      <c r="BS18" s="265">
        <f t="shared" si="46"/>
        <v>64390.221337722149</v>
      </c>
      <c r="BT18" s="265">
        <f t="shared" si="47"/>
        <v>2884.9106604625795</v>
      </c>
      <c r="BU18" s="265">
        <f t="shared" si="48"/>
        <v>0</v>
      </c>
      <c r="BV18" s="265">
        <f t="shared" si="49"/>
        <v>0</v>
      </c>
      <c r="BW18" s="265">
        <f t="shared" si="50"/>
        <v>0</v>
      </c>
      <c r="BX18" s="265">
        <f t="shared" si="51"/>
        <v>29556.898480301126</v>
      </c>
      <c r="BY18" s="265">
        <f t="shared" si="52"/>
        <v>29556.898480301126</v>
      </c>
      <c r="BZ18" s="265">
        <f t="shared" si="53"/>
        <v>29556.898480301126</v>
      </c>
      <c r="CA18" s="265">
        <f t="shared" si="54"/>
        <v>0</v>
      </c>
      <c r="CB18" s="269">
        <f t="shared" si="55"/>
        <v>96832.03047848586</v>
      </c>
      <c r="CC18" s="266">
        <f t="shared" si="56"/>
        <v>97281.799739326219</v>
      </c>
      <c r="CD18" s="241"/>
      <c r="CE18" s="198">
        <f t="shared" si="70"/>
        <v>97281.799739326234</v>
      </c>
      <c r="CF18" s="198">
        <f t="shared" si="58"/>
        <v>0</v>
      </c>
      <c r="CG18" s="198">
        <f t="shared" si="59"/>
        <v>0</v>
      </c>
      <c r="CH18" s="198">
        <f t="shared" si="60"/>
        <v>-1012.9165809680487</v>
      </c>
      <c r="CI18" s="198">
        <f t="shared" si="61"/>
        <v>0</v>
      </c>
      <c r="CJ18" s="198">
        <f t="shared" si="62"/>
        <v>-3987.8926964740267</v>
      </c>
      <c r="CK18" s="198">
        <f t="shared" si="63"/>
        <v>-115.53047555864127</v>
      </c>
      <c r="CL18" s="198">
        <f t="shared" si="64"/>
        <v>420.55021316780193</v>
      </c>
      <c r="CM18" s="271">
        <f t="shared" si="65"/>
        <v>85.850079331372058</v>
      </c>
      <c r="CN18" s="198">
        <f t="shared" si="66"/>
        <v>92671.860278824708</v>
      </c>
      <c r="CO18" s="209">
        <f t="shared" si="71"/>
        <v>0</v>
      </c>
    </row>
    <row r="19" spans="2:93" x14ac:dyDescent="0.2">
      <c r="B19" s="221">
        <f>'DATA INPUT - DETAIL'!D10</f>
        <v>1</v>
      </c>
      <c r="C19" s="211">
        <f>'DATA INPUT - DETAIL'!E10</f>
        <v>7</v>
      </c>
      <c r="D19" s="257">
        <f>'DATA INPUT - DETAIL'!I10</f>
        <v>0</v>
      </c>
      <c r="E19" s="258">
        <f>'DATA INPUT - DETAIL'!K10</f>
        <v>0</v>
      </c>
      <c r="F19" s="258">
        <f>'DATA INPUT - DETAIL'!L10</f>
        <v>0</v>
      </c>
      <c r="G19" s="179">
        <f>'DATA INPUT - DETAIL'!M10*(1+$V$5)</f>
        <v>0</v>
      </c>
      <c r="H19" s="179">
        <f>'DATA INPUT - DETAIL'!N10*(1+$V$5)</f>
        <v>1000</v>
      </c>
      <c r="I19" s="258">
        <f t="shared" si="72"/>
        <v>1015.0855069743914</v>
      </c>
      <c r="J19" s="258">
        <f>'DATA INPUT - DETAIL'!O10</f>
        <v>0</v>
      </c>
      <c r="K19" s="258">
        <f>'DATA INPUT - DETAIL'!P10</f>
        <v>0</v>
      </c>
      <c r="L19" s="267">
        <f>ROUNDDOWN('DATA INPUT - DETAIL'!G10,0)</f>
        <v>35</v>
      </c>
      <c r="M19" s="196">
        <f t="shared" si="25"/>
        <v>8.921042540299684E-5</v>
      </c>
      <c r="N19" s="196">
        <f t="shared" si="1"/>
        <v>0</v>
      </c>
      <c r="O19" s="196">
        <f t="shared" si="2"/>
        <v>0</v>
      </c>
      <c r="P19" s="196">
        <f t="shared" si="3"/>
        <v>0</v>
      </c>
      <c r="Q19" s="196">
        <f t="shared" si="4"/>
        <v>0</v>
      </c>
      <c r="R19" s="196">
        <f t="shared" si="5"/>
        <v>0</v>
      </c>
      <c r="S19" s="196">
        <f t="shared" si="6"/>
        <v>0</v>
      </c>
      <c r="T19" s="196">
        <f t="shared" si="7"/>
        <v>0</v>
      </c>
      <c r="U19" s="185">
        <f>(C19&gt;0)*(C19&lt;$E$5)*VLOOKUP(MPP,ASUMSI!$BN$77:$CR$108,B19+1)*(1+$V$4)</f>
        <v>8.3717735912058888E-4</v>
      </c>
      <c r="V19" s="196">
        <f t="shared" si="8"/>
        <v>0</v>
      </c>
      <c r="W19" s="196">
        <f t="shared" si="68"/>
        <v>0.9944545303183967</v>
      </c>
      <c r="X19" s="196">
        <f t="shared" si="69"/>
        <v>8.8715711693641594E-5</v>
      </c>
      <c r="Y19" s="196">
        <f t="shared" si="26"/>
        <v>8.3253481745746089E-4</v>
      </c>
      <c r="Z19" s="196">
        <f t="shared" si="27"/>
        <v>0</v>
      </c>
      <c r="AA19" s="185">
        <f t="shared" si="28"/>
        <v>0.99353327978924555</v>
      </c>
      <c r="AB19" s="196">
        <f t="shared" si="29"/>
        <v>0</v>
      </c>
      <c r="AC19" s="196">
        <f t="shared" si="29"/>
        <v>0</v>
      </c>
      <c r="AD19" s="196">
        <f t="shared" si="29"/>
        <v>0</v>
      </c>
      <c r="AE19" s="196">
        <f t="shared" si="73"/>
        <v>0</v>
      </c>
      <c r="AF19" s="196">
        <f t="shared" si="30"/>
        <v>0</v>
      </c>
      <c r="AG19" s="196">
        <f t="shared" si="31"/>
        <v>0</v>
      </c>
      <c r="AH19" s="196">
        <f t="shared" si="32"/>
        <v>0</v>
      </c>
      <c r="AI19" s="266">
        <f>'DATA INPUT - DETAIL'!R10</f>
        <v>43588948.299800001</v>
      </c>
      <c r="AJ19" s="266">
        <f>'DATA INPUT - DETAIL'!S10</f>
        <v>0</v>
      </c>
      <c r="AK19" s="266">
        <f>'DATA INPUT - DETAIL'!T10</f>
        <v>0</v>
      </c>
      <c r="AL19" s="266">
        <f>'DATA INPUT - DETAIL'!U10</f>
        <v>0</v>
      </c>
      <c r="AM19" s="266">
        <f>'DATA INPUT - DETAIL'!V10</f>
        <v>0</v>
      </c>
      <c r="AN19" s="266">
        <f>'DATA INPUT - DETAIL'!W10</f>
        <v>0</v>
      </c>
      <c r="AO19" s="198">
        <f t="shared" si="10"/>
        <v>0</v>
      </c>
      <c r="AP19" s="266">
        <f>'DATA INPUT - DETAIL'!X10</f>
        <v>0</v>
      </c>
      <c r="AQ19" s="266">
        <f>'DATA INPUT - DETAIL'!Y10</f>
        <v>0</v>
      </c>
      <c r="AR19" s="266">
        <f>'DATA INPUT - DETAIL'!Z10</f>
        <v>0</v>
      </c>
      <c r="AS19" s="266">
        <f>'DATA INPUT - DETAIL'!AD10</f>
        <v>0</v>
      </c>
      <c r="AT19" s="266">
        <f t="shared" si="33"/>
        <v>0</v>
      </c>
      <c r="AU19" s="206">
        <f>'DATA INPUT - DETAIL'!AA10</f>
        <v>133400</v>
      </c>
      <c r="AV19" s="206">
        <f>'DATA INPUT - DETAIL'!AB10</f>
        <v>0</v>
      </c>
      <c r="AW19" s="206">
        <f>'DATA INPUT - DETAIL'!AC10</f>
        <v>0</v>
      </c>
      <c r="AX19" s="206">
        <f t="shared" si="11"/>
        <v>3867.0245703941059</v>
      </c>
      <c r="AY19" s="206">
        <f t="shared" si="34"/>
        <v>0</v>
      </c>
      <c r="AZ19" s="206">
        <f t="shared" si="35"/>
        <v>0</v>
      </c>
      <c r="BA19" s="206">
        <f t="shared" si="12"/>
        <v>0</v>
      </c>
      <c r="BB19" s="206">
        <f t="shared" si="13"/>
        <v>0</v>
      </c>
      <c r="BC19" s="206">
        <f t="shared" si="14"/>
        <v>0</v>
      </c>
      <c r="BD19" s="206">
        <f t="shared" si="15"/>
        <v>0</v>
      </c>
      <c r="BE19" s="206">
        <f t="shared" si="16"/>
        <v>0</v>
      </c>
      <c r="BF19" s="206">
        <f t="shared" si="17"/>
        <v>0</v>
      </c>
      <c r="BG19" s="206">
        <f t="shared" si="36"/>
        <v>111.06014464882529</v>
      </c>
      <c r="BH19" s="206">
        <f t="shared" si="18"/>
        <v>0</v>
      </c>
      <c r="BI19" s="206">
        <f t="shared" si="19"/>
        <v>0</v>
      </c>
      <c r="BJ19" s="266">
        <f t="shared" si="37"/>
        <v>3867.0245703941059</v>
      </c>
      <c r="BK19" s="266">
        <f t="shared" si="38"/>
        <v>111.06014464882529</v>
      </c>
      <c r="BL19" s="192">
        <f t="shared" si="39"/>
        <v>0</v>
      </c>
      <c r="BM19" s="192">
        <f t="shared" si="40"/>
        <v>0</v>
      </c>
      <c r="BN19" s="192">
        <f t="shared" si="41"/>
        <v>0</v>
      </c>
      <c r="BO19" s="192">
        <f t="shared" si="42"/>
        <v>1009.45638107123</v>
      </c>
      <c r="BP19" s="192">
        <f t="shared" si="43"/>
        <v>1009.45638107123</v>
      </c>
      <c r="BQ19" s="193">
        <f t="shared" si="44"/>
        <v>1009.45638107123</v>
      </c>
      <c r="BR19" s="193">
        <f t="shared" si="45"/>
        <v>0</v>
      </c>
      <c r="BS19" s="265">
        <f t="shared" si="46"/>
        <v>60702.054536893702</v>
      </c>
      <c r="BT19" s="265">
        <f t="shared" si="47"/>
        <v>2782.5170445986596</v>
      </c>
      <c r="BU19" s="265">
        <f t="shared" si="48"/>
        <v>0</v>
      </c>
      <c r="BV19" s="265">
        <f t="shared" si="49"/>
        <v>0</v>
      </c>
      <c r="BW19" s="265">
        <f t="shared" si="50"/>
        <v>0</v>
      </c>
      <c r="BX19" s="265">
        <f t="shared" si="51"/>
        <v>28673.379705818308</v>
      </c>
      <c r="BY19" s="265">
        <f t="shared" si="52"/>
        <v>28673.379705818308</v>
      </c>
      <c r="BZ19" s="265">
        <f t="shared" si="53"/>
        <v>28673.379705818308</v>
      </c>
      <c r="CA19" s="265">
        <f t="shared" si="54"/>
        <v>0</v>
      </c>
      <c r="CB19" s="269">
        <f t="shared" si="55"/>
        <v>92157.951287310672</v>
      </c>
      <c r="CC19" s="266">
        <f t="shared" si="56"/>
        <v>92671.860278824664</v>
      </c>
      <c r="CD19" s="241"/>
      <c r="CE19" s="198">
        <f t="shared" si="70"/>
        <v>92671.860278824708</v>
      </c>
      <c r="CF19" s="198">
        <f t="shared" si="58"/>
        <v>0</v>
      </c>
      <c r="CG19" s="198">
        <f t="shared" si="59"/>
        <v>0</v>
      </c>
      <c r="CH19" s="198">
        <f t="shared" si="60"/>
        <v>-1015.0855069743914</v>
      </c>
      <c r="CI19" s="198">
        <f t="shared" si="61"/>
        <v>0</v>
      </c>
      <c r="CJ19" s="198">
        <f t="shared" si="62"/>
        <v>-3888.5886206943942</v>
      </c>
      <c r="CK19" s="198">
        <f t="shared" si="63"/>
        <v>-111.67945970668656</v>
      </c>
      <c r="CL19" s="198">
        <f t="shared" si="64"/>
        <v>400.40223698417577</v>
      </c>
      <c r="CM19" s="271">
        <f t="shared" si="65"/>
        <v>81.65048478592216</v>
      </c>
      <c r="CN19" s="198">
        <f t="shared" si="66"/>
        <v>88138.559413219322</v>
      </c>
      <c r="CO19" s="209">
        <f t="shared" si="71"/>
        <v>0</v>
      </c>
    </row>
    <row r="20" spans="2:93" x14ac:dyDescent="0.2">
      <c r="B20" s="221">
        <f>'DATA INPUT - DETAIL'!D11</f>
        <v>1</v>
      </c>
      <c r="C20" s="211">
        <f>'DATA INPUT - DETAIL'!E11</f>
        <v>8</v>
      </c>
      <c r="D20" s="257">
        <f>'DATA INPUT - DETAIL'!I11</f>
        <v>0</v>
      </c>
      <c r="E20" s="258">
        <f>'DATA INPUT - DETAIL'!K11</f>
        <v>0</v>
      </c>
      <c r="F20" s="258">
        <f>'DATA INPUT - DETAIL'!L11</f>
        <v>0</v>
      </c>
      <c r="G20" s="179">
        <f>'DATA INPUT - DETAIL'!M11*(1+$V$5)</f>
        <v>0</v>
      </c>
      <c r="H20" s="179">
        <f>'DATA INPUT - DETAIL'!N11*(1+$V$5)</f>
        <v>1000</v>
      </c>
      <c r="I20" s="258">
        <f t="shared" si="72"/>
        <v>1017.2590772328959</v>
      </c>
      <c r="J20" s="258">
        <f>'DATA INPUT - DETAIL'!O11</f>
        <v>0</v>
      </c>
      <c r="K20" s="258">
        <f>'DATA INPUT - DETAIL'!P11</f>
        <v>0</v>
      </c>
      <c r="L20" s="267">
        <f>ROUNDDOWN('DATA INPUT - DETAIL'!G11,0)</f>
        <v>35</v>
      </c>
      <c r="M20" s="196">
        <f t="shared" si="25"/>
        <v>8.921042540299684E-5</v>
      </c>
      <c r="N20" s="196">
        <f t="shared" si="1"/>
        <v>0</v>
      </c>
      <c r="O20" s="196">
        <f t="shared" si="2"/>
        <v>0</v>
      </c>
      <c r="P20" s="196">
        <f t="shared" si="3"/>
        <v>0</v>
      </c>
      <c r="Q20" s="196">
        <f t="shared" si="4"/>
        <v>0</v>
      </c>
      <c r="R20" s="196">
        <f t="shared" si="5"/>
        <v>0</v>
      </c>
      <c r="S20" s="196">
        <f t="shared" si="6"/>
        <v>0</v>
      </c>
      <c r="T20" s="196">
        <f t="shared" si="7"/>
        <v>0</v>
      </c>
      <c r="U20" s="185">
        <f>(C20&gt;0)*(C20&lt;$E$5)*VLOOKUP(MPP,ASUMSI!$BN$77:$CR$108,B20+1)*(1+$V$4)</f>
        <v>8.3717735912058888E-4</v>
      </c>
      <c r="V20" s="196">
        <f t="shared" si="8"/>
        <v>0</v>
      </c>
      <c r="W20" s="196">
        <f t="shared" si="68"/>
        <v>0.99353327978924555</v>
      </c>
      <c r="X20" s="196">
        <f t="shared" si="69"/>
        <v>8.8633526542033272E-5</v>
      </c>
      <c r="Y20" s="196">
        <f t="shared" si="26"/>
        <v>8.3176356737237772E-4</v>
      </c>
      <c r="Z20" s="196">
        <f t="shared" si="27"/>
        <v>0</v>
      </c>
      <c r="AA20" s="185">
        <f t="shared" si="28"/>
        <v>0.9926128826953311</v>
      </c>
      <c r="AB20" s="196">
        <f t="shared" si="29"/>
        <v>0</v>
      </c>
      <c r="AC20" s="196">
        <f t="shared" si="29"/>
        <v>0</v>
      </c>
      <c r="AD20" s="196">
        <f t="shared" si="29"/>
        <v>0</v>
      </c>
      <c r="AE20" s="196">
        <f t="shared" si="73"/>
        <v>0</v>
      </c>
      <c r="AF20" s="196">
        <f t="shared" si="30"/>
        <v>0</v>
      </c>
      <c r="AG20" s="196">
        <f t="shared" si="31"/>
        <v>0</v>
      </c>
      <c r="AH20" s="196">
        <f t="shared" si="32"/>
        <v>0</v>
      </c>
      <c r="AI20" s="266">
        <f>'DATA INPUT - DETAIL'!R11</f>
        <v>42457251.603500001</v>
      </c>
      <c r="AJ20" s="266">
        <f>'DATA INPUT - DETAIL'!S11</f>
        <v>0</v>
      </c>
      <c r="AK20" s="266">
        <f>'DATA INPUT - DETAIL'!T11</f>
        <v>0</v>
      </c>
      <c r="AL20" s="266">
        <f>'DATA INPUT - DETAIL'!U11</f>
        <v>0</v>
      </c>
      <c r="AM20" s="266">
        <f>'DATA INPUT - DETAIL'!V11</f>
        <v>0</v>
      </c>
      <c r="AN20" s="266">
        <f>'DATA INPUT - DETAIL'!W11</f>
        <v>0</v>
      </c>
      <c r="AO20" s="198">
        <f t="shared" si="10"/>
        <v>0</v>
      </c>
      <c r="AP20" s="266">
        <f>'DATA INPUT - DETAIL'!X11</f>
        <v>0</v>
      </c>
      <c r="AQ20" s="266">
        <f>'DATA INPUT - DETAIL'!Y11</f>
        <v>0</v>
      </c>
      <c r="AR20" s="266">
        <f>'DATA INPUT - DETAIL'!Z11</f>
        <v>0</v>
      </c>
      <c r="AS20" s="266">
        <f>'DATA INPUT - DETAIL'!AD11</f>
        <v>0</v>
      </c>
      <c r="AT20" s="266">
        <f t="shared" si="33"/>
        <v>0</v>
      </c>
      <c r="AU20" s="206">
        <f>'DATA INPUT - DETAIL'!AA11</f>
        <v>128800</v>
      </c>
      <c r="AV20" s="206">
        <f>'DATA INPUT - DETAIL'!AB11</f>
        <v>0</v>
      </c>
      <c r="AW20" s="206">
        <f>'DATA INPUT - DETAIL'!AC11</f>
        <v>0</v>
      </c>
      <c r="AX20" s="206">
        <f t="shared" si="11"/>
        <v>3763.1359369006022</v>
      </c>
      <c r="AY20" s="206">
        <f t="shared" si="34"/>
        <v>0</v>
      </c>
      <c r="AZ20" s="206">
        <f t="shared" si="35"/>
        <v>0</v>
      </c>
      <c r="BA20" s="206">
        <f t="shared" si="12"/>
        <v>0</v>
      </c>
      <c r="BB20" s="206">
        <f t="shared" si="13"/>
        <v>0</v>
      </c>
      <c r="BC20" s="206">
        <f t="shared" si="14"/>
        <v>0</v>
      </c>
      <c r="BD20" s="206">
        <f t="shared" si="15"/>
        <v>0</v>
      </c>
      <c r="BE20" s="206">
        <f t="shared" si="16"/>
        <v>0</v>
      </c>
      <c r="BF20" s="206">
        <f t="shared" si="17"/>
        <v>0</v>
      </c>
      <c r="BG20" s="206">
        <f t="shared" si="36"/>
        <v>107.13114747756225</v>
      </c>
      <c r="BH20" s="206">
        <f t="shared" si="18"/>
        <v>0</v>
      </c>
      <c r="BI20" s="206">
        <f t="shared" si="19"/>
        <v>0</v>
      </c>
      <c r="BJ20" s="266">
        <f t="shared" si="37"/>
        <v>3763.1359369006022</v>
      </c>
      <c r="BK20" s="266">
        <f t="shared" si="38"/>
        <v>107.13114747756225</v>
      </c>
      <c r="BL20" s="192">
        <f t="shared" si="39"/>
        <v>0</v>
      </c>
      <c r="BM20" s="192">
        <f t="shared" si="40"/>
        <v>0</v>
      </c>
      <c r="BN20" s="192">
        <f t="shared" si="41"/>
        <v>0</v>
      </c>
      <c r="BO20" s="192">
        <f t="shared" si="42"/>
        <v>1010.6807473985806</v>
      </c>
      <c r="BP20" s="192">
        <f t="shared" si="43"/>
        <v>1010.6807473985806</v>
      </c>
      <c r="BQ20" s="193">
        <f t="shared" si="44"/>
        <v>1010.6807473985806</v>
      </c>
      <c r="BR20" s="193">
        <f t="shared" si="45"/>
        <v>0</v>
      </c>
      <c r="BS20" s="265">
        <f t="shared" si="46"/>
        <v>57100.206637690651</v>
      </c>
      <c r="BT20" s="265">
        <f t="shared" si="47"/>
        <v>2683.6123140136297</v>
      </c>
      <c r="BU20" s="265">
        <f t="shared" si="48"/>
        <v>0</v>
      </c>
      <c r="BV20" s="265">
        <f t="shared" si="49"/>
        <v>0</v>
      </c>
      <c r="BW20" s="265">
        <f t="shared" si="50"/>
        <v>0</v>
      </c>
      <c r="BX20" s="265">
        <f t="shared" si="51"/>
        <v>27784.773058010756</v>
      </c>
      <c r="BY20" s="265">
        <f t="shared" si="52"/>
        <v>27784.773058010756</v>
      </c>
      <c r="BZ20" s="265">
        <f t="shared" si="53"/>
        <v>27784.773058010756</v>
      </c>
      <c r="CA20" s="265">
        <f t="shared" si="54"/>
        <v>0</v>
      </c>
      <c r="CB20" s="269">
        <f t="shared" si="55"/>
        <v>87568.592009715037</v>
      </c>
      <c r="CC20" s="266">
        <f t="shared" si="56"/>
        <v>88138.559413219278</v>
      </c>
      <c r="CD20" s="241"/>
      <c r="CE20" s="198">
        <f t="shared" si="70"/>
        <v>88138.559413219322</v>
      </c>
      <c r="CF20" s="198">
        <f t="shared" si="58"/>
        <v>0</v>
      </c>
      <c r="CG20" s="198">
        <f t="shared" si="59"/>
        <v>0</v>
      </c>
      <c r="CH20" s="198">
        <f t="shared" si="60"/>
        <v>-1017.2590772328959</v>
      </c>
      <c r="CI20" s="198">
        <f t="shared" si="61"/>
        <v>0</v>
      </c>
      <c r="CJ20" s="198">
        <f t="shared" si="62"/>
        <v>-3787.6294769903047</v>
      </c>
      <c r="CK20" s="198">
        <f t="shared" si="63"/>
        <v>-107.82844385473184</v>
      </c>
      <c r="CL20" s="198">
        <f t="shared" si="64"/>
        <v>380.58903589320539</v>
      </c>
      <c r="CM20" s="271">
        <f t="shared" si="65"/>
        <v>77.523793899528272</v>
      </c>
      <c r="CN20" s="198">
        <f t="shared" si="66"/>
        <v>83683.955244934128</v>
      </c>
      <c r="CO20" s="209">
        <f t="shared" si="71"/>
        <v>0</v>
      </c>
    </row>
    <row r="21" spans="2:93" x14ac:dyDescent="0.2">
      <c r="B21" s="221">
        <f>'DATA INPUT - DETAIL'!D12</f>
        <v>1</v>
      </c>
      <c r="C21" s="211">
        <f>'DATA INPUT - DETAIL'!E12</f>
        <v>9</v>
      </c>
      <c r="D21" s="257">
        <f>'DATA INPUT - DETAIL'!I12</f>
        <v>0</v>
      </c>
      <c r="E21" s="258">
        <f>'DATA INPUT - DETAIL'!K12</f>
        <v>0</v>
      </c>
      <c r="F21" s="258">
        <f>'DATA INPUT - DETAIL'!L12</f>
        <v>0</v>
      </c>
      <c r="G21" s="179">
        <f>'DATA INPUT - DETAIL'!M12*(1+$V$5)</f>
        <v>0</v>
      </c>
      <c r="H21" s="179">
        <f>'DATA INPUT - DETAIL'!N12*(1+$V$5)</f>
        <v>1000</v>
      </c>
      <c r="I21" s="258">
        <f t="shared" si="72"/>
        <v>1019.4373016881517</v>
      </c>
      <c r="J21" s="258">
        <f>'DATA INPUT - DETAIL'!O12</f>
        <v>0</v>
      </c>
      <c r="K21" s="258">
        <f>'DATA INPUT - DETAIL'!P12</f>
        <v>0</v>
      </c>
      <c r="L21" s="267">
        <f>ROUNDDOWN('DATA INPUT - DETAIL'!G12,0)</f>
        <v>35</v>
      </c>
      <c r="M21" s="196">
        <f t="shared" si="25"/>
        <v>8.921042540299684E-5</v>
      </c>
      <c r="N21" s="196">
        <f t="shared" si="1"/>
        <v>0</v>
      </c>
      <c r="O21" s="196">
        <f t="shared" si="2"/>
        <v>0</v>
      </c>
      <c r="P21" s="196">
        <f t="shared" si="3"/>
        <v>0</v>
      </c>
      <c r="Q21" s="196">
        <f t="shared" si="4"/>
        <v>0</v>
      </c>
      <c r="R21" s="196">
        <f t="shared" si="5"/>
        <v>0</v>
      </c>
      <c r="S21" s="196">
        <f t="shared" si="6"/>
        <v>0</v>
      </c>
      <c r="T21" s="196">
        <f t="shared" si="7"/>
        <v>0</v>
      </c>
      <c r="U21" s="185">
        <f>(C21&gt;0)*(C21&lt;$E$5)*VLOOKUP(MPP,ASUMSI!$BN$77:$CR$108,B21+1)*(1+$V$4)</f>
        <v>8.3717735912058888E-4</v>
      </c>
      <c r="V21" s="196">
        <f t="shared" si="8"/>
        <v>0</v>
      </c>
      <c r="W21" s="196">
        <f t="shared" si="68"/>
        <v>0.9926128826953311</v>
      </c>
      <c r="X21" s="196">
        <f t="shared" si="69"/>
        <v>8.855141752574549E-5</v>
      </c>
      <c r="Y21" s="196">
        <f t="shared" si="26"/>
        <v>8.3099303176395218E-4</v>
      </c>
      <c r="Z21" s="196">
        <f t="shared" si="27"/>
        <v>0</v>
      </c>
      <c r="AA21" s="185">
        <f t="shared" si="28"/>
        <v>0.99169333824604144</v>
      </c>
      <c r="AB21" s="196">
        <f t="shared" si="29"/>
        <v>0</v>
      </c>
      <c r="AC21" s="196">
        <f t="shared" si="29"/>
        <v>0</v>
      </c>
      <c r="AD21" s="196">
        <f t="shared" si="29"/>
        <v>0</v>
      </c>
      <c r="AE21" s="196">
        <f t="shared" si="73"/>
        <v>0</v>
      </c>
      <c r="AF21" s="196">
        <f t="shared" si="30"/>
        <v>0</v>
      </c>
      <c r="AG21" s="196">
        <f t="shared" si="31"/>
        <v>0</v>
      </c>
      <c r="AH21" s="196">
        <f t="shared" si="32"/>
        <v>0</v>
      </c>
      <c r="AI21" s="266">
        <f>'DATA INPUT - DETAIL'!R12</f>
        <v>41306693.295599997</v>
      </c>
      <c r="AJ21" s="266">
        <f>'DATA INPUT - DETAIL'!S12</f>
        <v>0</v>
      </c>
      <c r="AK21" s="266">
        <f>'DATA INPUT - DETAIL'!T12</f>
        <v>0</v>
      </c>
      <c r="AL21" s="266">
        <f>'DATA INPUT - DETAIL'!U12</f>
        <v>0</v>
      </c>
      <c r="AM21" s="266">
        <f>'DATA INPUT - DETAIL'!V12</f>
        <v>0</v>
      </c>
      <c r="AN21" s="266">
        <f>'DATA INPUT - DETAIL'!W12</f>
        <v>0</v>
      </c>
      <c r="AO21" s="198">
        <f t="shared" si="10"/>
        <v>0</v>
      </c>
      <c r="AP21" s="266">
        <f>'DATA INPUT - DETAIL'!X12</f>
        <v>0</v>
      </c>
      <c r="AQ21" s="266">
        <f>'DATA INPUT - DETAIL'!Y12</f>
        <v>0</v>
      </c>
      <c r="AR21" s="266">
        <f>'DATA INPUT - DETAIL'!Z12</f>
        <v>0</v>
      </c>
      <c r="AS21" s="266">
        <f>'DATA INPUT - DETAIL'!AD12</f>
        <v>0</v>
      </c>
      <c r="AT21" s="266">
        <f t="shared" si="33"/>
        <v>0</v>
      </c>
      <c r="AU21" s="206">
        <f>'DATA INPUT - DETAIL'!AA12</f>
        <v>124200</v>
      </c>
      <c r="AV21" s="206">
        <f>'DATA INPUT - DETAIL'!AB12</f>
        <v>0</v>
      </c>
      <c r="AW21" s="206">
        <f>'DATA INPUT - DETAIL'!AC12</f>
        <v>0</v>
      </c>
      <c r="AX21" s="206">
        <f t="shared" si="11"/>
        <v>3657.7662446265872</v>
      </c>
      <c r="AY21" s="206">
        <f t="shared" si="34"/>
        <v>0</v>
      </c>
      <c r="AZ21" s="206">
        <f t="shared" si="35"/>
        <v>0</v>
      </c>
      <c r="BA21" s="206">
        <f t="shared" si="12"/>
        <v>0</v>
      </c>
      <c r="BB21" s="206">
        <f t="shared" si="13"/>
        <v>0</v>
      </c>
      <c r="BC21" s="206">
        <f t="shared" si="14"/>
        <v>0</v>
      </c>
      <c r="BD21" s="206">
        <f t="shared" si="15"/>
        <v>0</v>
      </c>
      <c r="BE21" s="206">
        <f t="shared" si="16"/>
        <v>0</v>
      </c>
      <c r="BF21" s="206">
        <f t="shared" si="17"/>
        <v>0</v>
      </c>
      <c r="BG21" s="206">
        <f t="shared" si="36"/>
        <v>103.20933454508285</v>
      </c>
      <c r="BH21" s="206">
        <f t="shared" si="18"/>
        <v>0</v>
      </c>
      <c r="BI21" s="206">
        <f t="shared" si="19"/>
        <v>0</v>
      </c>
      <c r="BJ21" s="266">
        <f t="shared" si="37"/>
        <v>3657.7662446265872</v>
      </c>
      <c r="BK21" s="266">
        <f t="shared" si="38"/>
        <v>103.20933454508285</v>
      </c>
      <c r="BL21" s="192">
        <f t="shared" si="39"/>
        <v>0</v>
      </c>
      <c r="BM21" s="192">
        <f t="shared" si="40"/>
        <v>0</v>
      </c>
      <c r="BN21" s="192">
        <f t="shared" si="41"/>
        <v>0</v>
      </c>
      <c r="BO21" s="192">
        <f t="shared" si="42"/>
        <v>1011.9065987558262</v>
      </c>
      <c r="BP21" s="192">
        <f t="shared" si="43"/>
        <v>1011.9065987558262</v>
      </c>
      <c r="BQ21" s="193">
        <f t="shared" si="44"/>
        <v>1011.9065987558262</v>
      </c>
      <c r="BR21" s="193">
        <f t="shared" si="45"/>
        <v>0</v>
      </c>
      <c r="BS21" s="265">
        <f t="shared" si="46"/>
        <v>53586.512714508077</v>
      </c>
      <c r="BT21" s="265">
        <f t="shared" si="47"/>
        <v>2588.2045156982435</v>
      </c>
      <c r="BU21" s="265">
        <f t="shared" si="48"/>
        <v>0</v>
      </c>
      <c r="BV21" s="265">
        <f t="shared" si="49"/>
        <v>0</v>
      </c>
      <c r="BW21" s="265">
        <f t="shared" si="50"/>
        <v>0</v>
      </c>
      <c r="BX21" s="265">
        <f t="shared" si="51"/>
        <v>26891.054820814777</v>
      </c>
      <c r="BY21" s="265">
        <f t="shared" si="52"/>
        <v>26891.054820814777</v>
      </c>
      <c r="BZ21" s="265">
        <f t="shared" si="53"/>
        <v>26891.054820814777</v>
      </c>
      <c r="CA21" s="265">
        <f t="shared" si="54"/>
        <v>0</v>
      </c>
      <c r="CB21" s="269">
        <f t="shared" si="55"/>
        <v>83065.772051021093</v>
      </c>
      <c r="CC21" s="266">
        <f t="shared" si="56"/>
        <v>83683.955244934084</v>
      </c>
      <c r="CD21" s="241"/>
      <c r="CE21" s="198">
        <f t="shared" si="70"/>
        <v>83683.955244934128</v>
      </c>
      <c r="CF21" s="198">
        <f t="shared" si="58"/>
        <v>0</v>
      </c>
      <c r="CG21" s="198">
        <f t="shared" si="59"/>
        <v>0</v>
      </c>
      <c r="CH21" s="198">
        <f t="shared" si="60"/>
        <v>-1019.4373016881517</v>
      </c>
      <c r="CI21" s="198">
        <f t="shared" si="61"/>
        <v>0</v>
      </c>
      <c r="CJ21" s="198">
        <f t="shared" si="62"/>
        <v>-3684.9876808915933</v>
      </c>
      <c r="CK21" s="198">
        <f t="shared" si="63"/>
        <v>-103.97742800277713</v>
      </c>
      <c r="CL21" s="198">
        <f t="shared" si="64"/>
        <v>361.11960066327384</v>
      </c>
      <c r="CM21" s="271">
        <f t="shared" si="65"/>
        <v>73.471948946102472</v>
      </c>
      <c r="CN21" s="198">
        <f t="shared" si="66"/>
        <v>79310.144383960971</v>
      </c>
      <c r="CO21" s="209">
        <f t="shared" si="71"/>
        <v>0</v>
      </c>
    </row>
    <row r="22" spans="2:93" x14ac:dyDescent="0.2">
      <c r="B22" s="221">
        <f>'DATA INPUT - DETAIL'!D13</f>
        <v>1</v>
      </c>
      <c r="C22" s="211">
        <f>'DATA INPUT - DETAIL'!E13</f>
        <v>10</v>
      </c>
      <c r="D22" s="257">
        <f>'DATA INPUT - DETAIL'!I13</f>
        <v>0</v>
      </c>
      <c r="E22" s="258">
        <f>'DATA INPUT - DETAIL'!K13</f>
        <v>0</v>
      </c>
      <c r="F22" s="258">
        <f>'DATA INPUT - DETAIL'!L13</f>
        <v>0</v>
      </c>
      <c r="G22" s="179">
        <f>'DATA INPUT - DETAIL'!M13*(1+$V$5)</f>
        <v>0</v>
      </c>
      <c r="H22" s="179">
        <f>'DATA INPUT - DETAIL'!N13*(1+$V$5)</f>
        <v>1000</v>
      </c>
      <c r="I22" s="258">
        <f t="shared" si="72"/>
        <v>1021.6201903060418</v>
      </c>
      <c r="J22" s="258">
        <f>'DATA INPUT - DETAIL'!O13</f>
        <v>0</v>
      </c>
      <c r="K22" s="258">
        <f>'DATA INPUT - DETAIL'!P13</f>
        <v>0</v>
      </c>
      <c r="L22" s="267">
        <f>ROUNDDOWN('DATA INPUT - DETAIL'!G13,0)</f>
        <v>35</v>
      </c>
      <c r="M22" s="196">
        <f t="shared" si="25"/>
        <v>8.921042540299684E-5</v>
      </c>
      <c r="N22" s="196">
        <f t="shared" si="1"/>
        <v>0</v>
      </c>
      <c r="O22" s="196">
        <f t="shared" si="2"/>
        <v>0</v>
      </c>
      <c r="P22" s="196">
        <f t="shared" si="3"/>
        <v>0</v>
      </c>
      <c r="Q22" s="196">
        <f t="shared" si="4"/>
        <v>0</v>
      </c>
      <c r="R22" s="196">
        <f t="shared" si="5"/>
        <v>0</v>
      </c>
      <c r="S22" s="196">
        <f t="shared" si="6"/>
        <v>0</v>
      </c>
      <c r="T22" s="196">
        <f t="shared" si="7"/>
        <v>0</v>
      </c>
      <c r="U22" s="185">
        <f>(C22&gt;0)*(C22&lt;$E$5)*VLOOKUP(MPP,ASUMSI!$BN$77:$CR$108,B22+1)*(1+$V$4)</f>
        <v>8.3717735912058888E-4</v>
      </c>
      <c r="V22" s="196">
        <f t="shared" si="8"/>
        <v>0</v>
      </c>
      <c r="W22" s="196">
        <f t="shared" si="68"/>
        <v>0.99169333824604144</v>
      </c>
      <c r="X22" s="196">
        <f t="shared" si="69"/>
        <v>8.8469384574247389E-5</v>
      </c>
      <c r="Y22" s="196">
        <f t="shared" si="26"/>
        <v>8.3022320997030183E-4</v>
      </c>
      <c r="Z22" s="196">
        <f t="shared" si="27"/>
        <v>0</v>
      </c>
      <c r="AA22" s="185">
        <f t="shared" si="28"/>
        <v>0.99077464565149687</v>
      </c>
      <c r="AB22" s="196">
        <f t="shared" si="29"/>
        <v>0</v>
      </c>
      <c r="AC22" s="196">
        <f t="shared" si="29"/>
        <v>0</v>
      </c>
      <c r="AD22" s="196">
        <f t="shared" si="29"/>
        <v>0</v>
      </c>
      <c r="AE22" s="196">
        <f t="shared" si="73"/>
        <v>0</v>
      </c>
      <c r="AF22" s="196">
        <f t="shared" si="30"/>
        <v>0</v>
      </c>
      <c r="AG22" s="196">
        <f t="shared" si="31"/>
        <v>0</v>
      </c>
      <c r="AH22" s="196">
        <f t="shared" si="32"/>
        <v>0</v>
      </c>
      <c r="AI22" s="266">
        <f>'DATA INPUT - DETAIL'!R13</f>
        <v>40136959.015799999</v>
      </c>
      <c r="AJ22" s="266">
        <f>'DATA INPUT - DETAIL'!S13</f>
        <v>0</v>
      </c>
      <c r="AK22" s="266">
        <f>'DATA INPUT - DETAIL'!T13</f>
        <v>0</v>
      </c>
      <c r="AL22" s="266">
        <f>'DATA INPUT - DETAIL'!U13</f>
        <v>0</v>
      </c>
      <c r="AM22" s="266">
        <f>'DATA INPUT - DETAIL'!V13</f>
        <v>0</v>
      </c>
      <c r="AN22" s="266">
        <f>'DATA INPUT - DETAIL'!W13</f>
        <v>0</v>
      </c>
      <c r="AO22" s="198">
        <f t="shared" si="10"/>
        <v>0</v>
      </c>
      <c r="AP22" s="266">
        <f>'DATA INPUT - DETAIL'!X13</f>
        <v>0</v>
      </c>
      <c r="AQ22" s="266">
        <f>'DATA INPUT - DETAIL'!Y13</f>
        <v>0</v>
      </c>
      <c r="AR22" s="266">
        <f>'DATA INPUT - DETAIL'!Z13</f>
        <v>0</v>
      </c>
      <c r="AS22" s="266">
        <f>'DATA INPUT - DETAIL'!AD13</f>
        <v>0</v>
      </c>
      <c r="AT22" s="266">
        <f t="shared" si="33"/>
        <v>0</v>
      </c>
      <c r="AU22" s="206">
        <f>'DATA INPUT - DETAIL'!AA13</f>
        <v>119600</v>
      </c>
      <c r="AV22" s="206">
        <f>'DATA INPUT - DETAIL'!AB13</f>
        <v>0</v>
      </c>
      <c r="AW22" s="206">
        <f>'DATA INPUT - DETAIL'!AC13</f>
        <v>0</v>
      </c>
      <c r="AX22" s="206">
        <f t="shared" si="11"/>
        <v>3550.8920628096162</v>
      </c>
      <c r="AY22" s="206">
        <f t="shared" si="34"/>
        <v>0</v>
      </c>
      <c r="AZ22" s="206">
        <f t="shared" si="35"/>
        <v>0</v>
      </c>
      <c r="BA22" s="206">
        <f t="shared" si="12"/>
        <v>0</v>
      </c>
      <c r="BB22" s="206">
        <f t="shared" si="13"/>
        <v>0</v>
      </c>
      <c r="BC22" s="206">
        <f t="shared" si="14"/>
        <v>0</v>
      </c>
      <c r="BD22" s="206">
        <f t="shared" si="15"/>
        <v>0</v>
      </c>
      <c r="BE22" s="206">
        <f t="shared" si="16"/>
        <v>0</v>
      </c>
      <c r="BF22" s="206">
        <f t="shared" si="17"/>
        <v>0</v>
      </c>
      <c r="BG22" s="206">
        <f t="shared" si="36"/>
        <v>99.294695912448105</v>
      </c>
      <c r="BH22" s="206">
        <f t="shared" si="18"/>
        <v>0</v>
      </c>
      <c r="BI22" s="206">
        <f t="shared" si="19"/>
        <v>0</v>
      </c>
      <c r="BJ22" s="266">
        <f t="shared" si="37"/>
        <v>3550.8920628096162</v>
      </c>
      <c r="BK22" s="266">
        <f t="shared" si="38"/>
        <v>99.294695912448105</v>
      </c>
      <c r="BL22" s="192">
        <f t="shared" si="39"/>
        <v>0</v>
      </c>
      <c r="BM22" s="192">
        <f t="shared" si="40"/>
        <v>0</v>
      </c>
      <c r="BN22" s="192">
        <f t="shared" si="41"/>
        <v>0</v>
      </c>
      <c r="BO22" s="192">
        <f t="shared" si="42"/>
        <v>1013.1339369441547</v>
      </c>
      <c r="BP22" s="192">
        <f t="shared" si="43"/>
        <v>1013.1339369441547</v>
      </c>
      <c r="BQ22" s="193">
        <f t="shared" si="44"/>
        <v>1013.1339369441547</v>
      </c>
      <c r="BR22" s="193">
        <f t="shared" si="45"/>
        <v>0</v>
      </c>
      <c r="BS22" s="265">
        <f t="shared" si="46"/>
        <v>50162.838926401782</v>
      </c>
      <c r="BT22" s="265">
        <f t="shared" si="47"/>
        <v>2496.3017417477013</v>
      </c>
      <c r="BU22" s="265">
        <f t="shared" si="48"/>
        <v>0</v>
      </c>
      <c r="BV22" s="265">
        <f t="shared" si="49"/>
        <v>0</v>
      </c>
      <c r="BW22" s="265">
        <f t="shared" si="50"/>
        <v>0</v>
      </c>
      <c r="BX22" s="265">
        <f t="shared" si="51"/>
        <v>25992.201172756271</v>
      </c>
      <c r="BY22" s="265">
        <f t="shared" si="52"/>
        <v>25992.201172756271</v>
      </c>
      <c r="BZ22" s="265">
        <f t="shared" si="53"/>
        <v>25992.201172756271</v>
      </c>
      <c r="CA22" s="265">
        <f t="shared" si="54"/>
        <v>0</v>
      </c>
      <c r="CB22" s="269">
        <f t="shared" si="55"/>
        <v>78651.341840905749</v>
      </c>
      <c r="CC22" s="266">
        <f t="shared" si="56"/>
        <v>79310.144383960927</v>
      </c>
      <c r="CD22" s="241"/>
      <c r="CE22" s="198">
        <f t="shared" si="70"/>
        <v>79310.144383960971</v>
      </c>
      <c r="CF22" s="198">
        <f t="shared" si="58"/>
        <v>0</v>
      </c>
      <c r="CG22" s="198">
        <f t="shared" si="59"/>
        <v>0</v>
      </c>
      <c r="CH22" s="198">
        <f t="shared" si="60"/>
        <v>-1021.6201903060418</v>
      </c>
      <c r="CI22" s="198">
        <f t="shared" si="61"/>
        <v>0</v>
      </c>
      <c r="CJ22" s="198">
        <f t="shared" si="62"/>
        <v>-3580.635188182167</v>
      </c>
      <c r="CK22" s="198">
        <f t="shared" si="63"/>
        <v>-100.12641215082243</v>
      </c>
      <c r="CL22" s="198">
        <f t="shared" si="64"/>
        <v>342.0030902828197</v>
      </c>
      <c r="CM22" s="271">
        <f t="shared" si="65"/>
        <v>69.496928487811289</v>
      </c>
      <c r="CN22" s="198">
        <f t="shared" si="66"/>
        <v>75019.262612092571</v>
      </c>
      <c r="CO22" s="209">
        <f t="shared" si="71"/>
        <v>0</v>
      </c>
    </row>
    <row r="23" spans="2:93" x14ac:dyDescent="0.2">
      <c r="B23" s="221">
        <f>'DATA INPUT - DETAIL'!D14</f>
        <v>1</v>
      </c>
      <c r="C23" s="211">
        <f>'DATA INPUT - DETAIL'!E14</f>
        <v>11</v>
      </c>
      <c r="D23" s="257">
        <f>'DATA INPUT - DETAIL'!I14</f>
        <v>0</v>
      </c>
      <c r="E23" s="258">
        <f>'DATA INPUT - DETAIL'!K14</f>
        <v>0</v>
      </c>
      <c r="F23" s="258">
        <f>'DATA INPUT - DETAIL'!L14</f>
        <v>0</v>
      </c>
      <c r="G23" s="179">
        <f>'DATA INPUT - DETAIL'!M14*(1+$V$5)</f>
        <v>0</v>
      </c>
      <c r="H23" s="179">
        <f>'DATA INPUT - DETAIL'!N14*(1+$V$5)</f>
        <v>1000</v>
      </c>
      <c r="I23" s="258">
        <f t="shared" si="72"/>
        <v>1023.8077530737891</v>
      </c>
      <c r="J23" s="258">
        <f>'DATA INPUT - DETAIL'!O14</f>
        <v>0</v>
      </c>
      <c r="K23" s="258">
        <f>'DATA INPUT - DETAIL'!P14</f>
        <v>0</v>
      </c>
      <c r="L23" s="267">
        <f>ROUNDDOWN('DATA INPUT - DETAIL'!G14,0)</f>
        <v>35</v>
      </c>
      <c r="M23" s="196">
        <f t="shared" si="25"/>
        <v>8.921042540299684E-5</v>
      </c>
      <c r="N23" s="196">
        <f t="shared" si="1"/>
        <v>0</v>
      </c>
      <c r="O23" s="196">
        <f t="shared" si="2"/>
        <v>0</v>
      </c>
      <c r="P23" s="196">
        <f t="shared" si="3"/>
        <v>0</v>
      </c>
      <c r="Q23" s="196">
        <f t="shared" si="4"/>
        <v>0</v>
      </c>
      <c r="R23" s="196">
        <f t="shared" si="5"/>
        <v>0</v>
      </c>
      <c r="S23" s="196">
        <f t="shared" si="6"/>
        <v>0</v>
      </c>
      <c r="T23" s="196">
        <f t="shared" si="7"/>
        <v>0</v>
      </c>
      <c r="U23" s="185">
        <f>(C23&gt;0)*(C23&lt;$E$5)*VLOOKUP(MPP,ASUMSI!$BN$77:$CR$108,B23+1)*(1+$V$4)</f>
        <v>8.3717735912058888E-4</v>
      </c>
      <c r="V23" s="196">
        <f t="shared" si="8"/>
        <v>0</v>
      </c>
      <c r="W23" s="196">
        <f t="shared" si="68"/>
        <v>0.99077464565149687</v>
      </c>
      <c r="X23" s="196">
        <f t="shared" si="69"/>
        <v>8.8387427617073484E-5</v>
      </c>
      <c r="Y23" s="196">
        <f t="shared" si="26"/>
        <v>8.2945410133015735E-4</v>
      </c>
      <c r="Z23" s="196">
        <f t="shared" si="27"/>
        <v>0</v>
      </c>
      <c r="AA23" s="185">
        <f t="shared" si="28"/>
        <v>0.98985680412254962</v>
      </c>
      <c r="AB23" s="196">
        <f t="shared" si="29"/>
        <v>0</v>
      </c>
      <c r="AC23" s="196">
        <f t="shared" si="29"/>
        <v>0</v>
      </c>
      <c r="AD23" s="196">
        <f t="shared" si="29"/>
        <v>0</v>
      </c>
      <c r="AE23" s="196">
        <f t="shared" si="73"/>
        <v>0</v>
      </c>
      <c r="AF23" s="196">
        <f t="shared" si="30"/>
        <v>0</v>
      </c>
      <c r="AG23" s="196">
        <f t="shared" si="31"/>
        <v>0</v>
      </c>
      <c r="AH23" s="196">
        <f t="shared" si="32"/>
        <v>0</v>
      </c>
      <c r="AI23" s="266">
        <f>'DATA INPUT - DETAIL'!R14</f>
        <v>38947729.164800003</v>
      </c>
      <c r="AJ23" s="266">
        <f>'DATA INPUT - DETAIL'!S14</f>
        <v>0</v>
      </c>
      <c r="AK23" s="266">
        <f>'DATA INPUT - DETAIL'!T14</f>
        <v>0</v>
      </c>
      <c r="AL23" s="266">
        <f>'DATA INPUT - DETAIL'!U14</f>
        <v>0</v>
      </c>
      <c r="AM23" s="266">
        <f>'DATA INPUT - DETAIL'!V14</f>
        <v>0</v>
      </c>
      <c r="AN23" s="266">
        <f>'DATA INPUT - DETAIL'!W14</f>
        <v>0</v>
      </c>
      <c r="AO23" s="198">
        <f t="shared" si="10"/>
        <v>0</v>
      </c>
      <c r="AP23" s="266">
        <f>'DATA INPUT - DETAIL'!X14</f>
        <v>0</v>
      </c>
      <c r="AQ23" s="266">
        <f>'DATA INPUT - DETAIL'!Y14</f>
        <v>0</v>
      </c>
      <c r="AR23" s="266">
        <f>'DATA INPUT - DETAIL'!Z14</f>
        <v>0</v>
      </c>
      <c r="AS23" s="266">
        <f>'DATA INPUT - DETAIL'!AD14</f>
        <v>0</v>
      </c>
      <c r="AT23" s="266">
        <f t="shared" si="33"/>
        <v>0</v>
      </c>
      <c r="AU23" s="206">
        <f>'DATA INPUT - DETAIL'!AA14</f>
        <v>115000</v>
      </c>
      <c r="AV23" s="206">
        <f>'DATA INPUT - DETAIL'!AB14</f>
        <v>0</v>
      </c>
      <c r="AW23" s="206">
        <f>'DATA INPUT - DETAIL'!AC14</f>
        <v>0</v>
      </c>
      <c r="AX23" s="206">
        <f t="shared" si="11"/>
        <v>3442.4895924031421</v>
      </c>
      <c r="AY23" s="206">
        <f t="shared" si="34"/>
        <v>0</v>
      </c>
      <c r="AZ23" s="206">
        <f t="shared" si="35"/>
        <v>0</v>
      </c>
      <c r="BA23" s="206">
        <f t="shared" si="12"/>
        <v>0</v>
      </c>
      <c r="BB23" s="206">
        <f t="shared" si="13"/>
        <v>0</v>
      </c>
      <c r="BC23" s="206">
        <f t="shared" si="14"/>
        <v>0</v>
      </c>
      <c r="BD23" s="206">
        <f t="shared" si="15"/>
        <v>0</v>
      </c>
      <c r="BE23" s="206">
        <f t="shared" si="16"/>
        <v>0</v>
      </c>
      <c r="BF23" s="206">
        <f t="shared" si="17"/>
        <v>0</v>
      </c>
      <c r="BG23" s="206">
        <f t="shared" si="36"/>
        <v>95.387221652968094</v>
      </c>
      <c r="BH23" s="206">
        <f t="shared" si="18"/>
        <v>0</v>
      </c>
      <c r="BI23" s="206">
        <f t="shared" si="19"/>
        <v>0</v>
      </c>
      <c r="BJ23" s="266">
        <f t="shared" si="37"/>
        <v>3442.4895924031421</v>
      </c>
      <c r="BK23" s="266">
        <f t="shared" si="38"/>
        <v>95.387221652968094</v>
      </c>
      <c r="BL23" s="192">
        <f t="shared" si="39"/>
        <v>0</v>
      </c>
      <c r="BM23" s="192">
        <f t="shared" si="40"/>
        <v>0</v>
      </c>
      <c r="BN23" s="192">
        <f t="shared" si="41"/>
        <v>0</v>
      </c>
      <c r="BO23" s="192">
        <f t="shared" si="42"/>
        <v>1014.3627637669385</v>
      </c>
      <c r="BP23" s="192">
        <f t="shared" si="43"/>
        <v>1014.3627637669385</v>
      </c>
      <c r="BQ23" s="193">
        <f t="shared" si="44"/>
        <v>1014.3627637669385</v>
      </c>
      <c r="BR23" s="193">
        <f t="shared" si="45"/>
        <v>0</v>
      </c>
      <c r="BS23" s="265">
        <f t="shared" si="46"/>
        <v>46831.083015498058</v>
      </c>
      <c r="BT23" s="265">
        <f t="shared" si="47"/>
        <v>2407.9121295464274</v>
      </c>
      <c r="BU23" s="265">
        <f t="shared" si="48"/>
        <v>0</v>
      </c>
      <c r="BV23" s="265">
        <f t="shared" si="49"/>
        <v>0</v>
      </c>
      <c r="BW23" s="265">
        <f t="shared" si="50"/>
        <v>0</v>
      </c>
      <c r="BX23" s="265">
        <f t="shared" si="51"/>
        <v>25088.188186488082</v>
      </c>
      <c r="BY23" s="265">
        <f t="shared" si="52"/>
        <v>25088.188186488082</v>
      </c>
      <c r="BZ23" s="265">
        <f t="shared" si="53"/>
        <v>25088.188186488082</v>
      </c>
      <c r="CA23" s="265">
        <f t="shared" si="54"/>
        <v>0</v>
      </c>
      <c r="CB23" s="269">
        <f t="shared" si="55"/>
        <v>74327.183331532564</v>
      </c>
      <c r="CC23" s="266">
        <f t="shared" si="56"/>
        <v>75019.262612092527</v>
      </c>
      <c r="CD23" s="241"/>
      <c r="CE23" s="198">
        <f t="shared" si="70"/>
        <v>75019.262612092571</v>
      </c>
      <c r="CF23" s="198">
        <f t="shared" si="58"/>
        <v>0</v>
      </c>
      <c r="CG23" s="198">
        <f t="shared" si="59"/>
        <v>0</v>
      </c>
      <c r="CH23" s="198">
        <f t="shared" si="60"/>
        <v>-1023.8077530737891</v>
      </c>
      <c r="CI23" s="198">
        <f t="shared" si="61"/>
        <v>0</v>
      </c>
      <c r="CJ23" s="198">
        <f t="shared" si="62"/>
        <v>-3474.543487272515</v>
      </c>
      <c r="CK23" s="198">
        <f t="shared" si="63"/>
        <v>-96.275396298867719</v>
      </c>
      <c r="CL23" s="198">
        <f t="shared" si="64"/>
        <v>323.24883486203646</v>
      </c>
      <c r="CM23" s="271">
        <f t="shared" si="65"/>
        <v>65.600748000751921</v>
      </c>
      <c r="CN23" s="198">
        <f t="shared" si="66"/>
        <v>70813.485558310189</v>
      </c>
      <c r="CO23" s="209">
        <f t="shared" si="71"/>
        <v>0</v>
      </c>
    </row>
    <row r="24" spans="2:93" x14ac:dyDescent="0.2">
      <c r="B24" s="221">
        <f>'DATA INPUT - DETAIL'!D15</f>
        <v>1</v>
      </c>
      <c r="C24" s="211">
        <f>'DATA INPUT - DETAIL'!E15</f>
        <v>12</v>
      </c>
      <c r="D24" s="257">
        <f>'DATA INPUT - DETAIL'!I15</f>
        <v>0</v>
      </c>
      <c r="E24" s="258">
        <f>'DATA INPUT - DETAIL'!K15</f>
        <v>0</v>
      </c>
      <c r="F24" s="258">
        <f>'DATA INPUT - DETAIL'!L15</f>
        <v>0</v>
      </c>
      <c r="G24" s="179">
        <f>'DATA INPUT - DETAIL'!M15*(1+$V$5)</f>
        <v>0</v>
      </c>
      <c r="H24" s="179">
        <f>'DATA INPUT - DETAIL'!N15*(1+$V$5)</f>
        <v>1000</v>
      </c>
      <c r="I24" s="258">
        <f t="shared" si="72"/>
        <v>1026.0000000000016</v>
      </c>
      <c r="J24" s="258">
        <f>'DATA INPUT - DETAIL'!O15</f>
        <v>0</v>
      </c>
      <c r="K24" s="258">
        <f>'DATA INPUT - DETAIL'!P15</f>
        <v>0</v>
      </c>
      <c r="L24" s="267">
        <f>ROUNDDOWN('DATA INPUT - DETAIL'!G15,0)</f>
        <v>35</v>
      </c>
      <c r="M24" s="196">
        <f t="shared" si="25"/>
        <v>8.921042540299684E-5</v>
      </c>
      <c r="N24" s="196">
        <f t="shared" si="1"/>
        <v>0</v>
      </c>
      <c r="O24" s="196">
        <f t="shared" si="2"/>
        <v>0</v>
      </c>
      <c r="P24" s="196">
        <f t="shared" si="3"/>
        <v>0</v>
      </c>
      <c r="Q24" s="196">
        <f t="shared" si="4"/>
        <v>0</v>
      </c>
      <c r="R24" s="196">
        <f t="shared" si="5"/>
        <v>0</v>
      </c>
      <c r="S24" s="196">
        <f t="shared" si="6"/>
        <v>0</v>
      </c>
      <c r="T24" s="196">
        <f t="shared" si="7"/>
        <v>0</v>
      </c>
      <c r="U24" s="185">
        <f>(C24&gt;0)*(C24&lt;$E$5)*VLOOKUP(MPP,ASUMSI!$BN$77:$CR$108,B24+1)*(1+$V$4)</f>
        <v>8.3717735912058888E-4</v>
      </c>
      <c r="V24" s="196">
        <f t="shared" si="8"/>
        <v>0</v>
      </c>
      <c r="W24" s="196">
        <f t="shared" si="68"/>
        <v>0.98985680412254962</v>
      </c>
      <c r="X24" s="196">
        <f t="shared" si="69"/>
        <v>8.8305546583823574E-5</v>
      </c>
      <c r="Y24" s="196">
        <f t="shared" si="26"/>
        <v>8.2868570518286209E-4</v>
      </c>
      <c r="Z24" s="196">
        <f t="shared" si="27"/>
        <v>0</v>
      </c>
      <c r="AA24" s="185">
        <f t="shared" si="28"/>
        <v>0.98893981287078292</v>
      </c>
      <c r="AB24" s="196">
        <f t="shared" si="29"/>
        <v>0</v>
      </c>
      <c r="AC24" s="196">
        <f t="shared" si="29"/>
        <v>0</v>
      </c>
      <c r="AD24" s="196">
        <f t="shared" si="29"/>
        <v>0</v>
      </c>
      <c r="AE24" s="196">
        <f t="shared" si="73"/>
        <v>0</v>
      </c>
      <c r="AF24" s="196">
        <f t="shared" si="30"/>
        <v>0</v>
      </c>
      <c r="AG24" s="196">
        <f t="shared" si="31"/>
        <v>0</v>
      </c>
      <c r="AH24" s="196">
        <f t="shared" si="32"/>
        <v>0</v>
      </c>
      <c r="AI24" s="266">
        <f>'DATA INPUT - DETAIL'!R15</f>
        <v>37738678.816200003</v>
      </c>
      <c r="AJ24" s="266">
        <f>'DATA INPUT - DETAIL'!S15</f>
        <v>0</v>
      </c>
      <c r="AK24" s="266">
        <f>'DATA INPUT - DETAIL'!T15</f>
        <v>0</v>
      </c>
      <c r="AL24" s="266">
        <f>'DATA INPUT - DETAIL'!U15</f>
        <v>0</v>
      </c>
      <c r="AM24" s="266">
        <f>'DATA INPUT - DETAIL'!V15</f>
        <v>0</v>
      </c>
      <c r="AN24" s="266">
        <f>'DATA INPUT - DETAIL'!W15</f>
        <v>0</v>
      </c>
      <c r="AO24" s="198">
        <f t="shared" si="10"/>
        <v>0</v>
      </c>
      <c r="AP24" s="266">
        <f>'DATA INPUT - DETAIL'!X15</f>
        <v>0</v>
      </c>
      <c r="AQ24" s="266">
        <f>'DATA INPUT - DETAIL'!Y15</f>
        <v>0</v>
      </c>
      <c r="AR24" s="266">
        <f>'DATA INPUT - DETAIL'!Z15</f>
        <v>0</v>
      </c>
      <c r="AS24" s="266">
        <f>'DATA INPUT - DETAIL'!AD15</f>
        <v>0</v>
      </c>
      <c r="AT24" s="266">
        <f t="shared" si="33"/>
        <v>0</v>
      </c>
      <c r="AU24" s="206">
        <f>'DATA INPUT - DETAIL'!AA15</f>
        <v>110400</v>
      </c>
      <c r="AV24" s="206">
        <f>'DATA INPUT - DETAIL'!AB15</f>
        <v>0</v>
      </c>
      <c r="AW24" s="206">
        <f>'DATA INPUT - DETAIL'!AC15</f>
        <v>0</v>
      </c>
      <c r="AX24" s="206">
        <f t="shared" si="11"/>
        <v>3332.5346602159052</v>
      </c>
      <c r="AY24" s="206">
        <f t="shared" si="34"/>
        <v>0</v>
      </c>
      <c r="AZ24" s="206">
        <f t="shared" si="35"/>
        <v>0</v>
      </c>
      <c r="BA24" s="206">
        <f t="shared" si="12"/>
        <v>0</v>
      </c>
      <c r="BB24" s="206">
        <f t="shared" si="13"/>
        <v>0</v>
      </c>
      <c r="BC24" s="206">
        <f t="shared" si="14"/>
        <v>0</v>
      </c>
      <c r="BD24" s="206">
        <f t="shared" si="15"/>
        <v>0</v>
      </c>
      <c r="BE24" s="206">
        <f t="shared" si="16"/>
        <v>0</v>
      </c>
      <c r="BF24" s="206">
        <f t="shared" si="17"/>
        <v>0</v>
      </c>
      <c r="BG24" s="206">
        <f t="shared" si="36"/>
        <v>91.48690185218797</v>
      </c>
      <c r="BH24" s="206">
        <f t="shared" si="18"/>
        <v>0</v>
      </c>
      <c r="BI24" s="206">
        <f t="shared" si="19"/>
        <v>0</v>
      </c>
      <c r="BJ24" s="266">
        <f t="shared" si="37"/>
        <v>3332.5346602159052</v>
      </c>
      <c r="BK24" s="266">
        <f t="shared" si="38"/>
        <v>91.48690185218797</v>
      </c>
      <c r="BL24" s="192">
        <f t="shared" si="39"/>
        <v>0</v>
      </c>
      <c r="BM24" s="192">
        <f t="shared" si="40"/>
        <v>0</v>
      </c>
      <c r="BN24" s="192">
        <f t="shared" si="41"/>
        <v>0</v>
      </c>
      <c r="BO24" s="192">
        <f t="shared" si="42"/>
        <v>1015.5930810297375</v>
      </c>
      <c r="BP24" s="192">
        <f t="shared" si="43"/>
        <v>1015.5930810297375</v>
      </c>
      <c r="BQ24" s="193">
        <f t="shared" si="44"/>
        <v>1015.5930810297375</v>
      </c>
      <c r="BR24" s="193">
        <f t="shared" si="45"/>
        <v>0</v>
      </c>
      <c r="BS24" s="265">
        <f t="shared" si="46"/>
        <v>43593.174813248253</v>
      </c>
      <c r="BT24" s="265">
        <f t="shared" si="47"/>
        <v>2323.0438619536653</v>
      </c>
      <c r="BU24" s="265">
        <f t="shared" si="48"/>
        <v>0</v>
      </c>
      <c r="BV24" s="265">
        <f t="shared" si="49"/>
        <v>0</v>
      </c>
      <c r="BW24" s="265">
        <f t="shared" si="50"/>
        <v>0</v>
      </c>
      <c r="BX24" s="265">
        <f t="shared" si="51"/>
        <v>24178.991828325288</v>
      </c>
      <c r="BY24" s="265">
        <f t="shared" si="52"/>
        <v>24178.991828325288</v>
      </c>
      <c r="BZ24" s="265">
        <f t="shared" si="53"/>
        <v>24178.991828325288</v>
      </c>
      <c r="CA24" s="265">
        <f t="shared" si="54"/>
        <v>0</v>
      </c>
      <c r="CB24" s="269">
        <f t="shared" si="55"/>
        <v>70095.210503527211</v>
      </c>
      <c r="CC24" s="266">
        <f t="shared" si="56"/>
        <v>70813.48555831016</v>
      </c>
      <c r="CD24" s="241"/>
      <c r="CE24" s="198">
        <f t="shared" si="70"/>
        <v>70813.485558310189</v>
      </c>
      <c r="CF24" s="198">
        <f t="shared" si="58"/>
        <v>0</v>
      </c>
      <c r="CG24" s="198">
        <f t="shared" si="59"/>
        <v>0</v>
      </c>
      <c r="CH24" s="198">
        <f t="shared" si="60"/>
        <v>-1026.0000000000016</v>
      </c>
      <c r="CI24" s="198">
        <f t="shared" si="61"/>
        <v>0</v>
      </c>
      <c r="CJ24" s="198">
        <f t="shared" si="62"/>
        <v>-3366.6835913402679</v>
      </c>
      <c r="CK24" s="198">
        <f t="shared" si="63"/>
        <v>-92.424380446913005</v>
      </c>
      <c r="CL24" s="198">
        <f t="shared" si="64"/>
        <v>304.86633858330077</v>
      </c>
      <c r="CM24" s="271">
        <f t="shared" si="65"/>
        <v>61.785460511275858</v>
      </c>
      <c r="CN24" s="198">
        <f t="shared" si="66"/>
        <v>66695.029385617599</v>
      </c>
      <c r="CO24" s="209">
        <f t="shared" si="71"/>
        <v>0</v>
      </c>
    </row>
    <row r="25" spans="2:93" x14ac:dyDescent="0.2">
      <c r="B25" s="221">
        <f>'DATA INPUT - DETAIL'!D16</f>
        <v>2</v>
      </c>
      <c r="C25" s="211">
        <f>'DATA INPUT - DETAIL'!E16</f>
        <v>13</v>
      </c>
      <c r="D25" s="257">
        <f>'DATA INPUT - DETAIL'!I16</f>
        <v>0</v>
      </c>
      <c r="E25" s="258">
        <f>'DATA INPUT - DETAIL'!K16</f>
        <v>0</v>
      </c>
      <c r="F25" s="258">
        <f>'DATA INPUT - DETAIL'!L16</f>
        <v>0</v>
      </c>
      <c r="G25" s="179">
        <f>'DATA INPUT - DETAIL'!M16*(1+$V$5)</f>
        <v>0</v>
      </c>
      <c r="H25" s="179">
        <f>'DATA INPUT - DETAIL'!N16*(1+$V$5)</f>
        <v>1000</v>
      </c>
      <c r="I25" s="258">
        <f t="shared" si="72"/>
        <v>1028.196941114719</v>
      </c>
      <c r="J25" s="258">
        <f>'DATA INPUT - DETAIL'!O16</f>
        <v>0</v>
      </c>
      <c r="K25" s="258">
        <f>'DATA INPUT - DETAIL'!P16</f>
        <v>0</v>
      </c>
      <c r="L25" s="267">
        <f>ROUNDDOWN('DATA INPUT - DETAIL'!G16,0)</f>
        <v>35</v>
      </c>
      <c r="M25" s="196">
        <f t="shared" si="25"/>
        <v>8.921042540299684E-5</v>
      </c>
      <c r="N25" s="196">
        <f t="shared" si="1"/>
        <v>0</v>
      </c>
      <c r="O25" s="196">
        <f t="shared" si="2"/>
        <v>0</v>
      </c>
      <c r="P25" s="196">
        <f t="shared" si="3"/>
        <v>0</v>
      </c>
      <c r="Q25" s="196">
        <f t="shared" si="4"/>
        <v>0</v>
      </c>
      <c r="R25" s="196">
        <f t="shared" si="5"/>
        <v>0</v>
      </c>
      <c r="S25" s="196">
        <f t="shared" si="6"/>
        <v>0</v>
      </c>
      <c r="T25" s="196">
        <f t="shared" si="7"/>
        <v>0</v>
      </c>
      <c r="U25" s="185">
        <f>(C25&gt;0)*(C25&lt;$E$5)*VLOOKUP(MPP,ASUMSI!$BN$77:$CR$108,B25+1)*(1+$V$4)</f>
        <v>1.6821425527395739E-3</v>
      </c>
      <c r="V25" s="196">
        <f t="shared" si="8"/>
        <v>0</v>
      </c>
      <c r="W25" s="196">
        <f t="shared" si="68"/>
        <v>0.98893981287078292</v>
      </c>
      <c r="X25" s="196">
        <f t="shared" si="69"/>
        <v>8.8223741404162631E-5</v>
      </c>
      <c r="Y25" s="196">
        <f t="shared" si="26"/>
        <v>1.6635377413282554E-3</v>
      </c>
      <c r="Z25" s="196">
        <f t="shared" si="27"/>
        <v>0</v>
      </c>
      <c r="AA25" s="185">
        <f t="shared" si="28"/>
        <v>0.98718805138805055</v>
      </c>
      <c r="AB25" s="196">
        <f t="shared" si="29"/>
        <v>0</v>
      </c>
      <c r="AC25" s="196">
        <f t="shared" si="29"/>
        <v>0</v>
      </c>
      <c r="AD25" s="196">
        <f t="shared" si="29"/>
        <v>0</v>
      </c>
      <c r="AE25" s="196">
        <f t="shared" si="73"/>
        <v>0</v>
      </c>
      <c r="AF25" s="196">
        <f t="shared" si="30"/>
        <v>0</v>
      </c>
      <c r="AG25" s="196">
        <f t="shared" si="31"/>
        <v>0</v>
      </c>
      <c r="AH25" s="196">
        <f t="shared" si="32"/>
        <v>0</v>
      </c>
      <c r="AI25" s="266">
        <f>'DATA INPUT - DETAIL'!R16</f>
        <v>36509477.6285</v>
      </c>
      <c r="AJ25" s="266">
        <f>'DATA INPUT - DETAIL'!S16</f>
        <v>0</v>
      </c>
      <c r="AK25" s="266">
        <f>'DATA INPUT - DETAIL'!T16</f>
        <v>0</v>
      </c>
      <c r="AL25" s="266">
        <f>'DATA INPUT - DETAIL'!U16</f>
        <v>0</v>
      </c>
      <c r="AM25" s="266">
        <f>'DATA INPUT - DETAIL'!V16</f>
        <v>0</v>
      </c>
      <c r="AN25" s="266">
        <f>'DATA INPUT - DETAIL'!W16</f>
        <v>0</v>
      </c>
      <c r="AO25" s="198">
        <f t="shared" si="10"/>
        <v>0</v>
      </c>
      <c r="AP25" s="266">
        <f>'DATA INPUT - DETAIL'!X16</f>
        <v>0</v>
      </c>
      <c r="AQ25" s="266">
        <f>'DATA INPUT - DETAIL'!Y16</f>
        <v>0</v>
      </c>
      <c r="AR25" s="266">
        <f>'DATA INPUT - DETAIL'!Z16</f>
        <v>0</v>
      </c>
      <c r="AS25" s="266">
        <f>'DATA INPUT - DETAIL'!AD16</f>
        <v>0</v>
      </c>
      <c r="AT25" s="266">
        <f t="shared" si="33"/>
        <v>0</v>
      </c>
      <c r="AU25" s="206">
        <f>'DATA INPUT - DETAIL'!AA16</f>
        <v>105800</v>
      </c>
      <c r="AV25" s="206">
        <f>'DATA INPUT - DETAIL'!AB16</f>
        <v>0</v>
      </c>
      <c r="AW25" s="206">
        <f>'DATA INPUT - DETAIL'!AC16</f>
        <v>0</v>
      </c>
      <c r="AX25" s="206">
        <f t="shared" si="11"/>
        <v>3221.0027130978447</v>
      </c>
      <c r="AY25" s="206">
        <f t="shared" si="34"/>
        <v>0</v>
      </c>
      <c r="AZ25" s="206">
        <f t="shared" si="35"/>
        <v>0</v>
      </c>
      <c r="BA25" s="206">
        <f t="shared" si="12"/>
        <v>0</v>
      </c>
      <c r="BB25" s="206">
        <f t="shared" si="13"/>
        <v>0</v>
      </c>
      <c r="BC25" s="206">
        <f t="shared" si="14"/>
        <v>0</v>
      </c>
      <c r="BD25" s="206">
        <f t="shared" si="15"/>
        <v>0</v>
      </c>
      <c r="BE25" s="206">
        <f t="shared" si="16"/>
        <v>0</v>
      </c>
      <c r="BF25" s="206">
        <f t="shared" si="17"/>
        <v>0</v>
      </c>
      <c r="BG25" s="206">
        <f t="shared" si="36"/>
        <v>176.00229303252942</v>
      </c>
      <c r="BH25" s="206">
        <f t="shared" si="18"/>
        <v>0</v>
      </c>
      <c r="BI25" s="206">
        <f t="shared" si="19"/>
        <v>0</v>
      </c>
      <c r="BJ25" s="266">
        <f t="shared" si="37"/>
        <v>3221.0027130978447</v>
      </c>
      <c r="BK25" s="266">
        <f t="shared" si="38"/>
        <v>176.00229303252942</v>
      </c>
      <c r="BL25" s="192">
        <f t="shared" si="39"/>
        <v>0</v>
      </c>
      <c r="BM25" s="192">
        <f t="shared" si="40"/>
        <v>0</v>
      </c>
      <c r="BN25" s="192">
        <f t="shared" si="41"/>
        <v>0</v>
      </c>
      <c r="BO25" s="192">
        <f t="shared" si="42"/>
        <v>1016.8248905403017</v>
      </c>
      <c r="BP25" s="192">
        <f t="shared" si="43"/>
        <v>1016.8248905403017</v>
      </c>
      <c r="BQ25" s="193">
        <f t="shared" si="44"/>
        <v>1016.8248905403017</v>
      </c>
      <c r="BR25" s="193">
        <f t="shared" si="45"/>
        <v>0</v>
      </c>
      <c r="BS25" s="265">
        <f t="shared" si="46"/>
        <v>40451.076754755624</v>
      </c>
      <c r="BT25" s="265">
        <f t="shared" si="47"/>
        <v>2241.7051674898989</v>
      </c>
      <c r="BU25" s="265">
        <f t="shared" si="48"/>
        <v>0</v>
      </c>
      <c r="BV25" s="265">
        <f t="shared" si="49"/>
        <v>0</v>
      </c>
      <c r="BW25" s="265">
        <f t="shared" si="50"/>
        <v>0</v>
      </c>
      <c r="BX25" s="265">
        <f t="shared" si="51"/>
        <v>23264.587957778465</v>
      </c>
      <c r="BY25" s="265">
        <f t="shared" si="52"/>
        <v>23264.587957778465</v>
      </c>
      <c r="BZ25" s="265">
        <f t="shared" si="53"/>
        <v>23264.587957778465</v>
      </c>
      <c r="CA25" s="265">
        <f t="shared" si="54"/>
        <v>0</v>
      </c>
      <c r="CB25" s="269">
        <f t="shared" si="55"/>
        <v>65957.369880023994</v>
      </c>
      <c r="CC25" s="266">
        <f t="shared" si="56"/>
        <v>66695.029385617556</v>
      </c>
      <c r="CD25" s="241"/>
      <c r="CE25" s="198">
        <f t="shared" si="70"/>
        <v>66695.029385617599</v>
      </c>
      <c r="CF25" s="198">
        <f t="shared" si="58"/>
        <v>0</v>
      </c>
      <c r="CG25" s="198">
        <f t="shared" si="59"/>
        <v>0</v>
      </c>
      <c r="CH25" s="198">
        <f t="shared" si="60"/>
        <v>-1028.196941114719</v>
      </c>
      <c r="CI25" s="198">
        <f t="shared" si="61"/>
        <v>0</v>
      </c>
      <c r="CJ25" s="198">
        <f t="shared" si="62"/>
        <v>-3257.0260304796811</v>
      </c>
      <c r="CK25" s="198">
        <f t="shared" si="63"/>
        <v>-177.97068207984694</v>
      </c>
      <c r="CL25" s="198">
        <f t="shared" si="64"/>
        <v>286.86528270160306</v>
      </c>
      <c r="CM25" s="271">
        <f t="shared" si="65"/>
        <v>110.93919971371038</v>
      </c>
      <c r="CN25" s="198">
        <f t="shared" si="66"/>
        <v>62629.640214358675</v>
      </c>
      <c r="CO25" s="209">
        <f t="shared" si="71"/>
        <v>0</v>
      </c>
    </row>
    <row r="26" spans="2:93" x14ac:dyDescent="0.2">
      <c r="B26" s="221">
        <f>'DATA INPUT - DETAIL'!D17</f>
        <v>2</v>
      </c>
      <c r="C26" s="211">
        <f>'DATA INPUT - DETAIL'!E17</f>
        <v>14</v>
      </c>
      <c r="D26" s="257">
        <f>'DATA INPUT - DETAIL'!I17</f>
        <v>0</v>
      </c>
      <c r="E26" s="258">
        <f>'DATA INPUT - DETAIL'!K17</f>
        <v>0</v>
      </c>
      <c r="F26" s="258">
        <f>'DATA INPUT - DETAIL'!L17</f>
        <v>0</v>
      </c>
      <c r="G26" s="179">
        <f>'DATA INPUT - DETAIL'!M17*(1+$V$5)</f>
        <v>0</v>
      </c>
      <c r="H26" s="179">
        <f>'DATA INPUT - DETAIL'!N17*(1+$V$5)</f>
        <v>1000</v>
      </c>
      <c r="I26" s="258">
        <f t="shared" si="72"/>
        <v>1030.3985864694571</v>
      </c>
      <c r="J26" s="258">
        <f>'DATA INPUT - DETAIL'!O17</f>
        <v>0</v>
      </c>
      <c r="K26" s="258">
        <f>'DATA INPUT - DETAIL'!P17</f>
        <v>0</v>
      </c>
      <c r="L26" s="267">
        <f>ROUNDDOWN('DATA INPUT - DETAIL'!G17,0)</f>
        <v>35</v>
      </c>
      <c r="M26" s="196">
        <f t="shared" si="25"/>
        <v>8.921042540299684E-5</v>
      </c>
      <c r="N26" s="196">
        <f t="shared" si="1"/>
        <v>0</v>
      </c>
      <c r="O26" s="196">
        <f t="shared" si="2"/>
        <v>0</v>
      </c>
      <c r="P26" s="196">
        <f t="shared" si="3"/>
        <v>0</v>
      </c>
      <c r="Q26" s="196">
        <f t="shared" si="4"/>
        <v>0</v>
      </c>
      <c r="R26" s="196">
        <f t="shared" si="5"/>
        <v>0</v>
      </c>
      <c r="S26" s="196">
        <f t="shared" si="6"/>
        <v>0</v>
      </c>
      <c r="T26" s="196">
        <f t="shared" si="7"/>
        <v>0</v>
      </c>
      <c r="U26" s="185">
        <f>(C26&gt;0)*(C26&lt;$E$5)*VLOOKUP(MPP,ASUMSI!$BN$77:$CR$108,B26+1)*(1+$V$4)</f>
        <v>1.6821425527395739E-3</v>
      </c>
      <c r="V26" s="196">
        <f t="shared" si="8"/>
        <v>0</v>
      </c>
      <c r="W26" s="196">
        <f t="shared" si="68"/>
        <v>0.98718805138805055</v>
      </c>
      <c r="X26" s="196">
        <f t="shared" si="69"/>
        <v>8.8067466017083493E-5</v>
      </c>
      <c r="Y26" s="196">
        <f t="shared" si="26"/>
        <v>1.6605910287959011E-3</v>
      </c>
      <c r="Z26" s="196">
        <f t="shared" si="27"/>
        <v>0</v>
      </c>
      <c r="AA26" s="185">
        <f t="shared" si="28"/>
        <v>0.98543939289323756</v>
      </c>
      <c r="AB26" s="196">
        <f t="shared" si="29"/>
        <v>0</v>
      </c>
      <c r="AC26" s="196">
        <f t="shared" si="29"/>
        <v>0</v>
      </c>
      <c r="AD26" s="196">
        <f t="shared" si="29"/>
        <v>0</v>
      </c>
      <c r="AE26" s="196">
        <f t="shared" si="73"/>
        <v>0</v>
      </c>
      <c r="AF26" s="196">
        <f t="shared" si="30"/>
        <v>0</v>
      </c>
      <c r="AG26" s="196">
        <f t="shared" si="31"/>
        <v>0</v>
      </c>
      <c r="AH26" s="196">
        <f t="shared" si="32"/>
        <v>0</v>
      </c>
      <c r="AI26" s="266">
        <f>'DATA INPUT - DETAIL'!R17</f>
        <v>35259789.754299998</v>
      </c>
      <c r="AJ26" s="266">
        <f>'DATA INPUT - DETAIL'!S17</f>
        <v>0</v>
      </c>
      <c r="AK26" s="266">
        <f>'DATA INPUT - DETAIL'!T17</f>
        <v>0</v>
      </c>
      <c r="AL26" s="266">
        <f>'DATA INPUT - DETAIL'!U17</f>
        <v>0</v>
      </c>
      <c r="AM26" s="266">
        <f>'DATA INPUT - DETAIL'!V17</f>
        <v>0</v>
      </c>
      <c r="AN26" s="266">
        <f>'DATA INPUT - DETAIL'!W17</f>
        <v>0</v>
      </c>
      <c r="AO26" s="198">
        <f t="shared" si="10"/>
        <v>0</v>
      </c>
      <c r="AP26" s="266">
        <f>'DATA INPUT - DETAIL'!X17</f>
        <v>0</v>
      </c>
      <c r="AQ26" s="266">
        <f>'DATA INPUT - DETAIL'!Y17</f>
        <v>0</v>
      </c>
      <c r="AR26" s="266">
        <f>'DATA INPUT - DETAIL'!Z17</f>
        <v>0</v>
      </c>
      <c r="AS26" s="266">
        <f>'DATA INPUT - DETAIL'!AD17</f>
        <v>0</v>
      </c>
      <c r="AT26" s="266">
        <f t="shared" si="33"/>
        <v>0</v>
      </c>
      <c r="AU26" s="206">
        <f>'DATA INPUT - DETAIL'!AA17</f>
        <v>101200</v>
      </c>
      <c r="AV26" s="206">
        <f>'DATA INPUT - DETAIL'!AB17</f>
        <v>0</v>
      </c>
      <c r="AW26" s="206">
        <f>'DATA INPUT - DETAIL'!AC17</f>
        <v>0</v>
      </c>
      <c r="AX26" s="206">
        <f t="shared" si="11"/>
        <v>3105.2403359563236</v>
      </c>
      <c r="AY26" s="206">
        <f t="shared" si="34"/>
        <v>0</v>
      </c>
      <c r="AZ26" s="206">
        <f t="shared" si="35"/>
        <v>0</v>
      </c>
      <c r="BA26" s="206">
        <f t="shared" si="12"/>
        <v>0</v>
      </c>
      <c r="BB26" s="206">
        <f t="shared" si="13"/>
        <v>0</v>
      </c>
      <c r="BC26" s="206">
        <f t="shared" si="14"/>
        <v>0</v>
      </c>
      <c r="BD26" s="206">
        <f t="shared" si="15"/>
        <v>0</v>
      </c>
      <c r="BE26" s="206">
        <f t="shared" si="16"/>
        <v>0</v>
      </c>
      <c r="BF26" s="206">
        <f t="shared" si="17"/>
        <v>0</v>
      </c>
      <c r="BG26" s="206">
        <f t="shared" si="36"/>
        <v>168.05181211414518</v>
      </c>
      <c r="BH26" s="206">
        <f t="shared" si="18"/>
        <v>0</v>
      </c>
      <c r="BI26" s="206">
        <f t="shared" si="19"/>
        <v>0</v>
      </c>
      <c r="BJ26" s="266">
        <f t="shared" si="37"/>
        <v>3105.2403359563236</v>
      </c>
      <c r="BK26" s="266">
        <f t="shared" si="38"/>
        <v>168.05181211414518</v>
      </c>
      <c r="BL26" s="192">
        <f t="shared" si="39"/>
        <v>0</v>
      </c>
      <c r="BM26" s="192">
        <f t="shared" si="40"/>
        <v>0</v>
      </c>
      <c r="BN26" s="192">
        <f t="shared" si="41"/>
        <v>0</v>
      </c>
      <c r="BO26" s="192">
        <f t="shared" si="42"/>
        <v>1017.1971727297851</v>
      </c>
      <c r="BP26" s="192">
        <f t="shared" si="43"/>
        <v>1017.1971727297851</v>
      </c>
      <c r="BQ26" s="193">
        <f t="shared" si="44"/>
        <v>1017.1971727297851</v>
      </c>
      <c r="BR26" s="193">
        <f t="shared" si="45"/>
        <v>0</v>
      </c>
      <c r="BS26" s="265">
        <f t="shared" si="46"/>
        <v>37406.784401163</v>
      </c>
      <c r="BT26" s="265">
        <f t="shared" si="47"/>
        <v>2075.4957540994492</v>
      </c>
      <c r="BU26" s="265">
        <f t="shared" si="48"/>
        <v>0</v>
      </c>
      <c r="BV26" s="265">
        <f t="shared" si="49"/>
        <v>0</v>
      </c>
      <c r="BW26" s="265">
        <f t="shared" si="50"/>
        <v>0</v>
      </c>
      <c r="BX26" s="265">
        <f t="shared" si="51"/>
        <v>22344.952327084909</v>
      </c>
      <c r="BY26" s="265">
        <f t="shared" si="52"/>
        <v>22344.952327084909</v>
      </c>
      <c r="BZ26" s="265">
        <f t="shared" si="53"/>
        <v>22344.952327084909</v>
      </c>
      <c r="CA26" s="265">
        <f t="shared" si="54"/>
        <v>0</v>
      </c>
      <c r="CB26" s="269">
        <f t="shared" si="55"/>
        <v>61827.232482347361</v>
      </c>
      <c r="CC26" s="266">
        <f t="shared" si="56"/>
        <v>62629.640214358609</v>
      </c>
      <c r="CD26" s="241"/>
      <c r="CE26" s="198">
        <f t="shared" si="70"/>
        <v>62629.640214358675</v>
      </c>
      <c r="CF26" s="198">
        <f t="shared" si="58"/>
        <v>0</v>
      </c>
      <c r="CG26" s="198">
        <f t="shared" si="59"/>
        <v>0</v>
      </c>
      <c r="CH26" s="198">
        <f t="shared" si="60"/>
        <v>-1030.3985864694571</v>
      </c>
      <c r="CI26" s="198">
        <f t="shared" si="61"/>
        <v>0</v>
      </c>
      <c r="CJ26" s="198">
        <f t="shared" si="62"/>
        <v>-3145.5408436013322</v>
      </c>
      <c r="CK26" s="198">
        <f t="shared" si="63"/>
        <v>-170.23282633724489</v>
      </c>
      <c r="CL26" s="198">
        <f t="shared" si="64"/>
        <v>269.09602924311679</v>
      </c>
      <c r="CM26" s="271">
        <f t="shared" si="65"/>
        <v>103.90130448171797</v>
      </c>
      <c r="CN26" s="198">
        <f t="shared" si="66"/>
        <v>58656.465291675479</v>
      </c>
      <c r="CO26" s="209">
        <f t="shared" si="71"/>
        <v>6.5483618527650833E-11</v>
      </c>
    </row>
    <row r="27" spans="2:93" x14ac:dyDescent="0.2">
      <c r="B27" s="221">
        <f>'DATA INPUT - DETAIL'!D18</f>
        <v>2</v>
      </c>
      <c r="C27" s="211">
        <f>'DATA INPUT - DETAIL'!E18</f>
        <v>15</v>
      </c>
      <c r="D27" s="257">
        <f>'DATA INPUT - DETAIL'!I18</f>
        <v>0</v>
      </c>
      <c r="E27" s="258">
        <f>'DATA INPUT - DETAIL'!K18</f>
        <v>0</v>
      </c>
      <c r="F27" s="258">
        <f>'DATA INPUT - DETAIL'!L18</f>
        <v>0</v>
      </c>
      <c r="G27" s="179">
        <f>'DATA INPUT - DETAIL'!M18*(1+$V$5)</f>
        <v>0</v>
      </c>
      <c r="H27" s="179">
        <f>'DATA INPUT - DETAIL'!N18*(1+$V$5)</f>
        <v>1000</v>
      </c>
      <c r="I27" s="258">
        <f t="shared" si="72"/>
        <v>1032.6049461372556</v>
      </c>
      <c r="J27" s="258">
        <f>'DATA INPUT - DETAIL'!O18</f>
        <v>0</v>
      </c>
      <c r="K27" s="258">
        <f>'DATA INPUT - DETAIL'!P18</f>
        <v>0</v>
      </c>
      <c r="L27" s="267">
        <f>ROUNDDOWN('DATA INPUT - DETAIL'!G18,0)</f>
        <v>35</v>
      </c>
      <c r="M27" s="196">
        <f t="shared" si="25"/>
        <v>8.921042540299684E-5</v>
      </c>
      <c r="N27" s="196">
        <f t="shared" si="1"/>
        <v>0</v>
      </c>
      <c r="O27" s="196">
        <f t="shared" si="2"/>
        <v>0</v>
      </c>
      <c r="P27" s="196">
        <f t="shared" si="3"/>
        <v>0</v>
      </c>
      <c r="Q27" s="196">
        <f t="shared" si="4"/>
        <v>0</v>
      </c>
      <c r="R27" s="196">
        <f t="shared" si="5"/>
        <v>0</v>
      </c>
      <c r="S27" s="196">
        <f t="shared" si="6"/>
        <v>0</v>
      </c>
      <c r="T27" s="196">
        <f t="shared" si="7"/>
        <v>0</v>
      </c>
      <c r="U27" s="185">
        <f>(C27&gt;0)*(C27&lt;$E$5)*VLOOKUP(MPP,ASUMSI!$BN$77:$CR$108,B27+1)*(1+$V$4)</f>
        <v>1.6821425527395739E-3</v>
      </c>
      <c r="V27" s="196">
        <f t="shared" si="8"/>
        <v>0</v>
      </c>
      <c r="W27" s="196">
        <f t="shared" si="68"/>
        <v>0.98543939289323756</v>
      </c>
      <c r="X27" s="196">
        <f t="shared" si="69"/>
        <v>8.7911467448876664E-5</v>
      </c>
      <c r="Y27" s="196">
        <f t="shared" si="26"/>
        <v>1.6576495359315667E-3</v>
      </c>
      <c r="Z27" s="196">
        <f t="shared" si="27"/>
        <v>0</v>
      </c>
      <c r="AA27" s="185">
        <f t="shared" si="28"/>
        <v>0.98369383188985715</v>
      </c>
      <c r="AB27" s="196">
        <f t="shared" si="29"/>
        <v>0</v>
      </c>
      <c r="AC27" s="196">
        <f t="shared" si="29"/>
        <v>0</v>
      </c>
      <c r="AD27" s="196">
        <f t="shared" si="29"/>
        <v>0</v>
      </c>
      <c r="AE27" s="196">
        <f t="shared" si="73"/>
        <v>0</v>
      </c>
      <c r="AF27" s="196">
        <f t="shared" si="30"/>
        <v>0</v>
      </c>
      <c r="AG27" s="196">
        <f t="shared" si="31"/>
        <v>0</v>
      </c>
      <c r="AH27" s="196">
        <f t="shared" si="32"/>
        <v>0</v>
      </c>
      <c r="AI27" s="266">
        <f>'DATA INPUT - DETAIL'!R18</f>
        <v>33989273.748899996</v>
      </c>
      <c r="AJ27" s="266">
        <f>'DATA INPUT - DETAIL'!S18</f>
        <v>0</v>
      </c>
      <c r="AK27" s="266">
        <f>'DATA INPUT - DETAIL'!T18</f>
        <v>0</v>
      </c>
      <c r="AL27" s="266">
        <f>'DATA INPUT - DETAIL'!U18</f>
        <v>0</v>
      </c>
      <c r="AM27" s="266">
        <f>'DATA INPUT - DETAIL'!V18</f>
        <v>0</v>
      </c>
      <c r="AN27" s="266">
        <f>'DATA INPUT - DETAIL'!W18</f>
        <v>0</v>
      </c>
      <c r="AO27" s="198">
        <f t="shared" si="10"/>
        <v>0</v>
      </c>
      <c r="AP27" s="266">
        <f>'DATA INPUT - DETAIL'!X18</f>
        <v>0</v>
      </c>
      <c r="AQ27" s="266">
        <f>'DATA INPUT - DETAIL'!Y18</f>
        <v>0</v>
      </c>
      <c r="AR27" s="266">
        <f>'DATA INPUT - DETAIL'!Z18</f>
        <v>0</v>
      </c>
      <c r="AS27" s="266">
        <f>'DATA INPUT - DETAIL'!AD18</f>
        <v>0</v>
      </c>
      <c r="AT27" s="266">
        <f t="shared" si="33"/>
        <v>0</v>
      </c>
      <c r="AU27" s="206">
        <f>'DATA INPUT - DETAIL'!AA18</f>
        <v>96600</v>
      </c>
      <c r="AV27" s="206">
        <f>'DATA INPUT - DETAIL'!AB18</f>
        <v>0</v>
      </c>
      <c r="AW27" s="206">
        <f>'DATA INPUT - DETAIL'!AC18</f>
        <v>0</v>
      </c>
      <c r="AX27" s="206">
        <f t="shared" si="11"/>
        <v>2988.0469327873802</v>
      </c>
      <c r="AY27" s="206">
        <f t="shared" si="34"/>
        <v>0</v>
      </c>
      <c r="AZ27" s="206">
        <f t="shared" si="35"/>
        <v>0</v>
      </c>
      <c r="BA27" s="206">
        <f t="shared" si="12"/>
        <v>0</v>
      </c>
      <c r="BB27" s="206">
        <f t="shared" si="13"/>
        <v>0</v>
      </c>
      <c r="BC27" s="206">
        <f t="shared" si="14"/>
        <v>0</v>
      </c>
      <c r="BD27" s="206">
        <f t="shared" si="15"/>
        <v>0</v>
      </c>
      <c r="BE27" s="206">
        <f t="shared" si="16"/>
        <v>0</v>
      </c>
      <c r="BF27" s="206">
        <f t="shared" si="17"/>
        <v>0</v>
      </c>
      <c r="BG27" s="206">
        <f t="shared" si="36"/>
        <v>160.12894517098934</v>
      </c>
      <c r="BH27" s="206">
        <f t="shared" si="18"/>
        <v>0</v>
      </c>
      <c r="BI27" s="206">
        <f t="shared" si="19"/>
        <v>0</v>
      </c>
      <c r="BJ27" s="266">
        <f t="shared" si="37"/>
        <v>2988.0469327873802</v>
      </c>
      <c r="BK27" s="266">
        <f t="shared" si="38"/>
        <v>160.12894517098934</v>
      </c>
      <c r="BL27" s="192">
        <f t="shared" si="39"/>
        <v>0</v>
      </c>
      <c r="BM27" s="192">
        <f t="shared" si="40"/>
        <v>0</v>
      </c>
      <c r="BN27" s="192">
        <f t="shared" si="41"/>
        <v>0</v>
      </c>
      <c r="BO27" s="192">
        <f t="shared" si="42"/>
        <v>1017.5695912200515</v>
      </c>
      <c r="BP27" s="192">
        <f t="shared" si="43"/>
        <v>1017.5695912200515</v>
      </c>
      <c r="BQ27" s="193">
        <f t="shared" si="44"/>
        <v>1017.5695912200515</v>
      </c>
      <c r="BR27" s="193">
        <f t="shared" si="45"/>
        <v>0</v>
      </c>
      <c r="BS27" s="265">
        <f t="shared" si="46"/>
        <v>34464.955446306354</v>
      </c>
      <c r="BT27" s="265">
        <f t="shared" si="47"/>
        <v>1916.5107365006156</v>
      </c>
      <c r="BU27" s="265">
        <f t="shared" si="48"/>
        <v>0</v>
      </c>
      <c r="BV27" s="265">
        <f t="shared" si="49"/>
        <v>0</v>
      </c>
      <c r="BW27" s="265">
        <f t="shared" si="50"/>
        <v>0</v>
      </c>
      <c r="BX27" s="265">
        <f t="shared" si="51"/>
        <v>21420.925363484905</v>
      </c>
      <c r="BY27" s="265">
        <f t="shared" si="52"/>
        <v>21420.925363484905</v>
      </c>
      <c r="BZ27" s="265">
        <f t="shared" si="53"/>
        <v>21420.925363484905</v>
      </c>
      <c r="CA27" s="265">
        <f t="shared" si="54"/>
        <v>0</v>
      </c>
      <c r="CB27" s="269">
        <f t="shared" si="55"/>
        <v>57802.391546291881</v>
      </c>
      <c r="CC27" s="266">
        <f t="shared" si="56"/>
        <v>58656.465291675413</v>
      </c>
      <c r="CD27" s="241"/>
      <c r="CE27" s="198">
        <f t="shared" si="70"/>
        <v>58656.465291675479</v>
      </c>
      <c r="CF27" s="198">
        <f t="shared" si="58"/>
        <v>0</v>
      </c>
      <c r="CG27" s="198">
        <f t="shared" si="59"/>
        <v>0</v>
      </c>
      <c r="CH27" s="198">
        <f t="shared" si="60"/>
        <v>-1032.6049461372556</v>
      </c>
      <c r="CI27" s="198">
        <f t="shared" si="61"/>
        <v>0</v>
      </c>
      <c r="CJ27" s="198">
        <f t="shared" si="62"/>
        <v>-3032.197570278282</v>
      </c>
      <c r="CK27" s="198">
        <f t="shared" si="63"/>
        <v>-162.49497059464284</v>
      </c>
      <c r="CL27" s="198">
        <f t="shared" si="64"/>
        <v>251.72959274913686</v>
      </c>
      <c r="CM27" s="271">
        <f t="shared" si="65"/>
        <v>97.031046685934271</v>
      </c>
      <c r="CN27" s="198">
        <f t="shared" si="66"/>
        <v>54777.928444100377</v>
      </c>
      <c r="CO27" s="209">
        <f t="shared" si="71"/>
        <v>6.5483618527650833E-11</v>
      </c>
    </row>
    <row r="28" spans="2:93" x14ac:dyDescent="0.2">
      <c r="B28" s="221">
        <f>'DATA INPUT - DETAIL'!D19</f>
        <v>2</v>
      </c>
      <c r="C28" s="211">
        <f>'DATA INPUT - DETAIL'!E19</f>
        <v>16</v>
      </c>
      <c r="D28" s="257">
        <f>'DATA INPUT - DETAIL'!I19</f>
        <v>0</v>
      </c>
      <c r="E28" s="258">
        <f>'DATA INPUT - DETAIL'!K19</f>
        <v>0</v>
      </c>
      <c r="F28" s="258">
        <f>'DATA INPUT - DETAIL'!L19</f>
        <v>0</v>
      </c>
      <c r="G28" s="179">
        <f>'DATA INPUT - DETAIL'!M19*(1+$V$5)</f>
        <v>0</v>
      </c>
      <c r="H28" s="179">
        <f>'DATA INPUT - DETAIL'!N19*(1+$V$5)</f>
        <v>1000</v>
      </c>
      <c r="I28" s="258">
        <f t="shared" si="72"/>
        <v>1034.816030212723</v>
      </c>
      <c r="J28" s="258">
        <f>'DATA INPUT - DETAIL'!O19</f>
        <v>0</v>
      </c>
      <c r="K28" s="258">
        <f>'DATA INPUT - DETAIL'!P19</f>
        <v>0</v>
      </c>
      <c r="L28" s="267">
        <f>ROUNDDOWN('DATA INPUT - DETAIL'!G19,0)</f>
        <v>35</v>
      </c>
      <c r="M28" s="196">
        <f t="shared" si="25"/>
        <v>8.921042540299684E-5</v>
      </c>
      <c r="N28" s="196">
        <f t="shared" si="1"/>
        <v>0</v>
      </c>
      <c r="O28" s="196">
        <f t="shared" si="2"/>
        <v>0</v>
      </c>
      <c r="P28" s="196">
        <f t="shared" si="3"/>
        <v>0</v>
      </c>
      <c r="Q28" s="196">
        <f t="shared" si="4"/>
        <v>0</v>
      </c>
      <c r="R28" s="196">
        <f t="shared" si="5"/>
        <v>0</v>
      </c>
      <c r="S28" s="196">
        <f t="shared" si="6"/>
        <v>0</v>
      </c>
      <c r="T28" s="196">
        <f t="shared" si="7"/>
        <v>0</v>
      </c>
      <c r="U28" s="185">
        <f>(C28&gt;0)*(C28&lt;$E$5)*VLOOKUP(MPP,ASUMSI!$BN$77:$CR$108,B28+1)*(1+$V$4)</f>
        <v>1.6821425527395739E-3</v>
      </c>
      <c r="V28" s="196">
        <f t="shared" si="8"/>
        <v>0</v>
      </c>
      <c r="W28" s="196">
        <f t="shared" si="68"/>
        <v>0.98369383188985715</v>
      </c>
      <c r="X28" s="196">
        <f t="shared" si="69"/>
        <v>8.7755745209198212E-5</v>
      </c>
      <c r="Y28" s="196">
        <f t="shared" si="26"/>
        <v>1.6547132534893776E-3</v>
      </c>
      <c r="Z28" s="196">
        <f t="shared" si="27"/>
        <v>0</v>
      </c>
      <c r="AA28" s="185">
        <f t="shared" si="28"/>
        <v>0.98195136289115859</v>
      </c>
      <c r="AB28" s="196">
        <f t="shared" si="29"/>
        <v>0</v>
      </c>
      <c r="AC28" s="196">
        <f t="shared" si="29"/>
        <v>0</v>
      </c>
      <c r="AD28" s="196">
        <f t="shared" si="29"/>
        <v>0</v>
      </c>
      <c r="AE28" s="196">
        <f t="shared" si="73"/>
        <v>0</v>
      </c>
      <c r="AF28" s="196">
        <f t="shared" si="30"/>
        <v>0</v>
      </c>
      <c r="AG28" s="196">
        <f t="shared" si="31"/>
        <v>0</v>
      </c>
      <c r="AH28" s="196">
        <f t="shared" si="32"/>
        <v>0</v>
      </c>
      <c r="AI28" s="266">
        <f>'DATA INPUT - DETAIL'!R19</f>
        <v>32697582.4767</v>
      </c>
      <c r="AJ28" s="266">
        <f>'DATA INPUT - DETAIL'!S19</f>
        <v>0</v>
      </c>
      <c r="AK28" s="266">
        <f>'DATA INPUT - DETAIL'!T19</f>
        <v>0</v>
      </c>
      <c r="AL28" s="266">
        <f>'DATA INPUT - DETAIL'!U19</f>
        <v>0</v>
      </c>
      <c r="AM28" s="266">
        <f>'DATA INPUT - DETAIL'!V19</f>
        <v>0</v>
      </c>
      <c r="AN28" s="266">
        <f>'DATA INPUT - DETAIL'!W19</f>
        <v>0</v>
      </c>
      <c r="AO28" s="198">
        <f t="shared" si="10"/>
        <v>0</v>
      </c>
      <c r="AP28" s="266">
        <f>'DATA INPUT - DETAIL'!X19</f>
        <v>0</v>
      </c>
      <c r="AQ28" s="266">
        <f>'DATA INPUT - DETAIL'!Y19</f>
        <v>0</v>
      </c>
      <c r="AR28" s="266">
        <f>'DATA INPUT - DETAIL'!Z19</f>
        <v>0</v>
      </c>
      <c r="AS28" s="266">
        <f>'DATA INPUT - DETAIL'!AD19</f>
        <v>0</v>
      </c>
      <c r="AT28" s="266">
        <f t="shared" si="33"/>
        <v>0</v>
      </c>
      <c r="AU28" s="206">
        <f>'DATA INPUT - DETAIL'!AA19</f>
        <v>92000</v>
      </c>
      <c r="AV28" s="206">
        <f>'DATA INPUT - DETAIL'!AB19</f>
        <v>0</v>
      </c>
      <c r="AW28" s="206">
        <f>'DATA INPUT - DETAIL'!AC19</f>
        <v>0</v>
      </c>
      <c r="AX28" s="206">
        <f t="shared" si="11"/>
        <v>2869.4007167820296</v>
      </c>
      <c r="AY28" s="206">
        <f t="shared" si="34"/>
        <v>0</v>
      </c>
      <c r="AZ28" s="206">
        <f t="shared" si="35"/>
        <v>0</v>
      </c>
      <c r="BA28" s="206">
        <f t="shared" si="12"/>
        <v>0</v>
      </c>
      <c r="BB28" s="206">
        <f t="shared" si="13"/>
        <v>0</v>
      </c>
      <c r="BC28" s="206">
        <f t="shared" si="14"/>
        <v>0</v>
      </c>
      <c r="BD28" s="206">
        <f t="shared" si="15"/>
        <v>0</v>
      </c>
      <c r="BE28" s="206">
        <f t="shared" si="16"/>
        <v>0</v>
      </c>
      <c r="BF28" s="206">
        <f t="shared" si="17"/>
        <v>0</v>
      </c>
      <c r="BG28" s="206">
        <f t="shared" si="36"/>
        <v>152.23361932102273</v>
      </c>
      <c r="BH28" s="206">
        <f t="shared" si="18"/>
        <v>0</v>
      </c>
      <c r="BI28" s="206">
        <f t="shared" si="19"/>
        <v>0</v>
      </c>
      <c r="BJ28" s="266">
        <f t="shared" si="37"/>
        <v>2869.4007167820296</v>
      </c>
      <c r="BK28" s="266">
        <f t="shared" si="38"/>
        <v>152.23361932102273</v>
      </c>
      <c r="BL28" s="192">
        <f t="shared" si="39"/>
        <v>0</v>
      </c>
      <c r="BM28" s="192">
        <f t="shared" si="40"/>
        <v>0</v>
      </c>
      <c r="BN28" s="192">
        <f t="shared" si="41"/>
        <v>0</v>
      </c>
      <c r="BO28" s="192">
        <f t="shared" si="42"/>
        <v>1017.9421460610038</v>
      </c>
      <c r="BP28" s="192">
        <f t="shared" si="43"/>
        <v>1017.9421460610038</v>
      </c>
      <c r="BQ28" s="193">
        <f t="shared" si="44"/>
        <v>1017.9421460610038</v>
      </c>
      <c r="BR28" s="193">
        <f t="shared" si="45"/>
        <v>0</v>
      </c>
      <c r="BS28" s="265">
        <f t="shared" si="46"/>
        <v>31627.46852714166</v>
      </c>
      <c r="BT28" s="265">
        <f t="shared" si="47"/>
        <v>1764.7540604609499</v>
      </c>
      <c r="BU28" s="265">
        <f t="shared" si="48"/>
        <v>0</v>
      </c>
      <c r="BV28" s="265">
        <f t="shared" si="49"/>
        <v>0</v>
      </c>
      <c r="BW28" s="265">
        <f t="shared" si="50"/>
        <v>0</v>
      </c>
      <c r="BX28" s="265">
        <f t="shared" si="51"/>
        <v>20492.48774656282</v>
      </c>
      <c r="BY28" s="265">
        <f t="shared" si="52"/>
        <v>20492.48774656282</v>
      </c>
      <c r="BZ28" s="265">
        <f t="shared" si="53"/>
        <v>20492.48774656282</v>
      </c>
      <c r="CA28" s="265">
        <f t="shared" si="54"/>
        <v>0</v>
      </c>
      <c r="CB28" s="269">
        <f t="shared" si="55"/>
        <v>53884.710334165429</v>
      </c>
      <c r="CC28" s="266">
        <f t="shared" si="56"/>
        <v>54777.928444100304</v>
      </c>
      <c r="CD28" s="241"/>
      <c r="CE28" s="198">
        <f t="shared" si="70"/>
        <v>54777.928444100377</v>
      </c>
      <c r="CF28" s="198">
        <f t="shared" si="58"/>
        <v>0</v>
      </c>
      <c r="CG28" s="198">
        <f t="shared" si="59"/>
        <v>0</v>
      </c>
      <c r="CH28" s="198">
        <f t="shared" si="60"/>
        <v>-1034.816030212723</v>
      </c>
      <c r="CI28" s="198">
        <f t="shared" si="61"/>
        <v>0</v>
      </c>
      <c r="CJ28" s="198">
        <f t="shared" si="62"/>
        <v>-2916.9652423959819</v>
      </c>
      <c r="CK28" s="198">
        <f t="shared" si="63"/>
        <v>-154.75711485204079</v>
      </c>
      <c r="CL28" s="198">
        <f t="shared" si="64"/>
        <v>234.77656165162739</v>
      </c>
      <c r="CM28" s="271">
        <f t="shared" si="65"/>
        <v>90.332801121424154</v>
      </c>
      <c r="CN28" s="198">
        <f t="shared" si="66"/>
        <v>50996.499419412678</v>
      </c>
      <c r="CO28" s="209">
        <f t="shared" si="71"/>
        <v>7.2759576141834259E-11</v>
      </c>
    </row>
    <row r="29" spans="2:93" x14ac:dyDescent="0.2">
      <c r="B29" s="221">
        <f>'DATA INPUT - DETAIL'!D20</f>
        <v>2</v>
      </c>
      <c r="C29" s="211">
        <f>'DATA INPUT - DETAIL'!E20</f>
        <v>17</v>
      </c>
      <c r="D29" s="257">
        <f>'DATA INPUT - DETAIL'!I20</f>
        <v>0</v>
      </c>
      <c r="E29" s="258">
        <f>'DATA INPUT - DETAIL'!K20</f>
        <v>0</v>
      </c>
      <c r="F29" s="258">
        <f>'DATA INPUT - DETAIL'!L20</f>
        <v>0</v>
      </c>
      <c r="G29" s="179">
        <f>'DATA INPUT - DETAIL'!M20*(1+$V$5)</f>
        <v>0</v>
      </c>
      <c r="H29" s="179">
        <f>'DATA INPUT - DETAIL'!N20*(1+$V$5)</f>
        <v>1000</v>
      </c>
      <c r="I29" s="258">
        <f t="shared" si="72"/>
        <v>1037.0318488120824</v>
      </c>
      <c r="J29" s="258">
        <f>'DATA INPUT - DETAIL'!O20</f>
        <v>0</v>
      </c>
      <c r="K29" s="258">
        <f>'DATA INPUT - DETAIL'!P20</f>
        <v>0</v>
      </c>
      <c r="L29" s="267">
        <f>ROUNDDOWN('DATA INPUT - DETAIL'!G20,0)</f>
        <v>35</v>
      </c>
      <c r="M29" s="196">
        <f t="shared" si="25"/>
        <v>8.921042540299684E-5</v>
      </c>
      <c r="N29" s="196">
        <f t="shared" si="1"/>
        <v>0</v>
      </c>
      <c r="O29" s="196">
        <f t="shared" si="2"/>
        <v>0</v>
      </c>
      <c r="P29" s="196">
        <f t="shared" si="3"/>
        <v>0</v>
      </c>
      <c r="Q29" s="196">
        <f t="shared" si="4"/>
        <v>0</v>
      </c>
      <c r="R29" s="196">
        <f t="shared" si="5"/>
        <v>0</v>
      </c>
      <c r="S29" s="196">
        <f t="shared" si="6"/>
        <v>0</v>
      </c>
      <c r="T29" s="196">
        <f t="shared" si="7"/>
        <v>0</v>
      </c>
      <c r="U29" s="185">
        <f>(C29&gt;0)*(C29&lt;$E$5)*VLOOKUP(MPP,ASUMSI!$BN$77:$CR$108,B29+1)*(1+$V$4)</f>
        <v>1.6821425527395739E-3</v>
      </c>
      <c r="V29" s="196">
        <f t="shared" si="8"/>
        <v>0</v>
      </c>
      <c r="W29" s="196">
        <f t="shared" si="68"/>
        <v>0.98195136289115859</v>
      </c>
      <c r="X29" s="196">
        <f t="shared" si="69"/>
        <v>8.7600298808572776E-5</v>
      </c>
      <c r="Y29" s="196">
        <f t="shared" si="26"/>
        <v>1.6517821722398373E-3</v>
      </c>
      <c r="Z29" s="196">
        <f t="shared" si="27"/>
        <v>0</v>
      </c>
      <c r="AA29" s="185">
        <f t="shared" si="28"/>
        <v>0.98021198042011015</v>
      </c>
      <c r="AB29" s="196">
        <f t="shared" si="29"/>
        <v>0</v>
      </c>
      <c r="AC29" s="196">
        <f t="shared" si="29"/>
        <v>0</v>
      </c>
      <c r="AD29" s="196">
        <f t="shared" si="29"/>
        <v>0</v>
      </c>
      <c r="AE29" s="196">
        <f t="shared" si="73"/>
        <v>0</v>
      </c>
      <c r="AF29" s="196">
        <f t="shared" si="30"/>
        <v>0</v>
      </c>
      <c r="AG29" s="196">
        <f t="shared" si="31"/>
        <v>0</v>
      </c>
      <c r="AH29" s="196">
        <f t="shared" si="32"/>
        <v>0</v>
      </c>
      <c r="AI29" s="266">
        <f>'DATA INPUT - DETAIL'!R20</f>
        <v>31384363.0167</v>
      </c>
      <c r="AJ29" s="266">
        <f>'DATA INPUT - DETAIL'!S20</f>
        <v>0</v>
      </c>
      <c r="AK29" s="266">
        <f>'DATA INPUT - DETAIL'!T20</f>
        <v>0</v>
      </c>
      <c r="AL29" s="266">
        <f>'DATA INPUT - DETAIL'!U20</f>
        <v>0</v>
      </c>
      <c r="AM29" s="266">
        <f>'DATA INPUT - DETAIL'!V20</f>
        <v>0</v>
      </c>
      <c r="AN29" s="266">
        <f>'DATA INPUT - DETAIL'!W20</f>
        <v>0</v>
      </c>
      <c r="AO29" s="198">
        <f t="shared" si="10"/>
        <v>0</v>
      </c>
      <c r="AP29" s="266">
        <f>'DATA INPUT - DETAIL'!X20</f>
        <v>0</v>
      </c>
      <c r="AQ29" s="266">
        <f>'DATA INPUT - DETAIL'!Y20</f>
        <v>0</v>
      </c>
      <c r="AR29" s="266">
        <f>'DATA INPUT - DETAIL'!Z20</f>
        <v>0</v>
      </c>
      <c r="AS29" s="266">
        <f>'DATA INPUT - DETAIL'!AD20</f>
        <v>0</v>
      </c>
      <c r="AT29" s="266">
        <f t="shared" si="33"/>
        <v>0</v>
      </c>
      <c r="AU29" s="206">
        <f>'DATA INPUT - DETAIL'!AA20</f>
        <v>87400</v>
      </c>
      <c r="AV29" s="206">
        <f>'DATA INPUT - DETAIL'!AB20</f>
        <v>0</v>
      </c>
      <c r="AW29" s="206">
        <f>'DATA INPUT - DETAIL'!AC20</f>
        <v>0</v>
      </c>
      <c r="AX29" s="206">
        <f t="shared" si="11"/>
        <v>2749.2795781796403</v>
      </c>
      <c r="AY29" s="206">
        <f t="shared" si="34"/>
        <v>0</v>
      </c>
      <c r="AZ29" s="206">
        <f t="shared" si="35"/>
        <v>0</v>
      </c>
      <c r="BA29" s="206">
        <f t="shared" si="12"/>
        <v>0</v>
      </c>
      <c r="BB29" s="206">
        <f t="shared" si="13"/>
        <v>0</v>
      </c>
      <c r="BC29" s="206">
        <f t="shared" si="14"/>
        <v>0</v>
      </c>
      <c r="BD29" s="206">
        <f t="shared" si="15"/>
        <v>0</v>
      </c>
      <c r="BE29" s="206">
        <f t="shared" si="16"/>
        <v>0</v>
      </c>
      <c r="BF29" s="206">
        <f t="shared" si="17"/>
        <v>0</v>
      </c>
      <c r="BG29" s="206">
        <f t="shared" si="36"/>
        <v>144.36576185376177</v>
      </c>
      <c r="BH29" s="206">
        <f t="shared" si="18"/>
        <v>0</v>
      </c>
      <c r="BI29" s="206">
        <f t="shared" si="19"/>
        <v>0</v>
      </c>
      <c r="BJ29" s="266">
        <f t="shared" si="37"/>
        <v>2749.2795781796403</v>
      </c>
      <c r="BK29" s="266">
        <f t="shared" si="38"/>
        <v>144.36576185376177</v>
      </c>
      <c r="BL29" s="192">
        <f t="shared" si="39"/>
        <v>0</v>
      </c>
      <c r="BM29" s="192">
        <f t="shared" si="40"/>
        <v>0</v>
      </c>
      <c r="BN29" s="192">
        <f t="shared" si="41"/>
        <v>0</v>
      </c>
      <c r="BO29" s="192">
        <f t="shared" si="42"/>
        <v>1018.3148373025623</v>
      </c>
      <c r="BP29" s="192">
        <f t="shared" si="43"/>
        <v>1018.3148373025623</v>
      </c>
      <c r="BQ29" s="193">
        <f t="shared" si="44"/>
        <v>1018.3148373025623</v>
      </c>
      <c r="BR29" s="193">
        <f t="shared" si="45"/>
        <v>0</v>
      </c>
      <c r="BS29" s="265">
        <f t="shared" si="46"/>
        <v>28896.232274251539</v>
      </c>
      <c r="BT29" s="265">
        <f t="shared" si="47"/>
        <v>1620.2297618671114</v>
      </c>
      <c r="BU29" s="265">
        <f t="shared" si="48"/>
        <v>0</v>
      </c>
      <c r="BV29" s="265">
        <f t="shared" si="49"/>
        <v>0</v>
      </c>
      <c r="BW29" s="265">
        <f t="shared" si="50"/>
        <v>0</v>
      </c>
      <c r="BX29" s="265">
        <f t="shared" si="51"/>
        <v>19559.62007145174</v>
      </c>
      <c r="BY29" s="265">
        <f t="shared" si="52"/>
        <v>19559.62007145174</v>
      </c>
      <c r="BZ29" s="265">
        <f t="shared" si="53"/>
        <v>19559.62007145174</v>
      </c>
      <c r="CA29" s="265">
        <f t="shared" si="54"/>
        <v>0</v>
      </c>
      <c r="CB29" s="269">
        <f t="shared" si="55"/>
        <v>50076.082107570386</v>
      </c>
      <c r="CC29" s="266">
        <f t="shared" si="56"/>
        <v>50996.499419412605</v>
      </c>
      <c r="CD29" s="241"/>
      <c r="CE29" s="198">
        <f t="shared" si="70"/>
        <v>50996.499419412678</v>
      </c>
      <c r="CF29" s="198">
        <f t="shared" si="58"/>
        <v>0</v>
      </c>
      <c r="CG29" s="198">
        <f t="shared" si="59"/>
        <v>0</v>
      </c>
      <c r="CH29" s="198">
        <f t="shared" si="60"/>
        <v>-1037.0318488120824</v>
      </c>
      <c r="CI29" s="198">
        <f t="shared" si="61"/>
        <v>0</v>
      </c>
      <c r="CJ29" s="198">
        <f t="shared" si="62"/>
        <v>-2799.8123757218877</v>
      </c>
      <c r="CK29" s="198">
        <f t="shared" si="63"/>
        <v>-147.01925910943876</v>
      </c>
      <c r="CL29" s="198">
        <f t="shared" si="64"/>
        <v>218.24772498923303</v>
      </c>
      <c r="CM29" s="271">
        <f t="shared" si="65"/>
        <v>83.811025342133192</v>
      </c>
      <c r="CN29" s="198">
        <f t="shared" si="66"/>
        <v>47314.694686100636</v>
      </c>
      <c r="CO29" s="209">
        <f t="shared" si="71"/>
        <v>7.2759576141834259E-11</v>
      </c>
    </row>
    <row r="30" spans="2:93" x14ac:dyDescent="0.2">
      <c r="B30" s="221">
        <f>'DATA INPUT - DETAIL'!D21</f>
        <v>2</v>
      </c>
      <c r="C30" s="211">
        <f>'DATA INPUT - DETAIL'!E21</f>
        <v>18</v>
      </c>
      <c r="D30" s="257">
        <f>'DATA INPUT - DETAIL'!I21</f>
        <v>0</v>
      </c>
      <c r="E30" s="258">
        <f>'DATA INPUT - DETAIL'!K21</f>
        <v>0</v>
      </c>
      <c r="F30" s="258">
        <f>'DATA INPUT - DETAIL'!L21</f>
        <v>0</v>
      </c>
      <c r="G30" s="179">
        <f>'DATA INPUT - DETAIL'!M21*(1+$V$5)</f>
        <v>0</v>
      </c>
      <c r="H30" s="179">
        <f>'DATA INPUT - DETAIL'!N21*(1+$V$5)</f>
        <v>1000</v>
      </c>
      <c r="I30" s="258">
        <f t="shared" si="72"/>
        <v>1039.2524120732194</v>
      </c>
      <c r="J30" s="258">
        <f>'DATA INPUT - DETAIL'!O21</f>
        <v>0</v>
      </c>
      <c r="K30" s="258">
        <f>'DATA INPUT - DETAIL'!P21</f>
        <v>0</v>
      </c>
      <c r="L30" s="267">
        <f>ROUNDDOWN('DATA INPUT - DETAIL'!G21,0)</f>
        <v>35</v>
      </c>
      <c r="M30" s="196">
        <f t="shared" si="25"/>
        <v>8.921042540299684E-5</v>
      </c>
      <c r="N30" s="196">
        <f t="shared" si="1"/>
        <v>0</v>
      </c>
      <c r="O30" s="196">
        <f t="shared" si="2"/>
        <v>0</v>
      </c>
      <c r="P30" s="196">
        <f t="shared" si="3"/>
        <v>0</v>
      </c>
      <c r="Q30" s="196">
        <f t="shared" si="4"/>
        <v>0</v>
      </c>
      <c r="R30" s="196">
        <f t="shared" si="5"/>
        <v>0</v>
      </c>
      <c r="S30" s="196">
        <f t="shared" si="6"/>
        <v>0</v>
      </c>
      <c r="T30" s="196">
        <f t="shared" si="7"/>
        <v>0</v>
      </c>
      <c r="U30" s="185">
        <f>(C30&gt;0)*(C30&lt;$E$5)*VLOOKUP(MPP,ASUMSI!$BN$77:$CR$108,B30+1)*(1+$V$4)</f>
        <v>1.6821425527395739E-3</v>
      </c>
      <c r="V30" s="196">
        <f t="shared" si="8"/>
        <v>0</v>
      </c>
      <c r="W30" s="196">
        <f t="shared" si="68"/>
        <v>0.98021198042011015</v>
      </c>
      <c r="X30" s="196">
        <f t="shared" si="69"/>
        <v>8.7445127758392042E-5</v>
      </c>
      <c r="Y30" s="196">
        <f t="shared" si="26"/>
        <v>1.6488562829697973E-3</v>
      </c>
      <c r="Z30" s="196">
        <f t="shared" si="27"/>
        <v>0</v>
      </c>
      <c r="AA30" s="185">
        <f t="shared" si="28"/>
        <v>0.97847567900938193</v>
      </c>
      <c r="AB30" s="196">
        <f t="shared" si="29"/>
        <v>0</v>
      </c>
      <c r="AC30" s="196">
        <f t="shared" si="29"/>
        <v>0</v>
      </c>
      <c r="AD30" s="196">
        <f t="shared" si="29"/>
        <v>0</v>
      </c>
      <c r="AE30" s="196">
        <f t="shared" si="73"/>
        <v>0</v>
      </c>
      <c r="AF30" s="196">
        <f t="shared" si="30"/>
        <v>0</v>
      </c>
      <c r="AG30" s="196">
        <f t="shared" si="31"/>
        <v>0</v>
      </c>
      <c r="AH30" s="196">
        <f t="shared" si="32"/>
        <v>0</v>
      </c>
      <c r="AI30" s="266">
        <f>'DATA INPUT - DETAIL'!R21</f>
        <v>30049256.5656</v>
      </c>
      <c r="AJ30" s="266">
        <f>'DATA INPUT - DETAIL'!S21</f>
        <v>0</v>
      </c>
      <c r="AK30" s="266">
        <f>'DATA INPUT - DETAIL'!T21</f>
        <v>0</v>
      </c>
      <c r="AL30" s="266">
        <f>'DATA INPUT - DETAIL'!U21</f>
        <v>0</v>
      </c>
      <c r="AM30" s="266">
        <f>'DATA INPUT - DETAIL'!V21</f>
        <v>0</v>
      </c>
      <c r="AN30" s="266">
        <f>'DATA INPUT - DETAIL'!W21</f>
        <v>0</v>
      </c>
      <c r="AO30" s="198">
        <f t="shared" si="10"/>
        <v>0</v>
      </c>
      <c r="AP30" s="266">
        <f>'DATA INPUT - DETAIL'!X21</f>
        <v>0</v>
      </c>
      <c r="AQ30" s="266">
        <f>'DATA INPUT - DETAIL'!Y21</f>
        <v>0</v>
      </c>
      <c r="AR30" s="266">
        <f>'DATA INPUT - DETAIL'!Z21</f>
        <v>0</v>
      </c>
      <c r="AS30" s="266">
        <f>'DATA INPUT - DETAIL'!AD21</f>
        <v>0</v>
      </c>
      <c r="AT30" s="266">
        <f t="shared" si="33"/>
        <v>0</v>
      </c>
      <c r="AU30" s="206">
        <f>'DATA INPUT - DETAIL'!AA21</f>
        <v>82800</v>
      </c>
      <c r="AV30" s="206">
        <f>'DATA INPUT - DETAIL'!AB21</f>
        <v>0</v>
      </c>
      <c r="AW30" s="206">
        <f>'DATA INPUT - DETAIL'!AC21</f>
        <v>0</v>
      </c>
      <c r="AX30" s="206">
        <f t="shared" si="11"/>
        <v>2627.661079423593</v>
      </c>
      <c r="AY30" s="206">
        <f t="shared" si="34"/>
        <v>0</v>
      </c>
      <c r="AZ30" s="206">
        <f t="shared" si="35"/>
        <v>0</v>
      </c>
      <c r="BA30" s="206">
        <f t="shared" si="12"/>
        <v>0</v>
      </c>
      <c r="BB30" s="206">
        <f t="shared" si="13"/>
        <v>0</v>
      </c>
      <c r="BC30" s="206">
        <f t="shared" si="14"/>
        <v>0</v>
      </c>
      <c r="BD30" s="206">
        <f t="shared" si="15"/>
        <v>0</v>
      </c>
      <c r="BE30" s="206">
        <f t="shared" si="16"/>
        <v>0</v>
      </c>
      <c r="BF30" s="206">
        <f t="shared" si="17"/>
        <v>0</v>
      </c>
      <c r="BG30" s="206">
        <f t="shared" si="36"/>
        <v>136.52530022989922</v>
      </c>
      <c r="BH30" s="206">
        <f t="shared" si="18"/>
        <v>0</v>
      </c>
      <c r="BI30" s="206">
        <f t="shared" si="19"/>
        <v>0</v>
      </c>
      <c r="BJ30" s="266">
        <f t="shared" si="37"/>
        <v>2627.661079423593</v>
      </c>
      <c r="BK30" s="266">
        <f t="shared" si="38"/>
        <v>136.52530022989922</v>
      </c>
      <c r="BL30" s="192">
        <f t="shared" si="39"/>
        <v>0</v>
      </c>
      <c r="BM30" s="192">
        <f t="shared" si="40"/>
        <v>0</v>
      </c>
      <c r="BN30" s="192">
        <f t="shared" si="41"/>
        <v>0</v>
      </c>
      <c r="BO30" s="192">
        <f t="shared" si="42"/>
        <v>1018.6876649946668</v>
      </c>
      <c r="BP30" s="192">
        <f t="shared" si="43"/>
        <v>1018.6876649946668</v>
      </c>
      <c r="BQ30" s="193">
        <f t="shared" si="44"/>
        <v>1018.6876649946668</v>
      </c>
      <c r="BR30" s="193">
        <f t="shared" si="45"/>
        <v>0</v>
      </c>
      <c r="BS30" s="265">
        <f t="shared" si="46"/>
        <v>26273.185765823968</v>
      </c>
      <c r="BT30" s="265">
        <f t="shared" si="47"/>
        <v>1482.9419669469971</v>
      </c>
      <c r="BU30" s="265">
        <f t="shared" si="48"/>
        <v>0</v>
      </c>
      <c r="BV30" s="265">
        <f t="shared" si="49"/>
        <v>0</v>
      </c>
      <c r="BW30" s="265">
        <f t="shared" si="50"/>
        <v>0</v>
      </c>
      <c r="BX30" s="265">
        <f t="shared" si="51"/>
        <v>18622.302848464533</v>
      </c>
      <c r="BY30" s="265">
        <f t="shared" si="52"/>
        <v>18622.302848464533</v>
      </c>
      <c r="BZ30" s="265">
        <f t="shared" si="53"/>
        <v>18622.302848464533</v>
      </c>
      <c r="CA30" s="265">
        <f t="shared" si="54"/>
        <v>0</v>
      </c>
      <c r="CB30" s="269">
        <f t="shared" si="55"/>
        <v>46378.430581235501</v>
      </c>
      <c r="CC30" s="266">
        <f t="shared" si="56"/>
        <v>47314.694686100571</v>
      </c>
      <c r="CD30" s="241"/>
      <c r="CE30" s="198">
        <f t="shared" si="70"/>
        <v>47314.694686100636</v>
      </c>
      <c r="CF30" s="198">
        <f t="shared" si="58"/>
        <v>0</v>
      </c>
      <c r="CG30" s="198">
        <f t="shared" si="59"/>
        <v>0</v>
      </c>
      <c r="CH30" s="198">
        <f t="shared" si="60"/>
        <v>-1039.2524120732194</v>
      </c>
      <c r="CI30" s="198">
        <f t="shared" si="61"/>
        <v>0</v>
      </c>
      <c r="CJ30" s="198">
        <f t="shared" si="62"/>
        <v>-2680.7069612609721</v>
      </c>
      <c r="CK30" s="198">
        <f t="shared" si="63"/>
        <v>-139.28140336683671</v>
      </c>
      <c r="CL30" s="198">
        <f t="shared" si="64"/>
        <v>202.15407589972546</v>
      </c>
      <c r="CM30" s="271">
        <f t="shared" si="65"/>
        <v>77.470261101061425</v>
      </c>
      <c r="CN30" s="198">
        <f t="shared" si="66"/>
        <v>43735.078246400393</v>
      </c>
      <c r="CO30" s="209">
        <f t="shared" si="71"/>
        <v>6.5483618527650833E-11</v>
      </c>
    </row>
    <row r="31" spans="2:93" x14ac:dyDescent="0.2">
      <c r="B31" s="221">
        <f>'DATA INPUT - DETAIL'!D22</f>
        <v>2</v>
      </c>
      <c r="C31" s="211">
        <f>'DATA INPUT - DETAIL'!E22</f>
        <v>19</v>
      </c>
      <c r="D31" s="257">
        <f>'DATA INPUT - DETAIL'!I22</f>
        <v>0</v>
      </c>
      <c r="E31" s="258">
        <f>'DATA INPUT - DETAIL'!K22</f>
        <v>0</v>
      </c>
      <c r="F31" s="258">
        <f>'DATA INPUT - DETAIL'!L22</f>
        <v>0</v>
      </c>
      <c r="G31" s="179">
        <f>'DATA INPUT - DETAIL'!M22*(1+$V$5)</f>
        <v>0</v>
      </c>
      <c r="H31" s="179">
        <f>'DATA INPUT - DETAIL'!N22*(1+$V$5)</f>
        <v>1000</v>
      </c>
      <c r="I31" s="258">
        <f t="shared" si="72"/>
        <v>1041.4777301557269</v>
      </c>
      <c r="J31" s="258">
        <f>'DATA INPUT - DETAIL'!O22</f>
        <v>0</v>
      </c>
      <c r="K31" s="258">
        <f>'DATA INPUT - DETAIL'!P22</f>
        <v>0</v>
      </c>
      <c r="L31" s="267">
        <f>ROUNDDOWN('DATA INPUT - DETAIL'!G22,0)</f>
        <v>35</v>
      </c>
      <c r="M31" s="196">
        <f t="shared" si="25"/>
        <v>8.921042540299684E-5</v>
      </c>
      <c r="N31" s="196">
        <f t="shared" si="1"/>
        <v>0</v>
      </c>
      <c r="O31" s="196">
        <f t="shared" si="2"/>
        <v>0</v>
      </c>
      <c r="P31" s="196">
        <f t="shared" si="3"/>
        <v>0</v>
      </c>
      <c r="Q31" s="196">
        <f t="shared" si="4"/>
        <v>0</v>
      </c>
      <c r="R31" s="196">
        <f t="shared" si="5"/>
        <v>0</v>
      </c>
      <c r="S31" s="196">
        <f t="shared" si="6"/>
        <v>0</v>
      </c>
      <c r="T31" s="196">
        <f t="shared" si="7"/>
        <v>0</v>
      </c>
      <c r="U31" s="185">
        <f>(C31&gt;0)*(C31&lt;$E$5)*VLOOKUP(MPP,ASUMSI!$BN$77:$CR$108,B31+1)*(1+$V$4)</f>
        <v>1.6821425527395739E-3</v>
      </c>
      <c r="V31" s="196">
        <f t="shared" si="8"/>
        <v>0</v>
      </c>
      <c r="W31" s="196">
        <f t="shared" si="68"/>
        <v>0.97847567900938193</v>
      </c>
      <c r="X31" s="196">
        <f t="shared" si="69"/>
        <v>8.7290231570913147E-5</v>
      </c>
      <c r="Y31" s="196">
        <f t="shared" si="26"/>
        <v>1.6459355764824296E-3</v>
      </c>
      <c r="Z31" s="196">
        <f t="shared" si="27"/>
        <v>0</v>
      </c>
      <c r="AA31" s="185">
        <f t="shared" si="28"/>
        <v>0.97674245320132858</v>
      </c>
      <c r="AB31" s="196">
        <f t="shared" si="29"/>
        <v>0</v>
      </c>
      <c r="AC31" s="196">
        <f t="shared" si="29"/>
        <v>0</v>
      </c>
      <c r="AD31" s="196">
        <f t="shared" si="29"/>
        <v>0</v>
      </c>
      <c r="AE31" s="196">
        <f t="shared" si="73"/>
        <v>0</v>
      </c>
      <c r="AF31" s="196">
        <f t="shared" si="30"/>
        <v>0</v>
      </c>
      <c r="AG31" s="196">
        <f t="shared" si="31"/>
        <v>0</v>
      </c>
      <c r="AH31" s="196">
        <f t="shared" si="32"/>
        <v>0</v>
      </c>
      <c r="AI31" s="266">
        <f>'DATA INPUT - DETAIL'!R22</f>
        <v>28691898.340399999</v>
      </c>
      <c r="AJ31" s="266">
        <f>'DATA INPUT - DETAIL'!S22</f>
        <v>0</v>
      </c>
      <c r="AK31" s="266">
        <f>'DATA INPUT - DETAIL'!T22</f>
        <v>0</v>
      </c>
      <c r="AL31" s="266">
        <f>'DATA INPUT - DETAIL'!U22</f>
        <v>0</v>
      </c>
      <c r="AM31" s="266">
        <f>'DATA INPUT - DETAIL'!V22</f>
        <v>0</v>
      </c>
      <c r="AN31" s="266">
        <f>'DATA INPUT - DETAIL'!W22</f>
        <v>0</v>
      </c>
      <c r="AO31" s="198">
        <f t="shared" si="10"/>
        <v>0</v>
      </c>
      <c r="AP31" s="266">
        <f>'DATA INPUT - DETAIL'!X22</f>
        <v>0</v>
      </c>
      <c r="AQ31" s="266">
        <f>'DATA INPUT - DETAIL'!Y22</f>
        <v>0</v>
      </c>
      <c r="AR31" s="266">
        <f>'DATA INPUT - DETAIL'!Z22</f>
        <v>0</v>
      </c>
      <c r="AS31" s="266">
        <f>'DATA INPUT - DETAIL'!AD22</f>
        <v>0</v>
      </c>
      <c r="AT31" s="266">
        <f t="shared" si="33"/>
        <v>0</v>
      </c>
      <c r="AU31" s="206">
        <f>'DATA INPUT - DETAIL'!AA22</f>
        <v>78200</v>
      </c>
      <c r="AV31" s="206">
        <f>'DATA INPUT - DETAIL'!AB22</f>
        <v>0</v>
      </c>
      <c r="AW31" s="206">
        <f>'DATA INPUT - DETAIL'!AC22</f>
        <v>0</v>
      </c>
      <c r="AX31" s="206">
        <f t="shared" si="11"/>
        <v>2504.5224503426143</v>
      </c>
      <c r="AY31" s="206">
        <f t="shared" si="34"/>
        <v>0</v>
      </c>
      <c r="AZ31" s="206">
        <f t="shared" si="35"/>
        <v>0</v>
      </c>
      <c r="BA31" s="206">
        <f t="shared" si="12"/>
        <v>0</v>
      </c>
      <c r="BB31" s="206">
        <f t="shared" si="13"/>
        <v>0</v>
      </c>
      <c r="BC31" s="206">
        <f t="shared" si="14"/>
        <v>0</v>
      </c>
      <c r="BD31" s="206">
        <f t="shared" si="15"/>
        <v>0</v>
      </c>
      <c r="BE31" s="206">
        <f t="shared" si="16"/>
        <v>0</v>
      </c>
      <c r="BF31" s="206">
        <f t="shared" si="17"/>
        <v>0</v>
      </c>
      <c r="BG31" s="206">
        <f t="shared" si="36"/>
        <v>128.71216208092599</v>
      </c>
      <c r="BH31" s="206">
        <f t="shared" si="18"/>
        <v>0</v>
      </c>
      <c r="BI31" s="206">
        <f t="shared" si="19"/>
        <v>0</v>
      </c>
      <c r="BJ31" s="266">
        <f t="shared" si="37"/>
        <v>2504.5224503426143</v>
      </c>
      <c r="BK31" s="266">
        <f t="shared" si="38"/>
        <v>128.71216208092599</v>
      </c>
      <c r="BL31" s="192">
        <f t="shared" si="39"/>
        <v>0</v>
      </c>
      <c r="BM31" s="192">
        <f t="shared" si="40"/>
        <v>0</v>
      </c>
      <c r="BN31" s="192">
        <f t="shared" si="41"/>
        <v>0</v>
      </c>
      <c r="BO31" s="192">
        <f t="shared" si="42"/>
        <v>1019.0606291872748</v>
      </c>
      <c r="BP31" s="192">
        <f t="shared" si="43"/>
        <v>1019.0606291872748</v>
      </c>
      <c r="BQ31" s="193">
        <f t="shared" si="44"/>
        <v>1019.0606291872748</v>
      </c>
      <c r="BR31" s="193">
        <f t="shared" si="45"/>
        <v>0</v>
      </c>
      <c r="BS31" s="265">
        <f t="shared" si="46"/>
        <v>23760.298988458486</v>
      </c>
      <c r="BT31" s="265">
        <f t="shared" si="47"/>
        <v>1352.8948924932208</v>
      </c>
      <c r="BU31" s="265">
        <f t="shared" si="48"/>
        <v>0</v>
      </c>
      <c r="BV31" s="265">
        <f t="shared" si="49"/>
        <v>0</v>
      </c>
      <c r="BW31" s="265">
        <f t="shared" si="50"/>
        <v>0</v>
      </c>
      <c r="BX31" s="265">
        <f t="shared" si="51"/>
        <v>17680.516502723298</v>
      </c>
      <c r="BY31" s="265">
        <f t="shared" si="52"/>
        <v>17680.516502723298</v>
      </c>
      <c r="BZ31" s="265">
        <f t="shared" si="53"/>
        <v>17680.516502723298</v>
      </c>
      <c r="CA31" s="265">
        <f t="shared" si="54"/>
        <v>0</v>
      </c>
      <c r="CB31" s="269">
        <f t="shared" si="55"/>
        <v>42793.710383675003</v>
      </c>
      <c r="CC31" s="266">
        <f t="shared" si="56"/>
        <v>43735.07824640032</v>
      </c>
      <c r="CD31" s="241"/>
      <c r="CE31" s="198">
        <f t="shared" si="70"/>
        <v>43735.078246400393</v>
      </c>
      <c r="CF31" s="198">
        <f t="shared" si="58"/>
        <v>0</v>
      </c>
      <c r="CG31" s="198">
        <f t="shared" si="59"/>
        <v>0</v>
      </c>
      <c r="CH31" s="198">
        <f t="shared" si="60"/>
        <v>-1041.4777301557269</v>
      </c>
      <c r="CI31" s="198">
        <f t="shared" si="61"/>
        <v>0</v>
      </c>
      <c r="CJ31" s="198">
        <f t="shared" si="62"/>
        <v>-2559.6164565666227</v>
      </c>
      <c r="CK31" s="198">
        <f t="shared" si="63"/>
        <v>-131.54354762423466</v>
      </c>
      <c r="CL31" s="198">
        <f t="shared" si="64"/>
        <v>186.50681517176002</v>
      </c>
      <c r="CM31" s="271">
        <f t="shared" si="65"/>
        <v>71.315135814706423</v>
      </c>
      <c r="CN31" s="198">
        <f t="shared" si="66"/>
        <v>40260.262463040272</v>
      </c>
      <c r="CO31" s="209">
        <f t="shared" si="71"/>
        <v>7.2759576141834259E-11</v>
      </c>
    </row>
    <row r="32" spans="2:93" x14ac:dyDescent="0.2">
      <c r="B32" s="221">
        <f>'DATA INPUT - DETAIL'!D23</f>
        <v>2</v>
      </c>
      <c r="C32" s="211">
        <f>'DATA INPUT - DETAIL'!E23</f>
        <v>20</v>
      </c>
      <c r="D32" s="257">
        <f>'DATA INPUT - DETAIL'!I23</f>
        <v>0</v>
      </c>
      <c r="E32" s="258">
        <f>'DATA INPUT - DETAIL'!K23</f>
        <v>0</v>
      </c>
      <c r="F32" s="258">
        <f>'DATA INPUT - DETAIL'!L23</f>
        <v>0</v>
      </c>
      <c r="G32" s="179">
        <f>'DATA INPUT - DETAIL'!M23*(1+$V$5)</f>
        <v>0</v>
      </c>
      <c r="H32" s="179">
        <f>'DATA INPUT - DETAIL'!N23*(1+$V$5)</f>
        <v>1000</v>
      </c>
      <c r="I32" s="258">
        <f t="shared" si="72"/>
        <v>1043.7078132409526</v>
      </c>
      <c r="J32" s="258">
        <f>'DATA INPUT - DETAIL'!O23</f>
        <v>0</v>
      </c>
      <c r="K32" s="258">
        <f>'DATA INPUT - DETAIL'!P23</f>
        <v>0</v>
      </c>
      <c r="L32" s="267">
        <f>ROUNDDOWN('DATA INPUT - DETAIL'!G23,0)</f>
        <v>35</v>
      </c>
      <c r="M32" s="196">
        <f t="shared" si="25"/>
        <v>8.921042540299684E-5</v>
      </c>
      <c r="N32" s="196">
        <f t="shared" si="1"/>
        <v>0</v>
      </c>
      <c r="O32" s="196">
        <f t="shared" si="2"/>
        <v>0</v>
      </c>
      <c r="P32" s="196">
        <f t="shared" si="3"/>
        <v>0</v>
      </c>
      <c r="Q32" s="196">
        <f t="shared" si="4"/>
        <v>0</v>
      </c>
      <c r="R32" s="196">
        <f t="shared" si="5"/>
        <v>0</v>
      </c>
      <c r="S32" s="196">
        <f t="shared" si="6"/>
        <v>0</v>
      </c>
      <c r="T32" s="196">
        <f t="shared" si="7"/>
        <v>0</v>
      </c>
      <c r="U32" s="185">
        <f>(C32&gt;0)*(C32&lt;$E$5)*VLOOKUP(MPP,ASUMSI!$BN$77:$CR$108,B32+1)*(1+$V$4)</f>
        <v>1.6821425527395739E-3</v>
      </c>
      <c r="V32" s="196">
        <f t="shared" si="8"/>
        <v>0</v>
      </c>
      <c r="W32" s="196">
        <f t="shared" si="68"/>
        <v>0.97674245320132858</v>
      </c>
      <c r="X32" s="196">
        <f t="shared" si="69"/>
        <v>8.7135609759257258E-5</v>
      </c>
      <c r="Y32" s="196">
        <f t="shared" si="26"/>
        <v>1.6430200435971966E-3</v>
      </c>
      <c r="Z32" s="196">
        <f t="shared" si="27"/>
        <v>0</v>
      </c>
      <c r="AA32" s="185">
        <f t="shared" si="28"/>
        <v>0.97501229754797214</v>
      </c>
      <c r="AB32" s="196">
        <f t="shared" si="29"/>
        <v>0</v>
      </c>
      <c r="AC32" s="196">
        <f t="shared" si="29"/>
        <v>0</v>
      </c>
      <c r="AD32" s="196">
        <f t="shared" si="29"/>
        <v>0</v>
      </c>
      <c r="AE32" s="196">
        <f t="shared" si="73"/>
        <v>0</v>
      </c>
      <c r="AF32" s="196">
        <f t="shared" si="30"/>
        <v>0</v>
      </c>
      <c r="AG32" s="196">
        <f t="shared" si="31"/>
        <v>0</v>
      </c>
      <c r="AH32" s="196">
        <f t="shared" si="32"/>
        <v>0</v>
      </c>
      <c r="AI32" s="266">
        <f>'DATA INPUT - DETAIL'!R23</f>
        <v>27311917.478100002</v>
      </c>
      <c r="AJ32" s="266">
        <f>'DATA INPUT - DETAIL'!S23</f>
        <v>0</v>
      </c>
      <c r="AK32" s="266">
        <f>'DATA INPUT - DETAIL'!T23</f>
        <v>0</v>
      </c>
      <c r="AL32" s="266">
        <f>'DATA INPUT - DETAIL'!U23</f>
        <v>0</v>
      </c>
      <c r="AM32" s="266">
        <f>'DATA INPUT - DETAIL'!V23</f>
        <v>0</v>
      </c>
      <c r="AN32" s="266">
        <f>'DATA INPUT - DETAIL'!W23</f>
        <v>0</v>
      </c>
      <c r="AO32" s="198">
        <f t="shared" si="10"/>
        <v>0</v>
      </c>
      <c r="AP32" s="266">
        <f>'DATA INPUT - DETAIL'!X23</f>
        <v>0</v>
      </c>
      <c r="AQ32" s="266">
        <f>'DATA INPUT - DETAIL'!Y23</f>
        <v>0</v>
      </c>
      <c r="AR32" s="266">
        <f>'DATA INPUT - DETAIL'!Z23</f>
        <v>0</v>
      </c>
      <c r="AS32" s="266">
        <f>'DATA INPUT - DETAIL'!AD23</f>
        <v>0</v>
      </c>
      <c r="AT32" s="266">
        <f t="shared" si="33"/>
        <v>0</v>
      </c>
      <c r="AU32" s="206">
        <f>'DATA INPUT - DETAIL'!AA23</f>
        <v>73600</v>
      </c>
      <c r="AV32" s="206">
        <f>'DATA INPUT - DETAIL'!AB23</f>
        <v>0</v>
      </c>
      <c r="AW32" s="206">
        <f>'DATA INPUT - DETAIL'!AC23</f>
        <v>0</v>
      </c>
      <c r="AX32" s="206">
        <f t="shared" si="11"/>
        <v>2379.8405831487594</v>
      </c>
      <c r="AY32" s="206">
        <f t="shared" si="34"/>
        <v>0</v>
      </c>
      <c r="AZ32" s="206">
        <f t="shared" si="35"/>
        <v>0</v>
      </c>
      <c r="BA32" s="206">
        <f t="shared" si="12"/>
        <v>0</v>
      </c>
      <c r="BB32" s="206">
        <f t="shared" si="13"/>
        <v>0</v>
      </c>
      <c r="BC32" s="206">
        <f t="shared" si="14"/>
        <v>0</v>
      </c>
      <c r="BD32" s="206">
        <f t="shared" si="15"/>
        <v>0</v>
      </c>
      <c r="BE32" s="206">
        <f t="shared" si="16"/>
        <v>0</v>
      </c>
      <c r="BF32" s="206">
        <f t="shared" si="17"/>
        <v>0</v>
      </c>
      <c r="BG32" s="206">
        <f t="shared" si="36"/>
        <v>120.92627520875367</v>
      </c>
      <c r="BH32" s="206">
        <f t="shared" si="18"/>
        <v>0</v>
      </c>
      <c r="BI32" s="206">
        <f t="shared" si="19"/>
        <v>0</v>
      </c>
      <c r="BJ32" s="266">
        <f t="shared" si="37"/>
        <v>2379.8405831487594</v>
      </c>
      <c r="BK32" s="266">
        <f t="shared" si="38"/>
        <v>120.92627520875367</v>
      </c>
      <c r="BL32" s="192">
        <f t="shared" si="39"/>
        <v>0</v>
      </c>
      <c r="BM32" s="192">
        <f t="shared" si="40"/>
        <v>0</v>
      </c>
      <c r="BN32" s="192">
        <f t="shared" si="41"/>
        <v>0</v>
      </c>
      <c r="BO32" s="192">
        <f t="shared" si="42"/>
        <v>1019.4337299303621</v>
      </c>
      <c r="BP32" s="192">
        <f t="shared" si="43"/>
        <v>1019.4337299303621</v>
      </c>
      <c r="BQ32" s="193">
        <f t="shared" si="44"/>
        <v>1019.4337299303621</v>
      </c>
      <c r="BR32" s="193">
        <f t="shared" si="45"/>
        <v>0</v>
      </c>
      <c r="BS32" s="265">
        <f t="shared" si="46"/>
        <v>21359.573304804126</v>
      </c>
      <c r="BT32" s="265">
        <f t="shared" si="47"/>
        <v>1230.0928460879461</v>
      </c>
      <c r="BU32" s="265">
        <f t="shared" si="48"/>
        <v>0</v>
      </c>
      <c r="BV32" s="265">
        <f t="shared" si="49"/>
        <v>0</v>
      </c>
      <c r="BW32" s="265">
        <f t="shared" si="50"/>
        <v>0</v>
      </c>
      <c r="BX32" s="265">
        <f t="shared" si="51"/>
        <v>16734.241373787183</v>
      </c>
      <c r="BY32" s="265">
        <f t="shared" si="52"/>
        <v>16734.241373787183</v>
      </c>
      <c r="BZ32" s="265">
        <f t="shared" si="53"/>
        <v>16734.241373787183</v>
      </c>
      <c r="CA32" s="265">
        <f t="shared" si="54"/>
        <v>0</v>
      </c>
      <c r="CB32" s="269">
        <f t="shared" si="55"/>
        <v>39323.907524679256</v>
      </c>
      <c r="CC32" s="266">
        <f t="shared" si="56"/>
        <v>40260.262463040206</v>
      </c>
      <c r="CD32" s="241"/>
      <c r="CE32" s="198">
        <f t="shared" si="70"/>
        <v>40260.262463040272</v>
      </c>
      <c r="CF32" s="198">
        <f t="shared" si="58"/>
        <v>0</v>
      </c>
      <c r="CG32" s="198">
        <f t="shared" si="59"/>
        <v>0</v>
      </c>
      <c r="CH32" s="198">
        <f t="shared" si="60"/>
        <v>-1043.7078132409526</v>
      </c>
      <c r="CI32" s="198">
        <f t="shared" si="61"/>
        <v>0</v>
      </c>
      <c r="CJ32" s="198">
        <f t="shared" si="62"/>
        <v>-2436.507776792846</v>
      </c>
      <c r="CK32" s="198">
        <f t="shared" si="63"/>
        <v>-123.80569188163263</v>
      </c>
      <c r="CL32" s="198">
        <f t="shared" si="64"/>
        <v>171.31735485650489</v>
      </c>
      <c r="CM32" s="271">
        <f t="shared" si="65"/>
        <v>65.350364052420815</v>
      </c>
      <c r="CN32" s="198">
        <f t="shared" si="66"/>
        <v>36892.90890003377</v>
      </c>
      <c r="CO32" s="209">
        <f t="shared" si="71"/>
        <v>6.5483618527650833E-11</v>
      </c>
    </row>
    <row r="33" spans="2:93" x14ac:dyDescent="0.2">
      <c r="B33" s="221">
        <f>'DATA INPUT - DETAIL'!D24</f>
        <v>2</v>
      </c>
      <c r="C33" s="211">
        <f>'DATA INPUT - DETAIL'!E24</f>
        <v>21</v>
      </c>
      <c r="D33" s="257">
        <f>'DATA INPUT - DETAIL'!I24</f>
        <v>0</v>
      </c>
      <c r="E33" s="258">
        <f>'DATA INPUT - DETAIL'!K24</f>
        <v>0</v>
      </c>
      <c r="F33" s="258">
        <f>'DATA INPUT - DETAIL'!L24</f>
        <v>0</v>
      </c>
      <c r="G33" s="179">
        <f>'DATA INPUT - DETAIL'!M24*(1+$V$5)</f>
        <v>0</v>
      </c>
      <c r="H33" s="179">
        <f>'DATA INPUT - DETAIL'!N24*(1+$V$5)</f>
        <v>1000</v>
      </c>
      <c r="I33" s="258">
        <f t="shared" si="72"/>
        <v>1045.9426715320451</v>
      </c>
      <c r="J33" s="258">
        <f>'DATA INPUT - DETAIL'!O24</f>
        <v>0</v>
      </c>
      <c r="K33" s="258">
        <f>'DATA INPUT - DETAIL'!P24</f>
        <v>0</v>
      </c>
      <c r="L33" s="267">
        <f>ROUNDDOWN('DATA INPUT - DETAIL'!G24,0)</f>
        <v>35</v>
      </c>
      <c r="M33" s="196">
        <f t="shared" si="25"/>
        <v>8.921042540299684E-5</v>
      </c>
      <c r="N33" s="196">
        <f t="shared" si="1"/>
        <v>0</v>
      </c>
      <c r="O33" s="196">
        <f t="shared" si="2"/>
        <v>0</v>
      </c>
      <c r="P33" s="196">
        <f t="shared" si="3"/>
        <v>0</v>
      </c>
      <c r="Q33" s="196">
        <f t="shared" si="4"/>
        <v>0</v>
      </c>
      <c r="R33" s="196">
        <f t="shared" si="5"/>
        <v>0</v>
      </c>
      <c r="S33" s="196">
        <f t="shared" si="6"/>
        <v>0</v>
      </c>
      <c r="T33" s="196">
        <f t="shared" si="7"/>
        <v>0</v>
      </c>
      <c r="U33" s="185">
        <f>(C33&gt;0)*(C33&lt;$E$5)*VLOOKUP(MPP,ASUMSI!$BN$77:$CR$108,B33+1)*(1+$V$4)</f>
        <v>1.6821425527395739E-3</v>
      </c>
      <c r="V33" s="196">
        <f t="shared" si="8"/>
        <v>0</v>
      </c>
      <c r="W33" s="196">
        <f t="shared" si="68"/>
        <v>0.97501229754797214</v>
      </c>
      <c r="X33" s="196">
        <f t="shared" si="69"/>
        <v>8.6981261837407929E-5</v>
      </c>
      <c r="Y33" s="196">
        <f t="shared" si="26"/>
        <v>1.6401096751498228E-3</v>
      </c>
      <c r="Z33" s="196">
        <f t="shared" si="27"/>
        <v>0</v>
      </c>
      <c r="AA33" s="185">
        <f t="shared" si="28"/>
        <v>0.97328520661098494</v>
      </c>
      <c r="AB33" s="196">
        <f t="shared" si="29"/>
        <v>0</v>
      </c>
      <c r="AC33" s="196">
        <f t="shared" si="29"/>
        <v>0</v>
      </c>
      <c r="AD33" s="196">
        <f t="shared" si="29"/>
        <v>0</v>
      </c>
      <c r="AE33" s="196">
        <f t="shared" si="73"/>
        <v>0</v>
      </c>
      <c r="AF33" s="196">
        <f t="shared" si="30"/>
        <v>0</v>
      </c>
      <c r="AG33" s="196">
        <f t="shared" si="31"/>
        <v>0</v>
      </c>
      <c r="AH33" s="196">
        <f t="shared" si="32"/>
        <v>0</v>
      </c>
      <c r="AI33" s="266">
        <f>'DATA INPUT - DETAIL'!R24</f>
        <v>25908936.934700001</v>
      </c>
      <c r="AJ33" s="266">
        <f>'DATA INPUT - DETAIL'!S24</f>
        <v>0</v>
      </c>
      <c r="AK33" s="266">
        <f>'DATA INPUT - DETAIL'!T24</f>
        <v>0</v>
      </c>
      <c r="AL33" s="266">
        <f>'DATA INPUT - DETAIL'!U24</f>
        <v>0</v>
      </c>
      <c r="AM33" s="266">
        <f>'DATA INPUT - DETAIL'!V24</f>
        <v>0</v>
      </c>
      <c r="AN33" s="266">
        <f>'DATA INPUT - DETAIL'!W24</f>
        <v>0</v>
      </c>
      <c r="AO33" s="198">
        <f t="shared" si="10"/>
        <v>0</v>
      </c>
      <c r="AP33" s="266">
        <f>'DATA INPUT - DETAIL'!X24</f>
        <v>0</v>
      </c>
      <c r="AQ33" s="266">
        <f>'DATA INPUT - DETAIL'!Y24</f>
        <v>0</v>
      </c>
      <c r="AR33" s="266">
        <f>'DATA INPUT - DETAIL'!Z24</f>
        <v>0</v>
      </c>
      <c r="AS33" s="266">
        <f>'DATA INPUT - DETAIL'!AD24</f>
        <v>0</v>
      </c>
      <c r="AT33" s="266">
        <f t="shared" si="33"/>
        <v>0</v>
      </c>
      <c r="AU33" s="206">
        <f>'DATA INPUT - DETAIL'!AA24</f>
        <v>69000</v>
      </c>
      <c r="AV33" s="206">
        <f>'DATA INPUT - DETAIL'!AB24</f>
        <v>0</v>
      </c>
      <c r="AW33" s="206">
        <f>'DATA INPUT - DETAIL'!AC24</f>
        <v>0</v>
      </c>
      <c r="AX33" s="206">
        <f t="shared" si="11"/>
        <v>2253.59202744603</v>
      </c>
      <c r="AY33" s="206">
        <f t="shared" si="34"/>
        <v>0</v>
      </c>
      <c r="AZ33" s="206">
        <f t="shared" si="35"/>
        <v>0</v>
      </c>
      <c r="BA33" s="206">
        <f t="shared" si="12"/>
        <v>0</v>
      </c>
      <c r="BB33" s="206">
        <f t="shared" si="13"/>
        <v>0</v>
      </c>
      <c r="BC33" s="206">
        <f t="shared" si="14"/>
        <v>0</v>
      </c>
      <c r="BD33" s="206">
        <f t="shared" si="15"/>
        <v>0</v>
      </c>
      <c r="BE33" s="206">
        <f t="shared" si="16"/>
        <v>0</v>
      </c>
      <c r="BF33" s="206">
        <f t="shared" si="17"/>
        <v>0</v>
      </c>
      <c r="BG33" s="206">
        <f t="shared" si="36"/>
        <v>113.16756758533778</v>
      </c>
      <c r="BH33" s="206">
        <f t="shared" si="18"/>
        <v>0</v>
      </c>
      <c r="BI33" s="206">
        <f t="shared" si="19"/>
        <v>0</v>
      </c>
      <c r="BJ33" s="266">
        <f t="shared" si="37"/>
        <v>2253.59202744603</v>
      </c>
      <c r="BK33" s="266">
        <f t="shared" si="38"/>
        <v>113.16756758533778</v>
      </c>
      <c r="BL33" s="192">
        <f t="shared" si="39"/>
        <v>0</v>
      </c>
      <c r="BM33" s="192">
        <f t="shared" si="40"/>
        <v>0</v>
      </c>
      <c r="BN33" s="192">
        <f t="shared" si="41"/>
        <v>0</v>
      </c>
      <c r="BO33" s="192">
        <f t="shared" si="42"/>
        <v>1019.8069672739232</v>
      </c>
      <c r="BP33" s="192">
        <f t="shared" si="43"/>
        <v>1019.8069672739232</v>
      </c>
      <c r="BQ33" s="193">
        <f t="shared" si="44"/>
        <v>1019.8069672739232</v>
      </c>
      <c r="BR33" s="193">
        <f t="shared" si="45"/>
        <v>0</v>
      </c>
      <c r="BS33" s="265">
        <f t="shared" si="46"/>
        <v>19073.041928242219</v>
      </c>
      <c r="BT33" s="265">
        <f t="shared" si="47"/>
        <v>1114.5402263290798</v>
      </c>
      <c r="BU33" s="265">
        <f t="shared" si="48"/>
        <v>0</v>
      </c>
      <c r="BV33" s="265">
        <f t="shared" si="49"/>
        <v>0</v>
      </c>
      <c r="BW33" s="265">
        <f t="shared" si="50"/>
        <v>0</v>
      </c>
      <c r="BX33" s="265">
        <f t="shared" si="51"/>
        <v>15783.457715278588</v>
      </c>
      <c r="BY33" s="265">
        <f t="shared" si="52"/>
        <v>15783.457715278588</v>
      </c>
      <c r="BZ33" s="265">
        <f t="shared" si="53"/>
        <v>15783.457715278588</v>
      </c>
      <c r="CA33" s="265">
        <f t="shared" si="54"/>
        <v>0</v>
      </c>
      <c r="CB33" s="269">
        <f t="shared" si="55"/>
        <v>35971.039869849883</v>
      </c>
      <c r="CC33" s="266">
        <f t="shared" si="56"/>
        <v>36892.908900033697</v>
      </c>
      <c r="CD33" s="241"/>
      <c r="CE33" s="198">
        <f t="shared" si="70"/>
        <v>36892.90890003377</v>
      </c>
      <c r="CF33" s="198">
        <f t="shared" si="58"/>
        <v>0</v>
      </c>
      <c r="CG33" s="198">
        <f t="shared" si="59"/>
        <v>0</v>
      </c>
      <c r="CH33" s="198">
        <f t="shared" si="60"/>
        <v>-1045.9426715320451</v>
      </c>
      <c r="CI33" s="198">
        <f t="shared" si="61"/>
        <v>0</v>
      </c>
      <c r="CJ33" s="198">
        <f t="shared" si="62"/>
        <v>-2311.347285684004</v>
      </c>
      <c r="CK33" s="198">
        <f t="shared" si="63"/>
        <v>-116.0678361390306</v>
      </c>
      <c r="CL33" s="198">
        <f t="shared" si="64"/>
        <v>156.59732194064128</v>
      </c>
      <c r="CM33" s="271">
        <f t="shared" si="65"/>
        <v>59.580749050859964</v>
      </c>
      <c r="CN33" s="198">
        <f t="shared" si="66"/>
        <v>33635.729177670197</v>
      </c>
      <c r="CO33" s="209">
        <f t="shared" si="71"/>
        <v>7.2759576141834259E-11</v>
      </c>
    </row>
    <row r="34" spans="2:93" x14ac:dyDescent="0.2">
      <c r="B34" s="221">
        <f>'DATA INPUT - DETAIL'!D25</f>
        <v>2</v>
      </c>
      <c r="C34" s="211">
        <f>'DATA INPUT - DETAIL'!E25</f>
        <v>22</v>
      </c>
      <c r="D34" s="257">
        <f>'DATA INPUT - DETAIL'!I25</f>
        <v>0</v>
      </c>
      <c r="E34" s="258">
        <f>'DATA INPUT - DETAIL'!K25</f>
        <v>0</v>
      </c>
      <c r="F34" s="258">
        <f>'DATA INPUT - DETAIL'!L25</f>
        <v>0</v>
      </c>
      <c r="G34" s="179">
        <f>'DATA INPUT - DETAIL'!M25*(1+$V$5)</f>
        <v>0</v>
      </c>
      <c r="H34" s="179">
        <f>'DATA INPUT - DETAIL'!N25*(1+$V$5)</f>
        <v>1000</v>
      </c>
      <c r="I34" s="258">
        <f t="shared" si="72"/>
        <v>1048.1823152540005</v>
      </c>
      <c r="J34" s="258">
        <f>'DATA INPUT - DETAIL'!O25</f>
        <v>0</v>
      </c>
      <c r="K34" s="258">
        <f>'DATA INPUT - DETAIL'!P25</f>
        <v>0</v>
      </c>
      <c r="L34" s="267">
        <f>ROUNDDOWN('DATA INPUT - DETAIL'!G25,0)</f>
        <v>35</v>
      </c>
      <c r="M34" s="196">
        <f t="shared" si="25"/>
        <v>8.921042540299684E-5</v>
      </c>
      <c r="N34" s="196">
        <f t="shared" si="1"/>
        <v>0</v>
      </c>
      <c r="O34" s="196">
        <f t="shared" si="2"/>
        <v>0</v>
      </c>
      <c r="P34" s="196">
        <f t="shared" si="3"/>
        <v>0</v>
      </c>
      <c r="Q34" s="196">
        <f t="shared" si="4"/>
        <v>0</v>
      </c>
      <c r="R34" s="196">
        <f t="shared" si="5"/>
        <v>0</v>
      </c>
      <c r="S34" s="196">
        <f t="shared" si="6"/>
        <v>0</v>
      </c>
      <c r="T34" s="196">
        <f t="shared" si="7"/>
        <v>0</v>
      </c>
      <c r="U34" s="185">
        <f>(C34&gt;0)*(C34&lt;$E$5)*VLOOKUP(MPP,ASUMSI!$BN$77:$CR$108,B34+1)*(1+$V$4)</f>
        <v>1.6821425527395739E-3</v>
      </c>
      <c r="V34" s="196">
        <f t="shared" si="8"/>
        <v>0</v>
      </c>
      <c r="W34" s="196">
        <f t="shared" si="68"/>
        <v>0.97328520661098494</v>
      </c>
      <c r="X34" s="196">
        <f t="shared" si="69"/>
        <v>8.6827187320209637E-5</v>
      </c>
      <c r="Y34" s="196">
        <f t="shared" si="26"/>
        <v>1.6372044619922658E-3</v>
      </c>
      <c r="Z34" s="196">
        <f t="shared" si="27"/>
        <v>0</v>
      </c>
      <c r="AA34" s="185">
        <f t="shared" si="28"/>
        <v>0.97156117496167249</v>
      </c>
      <c r="AB34" s="196">
        <f t="shared" si="29"/>
        <v>0</v>
      </c>
      <c r="AC34" s="196">
        <f t="shared" si="29"/>
        <v>0</v>
      </c>
      <c r="AD34" s="196">
        <f t="shared" si="29"/>
        <v>0</v>
      </c>
      <c r="AE34" s="196">
        <f t="shared" si="73"/>
        <v>0</v>
      </c>
      <c r="AF34" s="196">
        <f t="shared" si="30"/>
        <v>0</v>
      </c>
      <c r="AG34" s="196">
        <f t="shared" si="31"/>
        <v>0</v>
      </c>
      <c r="AH34" s="196">
        <f t="shared" si="32"/>
        <v>0</v>
      </c>
      <c r="AI34" s="266">
        <f>'DATA INPUT - DETAIL'!R25</f>
        <v>24482573.382300001</v>
      </c>
      <c r="AJ34" s="266">
        <f>'DATA INPUT - DETAIL'!S25</f>
        <v>0</v>
      </c>
      <c r="AK34" s="266">
        <f>'DATA INPUT - DETAIL'!T25</f>
        <v>0</v>
      </c>
      <c r="AL34" s="266">
        <f>'DATA INPUT - DETAIL'!U25</f>
        <v>0</v>
      </c>
      <c r="AM34" s="266">
        <f>'DATA INPUT - DETAIL'!V25</f>
        <v>0</v>
      </c>
      <c r="AN34" s="266">
        <f>'DATA INPUT - DETAIL'!W25</f>
        <v>0</v>
      </c>
      <c r="AO34" s="198">
        <f t="shared" si="10"/>
        <v>0</v>
      </c>
      <c r="AP34" s="266">
        <f>'DATA INPUT - DETAIL'!X25</f>
        <v>0</v>
      </c>
      <c r="AQ34" s="266">
        <f>'DATA INPUT - DETAIL'!Y25</f>
        <v>0</v>
      </c>
      <c r="AR34" s="266">
        <f>'DATA INPUT - DETAIL'!Z25</f>
        <v>0</v>
      </c>
      <c r="AS34" s="266">
        <f>'DATA INPUT - DETAIL'!AD25</f>
        <v>0</v>
      </c>
      <c r="AT34" s="266">
        <f t="shared" si="33"/>
        <v>0</v>
      </c>
      <c r="AU34" s="206">
        <f>'DATA INPUT - DETAIL'!AA25</f>
        <v>64400</v>
      </c>
      <c r="AV34" s="206">
        <f>'DATA INPUT - DETAIL'!AB25</f>
        <v>0</v>
      </c>
      <c r="AW34" s="206">
        <f>'DATA INPUT - DETAIL'!AC25</f>
        <v>0</v>
      </c>
      <c r="AX34" s="206">
        <f t="shared" si="11"/>
        <v>2125.7529851457407</v>
      </c>
      <c r="AY34" s="206">
        <f t="shared" si="34"/>
        <v>0</v>
      </c>
      <c r="AZ34" s="206">
        <f t="shared" si="35"/>
        <v>0</v>
      </c>
      <c r="BA34" s="206">
        <f t="shared" si="12"/>
        <v>0</v>
      </c>
      <c r="BB34" s="206">
        <f t="shared" si="13"/>
        <v>0</v>
      </c>
      <c r="BC34" s="206">
        <f t="shared" si="14"/>
        <v>0</v>
      </c>
      <c r="BD34" s="206">
        <f t="shared" si="15"/>
        <v>0</v>
      </c>
      <c r="BE34" s="206">
        <f t="shared" si="16"/>
        <v>0</v>
      </c>
      <c r="BF34" s="206">
        <f t="shared" si="17"/>
        <v>0</v>
      </c>
      <c r="BG34" s="206">
        <f t="shared" si="36"/>
        <v>105.43596735230192</v>
      </c>
      <c r="BH34" s="206">
        <f t="shared" si="18"/>
        <v>0</v>
      </c>
      <c r="BI34" s="206">
        <f t="shared" si="19"/>
        <v>0</v>
      </c>
      <c r="BJ34" s="266">
        <f t="shared" si="37"/>
        <v>2125.7529851457407</v>
      </c>
      <c r="BK34" s="266">
        <f t="shared" si="38"/>
        <v>105.43596735230192</v>
      </c>
      <c r="BL34" s="192">
        <f t="shared" si="39"/>
        <v>0</v>
      </c>
      <c r="BM34" s="192">
        <f t="shared" si="40"/>
        <v>0</v>
      </c>
      <c r="BN34" s="192">
        <f t="shared" si="41"/>
        <v>0</v>
      </c>
      <c r="BO34" s="192">
        <f t="shared" si="42"/>
        <v>1020.1803412679704</v>
      </c>
      <c r="BP34" s="192">
        <f t="shared" si="43"/>
        <v>1020.1803412679704</v>
      </c>
      <c r="BQ34" s="193">
        <f t="shared" si="44"/>
        <v>1020.1803412679704</v>
      </c>
      <c r="BR34" s="193">
        <f t="shared" si="45"/>
        <v>0</v>
      </c>
      <c r="BS34" s="265">
        <f t="shared" si="46"/>
        <v>16902.770404634237</v>
      </c>
      <c r="BT34" s="265">
        <f t="shared" si="47"/>
        <v>1006.2415230578295</v>
      </c>
      <c r="BU34" s="265">
        <f t="shared" si="48"/>
        <v>0</v>
      </c>
      <c r="BV34" s="265">
        <f t="shared" si="49"/>
        <v>0</v>
      </c>
      <c r="BW34" s="265">
        <f t="shared" si="50"/>
        <v>0</v>
      </c>
      <c r="BX34" s="265">
        <f t="shared" si="51"/>
        <v>14828.145694507732</v>
      </c>
      <c r="BY34" s="265">
        <f t="shared" si="52"/>
        <v>14828.145694507732</v>
      </c>
      <c r="BZ34" s="265">
        <f t="shared" si="53"/>
        <v>14828.145694507732</v>
      </c>
      <c r="CA34" s="265">
        <f t="shared" si="54"/>
        <v>0</v>
      </c>
      <c r="CB34" s="269">
        <f t="shared" si="55"/>
        <v>32737.157622199797</v>
      </c>
      <c r="CC34" s="266">
        <f t="shared" si="56"/>
        <v>33635.729177670117</v>
      </c>
      <c r="CD34" s="241"/>
      <c r="CE34" s="198">
        <f t="shared" si="70"/>
        <v>33635.729177670197</v>
      </c>
      <c r="CF34" s="198">
        <f t="shared" si="58"/>
        <v>0</v>
      </c>
      <c r="CG34" s="198">
        <f t="shared" si="59"/>
        <v>0</v>
      </c>
      <c r="CH34" s="198">
        <f t="shared" si="60"/>
        <v>-1048.1823152540005</v>
      </c>
      <c r="CI34" s="198">
        <f t="shared" si="61"/>
        <v>0</v>
      </c>
      <c r="CJ34" s="198">
        <f t="shared" si="62"/>
        <v>-2184.1007863950704</v>
      </c>
      <c r="CK34" s="198">
        <f t="shared" si="63"/>
        <v>-108.32998039642855</v>
      </c>
      <c r="CL34" s="198">
        <f t="shared" si="64"/>
        <v>142.35856208138637</v>
      </c>
      <c r="CM34" s="271">
        <f t="shared" si="65"/>
        <v>54.011184254148226</v>
      </c>
      <c r="CN34" s="198">
        <f t="shared" si="66"/>
        <v>30491.485841960231</v>
      </c>
      <c r="CO34" s="209">
        <f t="shared" si="71"/>
        <v>8.0035533756017685E-11</v>
      </c>
    </row>
    <row r="35" spans="2:93" x14ac:dyDescent="0.2">
      <c r="B35" s="221">
        <f>'DATA INPUT - DETAIL'!D26</f>
        <v>2</v>
      </c>
      <c r="C35" s="211">
        <f>'DATA INPUT - DETAIL'!E26</f>
        <v>23</v>
      </c>
      <c r="D35" s="257">
        <f>'DATA INPUT - DETAIL'!I26</f>
        <v>0</v>
      </c>
      <c r="E35" s="258">
        <f>'DATA INPUT - DETAIL'!K26</f>
        <v>0</v>
      </c>
      <c r="F35" s="258">
        <f>'DATA INPUT - DETAIL'!L26</f>
        <v>0</v>
      </c>
      <c r="G35" s="179">
        <f>'DATA INPUT - DETAIL'!M26*(1+$V$5)</f>
        <v>0</v>
      </c>
      <c r="H35" s="179">
        <f>'DATA INPUT - DETAIL'!N26*(1+$V$5)</f>
        <v>1000</v>
      </c>
      <c r="I35" s="258">
        <f t="shared" si="72"/>
        <v>1050.4267546537089</v>
      </c>
      <c r="J35" s="258">
        <f>'DATA INPUT - DETAIL'!O26</f>
        <v>0</v>
      </c>
      <c r="K35" s="258">
        <f>'DATA INPUT - DETAIL'!P26</f>
        <v>0</v>
      </c>
      <c r="L35" s="267">
        <f>ROUNDDOWN('DATA INPUT - DETAIL'!G26,0)</f>
        <v>35</v>
      </c>
      <c r="M35" s="196">
        <f t="shared" si="25"/>
        <v>8.921042540299684E-5</v>
      </c>
      <c r="N35" s="196">
        <f t="shared" si="1"/>
        <v>0</v>
      </c>
      <c r="O35" s="196">
        <f t="shared" si="2"/>
        <v>0</v>
      </c>
      <c r="P35" s="196">
        <f t="shared" si="3"/>
        <v>0</v>
      </c>
      <c r="Q35" s="196">
        <f t="shared" si="4"/>
        <v>0</v>
      </c>
      <c r="R35" s="196">
        <f t="shared" si="5"/>
        <v>0</v>
      </c>
      <c r="S35" s="196">
        <f t="shared" si="6"/>
        <v>0</v>
      </c>
      <c r="T35" s="196">
        <f t="shared" si="7"/>
        <v>0</v>
      </c>
      <c r="U35" s="185">
        <f>(C35&gt;0)*(C35&lt;$E$5)*VLOOKUP(MPP,ASUMSI!$BN$77:$CR$108,B35+1)*(1+$V$4)</f>
        <v>1.6821425527395739E-3</v>
      </c>
      <c r="V35" s="196">
        <f t="shared" si="8"/>
        <v>0</v>
      </c>
      <c r="W35" s="196">
        <f t="shared" si="68"/>
        <v>0.97156117496167249</v>
      </c>
      <c r="X35" s="196">
        <f t="shared" si="69"/>
        <v>8.667338572336624E-5</v>
      </c>
      <c r="Y35" s="196">
        <f t="shared" si="26"/>
        <v>1.6343043949926875E-3</v>
      </c>
      <c r="Z35" s="196">
        <f t="shared" si="27"/>
        <v>0</v>
      </c>
      <c r="AA35" s="185">
        <f t="shared" si="28"/>
        <v>0.96984019718095649</v>
      </c>
      <c r="AB35" s="196">
        <f t="shared" si="29"/>
        <v>0</v>
      </c>
      <c r="AC35" s="196">
        <f t="shared" si="29"/>
        <v>0</v>
      </c>
      <c r="AD35" s="196">
        <f t="shared" si="29"/>
        <v>0</v>
      </c>
      <c r="AE35" s="196">
        <f t="shared" si="73"/>
        <v>0</v>
      </c>
      <c r="AF35" s="196">
        <f t="shared" si="30"/>
        <v>0</v>
      </c>
      <c r="AG35" s="196">
        <f t="shared" si="31"/>
        <v>0</v>
      </c>
      <c r="AH35" s="196">
        <f t="shared" si="32"/>
        <v>0</v>
      </c>
      <c r="AI35" s="266">
        <f>'DATA INPUT - DETAIL'!R26</f>
        <v>23032437.1041</v>
      </c>
      <c r="AJ35" s="266">
        <f>'DATA INPUT - DETAIL'!S26</f>
        <v>0</v>
      </c>
      <c r="AK35" s="266">
        <f>'DATA INPUT - DETAIL'!T26</f>
        <v>0</v>
      </c>
      <c r="AL35" s="266">
        <f>'DATA INPUT - DETAIL'!U26</f>
        <v>0</v>
      </c>
      <c r="AM35" s="266">
        <f>'DATA INPUT - DETAIL'!V26</f>
        <v>0</v>
      </c>
      <c r="AN35" s="266">
        <f>'DATA INPUT - DETAIL'!W26</f>
        <v>0</v>
      </c>
      <c r="AO35" s="198">
        <f t="shared" si="10"/>
        <v>0</v>
      </c>
      <c r="AP35" s="266">
        <f>'DATA INPUT - DETAIL'!X26</f>
        <v>0</v>
      </c>
      <c r="AQ35" s="266">
        <f>'DATA INPUT - DETAIL'!Y26</f>
        <v>0</v>
      </c>
      <c r="AR35" s="266">
        <f>'DATA INPUT - DETAIL'!Z26</f>
        <v>0</v>
      </c>
      <c r="AS35" s="266">
        <f>'DATA INPUT - DETAIL'!AD26</f>
        <v>0</v>
      </c>
      <c r="AT35" s="266">
        <f t="shared" si="33"/>
        <v>0</v>
      </c>
      <c r="AU35" s="206">
        <f>'DATA INPUT - DETAIL'!AA26</f>
        <v>59800</v>
      </c>
      <c r="AV35" s="206">
        <f>'DATA INPUT - DETAIL'!AB26</f>
        <v>0</v>
      </c>
      <c r="AW35" s="206">
        <f>'DATA INPUT - DETAIL'!AC26</f>
        <v>0</v>
      </c>
      <c r="AX35" s="206">
        <f t="shared" si="11"/>
        <v>1996.2993052728318</v>
      </c>
      <c r="AY35" s="206">
        <f t="shared" si="34"/>
        <v>0</v>
      </c>
      <c r="AZ35" s="206">
        <f t="shared" si="35"/>
        <v>0</v>
      </c>
      <c r="BA35" s="206">
        <f t="shared" si="12"/>
        <v>0</v>
      </c>
      <c r="BB35" s="206">
        <f t="shared" si="13"/>
        <v>0</v>
      </c>
      <c r="BC35" s="206">
        <f t="shared" si="14"/>
        <v>0</v>
      </c>
      <c r="BD35" s="206">
        <f t="shared" si="15"/>
        <v>0</v>
      </c>
      <c r="BE35" s="206">
        <f t="shared" si="16"/>
        <v>0</v>
      </c>
      <c r="BF35" s="206">
        <f t="shared" si="17"/>
        <v>0</v>
      </c>
      <c r="BG35" s="206">
        <f t="shared" si="36"/>
        <v>97.731402820562707</v>
      </c>
      <c r="BH35" s="206">
        <f t="shared" si="18"/>
        <v>0</v>
      </c>
      <c r="BI35" s="206">
        <f t="shared" si="19"/>
        <v>0</v>
      </c>
      <c r="BJ35" s="266">
        <f t="shared" si="37"/>
        <v>1996.2993052728318</v>
      </c>
      <c r="BK35" s="266">
        <f t="shared" si="38"/>
        <v>97.731402820562707</v>
      </c>
      <c r="BL35" s="192">
        <f t="shared" si="39"/>
        <v>0</v>
      </c>
      <c r="BM35" s="192">
        <f t="shared" si="40"/>
        <v>0</v>
      </c>
      <c r="BN35" s="192">
        <f t="shared" si="41"/>
        <v>0</v>
      </c>
      <c r="BO35" s="192">
        <f t="shared" si="42"/>
        <v>1020.5538519625339</v>
      </c>
      <c r="BP35" s="192">
        <f t="shared" si="43"/>
        <v>1020.5538519625339</v>
      </c>
      <c r="BQ35" s="193">
        <f t="shared" si="44"/>
        <v>1020.5538519625339</v>
      </c>
      <c r="BR35" s="193">
        <f t="shared" si="45"/>
        <v>0</v>
      </c>
      <c r="BS35" s="265">
        <f t="shared" si="46"/>
        <v>14850.857101258796</v>
      </c>
      <c r="BT35" s="265">
        <f t="shared" si="47"/>
        <v>905.20131758763193</v>
      </c>
      <c r="BU35" s="265">
        <f t="shared" si="48"/>
        <v>0</v>
      </c>
      <c r="BV35" s="265">
        <f t="shared" si="49"/>
        <v>0</v>
      </c>
      <c r="BW35" s="265">
        <f t="shared" si="50"/>
        <v>0</v>
      </c>
      <c r="BX35" s="265">
        <f t="shared" si="51"/>
        <v>13868.28539209558</v>
      </c>
      <c r="BY35" s="265">
        <f t="shared" si="52"/>
        <v>13868.28539209558</v>
      </c>
      <c r="BZ35" s="265">
        <f t="shared" si="53"/>
        <v>13868.28539209558</v>
      </c>
      <c r="CA35" s="265">
        <f t="shared" si="54"/>
        <v>0</v>
      </c>
      <c r="CB35" s="269">
        <f t="shared" si="55"/>
        <v>29624.343810942009</v>
      </c>
      <c r="CC35" s="266">
        <f t="shared" si="56"/>
        <v>30491.485841960155</v>
      </c>
      <c r="CD35" s="241"/>
      <c r="CE35" s="198">
        <f t="shared" si="70"/>
        <v>30491.485841960231</v>
      </c>
      <c r="CF35" s="198">
        <f t="shared" si="58"/>
        <v>0</v>
      </c>
      <c r="CG35" s="198">
        <f t="shared" si="59"/>
        <v>0</v>
      </c>
      <c r="CH35" s="198">
        <f t="shared" si="60"/>
        <v>-1050.4267546537089</v>
      </c>
      <c r="CI35" s="198">
        <f t="shared" si="61"/>
        <v>0</v>
      </c>
      <c r="CJ35" s="198">
        <f t="shared" si="62"/>
        <v>-2054.7335121245296</v>
      </c>
      <c r="CK35" s="198">
        <f t="shared" si="63"/>
        <v>-100.59212465382652</v>
      </c>
      <c r="CL35" s="198">
        <f t="shared" si="64"/>
        <v>128.6131434046624</v>
      </c>
      <c r="CM35" s="271">
        <f t="shared" si="65"/>
        <v>48.646654879990578</v>
      </c>
      <c r="CN35" s="198">
        <f t="shared" si="66"/>
        <v>27462.993248812818</v>
      </c>
      <c r="CO35" s="209">
        <f t="shared" si="71"/>
        <v>7.6397554948925972E-11</v>
      </c>
    </row>
    <row r="36" spans="2:93" x14ac:dyDescent="0.2">
      <c r="B36" s="221">
        <f>'DATA INPUT - DETAIL'!D27</f>
        <v>2</v>
      </c>
      <c r="C36" s="211">
        <f>'DATA INPUT - DETAIL'!E27</f>
        <v>24</v>
      </c>
      <c r="D36" s="257">
        <f>'DATA INPUT - DETAIL'!I27</f>
        <v>0</v>
      </c>
      <c r="E36" s="258">
        <f>'DATA INPUT - DETAIL'!K27</f>
        <v>0</v>
      </c>
      <c r="F36" s="258">
        <f>'DATA INPUT - DETAIL'!L27</f>
        <v>0</v>
      </c>
      <c r="G36" s="179">
        <f>'DATA INPUT - DETAIL'!M27*(1+$V$5)</f>
        <v>0</v>
      </c>
      <c r="H36" s="179">
        <f>'DATA INPUT - DETAIL'!N27*(1+$V$5)</f>
        <v>1000</v>
      </c>
      <c r="I36" s="258">
        <f t="shared" si="72"/>
        <v>1052.6760000000033</v>
      </c>
      <c r="J36" s="258">
        <f>'DATA INPUT - DETAIL'!O27</f>
        <v>0</v>
      </c>
      <c r="K36" s="258">
        <f>'DATA INPUT - DETAIL'!P27</f>
        <v>0</v>
      </c>
      <c r="L36" s="267">
        <f>ROUNDDOWN('DATA INPUT - DETAIL'!G27,0)</f>
        <v>35</v>
      </c>
      <c r="M36" s="196">
        <f t="shared" si="25"/>
        <v>8.921042540299684E-5</v>
      </c>
      <c r="N36" s="196">
        <f t="shared" si="1"/>
        <v>0</v>
      </c>
      <c r="O36" s="196">
        <f t="shared" si="2"/>
        <v>0</v>
      </c>
      <c r="P36" s="196">
        <f t="shared" si="3"/>
        <v>0</v>
      </c>
      <c r="Q36" s="196">
        <f t="shared" si="4"/>
        <v>0</v>
      </c>
      <c r="R36" s="196">
        <f t="shared" si="5"/>
        <v>0</v>
      </c>
      <c r="S36" s="196">
        <f t="shared" si="6"/>
        <v>0</v>
      </c>
      <c r="T36" s="196">
        <f t="shared" si="7"/>
        <v>0</v>
      </c>
      <c r="U36" s="185">
        <f>(C36&gt;0)*(C36&lt;$E$5)*VLOOKUP(MPP,ASUMSI!$BN$77:$CR$108,B36+1)*(1+$V$4)</f>
        <v>1.6821425527395739E-3</v>
      </c>
      <c r="V36" s="196">
        <f t="shared" si="8"/>
        <v>0</v>
      </c>
      <c r="W36" s="196">
        <f t="shared" si="68"/>
        <v>0.96984019718095649</v>
      </c>
      <c r="X36" s="196">
        <f t="shared" si="69"/>
        <v>8.651985656343947E-5</v>
      </c>
      <c r="Y36" s="196">
        <f t="shared" si="26"/>
        <v>1.6314094650354259E-3</v>
      </c>
      <c r="Z36" s="196">
        <f t="shared" si="27"/>
        <v>0</v>
      </c>
      <c r="AA36" s="185">
        <f t="shared" si="28"/>
        <v>0.96812226785935762</v>
      </c>
      <c r="AB36" s="196">
        <f t="shared" si="29"/>
        <v>0</v>
      </c>
      <c r="AC36" s="196">
        <f t="shared" si="29"/>
        <v>0</v>
      </c>
      <c r="AD36" s="196">
        <f t="shared" si="29"/>
        <v>0</v>
      </c>
      <c r="AE36" s="196">
        <f t="shared" si="73"/>
        <v>0</v>
      </c>
      <c r="AF36" s="196">
        <f t="shared" si="30"/>
        <v>0</v>
      </c>
      <c r="AG36" s="196">
        <f t="shared" si="31"/>
        <v>0</v>
      </c>
      <c r="AH36" s="196">
        <f t="shared" si="32"/>
        <v>0</v>
      </c>
      <c r="AI36" s="266">
        <f>'DATA INPUT - DETAIL'!R27</f>
        <v>21558131.887800001</v>
      </c>
      <c r="AJ36" s="266">
        <f>'DATA INPUT - DETAIL'!S27</f>
        <v>0</v>
      </c>
      <c r="AK36" s="266">
        <f>'DATA INPUT - DETAIL'!T27</f>
        <v>0</v>
      </c>
      <c r="AL36" s="266">
        <f>'DATA INPUT - DETAIL'!U27</f>
        <v>0</v>
      </c>
      <c r="AM36" s="266">
        <f>'DATA INPUT - DETAIL'!V27</f>
        <v>0</v>
      </c>
      <c r="AN36" s="266">
        <f>'DATA INPUT - DETAIL'!W27</f>
        <v>0</v>
      </c>
      <c r="AO36" s="198">
        <f t="shared" si="10"/>
        <v>0</v>
      </c>
      <c r="AP36" s="266">
        <f>'DATA INPUT - DETAIL'!X27</f>
        <v>0</v>
      </c>
      <c r="AQ36" s="266">
        <f>'DATA INPUT - DETAIL'!Y27</f>
        <v>0</v>
      </c>
      <c r="AR36" s="266">
        <f>'DATA INPUT - DETAIL'!Z27</f>
        <v>0</v>
      </c>
      <c r="AS36" s="266">
        <f>'DATA INPUT - DETAIL'!AD27</f>
        <v>0</v>
      </c>
      <c r="AT36" s="266">
        <f t="shared" si="33"/>
        <v>0</v>
      </c>
      <c r="AU36" s="206">
        <f>'DATA INPUT - DETAIL'!AA27</f>
        <v>55200</v>
      </c>
      <c r="AV36" s="206">
        <f>'DATA INPUT - DETAIL'!AB27</f>
        <v>0</v>
      </c>
      <c r="AW36" s="206">
        <f>'DATA INPUT - DETAIL'!AC27</f>
        <v>0</v>
      </c>
      <c r="AX36" s="206">
        <f t="shared" si="11"/>
        <v>1865.2064787081665</v>
      </c>
      <c r="AY36" s="206">
        <f t="shared" si="34"/>
        <v>0</v>
      </c>
      <c r="AZ36" s="206">
        <f t="shared" si="35"/>
        <v>0</v>
      </c>
      <c r="BA36" s="206">
        <f t="shared" si="12"/>
        <v>0</v>
      </c>
      <c r="BB36" s="206">
        <f t="shared" si="13"/>
        <v>0</v>
      </c>
      <c r="BC36" s="206">
        <f t="shared" si="14"/>
        <v>0</v>
      </c>
      <c r="BD36" s="206">
        <f t="shared" si="15"/>
        <v>0</v>
      </c>
      <c r="BE36" s="206">
        <f t="shared" si="16"/>
        <v>0</v>
      </c>
      <c r="BF36" s="206">
        <f t="shared" si="17"/>
        <v>0</v>
      </c>
      <c r="BG36" s="206">
        <f t="shared" si="36"/>
        <v>90.053802469955514</v>
      </c>
      <c r="BH36" s="206">
        <f t="shared" si="18"/>
        <v>0</v>
      </c>
      <c r="BI36" s="206">
        <f t="shared" si="19"/>
        <v>0</v>
      </c>
      <c r="BJ36" s="266">
        <f t="shared" si="37"/>
        <v>1865.2064787081665</v>
      </c>
      <c r="BK36" s="266">
        <f t="shared" si="38"/>
        <v>90.053802469955514</v>
      </c>
      <c r="BL36" s="192">
        <f t="shared" si="39"/>
        <v>0</v>
      </c>
      <c r="BM36" s="192">
        <f t="shared" si="40"/>
        <v>0</v>
      </c>
      <c r="BN36" s="192">
        <f t="shared" si="41"/>
        <v>0</v>
      </c>
      <c r="BO36" s="192">
        <f t="shared" si="42"/>
        <v>1020.9274994076638</v>
      </c>
      <c r="BP36" s="192">
        <f t="shared" si="43"/>
        <v>1020.9274994076638</v>
      </c>
      <c r="BQ36" s="193">
        <f t="shared" si="44"/>
        <v>1020.9274994076638</v>
      </c>
      <c r="BR36" s="193">
        <f t="shared" si="45"/>
        <v>0</v>
      </c>
      <c r="BS36" s="265">
        <f t="shared" si="46"/>
        <v>12919.433703078241</v>
      </c>
      <c r="BT36" s="265">
        <f t="shared" si="47"/>
        <v>811.42428293445562</v>
      </c>
      <c r="BU36" s="265">
        <f t="shared" si="48"/>
        <v>0</v>
      </c>
      <c r="BV36" s="265">
        <f t="shared" si="49"/>
        <v>0</v>
      </c>
      <c r="BW36" s="265">
        <f t="shared" si="50"/>
        <v>0</v>
      </c>
      <c r="BX36" s="265">
        <f t="shared" si="51"/>
        <v>12903.856801595131</v>
      </c>
      <c r="BY36" s="265">
        <f t="shared" si="52"/>
        <v>12903.856801595131</v>
      </c>
      <c r="BZ36" s="265">
        <f t="shared" si="53"/>
        <v>12903.856801595131</v>
      </c>
      <c r="CA36" s="265">
        <f t="shared" si="54"/>
        <v>0</v>
      </c>
      <c r="CB36" s="269">
        <f t="shared" si="55"/>
        <v>26634.714787607827</v>
      </c>
      <c r="CC36" s="266">
        <f t="shared" si="56"/>
        <v>27462.993248812742</v>
      </c>
      <c r="CD36" s="241"/>
      <c r="CE36" s="198">
        <f t="shared" si="70"/>
        <v>27462.993248812818</v>
      </c>
      <c r="CF36" s="198">
        <f t="shared" si="58"/>
        <v>0</v>
      </c>
      <c r="CG36" s="198">
        <f t="shared" si="59"/>
        <v>0</v>
      </c>
      <c r="CH36" s="198">
        <f t="shared" si="60"/>
        <v>-1052.6760000000033</v>
      </c>
      <c r="CI36" s="198">
        <f t="shared" si="61"/>
        <v>0</v>
      </c>
      <c r="CJ36" s="198">
        <f t="shared" si="62"/>
        <v>-1923.2101166045495</v>
      </c>
      <c r="CK36" s="198">
        <f t="shared" si="63"/>
        <v>-92.85426891122448</v>
      </c>
      <c r="CL36" s="198">
        <f t="shared" si="64"/>
        <v>115.3733603676194</v>
      </c>
      <c r="CM36" s="271">
        <f t="shared" si="65"/>
        <v>43.492239512433699</v>
      </c>
      <c r="CN36" s="198">
        <f t="shared" si="66"/>
        <v>24553.118463177092</v>
      </c>
      <c r="CO36" s="209">
        <f t="shared" si="71"/>
        <v>7.6397554948925972E-11</v>
      </c>
    </row>
    <row r="37" spans="2:93" x14ac:dyDescent="0.2">
      <c r="B37" s="221">
        <f>'DATA INPUT - DETAIL'!D28</f>
        <v>3</v>
      </c>
      <c r="C37" s="211">
        <f>'DATA INPUT - DETAIL'!E28</f>
        <v>25</v>
      </c>
      <c r="D37" s="257">
        <f>'DATA INPUT - DETAIL'!I28</f>
        <v>0</v>
      </c>
      <c r="E37" s="258">
        <f>'DATA INPUT - DETAIL'!K28</f>
        <v>0</v>
      </c>
      <c r="F37" s="258">
        <f>'DATA INPUT - DETAIL'!L28</f>
        <v>0</v>
      </c>
      <c r="G37" s="179">
        <f>'DATA INPUT - DETAIL'!M28*(1+$V$5)</f>
        <v>0</v>
      </c>
      <c r="H37" s="179">
        <f>'DATA INPUT - DETAIL'!N28*(1+$V$5)</f>
        <v>1000</v>
      </c>
      <c r="I37" s="258">
        <f t="shared" si="72"/>
        <v>1054.9300615837033</v>
      </c>
      <c r="J37" s="258">
        <f>'DATA INPUT - DETAIL'!O28</f>
        <v>0</v>
      </c>
      <c r="K37" s="258">
        <f>'DATA INPUT - DETAIL'!P28</f>
        <v>0</v>
      </c>
      <c r="L37" s="267">
        <f>ROUNDDOWN('DATA INPUT - DETAIL'!G28,0)</f>
        <v>35</v>
      </c>
      <c r="M37" s="196">
        <f t="shared" si="25"/>
        <v>8.921042540299684E-5</v>
      </c>
      <c r="N37" s="196">
        <f t="shared" si="1"/>
        <v>0</v>
      </c>
      <c r="O37" s="196">
        <f t="shared" si="2"/>
        <v>0</v>
      </c>
      <c r="P37" s="196">
        <f t="shared" si="3"/>
        <v>0</v>
      </c>
      <c r="Q37" s="196">
        <f t="shared" si="4"/>
        <v>0</v>
      </c>
      <c r="R37" s="196">
        <f t="shared" si="5"/>
        <v>0</v>
      </c>
      <c r="S37" s="196">
        <f t="shared" si="6"/>
        <v>0</v>
      </c>
      <c r="T37" s="196">
        <f t="shared" si="7"/>
        <v>0</v>
      </c>
      <c r="U37" s="185">
        <f>(C37&gt;0)*(C37&lt;$E$5)*VLOOKUP(MPP,ASUMSI!$BN$77:$CR$108,B37+1)*(1+$V$4)</f>
        <v>2.5350486138366879E-3</v>
      </c>
      <c r="V37" s="196">
        <f t="shared" si="8"/>
        <v>0</v>
      </c>
      <c r="W37" s="196">
        <f t="shared" si="68"/>
        <v>0.96812226785935762</v>
      </c>
      <c r="X37" s="196">
        <f t="shared" si="69"/>
        <v>8.6366599357847349E-5</v>
      </c>
      <c r="Y37" s="196">
        <f t="shared" si="26"/>
        <v>2.4542370131612951E-3</v>
      </c>
      <c r="Z37" s="196">
        <f t="shared" si="27"/>
        <v>0</v>
      </c>
      <c r="AA37" s="185">
        <f t="shared" si="28"/>
        <v>0.96558166424683844</v>
      </c>
      <c r="AB37" s="196">
        <f t="shared" si="29"/>
        <v>0</v>
      </c>
      <c r="AC37" s="196">
        <f t="shared" si="29"/>
        <v>0</v>
      </c>
      <c r="AD37" s="196">
        <f t="shared" si="29"/>
        <v>0</v>
      </c>
      <c r="AE37" s="196">
        <f t="shared" si="73"/>
        <v>0</v>
      </c>
      <c r="AF37" s="196">
        <f t="shared" si="30"/>
        <v>0</v>
      </c>
      <c r="AG37" s="196">
        <f t="shared" si="31"/>
        <v>0</v>
      </c>
      <c r="AH37" s="196">
        <f t="shared" si="32"/>
        <v>0</v>
      </c>
      <c r="AI37" s="266">
        <f>'DATA INPUT - DETAIL'!R28</f>
        <v>20059254.9179</v>
      </c>
      <c r="AJ37" s="266">
        <f>'DATA INPUT - DETAIL'!S28</f>
        <v>0</v>
      </c>
      <c r="AK37" s="266">
        <f>'DATA INPUT - DETAIL'!T28</f>
        <v>0</v>
      </c>
      <c r="AL37" s="266">
        <f>'DATA INPUT - DETAIL'!U28</f>
        <v>0</v>
      </c>
      <c r="AM37" s="266">
        <f>'DATA INPUT - DETAIL'!V28</f>
        <v>0</v>
      </c>
      <c r="AN37" s="266">
        <f>'DATA INPUT - DETAIL'!W28</f>
        <v>0</v>
      </c>
      <c r="AO37" s="198">
        <f t="shared" si="10"/>
        <v>0</v>
      </c>
      <c r="AP37" s="266">
        <f>'DATA INPUT - DETAIL'!X28</f>
        <v>0</v>
      </c>
      <c r="AQ37" s="266">
        <f>'DATA INPUT - DETAIL'!Y28</f>
        <v>0</v>
      </c>
      <c r="AR37" s="266">
        <f>'DATA INPUT - DETAIL'!Z28</f>
        <v>0</v>
      </c>
      <c r="AS37" s="266">
        <f>'DATA INPUT - DETAIL'!AD28</f>
        <v>0</v>
      </c>
      <c r="AT37" s="266">
        <f t="shared" si="33"/>
        <v>0</v>
      </c>
      <c r="AU37" s="206">
        <f>'DATA INPUT - DETAIL'!AA28</f>
        <v>50600</v>
      </c>
      <c r="AV37" s="206">
        <f>'DATA INPUT - DETAIL'!AB28</f>
        <v>0</v>
      </c>
      <c r="AW37" s="206">
        <f>'DATA INPUT - DETAIL'!AC28</f>
        <v>0</v>
      </c>
      <c r="AX37" s="206">
        <f t="shared" si="11"/>
        <v>1732.4496329111985</v>
      </c>
      <c r="AY37" s="206">
        <f t="shared" si="34"/>
        <v>0</v>
      </c>
      <c r="AZ37" s="206">
        <f t="shared" si="35"/>
        <v>0</v>
      </c>
      <c r="BA37" s="206">
        <f t="shared" si="12"/>
        <v>0</v>
      </c>
      <c r="BB37" s="206">
        <f t="shared" si="13"/>
        <v>0</v>
      </c>
      <c r="BC37" s="206">
        <f t="shared" si="14"/>
        <v>0</v>
      </c>
      <c r="BD37" s="206">
        <f t="shared" si="15"/>
        <v>0</v>
      </c>
      <c r="BE37" s="206">
        <f t="shared" si="16"/>
        <v>0</v>
      </c>
      <c r="BF37" s="206">
        <f t="shared" si="17"/>
        <v>0</v>
      </c>
      <c r="BG37" s="206">
        <f t="shared" si="36"/>
        <v>124.18439286596153</v>
      </c>
      <c r="BH37" s="206">
        <f t="shared" si="18"/>
        <v>0</v>
      </c>
      <c r="BI37" s="206">
        <f t="shared" si="19"/>
        <v>0</v>
      </c>
      <c r="BJ37" s="266">
        <f t="shared" si="37"/>
        <v>1732.4496329111985</v>
      </c>
      <c r="BK37" s="266">
        <f t="shared" si="38"/>
        <v>124.18439286596153</v>
      </c>
      <c r="BL37" s="192">
        <f t="shared" si="39"/>
        <v>0</v>
      </c>
      <c r="BM37" s="192">
        <f t="shared" si="40"/>
        <v>0</v>
      </c>
      <c r="BN37" s="192">
        <f t="shared" si="41"/>
        <v>0</v>
      </c>
      <c r="BO37" s="192">
        <f t="shared" si="42"/>
        <v>1021.3012836534266</v>
      </c>
      <c r="BP37" s="192">
        <f t="shared" si="43"/>
        <v>1021.3012836534266</v>
      </c>
      <c r="BQ37" s="193">
        <f t="shared" si="44"/>
        <v>1021.3012836534266</v>
      </c>
      <c r="BR37" s="193">
        <f t="shared" si="45"/>
        <v>0</v>
      </c>
      <c r="BS37" s="265">
        <f t="shared" si="46"/>
        <v>11110.665716430893</v>
      </c>
      <c r="BT37" s="265">
        <f t="shared" si="47"/>
        <v>724.91518404848466</v>
      </c>
      <c r="BU37" s="265">
        <f t="shared" si="48"/>
        <v>0</v>
      </c>
      <c r="BV37" s="265">
        <f t="shared" si="49"/>
        <v>0</v>
      </c>
      <c r="BW37" s="265">
        <f t="shared" si="50"/>
        <v>0</v>
      </c>
      <c r="BX37" s="265">
        <f t="shared" si="51"/>
        <v>11934.839829111026</v>
      </c>
      <c r="BY37" s="265">
        <f t="shared" si="52"/>
        <v>11934.839829111026</v>
      </c>
      <c r="BZ37" s="265">
        <f t="shared" si="53"/>
        <v>11934.839829111026</v>
      </c>
      <c r="CA37" s="265">
        <f t="shared" si="54"/>
        <v>0</v>
      </c>
      <c r="CB37" s="269">
        <f t="shared" si="55"/>
        <v>23770.420729590405</v>
      </c>
      <c r="CC37" s="266">
        <f t="shared" si="56"/>
        <v>24553.118463177023</v>
      </c>
      <c r="CD37" s="241"/>
      <c r="CE37" s="198">
        <f t="shared" si="70"/>
        <v>24553.118463177092</v>
      </c>
      <c r="CF37" s="198">
        <f t="shared" si="58"/>
        <v>0</v>
      </c>
      <c r="CG37" s="198">
        <f t="shared" si="59"/>
        <v>0</v>
      </c>
      <c r="CH37" s="198">
        <f t="shared" si="60"/>
        <v>-1054.9300615837033</v>
      </c>
      <c r="CI37" s="198">
        <f t="shared" si="61"/>
        <v>0</v>
      </c>
      <c r="CJ37" s="198">
        <f t="shared" si="62"/>
        <v>-1789.4946644930155</v>
      </c>
      <c r="CK37" s="198">
        <f t="shared" si="63"/>
        <v>-128.2734598601364</v>
      </c>
      <c r="CL37" s="198">
        <f t="shared" si="64"/>
        <v>102.65173768653291</v>
      </c>
      <c r="CM37" s="271">
        <f t="shared" si="65"/>
        <v>57.051716215640013</v>
      </c>
      <c r="CN37" s="198">
        <f t="shared" si="66"/>
        <v>21740.123731142412</v>
      </c>
      <c r="CO37" s="209">
        <f t="shared" si="71"/>
        <v>6.9121597334742546E-11</v>
      </c>
    </row>
    <row r="38" spans="2:93" x14ac:dyDescent="0.2">
      <c r="B38" s="221">
        <f>'DATA INPUT - DETAIL'!D29</f>
        <v>3</v>
      </c>
      <c r="C38" s="211">
        <f>'DATA INPUT - DETAIL'!E29</f>
        <v>26</v>
      </c>
      <c r="D38" s="257">
        <f>'DATA INPUT - DETAIL'!I29</f>
        <v>0</v>
      </c>
      <c r="E38" s="258">
        <f>'DATA INPUT - DETAIL'!K29</f>
        <v>0</v>
      </c>
      <c r="F38" s="258">
        <f>'DATA INPUT - DETAIL'!L29</f>
        <v>0</v>
      </c>
      <c r="G38" s="179">
        <f>'DATA INPUT - DETAIL'!M29*(1+$V$5)</f>
        <v>0</v>
      </c>
      <c r="H38" s="179">
        <f>'DATA INPUT - DETAIL'!N29*(1+$V$5)</f>
        <v>1000</v>
      </c>
      <c r="I38" s="258">
        <f t="shared" si="72"/>
        <v>1057.1889497176649</v>
      </c>
      <c r="J38" s="258">
        <f>'DATA INPUT - DETAIL'!O29</f>
        <v>0</v>
      </c>
      <c r="K38" s="258">
        <f>'DATA INPUT - DETAIL'!P29</f>
        <v>0</v>
      </c>
      <c r="L38" s="267">
        <f>ROUNDDOWN('DATA INPUT - DETAIL'!G29,0)</f>
        <v>35</v>
      </c>
      <c r="M38" s="196">
        <f t="shared" si="25"/>
        <v>8.921042540299684E-5</v>
      </c>
      <c r="N38" s="196">
        <f t="shared" si="1"/>
        <v>0</v>
      </c>
      <c r="O38" s="196">
        <f t="shared" si="2"/>
        <v>0</v>
      </c>
      <c r="P38" s="196">
        <f t="shared" si="3"/>
        <v>0</v>
      </c>
      <c r="Q38" s="196">
        <f t="shared" si="4"/>
        <v>0</v>
      </c>
      <c r="R38" s="196">
        <f t="shared" si="5"/>
        <v>0</v>
      </c>
      <c r="S38" s="196">
        <f t="shared" si="6"/>
        <v>0</v>
      </c>
      <c r="T38" s="196">
        <f t="shared" si="7"/>
        <v>0</v>
      </c>
      <c r="U38" s="185">
        <f>(C38&gt;0)*(C38&lt;$E$5)*VLOOKUP(MPP,ASUMSI!$BN$77:$CR$108,B38+1)*(1+$V$4)</f>
        <v>2.5350486138366879E-3</v>
      </c>
      <c r="V38" s="196">
        <f t="shared" si="8"/>
        <v>0</v>
      </c>
      <c r="W38" s="196">
        <f t="shared" si="68"/>
        <v>0.96558166424683844</v>
      </c>
      <c r="X38" s="196">
        <f t="shared" si="69"/>
        <v>8.6139951028794124E-5</v>
      </c>
      <c r="Y38" s="196">
        <f t="shared" si="26"/>
        <v>2.4477964594950699E-3</v>
      </c>
      <c r="Z38" s="196">
        <f t="shared" si="27"/>
        <v>0</v>
      </c>
      <c r="AA38" s="185">
        <f t="shared" si="28"/>
        <v>0.96304772783631454</v>
      </c>
      <c r="AB38" s="196">
        <f t="shared" si="29"/>
        <v>0</v>
      </c>
      <c r="AC38" s="196">
        <f t="shared" si="29"/>
        <v>0</v>
      </c>
      <c r="AD38" s="196">
        <f t="shared" si="29"/>
        <v>0</v>
      </c>
      <c r="AE38" s="196">
        <f t="shared" si="73"/>
        <v>0</v>
      </c>
      <c r="AF38" s="196">
        <f t="shared" si="30"/>
        <v>0</v>
      </c>
      <c r="AG38" s="196">
        <f t="shared" si="31"/>
        <v>0</v>
      </c>
      <c r="AH38" s="196">
        <f t="shared" si="32"/>
        <v>0</v>
      </c>
      <c r="AI38" s="266">
        <f>'DATA INPUT - DETAIL'!R29</f>
        <v>18535396.6653</v>
      </c>
      <c r="AJ38" s="266">
        <f>'DATA INPUT - DETAIL'!S29</f>
        <v>0</v>
      </c>
      <c r="AK38" s="266">
        <f>'DATA INPUT - DETAIL'!T29</f>
        <v>0</v>
      </c>
      <c r="AL38" s="266">
        <f>'DATA INPUT - DETAIL'!U29</f>
        <v>0</v>
      </c>
      <c r="AM38" s="266">
        <f>'DATA INPUT - DETAIL'!V29</f>
        <v>0</v>
      </c>
      <c r="AN38" s="266">
        <f>'DATA INPUT - DETAIL'!W29</f>
        <v>0</v>
      </c>
      <c r="AO38" s="198">
        <f t="shared" si="10"/>
        <v>0</v>
      </c>
      <c r="AP38" s="266">
        <f>'DATA INPUT - DETAIL'!X29</f>
        <v>0</v>
      </c>
      <c r="AQ38" s="266">
        <f>'DATA INPUT - DETAIL'!Y29</f>
        <v>0</v>
      </c>
      <c r="AR38" s="266">
        <f>'DATA INPUT - DETAIL'!Z29</f>
        <v>0</v>
      </c>
      <c r="AS38" s="266">
        <f>'DATA INPUT - DETAIL'!AD29</f>
        <v>0</v>
      </c>
      <c r="AT38" s="266">
        <f t="shared" si="33"/>
        <v>0</v>
      </c>
      <c r="AU38" s="206">
        <f>'DATA INPUT - DETAIL'!AA29</f>
        <v>46000</v>
      </c>
      <c r="AV38" s="206">
        <f>'DATA INPUT - DETAIL'!AB29</f>
        <v>0</v>
      </c>
      <c r="AW38" s="206">
        <f>'DATA INPUT - DETAIL'!AC29</f>
        <v>0</v>
      </c>
      <c r="AX38" s="206">
        <f t="shared" si="11"/>
        <v>1596.638161048216</v>
      </c>
      <c r="AY38" s="206">
        <f t="shared" si="34"/>
        <v>0</v>
      </c>
      <c r="AZ38" s="206">
        <f t="shared" si="35"/>
        <v>0</v>
      </c>
      <c r="BA38" s="206">
        <f t="shared" si="12"/>
        <v>0</v>
      </c>
      <c r="BB38" s="206">
        <f t="shared" si="13"/>
        <v>0</v>
      </c>
      <c r="BC38" s="206">
        <f t="shared" si="14"/>
        <v>0</v>
      </c>
      <c r="BD38" s="206">
        <f t="shared" si="15"/>
        <v>0</v>
      </c>
      <c r="BE38" s="206">
        <f t="shared" si="16"/>
        <v>0</v>
      </c>
      <c r="BF38" s="206">
        <f t="shared" si="17"/>
        <v>0</v>
      </c>
      <c r="BG38" s="206">
        <f t="shared" si="36"/>
        <v>112.59863713677322</v>
      </c>
      <c r="BH38" s="206">
        <f t="shared" si="18"/>
        <v>0</v>
      </c>
      <c r="BI38" s="206">
        <f t="shared" si="19"/>
        <v>0</v>
      </c>
      <c r="BJ38" s="266">
        <f t="shared" si="37"/>
        <v>1596.638161048216</v>
      </c>
      <c r="BK38" s="266">
        <f t="shared" si="38"/>
        <v>112.59863713677322</v>
      </c>
      <c r="BL38" s="192">
        <f t="shared" si="39"/>
        <v>0</v>
      </c>
      <c r="BM38" s="192">
        <f t="shared" si="40"/>
        <v>0</v>
      </c>
      <c r="BN38" s="192">
        <f t="shared" si="41"/>
        <v>0</v>
      </c>
      <c r="BO38" s="192">
        <f t="shared" si="42"/>
        <v>1020.8022654917501</v>
      </c>
      <c r="BP38" s="192">
        <f t="shared" si="43"/>
        <v>1020.8022654917501</v>
      </c>
      <c r="BQ38" s="193">
        <f t="shared" si="44"/>
        <v>1020.8022654917501</v>
      </c>
      <c r="BR38" s="193">
        <f t="shared" si="45"/>
        <v>0</v>
      </c>
      <c r="BS38" s="265">
        <f t="shared" si="46"/>
        <v>9426.7529802009922</v>
      </c>
      <c r="BT38" s="265">
        <f t="shared" si="47"/>
        <v>603.89758013008657</v>
      </c>
      <c r="BU38" s="265">
        <f t="shared" si="48"/>
        <v>0</v>
      </c>
      <c r="BV38" s="265">
        <f t="shared" si="49"/>
        <v>0</v>
      </c>
      <c r="BW38" s="265">
        <f t="shared" si="50"/>
        <v>0</v>
      </c>
      <c r="BX38" s="265">
        <f t="shared" si="51"/>
        <v>10961.214292917528</v>
      </c>
      <c r="BY38" s="265">
        <f t="shared" si="52"/>
        <v>10961.214292917528</v>
      </c>
      <c r="BZ38" s="265">
        <f t="shared" si="53"/>
        <v>10961.214292917528</v>
      </c>
      <c r="CA38" s="265">
        <f t="shared" si="54"/>
        <v>0</v>
      </c>
      <c r="CB38" s="269">
        <f t="shared" si="55"/>
        <v>20991.864853248604</v>
      </c>
      <c r="CC38" s="266">
        <f t="shared" si="56"/>
        <v>21740.123731142336</v>
      </c>
      <c r="CD38" s="241"/>
      <c r="CE38" s="198">
        <f t="shared" si="70"/>
        <v>21740.123731142412</v>
      </c>
      <c r="CF38" s="198">
        <f t="shared" si="58"/>
        <v>0</v>
      </c>
      <c r="CG38" s="198">
        <f t="shared" si="59"/>
        <v>0</v>
      </c>
      <c r="CH38" s="198">
        <f t="shared" si="60"/>
        <v>-1057.1889497176649</v>
      </c>
      <c r="CI38" s="198">
        <f t="shared" si="61"/>
        <v>0</v>
      </c>
      <c r="CJ38" s="198">
        <f t="shared" si="62"/>
        <v>-1653.5506215247021</v>
      </c>
      <c r="CK38" s="198">
        <f t="shared" si="63"/>
        <v>-116.61223623648765</v>
      </c>
      <c r="CL38" s="198">
        <f t="shared" si="64"/>
        <v>90.35331402937058</v>
      </c>
      <c r="CM38" s="271">
        <f t="shared" si="65"/>
        <v>50.000337015199939</v>
      </c>
      <c r="CN38" s="198">
        <f t="shared" si="66"/>
        <v>19053.12557470813</v>
      </c>
      <c r="CO38" s="209">
        <f t="shared" si="71"/>
        <v>7.6397554948925972E-11</v>
      </c>
    </row>
    <row r="39" spans="2:93" x14ac:dyDescent="0.2">
      <c r="B39" s="221">
        <f>'DATA INPUT - DETAIL'!D30</f>
        <v>3</v>
      </c>
      <c r="C39" s="211">
        <f>'DATA INPUT - DETAIL'!E30</f>
        <v>27</v>
      </c>
      <c r="D39" s="257">
        <f>'DATA INPUT - DETAIL'!I30</f>
        <v>0</v>
      </c>
      <c r="E39" s="258">
        <f>'DATA INPUT - DETAIL'!K30</f>
        <v>0</v>
      </c>
      <c r="F39" s="258">
        <f>'DATA INPUT - DETAIL'!L30</f>
        <v>0</v>
      </c>
      <c r="G39" s="179">
        <f>'DATA INPUT - DETAIL'!M30*(1+$V$5)</f>
        <v>0</v>
      </c>
      <c r="H39" s="179">
        <f>'DATA INPUT - DETAIL'!N30*(1+$V$5)</f>
        <v>1000</v>
      </c>
      <c r="I39" s="258">
        <f t="shared" si="72"/>
        <v>1059.4526747368261</v>
      </c>
      <c r="J39" s="258">
        <f>'DATA INPUT - DETAIL'!O30</f>
        <v>0</v>
      </c>
      <c r="K39" s="258">
        <f>'DATA INPUT - DETAIL'!P30</f>
        <v>0</v>
      </c>
      <c r="L39" s="267">
        <f>ROUNDDOWN('DATA INPUT - DETAIL'!G30,0)</f>
        <v>35</v>
      </c>
      <c r="M39" s="196">
        <f t="shared" si="25"/>
        <v>8.921042540299684E-5</v>
      </c>
      <c r="N39" s="196">
        <f t="shared" si="1"/>
        <v>0</v>
      </c>
      <c r="O39" s="196">
        <f t="shared" si="2"/>
        <v>0</v>
      </c>
      <c r="P39" s="196">
        <f t="shared" si="3"/>
        <v>0</v>
      </c>
      <c r="Q39" s="196">
        <f t="shared" si="4"/>
        <v>0</v>
      </c>
      <c r="R39" s="196">
        <f t="shared" si="5"/>
        <v>0</v>
      </c>
      <c r="S39" s="196">
        <f t="shared" si="6"/>
        <v>0</v>
      </c>
      <c r="T39" s="196">
        <f t="shared" si="7"/>
        <v>0</v>
      </c>
      <c r="U39" s="185">
        <f>(C39&gt;0)*(C39&lt;$E$5)*VLOOKUP(MPP,ASUMSI!$BN$77:$CR$108,B39+1)*(1+$V$4)</f>
        <v>2.5350486138366879E-3</v>
      </c>
      <c r="V39" s="196">
        <f t="shared" si="8"/>
        <v>0</v>
      </c>
      <c r="W39" s="196">
        <f t="shared" si="68"/>
        <v>0.96304772783631454</v>
      </c>
      <c r="X39" s="196">
        <f t="shared" si="69"/>
        <v>8.5913897483667139E-5</v>
      </c>
      <c r="Y39" s="196">
        <f t="shared" si="26"/>
        <v>2.4413728075100209E-3</v>
      </c>
      <c r="Z39" s="196">
        <f t="shared" si="27"/>
        <v>0</v>
      </c>
      <c r="AA39" s="185">
        <f t="shared" si="28"/>
        <v>0.96052044113132085</v>
      </c>
      <c r="AB39" s="196">
        <f t="shared" si="29"/>
        <v>0</v>
      </c>
      <c r="AC39" s="196">
        <f t="shared" si="29"/>
        <v>0</v>
      </c>
      <c r="AD39" s="196">
        <f t="shared" si="29"/>
        <v>0</v>
      </c>
      <c r="AE39" s="196">
        <f t="shared" si="73"/>
        <v>0</v>
      </c>
      <c r="AF39" s="196">
        <f t="shared" si="30"/>
        <v>0</v>
      </c>
      <c r="AG39" s="196">
        <f t="shared" si="31"/>
        <v>0</v>
      </c>
      <c r="AH39" s="196">
        <f t="shared" si="32"/>
        <v>0</v>
      </c>
      <c r="AI39" s="266">
        <f>'DATA INPUT - DETAIL'!R30</f>
        <v>16986140.774999999</v>
      </c>
      <c r="AJ39" s="266">
        <f>'DATA INPUT - DETAIL'!S30</f>
        <v>0</v>
      </c>
      <c r="AK39" s="266">
        <f>'DATA INPUT - DETAIL'!T30</f>
        <v>0</v>
      </c>
      <c r="AL39" s="266">
        <f>'DATA INPUT - DETAIL'!U30</f>
        <v>0</v>
      </c>
      <c r="AM39" s="266">
        <f>'DATA INPUT - DETAIL'!V30</f>
        <v>0</v>
      </c>
      <c r="AN39" s="266">
        <f>'DATA INPUT - DETAIL'!W30</f>
        <v>0</v>
      </c>
      <c r="AO39" s="198">
        <f t="shared" si="10"/>
        <v>0</v>
      </c>
      <c r="AP39" s="266">
        <f>'DATA INPUT - DETAIL'!X30</f>
        <v>0</v>
      </c>
      <c r="AQ39" s="266">
        <f>'DATA INPUT - DETAIL'!Y30</f>
        <v>0</v>
      </c>
      <c r="AR39" s="266">
        <f>'DATA INPUT - DETAIL'!Z30</f>
        <v>0</v>
      </c>
      <c r="AS39" s="266">
        <f>'DATA INPUT - DETAIL'!AD30</f>
        <v>0</v>
      </c>
      <c r="AT39" s="266">
        <f t="shared" si="33"/>
        <v>0</v>
      </c>
      <c r="AU39" s="206">
        <f>'DATA INPUT - DETAIL'!AA30</f>
        <v>41400</v>
      </c>
      <c r="AV39" s="206">
        <f>'DATA INPUT - DETAIL'!AB30</f>
        <v>0</v>
      </c>
      <c r="AW39" s="206">
        <f>'DATA INPUT - DETAIL'!AC30</f>
        <v>0</v>
      </c>
      <c r="AX39" s="206">
        <f t="shared" si="11"/>
        <v>1459.3455571864881</v>
      </c>
      <c r="AY39" s="206">
        <f t="shared" si="34"/>
        <v>0</v>
      </c>
      <c r="AZ39" s="206">
        <f t="shared" si="35"/>
        <v>0</v>
      </c>
      <c r="BA39" s="206">
        <f t="shared" si="12"/>
        <v>0</v>
      </c>
      <c r="BB39" s="206">
        <f t="shared" si="13"/>
        <v>0</v>
      </c>
      <c r="BC39" s="206">
        <f t="shared" si="14"/>
        <v>0</v>
      </c>
      <c r="BD39" s="206">
        <f t="shared" si="15"/>
        <v>0</v>
      </c>
      <c r="BE39" s="206">
        <f t="shared" si="16"/>
        <v>0</v>
      </c>
      <c r="BF39" s="206">
        <f t="shared" si="17"/>
        <v>0</v>
      </c>
      <c r="BG39" s="206">
        <f t="shared" si="36"/>
        <v>101.07283423091486</v>
      </c>
      <c r="BH39" s="206">
        <f t="shared" si="18"/>
        <v>0</v>
      </c>
      <c r="BI39" s="206">
        <f t="shared" si="19"/>
        <v>0</v>
      </c>
      <c r="BJ39" s="266">
        <f t="shared" si="37"/>
        <v>1459.3455571864881</v>
      </c>
      <c r="BK39" s="266">
        <f t="shared" si="38"/>
        <v>101.07283423091486</v>
      </c>
      <c r="BL39" s="192">
        <f t="shared" si="39"/>
        <v>0</v>
      </c>
      <c r="BM39" s="192">
        <f t="shared" si="40"/>
        <v>0</v>
      </c>
      <c r="BN39" s="192">
        <f t="shared" si="41"/>
        <v>0</v>
      </c>
      <c r="BO39" s="192">
        <f t="shared" si="42"/>
        <v>1020.3034911554064</v>
      </c>
      <c r="BP39" s="192">
        <f t="shared" si="43"/>
        <v>1020.3034911554064</v>
      </c>
      <c r="BQ39" s="193">
        <f t="shared" si="44"/>
        <v>1020.3034911554064</v>
      </c>
      <c r="BR39" s="193">
        <f t="shared" si="45"/>
        <v>0</v>
      </c>
      <c r="BS39" s="265">
        <f t="shared" si="46"/>
        <v>7871.2955500934513</v>
      </c>
      <c r="BT39" s="265">
        <f t="shared" si="47"/>
        <v>493.93706704464842</v>
      </c>
      <c r="BU39" s="265">
        <f t="shared" si="48"/>
        <v>0</v>
      </c>
      <c r="BV39" s="265">
        <f t="shared" si="49"/>
        <v>0</v>
      </c>
      <c r="BW39" s="265">
        <f t="shared" si="50"/>
        <v>0</v>
      </c>
      <c r="BX39" s="265">
        <f t="shared" si="51"/>
        <v>9983.8366757644635</v>
      </c>
      <c r="BY39" s="265">
        <f t="shared" si="52"/>
        <v>9983.8366757644635</v>
      </c>
      <c r="BZ39" s="265">
        <f t="shared" si="53"/>
        <v>9983.8366757644635</v>
      </c>
      <c r="CA39" s="265">
        <f t="shared" si="54"/>
        <v>0</v>
      </c>
      <c r="CB39" s="269">
        <f t="shared" si="55"/>
        <v>18349.069292902561</v>
      </c>
      <c r="CC39" s="266">
        <f t="shared" si="56"/>
        <v>19053.12557470805</v>
      </c>
      <c r="CD39" s="241"/>
      <c r="CE39" s="198">
        <f t="shared" si="70"/>
        <v>19053.12557470813</v>
      </c>
      <c r="CF39" s="198">
        <f t="shared" si="58"/>
        <v>0</v>
      </c>
      <c r="CG39" s="198">
        <f t="shared" si="59"/>
        <v>0</v>
      </c>
      <c r="CH39" s="198">
        <f t="shared" si="60"/>
        <v>-1059.4526747368261</v>
      </c>
      <c r="CI39" s="198">
        <f t="shared" si="61"/>
        <v>0</v>
      </c>
      <c r="CJ39" s="198">
        <f t="shared" si="62"/>
        <v>-1515.3408444929403</v>
      </c>
      <c r="CK39" s="198">
        <f t="shared" si="63"/>
        <v>-104.95101261283887</v>
      </c>
      <c r="CL39" s="198">
        <f t="shared" si="64"/>
        <v>78.605284755478493</v>
      </c>
      <c r="CM39" s="271">
        <f t="shared" si="65"/>
        <v>43.287872424204608</v>
      </c>
      <c r="CN39" s="198">
        <f t="shared" si="66"/>
        <v>16495.274200045209</v>
      </c>
      <c r="CO39" s="209">
        <f t="shared" si="71"/>
        <v>8.0035533756017685E-11</v>
      </c>
    </row>
    <row r="40" spans="2:93" x14ac:dyDescent="0.2">
      <c r="B40" s="221">
        <f>'DATA INPUT - DETAIL'!D31</f>
        <v>3</v>
      </c>
      <c r="C40" s="211">
        <f>'DATA INPUT - DETAIL'!E31</f>
        <v>28</v>
      </c>
      <c r="D40" s="257">
        <f>'DATA INPUT - DETAIL'!I31</f>
        <v>0</v>
      </c>
      <c r="E40" s="258">
        <f>'DATA INPUT - DETAIL'!K31</f>
        <v>0</v>
      </c>
      <c r="F40" s="258">
        <f>'DATA INPUT - DETAIL'!L31</f>
        <v>0</v>
      </c>
      <c r="G40" s="179">
        <f>'DATA INPUT - DETAIL'!M31*(1+$V$5)</f>
        <v>0</v>
      </c>
      <c r="H40" s="179">
        <f>'DATA INPUT - DETAIL'!N31*(1+$V$5)</f>
        <v>1000</v>
      </c>
      <c r="I40" s="258">
        <f t="shared" si="72"/>
        <v>1061.7212469982553</v>
      </c>
      <c r="J40" s="258">
        <f>'DATA INPUT - DETAIL'!O31</f>
        <v>0</v>
      </c>
      <c r="K40" s="258">
        <f>'DATA INPUT - DETAIL'!P31</f>
        <v>0</v>
      </c>
      <c r="L40" s="267">
        <f>ROUNDDOWN('DATA INPUT - DETAIL'!G31,0)</f>
        <v>35</v>
      </c>
      <c r="M40" s="196">
        <f t="shared" si="25"/>
        <v>8.921042540299684E-5</v>
      </c>
      <c r="N40" s="196">
        <f t="shared" si="1"/>
        <v>0</v>
      </c>
      <c r="O40" s="196">
        <f t="shared" si="2"/>
        <v>0</v>
      </c>
      <c r="P40" s="196">
        <f t="shared" si="3"/>
        <v>0</v>
      </c>
      <c r="Q40" s="196">
        <f t="shared" si="4"/>
        <v>0</v>
      </c>
      <c r="R40" s="196">
        <f t="shared" si="5"/>
        <v>0</v>
      </c>
      <c r="S40" s="196">
        <f t="shared" si="6"/>
        <v>0</v>
      </c>
      <c r="T40" s="196">
        <f t="shared" si="7"/>
        <v>0</v>
      </c>
      <c r="U40" s="185">
        <f>(C40&gt;0)*(C40&lt;$E$5)*VLOOKUP(MPP,ASUMSI!$BN$77:$CR$108,B40+1)*(1+$V$4)</f>
        <v>2.5350486138366879E-3</v>
      </c>
      <c r="V40" s="196">
        <f t="shared" si="8"/>
        <v>0</v>
      </c>
      <c r="W40" s="196">
        <f t="shared" si="68"/>
        <v>0.96052044113132085</v>
      </c>
      <c r="X40" s="196">
        <f t="shared" si="69"/>
        <v>8.5688437161599316E-5</v>
      </c>
      <c r="Y40" s="196">
        <f t="shared" si="26"/>
        <v>2.4349660128517589E-3</v>
      </c>
      <c r="Z40" s="196">
        <f t="shared" si="27"/>
        <v>0</v>
      </c>
      <c r="AA40" s="185">
        <f t="shared" si="28"/>
        <v>0.95799978668130747</v>
      </c>
      <c r="AB40" s="196">
        <f t="shared" si="29"/>
        <v>0</v>
      </c>
      <c r="AC40" s="196">
        <f t="shared" si="29"/>
        <v>0</v>
      </c>
      <c r="AD40" s="196">
        <f t="shared" si="29"/>
        <v>0</v>
      </c>
      <c r="AE40" s="196">
        <f t="shared" si="73"/>
        <v>0</v>
      </c>
      <c r="AF40" s="196">
        <f t="shared" si="30"/>
        <v>0</v>
      </c>
      <c r="AG40" s="196">
        <f t="shared" si="31"/>
        <v>0</v>
      </c>
      <c r="AH40" s="196">
        <f t="shared" si="32"/>
        <v>0</v>
      </c>
      <c r="AI40" s="266">
        <f>'DATA INPUT - DETAIL'!R31</f>
        <v>15411063.953299999</v>
      </c>
      <c r="AJ40" s="266">
        <f>'DATA INPUT - DETAIL'!S31</f>
        <v>0</v>
      </c>
      <c r="AK40" s="266">
        <f>'DATA INPUT - DETAIL'!T31</f>
        <v>0</v>
      </c>
      <c r="AL40" s="266">
        <f>'DATA INPUT - DETAIL'!U31</f>
        <v>0</v>
      </c>
      <c r="AM40" s="266">
        <f>'DATA INPUT - DETAIL'!V31</f>
        <v>0</v>
      </c>
      <c r="AN40" s="266">
        <f>'DATA INPUT - DETAIL'!W31</f>
        <v>0</v>
      </c>
      <c r="AO40" s="198">
        <f t="shared" si="10"/>
        <v>0</v>
      </c>
      <c r="AP40" s="266">
        <f>'DATA INPUT - DETAIL'!X31</f>
        <v>0</v>
      </c>
      <c r="AQ40" s="266">
        <f>'DATA INPUT - DETAIL'!Y31</f>
        <v>0</v>
      </c>
      <c r="AR40" s="266">
        <f>'DATA INPUT - DETAIL'!Z31</f>
        <v>0</v>
      </c>
      <c r="AS40" s="266">
        <f>'DATA INPUT - DETAIL'!AD31</f>
        <v>0</v>
      </c>
      <c r="AT40" s="266">
        <f t="shared" si="33"/>
        <v>0</v>
      </c>
      <c r="AU40" s="206">
        <f>'DATA INPUT - DETAIL'!AA31</f>
        <v>36800</v>
      </c>
      <c r="AV40" s="206">
        <f>'DATA INPUT - DETAIL'!AB31</f>
        <v>0</v>
      </c>
      <c r="AW40" s="206">
        <f>'DATA INPUT - DETAIL'!AC31</f>
        <v>0</v>
      </c>
      <c r="AX40" s="206">
        <f t="shared" si="11"/>
        <v>1320.5499851557354</v>
      </c>
      <c r="AY40" s="206">
        <f t="shared" si="34"/>
        <v>0</v>
      </c>
      <c r="AZ40" s="206">
        <f t="shared" si="35"/>
        <v>0</v>
      </c>
      <c r="BA40" s="206">
        <f t="shared" si="12"/>
        <v>0</v>
      </c>
      <c r="BB40" s="206">
        <f t="shared" si="13"/>
        <v>0</v>
      </c>
      <c r="BC40" s="206">
        <f t="shared" si="14"/>
        <v>0</v>
      </c>
      <c r="BD40" s="206">
        <f t="shared" si="15"/>
        <v>0</v>
      </c>
      <c r="BE40" s="206">
        <f t="shared" si="16"/>
        <v>0</v>
      </c>
      <c r="BF40" s="206">
        <f t="shared" si="17"/>
        <v>0</v>
      </c>
      <c r="BG40" s="206">
        <f t="shared" si="36"/>
        <v>89.606749272944725</v>
      </c>
      <c r="BH40" s="206">
        <f t="shared" si="18"/>
        <v>0</v>
      </c>
      <c r="BI40" s="206">
        <f t="shared" si="19"/>
        <v>0</v>
      </c>
      <c r="BJ40" s="266">
        <f t="shared" si="37"/>
        <v>1320.5499851557354</v>
      </c>
      <c r="BK40" s="266">
        <f t="shared" si="38"/>
        <v>89.606749272944725</v>
      </c>
      <c r="BL40" s="192">
        <f t="shared" si="39"/>
        <v>0</v>
      </c>
      <c r="BM40" s="192">
        <f t="shared" si="40"/>
        <v>0</v>
      </c>
      <c r="BN40" s="192">
        <f t="shared" si="41"/>
        <v>0</v>
      </c>
      <c r="BO40" s="192">
        <f t="shared" si="42"/>
        <v>1019.8049605252603</v>
      </c>
      <c r="BP40" s="192">
        <f t="shared" si="43"/>
        <v>1019.8049605252603</v>
      </c>
      <c r="BQ40" s="193">
        <f t="shared" si="44"/>
        <v>1019.8049605252603</v>
      </c>
      <c r="BR40" s="193">
        <f t="shared" si="45"/>
        <v>0</v>
      </c>
      <c r="BS40" s="265">
        <f t="shared" si="46"/>
        <v>6446.3357145741957</v>
      </c>
      <c r="BT40" s="265">
        <f t="shared" si="47"/>
        <v>395.02199482386726</v>
      </c>
      <c r="BU40" s="265">
        <f t="shared" si="48"/>
        <v>0</v>
      </c>
      <c r="BV40" s="265">
        <f t="shared" si="49"/>
        <v>0</v>
      </c>
      <c r="BW40" s="265">
        <f t="shared" si="50"/>
        <v>0</v>
      </c>
      <c r="BX40" s="265">
        <f t="shared" si="51"/>
        <v>9002.6903418113816</v>
      </c>
      <c r="BY40" s="265">
        <f t="shared" si="52"/>
        <v>9002.6903418113816</v>
      </c>
      <c r="BZ40" s="265">
        <f t="shared" si="53"/>
        <v>9002.6903418113816</v>
      </c>
      <c r="CA40" s="265">
        <f t="shared" si="54"/>
        <v>0</v>
      </c>
      <c r="CB40" s="269">
        <f t="shared" si="55"/>
        <v>15844.048051209444</v>
      </c>
      <c r="CC40" s="266">
        <f t="shared" si="56"/>
        <v>16495.274200045129</v>
      </c>
      <c r="CD40" s="241"/>
      <c r="CE40" s="198">
        <f t="shared" si="70"/>
        <v>16495.274200045209</v>
      </c>
      <c r="CF40" s="198">
        <f t="shared" si="58"/>
        <v>0</v>
      </c>
      <c r="CG40" s="198">
        <f t="shared" si="59"/>
        <v>0</v>
      </c>
      <c r="CH40" s="198">
        <f t="shared" si="60"/>
        <v>-1061.7212469982553</v>
      </c>
      <c r="CI40" s="198">
        <f t="shared" si="61"/>
        <v>0</v>
      </c>
      <c r="CJ40" s="198">
        <f t="shared" si="62"/>
        <v>-1374.8275711866831</v>
      </c>
      <c r="CK40" s="198">
        <f t="shared" si="63"/>
        <v>-93.289788989190114</v>
      </c>
      <c r="CL40" s="198">
        <f t="shared" si="64"/>
        <v>67.421411482085261</v>
      </c>
      <c r="CM40" s="271">
        <f t="shared" si="65"/>
        <v>36.922746691792959</v>
      </c>
      <c r="CN40" s="198">
        <f t="shared" si="66"/>
        <v>14069.77975104496</v>
      </c>
      <c r="CO40" s="209">
        <f t="shared" si="71"/>
        <v>8.0035533756017685E-11</v>
      </c>
    </row>
    <row r="41" spans="2:93" x14ac:dyDescent="0.2">
      <c r="B41" s="221">
        <f>'DATA INPUT - DETAIL'!D32</f>
        <v>3</v>
      </c>
      <c r="C41" s="211">
        <f>'DATA INPUT - DETAIL'!E32</f>
        <v>29</v>
      </c>
      <c r="D41" s="257">
        <f>'DATA INPUT - DETAIL'!I32</f>
        <v>0</v>
      </c>
      <c r="E41" s="258">
        <f>'DATA INPUT - DETAIL'!K32</f>
        <v>0</v>
      </c>
      <c r="F41" s="258">
        <f>'DATA INPUT - DETAIL'!L32</f>
        <v>0</v>
      </c>
      <c r="G41" s="179">
        <f>'DATA INPUT - DETAIL'!M32*(1+$V$5)</f>
        <v>0</v>
      </c>
      <c r="H41" s="179">
        <f>'DATA INPUT - DETAIL'!N32*(1+$V$5)</f>
        <v>1000</v>
      </c>
      <c r="I41" s="258">
        <f t="shared" si="72"/>
        <v>1063.9946768811983</v>
      </c>
      <c r="J41" s="258">
        <f>'DATA INPUT - DETAIL'!O32</f>
        <v>0</v>
      </c>
      <c r="K41" s="258">
        <f>'DATA INPUT - DETAIL'!P32</f>
        <v>0</v>
      </c>
      <c r="L41" s="267">
        <f>ROUNDDOWN('DATA INPUT - DETAIL'!G32,0)</f>
        <v>35</v>
      </c>
      <c r="M41" s="196">
        <f t="shared" si="25"/>
        <v>8.921042540299684E-5</v>
      </c>
      <c r="N41" s="196">
        <f t="shared" si="1"/>
        <v>0</v>
      </c>
      <c r="O41" s="196">
        <f t="shared" si="2"/>
        <v>0</v>
      </c>
      <c r="P41" s="196">
        <f t="shared" si="3"/>
        <v>0</v>
      </c>
      <c r="Q41" s="196">
        <f t="shared" si="4"/>
        <v>0</v>
      </c>
      <c r="R41" s="196">
        <f t="shared" si="5"/>
        <v>0</v>
      </c>
      <c r="S41" s="196">
        <f t="shared" si="6"/>
        <v>0</v>
      </c>
      <c r="T41" s="196">
        <f t="shared" si="7"/>
        <v>0</v>
      </c>
      <c r="U41" s="185">
        <f>(C41&gt;0)*(C41&lt;$E$5)*VLOOKUP(MPP,ASUMSI!$BN$77:$CR$108,B41+1)*(1+$V$4)</f>
        <v>2.5350486138366879E-3</v>
      </c>
      <c r="V41" s="196">
        <f t="shared" si="8"/>
        <v>0</v>
      </c>
      <c r="W41" s="196">
        <f t="shared" si="68"/>
        <v>0.95799978668130747</v>
      </c>
      <c r="X41" s="196">
        <f t="shared" si="69"/>
        <v>8.5463568505819669E-5</v>
      </c>
      <c r="Y41" s="196">
        <f t="shared" si="26"/>
        <v>2.428576031282291E-3</v>
      </c>
      <c r="Z41" s="196">
        <f t="shared" si="27"/>
        <v>0</v>
      </c>
      <c r="AA41" s="185">
        <f t="shared" si="28"/>
        <v>0.95548574708151934</v>
      </c>
      <c r="AB41" s="196">
        <f t="shared" si="29"/>
        <v>0</v>
      </c>
      <c r="AC41" s="196">
        <f t="shared" si="29"/>
        <v>0</v>
      </c>
      <c r="AD41" s="196">
        <f t="shared" si="29"/>
        <v>0</v>
      </c>
      <c r="AE41" s="196">
        <f t="shared" si="73"/>
        <v>0</v>
      </c>
      <c r="AF41" s="196">
        <f t="shared" si="30"/>
        <v>0</v>
      </c>
      <c r="AG41" s="196">
        <f t="shared" si="31"/>
        <v>0</v>
      </c>
      <c r="AH41" s="196">
        <f t="shared" si="32"/>
        <v>0</v>
      </c>
      <c r="AI41" s="266">
        <f>'DATA INPUT - DETAIL'!R32</f>
        <v>13809735.851199999</v>
      </c>
      <c r="AJ41" s="266">
        <f>'DATA INPUT - DETAIL'!S32</f>
        <v>0</v>
      </c>
      <c r="AK41" s="266">
        <f>'DATA INPUT - DETAIL'!T32</f>
        <v>0</v>
      </c>
      <c r="AL41" s="266">
        <f>'DATA INPUT - DETAIL'!U32</f>
        <v>0</v>
      </c>
      <c r="AM41" s="266">
        <f>'DATA INPUT - DETAIL'!V32</f>
        <v>0</v>
      </c>
      <c r="AN41" s="266">
        <f>'DATA INPUT - DETAIL'!W32</f>
        <v>0</v>
      </c>
      <c r="AO41" s="198">
        <f t="shared" si="10"/>
        <v>0</v>
      </c>
      <c r="AP41" s="266">
        <f>'DATA INPUT - DETAIL'!X32</f>
        <v>0</v>
      </c>
      <c r="AQ41" s="266">
        <f>'DATA INPUT - DETAIL'!Y32</f>
        <v>0</v>
      </c>
      <c r="AR41" s="266">
        <f>'DATA INPUT - DETAIL'!Z32</f>
        <v>0</v>
      </c>
      <c r="AS41" s="266">
        <f>'DATA INPUT - DETAIL'!AD32</f>
        <v>0</v>
      </c>
      <c r="AT41" s="266">
        <f t="shared" si="33"/>
        <v>0</v>
      </c>
      <c r="AU41" s="206">
        <f>'DATA INPUT - DETAIL'!AA32</f>
        <v>32200</v>
      </c>
      <c r="AV41" s="206">
        <f>'DATA INPUT - DETAIL'!AB32</f>
        <v>0</v>
      </c>
      <c r="AW41" s="206">
        <f>'DATA INPUT - DETAIL'!AC32</f>
        <v>0</v>
      </c>
      <c r="AX41" s="206">
        <f t="shared" si="11"/>
        <v>1180.229305966305</v>
      </c>
      <c r="AY41" s="206">
        <f t="shared" si="34"/>
        <v>0</v>
      </c>
      <c r="AZ41" s="206">
        <f t="shared" si="35"/>
        <v>0</v>
      </c>
      <c r="BA41" s="206">
        <f t="shared" si="12"/>
        <v>0</v>
      </c>
      <c r="BB41" s="206">
        <f t="shared" si="13"/>
        <v>0</v>
      </c>
      <c r="BC41" s="206">
        <f t="shared" si="14"/>
        <v>0</v>
      </c>
      <c r="BD41" s="206">
        <f t="shared" si="15"/>
        <v>0</v>
      </c>
      <c r="BE41" s="206">
        <f t="shared" si="16"/>
        <v>0</v>
      </c>
      <c r="BF41" s="206">
        <f t="shared" si="17"/>
        <v>0</v>
      </c>
      <c r="BG41" s="206">
        <f t="shared" si="36"/>
        <v>78.200148207289772</v>
      </c>
      <c r="BH41" s="206">
        <f t="shared" si="18"/>
        <v>0</v>
      </c>
      <c r="BI41" s="206">
        <f t="shared" si="19"/>
        <v>0</v>
      </c>
      <c r="BJ41" s="266">
        <f t="shared" si="37"/>
        <v>1180.229305966305</v>
      </c>
      <c r="BK41" s="266">
        <f t="shared" si="38"/>
        <v>78.200148207289772</v>
      </c>
      <c r="BL41" s="192">
        <f t="shared" si="39"/>
        <v>0</v>
      </c>
      <c r="BM41" s="192">
        <f t="shared" si="40"/>
        <v>0</v>
      </c>
      <c r="BN41" s="192">
        <f t="shared" si="41"/>
        <v>0</v>
      </c>
      <c r="BO41" s="192">
        <f t="shared" si="42"/>
        <v>1019.3066734822346</v>
      </c>
      <c r="BP41" s="192">
        <f t="shared" si="43"/>
        <v>1019.3066734822346</v>
      </c>
      <c r="BQ41" s="193">
        <f t="shared" si="44"/>
        <v>1019.3066734822346</v>
      </c>
      <c r="BR41" s="193">
        <f t="shared" si="45"/>
        <v>0</v>
      </c>
      <c r="BS41" s="265">
        <f t="shared" si="46"/>
        <v>5153.9465200080422</v>
      </c>
      <c r="BT41" s="265">
        <f t="shared" si="47"/>
        <v>307.14089748204418</v>
      </c>
      <c r="BU41" s="265">
        <f t="shared" si="48"/>
        <v>0</v>
      </c>
      <c r="BV41" s="265">
        <f t="shared" si="49"/>
        <v>0</v>
      </c>
      <c r="BW41" s="265">
        <f t="shared" si="50"/>
        <v>0</v>
      </c>
      <c r="BX41" s="265">
        <f t="shared" si="51"/>
        <v>8017.758582663886</v>
      </c>
      <c r="BY41" s="265">
        <f t="shared" si="52"/>
        <v>8017.758582663886</v>
      </c>
      <c r="BZ41" s="265">
        <f t="shared" si="53"/>
        <v>8017.758582663886</v>
      </c>
      <c r="CA41" s="265">
        <f t="shared" si="54"/>
        <v>0</v>
      </c>
      <c r="CB41" s="269">
        <f t="shared" si="55"/>
        <v>13478.846000153972</v>
      </c>
      <c r="CC41" s="266">
        <f t="shared" si="56"/>
        <v>14069.779751044876</v>
      </c>
      <c r="CD41" s="241"/>
      <c r="CE41" s="198">
        <f t="shared" si="70"/>
        <v>14069.77975104496</v>
      </c>
      <c r="CF41" s="198">
        <f t="shared" si="58"/>
        <v>0</v>
      </c>
      <c r="CG41" s="198">
        <f t="shared" si="59"/>
        <v>0</v>
      </c>
      <c r="CH41" s="198">
        <f t="shared" si="60"/>
        <v>-1063.9946768811983</v>
      </c>
      <c r="CI41" s="198">
        <f t="shared" si="61"/>
        <v>0</v>
      </c>
      <c r="CJ41" s="198">
        <f t="shared" si="62"/>
        <v>-1231.9724099885686</v>
      </c>
      <c r="CK41" s="198">
        <f t="shared" si="63"/>
        <v>-81.628565365541348</v>
      </c>
      <c r="CL41" s="198">
        <f t="shared" si="64"/>
        <v>56.815717664003145</v>
      </c>
      <c r="CM41" s="271">
        <f t="shared" si="65"/>
        <v>30.913544117992743</v>
      </c>
      <c r="CN41" s="198">
        <f t="shared" si="66"/>
        <v>11779.913360591649</v>
      </c>
      <c r="CO41" s="209">
        <f t="shared" si="71"/>
        <v>8.3673512563109398E-11</v>
      </c>
    </row>
    <row r="42" spans="2:93" x14ac:dyDescent="0.2">
      <c r="B42" s="221">
        <f>'DATA INPUT - DETAIL'!D33</f>
        <v>3</v>
      </c>
      <c r="C42" s="211">
        <f>'DATA INPUT - DETAIL'!E33</f>
        <v>30</v>
      </c>
      <c r="D42" s="257">
        <f>'DATA INPUT - DETAIL'!I33</f>
        <v>0</v>
      </c>
      <c r="E42" s="258">
        <f>'DATA INPUT - DETAIL'!K33</f>
        <v>0</v>
      </c>
      <c r="F42" s="258">
        <f>'DATA INPUT - DETAIL'!L33</f>
        <v>0</v>
      </c>
      <c r="G42" s="179">
        <f>'DATA INPUT - DETAIL'!M33*(1+$V$5)</f>
        <v>0</v>
      </c>
      <c r="H42" s="179">
        <f>'DATA INPUT - DETAIL'!N33*(1+$V$5)</f>
        <v>1000</v>
      </c>
      <c r="I42" s="258">
        <f t="shared" si="72"/>
        <v>1066.2729747871247</v>
      </c>
      <c r="J42" s="258">
        <f>'DATA INPUT - DETAIL'!O33</f>
        <v>0</v>
      </c>
      <c r="K42" s="258">
        <f>'DATA INPUT - DETAIL'!P33</f>
        <v>0</v>
      </c>
      <c r="L42" s="267">
        <f>ROUNDDOWN('DATA INPUT - DETAIL'!G33,0)</f>
        <v>35</v>
      </c>
      <c r="M42" s="196">
        <f t="shared" si="25"/>
        <v>8.921042540299684E-5</v>
      </c>
      <c r="N42" s="196">
        <f t="shared" si="1"/>
        <v>0</v>
      </c>
      <c r="O42" s="196">
        <f t="shared" si="2"/>
        <v>0</v>
      </c>
      <c r="P42" s="196">
        <f t="shared" si="3"/>
        <v>0</v>
      </c>
      <c r="Q42" s="196">
        <f t="shared" si="4"/>
        <v>0</v>
      </c>
      <c r="R42" s="196">
        <f t="shared" si="5"/>
        <v>0</v>
      </c>
      <c r="S42" s="196">
        <f t="shared" si="6"/>
        <v>0</v>
      </c>
      <c r="T42" s="196">
        <f t="shared" si="7"/>
        <v>0</v>
      </c>
      <c r="U42" s="185">
        <f>(C42&gt;0)*(C42&lt;$E$5)*VLOOKUP(MPP,ASUMSI!$BN$77:$CR$108,B42+1)*(1+$V$4)</f>
        <v>2.5350486138366879E-3</v>
      </c>
      <c r="V42" s="196">
        <f t="shared" si="8"/>
        <v>0</v>
      </c>
      <c r="W42" s="196">
        <f t="shared" si="68"/>
        <v>0.95548574708151934</v>
      </c>
      <c r="X42" s="196">
        <f t="shared" si="69"/>
        <v>8.523928996364259E-5</v>
      </c>
      <c r="Y42" s="196">
        <f t="shared" si="26"/>
        <v>2.4222028186797178E-3</v>
      </c>
      <c r="Z42" s="196">
        <f t="shared" si="27"/>
        <v>0</v>
      </c>
      <c r="AA42" s="185">
        <f t="shared" si="28"/>
        <v>0.95297830497287594</v>
      </c>
      <c r="AB42" s="196">
        <f t="shared" si="29"/>
        <v>0</v>
      </c>
      <c r="AC42" s="196">
        <f t="shared" si="29"/>
        <v>0</v>
      </c>
      <c r="AD42" s="196">
        <f t="shared" si="29"/>
        <v>0</v>
      </c>
      <c r="AE42" s="196">
        <f t="shared" si="73"/>
        <v>0</v>
      </c>
      <c r="AF42" s="196">
        <f t="shared" si="30"/>
        <v>0</v>
      </c>
      <c r="AG42" s="196">
        <f t="shared" si="31"/>
        <v>0</v>
      </c>
      <c r="AH42" s="196">
        <f t="shared" si="32"/>
        <v>0</v>
      </c>
      <c r="AI42" s="266">
        <f>'DATA INPUT - DETAIL'!R33</f>
        <v>12181718.9474</v>
      </c>
      <c r="AJ42" s="266">
        <f>'DATA INPUT - DETAIL'!S33</f>
        <v>0</v>
      </c>
      <c r="AK42" s="266">
        <f>'DATA INPUT - DETAIL'!T33</f>
        <v>0</v>
      </c>
      <c r="AL42" s="266">
        <f>'DATA INPUT - DETAIL'!U33</f>
        <v>0</v>
      </c>
      <c r="AM42" s="266">
        <f>'DATA INPUT - DETAIL'!V33</f>
        <v>0</v>
      </c>
      <c r="AN42" s="266">
        <f>'DATA INPUT - DETAIL'!W33</f>
        <v>0</v>
      </c>
      <c r="AO42" s="198">
        <f t="shared" si="10"/>
        <v>0</v>
      </c>
      <c r="AP42" s="266">
        <f>'DATA INPUT - DETAIL'!X33</f>
        <v>0</v>
      </c>
      <c r="AQ42" s="266">
        <f>'DATA INPUT - DETAIL'!Y33</f>
        <v>0</v>
      </c>
      <c r="AR42" s="266">
        <f>'DATA INPUT - DETAIL'!Z33</f>
        <v>0</v>
      </c>
      <c r="AS42" s="266">
        <f>'DATA INPUT - DETAIL'!AD33</f>
        <v>0</v>
      </c>
      <c r="AT42" s="266">
        <f t="shared" si="33"/>
        <v>0</v>
      </c>
      <c r="AU42" s="206">
        <f>'DATA INPUT - DETAIL'!AA33</f>
        <v>27600</v>
      </c>
      <c r="AV42" s="206">
        <f>'DATA INPUT - DETAIL'!AB33</f>
        <v>0</v>
      </c>
      <c r="AW42" s="206">
        <f>'DATA INPUT - DETAIL'!AC33</f>
        <v>0</v>
      </c>
      <c r="AX42" s="206">
        <f t="shared" si="11"/>
        <v>1038.3610736130277</v>
      </c>
      <c r="AY42" s="206">
        <f t="shared" si="34"/>
        <v>0</v>
      </c>
      <c r="AZ42" s="206">
        <f t="shared" si="35"/>
        <v>0</v>
      </c>
      <c r="BA42" s="206">
        <f t="shared" si="12"/>
        <v>0</v>
      </c>
      <c r="BB42" s="206">
        <f t="shared" si="13"/>
        <v>0</v>
      </c>
      <c r="BC42" s="206">
        <f t="shared" si="14"/>
        <v>0</v>
      </c>
      <c r="BD42" s="206">
        <f t="shared" si="15"/>
        <v>0</v>
      </c>
      <c r="BE42" s="206">
        <f t="shared" si="16"/>
        <v>0</v>
      </c>
      <c r="BF42" s="206">
        <f t="shared" si="17"/>
        <v>0</v>
      </c>
      <c r="BG42" s="206">
        <f t="shared" si="36"/>
        <v>66.852797795560207</v>
      </c>
      <c r="BH42" s="206">
        <f t="shared" si="18"/>
        <v>0</v>
      </c>
      <c r="BI42" s="206">
        <f t="shared" si="19"/>
        <v>0</v>
      </c>
      <c r="BJ42" s="266">
        <f t="shared" si="37"/>
        <v>1038.3610736130277</v>
      </c>
      <c r="BK42" s="266">
        <f t="shared" si="38"/>
        <v>66.852797795560207</v>
      </c>
      <c r="BL42" s="192">
        <f t="shared" si="39"/>
        <v>0</v>
      </c>
      <c r="BM42" s="192">
        <f t="shared" si="40"/>
        <v>0</v>
      </c>
      <c r="BN42" s="192">
        <f t="shared" si="41"/>
        <v>0</v>
      </c>
      <c r="BO42" s="192">
        <f t="shared" si="42"/>
        <v>1018.8086299073099</v>
      </c>
      <c r="BP42" s="192">
        <f t="shared" si="43"/>
        <v>1018.8086299073099</v>
      </c>
      <c r="BQ42" s="193">
        <f t="shared" si="44"/>
        <v>1018.8086299073099</v>
      </c>
      <c r="BR42" s="193">
        <f t="shared" si="45"/>
        <v>0</v>
      </c>
      <c r="BS42" s="265">
        <f t="shared" si="46"/>
        <v>3996.2322078438301</v>
      </c>
      <c r="BT42" s="265">
        <f t="shared" si="47"/>
        <v>230.2824929999428</v>
      </c>
      <c r="BU42" s="265">
        <f t="shared" si="48"/>
        <v>0</v>
      </c>
      <c r="BV42" s="265">
        <f t="shared" si="49"/>
        <v>0</v>
      </c>
      <c r="BW42" s="265">
        <f t="shared" si="50"/>
        <v>0</v>
      </c>
      <c r="BX42" s="265">
        <f t="shared" si="51"/>
        <v>7029.0246170566306</v>
      </c>
      <c r="BY42" s="265">
        <f t="shared" si="52"/>
        <v>7029.0246170566306</v>
      </c>
      <c r="BZ42" s="265">
        <f t="shared" si="53"/>
        <v>7029.0246170566306</v>
      </c>
      <c r="CA42" s="265">
        <f t="shared" si="54"/>
        <v>0</v>
      </c>
      <c r="CB42" s="269">
        <f t="shared" si="55"/>
        <v>11255.539317900402</v>
      </c>
      <c r="CC42" s="266">
        <f t="shared" si="56"/>
        <v>11779.913360591565</v>
      </c>
      <c r="CD42" s="241"/>
      <c r="CE42" s="198">
        <f t="shared" si="70"/>
        <v>11779.913360591649</v>
      </c>
      <c r="CF42" s="198">
        <f t="shared" si="58"/>
        <v>0</v>
      </c>
      <c r="CG42" s="198">
        <f t="shared" si="59"/>
        <v>0</v>
      </c>
      <c r="CH42" s="198">
        <f t="shared" si="60"/>
        <v>-1066.2729747871247</v>
      </c>
      <c r="CI42" s="198">
        <f t="shared" si="61"/>
        <v>0</v>
      </c>
      <c r="CJ42" s="198">
        <f t="shared" si="62"/>
        <v>-1086.736329437301</v>
      </c>
      <c r="CK42" s="198">
        <f t="shared" si="63"/>
        <v>-69.967341741892582</v>
      </c>
      <c r="CL42" s="198">
        <f t="shared" si="64"/>
        <v>46.802493186107768</v>
      </c>
      <c r="CM42" s="271">
        <f t="shared" si="65"/>
        <v>25.269011859383976</v>
      </c>
      <c r="CN42" s="198">
        <f t="shared" si="66"/>
        <v>9629.0082196708208</v>
      </c>
      <c r="CO42" s="209">
        <f t="shared" si="71"/>
        <v>8.3673512563109398E-11</v>
      </c>
    </row>
    <row r="43" spans="2:93" x14ac:dyDescent="0.2">
      <c r="B43" s="221">
        <f>'DATA INPUT - DETAIL'!D34</f>
        <v>3</v>
      </c>
      <c r="C43" s="211">
        <f>'DATA INPUT - DETAIL'!E34</f>
        <v>31</v>
      </c>
      <c r="D43" s="257">
        <f>'DATA INPUT - DETAIL'!I34</f>
        <v>0</v>
      </c>
      <c r="E43" s="258">
        <f>'DATA INPUT - DETAIL'!K34</f>
        <v>0</v>
      </c>
      <c r="F43" s="258">
        <f>'DATA INPUT - DETAIL'!L34</f>
        <v>0</v>
      </c>
      <c r="G43" s="179">
        <f>'DATA INPUT - DETAIL'!M34*(1+$V$5)</f>
        <v>0</v>
      </c>
      <c r="H43" s="179">
        <f>'DATA INPUT - DETAIL'!N34*(1+$V$5)</f>
        <v>1000</v>
      </c>
      <c r="I43" s="258">
        <f t="shared" si="72"/>
        <v>1068.5561511397777</v>
      </c>
      <c r="J43" s="258">
        <f>'DATA INPUT - DETAIL'!O34</f>
        <v>0</v>
      </c>
      <c r="K43" s="258">
        <f>'DATA INPUT - DETAIL'!P34</f>
        <v>0</v>
      </c>
      <c r="L43" s="267">
        <f>ROUNDDOWN('DATA INPUT - DETAIL'!G34,0)</f>
        <v>35</v>
      </c>
      <c r="M43" s="196">
        <f t="shared" si="25"/>
        <v>8.921042540299684E-5</v>
      </c>
      <c r="N43" s="196">
        <f t="shared" si="1"/>
        <v>0</v>
      </c>
      <c r="O43" s="196">
        <f t="shared" si="2"/>
        <v>0</v>
      </c>
      <c r="P43" s="196">
        <f t="shared" si="3"/>
        <v>0</v>
      </c>
      <c r="Q43" s="196">
        <f t="shared" si="4"/>
        <v>0</v>
      </c>
      <c r="R43" s="196">
        <f t="shared" si="5"/>
        <v>0</v>
      </c>
      <c r="S43" s="196">
        <f t="shared" si="6"/>
        <v>0</v>
      </c>
      <c r="T43" s="196">
        <f t="shared" si="7"/>
        <v>0</v>
      </c>
      <c r="U43" s="185">
        <f>(C43&gt;0)*(C43&lt;$E$5)*VLOOKUP(MPP,ASUMSI!$BN$77:$CR$108,B43+1)*(1+$V$4)</f>
        <v>2.5350486138366879E-3</v>
      </c>
      <c r="V43" s="196">
        <f t="shared" si="8"/>
        <v>0</v>
      </c>
      <c r="W43" s="196">
        <f t="shared" si="68"/>
        <v>0.95297830497287594</v>
      </c>
      <c r="X43" s="196">
        <f t="shared" si="69"/>
        <v>8.5015599986457122E-5</v>
      </c>
      <c r="Y43" s="196">
        <f t="shared" si="26"/>
        <v>2.4158463310379255E-3</v>
      </c>
      <c r="Z43" s="196">
        <f t="shared" si="27"/>
        <v>0</v>
      </c>
      <c r="AA43" s="185">
        <f t="shared" si="28"/>
        <v>0.95047744304185156</v>
      </c>
      <c r="AB43" s="196">
        <f t="shared" si="29"/>
        <v>0</v>
      </c>
      <c r="AC43" s="196">
        <f t="shared" si="29"/>
        <v>0</v>
      </c>
      <c r="AD43" s="196">
        <f t="shared" si="29"/>
        <v>0</v>
      </c>
      <c r="AE43" s="196">
        <f t="shared" si="73"/>
        <v>0</v>
      </c>
      <c r="AF43" s="196">
        <f t="shared" si="30"/>
        <v>0</v>
      </c>
      <c r="AG43" s="196">
        <f t="shared" si="31"/>
        <v>0</v>
      </c>
      <c r="AH43" s="196">
        <f t="shared" si="32"/>
        <v>0</v>
      </c>
      <c r="AI43" s="266">
        <f>'DATA INPUT - DETAIL'!R34</f>
        <v>10526568.4285</v>
      </c>
      <c r="AJ43" s="266">
        <f>'DATA INPUT - DETAIL'!S34</f>
        <v>0</v>
      </c>
      <c r="AK43" s="266">
        <f>'DATA INPUT - DETAIL'!T34</f>
        <v>0</v>
      </c>
      <c r="AL43" s="266">
        <f>'DATA INPUT - DETAIL'!U34</f>
        <v>0</v>
      </c>
      <c r="AM43" s="266">
        <f>'DATA INPUT - DETAIL'!V34</f>
        <v>0</v>
      </c>
      <c r="AN43" s="266">
        <f>'DATA INPUT - DETAIL'!W34</f>
        <v>0</v>
      </c>
      <c r="AO43" s="198">
        <f t="shared" si="10"/>
        <v>0</v>
      </c>
      <c r="AP43" s="266">
        <f>'DATA INPUT - DETAIL'!X34</f>
        <v>0</v>
      </c>
      <c r="AQ43" s="266">
        <f>'DATA INPUT - DETAIL'!Y34</f>
        <v>0</v>
      </c>
      <c r="AR43" s="266">
        <f>'DATA INPUT - DETAIL'!Z34</f>
        <v>0</v>
      </c>
      <c r="AS43" s="266">
        <f>'DATA INPUT - DETAIL'!AD34</f>
        <v>0</v>
      </c>
      <c r="AT43" s="266">
        <f t="shared" si="33"/>
        <v>0</v>
      </c>
      <c r="AU43" s="206">
        <f>'DATA INPUT - DETAIL'!AA34</f>
        <v>23000</v>
      </c>
      <c r="AV43" s="206">
        <f>'DATA INPUT - DETAIL'!AB34</f>
        <v>0</v>
      </c>
      <c r="AW43" s="206">
        <f>'DATA INPUT - DETAIL'!AC34</f>
        <v>0</v>
      </c>
      <c r="AX43" s="206">
        <f t="shared" si="11"/>
        <v>894.92253074742462</v>
      </c>
      <c r="AY43" s="206">
        <f t="shared" si="34"/>
        <v>0</v>
      </c>
      <c r="AZ43" s="206">
        <f t="shared" si="35"/>
        <v>0</v>
      </c>
      <c r="BA43" s="206">
        <f t="shared" si="12"/>
        <v>0</v>
      </c>
      <c r="BB43" s="206">
        <f t="shared" si="13"/>
        <v>0</v>
      </c>
      <c r="BC43" s="206">
        <f t="shared" si="14"/>
        <v>0</v>
      </c>
      <c r="BD43" s="206">
        <f t="shared" si="15"/>
        <v>0</v>
      </c>
      <c r="BE43" s="206">
        <f t="shared" si="16"/>
        <v>0</v>
      </c>
      <c r="BF43" s="206">
        <f t="shared" si="17"/>
        <v>0</v>
      </c>
      <c r="BG43" s="206">
        <f t="shared" si="36"/>
        <v>55.564465613872287</v>
      </c>
      <c r="BH43" s="206">
        <f t="shared" si="18"/>
        <v>0</v>
      </c>
      <c r="BI43" s="206">
        <f t="shared" si="19"/>
        <v>0</v>
      </c>
      <c r="BJ43" s="266">
        <f t="shared" si="37"/>
        <v>894.92253074742462</v>
      </c>
      <c r="BK43" s="266">
        <f t="shared" si="38"/>
        <v>55.564465613872287</v>
      </c>
      <c r="BL43" s="192">
        <f t="shared" si="39"/>
        <v>0</v>
      </c>
      <c r="BM43" s="192">
        <f t="shared" si="40"/>
        <v>0</v>
      </c>
      <c r="BN43" s="192">
        <f t="shared" si="41"/>
        <v>0</v>
      </c>
      <c r="BO43" s="192">
        <f t="shared" si="42"/>
        <v>1018.3108296815257</v>
      </c>
      <c r="BP43" s="192">
        <f t="shared" si="43"/>
        <v>1018.3108296815257</v>
      </c>
      <c r="BQ43" s="193">
        <f t="shared" si="44"/>
        <v>1018.3108296815257</v>
      </c>
      <c r="BR43" s="193">
        <f t="shared" si="45"/>
        <v>0</v>
      </c>
      <c r="BS43" s="265">
        <f t="shared" si="46"/>
        <v>2975.3286579055316</v>
      </c>
      <c r="BT43" s="265">
        <f t="shared" si="47"/>
        <v>164.43568331126269</v>
      </c>
      <c r="BU43" s="265">
        <f t="shared" si="48"/>
        <v>0</v>
      </c>
      <c r="BV43" s="265">
        <f t="shared" si="49"/>
        <v>0</v>
      </c>
      <c r="BW43" s="265">
        <f t="shared" si="50"/>
        <v>0</v>
      </c>
      <c r="BX43" s="265">
        <f t="shared" si="51"/>
        <v>6036.4715905349167</v>
      </c>
      <c r="BY43" s="265">
        <f t="shared" si="52"/>
        <v>6036.4715905349167</v>
      </c>
      <c r="BZ43" s="265">
        <f t="shared" si="53"/>
        <v>6036.4715905349167</v>
      </c>
      <c r="CA43" s="265">
        <f t="shared" si="54"/>
        <v>0</v>
      </c>
      <c r="CB43" s="269">
        <f t="shared" si="55"/>
        <v>9176.2359317517112</v>
      </c>
      <c r="CC43" s="266">
        <f t="shared" si="56"/>
        <v>9629.008219670739</v>
      </c>
      <c r="CD43" s="241"/>
      <c r="CE43" s="198">
        <f t="shared" si="70"/>
        <v>9629.0082196708208</v>
      </c>
      <c r="CF43" s="198">
        <f t="shared" si="58"/>
        <v>0</v>
      </c>
      <c r="CG43" s="198">
        <f t="shared" si="59"/>
        <v>0</v>
      </c>
      <c r="CH43" s="198">
        <f t="shared" si="60"/>
        <v>-1068.5561511397777</v>
      </c>
      <c r="CI43" s="198">
        <f t="shared" si="61"/>
        <v>0</v>
      </c>
      <c r="CJ43" s="198">
        <f t="shared" si="62"/>
        <v>-939.07964754024101</v>
      </c>
      <c r="CK43" s="198">
        <f t="shared" si="63"/>
        <v>-58.306118118243823</v>
      </c>
      <c r="CL43" s="198">
        <f t="shared" si="64"/>
        <v>37.396299033733165</v>
      </c>
      <c r="CM43" s="271">
        <f t="shared" si="65"/>
        <v>19.998062782479447</v>
      </c>
      <c r="CN43" s="198">
        <f t="shared" si="66"/>
        <v>7620.4606646887714</v>
      </c>
      <c r="CO43" s="209">
        <f t="shared" si="71"/>
        <v>8.1854523159563541E-11</v>
      </c>
    </row>
    <row r="44" spans="2:93" x14ac:dyDescent="0.2">
      <c r="B44" s="221">
        <f>'DATA INPUT - DETAIL'!D35</f>
        <v>3</v>
      </c>
      <c r="C44" s="211">
        <f>'DATA INPUT - DETAIL'!E35</f>
        <v>32</v>
      </c>
      <c r="D44" s="257">
        <f>'DATA INPUT - DETAIL'!I35</f>
        <v>0</v>
      </c>
      <c r="E44" s="258">
        <f>'DATA INPUT - DETAIL'!K35</f>
        <v>0</v>
      </c>
      <c r="F44" s="258">
        <f>'DATA INPUT - DETAIL'!L35</f>
        <v>0</v>
      </c>
      <c r="G44" s="179">
        <f>'DATA INPUT - DETAIL'!M35*(1+$V$5)</f>
        <v>0</v>
      </c>
      <c r="H44" s="179">
        <f>'DATA INPUT - DETAIL'!N35*(1+$V$5)</f>
        <v>1000</v>
      </c>
      <c r="I44" s="258">
        <f t="shared" si="72"/>
        <v>1070.8442163852192</v>
      </c>
      <c r="J44" s="258">
        <f>'DATA INPUT - DETAIL'!O35</f>
        <v>0</v>
      </c>
      <c r="K44" s="258">
        <f>'DATA INPUT - DETAIL'!P35</f>
        <v>0</v>
      </c>
      <c r="L44" s="267">
        <f>ROUNDDOWN('DATA INPUT - DETAIL'!G35,0)</f>
        <v>35</v>
      </c>
      <c r="M44" s="196">
        <f t="shared" si="25"/>
        <v>8.921042540299684E-5</v>
      </c>
      <c r="N44" s="196">
        <f t="shared" ref="N44:N72" si="74">IF($AJ$7=0,0,IF(AND(C44&lt;=$E$5-1,C44&lt;&gt;0), VLOOKUP(L44,Mortality,7,FALSE)*(1+$V$3), 0))</f>
        <v>0</v>
      </c>
      <c r="O44" s="196">
        <f t="shared" ref="O44:O72" si="75">IF($AK$7=0,0,IF(AND(C44&lt;=$E$5-1,C44&lt;&gt;0), VLOOKUP(L44,Mortality,9,FALSE)*(1+$V$3), 0))</f>
        <v>0</v>
      </c>
      <c r="P44" s="196">
        <f t="shared" ref="P44:P72" si="76">IF($AL$7=0,0,IF(AND(C44&lt;=$E$5-1,C44&lt;&gt;0), VLOOKUP(L44,Mortality,11,FALSE)*(1+$V$3), 0))</f>
        <v>0</v>
      </c>
      <c r="Q44" s="196">
        <f t="shared" ref="Q44:Q72" si="77">IF($AM$7=0,0,IF(AND(C44&lt;=$E$5-1,C44&lt;&gt;0), VLOOKUP(L44,Mortality,13,FALSE)*(1+$V$3), 0))</f>
        <v>0</v>
      </c>
      <c r="R44" s="196">
        <f t="shared" ref="R44:R72" si="78">IF($AP$7=0,0,IF(AND(C44&lt;=$E$5-1,C44&lt;&gt;0), VLOOKUP(L44,Mortality,15,FALSE)*(1+$V$3), 0))</f>
        <v>0</v>
      </c>
      <c r="S44" s="196">
        <f t="shared" ref="S44:S72" si="79">IF($AQ$7=0,0,IF(AND(C44&lt;=$E$5-1,C44&lt;&gt;0), VLOOKUP(L44,Mortality,17,FALSE)*(1+$V$3), 0))</f>
        <v>0</v>
      </c>
      <c r="T44" s="196">
        <f t="shared" ref="T44:T72" si="80">IF($AR$7=0,0,IF(AND(C44&lt;=$E$5-1,C44&lt;&gt;0), VLOOKUP(L44,Mortality,19,FALSE)*(1+$V$3), 0))</f>
        <v>0</v>
      </c>
      <c r="U44" s="185">
        <f>(C44&gt;0)*(C44&lt;$E$5)*VLOOKUP(MPP,ASUMSI!$BN$77:$CR$108,B44+1)*(1+$V$4)</f>
        <v>2.5350486138366879E-3</v>
      </c>
      <c r="V44" s="196">
        <f t="shared" si="8"/>
        <v>0</v>
      </c>
      <c r="W44" s="196">
        <f t="shared" si="68"/>
        <v>0.95047744304185156</v>
      </c>
      <c r="X44" s="196">
        <f t="shared" ref="X44:X72" si="81">M44*$AA43</f>
        <v>8.4792497029716277E-5</v>
      </c>
      <c r="Y44" s="196">
        <f t="shared" ref="Y44:Y72" si="82">U44*AA43</f>
        <v>2.4095065244662851E-3</v>
      </c>
      <c r="Z44" s="196">
        <f t="shared" ref="Z44:Z72" si="83">V44*AA43</f>
        <v>0</v>
      </c>
      <c r="AA44" s="185">
        <f t="shared" si="28"/>
        <v>0.94798314402035555</v>
      </c>
      <c r="AB44" s="196">
        <f t="shared" ref="AB44:AD72" si="84">N44*$AA43</f>
        <v>0</v>
      </c>
      <c r="AC44" s="196">
        <f t="shared" si="84"/>
        <v>0</v>
      </c>
      <c r="AD44" s="196">
        <f t="shared" si="84"/>
        <v>0</v>
      </c>
      <c r="AE44" s="196">
        <f t="shared" ref="AE44:AE72" si="85">Q44*$AA43</f>
        <v>0</v>
      </c>
      <c r="AF44" s="196">
        <f t="shared" ref="AF44:AF72" si="86">R44*$AA43</f>
        <v>0</v>
      </c>
      <c r="AG44" s="196">
        <f t="shared" ref="AG44:AG72" si="87">S44*$AA43</f>
        <v>0</v>
      </c>
      <c r="AH44" s="196">
        <f t="shared" ref="AH44:AH72" si="88">T44*$AA43</f>
        <v>0</v>
      </c>
      <c r="AI44" s="266">
        <f>'DATA INPUT - DETAIL'!R35</f>
        <v>8843832.0676700007</v>
      </c>
      <c r="AJ44" s="266">
        <f>'DATA INPUT - DETAIL'!S35</f>
        <v>0</v>
      </c>
      <c r="AK44" s="266">
        <f>'DATA INPUT - DETAIL'!T35</f>
        <v>0</v>
      </c>
      <c r="AL44" s="266">
        <f>'DATA INPUT - DETAIL'!U35</f>
        <v>0</v>
      </c>
      <c r="AM44" s="266">
        <f>'DATA INPUT - DETAIL'!V35</f>
        <v>0</v>
      </c>
      <c r="AN44" s="266">
        <f>'DATA INPUT - DETAIL'!W35</f>
        <v>0</v>
      </c>
      <c r="AO44" s="198">
        <f t="shared" si="10"/>
        <v>0</v>
      </c>
      <c r="AP44" s="266">
        <f>'DATA INPUT - DETAIL'!X35</f>
        <v>0</v>
      </c>
      <c r="AQ44" s="266">
        <f>'DATA INPUT - DETAIL'!Y35</f>
        <v>0</v>
      </c>
      <c r="AR44" s="266">
        <f>'DATA INPUT - DETAIL'!Z35</f>
        <v>0</v>
      </c>
      <c r="AS44" s="266">
        <f>'DATA INPUT - DETAIL'!AD35</f>
        <v>0</v>
      </c>
      <c r="AT44" s="266">
        <f t="shared" si="33"/>
        <v>0</v>
      </c>
      <c r="AU44" s="206">
        <f>'DATA INPUT - DETAIL'!AA35</f>
        <v>18400</v>
      </c>
      <c r="AV44" s="206">
        <f>'DATA INPUT - DETAIL'!AB35</f>
        <v>0</v>
      </c>
      <c r="AW44" s="206">
        <f>'DATA INPUT - DETAIL'!AC35</f>
        <v>0</v>
      </c>
      <c r="AX44" s="206">
        <f t="shared" ref="AX44:AX72" si="89">IF(AI44=0,0,(AI44+AT44)*X44)</f>
        <v>749.89060432921815</v>
      </c>
      <c r="AY44" s="206">
        <f t="shared" si="34"/>
        <v>0</v>
      </c>
      <c r="AZ44" s="206">
        <f t="shared" ref="AZ44:AZ72" si="90">AK44*AC44</f>
        <v>0</v>
      </c>
      <c r="BA44" s="206">
        <f t="shared" ref="BA44:BA72" si="91">AL44*AD44</f>
        <v>0</v>
      </c>
      <c r="BB44" s="206">
        <f t="shared" ref="BB44:BB72" si="92">AM44*AE44</f>
        <v>0</v>
      </c>
      <c r="BC44" s="206">
        <f t="shared" ref="BC44:BC72" si="93">AO44*X44</f>
        <v>0</v>
      </c>
      <c r="BD44" s="206">
        <f t="shared" ref="BD44:BD72" si="94">AP44*AF44</f>
        <v>0</v>
      </c>
      <c r="BE44" s="206">
        <f t="shared" ref="BE44:BE72" si="95">AQ44*AG44</f>
        <v>0</v>
      </c>
      <c r="BF44" s="206">
        <f t="shared" ref="BF44:BF72" si="96">AR44*AH44</f>
        <v>0</v>
      </c>
      <c r="BG44" s="206">
        <f t="shared" ref="BG44:BG72" si="97">(AU44+AT44)*Y44</f>
        <v>44.334920050179647</v>
      </c>
      <c r="BH44" s="206">
        <f t="shared" ref="BH44:BH72" si="98">AV44*AA44</f>
        <v>0</v>
      </c>
      <c r="BI44" s="206">
        <f t="shared" si="19"/>
        <v>0</v>
      </c>
      <c r="BJ44" s="266">
        <f t="shared" si="37"/>
        <v>749.89060432921815</v>
      </c>
      <c r="BK44" s="266">
        <f t="shared" si="38"/>
        <v>44.334920050179647</v>
      </c>
      <c r="BL44" s="192">
        <f t="shared" si="39"/>
        <v>0</v>
      </c>
      <c r="BM44" s="192">
        <f t="shared" si="40"/>
        <v>0</v>
      </c>
      <c r="BN44" s="192">
        <f t="shared" si="41"/>
        <v>0</v>
      </c>
      <c r="BO44" s="192">
        <f t="shared" si="42"/>
        <v>1017.8132726859783</v>
      </c>
      <c r="BP44" s="192">
        <f t="shared" si="43"/>
        <v>1017.8132726859783</v>
      </c>
      <c r="BQ44" s="193">
        <f t="shared" si="44"/>
        <v>1017.8132726859783</v>
      </c>
      <c r="BR44" s="193">
        <f t="shared" si="45"/>
        <v>0</v>
      </c>
      <c r="BS44" s="265">
        <f t="shared" si="46"/>
        <v>2093.4038379476683</v>
      </c>
      <c r="BT44" s="265">
        <f t="shared" si="47"/>
        <v>109.58955429173096</v>
      </c>
      <c r="BU44" s="265">
        <f t="shared" si="48"/>
        <v>0</v>
      </c>
      <c r="BV44" s="265">
        <f t="shared" si="49"/>
        <v>0</v>
      </c>
      <c r="BW44" s="265">
        <f t="shared" si="50"/>
        <v>0</v>
      </c>
      <c r="BX44" s="265">
        <f t="shared" si="51"/>
        <v>5040.0825751349148</v>
      </c>
      <c r="BY44" s="265">
        <f t="shared" si="52"/>
        <v>5040.0825751349148</v>
      </c>
      <c r="BZ44" s="265">
        <f t="shared" si="53"/>
        <v>5040.0825751349148</v>
      </c>
      <c r="CA44" s="265">
        <f t="shared" si="54"/>
        <v>0</v>
      </c>
      <c r="CB44" s="269">
        <f t="shared" si="55"/>
        <v>7243.0759673743141</v>
      </c>
      <c r="CC44" s="266">
        <f t="shared" si="56"/>
        <v>7620.4606646886896</v>
      </c>
      <c r="CD44" s="241"/>
      <c r="CE44" s="198">
        <f t="shared" si="70"/>
        <v>7620.4606646887714</v>
      </c>
      <c r="CF44" s="198">
        <f t="shared" si="58"/>
        <v>0</v>
      </c>
      <c r="CG44" s="198">
        <f t="shared" si="59"/>
        <v>0</v>
      </c>
      <c r="CH44" s="198">
        <f t="shared" si="60"/>
        <v>-1070.8442163852192</v>
      </c>
      <c r="CI44" s="198">
        <f t="shared" si="61"/>
        <v>0</v>
      </c>
      <c r="CJ44" s="198">
        <f t="shared" si="62"/>
        <v>-788.96202094950593</v>
      </c>
      <c r="CK44" s="198">
        <f t="shared" si="63"/>
        <v>-46.644894494595057</v>
      </c>
      <c r="CL44" s="198">
        <f t="shared" si="64"/>
        <v>28.611972042622124</v>
      </c>
      <c r="CM44" s="271">
        <f t="shared" si="65"/>
        <v>15.109778365627985</v>
      </c>
      <c r="CN44" s="198">
        <f t="shared" si="66"/>
        <v>5757.7312832677007</v>
      </c>
      <c r="CO44" s="209">
        <f t="shared" si="71"/>
        <v>8.1854523159563541E-11</v>
      </c>
    </row>
    <row r="45" spans="2:93" x14ac:dyDescent="0.2">
      <c r="B45" s="221">
        <f>'DATA INPUT - DETAIL'!D36</f>
        <v>3</v>
      </c>
      <c r="C45" s="211">
        <f>'DATA INPUT - DETAIL'!E36</f>
        <v>33</v>
      </c>
      <c r="D45" s="257">
        <f>'DATA INPUT - DETAIL'!I36</f>
        <v>0</v>
      </c>
      <c r="E45" s="258">
        <f>'DATA INPUT - DETAIL'!K36</f>
        <v>0</v>
      </c>
      <c r="F45" s="258">
        <f>'DATA INPUT - DETAIL'!L36</f>
        <v>0</v>
      </c>
      <c r="G45" s="179">
        <f>'DATA INPUT - DETAIL'!M36*(1+$V$5)</f>
        <v>0</v>
      </c>
      <c r="H45" s="179">
        <f>'DATA INPUT - DETAIL'!N36*(1+$V$5)</f>
        <v>1000</v>
      </c>
      <c r="I45" s="258">
        <f t="shared" si="72"/>
        <v>1073.1371809918799</v>
      </c>
      <c r="J45" s="258">
        <f>'DATA INPUT - DETAIL'!O36</f>
        <v>0</v>
      </c>
      <c r="K45" s="258">
        <f>'DATA INPUT - DETAIL'!P36</f>
        <v>0</v>
      </c>
      <c r="L45" s="267">
        <f>ROUNDDOWN('DATA INPUT - DETAIL'!G36,0)</f>
        <v>35</v>
      </c>
      <c r="M45" s="196">
        <f t="shared" ref="M45:M76" si="99">IF(AND(C45&lt;=$E$5-1,C45&lt;&gt;0),VLOOKUP(L45,Mortality,5,FALSE)*(1+$V$3),0)</f>
        <v>8.921042540299684E-5</v>
      </c>
      <c r="N45" s="196">
        <f t="shared" si="74"/>
        <v>0</v>
      </c>
      <c r="O45" s="196">
        <f t="shared" si="75"/>
        <v>0</v>
      </c>
      <c r="P45" s="196">
        <f t="shared" si="76"/>
        <v>0</v>
      </c>
      <c r="Q45" s="196">
        <f t="shared" si="77"/>
        <v>0</v>
      </c>
      <c r="R45" s="196">
        <f t="shared" si="78"/>
        <v>0</v>
      </c>
      <c r="S45" s="196">
        <f t="shared" si="79"/>
        <v>0</v>
      </c>
      <c r="T45" s="196">
        <f t="shared" si="80"/>
        <v>0</v>
      </c>
      <c r="U45" s="185">
        <f>(C45&gt;0)*(C45&lt;$E$5)*VLOOKUP(MPP,ASUMSI!$BN$77:$CR$108,B45+1)*(1+$V$4)</f>
        <v>2.5350486138366879E-3</v>
      </c>
      <c r="V45" s="196">
        <f t="shared" si="8"/>
        <v>0</v>
      </c>
      <c r="W45" s="196">
        <f t="shared" si="68"/>
        <v>0.94798314402035555</v>
      </c>
      <c r="X45" s="196">
        <f t="shared" si="81"/>
        <v>8.4569979552926344E-5</v>
      </c>
      <c r="Y45" s="196">
        <f t="shared" si="82"/>
        <v>2.4031833551893477E-3</v>
      </c>
      <c r="Z45" s="196">
        <f t="shared" si="83"/>
        <v>0</v>
      </c>
      <c r="AA45" s="185">
        <f t="shared" si="28"/>
        <v>0.94549539068561328</v>
      </c>
      <c r="AB45" s="196">
        <f t="shared" si="84"/>
        <v>0</v>
      </c>
      <c r="AC45" s="196">
        <f t="shared" si="84"/>
        <v>0</v>
      </c>
      <c r="AD45" s="196">
        <f t="shared" si="84"/>
        <v>0</v>
      </c>
      <c r="AE45" s="196">
        <f t="shared" si="85"/>
        <v>0</v>
      </c>
      <c r="AF45" s="196">
        <f t="shared" si="86"/>
        <v>0</v>
      </c>
      <c r="AG45" s="196">
        <f t="shared" si="87"/>
        <v>0</v>
      </c>
      <c r="AH45" s="196">
        <f t="shared" si="88"/>
        <v>0</v>
      </c>
      <c r="AI45" s="266">
        <f>'DATA INPUT - DETAIL'!R36</f>
        <v>7133050.1008200003</v>
      </c>
      <c r="AJ45" s="266">
        <f>'DATA INPUT - DETAIL'!S36</f>
        <v>0</v>
      </c>
      <c r="AK45" s="266">
        <f>'DATA INPUT - DETAIL'!T36</f>
        <v>0</v>
      </c>
      <c r="AL45" s="266">
        <f>'DATA INPUT - DETAIL'!U36</f>
        <v>0</v>
      </c>
      <c r="AM45" s="266">
        <f>'DATA INPUT - DETAIL'!V36</f>
        <v>0</v>
      </c>
      <c r="AN45" s="266">
        <f>'DATA INPUT - DETAIL'!W36</f>
        <v>0</v>
      </c>
      <c r="AO45" s="198">
        <f t="shared" si="10"/>
        <v>0</v>
      </c>
      <c r="AP45" s="266">
        <f>'DATA INPUT - DETAIL'!X36</f>
        <v>0</v>
      </c>
      <c r="AQ45" s="266">
        <f>'DATA INPUT - DETAIL'!Y36</f>
        <v>0</v>
      </c>
      <c r="AR45" s="266">
        <f>'DATA INPUT - DETAIL'!Z36</f>
        <v>0</v>
      </c>
      <c r="AS45" s="266">
        <f>'DATA INPUT - DETAIL'!AD36</f>
        <v>0</v>
      </c>
      <c r="AT45" s="266">
        <f t="shared" si="33"/>
        <v>0</v>
      </c>
      <c r="AU45" s="206">
        <f>'DATA INPUT - DETAIL'!AA36</f>
        <v>13800</v>
      </c>
      <c r="AV45" s="206">
        <f>'DATA INPUT - DETAIL'!AB36</f>
        <v>0</v>
      </c>
      <c r="AW45" s="206">
        <f>'DATA INPUT - DETAIL'!AC36</f>
        <v>0</v>
      </c>
      <c r="AX45" s="206">
        <f t="shared" si="89"/>
        <v>603.24190117634657</v>
      </c>
      <c r="AY45" s="206">
        <f t="shared" si="34"/>
        <v>0</v>
      </c>
      <c r="AZ45" s="206">
        <f t="shared" si="90"/>
        <v>0</v>
      </c>
      <c r="BA45" s="206">
        <f t="shared" si="91"/>
        <v>0</v>
      </c>
      <c r="BB45" s="206">
        <f t="shared" si="92"/>
        <v>0</v>
      </c>
      <c r="BC45" s="206">
        <f t="shared" si="93"/>
        <v>0</v>
      </c>
      <c r="BD45" s="206">
        <f t="shared" si="94"/>
        <v>0</v>
      </c>
      <c r="BE45" s="206">
        <f t="shared" si="95"/>
        <v>0</v>
      </c>
      <c r="BF45" s="206">
        <f t="shared" si="96"/>
        <v>0</v>
      </c>
      <c r="BG45" s="206">
        <f t="shared" si="97"/>
        <v>33.163930301613</v>
      </c>
      <c r="BH45" s="206">
        <f t="shared" si="98"/>
        <v>0</v>
      </c>
      <c r="BI45" s="206">
        <f t="shared" si="19"/>
        <v>0</v>
      </c>
      <c r="BJ45" s="266">
        <f t="shared" si="37"/>
        <v>603.24190117634657</v>
      </c>
      <c r="BK45" s="266">
        <f t="shared" si="38"/>
        <v>33.163930301613</v>
      </c>
      <c r="BL45" s="192">
        <f t="shared" si="39"/>
        <v>0</v>
      </c>
      <c r="BM45" s="192">
        <f t="shared" si="40"/>
        <v>0</v>
      </c>
      <c r="BN45" s="192">
        <f t="shared" si="41"/>
        <v>0</v>
      </c>
      <c r="BO45" s="192">
        <f t="shared" si="42"/>
        <v>1017.3159588018236</v>
      </c>
      <c r="BP45" s="192">
        <f t="shared" si="43"/>
        <v>1017.3159588018236</v>
      </c>
      <c r="BQ45" s="193">
        <f t="shared" si="44"/>
        <v>1017.3159588018236</v>
      </c>
      <c r="BR45" s="193">
        <f t="shared" si="45"/>
        <v>0</v>
      </c>
      <c r="BS45" s="265">
        <f t="shared" si="46"/>
        <v>1352.6582595231027</v>
      </c>
      <c r="BT45" s="265">
        <f t="shared" si="47"/>
        <v>65.733375750814901</v>
      </c>
      <c r="BU45" s="265">
        <f t="shared" si="48"/>
        <v>0</v>
      </c>
      <c r="BV45" s="265">
        <f t="shared" si="49"/>
        <v>0</v>
      </c>
      <c r="BW45" s="265">
        <f t="shared" si="50"/>
        <v>0</v>
      </c>
      <c r="BX45" s="265">
        <f t="shared" si="51"/>
        <v>4039.8405690624759</v>
      </c>
      <c r="BY45" s="265">
        <f t="shared" si="52"/>
        <v>4039.8405690624759</v>
      </c>
      <c r="BZ45" s="265">
        <f t="shared" si="53"/>
        <v>4039.8405690624759</v>
      </c>
      <c r="CA45" s="265">
        <f t="shared" si="54"/>
        <v>0</v>
      </c>
      <c r="CB45" s="269">
        <f t="shared" si="55"/>
        <v>5458.2322043363938</v>
      </c>
      <c r="CC45" s="266">
        <f t="shared" si="56"/>
        <v>5757.7312832676189</v>
      </c>
      <c r="CD45" s="241"/>
      <c r="CE45" s="198">
        <f t="shared" si="70"/>
        <v>5757.7312832677007</v>
      </c>
      <c r="CF45" s="198">
        <f t="shared" si="58"/>
        <v>0</v>
      </c>
      <c r="CG45" s="198">
        <f t="shared" si="59"/>
        <v>0</v>
      </c>
      <c r="CH45" s="198">
        <f t="shared" si="60"/>
        <v>-1073.1371809918799</v>
      </c>
      <c r="CI45" s="198">
        <f t="shared" si="61"/>
        <v>0</v>
      </c>
      <c r="CJ45" s="198">
        <f t="shared" si="62"/>
        <v>-636.34243391504174</v>
      </c>
      <c r="CK45" s="198">
        <f t="shared" si="63"/>
        <v>-34.983670870946298</v>
      </c>
      <c r="CL45" s="198">
        <f t="shared" si="64"/>
        <v>20.464629729587518</v>
      </c>
      <c r="CM45" s="271">
        <f t="shared" si="65"/>
        <v>10.613411650317202</v>
      </c>
      <c r="CN45" s="198">
        <f t="shared" si="66"/>
        <v>4044.3460388697376</v>
      </c>
      <c r="CO45" s="209">
        <f t="shared" si="71"/>
        <v>8.1854523159563541E-11</v>
      </c>
    </row>
    <row r="46" spans="2:93" x14ac:dyDescent="0.2">
      <c r="B46" s="221">
        <f>'DATA INPUT - DETAIL'!D37</f>
        <v>3</v>
      </c>
      <c r="C46" s="211">
        <f>'DATA INPUT - DETAIL'!E37</f>
        <v>34</v>
      </c>
      <c r="D46" s="257">
        <f>'DATA INPUT - DETAIL'!I37</f>
        <v>0</v>
      </c>
      <c r="E46" s="258">
        <f>'DATA INPUT - DETAIL'!K37</f>
        <v>0</v>
      </c>
      <c r="F46" s="258">
        <f>'DATA INPUT - DETAIL'!L37</f>
        <v>0</v>
      </c>
      <c r="G46" s="179">
        <f>'DATA INPUT - DETAIL'!M37*(1+$V$5)</f>
        <v>0</v>
      </c>
      <c r="H46" s="179">
        <f>'DATA INPUT - DETAIL'!N37*(1+$V$5)</f>
        <v>1000</v>
      </c>
      <c r="I46" s="258">
        <f t="shared" si="72"/>
        <v>1075.4350554506061</v>
      </c>
      <c r="J46" s="258">
        <f>'DATA INPUT - DETAIL'!O37</f>
        <v>0</v>
      </c>
      <c r="K46" s="258">
        <f>'DATA INPUT - DETAIL'!P37</f>
        <v>0</v>
      </c>
      <c r="L46" s="267">
        <f>ROUNDDOWN('DATA INPUT - DETAIL'!G37,0)</f>
        <v>35</v>
      </c>
      <c r="M46" s="196">
        <f t="shared" si="99"/>
        <v>8.921042540299684E-5</v>
      </c>
      <c r="N46" s="196">
        <f t="shared" si="74"/>
        <v>0</v>
      </c>
      <c r="O46" s="196">
        <f t="shared" si="75"/>
        <v>0</v>
      </c>
      <c r="P46" s="196">
        <f t="shared" si="76"/>
        <v>0</v>
      </c>
      <c r="Q46" s="196">
        <f t="shared" si="77"/>
        <v>0</v>
      </c>
      <c r="R46" s="196">
        <f t="shared" si="78"/>
        <v>0</v>
      </c>
      <c r="S46" s="196">
        <f t="shared" si="79"/>
        <v>0</v>
      </c>
      <c r="T46" s="196">
        <f t="shared" si="80"/>
        <v>0</v>
      </c>
      <c r="U46" s="185">
        <f>(C46&gt;0)*(C46&lt;$E$5)*VLOOKUP(MPP,ASUMSI!$BN$77:$CR$108,B46+1)*(1+$V$4)</f>
        <v>2.5350486138366879E-3</v>
      </c>
      <c r="V46" s="196">
        <f t="shared" si="8"/>
        <v>0</v>
      </c>
      <c r="W46" s="196">
        <f t="shared" si="68"/>
        <v>0.94549539068561328</v>
      </c>
      <c r="X46" s="196">
        <f t="shared" si="81"/>
        <v>8.4348046019636262E-5</v>
      </c>
      <c r="Y46" s="196">
        <f t="shared" si="82"/>
        <v>2.3968767795465415E-3</v>
      </c>
      <c r="Z46" s="196">
        <f t="shared" si="83"/>
        <v>0</v>
      </c>
      <c r="AA46" s="185">
        <f t="shared" si="28"/>
        <v>0.94301416586004705</v>
      </c>
      <c r="AB46" s="196">
        <f t="shared" si="84"/>
        <v>0</v>
      </c>
      <c r="AC46" s="196">
        <f t="shared" si="84"/>
        <v>0</v>
      </c>
      <c r="AD46" s="196">
        <f t="shared" si="84"/>
        <v>0</v>
      </c>
      <c r="AE46" s="196">
        <f t="shared" si="85"/>
        <v>0</v>
      </c>
      <c r="AF46" s="196">
        <f t="shared" si="86"/>
        <v>0</v>
      </c>
      <c r="AG46" s="196">
        <f t="shared" si="87"/>
        <v>0</v>
      </c>
      <c r="AH46" s="196">
        <f t="shared" si="88"/>
        <v>0</v>
      </c>
      <c r="AI46" s="266">
        <f>'DATA INPUT - DETAIL'!R37</f>
        <v>5393755.1011800002</v>
      </c>
      <c r="AJ46" s="266">
        <f>'DATA INPUT - DETAIL'!S37</f>
        <v>0</v>
      </c>
      <c r="AK46" s="266">
        <f>'DATA INPUT - DETAIL'!T37</f>
        <v>0</v>
      </c>
      <c r="AL46" s="266">
        <f>'DATA INPUT - DETAIL'!U37</f>
        <v>0</v>
      </c>
      <c r="AM46" s="266">
        <f>'DATA INPUT - DETAIL'!V37</f>
        <v>0</v>
      </c>
      <c r="AN46" s="266">
        <f>'DATA INPUT - DETAIL'!W37</f>
        <v>0</v>
      </c>
      <c r="AO46" s="198">
        <f t="shared" si="10"/>
        <v>0</v>
      </c>
      <c r="AP46" s="266">
        <f>'DATA INPUT - DETAIL'!X37</f>
        <v>0</v>
      </c>
      <c r="AQ46" s="266">
        <f>'DATA INPUT - DETAIL'!Y37</f>
        <v>0</v>
      </c>
      <c r="AR46" s="266">
        <f>'DATA INPUT - DETAIL'!Z37</f>
        <v>0</v>
      </c>
      <c r="AS46" s="266">
        <f>'DATA INPUT - DETAIL'!AD37</f>
        <v>0</v>
      </c>
      <c r="AT46" s="266">
        <f t="shared" si="33"/>
        <v>0</v>
      </c>
      <c r="AU46" s="206">
        <f>'DATA INPUT - DETAIL'!AA37</f>
        <v>9200</v>
      </c>
      <c r="AV46" s="206">
        <f>'DATA INPUT - DETAIL'!AB37</f>
        <v>0</v>
      </c>
      <c r="AW46" s="206">
        <f>'DATA INPUT - DETAIL'!AC37</f>
        <v>0</v>
      </c>
      <c r="AX46" s="206">
        <f t="shared" si="89"/>
        <v>454.95270349297851</v>
      </c>
      <c r="AY46" s="206">
        <f t="shared" si="34"/>
        <v>0</v>
      </c>
      <c r="AZ46" s="206">
        <f t="shared" si="90"/>
        <v>0</v>
      </c>
      <c r="BA46" s="206">
        <f t="shared" si="91"/>
        <v>0</v>
      </c>
      <c r="BB46" s="206">
        <f t="shared" si="92"/>
        <v>0</v>
      </c>
      <c r="BC46" s="206">
        <f t="shared" si="93"/>
        <v>0</v>
      </c>
      <c r="BD46" s="206">
        <f t="shared" si="94"/>
        <v>0</v>
      </c>
      <c r="BE46" s="206">
        <f t="shared" si="95"/>
        <v>0</v>
      </c>
      <c r="BF46" s="206">
        <f t="shared" si="96"/>
        <v>0</v>
      </c>
      <c r="BG46" s="206">
        <f t="shared" si="97"/>
        <v>22.051266371828181</v>
      </c>
      <c r="BH46" s="206">
        <f t="shared" si="98"/>
        <v>0</v>
      </c>
      <c r="BI46" s="206">
        <f t="shared" si="19"/>
        <v>0</v>
      </c>
      <c r="BJ46" s="266">
        <f t="shared" si="37"/>
        <v>454.95270349297851</v>
      </c>
      <c r="BK46" s="266">
        <f t="shared" si="38"/>
        <v>22.051266371828181</v>
      </c>
      <c r="BL46" s="192">
        <f t="shared" si="39"/>
        <v>0</v>
      </c>
      <c r="BM46" s="192">
        <f t="shared" si="40"/>
        <v>0</v>
      </c>
      <c r="BN46" s="192">
        <f t="shared" si="41"/>
        <v>0</v>
      </c>
      <c r="BO46" s="192">
        <f t="shared" si="42"/>
        <v>1016.818887910275</v>
      </c>
      <c r="BP46" s="192">
        <f t="shared" si="43"/>
        <v>1016.818887910275</v>
      </c>
      <c r="BQ46" s="193">
        <f t="shared" si="44"/>
        <v>1016.818887910275</v>
      </c>
      <c r="BR46" s="193">
        <f t="shared" si="45"/>
        <v>0</v>
      </c>
      <c r="BS46" s="265">
        <f t="shared" si="46"/>
        <v>755.32544029226767</v>
      </c>
      <c r="BT46" s="265">
        <f t="shared" si="47"/>
        <v>32.856601426058631</v>
      </c>
      <c r="BU46" s="265">
        <f t="shared" si="48"/>
        <v>0</v>
      </c>
      <c r="BV46" s="265">
        <f t="shared" si="49"/>
        <v>0</v>
      </c>
      <c r="BW46" s="265">
        <f t="shared" si="50"/>
        <v>0</v>
      </c>
      <c r="BX46" s="265">
        <f t="shared" si="51"/>
        <v>3035.7284963705501</v>
      </c>
      <c r="BY46" s="265">
        <f t="shared" si="52"/>
        <v>3035.7284963705501</v>
      </c>
      <c r="BZ46" s="265">
        <f t="shared" si="53"/>
        <v>3035.7284963705501</v>
      </c>
      <c r="CA46" s="265">
        <f t="shared" si="54"/>
        <v>0</v>
      </c>
      <c r="CB46" s="269">
        <f t="shared" si="55"/>
        <v>3823.9105380888764</v>
      </c>
      <c r="CC46" s="266">
        <f t="shared" si="56"/>
        <v>4044.3460388696544</v>
      </c>
      <c r="CD46" s="241"/>
      <c r="CE46" s="198">
        <f t="shared" si="70"/>
        <v>4044.3460388697376</v>
      </c>
      <c r="CF46" s="198">
        <f t="shared" si="58"/>
        <v>0</v>
      </c>
      <c r="CG46" s="198">
        <f t="shared" si="59"/>
        <v>0</v>
      </c>
      <c r="CH46" s="198">
        <f t="shared" si="60"/>
        <v>-1075.4350554506061</v>
      </c>
      <c r="CI46" s="198">
        <f t="shared" si="61"/>
        <v>0</v>
      </c>
      <c r="CJ46" s="198">
        <f t="shared" si="62"/>
        <v>-481.17918709585211</v>
      </c>
      <c r="CK46" s="198">
        <f t="shared" si="63"/>
        <v>-23.322447247297525</v>
      </c>
      <c r="CL46" s="198">
        <f t="shared" si="64"/>
        <v>12.969675205427384</v>
      </c>
      <c r="CM46" s="271">
        <f t="shared" si="65"/>
        <v>6.5183902426086293</v>
      </c>
      <c r="CN46" s="198">
        <f t="shared" si="66"/>
        <v>2483.8974145240177</v>
      </c>
      <c r="CO46" s="209">
        <f t="shared" si="71"/>
        <v>8.3218765212222934E-11</v>
      </c>
    </row>
    <row r="47" spans="2:93" x14ac:dyDescent="0.2">
      <c r="B47" s="221">
        <f>'DATA INPUT - DETAIL'!D38</f>
        <v>3</v>
      </c>
      <c r="C47" s="211">
        <f>'DATA INPUT - DETAIL'!E38</f>
        <v>35</v>
      </c>
      <c r="D47" s="257">
        <f>'DATA INPUT - DETAIL'!I38</f>
        <v>0</v>
      </c>
      <c r="E47" s="258">
        <f>'DATA INPUT - DETAIL'!K38</f>
        <v>0</v>
      </c>
      <c r="F47" s="258">
        <f>'DATA INPUT - DETAIL'!L38</f>
        <v>0</v>
      </c>
      <c r="G47" s="179">
        <f>'DATA INPUT - DETAIL'!M38*(1+$V$5)</f>
        <v>0</v>
      </c>
      <c r="H47" s="179">
        <f>'DATA INPUT - DETAIL'!N38*(1+$V$5)</f>
        <v>1000</v>
      </c>
      <c r="I47" s="258">
        <f t="shared" si="72"/>
        <v>1077.7378502747069</v>
      </c>
      <c r="J47" s="258">
        <f>'DATA INPUT - DETAIL'!O38</f>
        <v>0</v>
      </c>
      <c r="K47" s="258">
        <f>'DATA INPUT - DETAIL'!P38</f>
        <v>0</v>
      </c>
      <c r="L47" s="267">
        <f>ROUNDDOWN('DATA INPUT - DETAIL'!G38,0)</f>
        <v>35</v>
      </c>
      <c r="M47" s="196">
        <f t="shared" si="99"/>
        <v>8.921042540299684E-5</v>
      </c>
      <c r="N47" s="196">
        <f t="shared" si="74"/>
        <v>0</v>
      </c>
      <c r="O47" s="196">
        <f t="shared" si="75"/>
        <v>0</v>
      </c>
      <c r="P47" s="196">
        <f t="shared" si="76"/>
        <v>0</v>
      </c>
      <c r="Q47" s="196">
        <f t="shared" si="77"/>
        <v>0</v>
      </c>
      <c r="R47" s="196">
        <f t="shared" si="78"/>
        <v>0</v>
      </c>
      <c r="S47" s="196">
        <f t="shared" si="79"/>
        <v>0</v>
      </c>
      <c r="T47" s="196">
        <f t="shared" si="80"/>
        <v>0</v>
      </c>
      <c r="U47" s="185">
        <f>(C47&gt;0)*(C47&lt;$E$5)*VLOOKUP(MPP,ASUMSI!$BN$77:$CR$108,B47+1)*(1+$V$4)</f>
        <v>2.5350486138366879E-3</v>
      </c>
      <c r="V47" s="196">
        <f t="shared" si="8"/>
        <v>0</v>
      </c>
      <c r="W47" s="196">
        <f t="shared" si="68"/>
        <v>0.94301416586004705</v>
      </c>
      <c r="X47" s="196">
        <f t="shared" si="81"/>
        <v>8.4126694897427022E-5</v>
      </c>
      <c r="Y47" s="196">
        <f t="shared" si="82"/>
        <v>2.3905867539918729E-3</v>
      </c>
      <c r="Z47" s="196">
        <f t="shared" si="83"/>
        <v>0</v>
      </c>
      <c r="AA47" s="185">
        <f t="shared" si="28"/>
        <v>0.94053945241115777</v>
      </c>
      <c r="AB47" s="196">
        <f t="shared" si="84"/>
        <v>0</v>
      </c>
      <c r="AC47" s="196">
        <f t="shared" si="84"/>
        <v>0</v>
      </c>
      <c r="AD47" s="196">
        <f t="shared" si="84"/>
        <v>0</v>
      </c>
      <c r="AE47" s="196">
        <f t="shared" si="85"/>
        <v>0</v>
      </c>
      <c r="AF47" s="196">
        <f t="shared" si="86"/>
        <v>0</v>
      </c>
      <c r="AG47" s="196">
        <f t="shared" si="87"/>
        <v>0</v>
      </c>
      <c r="AH47" s="196">
        <f t="shared" si="88"/>
        <v>0</v>
      </c>
      <c r="AI47" s="266">
        <f>'DATA INPUT - DETAIL'!R38</f>
        <v>3625471.8515400002</v>
      </c>
      <c r="AJ47" s="266">
        <f>'DATA INPUT - DETAIL'!S38</f>
        <v>0</v>
      </c>
      <c r="AK47" s="266">
        <f>'DATA INPUT - DETAIL'!T38</f>
        <v>0</v>
      </c>
      <c r="AL47" s="266">
        <f>'DATA INPUT - DETAIL'!U38</f>
        <v>0</v>
      </c>
      <c r="AM47" s="266">
        <f>'DATA INPUT - DETAIL'!V38</f>
        <v>0</v>
      </c>
      <c r="AN47" s="266">
        <f>'DATA INPUT - DETAIL'!W38</f>
        <v>0</v>
      </c>
      <c r="AO47" s="198">
        <f t="shared" si="10"/>
        <v>0</v>
      </c>
      <c r="AP47" s="266">
        <f>'DATA INPUT - DETAIL'!X38</f>
        <v>0</v>
      </c>
      <c r="AQ47" s="266">
        <f>'DATA INPUT - DETAIL'!Y38</f>
        <v>0</v>
      </c>
      <c r="AR47" s="266">
        <f>'DATA INPUT - DETAIL'!Z38</f>
        <v>0</v>
      </c>
      <c r="AS47" s="266">
        <f>'DATA INPUT - DETAIL'!AD38</f>
        <v>0</v>
      </c>
      <c r="AT47" s="266">
        <f t="shared" si="33"/>
        <v>0</v>
      </c>
      <c r="AU47" s="206">
        <f>'DATA INPUT - DETAIL'!AA38</f>
        <v>4600</v>
      </c>
      <c r="AV47" s="206">
        <f>'DATA INPUT - DETAIL'!AB38</f>
        <v>0</v>
      </c>
      <c r="AW47" s="206">
        <f>'DATA INPUT - DETAIL'!AC38</f>
        <v>0</v>
      </c>
      <c r="AX47" s="206">
        <f t="shared" si="89"/>
        <v>304.99896431371542</v>
      </c>
      <c r="AY47" s="206">
        <f t="shared" si="34"/>
        <v>0</v>
      </c>
      <c r="AZ47" s="206">
        <f t="shared" si="90"/>
        <v>0</v>
      </c>
      <c r="BA47" s="206">
        <f t="shared" si="91"/>
        <v>0</v>
      </c>
      <c r="BB47" s="206">
        <f t="shared" si="92"/>
        <v>0</v>
      </c>
      <c r="BC47" s="206">
        <f t="shared" si="93"/>
        <v>0</v>
      </c>
      <c r="BD47" s="206">
        <f t="shared" si="94"/>
        <v>0</v>
      </c>
      <c r="BE47" s="206">
        <f t="shared" si="95"/>
        <v>0</v>
      </c>
      <c r="BF47" s="206">
        <f t="shared" si="96"/>
        <v>0</v>
      </c>
      <c r="BG47" s="206">
        <f t="shared" si="97"/>
        <v>10.996699068362615</v>
      </c>
      <c r="BH47" s="206">
        <f t="shared" si="98"/>
        <v>0</v>
      </c>
      <c r="BI47" s="206">
        <f t="shared" si="19"/>
        <v>0</v>
      </c>
      <c r="BJ47" s="266">
        <f t="shared" si="37"/>
        <v>304.99896431371542</v>
      </c>
      <c r="BK47" s="266">
        <f t="shared" si="38"/>
        <v>10.996699068362615</v>
      </c>
      <c r="BL47" s="192">
        <f t="shared" si="39"/>
        <v>0</v>
      </c>
      <c r="BM47" s="192">
        <f t="shared" si="40"/>
        <v>0</v>
      </c>
      <c r="BN47" s="192">
        <f t="shared" si="41"/>
        <v>0</v>
      </c>
      <c r="BO47" s="192">
        <f t="shared" si="42"/>
        <v>1016.3220598926031</v>
      </c>
      <c r="BP47" s="192">
        <f t="shared" si="43"/>
        <v>1016.3220598926031</v>
      </c>
      <c r="BQ47" s="193">
        <f t="shared" si="44"/>
        <v>1016.3220598926031</v>
      </c>
      <c r="BR47" s="193">
        <f t="shared" si="45"/>
        <v>0</v>
      </c>
      <c r="BS47" s="265">
        <f t="shared" si="46"/>
        <v>303.67237282397912</v>
      </c>
      <c r="BT47" s="265">
        <f t="shared" si="47"/>
        <v>10.948868980047049</v>
      </c>
      <c r="BU47" s="265">
        <f t="shared" si="48"/>
        <v>0</v>
      </c>
      <c r="BV47" s="265">
        <f t="shared" si="49"/>
        <v>0</v>
      </c>
      <c r="BW47" s="265">
        <f t="shared" si="50"/>
        <v>0</v>
      </c>
      <c r="BX47" s="265">
        <f t="shared" si="51"/>
        <v>2027.7292066351895</v>
      </c>
      <c r="BY47" s="265">
        <f t="shared" si="52"/>
        <v>2027.7292066351895</v>
      </c>
      <c r="BZ47" s="265">
        <f t="shared" si="53"/>
        <v>2027.7292066351895</v>
      </c>
      <c r="CA47" s="265">
        <f t="shared" si="54"/>
        <v>0</v>
      </c>
      <c r="CB47" s="269">
        <f t="shared" si="55"/>
        <v>2342.3504484392156</v>
      </c>
      <c r="CC47" s="266">
        <f t="shared" si="56"/>
        <v>2483.8974145239345</v>
      </c>
      <c r="CD47" s="241"/>
      <c r="CE47" s="198">
        <f t="shared" si="70"/>
        <v>2483.8974145240177</v>
      </c>
      <c r="CF47" s="198">
        <f t="shared" si="58"/>
        <v>0</v>
      </c>
      <c r="CG47" s="198">
        <f t="shared" si="59"/>
        <v>0</v>
      </c>
      <c r="CH47" s="198">
        <f t="shared" si="60"/>
        <v>-1077.7378502747069</v>
      </c>
      <c r="CI47" s="198">
        <f t="shared" si="61"/>
        <v>0</v>
      </c>
      <c r="CJ47" s="198">
        <f t="shared" si="62"/>
        <v>-323.42988616247402</v>
      </c>
      <c r="CK47" s="198">
        <f t="shared" si="63"/>
        <v>-11.661223623648764</v>
      </c>
      <c r="CL47" s="198">
        <f t="shared" si="64"/>
        <v>6.1428021712917147</v>
      </c>
      <c r="CM47" s="271">
        <f t="shared" si="65"/>
        <v>2.8343193656087116</v>
      </c>
      <c r="CN47" s="198">
        <f t="shared" si="66"/>
        <v>1080.0455760000884</v>
      </c>
      <c r="CO47" s="209">
        <f t="shared" si="71"/>
        <v>8.3218765212222934E-11</v>
      </c>
    </row>
    <row r="48" spans="2:93" x14ac:dyDescent="0.2">
      <c r="B48" s="221">
        <f>'DATA INPUT - DETAIL'!D39</f>
        <v>3</v>
      </c>
      <c r="C48" s="211">
        <f>'DATA INPUT - DETAIL'!E39</f>
        <v>36</v>
      </c>
      <c r="D48" s="257">
        <f>'DATA INPUT - DETAIL'!I39</f>
        <v>0</v>
      </c>
      <c r="E48" s="258">
        <f>'DATA INPUT - DETAIL'!K39</f>
        <v>0</v>
      </c>
      <c r="F48" s="258">
        <f>'DATA INPUT - DETAIL'!L39</f>
        <v>0</v>
      </c>
      <c r="G48" s="179">
        <f>'DATA INPUT - DETAIL'!M39*(1+$V$5)</f>
        <v>0</v>
      </c>
      <c r="H48" s="179">
        <f>'DATA INPUT - DETAIL'!N39*(1+$V$5)</f>
        <v>1000</v>
      </c>
      <c r="I48" s="258">
        <f t="shared" si="72"/>
        <v>1080.045576000005</v>
      </c>
      <c r="J48" s="258">
        <f>'DATA INPUT - DETAIL'!O39</f>
        <v>0</v>
      </c>
      <c r="K48" s="258">
        <f>'DATA INPUT - DETAIL'!P39</f>
        <v>0</v>
      </c>
      <c r="L48" s="267">
        <f>ROUNDDOWN('DATA INPUT - DETAIL'!G39,0)</f>
        <v>35</v>
      </c>
      <c r="M48" s="196">
        <f t="shared" si="99"/>
        <v>0</v>
      </c>
      <c r="N48" s="196">
        <f t="shared" si="74"/>
        <v>0</v>
      </c>
      <c r="O48" s="196">
        <f t="shared" si="75"/>
        <v>0</v>
      </c>
      <c r="P48" s="196">
        <f t="shared" si="76"/>
        <v>0</v>
      </c>
      <c r="Q48" s="196">
        <f t="shared" si="77"/>
        <v>0</v>
      </c>
      <c r="R48" s="196">
        <f t="shared" si="78"/>
        <v>0</v>
      </c>
      <c r="S48" s="196">
        <f t="shared" si="79"/>
        <v>0</v>
      </c>
      <c r="T48" s="196">
        <f t="shared" si="80"/>
        <v>0</v>
      </c>
      <c r="U48" s="185">
        <f>(C48&gt;0)*(C48&lt;$E$5)*VLOOKUP(MPP,ASUMSI!$BN$77:$CR$108,B48+1)*(1+$V$4)</f>
        <v>0</v>
      </c>
      <c r="V48" s="196">
        <f t="shared" si="8"/>
        <v>1</v>
      </c>
      <c r="W48" s="196">
        <f t="shared" si="68"/>
        <v>0.94053945241115777</v>
      </c>
      <c r="X48" s="196">
        <f t="shared" si="81"/>
        <v>0</v>
      </c>
      <c r="Y48" s="196">
        <f t="shared" si="82"/>
        <v>0</v>
      </c>
      <c r="Z48" s="196">
        <f t="shared" si="83"/>
        <v>0.94053945241115777</v>
      </c>
      <c r="AA48" s="185">
        <f t="shared" si="28"/>
        <v>0</v>
      </c>
      <c r="AB48" s="196">
        <f t="shared" si="84"/>
        <v>0</v>
      </c>
      <c r="AC48" s="196">
        <f t="shared" si="84"/>
        <v>0</v>
      </c>
      <c r="AD48" s="196">
        <f t="shared" si="84"/>
        <v>0</v>
      </c>
      <c r="AE48" s="196">
        <f t="shared" si="85"/>
        <v>0</v>
      </c>
      <c r="AF48" s="196">
        <f t="shared" si="86"/>
        <v>0</v>
      </c>
      <c r="AG48" s="196">
        <f t="shared" si="87"/>
        <v>0</v>
      </c>
      <c r="AH48" s="196">
        <f t="shared" si="88"/>
        <v>0</v>
      </c>
      <c r="AI48" s="266">
        <f>'DATA INPUT - DETAIL'!R39</f>
        <v>1827717.21441</v>
      </c>
      <c r="AJ48" s="266">
        <f>'DATA INPUT - DETAIL'!S39</f>
        <v>0</v>
      </c>
      <c r="AK48" s="266">
        <f>'DATA INPUT - DETAIL'!T39</f>
        <v>0</v>
      </c>
      <c r="AL48" s="266">
        <f>'DATA INPUT - DETAIL'!U39</f>
        <v>0</v>
      </c>
      <c r="AM48" s="266">
        <f>'DATA INPUT - DETAIL'!V39</f>
        <v>0</v>
      </c>
      <c r="AN48" s="266">
        <f>'DATA INPUT - DETAIL'!W39</f>
        <v>0</v>
      </c>
      <c r="AO48" s="198">
        <f t="shared" si="10"/>
        <v>0</v>
      </c>
      <c r="AP48" s="266">
        <f>'DATA INPUT - DETAIL'!X39</f>
        <v>0</v>
      </c>
      <c r="AQ48" s="266">
        <f>'DATA INPUT - DETAIL'!Y39</f>
        <v>0</v>
      </c>
      <c r="AR48" s="266">
        <f>'DATA INPUT - DETAIL'!Z39</f>
        <v>0</v>
      </c>
      <c r="AS48" s="266">
        <f>'DATA INPUT - DETAIL'!AD39</f>
        <v>0</v>
      </c>
      <c r="AT48" s="266">
        <f t="shared" si="33"/>
        <v>0</v>
      </c>
      <c r="AU48" s="206">
        <f>'DATA INPUT - DETAIL'!AA39</f>
        <v>0</v>
      </c>
      <c r="AV48" s="206">
        <f>'DATA INPUT - DETAIL'!AB39</f>
        <v>0</v>
      </c>
      <c r="AW48" s="206">
        <f>'DATA INPUT - DETAIL'!AC39</f>
        <v>0</v>
      </c>
      <c r="AX48" s="206">
        <f t="shared" si="89"/>
        <v>0</v>
      </c>
      <c r="AY48" s="206">
        <f t="shared" si="34"/>
        <v>0</v>
      </c>
      <c r="AZ48" s="206">
        <f t="shared" si="90"/>
        <v>0</v>
      </c>
      <c r="BA48" s="206">
        <f t="shared" si="91"/>
        <v>0</v>
      </c>
      <c r="BB48" s="206">
        <f t="shared" si="92"/>
        <v>0</v>
      </c>
      <c r="BC48" s="206">
        <f t="shared" si="93"/>
        <v>0</v>
      </c>
      <c r="BD48" s="206">
        <f t="shared" si="94"/>
        <v>0</v>
      </c>
      <c r="BE48" s="206">
        <f t="shared" si="95"/>
        <v>0</v>
      </c>
      <c r="BF48" s="206">
        <f t="shared" si="96"/>
        <v>0</v>
      </c>
      <c r="BG48" s="206">
        <f t="shared" si="97"/>
        <v>0</v>
      </c>
      <c r="BH48" s="206">
        <f t="shared" si="98"/>
        <v>0</v>
      </c>
      <c r="BI48" s="206">
        <f t="shared" si="19"/>
        <v>0</v>
      </c>
      <c r="BJ48" s="266">
        <f t="shared" si="37"/>
        <v>0</v>
      </c>
      <c r="BK48" s="266">
        <f t="shared" si="38"/>
        <v>0</v>
      </c>
      <c r="BL48" s="192">
        <f t="shared" si="39"/>
        <v>0</v>
      </c>
      <c r="BM48" s="192">
        <f t="shared" si="40"/>
        <v>0</v>
      </c>
      <c r="BN48" s="192">
        <f t="shared" si="41"/>
        <v>0</v>
      </c>
      <c r="BO48" s="192">
        <f t="shared" si="42"/>
        <v>1015.8254746301382</v>
      </c>
      <c r="BP48" s="192">
        <f t="shared" si="43"/>
        <v>1015.8254746301382</v>
      </c>
      <c r="BQ48" s="193">
        <f t="shared" si="44"/>
        <v>1015.8254746301382</v>
      </c>
      <c r="BR48" s="193">
        <f t="shared" si="45"/>
        <v>0</v>
      </c>
      <c r="BS48" s="265">
        <f t="shared" si="46"/>
        <v>0</v>
      </c>
      <c r="BT48" s="265">
        <f t="shared" si="47"/>
        <v>0</v>
      </c>
      <c r="BU48" s="265">
        <f t="shared" si="48"/>
        <v>0</v>
      </c>
      <c r="BV48" s="265">
        <f t="shared" si="49"/>
        <v>0</v>
      </c>
      <c r="BW48" s="265">
        <f t="shared" si="50"/>
        <v>0</v>
      </c>
      <c r="BX48" s="265">
        <f t="shared" si="51"/>
        <v>1015.8254746301382</v>
      </c>
      <c r="BY48" s="265">
        <f t="shared" si="52"/>
        <v>1015.8254746301382</v>
      </c>
      <c r="BZ48" s="265">
        <f t="shared" si="53"/>
        <v>1015.8254746301382</v>
      </c>
      <c r="CA48" s="265">
        <f t="shared" si="54"/>
        <v>0</v>
      </c>
      <c r="CB48" s="269">
        <f t="shared" si="55"/>
        <v>1015.8254746301382</v>
      </c>
      <c r="CC48" s="266">
        <f t="shared" si="56"/>
        <v>1080.045576000005</v>
      </c>
      <c r="CD48" s="241"/>
      <c r="CE48" s="198">
        <f t="shared" si="70"/>
        <v>1080.0455760000884</v>
      </c>
      <c r="CF48" s="198">
        <f t="shared" si="58"/>
        <v>0</v>
      </c>
      <c r="CG48" s="198">
        <f t="shared" si="59"/>
        <v>0</v>
      </c>
      <c r="CH48" s="198">
        <f t="shared" si="60"/>
        <v>-1080.045576000005</v>
      </c>
      <c r="CI48" s="198">
        <f t="shared" si="61"/>
        <v>0</v>
      </c>
      <c r="CJ48" s="198">
        <f t="shared" si="62"/>
        <v>0</v>
      </c>
      <c r="CK48" s="198">
        <f t="shared" si="63"/>
        <v>0</v>
      </c>
      <c r="CL48" s="198">
        <f t="shared" si="64"/>
        <v>3.6453410848769325E-13</v>
      </c>
      <c r="CM48" s="271">
        <f t="shared" si="65"/>
        <v>0</v>
      </c>
      <c r="CN48" s="198">
        <f t="shared" si="66"/>
        <v>8.3810672996153856E-11</v>
      </c>
      <c r="CO48" s="209">
        <f t="shared" si="71"/>
        <v>8.3446138887666166E-11</v>
      </c>
    </row>
    <row r="49" spans="2:93" x14ac:dyDescent="0.2">
      <c r="B49" s="221">
        <f>'DATA INPUT - DETAIL'!D40</f>
        <v>0</v>
      </c>
      <c r="C49" s="211">
        <f>'DATA INPUT - DETAIL'!E40</f>
        <v>0</v>
      </c>
      <c r="D49" s="257">
        <f>'DATA INPUT - DETAIL'!I40</f>
        <v>0</v>
      </c>
      <c r="E49" s="258">
        <f>'DATA INPUT - DETAIL'!K40</f>
        <v>0</v>
      </c>
      <c r="F49" s="258">
        <f>'DATA INPUT - DETAIL'!L40</f>
        <v>0</v>
      </c>
      <c r="G49" s="179">
        <f>'DATA INPUT - DETAIL'!M40*(1+$V$5)</f>
        <v>0</v>
      </c>
      <c r="H49" s="179">
        <f>'DATA INPUT - DETAIL'!N40*(1+$V$5)</f>
        <v>0</v>
      </c>
      <c r="I49" s="258">
        <f t="shared" si="72"/>
        <v>0</v>
      </c>
      <c r="J49" s="258">
        <f>'DATA INPUT - DETAIL'!O40</f>
        <v>0</v>
      </c>
      <c r="K49" s="258">
        <f>'DATA INPUT - DETAIL'!P40</f>
        <v>0</v>
      </c>
      <c r="L49" s="267">
        <f>ROUNDDOWN('DATA INPUT - DETAIL'!G40,0)</f>
        <v>0</v>
      </c>
      <c r="M49" s="196">
        <f t="shared" si="99"/>
        <v>0</v>
      </c>
      <c r="N49" s="196">
        <f t="shared" si="74"/>
        <v>0</v>
      </c>
      <c r="O49" s="196">
        <f t="shared" si="75"/>
        <v>0</v>
      </c>
      <c r="P49" s="196">
        <f t="shared" si="76"/>
        <v>0</v>
      </c>
      <c r="Q49" s="196">
        <f t="shared" si="77"/>
        <v>0</v>
      </c>
      <c r="R49" s="196">
        <f t="shared" si="78"/>
        <v>0</v>
      </c>
      <c r="S49" s="196">
        <f t="shared" si="79"/>
        <v>0</v>
      </c>
      <c r="T49" s="196">
        <f t="shared" si="80"/>
        <v>0</v>
      </c>
      <c r="U49" s="185">
        <f>(C49&gt;0)*(C49&lt;$E$5)*VLOOKUP(MPP,ASUMSI!$BN$77:$CR$108,B49+1)*(1+$V$4)</f>
        <v>0</v>
      </c>
      <c r="V49" s="196">
        <f t="shared" si="8"/>
        <v>0</v>
      </c>
      <c r="W49" s="196">
        <f t="shared" si="68"/>
        <v>0</v>
      </c>
      <c r="X49" s="196">
        <f t="shared" si="81"/>
        <v>0</v>
      </c>
      <c r="Y49" s="196">
        <f t="shared" si="82"/>
        <v>0</v>
      </c>
      <c r="Z49" s="196">
        <f t="shared" si="83"/>
        <v>0</v>
      </c>
      <c r="AA49" s="185">
        <f t="shared" si="28"/>
        <v>0</v>
      </c>
      <c r="AB49" s="196">
        <f t="shared" si="84"/>
        <v>0</v>
      </c>
      <c r="AC49" s="196">
        <f t="shared" si="84"/>
        <v>0</v>
      </c>
      <c r="AD49" s="196">
        <f t="shared" si="84"/>
        <v>0</v>
      </c>
      <c r="AE49" s="196">
        <f t="shared" si="85"/>
        <v>0</v>
      </c>
      <c r="AF49" s="196">
        <f t="shared" si="86"/>
        <v>0</v>
      </c>
      <c r="AG49" s="196">
        <f t="shared" si="87"/>
        <v>0</v>
      </c>
      <c r="AH49" s="196">
        <f t="shared" si="88"/>
        <v>0</v>
      </c>
      <c r="AI49" s="266">
        <f>'DATA INPUT - DETAIL'!R40</f>
        <v>0</v>
      </c>
      <c r="AJ49" s="266">
        <f>'DATA INPUT - DETAIL'!S40</f>
        <v>0</v>
      </c>
      <c r="AK49" s="266">
        <f>'DATA INPUT - DETAIL'!T40</f>
        <v>0</v>
      </c>
      <c r="AL49" s="266">
        <f>'DATA INPUT - DETAIL'!U40</f>
        <v>0</v>
      </c>
      <c r="AM49" s="266">
        <f>'DATA INPUT - DETAIL'!V40</f>
        <v>0</v>
      </c>
      <c r="AN49" s="266">
        <f>'DATA INPUT - DETAIL'!W40</f>
        <v>0</v>
      </c>
      <c r="AO49" s="198">
        <f t="shared" si="10"/>
        <v>0</v>
      </c>
      <c r="AP49" s="266">
        <f>'DATA INPUT - DETAIL'!X40</f>
        <v>0</v>
      </c>
      <c r="AQ49" s="266">
        <f>'DATA INPUT - DETAIL'!Y40</f>
        <v>0</v>
      </c>
      <c r="AR49" s="266">
        <f>'DATA INPUT - DETAIL'!Z40</f>
        <v>0</v>
      </c>
      <c r="AS49" s="266">
        <f>'DATA INPUT - DETAIL'!AD40</f>
        <v>0</v>
      </c>
      <c r="AT49" s="266">
        <f t="shared" si="33"/>
        <v>0</v>
      </c>
      <c r="AU49" s="206">
        <f>'DATA INPUT - DETAIL'!AA40</f>
        <v>0</v>
      </c>
      <c r="AV49" s="206">
        <f>'DATA INPUT - DETAIL'!AB40</f>
        <v>0</v>
      </c>
      <c r="AW49" s="206">
        <f>'DATA INPUT - DETAIL'!AC40</f>
        <v>0</v>
      </c>
      <c r="AX49" s="206">
        <f t="shared" si="89"/>
        <v>0</v>
      </c>
      <c r="AY49" s="206">
        <f t="shared" si="34"/>
        <v>0</v>
      </c>
      <c r="AZ49" s="206">
        <f t="shared" si="90"/>
        <v>0</v>
      </c>
      <c r="BA49" s="206">
        <f t="shared" si="91"/>
        <v>0</v>
      </c>
      <c r="BB49" s="206">
        <f t="shared" si="92"/>
        <v>0</v>
      </c>
      <c r="BC49" s="206">
        <f t="shared" si="93"/>
        <v>0</v>
      </c>
      <c r="BD49" s="206">
        <f t="shared" si="94"/>
        <v>0</v>
      </c>
      <c r="BE49" s="206">
        <f t="shared" si="95"/>
        <v>0</v>
      </c>
      <c r="BF49" s="206">
        <f t="shared" si="96"/>
        <v>0</v>
      </c>
      <c r="BG49" s="206">
        <f t="shared" si="97"/>
        <v>0</v>
      </c>
      <c r="BH49" s="206">
        <f t="shared" si="98"/>
        <v>0</v>
      </c>
      <c r="BI49" s="206">
        <f t="shared" si="19"/>
        <v>0</v>
      </c>
      <c r="BJ49" s="266">
        <f t="shared" si="37"/>
        <v>0</v>
      </c>
      <c r="BK49" s="266">
        <f t="shared" si="38"/>
        <v>0</v>
      </c>
      <c r="BL49" s="192">
        <f t="shared" si="39"/>
        <v>0</v>
      </c>
      <c r="BM49" s="192">
        <f t="shared" si="40"/>
        <v>0</v>
      </c>
      <c r="BN49" s="192">
        <f t="shared" si="41"/>
        <v>0</v>
      </c>
      <c r="BO49" s="192">
        <f t="shared" si="42"/>
        <v>0</v>
      </c>
      <c r="BP49" s="192">
        <f t="shared" si="43"/>
        <v>0</v>
      </c>
      <c r="BQ49" s="193">
        <f t="shared" si="44"/>
        <v>0</v>
      </c>
      <c r="BR49" s="193">
        <f t="shared" si="45"/>
        <v>0</v>
      </c>
      <c r="BS49" s="265">
        <f t="shared" si="46"/>
        <v>0</v>
      </c>
      <c r="BT49" s="265">
        <f t="shared" si="47"/>
        <v>0</v>
      </c>
      <c r="BU49" s="265">
        <f t="shared" si="48"/>
        <v>0</v>
      </c>
      <c r="BV49" s="265">
        <f t="shared" si="49"/>
        <v>0</v>
      </c>
      <c r="BW49" s="265">
        <f t="shared" si="50"/>
        <v>0</v>
      </c>
      <c r="BX49" s="265">
        <f t="shared" si="51"/>
        <v>0</v>
      </c>
      <c r="BY49" s="265">
        <f t="shared" si="52"/>
        <v>0</v>
      </c>
      <c r="BZ49" s="265">
        <f t="shared" si="53"/>
        <v>0</v>
      </c>
      <c r="CA49" s="265">
        <f t="shared" si="54"/>
        <v>0</v>
      </c>
      <c r="CB49" s="269">
        <f t="shared" si="55"/>
        <v>0</v>
      </c>
      <c r="CC49" s="266">
        <f t="shared" si="56"/>
        <v>0</v>
      </c>
      <c r="CD49" s="241"/>
      <c r="CE49" s="198">
        <f t="shared" si="70"/>
        <v>8.3810672996153856E-11</v>
      </c>
      <c r="CF49" s="198">
        <f t="shared" si="58"/>
        <v>0</v>
      </c>
      <c r="CG49" s="198">
        <f t="shared" si="59"/>
        <v>0</v>
      </c>
      <c r="CH49" s="198">
        <f t="shared" si="60"/>
        <v>0</v>
      </c>
      <c r="CI49" s="198">
        <f t="shared" si="61"/>
        <v>0</v>
      </c>
      <c r="CJ49" s="198">
        <f t="shared" si="62"/>
        <v>0</v>
      </c>
      <c r="CK49" s="198">
        <f t="shared" si="63"/>
        <v>0</v>
      </c>
      <c r="CL49" s="198">
        <f t="shared" si="64"/>
        <v>3.6612657421495483E-13</v>
      </c>
      <c r="CM49" s="271">
        <f t="shared" si="65"/>
        <v>0</v>
      </c>
      <c r="CN49" s="198">
        <f t="shared" si="66"/>
        <v>8.4176799570368815E-11</v>
      </c>
      <c r="CO49" s="209">
        <f t="shared" si="71"/>
        <v>8.3810672996153856E-11</v>
      </c>
    </row>
    <row r="50" spans="2:93" x14ac:dyDescent="0.2">
      <c r="B50" s="221">
        <f>'DATA INPUT - DETAIL'!D41</f>
        <v>0</v>
      </c>
      <c r="C50" s="211">
        <f>'DATA INPUT - DETAIL'!E41</f>
        <v>0</v>
      </c>
      <c r="D50" s="257">
        <f>'DATA INPUT - DETAIL'!I41</f>
        <v>0</v>
      </c>
      <c r="E50" s="258">
        <f>'DATA INPUT - DETAIL'!K41</f>
        <v>0</v>
      </c>
      <c r="F50" s="258">
        <f>'DATA INPUT - DETAIL'!L41</f>
        <v>0</v>
      </c>
      <c r="G50" s="179">
        <f>'DATA INPUT - DETAIL'!M41*(1+$V$5)</f>
        <v>0</v>
      </c>
      <c r="H50" s="179">
        <f>'DATA INPUT - DETAIL'!N41*(1+$V$5)</f>
        <v>0</v>
      </c>
      <c r="I50" s="258">
        <f t="shared" si="72"/>
        <v>0</v>
      </c>
      <c r="J50" s="258">
        <f>'DATA INPUT - DETAIL'!O41</f>
        <v>0</v>
      </c>
      <c r="K50" s="258">
        <f>'DATA INPUT - DETAIL'!P41</f>
        <v>0</v>
      </c>
      <c r="L50" s="267">
        <f>ROUNDDOWN('DATA INPUT - DETAIL'!G41,0)</f>
        <v>0</v>
      </c>
      <c r="M50" s="196">
        <f t="shared" si="99"/>
        <v>0</v>
      </c>
      <c r="N50" s="196">
        <f t="shared" si="74"/>
        <v>0</v>
      </c>
      <c r="O50" s="196">
        <f t="shared" si="75"/>
        <v>0</v>
      </c>
      <c r="P50" s="196">
        <f t="shared" si="76"/>
        <v>0</v>
      </c>
      <c r="Q50" s="196">
        <f t="shared" si="77"/>
        <v>0</v>
      </c>
      <c r="R50" s="196">
        <f t="shared" si="78"/>
        <v>0</v>
      </c>
      <c r="S50" s="196">
        <f t="shared" si="79"/>
        <v>0</v>
      </c>
      <c r="T50" s="196">
        <f t="shared" si="80"/>
        <v>0</v>
      </c>
      <c r="U50" s="185">
        <f>(C50&gt;0)*(C50&lt;$E$5)*VLOOKUP(MPP,ASUMSI!$BN$77:$CR$108,B50+1)*(1+$V$4)</f>
        <v>0</v>
      </c>
      <c r="V50" s="196">
        <f t="shared" si="8"/>
        <v>0</v>
      </c>
      <c r="W50" s="196">
        <f t="shared" si="68"/>
        <v>0</v>
      </c>
      <c r="X50" s="196">
        <f t="shared" si="81"/>
        <v>0</v>
      </c>
      <c r="Y50" s="196">
        <f t="shared" si="82"/>
        <v>0</v>
      </c>
      <c r="Z50" s="196">
        <f t="shared" si="83"/>
        <v>0</v>
      </c>
      <c r="AA50" s="185">
        <f t="shared" si="28"/>
        <v>0</v>
      </c>
      <c r="AB50" s="196">
        <f t="shared" si="84"/>
        <v>0</v>
      </c>
      <c r="AC50" s="196">
        <f t="shared" si="84"/>
        <v>0</v>
      </c>
      <c r="AD50" s="196">
        <f t="shared" si="84"/>
        <v>0</v>
      </c>
      <c r="AE50" s="196">
        <f t="shared" si="85"/>
        <v>0</v>
      </c>
      <c r="AF50" s="196">
        <f t="shared" si="86"/>
        <v>0</v>
      </c>
      <c r="AG50" s="196">
        <f t="shared" si="87"/>
        <v>0</v>
      </c>
      <c r="AH50" s="196">
        <f t="shared" si="88"/>
        <v>0</v>
      </c>
      <c r="AI50" s="266">
        <f>'DATA INPUT - DETAIL'!R41</f>
        <v>0</v>
      </c>
      <c r="AJ50" s="266">
        <f>'DATA INPUT - DETAIL'!S41</f>
        <v>0</v>
      </c>
      <c r="AK50" s="266">
        <f>'DATA INPUT - DETAIL'!T41</f>
        <v>0</v>
      </c>
      <c r="AL50" s="266">
        <f>'DATA INPUT - DETAIL'!U41</f>
        <v>0</v>
      </c>
      <c r="AM50" s="266">
        <f>'DATA INPUT - DETAIL'!V41</f>
        <v>0</v>
      </c>
      <c r="AN50" s="266">
        <f>'DATA INPUT - DETAIL'!W41</f>
        <v>0</v>
      </c>
      <c r="AO50" s="198">
        <f t="shared" si="10"/>
        <v>0</v>
      </c>
      <c r="AP50" s="266">
        <f>'DATA INPUT - DETAIL'!X41</f>
        <v>0</v>
      </c>
      <c r="AQ50" s="266">
        <f>'DATA INPUT - DETAIL'!Y41</f>
        <v>0</v>
      </c>
      <c r="AR50" s="266">
        <f>'DATA INPUT - DETAIL'!Z41</f>
        <v>0</v>
      </c>
      <c r="AS50" s="266">
        <f>'DATA INPUT - DETAIL'!AD41</f>
        <v>0</v>
      </c>
      <c r="AT50" s="266">
        <f t="shared" si="33"/>
        <v>0</v>
      </c>
      <c r="AU50" s="206">
        <f>'DATA INPUT - DETAIL'!AA41</f>
        <v>0</v>
      </c>
      <c r="AV50" s="206">
        <f>'DATA INPUT - DETAIL'!AB41</f>
        <v>0</v>
      </c>
      <c r="AW50" s="206">
        <f>'DATA INPUT - DETAIL'!AC41</f>
        <v>0</v>
      </c>
      <c r="AX50" s="206">
        <f t="shared" si="89"/>
        <v>0</v>
      </c>
      <c r="AY50" s="206">
        <f t="shared" si="34"/>
        <v>0</v>
      </c>
      <c r="AZ50" s="206">
        <f t="shared" si="90"/>
        <v>0</v>
      </c>
      <c r="BA50" s="206">
        <f t="shared" si="91"/>
        <v>0</v>
      </c>
      <c r="BB50" s="206">
        <f t="shared" si="92"/>
        <v>0</v>
      </c>
      <c r="BC50" s="206">
        <f t="shared" si="93"/>
        <v>0</v>
      </c>
      <c r="BD50" s="206">
        <f t="shared" si="94"/>
        <v>0</v>
      </c>
      <c r="BE50" s="206">
        <f t="shared" si="95"/>
        <v>0</v>
      </c>
      <c r="BF50" s="206">
        <f t="shared" si="96"/>
        <v>0</v>
      </c>
      <c r="BG50" s="206">
        <f t="shared" si="97"/>
        <v>0</v>
      </c>
      <c r="BH50" s="206">
        <f t="shared" si="98"/>
        <v>0</v>
      </c>
      <c r="BI50" s="206">
        <f t="shared" si="19"/>
        <v>0</v>
      </c>
      <c r="BJ50" s="266">
        <f t="shared" si="37"/>
        <v>0</v>
      </c>
      <c r="BK50" s="266">
        <f t="shared" si="38"/>
        <v>0</v>
      </c>
      <c r="BL50" s="192">
        <f t="shared" si="39"/>
        <v>0</v>
      </c>
      <c r="BM50" s="192">
        <f t="shared" si="40"/>
        <v>0</v>
      </c>
      <c r="BN50" s="192">
        <f t="shared" si="41"/>
        <v>0</v>
      </c>
      <c r="BO50" s="192">
        <f t="shared" si="42"/>
        <v>0</v>
      </c>
      <c r="BP50" s="192">
        <f t="shared" si="43"/>
        <v>0</v>
      </c>
      <c r="BQ50" s="193">
        <f t="shared" si="44"/>
        <v>0</v>
      </c>
      <c r="BR50" s="193">
        <f t="shared" si="45"/>
        <v>0</v>
      </c>
      <c r="BS50" s="265">
        <f t="shared" si="46"/>
        <v>0</v>
      </c>
      <c r="BT50" s="265">
        <f t="shared" si="47"/>
        <v>0</v>
      </c>
      <c r="BU50" s="265">
        <f t="shared" si="48"/>
        <v>0</v>
      </c>
      <c r="BV50" s="265">
        <f t="shared" si="49"/>
        <v>0</v>
      </c>
      <c r="BW50" s="265">
        <f t="shared" si="50"/>
        <v>0</v>
      </c>
      <c r="BX50" s="265">
        <f t="shared" si="51"/>
        <v>0</v>
      </c>
      <c r="BY50" s="265">
        <f t="shared" si="52"/>
        <v>0</v>
      </c>
      <c r="BZ50" s="265">
        <f t="shared" si="53"/>
        <v>0</v>
      </c>
      <c r="CA50" s="265">
        <f t="shared" si="54"/>
        <v>0</v>
      </c>
      <c r="CB50" s="269">
        <f t="shared" si="55"/>
        <v>0</v>
      </c>
      <c r="CC50" s="266">
        <f t="shared" si="56"/>
        <v>0</v>
      </c>
      <c r="CD50" s="241"/>
      <c r="CE50" s="198">
        <f t="shared" si="70"/>
        <v>8.4176799570368815E-11</v>
      </c>
      <c r="CF50" s="198">
        <f t="shared" si="58"/>
        <v>0</v>
      </c>
      <c r="CG50" s="198">
        <f t="shared" si="59"/>
        <v>0</v>
      </c>
      <c r="CH50" s="198">
        <f t="shared" si="60"/>
        <v>0</v>
      </c>
      <c r="CI50" s="198">
        <f t="shared" si="61"/>
        <v>0</v>
      </c>
      <c r="CJ50" s="198">
        <f t="shared" si="62"/>
        <v>0</v>
      </c>
      <c r="CK50" s="198">
        <f t="shared" si="63"/>
        <v>0</v>
      </c>
      <c r="CL50" s="198">
        <f t="shared" si="64"/>
        <v>3.6772599662208105E-13</v>
      </c>
      <c r="CM50" s="271">
        <f t="shared" si="65"/>
        <v>0</v>
      </c>
      <c r="CN50" s="198">
        <f t="shared" si="66"/>
        <v>8.4544525566990894E-11</v>
      </c>
      <c r="CO50" s="209">
        <f t="shared" si="71"/>
        <v>8.4176799570368815E-11</v>
      </c>
    </row>
    <row r="51" spans="2:93" x14ac:dyDescent="0.2">
      <c r="B51" s="221">
        <f>'DATA INPUT - DETAIL'!D42</f>
        <v>0</v>
      </c>
      <c r="C51" s="211">
        <f>'DATA INPUT - DETAIL'!E42</f>
        <v>0</v>
      </c>
      <c r="D51" s="257">
        <f>'DATA INPUT - DETAIL'!I42</f>
        <v>0</v>
      </c>
      <c r="E51" s="258">
        <f>'DATA INPUT - DETAIL'!K42</f>
        <v>0</v>
      </c>
      <c r="F51" s="258">
        <f>'DATA INPUT - DETAIL'!L42</f>
        <v>0</v>
      </c>
      <c r="G51" s="179">
        <f>'DATA INPUT - DETAIL'!M42*(1+$V$5)</f>
        <v>0</v>
      </c>
      <c r="H51" s="179">
        <f>'DATA INPUT - DETAIL'!N42*(1+$V$5)</f>
        <v>0</v>
      </c>
      <c r="I51" s="258">
        <f t="shared" si="72"/>
        <v>0</v>
      </c>
      <c r="J51" s="258">
        <f>'DATA INPUT - DETAIL'!O42</f>
        <v>0</v>
      </c>
      <c r="K51" s="258">
        <f>'DATA INPUT - DETAIL'!P42</f>
        <v>0</v>
      </c>
      <c r="L51" s="267">
        <f>ROUNDDOWN('DATA INPUT - DETAIL'!G42,0)</f>
        <v>0</v>
      </c>
      <c r="M51" s="196">
        <f t="shared" si="99"/>
        <v>0</v>
      </c>
      <c r="N51" s="196">
        <f t="shared" si="74"/>
        <v>0</v>
      </c>
      <c r="O51" s="196">
        <f t="shared" si="75"/>
        <v>0</v>
      </c>
      <c r="P51" s="196">
        <f t="shared" si="76"/>
        <v>0</v>
      </c>
      <c r="Q51" s="196">
        <f t="shared" si="77"/>
        <v>0</v>
      </c>
      <c r="R51" s="196">
        <f t="shared" si="78"/>
        <v>0</v>
      </c>
      <c r="S51" s="196">
        <f t="shared" si="79"/>
        <v>0</v>
      </c>
      <c r="T51" s="196">
        <f t="shared" si="80"/>
        <v>0</v>
      </c>
      <c r="U51" s="185">
        <f>(C51&gt;0)*(C51&lt;$E$5)*VLOOKUP(MPP,ASUMSI!$BN$77:$CR$108,B51+1)*(1+$V$4)</f>
        <v>0</v>
      </c>
      <c r="V51" s="196">
        <f t="shared" si="8"/>
        <v>0</v>
      </c>
      <c r="W51" s="196">
        <f t="shared" si="68"/>
        <v>0</v>
      </c>
      <c r="X51" s="196">
        <f t="shared" si="81"/>
        <v>0</v>
      </c>
      <c r="Y51" s="196">
        <f t="shared" si="82"/>
        <v>0</v>
      </c>
      <c r="Z51" s="196">
        <f t="shared" si="83"/>
        <v>0</v>
      </c>
      <c r="AA51" s="185">
        <f t="shared" si="28"/>
        <v>0</v>
      </c>
      <c r="AB51" s="196">
        <f t="shared" si="84"/>
        <v>0</v>
      </c>
      <c r="AC51" s="196">
        <f t="shared" si="84"/>
        <v>0</v>
      </c>
      <c r="AD51" s="196">
        <f t="shared" si="84"/>
        <v>0</v>
      </c>
      <c r="AE51" s="196">
        <f t="shared" si="85"/>
        <v>0</v>
      </c>
      <c r="AF51" s="196">
        <f t="shared" si="86"/>
        <v>0</v>
      </c>
      <c r="AG51" s="196">
        <f t="shared" si="87"/>
        <v>0</v>
      </c>
      <c r="AH51" s="196">
        <f t="shared" si="88"/>
        <v>0</v>
      </c>
      <c r="AI51" s="266">
        <f>'DATA INPUT - DETAIL'!R42</f>
        <v>0</v>
      </c>
      <c r="AJ51" s="266">
        <f>'DATA INPUT - DETAIL'!S42</f>
        <v>0</v>
      </c>
      <c r="AK51" s="266">
        <f>'DATA INPUT - DETAIL'!T42</f>
        <v>0</v>
      </c>
      <c r="AL51" s="266">
        <f>'DATA INPUT - DETAIL'!U42</f>
        <v>0</v>
      </c>
      <c r="AM51" s="266">
        <f>'DATA INPUT - DETAIL'!V42</f>
        <v>0</v>
      </c>
      <c r="AN51" s="266">
        <f>'DATA INPUT - DETAIL'!W42</f>
        <v>0</v>
      </c>
      <c r="AO51" s="198">
        <f t="shared" si="10"/>
        <v>0</v>
      </c>
      <c r="AP51" s="266">
        <f>'DATA INPUT - DETAIL'!X42</f>
        <v>0</v>
      </c>
      <c r="AQ51" s="266">
        <f>'DATA INPUT - DETAIL'!Y42</f>
        <v>0</v>
      </c>
      <c r="AR51" s="266">
        <f>'DATA INPUT - DETAIL'!Z42</f>
        <v>0</v>
      </c>
      <c r="AS51" s="266">
        <f>'DATA INPUT - DETAIL'!AD42</f>
        <v>0</v>
      </c>
      <c r="AT51" s="266">
        <f t="shared" si="33"/>
        <v>0</v>
      </c>
      <c r="AU51" s="206">
        <f>'DATA INPUT - DETAIL'!AA42</f>
        <v>0</v>
      </c>
      <c r="AV51" s="206">
        <f>'DATA INPUT - DETAIL'!AB42</f>
        <v>0</v>
      </c>
      <c r="AW51" s="206">
        <f>'DATA INPUT - DETAIL'!AC42</f>
        <v>0</v>
      </c>
      <c r="AX51" s="206">
        <f t="shared" si="89"/>
        <v>0</v>
      </c>
      <c r="AY51" s="206">
        <f t="shared" si="34"/>
        <v>0</v>
      </c>
      <c r="AZ51" s="206">
        <f t="shared" si="90"/>
        <v>0</v>
      </c>
      <c r="BA51" s="206">
        <f t="shared" si="91"/>
        <v>0</v>
      </c>
      <c r="BB51" s="206">
        <f t="shared" si="92"/>
        <v>0</v>
      </c>
      <c r="BC51" s="206">
        <f t="shared" si="93"/>
        <v>0</v>
      </c>
      <c r="BD51" s="206">
        <f t="shared" si="94"/>
        <v>0</v>
      </c>
      <c r="BE51" s="206">
        <f t="shared" si="95"/>
        <v>0</v>
      </c>
      <c r="BF51" s="206">
        <f t="shared" si="96"/>
        <v>0</v>
      </c>
      <c r="BG51" s="206">
        <f t="shared" si="97"/>
        <v>0</v>
      </c>
      <c r="BH51" s="206">
        <f t="shared" si="98"/>
        <v>0</v>
      </c>
      <c r="BI51" s="206">
        <f t="shared" si="19"/>
        <v>0</v>
      </c>
      <c r="BJ51" s="266">
        <f t="shared" si="37"/>
        <v>0</v>
      </c>
      <c r="BK51" s="266">
        <f t="shared" si="38"/>
        <v>0</v>
      </c>
      <c r="BL51" s="192">
        <f t="shared" si="39"/>
        <v>0</v>
      </c>
      <c r="BM51" s="192">
        <f t="shared" si="40"/>
        <v>0</v>
      </c>
      <c r="BN51" s="192">
        <f t="shared" si="41"/>
        <v>0</v>
      </c>
      <c r="BO51" s="192">
        <f t="shared" si="42"/>
        <v>0</v>
      </c>
      <c r="BP51" s="192">
        <f t="shared" si="43"/>
        <v>0</v>
      </c>
      <c r="BQ51" s="193">
        <f t="shared" si="44"/>
        <v>0</v>
      </c>
      <c r="BR51" s="193">
        <f t="shared" si="45"/>
        <v>0</v>
      </c>
      <c r="BS51" s="265">
        <f t="shared" si="46"/>
        <v>0</v>
      </c>
      <c r="BT51" s="265">
        <f t="shared" si="47"/>
        <v>0</v>
      </c>
      <c r="BU51" s="265">
        <f t="shared" si="48"/>
        <v>0</v>
      </c>
      <c r="BV51" s="265">
        <f t="shared" si="49"/>
        <v>0</v>
      </c>
      <c r="BW51" s="265">
        <f t="shared" si="50"/>
        <v>0</v>
      </c>
      <c r="BX51" s="265">
        <f t="shared" si="51"/>
        <v>0</v>
      </c>
      <c r="BY51" s="265">
        <f t="shared" si="52"/>
        <v>0</v>
      </c>
      <c r="BZ51" s="265">
        <f t="shared" si="53"/>
        <v>0</v>
      </c>
      <c r="CA51" s="265">
        <f t="shared" si="54"/>
        <v>0</v>
      </c>
      <c r="CB51" s="269">
        <f t="shared" si="55"/>
        <v>0</v>
      </c>
      <c r="CC51" s="266">
        <f t="shared" si="56"/>
        <v>0</v>
      </c>
      <c r="CD51" s="241"/>
      <c r="CE51" s="198">
        <f t="shared" si="70"/>
        <v>8.4544525566990894E-11</v>
      </c>
      <c r="CF51" s="198">
        <f t="shared" si="58"/>
        <v>0</v>
      </c>
      <c r="CG51" s="198">
        <f t="shared" si="59"/>
        <v>0</v>
      </c>
      <c r="CH51" s="198">
        <f t="shared" si="60"/>
        <v>0</v>
      </c>
      <c r="CI51" s="198">
        <f t="shared" si="61"/>
        <v>0</v>
      </c>
      <c r="CJ51" s="198">
        <f t="shared" si="62"/>
        <v>0</v>
      </c>
      <c r="CK51" s="198">
        <f t="shared" si="63"/>
        <v>0</v>
      </c>
      <c r="CL51" s="198">
        <f t="shared" si="64"/>
        <v>3.6933240609929887E-13</v>
      </c>
      <c r="CM51" s="271">
        <f t="shared" si="65"/>
        <v>0</v>
      </c>
      <c r="CN51" s="198">
        <f t="shared" si="66"/>
        <v>8.4913857973090197E-11</v>
      </c>
      <c r="CO51" s="209">
        <f t="shared" si="71"/>
        <v>8.4544525566990894E-11</v>
      </c>
    </row>
    <row r="52" spans="2:93" x14ac:dyDescent="0.2">
      <c r="B52" s="221">
        <f>'DATA INPUT - DETAIL'!D43</f>
        <v>0</v>
      </c>
      <c r="C52" s="211">
        <f>'DATA INPUT - DETAIL'!E43</f>
        <v>0</v>
      </c>
      <c r="D52" s="257">
        <f>'DATA INPUT - DETAIL'!I43</f>
        <v>0</v>
      </c>
      <c r="E52" s="258">
        <f>'DATA INPUT - DETAIL'!K43</f>
        <v>0</v>
      </c>
      <c r="F52" s="258">
        <f>'DATA INPUT - DETAIL'!L43</f>
        <v>0</v>
      </c>
      <c r="G52" s="179">
        <f>'DATA INPUT - DETAIL'!M43*(1+$V$5)</f>
        <v>0</v>
      </c>
      <c r="H52" s="179">
        <f>'DATA INPUT - DETAIL'!N43*(1+$V$5)</f>
        <v>0</v>
      </c>
      <c r="I52" s="258">
        <f t="shared" si="72"/>
        <v>0</v>
      </c>
      <c r="J52" s="258">
        <f>'DATA INPUT - DETAIL'!O43</f>
        <v>0</v>
      </c>
      <c r="K52" s="258">
        <f>'DATA INPUT - DETAIL'!P43</f>
        <v>0</v>
      </c>
      <c r="L52" s="267">
        <f>ROUNDDOWN('DATA INPUT - DETAIL'!G43,0)</f>
        <v>0</v>
      </c>
      <c r="M52" s="196">
        <f t="shared" si="99"/>
        <v>0</v>
      </c>
      <c r="N52" s="196">
        <f t="shared" si="74"/>
        <v>0</v>
      </c>
      <c r="O52" s="196">
        <f t="shared" si="75"/>
        <v>0</v>
      </c>
      <c r="P52" s="196">
        <f t="shared" si="76"/>
        <v>0</v>
      </c>
      <c r="Q52" s="196">
        <f t="shared" si="77"/>
        <v>0</v>
      </c>
      <c r="R52" s="196">
        <f t="shared" si="78"/>
        <v>0</v>
      </c>
      <c r="S52" s="196">
        <f t="shared" si="79"/>
        <v>0</v>
      </c>
      <c r="T52" s="196">
        <f t="shared" si="80"/>
        <v>0</v>
      </c>
      <c r="U52" s="185">
        <f>(C52&gt;0)*(C52&lt;$E$5)*VLOOKUP(MPP,ASUMSI!$BN$77:$CR$108,B52+1)*(1+$V$4)</f>
        <v>0</v>
      </c>
      <c r="V52" s="196">
        <f t="shared" si="8"/>
        <v>0</v>
      </c>
      <c r="W52" s="196">
        <f t="shared" si="68"/>
        <v>0</v>
      </c>
      <c r="X52" s="196">
        <f t="shared" si="81"/>
        <v>0</v>
      </c>
      <c r="Y52" s="196">
        <f t="shared" si="82"/>
        <v>0</v>
      </c>
      <c r="Z52" s="196">
        <f t="shared" si="83"/>
        <v>0</v>
      </c>
      <c r="AA52" s="185">
        <f t="shared" si="28"/>
        <v>0</v>
      </c>
      <c r="AB52" s="196">
        <f t="shared" si="84"/>
        <v>0</v>
      </c>
      <c r="AC52" s="196">
        <f t="shared" si="84"/>
        <v>0</v>
      </c>
      <c r="AD52" s="196">
        <f t="shared" si="84"/>
        <v>0</v>
      </c>
      <c r="AE52" s="196">
        <f t="shared" si="85"/>
        <v>0</v>
      </c>
      <c r="AF52" s="196">
        <f t="shared" si="86"/>
        <v>0</v>
      </c>
      <c r="AG52" s="196">
        <f t="shared" si="87"/>
        <v>0</v>
      </c>
      <c r="AH52" s="196">
        <f t="shared" si="88"/>
        <v>0</v>
      </c>
      <c r="AI52" s="266">
        <f>'DATA INPUT - DETAIL'!R43</f>
        <v>0</v>
      </c>
      <c r="AJ52" s="266">
        <f>'DATA INPUT - DETAIL'!S43</f>
        <v>0</v>
      </c>
      <c r="AK52" s="266">
        <f>'DATA INPUT - DETAIL'!T43</f>
        <v>0</v>
      </c>
      <c r="AL52" s="266">
        <f>'DATA INPUT - DETAIL'!U43</f>
        <v>0</v>
      </c>
      <c r="AM52" s="266">
        <f>'DATA INPUT - DETAIL'!V43</f>
        <v>0</v>
      </c>
      <c r="AN52" s="266">
        <f>'DATA INPUT - DETAIL'!W43</f>
        <v>0</v>
      </c>
      <c r="AO52" s="198">
        <f t="shared" si="10"/>
        <v>0</v>
      </c>
      <c r="AP52" s="266">
        <f>'DATA INPUT - DETAIL'!X43</f>
        <v>0</v>
      </c>
      <c r="AQ52" s="266">
        <f>'DATA INPUT - DETAIL'!Y43</f>
        <v>0</v>
      </c>
      <c r="AR52" s="266">
        <f>'DATA INPUT - DETAIL'!Z43</f>
        <v>0</v>
      </c>
      <c r="AS52" s="266">
        <f>'DATA INPUT - DETAIL'!AD43</f>
        <v>0</v>
      </c>
      <c r="AT52" s="266">
        <f t="shared" si="33"/>
        <v>0</v>
      </c>
      <c r="AU52" s="206">
        <f>'DATA INPUT - DETAIL'!AA43</f>
        <v>0</v>
      </c>
      <c r="AV52" s="206">
        <f>'DATA INPUT - DETAIL'!AB43</f>
        <v>0</v>
      </c>
      <c r="AW52" s="206">
        <f>'DATA INPUT - DETAIL'!AC43</f>
        <v>0</v>
      </c>
      <c r="AX52" s="206">
        <f t="shared" si="89"/>
        <v>0</v>
      </c>
      <c r="AY52" s="206">
        <f t="shared" si="34"/>
        <v>0</v>
      </c>
      <c r="AZ52" s="206">
        <f t="shared" si="90"/>
        <v>0</v>
      </c>
      <c r="BA52" s="206">
        <f t="shared" si="91"/>
        <v>0</v>
      </c>
      <c r="BB52" s="206">
        <f t="shared" si="92"/>
        <v>0</v>
      </c>
      <c r="BC52" s="206">
        <f t="shared" si="93"/>
        <v>0</v>
      </c>
      <c r="BD52" s="206">
        <f t="shared" si="94"/>
        <v>0</v>
      </c>
      <c r="BE52" s="206">
        <f t="shared" si="95"/>
        <v>0</v>
      </c>
      <c r="BF52" s="206">
        <f t="shared" si="96"/>
        <v>0</v>
      </c>
      <c r="BG52" s="206">
        <f t="shared" si="97"/>
        <v>0</v>
      </c>
      <c r="BH52" s="206">
        <f t="shared" si="98"/>
        <v>0</v>
      </c>
      <c r="BI52" s="206">
        <f t="shared" si="19"/>
        <v>0</v>
      </c>
      <c r="BJ52" s="266">
        <f t="shared" si="37"/>
        <v>0</v>
      </c>
      <c r="BK52" s="266">
        <f t="shared" si="38"/>
        <v>0</v>
      </c>
      <c r="BL52" s="192">
        <f t="shared" si="39"/>
        <v>0</v>
      </c>
      <c r="BM52" s="192">
        <f t="shared" si="40"/>
        <v>0</v>
      </c>
      <c r="BN52" s="192">
        <f t="shared" si="41"/>
        <v>0</v>
      </c>
      <c r="BO52" s="192">
        <f t="shared" si="42"/>
        <v>0</v>
      </c>
      <c r="BP52" s="192">
        <f t="shared" si="43"/>
        <v>0</v>
      </c>
      <c r="BQ52" s="193">
        <f t="shared" si="44"/>
        <v>0</v>
      </c>
      <c r="BR52" s="193">
        <f t="shared" si="45"/>
        <v>0</v>
      </c>
      <c r="BS52" s="265">
        <f t="shared" si="46"/>
        <v>0</v>
      </c>
      <c r="BT52" s="265">
        <f t="shared" si="47"/>
        <v>0</v>
      </c>
      <c r="BU52" s="265">
        <f t="shared" si="48"/>
        <v>0</v>
      </c>
      <c r="BV52" s="265">
        <f t="shared" si="49"/>
        <v>0</v>
      </c>
      <c r="BW52" s="265">
        <f t="shared" si="50"/>
        <v>0</v>
      </c>
      <c r="BX52" s="265">
        <f t="shared" si="51"/>
        <v>0</v>
      </c>
      <c r="BY52" s="265">
        <f t="shared" si="52"/>
        <v>0</v>
      </c>
      <c r="BZ52" s="265">
        <f t="shared" si="53"/>
        <v>0</v>
      </c>
      <c r="CA52" s="265">
        <f t="shared" si="54"/>
        <v>0</v>
      </c>
      <c r="CB52" s="269">
        <f t="shared" si="55"/>
        <v>0</v>
      </c>
      <c r="CC52" s="266">
        <f t="shared" si="56"/>
        <v>0</v>
      </c>
      <c r="CD52" s="241"/>
      <c r="CE52" s="198">
        <f t="shared" si="70"/>
        <v>8.4913857973090197E-11</v>
      </c>
      <c r="CF52" s="198">
        <f t="shared" si="58"/>
        <v>0</v>
      </c>
      <c r="CG52" s="198">
        <f t="shared" si="59"/>
        <v>0</v>
      </c>
      <c r="CH52" s="198">
        <f t="shared" si="60"/>
        <v>0</v>
      </c>
      <c r="CI52" s="198">
        <f t="shared" si="61"/>
        <v>0</v>
      </c>
      <c r="CJ52" s="198">
        <f t="shared" si="62"/>
        <v>0</v>
      </c>
      <c r="CK52" s="198">
        <f t="shared" si="63"/>
        <v>0</v>
      </c>
      <c r="CL52" s="198">
        <f t="shared" si="64"/>
        <v>3.7094583316959466E-13</v>
      </c>
      <c r="CM52" s="271">
        <f t="shared" si="65"/>
        <v>0</v>
      </c>
      <c r="CN52" s="198">
        <f t="shared" si="66"/>
        <v>8.5284803806259795E-11</v>
      </c>
      <c r="CO52" s="209">
        <f t="shared" si="71"/>
        <v>8.4913857973090197E-11</v>
      </c>
    </row>
    <row r="53" spans="2:93" x14ac:dyDescent="0.2">
      <c r="B53" s="221">
        <f>'DATA INPUT - DETAIL'!D44</f>
        <v>0</v>
      </c>
      <c r="C53" s="211">
        <f>'DATA INPUT - DETAIL'!E44</f>
        <v>0</v>
      </c>
      <c r="D53" s="257">
        <f>'DATA INPUT - DETAIL'!I44</f>
        <v>0</v>
      </c>
      <c r="E53" s="258">
        <f>'DATA INPUT - DETAIL'!K44</f>
        <v>0</v>
      </c>
      <c r="F53" s="258">
        <f>'DATA INPUT - DETAIL'!L44</f>
        <v>0</v>
      </c>
      <c r="G53" s="179">
        <f>'DATA INPUT - DETAIL'!M44*(1+$V$5)</f>
        <v>0</v>
      </c>
      <c r="H53" s="179">
        <f>'DATA INPUT - DETAIL'!N44*(1+$V$5)</f>
        <v>0</v>
      </c>
      <c r="I53" s="258">
        <f t="shared" si="72"/>
        <v>0</v>
      </c>
      <c r="J53" s="258">
        <f>'DATA INPUT - DETAIL'!O44</f>
        <v>0</v>
      </c>
      <c r="K53" s="258">
        <f>'DATA INPUT - DETAIL'!P44</f>
        <v>0</v>
      </c>
      <c r="L53" s="267">
        <f>ROUNDDOWN('DATA INPUT - DETAIL'!G44,0)</f>
        <v>0</v>
      </c>
      <c r="M53" s="196">
        <f t="shared" si="99"/>
        <v>0</v>
      </c>
      <c r="N53" s="196">
        <f t="shared" si="74"/>
        <v>0</v>
      </c>
      <c r="O53" s="196">
        <f t="shared" si="75"/>
        <v>0</v>
      </c>
      <c r="P53" s="196">
        <f t="shared" si="76"/>
        <v>0</v>
      </c>
      <c r="Q53" s="196">
        <f t="shared" si="77"/>
        <v>0</v>
      </c>
      <c r="R53" s="196">
        <f t="shared" si="78"/>
        <v>0</v>
      </c>
      <c r="S53" s="196">
        <f t="shared" si="79"/>
        <v>0</v>
      </c>
      <c r="T53" s="196">
        <f t="shared" si="80"/>
        <v>0</v>
      </c>
      <c r="U53" s="185">
        <f>(C53&gt;0)*(C53&lt;$E$5)*VLOOKUP(MPP,ASUMSI!$BN$77:$CR$108,B53+1)*(1+$V$4)</f>
        <v>0</v>
      </c>
      <c r="V53" s="196">
        <f t="shared" si="8"/>
        <v>0</v>
      </c>
      <c r="W53" s="196">
        <f t="shared" si="68"/>
        <v>0</v>
      </c>
      <c r="X53" s="196">
        <f t="shared" si="81"/>
        <v>0</v>
      </c>
      <c r="Y53" s="196">
        <f t="shared" si="82"/>
        <v>0</v>
      </c>
      <c r="Z53" s="196">
        <f t="shared" si="83"/>
        <v>0</v>
      </c>
      <c r="AA53" s="185">
        <f t="shared" si="28"/>
        <v>0</v>
      </c>
      <c r="AB53" s="196">
        <f t="shared" si="84"/>
        <v>0</v>
      </c>
      <c r="AC53" s="196">
        <f t="shared" si="84"/>
        <v>0</v>
      </c>
      <c r="AD53" s="196">
        <f t="shared" si="84"/>
        <v>0</v>
      </c>
      <c r="AE53" s="196">
        <f t="shared" si="85"/>
        <v>0</v>
      </c>
      <c r="AF53" s="196">
        <f t="shared" si="86"/>
        <v>0</v>
      </c>
      <c r="AG53" s="196">
        <f t="shared" si="87"/>
        <v>0</v>
      </c>
      <c r="AH53" s="196">
        <f t="shared" si="88"/>
        <v>0</v>
      </c>
      <c r="AI53" s="266">
        <f>'DATA INPUT - DETAIL'!R44</f>
        <v>0</v>
      </c>
      <c r="AJ53" s="266">
        <f>'DATA INPUT - DETAIL'!S44</f>
        <v>0</v>
      </c>
      <c r="AK53" s="266">
        <f>'DATA INPUT - DETAIL'!T44</f>
        <v>0</v>
      </c>
      <c r="AL53" s="266">
        <f>'DATA INPUT - DETAIL'!U44</f>
        <v>0</v>
      </c>
      <c r="AM53" s="266">
        <f>'DATA INPUT - DETAIL'!V44</f>
        <v>0</v>
      </c>
      <c r="AN53" s="266">
        <f>'DATA INPUT - DETAIL'!W44</f>
        <v>0</v>
      </c>
      <c r="AO53" s="198">
        <f t="shared" si="10"/>
        <v>0</v>
      </c>
      <c r="AP53" s="266">
        <f>'DATA INPUT - DETAIL'!X44</f>
        <v>0</v>
      </c>
      <c r="AQ53" s="266">
        <f>'DATA INPUT - DETAIL'!Y44</f>
        <v>0</v>
      </c>
      <c r="AR53" s="266">
        <f>'DATA INPUT - DETAIL'!Z44</f>
        <v>0</v>
      </c>
      <c r="AS53" s="266">
        <f>'DATA INPUT - DETAIL'!AD44</f>
        <v>0</v>
      </c>
      <c r="AT53" s="266">
        <f t="shared" si="33"/>
        <v>0</v>
      </c>
      <c r="AU53" s="206">
        <f>'DATA INPUT - DETAIL'!AA44</f>
        <v>0</v>
      </c>
      <c r="AV53" s="206">
        <f>'DATA INPUT - DETAIL'!AB44</f>
        <v>0</v>
      </c>
      <c r="AW53" s="206">
        <f>'DATA INPUT - DETAIL'!AC44</f>
        <v>0</v>
      </c>
      <c r="AX53" s="206">
        <f t="shared" si="89"/>
        <v>0</v>
      </c>
      <c r="AY53" s="206">
        <f t="shared" si="34"/>
        <v>0</v>
      </c>
      <c r="AZ53" s="206">
        <f t="shared" si="90"/>
        <v>0</v>
      </c>
      <c r="BA53" s="206">
        <f t="shared" si="91"/>
        <v>0</v>
      </c>
      <c r="BB53" s="206">
        <f t="shared" si="92"/>
        <v>0</v>
      </c>
      <c r="BC53" s="206">
        <f t="shared" si="93"/>
        <v>0</v>
      </c>
      <c r="BD53" s="206">
        <f t="shared" si="94"/>
        <v>0</v>
      </c>
      <c r="BE53" s="206">
        <f t="shared" si="95"/>
        <v>0</v>
      </c>
      <c r="BF53" s="206">
        <f t="shared" si="96"/>
        <v>0</v>
      </c>
      <c r="BG53" s="206">
        <f t="shared" si="97"/>
        <v>0</v>
      </c>
      <c r="BH53" s="206">
        <f t="shared" si="98"/>
        <v>0</v>
      </c>
      <c r="BI53" s="206">
        <f t="shared" si="19"/>
        <v>0</v>
      </c>
      <c r="BJ53" s="266">
        <f t="shared" si="37"/>
        <v>0</v>
      </c>
      <c r="BK53" s="266">
        <f t="shared" si="38"/>
        <v>0</v>
      </c>
      <c r="BL53" s="192">
        <f t="shared" si="39"/>
        <v>0</v>
      </c>
      <c r="BM53" s="192">
        <f t="shared" si="40"/>
        <v>0</v>
      </c>
      <c r="BN53" s="192">
        <f t="shared" si="41"/>
        <v>0</v>
      </c>
      <c r="BO53" s="192">
        <f t="shared" si="42"/>
        <v>0</v>
      </c>
      <c r="BP53" s="192">
        <f t="shared" si="43"/>
        <v>0</v>
      </c>
      <c r="BQ53" s="193">
        <f t="shared" si="44"/>
        <v>0</v>
      </c>
      <c r="BR53" s="193">
        <f t="shared" si="45"/>
        <v>0</v>
      </c>
      <c r="BS53" s="265">
        <f t="shared" si="46"/>
        <v>0</v>
      </c>
      <c r="BT53" s="265">
        <f t="shared" si="47"/>
        <v>0</v>
      </c>
      <c r="BU53" s="265">
        <f t="shared" si="48"/>
        <v>0</v>
      </c>
      <c r="BV53" s="265">
        <f t="shared" si="49"/>
        <v>0</v>
      </c>
      <c r="BW53" s="265">
        <f t="shared" si="50"/>
        <v>0</v>
      </c>
      <c r="BX53" s="265">
        <f t="shared" si="51"/>
        <v>0</v>
      </c>
      <c r="BY53" s="265">
        <f t="shared" si="52"/>
        <v>0</v>
      </c>
      <c r="BZ53" s="265">
        <f t="shared" si="53"/>
        <v>0</v>
      </c>
      <c r="CA53" s="265">
        <f t="shared" si="54"/>
        <v>0</v>
      </c>
      <c r="CB53" s="269">
        <f t="shared" si="55"/>
        <v>0</v>
      </c>
      <c r="CC53" s="266">
        <f t="shared" si="56"/>
        <v>0</v>
      </c>
      <c r="CD53" s="241"/>
      <c r="CE53" s="198">
        <f t="shared" si="70"/>
        <v>8.5284803806259795E-11</v>
      </c>
      <c r="CF53" s="198">
        <f t="shared" si="58"/>
        <v>0</v>
      </c>
      <c r="CG53" s="198">
        <f t="shared" si="59"/>
        <v>0</v>
      </c>
      <c r="CH53" s="198">
        <f t="shared" si="60"/>
        <v>0</v>
      </c>
      <c r="CI53" s="198">
        <f t="shared" si="61"/>
        <v>0</v>
      </c>
      <c r="CJ53" s="198">
        <f t="shared" si="62"/>
        <v>0</v>
      </c>
      <c r="CK53" s="198">
        <f t="shared" si="63"/>
        <v>0</v>
      </c>
      <c r="CL53" s="198">
        <f t="shared" si="64"/>
        <v>3.7256630848929443E-13</v>
      </c>
      <c r="CM53" s="271">
        <f t="shared" si="65"/>
        <v>0</v>
      </c>
      <c r="CN53" s="198">
        <f t="shared" si="66"/>
        <v>8.5657370114749091E-11</v>
      </c>
      <c r="CO53" s="209">
        <f t="shared" si="71"/>
        <v>8.5284803806259795E-11</v>
      </c>
    </row>
    <row r="54" spans="2:93" x14ac:dyDescent="0.2">
      <c r="B54" s="221">
        <f>'DATA INPUT - DETAIL'!D45</f>
        <v>0</v>
      </c>
      <c r="C54" s="211">
        <f>'DATA INPUT - DETAIL'!E45</f>
        <v>0</v>
      </c>
      <c r="D54" s="257">
        <f>'DATA INPUT - DETAIL'!I45</f>
        <v>0</v>
      </c>
      <c r="E54" s="258">
        <f>'DATA INPUT - DETAIL'!K45</f>
        <v>0</v>
      </c>
      <c r="F54" s="258">
        <f>'DATA INPUT - DETAIL'!L45</f>
        <v>0</v>
      </c>
      <c r="G54" s="179">
        <f>'DATA INPUT - DETAIL'!M45*(1+$V$5)</f>
        <v>0</v>
      </c>
      <c r="H54" s="179">
        <f>'DATA INPUT - DETAIL'!N45*(1+$V$5)</f>
        <v>0</v>
      </c>
      <c r="I54" s="258">
        <f t="shared" si="72"/>
        <v>0</v>
      </c>
      <c r="J54" s="258">
        <f>'DATA INPUT - DETAIL'!O45</f>
        <v>0</v>
      </c>
      <c r="K54" s="258">
        <f>'DATA INPUT - DETAIL'!P45</f>
        <v>0</v>
      </c>
      <c r="L54" s="267">
        <f>ROUNDDOWN('DATA INPUT - DETAIL'!G45,0)</f>
        <v>0</v>
      </c>
      <c r="M54" s="196">
        <f t="shared" si="99"/>
        <v>0</v>
      </c>
      <c r="N54" s="196">
        <f t="shared" si="74"/>
        <v>0</v>
      </c>
      <c r="O54" s="196">
        <f t="shared" si="75"/>
        <v>0</v>
      </c>
      <c r="P54" s="196">
        <f t="shared" si="76"/>
        <v>0</v>
      </c>
      <c r="Q54" s="196">
        <f t="shared" si="77"/>
        <v>0</v>
      </c>
      <c r="R54" s="196">
        <f t="shared" si="78"/>
        <v>0</v>
      </c>
      <c r="S54" s="196">
        <f t="shared" si="79"/>
        <v>0</v>
      </c>
      <c r="T54" s="196">
        <f t="shared" si="80"/>
        <v>0</v>
      </c>
      <c r="U54" s="185">
        <f>(C54&gt;0)*(C54&lt;$E$5)*VLOOKUP(MPP,ASUMSI!$BN$77:$CR$108,B54+1)*(1+$V$4)</f>
        <v>0</v>
      </c>
      <c r="V54" s="196">
        <f t="shared" si="8"/>
        <v>0</v>
      </c>
      <c r="W54" s="196">
        <f t="shared" si="68"/>
        <v>0</v>
      </c>
      <c r="X54" s="196">
        <f t="shared" si="81"/>
        <v>0</v>
      </c>
      <c r="Y54" s="196">
        <f t="shared" si="82"/>
        <v>0</v>
      </c>
      <c r="Z54" s="196">
        <f t="shared" si="83"/>
        <v>0</v>
      </c>
      <c r="AA54" s="185">
        <f t="shared" si="28"/>
        <v>0</v>
      </c>
      <c r="AB54" s="196">
        <f t="shared" si="84"/>
        <v>0</v>
      </c>
      <c r="AC54" s="196">
        <f t="shared" si="84"/>
        <v>0</v>
      </c>
      <c r="AD54" s="196">
        <f t="shared" si="84"/>
        <v>0</v>
      </c>
      <c r="AE54" s="196">
        <f t="shared" si="85"/>
        <v>0</v>
      </c>
      <c r="AF54" s="196">
        <f t="shared" si="86"/>
        <v>0</v>
      </c>
      <c r="AG54" s="196">
        <f t="shared" si="87"/>
        <v>0</v>
      </c>
      <c r="AH54" s="196">
        <f t="shared" si="88"/>
        <v>0</v>
      </c>
      <c r="AI54" s="266">
        <f>'DATA INPUT - DETAIL'!R45</f>
        <v>0</v>
      </c>
      <c r="AJ54" s="266">
        <f>'DATA INPUT - DETAIL'!S45</f>
        <v>0</v>
      </c>
      <c r="AK54" s="266">
        <f>'DATA INPUT - DETAIL'!T45</f>
        <v>0</v>
      </c>
      <c r="AL54" s="266">
        <f>'DATA INPUT - DETAIL'!U45</f>
        <v>0</v>
      </c>
      <c r="AM54" s="266">
        <f>'DATA INPUT - DETAIL'!V45</f>
        <v>0</v>
      </c>
      <c r="AN54" s="266">
        <f>'DATA INPUT - DETAIL'!W45</f>
        <v>0</v>
      </c>
      <c r="AO54" s="198">
        <f t="shared" si="10"/>
        <v>0</v>
      </c>
      <c r="AP54" s="266">
        <f>'DATA INPUT - DETAIL'!X45</f>
        <v>0</v>
      </c>
      <c r="AQ54" s="266">
        <f>'DATA INPUT - DETAIL'!Y45</f>
        <v>0</v>
      </c>
      <c r="AR54" s="266">
        <f>'DATA INPUT - DETAIL'!Z45</f>
        <v>0</v>
      </c>
      <c r="AS54" s="266">
        <f>'DATA INPUT - DETAIL'!AD45</f>
        <v>0</v>
      </c>
      <c r="AT54" s="266">
        <f t="shared" si="33"/>
        <v>0</v>
      </c>
      <c r="AU54" s="206">
        <f>'DATA INPUT - DETAIL'!AA45</f>
        <v>0</v>
      </c>
      <c r="AV54" s="206">
        <f>'DATA INPUT - DETAIL'!AB45</f>
        <v>0</v>
      </c>
      <c r="AW54" s="206">
        <f>'DATA INPUT - DETAIL'!AC45</f>
        <v>0</v>
      </c>
      <c r="AX54" s="206">
        <f t="shared" si="89"/>
        <v>0</v>
      </c>
      <c r="AY54" s="206">
        <f t="shared" si="34"/>
        <v>0</v>
      </c>
      <c r="AZ54" s="206">
        <f t="shared" si="90"/>
        <v>0</v>
      </c>
      <c r="BA54" s="206">
        <f t="shared" si="91"/>
        <v>0</v>
      </c>
      <c r="BB54" s="206">
        <f t="shared" si="92"/>
        <v>0</v>
      </c>
      <c r="BC54" s="206">
        <f t="shared" si="93"/>
        <v>0</v>
      </c>
      <c r="BD54" s="206">
        <f t="shared" si="94"/>
        <v>0</v>
      </c>
      <c r="BE54" s="206">
        <f t="shared" si="95"/>
        <v>0</v>
      </c>
      <c r="BF54" s="206">
        <f t="shared" si="96"/>
        <v>0</v>
      </c>
      <c r="BG54" s="206">
        <f t="shared" si="97"/>
        <v>0</v>
      </c>
      <c r="BH54" s="206">
        <f t="shared" si="98"/>
        <v>0</v>
      </c>
      <c r="BI54" s="206">
        <f t="shared" si="19"/>
        <v>0</v>
      </c>
      <c r="BJ54" s="266">
        <f t="shared" si="37"/>
        <v>0</v>
      </c>
      <c r="BK54" s="266">
        <f t="shared" si="38"/>
        <v>0</v>
      </c>
      <c r="BL54" s="192">
        <f t="shared" si="39"/>
        <v>0</v>
      </c>
      <c r="BM54" s="192">
        <f t="shared" si="40"/>
        <v>0</v>
      </c>
      <c r="BN54" s="192">
        <f t="shared" si="41"/>
        <v>0</v>
      </c>
      <c r="BO54" s="192">
        <f t="shared" si="42"/>
        <v>0</v>
      </c>
      <c r="BP54" s="192">
        <f t="shared" si="43"/>
        <v>0</v>
      </c>
      <c r="BQ54" s="193">
        <f t="shared" si="44"/>
        <v>0</v>
      </c>
      <c r="BR54" s="193">
        <f t="shared" si="45"/>
        <v>0</v>
      </c>
      <c r="BS54" s="265">
        <f t="shared" si="46"/>
        <v>0</v>
      </c>
      <c r="BT54" s="265">
        <f t="shared" si="47"/>
        <v>0</v>
      </c>
      <c r="BU54" s="265">
        <f t="shared" si="48"/>
        <v>0</v>
      </c>
      <c r="BV54" s="265">
        <f t="shared" si="49"/>
        <v>0</v>
      </c>
      <c r="BW54" s="265">
        <f t="shared" si="50"/>
        <v>0</v>
      </c>
      <c r="BX54" s="265">
        <f t="shared" si="51"/>
        <v>0</v>
      </c>
      <c r="BY54" s="265">
        <f t="shared" si="52"/>
        <v>0</v>
      </c>
      <c r="BZ54" s="265">
        <f t="shared" si="53"/>
        <v>0</v>
      </c>
      <c r="CA54" s="265">
        <f t="shared" si="54"/>
        <v>0</v>
      </c>
      <c r="CB54" s="269">
        <f t="shared" si="55"/>
        <v>0</v>
      </c>
      <c r="CC54" s="266">
        <f t="shared" si="56"/>
        <v>0</v>
      </c>
      <c r="CD54" s="241"/>
      <c r="CE54" s="198">
        <f t="shared" si="70"/>
        <v>8.5657370114749091E-11</v>
      </c>
      <c r="CF54" s="198">
        <f t="shared" si="58"/>
        <v>0</v>
      </c>
      <c r="CG54" s="198">
        <f t="shared" si="59"/>
        <v>0</v>
      </c>
      <c r="CH54" s="198">
        <f t="shared" si="60"/>
        <v>0</v>
      </c>
      <c r="CI54" s="198">
        <f t="shared" si="61"/>
        <v>0</v>
      </c>
      <c r="CJ54" s="198">
        <f t="shared" si="62"/>
        <v>0</v>
      </c>
      <c r="CK54" s="198">
        <f t="shared" si="63"/>
        <v>0</v>
      </c>
      <c r="CL54" s="198">
        <f t="shared" si="64"/>
        <v>3.7419386284864623E-13</v>
      </c>
      <c r="CM54" s="271">
        <f t="shared" si="65"/>
        <v>0</v>
      </c>
      <c r="CN54" s="198">
        <f t="shared" si="66"/>
        <v>8.6031563977597736E-11</v>
      </c>
      <c r="CO54" s="209">
        <f t="shared" si="71"/>
        <v>8.5657370114749091E-11</v>
      </c>
    </row>
    <row r="55" spans="2:93" x14ac:dyDescent="0.2">
      <c r="B55" s="221">
        <f>'DATA INPUT - DETAIL'!D46</f>
        <v>0</v>
      </c>
      <c r="C55" s="211">
        <f>'DATA INPUT - DETAIL'!E46</f>
        <v>0</v>
      </c>
      <c r="D55" s="257">
        <f>'DATA INPUT - DETAIL'!I46</f>
        <v>0</v>
      </c>
      <c r="E55" s="258">
        <f>'DATA INPUT - DETAIL'!K46</f>
        <v>0</v>
      </c>
      <c r="F55" s="258">
        <f>'DATA INPUT - DETAIL'!L46</f>
        <v>0</v>
      </c>
      <c r="G55" s="179">
        <f>'DATA INPUT - DETAIL'!M46*(1+$V$5)</f>
        <v>0</v>
      </c>
      <c r="H55" s="179">
        <f>'DATA INPUT - DETAIL'!N46*(1+$V$5)</f>
        <v>0</v>
      </c>
      <c r="I55" s="258">
        <f t="shared" si="72"/>
        <v>0</v>
      </c>
      <c r="J55" s="258">
        <f>'DATA INPUT - DETAIL'!O46</f>
        <v>0</v>
      </c>
      <c r="K55" s="258">
        <f>'DATA INPUT - DETAIL'!P46</f>
        <v>0</v>
      </c>
      <c r="L55" s="267">
        <f>ROUNDDOWN('DATA INPUT - DETAIL'!G46,0)</f>
        <v>0</v>
      </c>
      <c r="M55" s="196">
        <f t="shared" si="99"/>
        <v>0</v>
      </c>
      <c r="N55" s="196">
        <f t="shared" si="74"/>
        <v>0</v>
      </c>
      <c r="O55" s="196">
        <f t="shared" si="75"/>
        <v>0</v>
      </c>
      <c r="P55" s="196">
        <f t="shared" si="76"/>
        <v>0</v>
      </c>
      <c r="Q55" s="196">
        <f t="shared" si="77"/>
        <v>0</v>
      </c>
      <c r="R55" s="196">
        <f t="shared" si="78"/>
        <v>0</v>
      </c>
      <c r="S55" s="196">
        <f t="shared" si="79"/>
        <v>0</v>
      </c>
      <c r="T55" s="196">
        <f t="shared" si="80"/>
        <v>0</v>
      </c>
      <c r="U55" s="185">
        <f>(C55&gt;0)*(C55&lt;$E$5)*VLOOKUP(MPP,ASUMSI!$BN$77:$CR$108,B55+1)*(1+$V$4)</f>
        <v>0</v>
      </c>
      <c r="V55" s="196">
        <f t="shared" si="8"/>
        <v>0</v>
      </c>
      <c r="W55" s="196">
        <f t="shared" si="68"/>
        <v>0</v>
      </c>
      <c r="X55" s="196">
        <f t="shared" si="81"/>
        <v>0</v>
      </c>
      <c r="Y55" s="196">
        <f t="shared" si="82"/>
        <v>0</v>
      </c>
      <c r="Z55" s="196">
        <f t="shared" si="83"/>
        <v>0</v>
      </c>
      <c r="AA55" s="185">
        <f t="shared" si="28"/>
        <v>0</v>
      </c>
      <c r="AB55" s="196">
        <f t="shared" si="84"/>
        <v>0</v>
      </c>
      <c r="AC55" s="196">
        <f t="shared" si="84"/>
        <v>0</v>
      </c>
      <c r="AD55" s="196">
        <f t="shared" si="84"/>
        <v>0</v>
      </c>
      <c r="AE55" s="196">
        <f t="shared" si="85"/>
        <v>0</v>
      </c>
      <c r="AF55" s="196">
        <f t="shared" si="86"/>
        <v>0</v>
      </c>
      <c r="AG55" s="196">
        <f t="shared" si="87"/>
        <v>0</v>
      </c>
      <c r="AH55" s="196">
        <f t="shared" si="88"/>
        <v>0</v>
      </c>
      <c r="AI55" s="266">
        <f>'DATA INPUT - DETAIL'!R46</f>
        <v>0</v>
      </c>
      <c r="AJ55" s="266">
        <f>'DATA INPUT - DETAIL'!S46</f>
        <v>0</v>
      </c>
      <c r="AK55" s="266">
        <f>'DATA INPUT - DETAIL'!T46</f>
        <v>0</v>
      </c>
      <c r="AL55" s="266">
        <f>'DATA INPUT - DETAIL'!U46</f>
        <v>0</v>
      </c>
      <c r="AM55" s="266">
        <f>'DATA INPUT - DETAIL'!V46</f>
        <v>0</v>
      </c>
      <c r="AN55" s="266">
        <f>'DATA INPUT - DETAIL'!W46</f>
        <v>0</v>
      </c>
      <c r="AO55" s="198">
        <f t="shared" si="10"/>
        <v>0</v>
      </c>
      <c r="AP55" s="266">
        <f>'DATA INPUT - DETAIL'!X46</f>
        <v>0</v>
      </c>
      <c r="AQ55" s="266">
        <f>'DATA INPUT - DETAIL'!Y46</f>
        <v>0</v>
      </c>
      <c r="AR55" s="266">
        <f>'DATA INPUT - DETAIL'!Z46</f>
        <v>0</v>
      </c>
      <c r="AS55" s="266">
        <f>'DATA INPUT - DETAIL'!AD46</f>
        <v>0</v>
      </c>
      <c r="AT55" s="266">
        <f t="shared" si="33"/>
        <v>0</v>
      </c>
      <c r="AU55" s="206">
        <f>'DATA INPUT - DETAIL'!AA46</f>
        <v>0</v>
      </c>
      <c r="AV55" s="206">
        <f>'DATA INPUT - DETAIL'!AB46</f>
        <v>0</v>
      </c>
      <c r="AW55" s="206">
        <f>'DATA INPUT - DETAIL'!AC46</f>
        <v>0</v>
      </c>
      <c r="AX55" s="206">
        <f t="shared" si="89"/>
        <v>0</v>
      </c>
      <c r="AY55" s="206">
        <f t="shared" si="34"/>
        <v>0</v>
      </c>
      <c r="AZ55" s="206">
        <f t="shared" si="90"/>
        <v>0</v>
      </c>
      <c r="BA55" s="206">
        <f t="shared" si="91"/>
        <v>0</v>
      </c>
      <c r="BB55" s="206">
        <f t="shared" si="92"/>
        <v>0</v>
      </c>
      <c r="BC55" s="206">
        <f t="shared" si="93"/>
        <v>0</v>
      </c>
      <c r="BD55" s="206">
        <f t="shared" si="94"/>
        <v>0</v>
      </c>
      <c r="BE55" s="206">
        <f t="shared" si="95"/>
        <v>0</v>
      </c>
      <c r="BF55" s="206">
        <f t="shared" si="96"/>
        <v>0</v>
      </c>
      <c r="BG55" s="206">
        <f t="shared" si="97"/>
        <v>0</v>
      </c>
      <c r="BH55" s="206">
        <f t="shared" si="98"/>
        <v>0</v>
      </c>
      <c r="BI55" s="206">
        <f t="shared" si="19"/>
        <v>0</v>
      </c>
      <c r="BJ55" s="266">
        <f t="shared" si="37"/>
        <v>0</v>
      </c>
      <c r="BK55" s="266">
        <f t="shared" si="38"/>
        <v>0</v>
      </c>
      <c r="BL55" s="192">
        <f t="shared" si="39"/>
        <v>0</v>
      </c>
      <c r="BM55" s="192">
        <f t="shared" si="40"/>
        <v>0</v>
      </c>
      <c r="BN55" s="192">
        <f t="shared" si="41"/>
        <v>0</v>
      </c>
      <c r="BO55" s="192">
        <f t="shared" si="42"/>
        <v>0</v>
      </c>
      <c r="BP55" s="192">
        <f t="shared" si="43"/>
        <v>0</v>
      </c>
      <c r="BQ55" s="193">
        <f t="shared" si="44"/>
        <v>0</v>
      </c>
      <c r="BR55" s="193">
        <f t="shared" si="45"/>
        <v>0</v>
      </c>
      <c r="BS55" s="265">
        <f t="shared" si="46"/>
        <v>0</v>
      </c>
      <c r="BT55" s="265">
        <f t="shared" si="47"/>
        <v>0</v>
      </c>
      <c r="BU55" s="265">
        <f t="shared" si="48"/>
        <v>0</v>
      </c>
      <c r="BV55" s="265">
        <f t="shared" si="49"/>
        <v>0</v>
      </c>
      <c r="BW55" s="265">
        <f t="shared" si="50"/>
        <v>0</v>
      </c>
      <c r="BX55" s="265">
        <f t="shared" si="51"/>
        <v>0</v>
      </c>
      <c r="BY55" s="265">
        <f t="shared" si="52"/>
        <v>0</v>
      </c>
      <c r="BZ55" s="265">
        <f t="shared" si="53"/>
        <v>0</v>
      </c>
      <c r="CA55" s="265">
        <f t="shared" si="54"/>
        <v>0</v>
      </c>
      <c r="CB55" s="269">
        <f t="shared" si="55"/>
        <v>0</v>
      </c>
      <c r="CC55" s="266">
        <f t="shared" si="56"/>
        <v>0</v>
      </c>
      <c r="CD55" s="241"/>
      <c r="CE55" s="198">
        <f t="shared" si="70"/>
        <v>8.6031563977597736E-11</v>
      </c>
      <c r="CF55" s="198">
        <f t="shared" si="58"/>
        <v>0</v>
      </c>
      <c r="CG55" s="198">
        <f t="shared" si="59"/>
        <v>0</v>
      </c>
      <c r="CH55" s="198">
        <f t="shared" si="60"/>
        <v>0</v>
      </c>
      <c r="CI55" s="198">
        <f t="shared" si="61"/>
        <v>0</v>
      </c>
      <c r="CJ55" s="198">
        <f t="shared" si="62"/>
        <v>0</v>
      </c>
      <c r="CK55" s="198">
        <f t="shared" si="63"/>
        <v>0</v>
      </c>
      <c r="CL55" s="198">
        <f t="shared" si="64"/>
        <v>3.7582852717240513E-13</v>
      </c>
      <c r="CM55" s="271">
        <f t="shared" si="65"/>
        <v>0</v>
      </c>
      <c r="CN55" s="198">
        <f t="shared" si="66"/>
        <v>8.6407392504770137E-11</v>
      </c>
      <c r="CO55" s="209">
        <f t="shared" si="71"/>
        <v>8.6031563977597736E-11</v>
      </c>
    </row>
    <row r="56" spans="2:93" x14ac:dyDescent="0.2">
      <c r="B56" s="221">
        <f>'DATA INPUT - DETAIL'!D47</f>
        <v>0</v>
      </c>
      <c r="C56" s="211">
        <f>'DATA INPUT - DETAIL'!E47</f>
        <v>0</v>
      </c>
      <c r="D56" s="257">
        <f>'DATA INPUT - DETAIL'!I47</f>
        <v>0</v>
      </c>
      <c r="E56" s="258">
        <f>'DATA INPUT - DETAIL'!K47</f>
        <v>0</v>
      </c>
      <c r="F56" s="258">
        <f>'DATA INPUT - DETAIL'!L47</f>
        <v>0</v>
      </c>
      <c r="G56" s="179">
        <f>'DATA INPUT - DETAIL'!M47*(1+$V$5)</f>
        <v>0</v>
      </c>
      <c r="H56" s="179">
        <f>'DATA INPUT - DETAIL'!N47*(1+$V$5)</f>
        <v>0</v>
      </c>
      <c r="I56" s="258">
        <f t="shared" si="72"/>
        <v>0</v>
      </c>
      <c r="J56" s="258">
        <f>'DATA INPUT - DETAIL'!O47</f>
        <v>0</v>
      </c>
      <c r="K56" s="258">
        <f>'DATA INPUT - DETAIL'!P47</f>
        <v>0</v>
      </c>
      <c r="L56" s="267">
        <f>ROUNDDOWN('DATA INPUT - DETAIL'!G47,0)</f>
        <v>0</v>
      </c>
      <c r="M56" s="196">
        <f t="shared" si="99"/>
        <v>0</v>
      </c>
      <c r="N56" s="196">
        <f t="shared" si="74"/>
        <v>0</v>
      </c>
      <c r="O56" s="196">
        <f t="shared" si="75"/>
        <v>0</v>
      </c>
      <c r="P56" s="196">
        <f t="shared" si="76"/>
        <v>0</v>
      </c>
      <c r="Q56" s="196">
        <f t="shared" si="77"/>
        <v>0</v>
      </c>
      <c r="R56" s="196">
        <f t="shared" si="78"/>
        <v>0</v>
      </c>
      <c r="S56" s="196">
        <f t="shared" si="79"/>
        <v>0</v>
      </c>
      <c r="T56" s="196">
        <f t="shared" si="80"/>
        <v>0</v>
      </c>
      <c r="U56" s="185">
        <f>(C56&gt;0)*(C56&lt;$E$5)*VLOOKUP(MPP,ASUMSI!$BN$77:$CR$108,B56+1)*(1+$V$4)</f>
        <v>0</v>
      </c>
      <c r="V56" s="196">
        <f t="shared" si="8"/>
        <v>0</v>
      </c>
      <c r="W56" s="196">
        <f t="shared" si="68"/>
        <v>0</v>
      </c>
      <c r="X56" s="196">
        <f t="shared" si="81"/>
        <v>0</v>
      </c>
      <c r="Y56" s="196">
        <f t="shared" si="82"/>
        <v>0</v>
      </c>
      <c r="Z56" s="196">
        <f t="shared" si="83"/>
        <v>0</v>
      </c>
      <c r="AA56" s="185">
        <f t="shared" si="28"/>
        <v>0</v>
      </c>
      <c r="AB56" s="196">
        <f t="shared" si="84"/>
        <v>0</v>
      </c>
      <c r="AC56" s="196">
        <f t="shared" si="84"/>
        <v>0</v>
      </c>
      <c r="AD56" s="196">
        <f t="shared" si="84"/>
        <v>0</v>
      </c>
      <c r="AE56" s="196">
        <f t="shared" si="85"/>
        <v>0</v>
      </c>
      <c r="AF56" s="196">
        <f t="shared" si="86"/>
        <v>0</v>
      </c>
      <c r="AG56" s="196">
        <f t="shared" si="87"/>
        <v>0</v>
      </c>
      <c r="AH56" s="196">
        <f t="shared" si="88"/>
        <v>0</v>
      </c>
      <c r="AI56" s="266">
        <f>'DATA INPUT - DETAIL'!R47</f>
        <v>0</v>
      </c>
      <c r="AJ56" s="266">
        <f>'DATA INPUT - DETAIL'!S47</f>
        <v>0</v>
      </c>
      <c r="AK56" s="266">
        <f>'DATA INPUT - DETAIL'!T47</f>
        <v>0</v>
      </c>
      <c r="AL56" s="266">
        <f>'DATA INPUT - DETAIL'!U47</f>
        <v>0</v>
      </c>
      <c r="AM56" s="266">
        <f>'DATA INPUT - DETAIL'!V47</f>
        <v>0</v>
      </c>
      <c r="AN56" s="266">
        <f>'DATA INPUT - DETAIL'!W47</f>
        <v>0</v>
      </c>
      <c r="AO56" s="198">
        <f t="shared" si="10"/>
        <v>0</v>
      </c>
      <c r="AP56" s="266">
        <f>'DATA INPUT - DETAIL'!X47</f>
        <v>0</v>
      </c>
      <c r="AQ56" s="266">
        <f>'DATA INPUT - DETAIL'!Y47</f>
        <v>0</v>
      </c>
      <c r="AR56" s="266">
        <f>'DATA INPUT - DETAIL'!Z47</f>
        <v>0</v>
      </c>
      <c r="AS56" s="266">
        <f>'DATA INPUT - DETAIL'!AD47</f>
        <v>0</v>
      </c>
      <c r="AT56" s="266">
        <f t="shared" si="33"/>
        <v>0</v>
      </c>
      <c r="AU56" s="206">
        <f>'DATA INPUT - DETAIL'!AA47</f>
        <v>0</v>
      </c>
      <c r="AV56" s="206">
        <f>'DATA INPUT - DETAIL'!AB47</f>
        <v>0</v>
      </c>
      <c r="AW56" s="206">
        <f>'DATA INPUT - DETAIL'!AC47</f>
        <v>0</v>
      </c>
      <c r="AX56" s="206">
        <f t="shared" si="89"/>
        <v>0</v>
      </c>
      <c r="AY56" s="206">
        <f t="shared" si="34"/>
        <v>0</v>
      </c>
      <c r="AZ56" s="206">
        <f t="shared" si="90"/>
        <v>0</v>
      </c>
      <c r="BA56" s="206">
        <f t="shared" si="91"/>
        <v>0</v>
      </c>
      <c r="BB56" s="206">
        <f t="shared" si="92"/>
        <v>0</v>
      </c>
      <c r="BC56" s="206">
        <f t="shared" si="93"/>
        <v>0</v>
      </c>
      <c r="BD56" s="206">
        <f t="shared" si="94"/>
        <v>0</v>
      </c>
      <c r="BE56" s="206">
        <f t="shared" si="95"/>
        <v>0</v>
      </c>
      <c r="BF56" s="206">
        <f t="shared" si="96"/>
        <v>0</v>
      </c>
      <c r="BG56" s="206">
        <f t="shared" si="97"/>
        <v>0</v>
      </c>
      <c r="BH56" s="206">
        <f t="shared" si="98"/>
        <v>0</v>
      </c>
      <c r="BI56" s="206">
        <f t="shared" si="19"/>
        <v>0</v>
      </c>
      <c r="BJ56" s="266">
        <f t="shared" si="37"/>
        <v>0</v>
      </c>
      <c r="BK56" s="266">
        <f t="shared" si="38"/>
        <v>0</v>
      </c>
      <c r="BL56" s="192">
        <f t="shared" si="39"/>
        <v>0</v>
      </c>
      <c r="BM56" s="192">
        <f t="shared" si="40"/>
        <v>0</v>
      </c>
      <c r="BN56" s="192">
        <f t="shared" si="41"/>
        <v>0</v>
      </c>
      <c r="BO56" s="192">
        <f t="shared" si="42"/>
        <v>0</v>
      </c>
      <c r="BP56" s="192">
        <f t="shared" si="43"/>
        <v>0</v>
      </c>
      <c r="BQ56" s="193">
        <f t="shared" si="44"/>
        <v>0</v>
      </c>
      <c r="BR56" s="193">
        <f t="shared" si="45"/>
        <v>0</v>
      </c>
      <c r="BS56" s="265">
        <f t="shared" si="46"/>
        <v>0</v>
      </c>
      <c r="BT56" s="265">
        <f t="shared" si="47"/>
        <v>0</v>
      </c>
      <c r="BU56" s="265">
        <f t="shared" si="48"/>
        <v>0</v>
      </c>
      <c r="BV56" s="265">
        <f t="shared" si="49"/>
        <v>0</v>
      </c>
      <c r="BW56" s="265">
        <f t="shared" si="50"/>
        <v>0</v>
      </c>
      <c r="BX56" s="265">
        <f t="shared" si="51"/>
        <v>0</v>
      </c>
      <c r="BY56" s="265">
        <f t="shared" si="52"/>
        <v>0</v>
      </c>
      <c r="BZ56" s="265">
        <f t="shared" si="53"/>
        <v>0</v>
      </c>
      <c r="CA56" s="265">
        <f t="shared" si="54"/>
        <v>0</v>
      </c>
      <c r="CB56" s="269">
        <f t="shared" si="55"/>
        <v>0</v>
      </c>
      <c r="CC56" s="266">
        <f t="shared" si="56"/>
        <v>0</v>
      </c>
      <c r="CD56" s="241"/>
      <c r="CE56" s="198">
        <f t="shared" si="70"/>
        <v>8.6407392504770137E-11</v>
      </c>
      <c r="CF56" s="198">
        <f t="shared" si="58"/>
        <v>0</v>
      </c>
      <c r="CG56" s="198">
        <f t="shared" si="59"/>
        <v>0</v>
      </c>
      <c r="CH56" s="198">
        <f t="shared" si="60"/>
        <v>0</v>
      </c>
      <c r="CI56" s="198">
        <f t="shared" si="61"/>
        <v>0</v>
      </c>
      <c r="CJ56" s="198">
        <f t="shared" si="62"/>
        <v>0</v>
      </c>
      <c r="CK56" s="198">
        <f t="shared" si="63"/>
        <v>0</v>
      </c>
      <c r="CL56" s="198">
        <f t="shared" si="64"/>
        <v>3.7747033252042088E-13</v>
      </c>
      <c r="CM56" s="271">
        <f t="shared" si="65"/>
        <v>0</v>
      </c>
      <c r="CN56" s="198">
        <f t="shared" si="66"/>
        <v>8.6784862837290555E-11</v>
      </c>
      <c r="CO56" s="209">
        <f t="shared" si="71"/>
        <v>8.6407392504770137E-11</v>
      </c>
    </row>
    <row r="57" spans="2:93" x14ac:dyDescent="0.2">
      <c r="B57" s="221">
        <f>'DATA INPUT - DETAIL'!D48</f>
        <v>0</v>
      </c>
      <c r="C57" s="211">
        <f>'DATA INPUT - DETAIL'!E48</f>
        <v>0</v>
      </c>
      <c r="D57" s="257">
        <f>'DATA INPUT - DETAIL'!I48</f>
        <v>0</v>
      </c>
      <c r="E57" s="258">
        <f>'DATA INPUT - DETAIL'!K48</f>
        <v>0</v>
      </c>
      <c r="F57" s="258">
        <f>'DATA INPUT - DETAIL'!L48</f>
        <v>0</v>
      </c>
      <c r="G57" s="179">
        <f>'DATA INPUT - DETAIL'!M48*(1+$V$5)</f>
        <v>0</v>
      </c>
      <c r="H57" s="179">
        <f>'DATA INPUT - DETAIL'!N48*(1+$V$5)</f>
        <v>0</v>
      </c>
      <c r="I57" s="258">
        <f t="shared" si="72"/>
        <v>0</v>
      </c>
      <c r="J57" s="258">
        <f>'DATA INPUT - DETAIL'!O48</f>
        <v>0</v>
      </c>
      <c r="K57" s="258">
        <f>'DATA INPUT - DETAIL'!P48</f>
        <v>0</v>
      </c>
      <c r="L57" s="267">
        <f>ROUNDDOWN('DATA INPUT - DETAIL'!G48,0)</f>
        <v>0</v>
      </c>
      <c r="M57" s="196">
        <f t="shared" si="99"/>
        <v>0</v>
      </c>
      <c r="N57" s="196">
        <f t="shared" si="74"/>
        <v>0</v>
      </c>
      <c r="O57" s="196">
        <f t="shared" si="75"/>
        <v>0</v>
      </c>
      <c r="P57" s="196">
        <f t="shared" si="76"/>
        <v>0</v>
      </c>
      <c r="Q57" s="196">
        <f t="shared" si="77"/>
        <v>0</v>
      </c>
      <c r="R57" s="196">
        <f t="shared" si="78"/>
        <v>0</v>
      </c>
      <c r="S57" s="196">
        <f t="shared" si="79"/>
        <v>0</v>
      </c>
      <c r="T57" s="196">
        <f t="shared" si="80"/>
        <v>0</v>
      </c>
      <c r="U57" s="185">
        <f>(C57&gt;0)*(C57&lt;$E$5)*VLOOKUP(MPP,ASUMSI!$BN$77:$CR$108,B57+1)*(1+$V$4)</f>
        <v>0</v>
      </c>
      <c r="V57" s="196">
        <f t="shared" si="8"/>
        <v>0</v>
      </c>
      <c r="W57" s="196">
        <f t="shared" si="68"/>
        <v>0</v>
      </c>
      <c r="X57" s="196">
        <f t="shared" si="81"/>
        <v>0</v>
      </c>
      <c r="Y57" s="196">
        <f t="shared" si="82"/>
        <v>0</v>
      </c>
      <c r="Z57" s="196">
        <f t="shared" si="83"/>
        <v>0</v>
      </c>
      <c r="AA57" s="185">
        <f t="shared" si="28"/>
        <v>0</v>
      </c>
      <c r="AB57" s="196">
        <f t="shared" si="84"/>
        <v>0</v>
      </c>
      <c r="AC57" s="196">
        <f t="shared" si="84"/>
        <v>0</v>
      </c>
      <c r="AD57" s="196">
        <f t="shared" si="84"/>
        <v>0</v>
      </c>
      <c r="AE57" s="196">
        <f t="shared" si="85"/>
        <v>0</v>
      </c>
      <c r="AF57" s="196">
        <f t="shared" si="86"/>
        <v>0</v>
      </c>
      <c r="AG57" s="196">
        <f t="shared" si="87"/>
        <v>0</v>
      </c>
      <c r="AH57" s="196">
        <f t="shared" si="88"/>
        <v>0</v>
      </c>
      <c r="AI57" s="266">
        <f>'DATA INPUT - DETAIL'!R48</f>
        <v>0</v>
      </c>
      <c r="AJ57" s="266">
        <f>'DATA INPUT - DETAIL'!S48</f>
        <v>0</v>
      </c>
      <c r="AK57" s="266">
        <f>'DATA INPUT - DETAIL'!T48</f>
        <v>0</v>
      </c>
      <c r="AL57" s="266">
        <f>'DATA INPUT - DETAIL'!U48</f>
        <v>0</v>
      </c>
      <c r="AM57" s="266">
        <f>'DATA INPUT - DETAIL'!V48</f>
        <v>0</v>
      </c>
      <c r="AN57" s="266">
        <f>'DATA INPUT - DETAIL'!W48</f>
        <v>0</v>
      </c>
      <c r="AO57" s="198">
        <f t="shared" si="10"/>
        <v>0</v>
      </c>
      <c r="AP57" s="266">
        <f>'DATA INPUT - DETAIL'!X48</f>
        <v>0</v>
      </c>
      <c r="AQ57" s="266">
        <f>'DATA INPUT - DETAIL'!Y48</f>
        <v>0</v>
      </c>
      <c r="AR57" s="266">
        <f>'DATA INPUT - DETAIL'!Z48</f>
        <v>0</v>
      </c>
      <c r="AS57" s="266">
        <f>'DATA INPUT - DETAIL'!AD48</f>
        <v>0</v>
      </c>
      <c r="AT57" s="266">
        <f t="shared" si="33"/>
        <v>0</v>
      </c>
      <c r="AU57" s="206">
        <f>'DATA INPUT - DETAIL'!AA48</f>
        <v>0</v>
      </c>
      <c r="AV57" s="206">
        <f>'DATA INPUT - DETAIL'!AB48</f>
        <v>0</v>
      </c>
      <c r="AW57" s="206">
        <f>'DATA INPUT - DETAIL'!AC48</f>
        <v>0</v>
      </c>
      <c r="AX57" s="206">
        <f t="shared" si="89"/>
        <v>0</v>
      </c>
      <c r="AY57" s="206">
        <f t="shared" si="34"/>
        <v>0</v>
      </c>
      <c r="AZ57" s="206">
        <f t="shared" si="90"/>
        <v>0</v>
      </c>
      <c r="BA57" s="206">
        <f t="shared" si="91"/>
        <v>0</v>
      </c>
      <c r="BB57" s="206">
        <f t="shared" si="92"/>
        <v>0</v>
      </c>
      <c r="BC57" s="206">
        <f t="shared" si="93"/>
        <v>0</v>
      </c>
      <c r="BD57" s="206">
        <f t="shared" si="94"/>
        <v>0</v>
      </c>
      <c r="BE57" s="206">
        <f t="shared" si="95"/>
        <v>0</v>
      </c>
      <c r="BF57" s="206">
        <f t="shared" si="96"/>
        <v>0</v>
      </c>
      <c r="BG57" s="206">
        <f t="shared" si="97"/>
        <v>0</v>
      </c>
      <c r="BH57" s="206">
        <f t="shared" si="98"/>
        <v>0</v>
      </c>
      <c r="BI57" s="206">
        <f t="shared" si="19"/>
        <v>0</v>
      </c>
      <c r="BJ57" s="266">
        <f t="shared" si="37"/>
        <v>0</v>
      </c>
      <c r="BK57" s="266">
        <f t="shared" si="38"/>
        <v>0</v>
      </c>
      <c r="BL57" s="192">
        <f t="shared" si="39"/>
        <v>0</v>
      </c>
      <c r="BM57" s="192">
        <f t="shared" si="40"/>
        <v>0</v>
      </c>
      <c r="BN57" s="192">
        <f t="shared" si="41"/>
        <v>0</v>
      </c>
      <c r="BO57" s="192">
        <f t="shared" si="42"/>
        <v>0</v>
      </c>
      <c r="BP57" s="192">
        <f t="shared" si="43"/>
        <v>0</v>
      </c>
      <c r="BQ57" s="193">
        <f t="shared" si="44"/>
        <v>0</v>
      </c>
      <c r="BR57" s="193">
        <f t="shared" si="45"/>
        <v>0</v>
      </c>
      <c r="BS57" s="265">
        <f t="shared" si="46"/>
        <v>0</v>
      </c>
      <c r="BT57" s="265">
        <f t="shared" si="47"/>
        <v>0</v>
      </c>
      <c r="BU57" s="265">
        <f t="shared" si="48"/>
        <v>0</v>
      </c>
      <c r="BV57" s="265">
        <f t="shared" si="49"/>
        <v>0</v>
      </c>
      <c r="BW57" s="265">
        <f t="shared" si="50"/>
        <v>0</v>
      </c>
      <c r="BX57" s="265">
        <f t="shared" si="51"/>
        <v>0</v>
      </c>
      <c r="BY57" s="265">
        <f t="shared" si="52"/>
        <v>0</v>
      </c>
      <c r="BZ57" s="265">
        <f t="shared" si="53"/>
        <v>0</v>
      </c>
      <c r="CA57" s="265">
        <f t="shared" si="54"/>
        <v>0</v>
      </c>
      <c r="CB57" s="269">
        <f t="shared" si="55"/>
        <v>0</v>
      </c>
      <c r="CC57" s="266">
        <f t="shared" si="56"/>
        <v>0</v>
      </c>
      <c r="CD57" s="241"/>
      <c r="CE57" s="198">
        <f t="shared" si="70"/>
        <v>8.6784862837290555E-11</v>
      </c>
      <c r="CF57" s="198">
        <f t="shared" si="58"/>
        <v>0</v>
      </c>
      <c r="CG57" s="198">
        <f t="shared" si="59"/>
        <v>0</v>
      </c>
      <c r="CH57" s="198">
        <f t="shared" si="60"/>
        <v>0</v>
      </c>
      <c r="CI57" s="198">
        <f t="shared" si="61"/>
        <v>0</v>
      </c>
      <c r="CJ57" s="198">
        <f t="shared" si="62"/>
        <v>0</v>
      </c>
      <c r="CK57" s="198">
        <f t="shared" si="63"/>
        <v>0</v>
      </c>
      <c r="CL57" s="198">
        <f t="shared" si="64"/>
        <v>3.7911931008822806E-13</v>
      </c>
      <c r="CM57" s="271">
        <f t="shared" si="65"/>
        <v>0</v>
      </c>
      <c r="CN57" s="198">
        <f t="shared" si="66"/>
        <v>8.716398214737878E-11</v>
      </c>
      <c r="CO57" s="209">
        <f t="shared" si="71"/>
        <v>8.6784862837290555E-11</v>
      </c>
    </row>
    <row r="58" spans="2:93" x14ac:dyDescent="0.2">
      <c r="B58" s="221">
        <f>'DATA INPUT - DETAIL'!D49</f>
        <v>0</v>
      </c>
      <c r="C58" s="211">
        <f>'DATA INPUT - DETAIL'!E49</f>
        <v>0</v>
      </c>
      <c r="D58" s="257">
        <f>'DATA INPUT - DETAIL'!I49</f>
        <v>0</v>
      </c>
      <c r="E58" s="258">
        <f>'DATA INPUT - DETAIL'!K49</f>
        <v>0</v>
      </c>
      <c r="F58" s="258">
        <f>'DATA INPUT - DETAIL'!L49</f>
        <v>0</v>
      </c>
      <c r="G58" s="179">
        <f>'DATA INPUT - DETAIL'!M49*(1+$V$5)</f>
        <v>0</v>
      </c>
      <c r="H58" s="179">
        <f>'DATA INPUT - DETAIL'!N49*(1+$V$5)</f>
        <v>0</v>
      </c>
      <c r="I58" s="258">
        <f t="shared" si="72"/>
        <v>0</v>
      </c>
      <c r="J58" s="258">
        <f>'DATA INPUT - DETAIL'!O49</f>
        <v>0</v>
      </c>
      <c r="K58" s="258">
        <f>'DATA INPUT - DETAIL'!P49</f>
        <v>0</v>
      </c>
      <c r="L58" s="267">
        <f>ROUNDDOWN('DATA INPUT - DETAIL'!G49,0)</f>
        <v>0</v>
      </c>
      <c r="M58" s="196">
        <f t="shared" si="99"/>
        <v>0</v>
      </c>
      <c r="N58" s="196">
        <f t="shared" si="74"/>
        <v>0</v>
      </c>
      <c r="O58" s="196">
        <f t="shared" si="75"/>
        <v>0</v>
      </c>
      <c r="P58" s="196">
        <f t="shared" si="76"/>
        <v>0</v>
      </c>
      <c r="Q58" s="196">
        <f t="shared" si="77"/>
        <v>0</v>
      </c>
      <c r="R58" s="196">
        <f t="shared" si="78"/>
        <v>0</v>
      </c>
      <c r="S58" s="196">
        <f t="shared" si="79"/>
        <v>0</v>
      </c>
      <c r="T58" s="196">
        <f t="shared" si="80"/>
        <v>0</v>
      </c>
      <c r="U58" s="185">
        <f>(C58&gt;0)*(C58&lt;$E$5)*VLOOKUP(MPP,ASUMSI!$BN$77:$CR$108,B58+1)*(1+$V$4)</f>
        <v>0</v>
      </c>
      <c r="V58" s="196">
        <f t="shared" si="8"/>
        <v>0</v>
      </c>
      <c r="W58" s="196">
        <f t="shared" si="68"/>
        <v>0</v>
      </c>
      <c r="X58" s="196">
        <f t="shared" si="81"/>
        <v>0</v>
      </c>
      <c r="Y58" s="196">
        <f t="shared" si="82"/>
        <v>0</v>
      </c>
      <c r="Z58" s="196">
        <f t="shared" si="83"/>
        <v>0</v>
      </c>
      <c r="AA58" s="185">
        <f t="shared" si="28"/>
        <v>0</v>
      </c>
      <c r="AB58" s="196">
        <f t="shared" si="84"/>
        <v>0</v>
      </c>
      <c r="AC58" s="196">
        <f t="shared" si="84"/>
        <v>0</v>
      </c>
      <c r="AD58" s="196">
        <f t="shared" si="84"/>
        <v>0</v>
      </c>
      <c r="AE58" s="196">
        <f t="shared" si="85"/>
        <v>0</v>
      </c>
      <c r="AF58" s="196">
        <f t="shared" si="86"/>
        <v>0</v>
      </c>
      <c r="AG58" s="196">
        <f t="shared" si="87"/>
        <v>0</v>
      </c>
      <c r="AH58" s="196">
        <f t="shared" si="88"/>
        <v>0</v>
      </c>
      <c r="AI58" s="266">
        <f>'DATA INPUT - DETAIL'!R49</f>
        <v>0</v>
      </c>
      <c r="AJ58" s="266">
        <f>'DATA INPUT - DETAIL'!S49</f>
        <v>0</v>
      </c>
      <c r="AK58" s="266">
        <f>'DATA INPUT - DETAIL'!T49</f>
        <v>0</v>
      </c>
      <c r="AL58" s="266">
        <f>'DATA INPUT - DETAIL'!U49</f>
        <v>0</v>
      </c>
      <c r="AM58" s="266">
        <f>'DATA INPUT - DETAIL'!V49</f>
        <v>0</v>
      </c>
      <c r="AN58" s="266">
        <f>'DATA INPUT - DETAIL'!W49</f>
        <v>0</v>
      </c>
      <c r="AO58" s="198">
        <f t="shared" si="10"/>
        <v>0</v>
      </c>
      <c r="AP58" s="266">
        <f>'DATA INPUT - DETAIL'!X49</f>
        <v>0</v>
      </c>
      <c r="AQ58" s="266">
        <f>'DATA INPUT - DETAIL'!Y49</f>
        <v>0</v>
      </c>
      <c r="AR58" s="266">
        <f>'DATA INPUT - DETAIL'!Z49</f>
        <v>0</v>
      </c>
      <c r="AS58" s="266">
        <f>'DATA INPUT - DETAIL'!AD49</f>
        <v>0</v>
      </c>
      <c r="AT58" s="266">
        <f t="shared" si="33"/>
        <v>0</v>
      </c>
      <c r="AU58" s="206">
        <f>'DATA INPUT - DETAIL'!AA49</f>
        <v>0</v>
      </c>
      <c r="AV58" s="206">
        <f>'DATA INPUT - DETAIL'!AB49</f>
        <v>0</v>
      </c>
      <c r="AW58" s="206">
        <f>'DATA INPUT - DETAIL'!AC49</f>
        <v>0</v>
      </c>
      <c r="AX58" s="206">
        <f t="shared" si="89"/>
        <v>0</v>
      </c>
      <c r="AY58" s="206">
        <f t="shared" si="34"/>
        <v>0</v>
      </c>
      <c r="AZ58" s="206">
        <f t="shared" si="90"/>
        <v>0</v>
      </c>
      <c r="BA58" s="206">
        <f t="shared" si="91"/>
        <v>0</v>
      </c>
      <c r="BB58" s="206">
        <f t="shared" si="92"/>
        <v>0</v>
      </c>
      <c r="BC58" s="206">
        <f t="shared" si="93"/>
        <v>0</v>
      </c>
      <c r="BD58" s="206">
        <f t="shared" si="94"/>
        <v>0</v>
      </c>
      <c r="BE58" s="206">
        <f t="shared" si="95"/>
        <v>0</v>
      </c>
      <c r="BF58" s="206">
        <f t="shared" si="96"/>
        <v>0</v>
      </c>
      <c r="BG58" s="206">
        <f t="shared" si="97"/>
        <v>0</v>
      </c>
      <c r="BH58" s="206">
        <f t="shared" si="98"/>
        <v>0</v>
      </c>
      <c r="BI58" s="206">
        <f t="shared" si="19"/>
        <v>0</v>
      </c>
      <c r="BJ58" s="266">
        <f t="shared" si="37"/>
        <v>0</v>
      </c>
      <c r="BK58" s="266">
        <f t="shared" si="38"/>
        <v>0</v>
      </c>
      <c r="BL58" s="192">
        <f t="shared" si="39"/>
        <v>0</v>
      </c>
      <c r="BM58" s="192">
        <f t="shared" si="40"/>
        <v>0</v>
      </c>
      <c r="BN58" s="192">
        <f t="shared" si="41"/>
        <v>0</v>
      </c>
      <c r="BO58" s="192">
        <f t="shared" si="42"/>
        <v>0</v>
      </c>
      <c r="BP58" s="192">
        <f t="shared" si="43"/>
        <v>0</v>
      </c>
      <c r="BQ58" s="193">
        <f t="shared" si="44"/>
        <v>0</v>
      </c>
      <c r="BR58" s="193">
        <f t="shared" si="45"/>
        <v>0</v>
      </c>
      <c r="BS58" s="265">
        <f t="shared" si="46"/>
        <v>0</v>
      </c>
      <c r="BT58" s="265">
        <f t="shared" si="47"/>
        <v>0</v>
      </c>
      <c r="BU58" s="265">
        <f t="shared" si="48"/>
        <v>0</v>
      </c>
      <c r="BV58" s="265">
        <f t="shared" si="49"/>
        <v>0</v>
      </c>
      <c r="BW58" s="265">
        <f t="shared" si="50"/>
        <v>0</v>
      </c>
      <c r="BX58" s="265">
        <f t="shared" si="51"/>
        <v>0</v>
      </c>
      <c r="BY58" s="265">
        <f t="shared" si="52"/>
        <v>0</v>
      </c>
      <c r="BZ58" s="265">
        <f t="shared" si="53"/>
        <v>0</v>
      </c>
      <c r="CA58" s="265">
        <f t="shared" si="54"/>
        <v>0</v>
      </c>
      <c r="CB58" s="269">
        <f t="shared" si="55"/>
        <v>0</v>
      </c>
      <c r="CC58" s="266">
        <f t="shared" si="56"/>
        <v>0</v>
      </c>
      <c r="CD58" s="241"/>
      <c r="CE58" s="198">
        <f t="shared" si="70"/>
        <v>8.716398214737878E-11</v>
      </c>
      <c r="CF58" s="198">
        <f t="shared" si="58"/>
        <v>0</v>
      </c>
      <c r="CG58" s="198">
        <f t="shared" si="59"/>
        <v>0</v>
      </c>
      <c r="CH58" s="198">
        <f t="shared" si="60"/>
        <v>0</v>
      </c>
      <c r="CI58" s="198">
        <f t="shared" si="61"/>
        <v>0</v>
      </c>
      <c r="CJ58" s="198">
        <f t="shared" si="62"/>
        <v>0</v>
      </c>
      <c r="CK58" s="198">
        <f t="shared" si="63"/>
        <v>0</v>
      </c>
      <c r="CL58" s="198">
        <f t="shared" si="64"/>
        <v>3.8077549120763882E-13</v>
      </c>
      <c r="CM58" s="271">
        <f t="shared" si="65"/>
        <v>0</v>
      </c>
      <c r="CN58" s="198">
        <f t="shared" si="66"/>
        <v>8.754475763858642E-11</v>
      </c>
      <c r="CO58" s="209">
        <f t="shared" si="71"/>
        <v>8.716398214737878E-11</v>
      </c>
    </row>
    <row r="59" spans="2:93" x14ac:dyDescent="0.2">
      <c r="B59" s="221">
        <f>'DATA INPUT - DETAIL'!D50</f>
        <v>0</v>
      </c>
      <c r="C59" s="211">
        <f>'DATA INPUT - DETAIL'!E50</f>
        <v>0</v>
      </c>
      <c r="D59" s="257">
        <f>'DATA INPUT - DETAIL'!I50</f>
        <v>0</v>
      </c>
      <c r="E59" s="258">
        <f>'DATA INPUT - DETAIL'!K50</f>
        <v>0</v>
      </c>
      <c r="F59" s="258">
        <f>'DATA INPUT - DETAIL'!L50</f>
        <v>0</v>
      </c>
      <c r="G59" s="179">
        <f>'DATA INPUT - DETAIL'!M50*(1+$V$5)</f>
        <v>0</v>
      </c>
      <c r="H59" s="179">
        <f>'DATA INPUT - DETAIL'!N50*(1+$V$5)</f>
        <v>0</v>
      </c>
      <c r="I59" s="258">
        <f t="shared" si="72"/>
        <v>0</v>
      </c>
      <c r="J59" s="258">
        <f>'DATA INPUT - DETAIL'!O50</f>
        <v>0</v>
      </c>
      <c r="K59" s="258">
        <f>'DATA INPUT - DETAIL'!P50</f>
        <v>0</v>
      </c>
      <c r="L59" s="267">
        <f>ROUNDDOWN('DATA INPUT - DETAIL'!G50,0)</f>
        <v>0</v>
      </c>
      <c r="M59" s="196">
        <f t="shared" si="99"/>
        <v>0</v>
      </c>
      <c r="N59" s="196">
        <f t="shared" si="74"/>
        <v>0</v>
      </c>
      <c r="O59" s="196">
        <f t="shared" si="75"/>
        <v>0</v>
      </c>
      <c r="P59" s="196">
        <f t="shared" si="76"/>
        <v>0</v>
      </c>
      <c r="Q59" s="196">
        <f t="shared" si="77"/>
        <v>0</v>
      </c>
      <c r="R59" s="196">
        <f t="shared" si="78"/>
        <v>0</v>
      </c>
      <c r="S59" s="196">
        <f t="shared" si="79"/>
        <v>0</v>
      </c>
      <c r="T59" s="196">
        <f t="shared" si="80"/>
        <v>0</v>
      </c>
      <c r="U59" s="185">
        <f>(C59&gt;0)*(C59&lt;$E$5)*VLOOKUP(MPP,ASUMSI!$BN$77:$CR$108,B59+1)*(1+$V$4)</f>
        <v>0</v>
      </c>
      <c r="V59" s="196">
        <f t="shared" si="8"/>
        <v>0</v>
      </c>
      <c r="W59" s="196">
        <f t="shared" si="68"/>
        <v>0</v>
      </c>
      <c r="X59" s="196">
        <f t="shared" si="81"/>
        <v>0</v>
      </c>
      <c r="Y59" s="196">
        <f t="shared" si="82"/>
        <v>0</v>
      </c>
      <c r="Z59" s="196">
        <f t="shared" si="83"/>
        <v>0</v>
      </c>
      <c r="AA59" s="185">
        <f t="shared" si="28"/>
        <v>0</v>
      </c>
      <c r="AB59" s="196">
        <f t="shared" si="84"/>
        <v>0</v>
      </c>
      <c r="AC59" s="196">
        <f t="shared" si="84"/>
        <v>0</v>
      </c>
      <c r="AD59" s="196">
        <f t="shared" si="84"/>
        <v>0</v>
      </c>
      <c r="AE59" s="196">
        <f t="shared" si="85"/>
        <v>0</v>
      </c>
      <c r="AF59" s="196">
        <f t="shared" si="86"/>
        <v>0</v>
      </c>
      <c r="AG59" s="196">
        <f t="shared" si="87"/>
        <v>0</v>
      </c>
      <c r="AH59" s="196">
        <f t="shared" si="88"/>
        <v>0</v>
      </c>
      <c r="AI59" s="266">
        <f>'DATA INPUT - DETAIL'!R50</f>
        <v>0</v>
      </c>
      <c r="AJ59" s="266">
        <f>'DATA INPUT - DETAIL'!S50</f>
        <v>0</v>
      </c>
      <c r="AK59" s="266">
        <f>'DATA INPUT - DETAIL'!T50</f>
        <v>0</v>
      </c>
      <c r="AL59" s="266">
        <f>'DATA INPUT - DETAIL'!U50</f>
        <v>0</v>
      </c>
      <c r="AM59" s="266">
        <f>'DATA INPUT - DETAIL'!V50</f>
        <v>0</v>
      </c>
      <c r="AN59" s="266">
        <f>'DATA INPUT - DETAIL'!W50</f>
        <v>0</v>
      </c>
      <c r="AO59" s="198">
        <f t="shared" si="10"/>
        <v>0</v>
      </c>
      <c r="AP59" s="266">
        <f>'DATA INPUT - DETAIL'!X50</f>
        <v>0</v>
      </c>
      <c r="AQ59" s="266">
        <f>'DATA INPUT - DETAIL'!Y50</f>
        <v>0</v>
      </c>
      <c r="AR59" s="266">
        <f>'DATA INPUT - DETAIL'!Z50</f>
        <v>0</v>
      </c>
      <c r="AS59" s="266">
        <f>'DATA INPUT - DETAIL'!AD50</f>
        <v>0</v>
      </c>
      <c r="AT59" s="266">
        <f t="shared" si="33"/>
        <v>0</v>
      </c>
      <c r="AU59" s="206">
        <f>'DATA INPUT - DETAIL'!AA50</f>
        <v>0</v>
      </c>
      <c r="AV59" s="206">
        <f>'DATA INPUT - DETAIL'!AB50</f>
        <v>0</v>
      </c>
      <c r="AW59" s="206">
        <f>'DATA INPUT - DETAIL'!AC50</f>
        <v>0</v>
      </c>
      <c r="AX59" s="206">
        <f t="shared" si="89"/>
        <v>0</v>
      </c>
      <c r="AY59" s="206">
        <f t="shared" si="34"/>
        <v>0</v>
      </c>
      <c r="AZ59" s="206">
        <f t="shared" si="90"/>
        <v>0</v>
      </c>
      <c r="BA59" s="206">
        <f t="shared" si="91"/>
        <v>0</v>
      </c>
      <c r="BB59" s="206">
        <f t="shared" si="92"/>
        <v>0</v>
      </c>
      <c r="BC59" s="206">
        <f t="shared" si="93"/>
        <v>0</v>
      </c>
      <c r="BD59" s="206">
        <f t="shared" si="94"/>
        <v>0</v>
      </c>
      <c r="BE59" s="206">
        <f t="shared" si="95"/>
        <v>0</v>
      </c>
      <c r="BF59" s="206">
        <f t="shared" si="96"/>
        <v>0</v>
      </c>
      <c r="BG59" s="206">
        <f t="shared" si="97"/>
        <v>0</v>
      </c>
      <c r="BH59" s="206">
        <f t="shared" si="98"/>
        <v>0</v>
      </c>
      <c r="BI59" s="206">
        <f t="shared" si="19"/>
        <v>0</v>
      </c>
      <c r="BJ59" s="266">
        <f t="shared" si="37"/>
        <v>0</v>
      </c>
      <c r="BK59" s="266">
        <f t="shared" si="38"/>
        <v>0</v>
      </c>
      <c r="BL59" s="192">
        <f t="shared" si="39"/>
        <v>0</v>
      </c>
      <c r="BM59" s="192">
        <f t="shared" si="40"/>
        <v>0</v>
      </c>
      <c r="BN59" s="192">
        <f t="shared" si="41"/>
        <v>0</v>
      </c>
      <c r="BO59" s="192">
        <f t="shared" si="42"/>
        <v>0</v>
      </c>
      <c r="BP59" s="192">
        <f t="shared" si="43"/>
        <v>0</v>
      </c>
      <c r="BQ59" s="193">
        <f t="shared" si="44"/>
        <v>0</v>
      </c>
      <c r="BR59" s="193">
        <f t="shared" si="45"/>
        <v>0</v>
      </c>
      <c r="BS59" s="265">
        <f t="shared" si="46"/>
        <v>0</v>
      </c>
      <c r="BT59" s="265">
        <f t="shared" si="47"/>
        <v>0</v>
      </c>
      <c r="BU59" s="265">
        <f t="shared" si="48"/>
        <v>0</v>
      </c>
      <c r="BV59" s="265">
        <f t="shared" si="49"/>
        <v>0</v>
      </c>
      <c r="BW59" s="265">
        <f t="shared" si="50"/>
        <v>0</v>
      </c>
      <c r="BX59" s="265">
        <f t="shared" si="51"/>
        <v>0</v>
      </c>
      <c r="BY59" s="265">
        <f t="shared" si="52"/>
        <v>0</v>
      </c>
      <c r="BZ59" s="265">
        <f t="shared" si="53"/>
        <v>0</v>
      </c>
      <c r="CA59" s="265">
        <f t="shared" si="54"/>
        <v>0</v>
      </c>
      <c r="CB59" s="269">
        <f t="shared" si="55"/>
        <v>0</v>
      </c>
      <c r="CC59" s="266">
        <f t="shared" si="56"/>
        <v>0</v>
      </c>
      <c r="CD59" s="241"/>
      <c r="CE59" s="198">
        <f t="shared" si="70"/>
        <v>8.754475763858642E-11</v>
      </c>
      <c r="CF59" s="198">
        <f t="shared" si="58"/>
        <v>0</v>
      </c>
      <c r="CG59" s="198">
        <f t="shared" si="59"/>
        <v>0</v>
      </c>
      <c r="CH59" s="198">
        <f t="shared" si="60"/>
        <v>0</v>
      </c>
      <c r="CI59" s="198">
        <f t="shared" si="61"/>
        <v>0</v>
      </c>
      <c r="CJ59" s="198">
        <f t="shared" si="62"/>
        <v>0</v>
      </c>
      <c r="CK59" s="198">
        <f t="shared" si="63"/>
        <v>0</v>
      </c>
      <c r="CL59" s="198">
        <f t="shared" si="64"/>
        <v>3.8243890734733819E-13</v>
      </c>
      <c r="CM59" s="271">
        <f t="shared" si="65"/>
        <v>0</v>
      </c>
      <c r="CN59" s="198">
        <f t="shared" si="66"/>
        <v>8.792719654593376E-11</v>
      </c>
      <c r="CO59" s="209">
        <f t="shared" si="71"/>
        <v>8.754475763858642E-11</v>
      </c>
    </row>
    <row r="60" spans="2:93" x14ac:dyDescent="0.2">
      <c r="B60" s="221">
        <f>'DATA INPUT - DETAIL'!D51</f>
        <v>0</v>
      </c>
      <c r="C60" s="211">
        <f>'DATA INPUT - DETAIL'!E51</f>
        <v>0</v>
      </c>
      <c r="D60" s="257">
        <f>'DATA INPUT - DETAIL'!I51</f>
        <v>0</v>
      </c>
      <c r="E60" s="258">
        <f>'DATA INPUT - DETAIL'!K51</f>
        <v>0</v>
      </c>
      <c r="F60" s="258">
        <f>'DATA INPUT - DETAIL'!L51</f>
        <v>0</v>
      </c>
      <c r="G60" s="179">
        <f>'DATA INPUT - DETAIL'!M51*(1+$V$5)</f>
        <v>0</v>
      </c>
      <c r="H60" s="179">
        <f>'DATA INPUT - DETAIL'!N51*(1+$V$5)</f>
        <v>0</v>
      </c>
      <c r="I60" s="258">
        <f t="shared" si="72"/>
        <v>0</v>
      </c>
      <c r="J60" s="258">
        <f>'DATA INPUT - DETAIL'!O51</f>
        <v>0</v>
      </c>
      <c r="K60" s="258">
        <f>'DATA INPUT - DETAIL'!P51</f>
        <v>0</v>
      </c>
      <c r="L60" s="267">
        <f>ROUNDDOWN('DATA INPUT - DETAIL'!G51,0)</f>
        <v>0</v>
      </c>
      <c r="M60" s="196">
        <f t="shared" si="99"/>
        <v>0</v>
      </c>
      <c r="N60" s="196">
        <f t="shared" si="74"/>
        <v>0</v>
      </c>
      <c r="O60" s="196">
        <f t="shared" si="75"/>
        <v>0</v>
      </c>
      <c r="P60" s="196">
        <f t="shared" si="76"/>
        <v>0</v>
      </c>
      <c r="Q60" s="196">
        <f t="shared" si="77"/>
        <v>0</v>
      </c>
      <c r="R60" s="196">
        <f t="shared" si="78"/>
        <v>0</v>
      </c>
      <c r="S60" s="196">
        <f t="shared" si="79"/>
        <v>0</v>
      </c>
      <c r="T60" s="196">
        <f t="shared" si="80"/>
        <v>0</v>
      </c>
      <c r="U60" s="185">
        <f>(C60&gt;0)*(C60&lt;$E$5)*VLOOKUP(MPP,ASUMSI!$BN$77:$CR$108,B60+1)*(1+$V$4)</f>
        <v>0</v>
      </c>
      <c r="V60" s="196">
        <f t="shared" si="8"/>
        <v>0</v>
      </c>
      <c r="W60" s="196">
        <f t="shared" si="68"/>
        <v>0</v>
      </c>
      <c r="X60" s="196">
        <f t="shared" si="81"/>
        <v>0</v>
      </c>
      <c r="Y60" s="196">
        <f t="shared" si="82"/>
        <v>0</v>
      </c>
      <c r="Z60" s="196">
        <f t="shared" si="83"/>
        <v>0</v>
      </c>
      <c r="AA60" s="185">
        <f t="shared" si="28"/>
        <v>0</v>
      </c>
      <c r="AB60" s="196">
        <f t="shared" si="84"/>
        <v>0</v>
      </c>
      <c r="AC60" s="196">
        <f t="shared" si="84"/>
        <v>0</v>
      </c>
      <c r="AD60" s="196">
        <f t="shared" si="84"/>
        <v>0</v>
      </c>
      <c r="AE60" s="196">
        <f t="shared" si="85"/>
        <v>0</v>
      </c>
      <c r="AF60" s="196">
        <f t="shared" si="86"/>
        <v>0</v>
      </c>
      <c r="AG60" s="196">
        <f t="shared" si="87"/>
        <v>0</v>
      </c>
      <c r="AH60" s="196">
        <f t="shared" si="88"/>
        <v>0</v>
      </c>
      <c r="AI60" s="266">
        <f>'DATA INPUT - DETAIL'!R51</f>
        <v>0</v>
      </c>
      <c r="AJ60" s="266">
        <f>'DATA INPUT - DETAIL'!S51</f>
        <v>0</v>
      </c>
      <c r="AK60" s="266">
        <f>'DATA INPUT - DETAIL'!T51</f>
        <v>0</v>
      </c>
      <c r="AL60" s="266">
        <f>'DATA INPUT - DETAIL'!U51</f>
        <v>0</v>
      </c>
      <c r="AM60" s="266">
        <f>'DATA INPUT - DETAIL'!V51</f>
        <v>0</v>
      </c>
      <c r="AN60" s="266">
        <f>'DATA INPUT - DETAIL'!W51</f>
        <v>0</v>
      </c>
      <c r="AO60" s="198">
        <f t="shared" si="10"/>
        <v>0</v>
      </c>
      <c r="AP60" s="266">
        <f>'DATA INPUT - DETAIL'!X51</f>
        <v>0</v>
      </c>
      <c r="AQ60" s="266">
        <f>'DATA INPUT - DETAIL'!Y51</f>
        <v>0</v>
      </c>
      <c r="AR60" s="266">
        <f>'DATA INPUT - DETAIL'!Z51</f>
        <v>0</v>
      </c>
      <c r="AS60" s="266">
        <f>'DATA INPUT - DETAIL'!AD51</f>
        <v>0</v>
      </c>
      <c r="AT60" s="266">
        <f t="shared" si="33"/>
        <v>0</v>
      </c>
      <c r="AU60" s="206">
        <f>'DATA INPUT - DETAIL'!AA51</f>
        <v>0</v>
      </c>
      <c r="AV60" s="206">
        <f>'DATA INPUT - DETAIL'!AB51</f>
        <v>0</v>
      </c>
      <c r="AW60" s="206">
        <f>'DATA INPUT - DETAIL'!AC51</f>
        <v>0</v>
      </c>
      <c r="AX60" s="206">
        <f t="shared" si="89"/>
        <v>0</v>
      </c>
      <c r="AY60" s="206">
        <f t="shared" si="34"/>
        <v>0</v>
      </c>
      <c r="AZ60" s="206">
        <f t="shared" si="90"/>
        <v>0</v>
      </c>
      <c r="BA60" s="206">
        <f t="shared" si="91"/>
        <v>0</v>
      </c>
      <c r="BB60" s="206">
        <f t="shared" si="92"/>
        <v>0</v>
      </c>
      <c r="BC60" s="206">
        <f t="shared" si="93"/>
        <v>0</v>
      </c>
      <c r="BD60" s="206">
        <f t="shared" si="94"/>
        <v>0</v>
      </c>
      <c r="BE60" s="206">
        <f t="shared" si="95"/>
        <v>0</v>
      </c>
      <c r="BF60" s="206">
        <f t="shared" si="96"/>
        <v>0</v>
      </c>
      <c r="BG60" s="206">
        <f t="shared" si="97"/>
        <v>0</v>
      </c>
      <c r="BH60" s="206">
        <f t="shared" si="98"/>
        <v>0</v>
      </c>
      <c r="BI60" s="206">
        <f t="shared" si="19"/>
        <v>0</v>
      </c>
      <c r="BJ60" s="266">
        <f t="shared" si="37"/>
        <v>0</v>
      </c>
      <c r="BK60" s="266">
        <f t="shared" si="38"/>
        <v>0</v>
      </c>
      <c r="BL60" s="192">
        <f t="shared" si="39"/>
        <v>0</v>
      </c>
      <c r="BM60" s="192">
        <f t="shared" si="40"/>
        <v>0</v>
      </c>
      <c r="BN60" s="192">
        <f t="shared" si="41"/>
        <v>0</v>
      </c>
      <c r="BO60" s="192">
        <f t="shared" si="42"/>
        <v>0</v>
      </c>
      <c r="BP60" s="192">
        <f t="shared" si="43"/>
        <v>0</v>
      </c>
      <c r="BQ60" s="193">
        <f t="shared" si="44"/>
        <v>0</v>
      </c>
      <c r="BR60" s="193">
        <f t="shared" si="45"/>
        <v>0</v>
      </c>
      <c r="BS60" s="265">
        <f t="shared" si="46"/>
        <v>0</v>
      </c>
      <c r="BT60" s="265">
        <f t="shared" si="47"/>
        <v>0</v>
      </c>
      <c r="BU60" s="265">
        <f t="shared" si="48"/>
        <v>0</v>
      </c>
      <c r="BV60" s="265">
        <f t="shared" si="49"/>
        <v>0</v>
      </c>
      <c r="BW60" s="265">
        <f t="shared" si="50"/>
        <v>0</v>
      </c>
      <c r="BX60" s="265">
        <f t="shared" si="51"/>
        <v>0</v>
      </c>
      <c r="BY60" s="265">
        <f t="shared" si="52"/>
        <v>0</v>
      </c>
      <c r="BZ60" s="265">
        <f t="shared" si="53"/>
        <v>0</v>
      </c>
      <c r="CA60" s="265">
        <f t="shared" si="54"/>
        <v>0</v>
      </c>
      <c r="CB60" s="269">
        <f t="shared" si="55"/>
        <v>0</v>
      </c>
      <c r="CC60" s="266">
        <f t="shared" si="56"/>
        <v>0</v>
      </c>
      <c r="CD60" s="241"/>
      <c r="CE60" s="198">
        <f t="shared" si="70"/>
        <v>8.792719654593376E-11</v>
      </c>
      <c r="CF60" s="198">
        <f t="shared" si="58"/>
        <v>0</v>
      </c>
      <c r="CG60" s="198">
        <f t="shared" si="59"/>
        <v>0</v>
      </c>
      <c r="CH60" s="198">
        <f t="shared" si="60"/>
        <v>0</v>
      </c>
      <c r="CI60" s="198">
        <f t="shared" si="61"/>
        <v>0</v>
      </c>
      <c r="CJ60" s="198">
        <f t="shared" si="62"/>
        <v>0</v>
      </c>
      <c r="CK60" s="198">
        <f t="shared" si="63"/>
        <v>0</v>
      </c>
      <c r="CL60" s="198">
        <f t="shared" si="64"/>
        <v>3.8410959011348202E-13</v>
      </c>
      <c r="CM60" s="271">
        <f t="shared" si="65"/>
        <v>0</v>
      </c>
      <c r="CN60" s="198">
        <f t="shared" si="66"/>
        <v>8.8311306136047243E-11</v>
      </c>
      <c r="CO60" s="209">
        <f t="shared" si="71"/>
        <v>8.792719654593376E-11</v>
      </c>
    </row>
    <row r="61" spans="2:93" x14ac:dyDescent="0.2">
      <c r="B61" s="221">
        <f>'DATA INPUT - DETAIL'!D52</f>
        <v>0</v>
      </c>
      <c r="C61" s="211">
        <f>'DATA INPUT - DETAIL'!E52</f>
        <v>0</v>
      </c>
      <c r="D61" s="257">
        <f>'DATA INPUT - DETAIL'!I52</f>
        <v>0</v>
      </c>
      <c r="E61" s="258">
        <f>'DATA INPUT - DETAIL'!K52</f>
        <v>0</v>
      </c>
      <c r="F61" s="258">
        <f>'DATA INPUT - DETAIL'!L52</f>
        <v>0</v>
      </c>
      <c r="G61" s="179">
        <f>'DATA INPUT - DETAIL'!M52*(1+$V$5)</f>
        <v>0</v>
      </c>
      <c r="H61" s="179">
        <f>'DATA INPUT - DETAIL'!N52*(1+$V$5)</f>
        <v>0</v>
      </c>
      <c r="I61" s="258">
        <f t="shared" si="72"/>
        <v>0</v>
      </c>
      <c r="J61" s="258">
        <f>'DATA INPUT - DETAIL'!O52</f>
        <v>0</v>
      </c>
      <c r="K61" s="258">
        <f>'DATA INPUT - DETAIL'!P52</f>
        <v>0</v>
      </c>
      <c r="L61" s="267">
        <f>ROUNDDOWN('DATA INPUT - DETAIL'!G52,0)</f>
        <v>0</v>
      </c>
      <c r="M61" s="196">
        <f t="shared" si="99"/>
        <v>0</v>
      </c>
      <c r="N61" s="196">
        <f t="shared" si="74"/>
        <v>0</v>
      </c>
      <c r="O61" s="196">
        <f t="shared" si="75"/>
        <v>0</v>
      </c>
      <c r="P61" s="196">
        <f t="shared" si="76"/>
        <v>0</v>
      </c>
      <c r="Q61" s="196">
        <f t="shared" si="77"/>
        <v>0</v>
      </c>
      <c r="R61" s="196">
        <f t="shared" si="78"/>
        <v>0</v>
      </c>
      <c r="S61" s="196">
        <f t="shared" si="79"/>
        <v>0</v>
      </c>
      <c r="T61" s="196">
        <f t="shared" si="80"/>
        <v>0</v>
      </c>
      <c r="U61" s="185">
        <f>(C61&gt;0)*(C61&lt;$E$5)*VLOOKUP(MPP,ASUMSI!$BN$77:$CR$108,B61+1)*(1+$V$4)</f>
        <v>0</v>
      </c>
      <c r="V61" s="196">
        <f t="shared" si="8"/>
        <v>0</v>
      </c>
      <c r="W61" s="196">
        <f t="shared" si="68"/>
        <v>0</v>
      </c>
      <c r="X61" s="196">
        <f t="shared" si="81"/>
        <v>0</v>
      </c>
      <c r="Y61" s="196">
        <f t="shared" si="82"/>
        <v>0</v>
      </c>
      <c r="Z61" s="196">
        <f t="shared" si="83"/>
        <v>0</v>
      </c>
      <c r="AA61" s="185">
        <f t="shared" si="28"/>
        <v>0</v>
      </c>
      <c r="AB61" s="196">
        <f t="shared" si="84"/>
        <v>0</v>
      </c>
      <c r="AC61" s="196">
        <f t="shared" si="84"/>
        <v>0</v>
      </c>
      <c r="AD61" s="196">
        <f t="shared" si="84"/>
        <v>0</v>
      </c>
      <c r="AE61" s="196">
        <f t="shared" si="85"/>
        <v>0</v>
      </c>
      <c r="AF61" s="196">
        <f t="shared" si="86"/>
        <v>0</v>
      </c>
      <c r="AG61" s="196">
        <f t="shared" si="87"/>
        <v>0</v>
      </c>
      <c r="AH61" s="196">
        <f t="shared" si="88"/>
        <v>0</v>
      </c>
      <c r="AI61" s="266">
        <f>'DATA INPUT - DETAIL'!R52</f>
        <v>0</v>
      </c>
      <c r="AJ61" s="266">
        <f>'DATA INPUT - DETAIL'!S52</f>
        <v>0</v>
      </c>
      <c r="AK61" s="266">
        <f>'DATA INPUT - DETAIL'!T52</f>
        <v>0</v>
      </c>
      <c r="AL61" s="266">
        <f>'DATA INPUT - DETAIL'!U52</f>
        <v>0</v>
      </c>
      <c r="AM61" s="266">
        <f>'DATA INPUT - DETAIL'!V52</f>
        <v>0</v>
      </c>
      <c r="AN61" s="266">
        <f>'DATA INPUT - DETAIL'!W52</f>
        <v>0</v>
      </c>
      <c r="AO61" s="198">
        <f t="shared" si="10"/>
        <v>0</v>
      </c>
      <c r="AP61" s="266">
        <f>'DATA INPUT - DETAIL'!X52</f>
        <v>0</v>
      </c>
      <c r="AQ61" s="266">
        <f>'DATA INPUT - DETAIL'!Y52</f>
        <v>0</v>
      </c>
      <c r="AR61" s="266">
        <f>'DATA INPUT - DETAIL'!Z52</f>
        <v>0</v>
      </c>
      <c r="AS61" s="266">
        <f>'DATA INPUT - DETAIL'!AD52</f>
        <v>0</v>
      </c>
      <c r="AT61" s="266">
        <f t="shared" si="33"/>
        <v>0</v>
      </c>
      <c r="AU61" s="206">
        <f>'DATA INPUT - DETAIL'!AA52</f>
        <v>0</v>
      </c>
      <c r="AV61" s="206">
        <f>'DATA INPUT - DETAIL'!AB52</f>
        <v>0</v>
      </c>
      <c r="AW61" s="206">
        <f>'DATA INPUT - DETAIL'!AC52</f>
        <v>0</v>
      </c>
      <c r="AX61" s="206">
        <f t="shared" si="89"/>
        <v>0</v>
      </c>
      <c r="AY61" s="206">
        <f t="shared" si="34"/>
        <v>0</v>
      </c>
      <c r="AZ61" s="206">
        <f t="shared" si="90"/>
        <v>0</v>
      </c>
      <c r="BA61" s="206">
        <f t="shared" si="91"/>
        <v>0</v>
      </c>
      <c r="BB61" s="206">
        <f t="shared" si="92"/>
        <v>0</v>
      </c>
      <c r="BC61" s="206">
        <f t="shared" si="93"/>
        <v>0</v>
      </c>
      <c r="BD61" s="206">
        <f t="shared" si="94"/>
        <v>0</v>
      </c>
      <c r="BE61" s="206">
        <f t="shared" si="95"/>
        <v>0</v>
      </c>
      <c r="BF61" s="206">
        <f t="shared" si="96"/>
        <v>0</v>
      </c>
      <c r="BG61" s="206">
        <f t="shared" si="97"/>
        <v>0</v>
      </c>
      <c r="BH61" s="206">
        <f t="shared" si="98"/>
        <v>0</v>
      </c>
      <c r="BI61" s="206">
        <f t="shared" si="19"/>
        <v>0</v>
      </c>
      <c r="BJ61" s="266">
        <f t="shared" si="37"/>
        <v>0</v>
      </c>
      <c r="BK61" s="266">
        <f t="shared" si="38"/>
        <v>0</v>
      </c>
      <c r="BL61" s="192">
        <f t="shared" si="39"/>
        <v>0</v>
      </c>
      <c r="BM61" s="192">
        <f t="shared" si="40"/>
        <v>0</v>
      </c>
      <c r="BN61" s="192">
        <f t="shared" si="41"/>
        <v>0</v>
      </c>
      <c r="BO61" s="192">
        <f t="shared" si="42"/>
        <v>0</v>
      </c>
      <c r="BP61" s="192">
        <f t="shared" si="43"/>
        <v>0</v>
      </c>
      <c r="BQ61" s="193">
        <f t="shared" si="44"/>
        <v>0</v>
      </c>
      <c r="BR61" s="193">
        <f t="shared" si="45"/>
        <v>0</v>
      </c>
      <c r="BS61" s="265">
        <f t="shared" si="46"/>
        <v>0</v>
      </c>
      <c r="BT61" s="265">
        <f t="shared" si="47"/>
        <v>0</v>
      </c>
      <c r="BU61" s="265">
        <f t="shared" si="48"/>
        <v>0</v>
      </c>
      <c r="BV61" s="265">
        <f t="shared" si="49"/>
        <v>0</v>
      </c>
      <c r="BW61" s="265">
        <f t="shared" si="50"/>
        <v>0</v>
      </c>
      <c r="BX61" s="265">
        <f t="shared" si="51"/>
        <v>0</v>
      </c>
      <c r="BY61" s="265">
        <f t="shared" si="52"/>
        <v>0</v>
      </c>
      <c r="BZ61" s="265">
        <f t="shared" si="53"/>
        <v>0</v>
      </c>
      <c r="CA61" s="265">
        <f t="shared" si="54"/>
        <v>0</v>
      </c>
      <c r="CB61" s="269">
        <f t="shared" si="55"/>
        <v>0</v>
      </c>
      <c r="CC61" s="266">
        <f t="shared" si="56"/>
        <v>0</v>
      </c>
      <c r="CD61" s="241"/>
      <c r="CE61" s="198">
        <f t="shared" si="70"/>
        <v>8.8311306136047243E-11</v>
      </c>
      <c r="CF61" s="198">
        <f t="shared" si="58"/>
        <v>0</v>
      </c>
      <c r="CG61" s="198">
        <f t="shared" si="59"/>
        <v>0</v>
      </c>
      <c r="CH61" s="198">
        <f t="shared" si="60"/>
        <v>0</v>
      </c>
      <c r="CI61" s="198">
        <f t="shared" si="61"/>
        <v>0</v>
      </c>
      <c r="CJ61" s="198">
        <f t="shared" si="62"/>
        <v>0</v>
      </c>
      <c r="CK61" s="198">
        <f t="shared" si="63"/>
        <v>0</v>
      </c>
      <c r="CL61" s="198">
        <f t="shared" si="64"/>
        <v>3.8578757125029757E-13</v>
      </c>
      <c r="CM61" s="271">
        <f t="shared" si="65"/>
        <v>0</v>
      </c>
      <c r="CN61" s="198">
        <f t="shared" si="66"/>
        <v>8.8697093707297543E-11</v>
      </c>
      <c r="CO61" s="209">
        <f t="shared" si="71"/>
        <v>8.8311306136047243E-11</v>
      </c>
    </row>
    <row r="62" spans="2:93" x14ac:dyDescent="0.2">
      <c r="B62" s="221">
        <f>'DATA INPUT - DETAIL'!D53</f>
        <v>0</v>
      </c>
      <c r="C62" s="211">
        <f>'DATA INPUT - DETAIL'!E53</f>
        <v>0</v>
      </c>
      <c r="D62" s="257">
        <f>'DATA INPUT - DETAIL'!I53</f>
        <v>0</v>
      </c>
      <c r="E62" s="258">
        <f>'DATA INPUT - DETAIL'!K53</f>
        <v>0</v>
      </c>
      <c r="F62" s="258">
        <f>'DATA INPUT - DETAIL'!L53</f>
        <v>0</v>
      </c>
      <c r="G62" s="179">
        <f>'DATA INPUT - DETAIL'!M53*(1+$V$5)</f>
        <v>0</v>
      </c>
      <c r="H62" s="179">
        <f>'DATA INPUT - DETAIL'!N53*(1+$V$5)</f>
        <v>0</v>
      </c>
      <c r="I62" s="258">
        <f t="shared" si="72"/>
        <v>0</v>
      </c>
      <c r="J62" s="258">
        <f>'DATA INPUT - DETAIL'!O53</f>
        <v>0</v>
      </c>
      <c r="K62" s="258">
        <f>'DATA INPUT - DETAIL'!P53</f>
        <v>0</v>
      </c>
      <c r="L62" s="267">
        <f>ROUNDDOWN('DATA INPUT - DETAIL'!G53,0)</f>
        <v>0</v>
      </c>
      <c r="M62" s="196">
        <f t="shared" si="99"/>
        <v>0</v>
      </c>
      <c r="N62" s="196">
        <f t="shared" si="74"/>
        <v>0</v>
      </c>
      <c r="O62" s="196">
        <f t="shared" si="75"/>
        <v>0</v>
      </c>
      <c r="P62" s="196">
        <f t="shared" si="76"/>
        <v>0</v>
      </c>
      <c r="Q62" s="196">
        <f t="shared" si="77"/>
        <v>0</v>
      </c>
      <c r="R62" s="196">
        <f t="shared" si="78"/>
        <v>0</v>
      </c>
      <c r="S62" s="196">
        <f t="shared" si="79"/>
        <v>0</v>
      </c>
      <c r="T62" s="196">
        <f t="shared" si="80"/>
        <v>0</v>
      </c>
      <c r="U62" s="185">
        <f>(C62&gt;0)*(C62&lt;$E$5)*VLOOKUP(MPP,ASUMSI!$BN$77:$CR$108,B62+1)*(1+$V$4)</f>
        <v>0</v>
      </c>
      <c r="V62" s="196">
        <f t="shared" si="8"/>
        <v>0</v>
      </c>
      <c r="W62" s="196">
        <f t="shared" si="68"/>
        <v>0</v>
      </c>
      <c r="X62" s="196">
        <f t="shared" si="81"/>
        <v>0</v>
      </c>
      <c r="Y62" s="196">
        <f t="shared" si="82"/>
        <v>0</v>
      </c>
      <c r="Z62" s="196">
        <f t="shared" si="83"/>
        <v>0</v>
      </c>
      <c r="AA62" s="185">
        <f t="shared" si="28"/>
        <v>0</v>
      </c>
      <c r="AB62" s="196">
        <f t="shared" si="84"/>
        <v>0</v>
      </c>
      <c r="AC62" s="196">
        <f t="shared" si="84"/>
        <v>0</v>
      </c>
      <c r="AD62" s="196">
        <f t="shared" si="84"/>
        <v>0</v>
      </c>
      <c r="AE62" s="196">
        <f t="shared" si="85"/>
        <v>0</v>
      </c>
      <c r="AF62" s="196">
        <f t="shared" si="86"/>
        <v>0</v>
      </c>
      <c r="AG62" s="196">
        <f t="shared" si="87"/>
        <v>0</v>
      </c>
      <c r="AH62" s="196">
        <f t="shared" si="88"/>
        <v>0</v>
      </c>
      <c r="AI62" s="266">
        <f>'DATA INPUT - DETAIL'!R53</f>
        <v>0</v>
      </c>
      <c r="AJ62" s="266">
        <f>'DATA INPUT - DETAIL'!S53</f>
        <v>0</v>
      </c>
      <c r="AK62" s="266">
        <f>'DATA INPUT - DETAIL'!T53</f>
        <v>0</v>
      </c>
      <c r="AL62" s="266">
        <f>'DATA INPUT - DETAIL'!U53</f>
        <v>0</v>
      </c>
      <c r="AM62" s="266">
        <f>'DATA INPUT - DETAIL'!V53</f>
        <v>0</v>
      </c>
      <c r="AN62" s="266">
        <f>'DATA INPUT - DETAIL'!W53</f>
        <v>0</v>
      </c>
      <c r="AO62" s="198">
        <f t="shared" si="10"/>
        <v>0</v>
      </c>
      <c r="AP62" s="266">
        <f>'DATA INPUT - DETAIL'!X53</f>
        <v>0</v>
      </c>
      <c r="AQ62" s="266">
        <f>'DATA INPUT - DETAIL'!Y53</f>
        <v>0</v>
      </c>
      <c r="AR62" s="266">
        <f>'DATA INPUT - DETAIL'!Z53</f>
        <v>0</v>
      </c>
      <c r="AS62" s="266">
        <f>'DATA INPUT - DETAIL'!AD53</f>
        <v>0</v>
      </c>
      <c r="AT62" s="266">
        <f t="shared" si="33"/>
        <v>0</v>
      </c>
      <c r="AU62" s="206">
        <f>'DATA INPUT - DETAIL'!AA53</f>
        <v>0</v>
      </c>
      <c r="AV62" s="206">
        <f>'DATA INPUT - DETAIL'!AB53</f>
        <v>0</v>
      </c>
      <c r="AW62" s="206">
        <f>'DATA INPUT - DETAIL'!AC53</f>
        <v>0</v>
      </c>
      <c r="AX62" s="206">
        <f t="shared" si="89"/>
        <v>0</v>
      </c>
      <c r="AY62" s="206">
        <f t="shared" si="34"/>
        <v>0</v>
      </c>
      <c r="AZ62" s="206">
        <f t="shared" si="90"/>
        <v>0</v>
      </c>
      <c r="BA62" s="206">
        <f t="shared" si="91"/>
        <v>0</v>
      </c>
      <c r="BB62" s="206">
        <f t="shared" si="92"/>
        <v>0</v>
      </c>
      <c r="BC62" s="206">
        <f t="shared" si="93"/>
        <v>0</v>
      </c>
      <c r="BD62" s="206">
        <f t="shared" si="94"/>
        <v>0</v>
      </c>
      <c r="BE62" s="206">
        <f t="shared" si="95"/>
        <v>0</v>
      </c>
      <c r="BF62" s="206">
        <f t="shared" si="96"/>
        <v>0</v>
      </c>
      <c r="BG62" s="206">
        <f t="shared" si="97"/>
        <v>0</v>
      </c>
      <c r="BH62" s="206">
        <f t="shared" si="98"/>
        <v>0</v>
      </c>
      <c r="BI62" s="206">
        <f t="shared" si="19"/>
        <v>0</v>
      </c>
      <c r="BJ62" s="266">
        <f t="shared" si="37"/>
        <v>0</v>
      </c>
      <c r="BK62" s="266">
        <f t="shared" si="38"/>
        <v>0</v>
      </c>
      <c r="BL62" s="192">
        <f t="shared" si="39"/>
        <v>0</v>
      </c>
      <c r="BM62" s="192">
        <f t="shared" si="40"/>
        <v>0</v>
      </c>
      <c r="BN62" s="192">
        <f t="shared" si="41"/>
        <v>0</v>
      </c>
      <c r="BO62" s="192">
        <f t="shared" si="42"/>
        <v>0</v>
      </c>
      <c r="BP62" s="192">
        <f t="shared" si="43"/>
        <v>0</v>
      </c>
      <c r="BQ62" s="193">
        <f t="shared" si="44"/>
        <v>0</v>
      </c>
      <c r="BR62" s="193">
        <f t="shared" si="45"/>
        <v>0</v>
      </c>
      <c r="BS62" s="265">
        <f t="shared" si="46"/>
        <v>0</v>
      </c>
      <c r="BT62" s="265">
        <f t="shared" si="47"/>
        <v>0</v>
      </c>
      <c r="BU62" s="265">
        <f t="shared" si="48"/>
        <v>0</v>
      </c>
      <c r="BV62" s="265">
        <f t="shared" si="49"/>
        <v>0</v>
      </c>
      <c r="BW62" s="265">
        <f t="shared" si="50"/>
        <v>0</v>
      </c>
      <c r="BX62" s="265">
        <f t="shared" si="51"/>
        <v>0</v>
      </c>
      <c r="BY62" s="265">
        <f t="shared" si="52"/>
        <v>0</v>
      </c>
      <c r="BZ62" s="265">
        <f t="shared" si="53"/>
        <v>0</v>
      </c>
      <c r="CA62" s="265">
        <f t="shared" si="54"/>
        <v>0</v>
      </c>
      <c r="CB62" s="269">
        <f t="shared" si="55"/>
        <v>0</v>
      </c>
      <c r="CC62" s="266">
        <f t="shared" si="56"/>
        <v>0</v>
      </c>
      <c r="CD62" s="241"/>
      <c r="CE62" s="198">
        <f t="shared" si="70"/>
        <v>8.8697093707297543E-11</v>
      </c>
      <c r="CF62" s="198">
        <f t="shared" si="58"/>
        <v>0</v>
      </c>
      <c r="CG62" s="198">
        <f t="shared" si="59"/>
        <v>0</v>
      </c>
      <c r="CH62" s="198">
        <f t="shared" si="60"/>
        <v>0</v>
      </c>
      <c r="CI62" s="198">
        <f t="shared" si="61"/>
        <v>0</v>
      </c>
      <c r="CJ62" s="198">
        <f t="shared" si="62"/>
        <v>0</v>
      </c>
      <c r="CK62" s="198">
        <f t="shared" si="63"/>
        <v>0</v>
      </c>
      <c r="CL62" s="198">
        <f t="shared" si="64"/>
        <v>3.8747288264068651E-13</v>
      </c>
      <c r="CM62" s="271">
        <f t="shared" si="65"/>
        <v>0</v>
      </c>
      <c r="CN62" s="198">
        <f t="shared" si="66"/>
        <v>8.9084566589938224E-11</v>
      </c>
      <c r="CO62" s="209">
        <f t="shared" si="71"/>
        <v>8.8697093707297543E-11</v>
      </c>
    </row>
    <row r="63" spans="2:93" x14ac:dyDescent="0.2">
      <c r="B63" s="221">
        <f>'DATA INPUT - DETAIL'!D54</f>
        <v>0</v>
      </c>
      <c r="C63" s="211">
        <f>'DATA INPUT - DETAIL'!E54</f>
        <v>0</v>
      </c>
      <c r="D63" s="257">
        <f>'DATA INPUT - DETAIL'!I54</f>
        <v>0</v>
      </c>
      <c r="E63" s="258">
        <f>'DATA INPUT - DETAIL'!K54</f>
        <v>0</v>
      </c>
      <c r="F63" s="258">
        <f>'DATA INPUT - DETAIL'!L54</f>
        <v>0</v>
      </c>
      <c r="G63" s="179">
        <f>'DATA INPUT - DETAIL'!M54*(1+$V$5)</f>
        <v>0</v>
      </c>
      <c r="H63" s="179">
        <f>'DATA INPUT - DETAIL'!N54*(1+$V$5)</f>
        <v>0</v>
      </c>
      <c r="I63" s="258">
        <f t="shared" si="72"/>
        <v>0</v>
      </c>
      <c r="J63" s="258">
        <f>'DATA INPUT - DETAIL'!O54</f>
        <v>0</v>
      </c>
      <c r="K63" s="258">
        <f>'DATA INPUT - DETAIL'!P54</f>
        <v>0</v>
      </c>
      <c r="L63" s="267">
        <f>ROUNDDOWN('DATA INPUT - DETAIL'!G54,0)</f>
        <v>0</v>
      </c>
      <c r="M63" s="196">
        <f t="shared" si="99"/>
        <v>0</v>
      </c>
      <c r="N63" s="196">
        <f t="shared" si="74"/>
        <v>0</v>
      </c>
      <c r="O63" s="196">
        <f t="shared" si="75"/>
        <v>0</v>
      </c>
      <c r="P63" s="196">
        <f t="shared" si="76"/>
        <v>0</v>
      </c>
      <c r="Q63" s="196">
        <f t="shared" si="77"/>
        <v>0</v>
      </c>
      <c r="R63" s="196">
        <f t="shared" si="78"/>
        <v>0</v>
      </c>
      <c r="S63" s="196">
        <f t="shared" si="79"/>
        <v>0</v>
      </c>
      <c r="T63" s="196">
        <f t="shared" si="80"/>
        <v>0</v>
      </c>
      <c r="U63" s="185">
        <f>(C63&gt;0)*(C63&lt;$E$5)*VLOOKUP(MPP,ASUMSI!$BN$77:$CR$108,B63+1)*(1+$V$4)</f>
        <v>0</v>
      </c>
      <c r="V63" s="196">
        <f t="shared" si="8"/>
        <v>0</v>
      </c>
      <c r="W63" s="196">
        <f t="shared" si="68"/>
        <v>0</v>
      </c>
      <c r="X63" s="196">
        <f t="shared" si="81"/>
        <v>0</v>
      </c>
      <c r="Y63" s="196">
        <f t="shared" si="82"/>
        <v>0</v>
      </c>
      <c r="Z63" s="196">
        <f t="shared" si="83"/>
        <v>0</v>
      </c>
      <c r="AA63" s="185">
        <f t="shared" si="28"/>
        <v>0</v>
      </c>
      <c r="AB63" s="196">
        <f t="shared" si="84"/>
        <v>0</v>
      </c>
      <c r="AC63" s="196">
        <f t="shared" si="84"/>
        <v>0</v>
      </c>
      <c r="AD63" s="196">
        <f t="shared" si="84"/>
        <v>0</v>
      </c>
      <c r="AE63" s="196">
        <f t="shared" si="85"/>
        <v>0</v>
      </c>
      <c r="AF63" s="196">
        <f t="shared" si="86"/>
        <v>0</v>
      </c>
      <c r="AG63" s="196">
        <f t="shared" si="87"/>
        <v>0</v>
      </c>
      <c r="AH63" s="196">
        <f t="shared" si="88"/>
        <v>0</v>
      </c>
      <c r="AI63" s="266">
        <f>'DATA INPUT - DETAIL'!R54</f>
        <v>0</v>
      </c>
      <c r="AJ63" s="266">
        <f>'DATA INPUT - DETAIL'!S54</f>
        <v>0</v>
      </c>
      <c r="AK63" s="266">
        <f>'DATA INPUT - DETAIL'!T54</f>
        <v>0</v>
      </c>
      <c r="AL63" s="266">
        <f>'DATA INPUT - DETAIL'!U54</f>
        <v>0</v>
      </c>
      <c r="AM63" s="266">
        <f>'DATA INPUT - DETAIL'!V54</f>
        <v>0</v>
      </c>
      <c r="AN63" s="266">
        <f>'DATA INPUT - DETAIL'!W54</f>
        <v>0</v>
      </c>
      <c r="AO63" s="198">
        <f t="shared" si="10"/>
        <v>0</v>
      </c>
      <c r="AP63" s="266">
        <f>'DATA INPUT - DETAIL'!X54</f>
        <v>0</v>
      </c>
      <c r="AQ63" s="266">
        <f>'DATA INPUT - DETAIL'!Y54</f>
        <v>0</v>
      </c>
      <c r="AR63" s="266">
        <f>'DATA INPUT - DETAIL'!Z54</f>
        <v>0</v>
      </c>
      <c r="AS63" s="266">
        <f>'DATA INPUT - DETAIL'!AD54</f>
        <v>0</v>
      </c>
      <c r="AT63" s="266">
        <f t="shared" si="33"/>
        <v>0</v>
      </c>
      <c r="AU63" s="206">
        <f>'DATA INPUT - DETAIL'!AA54</f>
        <v>0</v>
      </c>
      <c r="AV63" s="206">
        <f>'DATA INPUT - DETAIL'!AB54</f>
        <v>0</v>
      </c>
      <c r="AW63" s="206">
        <f>'DATA INPUT - DETAIL'!AC54</f>
        <v>0</v>
      </c>
      <c r="AX63" s="206">
        <f t="shared" si="89"/>
        <v>0</v>
      </c>
      <c r="AY63" s="206">
        <f t="shared" si="34"/>
        <v>0</v>
      </c>
      <c r="AZ63" s="206">
        <f t="shared" si="90"/>
        <v>0</v>
      </c>
      <c r="BA63" s="206">
        <f t="shared" si="91"/>
        <v>0</v>
      </c>
      <c r="BB63" s="206">
        <f t="shared" si="92"/>
        <v>0</v>
      </c>
      <c r="BC63" s="206">
        <f t="shared" si="93"/>
        <v>0</v>
      </c>
      <c r="BD63" s="206">
        <f t="shared" si="94"/>
        <v>0</v>
      </c>
      <c r="BE63" s="206">
        <f t="shared" si="95"/>
        <v>0</v>
      </c>
      <c r="BF63" s="206">
        <f t="shared" si="96"/>
        <v>0</v>
      </c>
      <c r="BG63" s="206">
        <f t="shared" si="97"/>
        <v>0</v>
      </c>
      <c r="BH63" s="206">
        <f t="shared" si="98"/>
        <v>0</v>
      </c>
      <c r="BI63" s="206">
        <f t="shared" si="19"/>
        <v>0</v>
      </c>
      <c r="BJ63" s="266">
        <f t="shared" si="37"/>
        <v>0</v>
      </c>
      <c r="BK63" s="266">
        <f t="shared" si="38"/>
        <v>0</v>
      </c>
      <c r="BL63" s="192">
        <f t="shared" si="39"/>
        <v>0</v>
      </c>
      <c r="BM63" s="192">
        <f t="shared" si="40"/>
        <v>0</v>
      </c>
      <c r="BN63" s="192">
        <f t="shared" si="41"/>
        <v>0</v>
      </c>
      <c r="BO63" s="192">
        <f t="shared" si="42"/>
        <v>0</v>
      </c>
      <c r="BP63" s="192">
        <f t="shared" si="43"/>
        <v>0</v>
      </c>
      <c r="BQ63" s="193">
        <f t="shared" si="44"/>
        <v>0</v>
      </c>
      <c r="BR63" s="193">
        <f t="shared" si="45"/>
        <v>0</v>
      </c>
      <c r="BS63" s="265">
        <f t="shared" si="46"/>
        <v>0</v>
      </c>
      <c r="BT63" s="265">
        <f t="shared" si="47"/>
        <v>0</v>
      </c>
      <c r="BU63" s="265">
        <f t="shared" si="48"/>
        <v>0</v>
      </c>
      <c r="BV63" s="265">
        <f t="shared" si="49"/>
        <v>0</v>
      </c>
      <c r="BW63" s="265">
        <f t="shared" si="50"/>
        <v>0</v>
      </c>
      <c r="BX63" s="265">
        <f t="shared" si="51"/>
        <v>0</v>
      </c>
      <c r="BY63" s="265">
        <f t="shared" si="52"/>
        <v>0</v>
      </c>
      <c r="BZ63" s="265">
        <f t="shared" si="53"/>
        <v>0</v>
      </c>
      <c r="CA63" s="265">
        <f t="shared" si="54"/>
        <v>0</v>
      </c>
      <c r="CB63" s="269">
        <f t="shared" si="55"/>
        <v>0</v>
      </c>
      <c r="CC63" s="266">
        <f t="shared" si="56"/>
        <v>0</v>
      </c>
      <c r="CD63" s="241"/>
      <c r="CE63" s="198">
        <f t="shared" si="70"/>
        <v>8.9084566589938224E-11</v>
      </c>
      <c r="CF63" s="198">
        <f t="shared" si="58"/>
        <v>0</v>
      </c>
      <c r="CG63" s="198">
        <f t="shared" si="59"/>
        <v>0</v>
      </c>
      <c r="CH63" s="198">
        <f t="shared" si="60"/>
        <v>0</v>
      </c>
      <c r="CI63" s="198">
        <f t="shared" si="61"/>
        <v>0</v>
      </c>
      <c r="CJ63" s="198">
        <f t="shared" si="62"/>
        <v>0</v>
      </c>
      <c r="CK63" s="198">
        <f t="shared" si="63"/>
        <v>0</v>
      </c>
      <c r="CL63" s="198">
        <f t="shared" si="64"/>
        <v>3.8916555630683086E-13</v>
      </c>
      <c r="CM63" s="271">
        <f t="shared" si="65"/>
        <v>0</v>
      </c>
      <c r="CN63" s="198">
        <f t="shared" si="66"/>
        <v>8.9473732146245052E-11</v>
      </c>
      <c r="CO63" s="209">
        <f t="shared" si="71"/>
        <v>8.9084566589938224E-11</v>
      </c>
    </row>
    <row r="64" spans="2:93" x14ac:dyDescent="0.2">
      <c r="B64" s="221">
        <f>'DATA INPUT - DETAIL'!D55</f>
        <v>0</v>
      </c>
      <c r="C64" s="211">
        <f>'DATA INPUT - DETAIL'!E55</f>
        <v>0</v>
      </c>
      <c r="D64" s="257">
        <f>'DATA INPUT - DETAIL'!I55</f>
        <v>0</v>
      </c>
      <c r="E64" s="258">
        <f>'DATA INPUT - DETAIL'!K55</f>
        <v>0</v>
      </c>
      <c r="F64" s="258">
        <f>'DATA INPUT - DETAIL'!L55</f>
        <v>0</v>
      </c>
      <c r="G64" s="179">
        <f>'DATA INPUT - DETAIL'!M55*(1+$V$5)</f>
        <v>0</v>
      </c>
      <c r="H64" s="179">
        <f>'DATA INPUT - DETAIL'!N55*(1+$V$5)</f>
        <v>0</v>
      </c>
      <c r="I64" s="258">
        <f t="shared" si="72"/>
        <v>0</v>
      </c>
      <c r="J64" s="258">
        <f>'DATA INPUT - DETAIL'!O55</f>
        <v>0</v>
      </c>
      <c r="K64" s="258">
        <f>'DATA INPUT - DETAIL'!P55</f>
        <v>0</v>
      </c>
      <c r="L64" s="267">
        <f>ROUNDDOWN('DATA INPUT - DETAIL'!G55,0)</f>
        <v>0</v>
      </c>
      <c r="M64" s="196">
        <f t="shared" si="99"/>
        <v>0</v>
      </c>
      <c r="N64" s="196">
        <f t="shared" si="74"/>
        <v>0</v>
      </c>
      <c r="O64" s="196">
        <f t="shared" si="75"/>
        <v>0</v>
      </c>
      <c r="P64" s="196">
        <f t="shared" si="76"/>
        <v>0</v>
      </c>
      <c r="Q64" s="196">
        <f t="shared" si="77"/>
        <v>0</v>
      </c>
      <c r="R64" s="196">
        <f t="shared" si="78"/>
        <v>0</v>
      </c>
      <c r="S64" s="196">
        <f t="shared" si="79"/>
        <v>0</v>
      </c>
      <c r="T64" s="196">
        <f t="shared" si="80"/>
        <v>0</v>
      </c>
      <c r="U64" s="185">
        <f>(C64&gt;0)*(C64&lt;$E$5)*VLOOKUP(MPP,ASUMSI!$BN$77:$CR$108,B64+1)*(1+$V$4)</f>
        <v>0</v>
      </c>
      <c r="V64" s="196">
        <f t="shared" si="8"/>
        <v>0</v>
      </c>
      <c r="W64" s="196">
        <f t="shared" si="68"/>
        <v>0</v>
      </c>
      <c r="X64" s="196">
        <f t="shared" si="81"/>
        <v>0</v>
      </c>
      <c r="Y64" s="196">
        <f t="shared" si="82"/>
        <v>0</v>
      </c>
      <c r="Z64" s="196">
        <f t="shared" si="83"/>
        <v>0</v>
      </c>
      <c r="AA64" s="185">
        <f t="shared" si="28"/>
        <v>0</v>
      </c>
      <c r="AB64" s="196">
        <f t="shared" si="84"/>
        <v>0</v>
      </c>
      <c r="AC64" s="196">
        <f t="shared" si="84"/>
        <v>0</v>
      </c>
      <c r="AD64" s="196">
        <f t="shared" si="84"/>
        <v>0</v>
      </c>
      <c r="AE64" s="196">
        <f t="shared" si="85"/>
        <v>0</v>
      </c>
      <c r="AF64" s="196">
        <f t="shared" si="86"/>
        <v>0</v>
      </c>
      <c r="AG64" s="196">
        <f t="shared" si="87"/>
        <v>0</v>
      </c>
      <c r="AH64" s="196">
        <f t="shared" si="88"/>
        <v>0</v>
      </c>
      <c r="AI64" s="266">
        <f>'DATA INPUT - DETAIL'!R55</f>
        <v>0</v>
      </c>
      <c r="AJ64" s="266">
        <f>'DATA INPUT - DETAIL'!S55</f>
        <v>0</v>
      </c>
      <c r="AK64" s="266">
        <f>'DATA INPUT - DETAIL'!T55</f>
        <v>0</v>
      </c>
      <c r="AL64" s="266">
        <f>'DATA INPUT - DETAIL'!U55</f>
        <v>0</v>
      </c>
      <c r="AM64" s="266">
        <f>'DATA INPUT - DETAIL'!V55</f>
        <v>0</v>
      </c>
      <c r="AN64" s="266">
        <f>'DATA INPUT - DETAIL'!W55</f>
        <v>0</v>
      </c>
      <c r="AO64" s="198">
        <f t="shared" si="10"/>
        <v>0</v>
      </c>
      <c r="AP64" s="266">
        <f>'DATA INPUT - DETAIL'!X55</f>
        <v>0</v>
      </c>
      <c r="AQ64" s="266">
        <f>'DATA INPUT - DETAIL'!Y55</f>
        <v>0</v>
      </c>
      <c r="AR64" s="266">
        <f>'DATA INPUT - DETAIL'!Z55</f>
        <v>0</v>
      </c>
      <c r="AS64" s="266">
        <f>'DATA INPUT - DETAIL'!AD55</f>
        <v>0</v>
      </c>
      <c r="AT64" s="266">
        <f t="shared" si="33"/>
        <v>0</v>
      </c>
      <c r="AU64" s="206">
        <f>'DATA INPUT - DETAIL'!AA55</f>
        <v>0</v>
      </c>
      <c r="AV64" s="206">
        <f>'DATA INPUT - DETAIL'!AB55</f>
        <v>0</v>
      </c>
      <c r="AW64" s="206">
        <f>'DATA INPUT - DETAIL'!AC55</f>
        <v>0</v>
      </c>
      <c r="AX64" s="206">
        <f t="shared" si="89"/>
        <v>0</v>
      </c>
      <c r="AY64" s="206">
        <f t="shared" si="34"/>
        <v>0</v>
      </c>
      <c r="AZ64" s="206">
        <f t="shared" si="90"/>
        <v>0</v>
      </c>
      <c r="BA64" s="206">
        <f t="shared" si="91"/>
        <v>0</v>
      </c>
      <c r="BB64" s="206">
        <f t="shared" si="92"/>
        <v>0</v>
      </c>
      <c r="BC64" s="206">
        <f t="shared" si="93"/>
        <v>0</v>
      </c>
      <c r="BD64" s="206">
        <f t="shared" si="94"/>
        <v>0</v>
      </c>
      <c r="BE64" s="206">
        <f t="shared" si="95"/>
        <v>0</v>
      </c>
      <c r="BF64" s="206">
        <f t="shared" si="96"/>
        <v>0</v>
      </c>
      <c r="BG64" s="206">
        <f t="shared" si="97"/>
        <v>0</v>
      </c>
      <c r="BH64" s="206">
        <f t="shared" si="98"/>
        <v>0</v>
      </c>
      <c r="BI64" s="206">
        <f t="shared" si="19"/>
        <v>0</v>
      </c>
      <c r="BJ64" s="266">
        <f t="shared" si="37"/>
        <v>0</v>
      </c>
      <c r="BK64" s="266">
        <f t="shared" si="38"/>
        <v>0</v>
      </c>
      <c r="BL64" s="192">
        <f t="shared" si="39"/>
        <v>0</v>
      </c>
      <c r="BM64" s="192">
        <f t="shared" si="40"/>
        <v>0</v>
      </c>
      <c r="BN64" s="192">
        <f t="shared" si="41"/>
        <v>0</v>
      </c>
      <c r="BO64" s="192">
        <f t="shared" si="42"/>
        <v>0</v>
      </c>
      <c r="BP64" s="192">
        <f t="shared" si="43"/>
        <v>0</v>
      </c>
      <c r="BQ64" s="193">
        <f t="shared" si="44"/>
        <v>0</v>
      </c>
      <c r="BR64" s="193">
        <f t="shared" si="45"/>
        <v>0</v>
      </c>
      <c r="BS64" s="265">
        <f t="shared" si="46"/>
        <v>0</v>
      </c>
      <c r="BT64" s="265">
        <f t="shared" si="47"/>
        <v>0</v>
      </c>
      <c r="BU64" s="265">
        <f t="shared" si="48"/>
        <v>0</v>
      </c>
      <c r="BV64" s="265">
        <f t="shared" si="49"/>
        <v>0</v>
      </c>
      <c r="BW64" s="265">
        <f t="shared" si="50"/>
        <v>0</v>
      </c>
      <c r="BX64" s="265">
        <f t="shared" si="51"/>
        <v>0</v>
      </c>
      <c r="BY64" s="265">
        <f t="shared" si="52"/>
        <v>0</v>
      </c>
      <c r="BZ64" s="265">
        <f t="shared" si="53"/>
        <v>0</v>
      </c>
      <c r="CA64" s="265">
        <f t="shared" si="54"/>
        <v>0</v>
      </c>
      <c r="CB64" s="269">
        <f t="shared" si="55"/>
        <v>0</v>
      </c>
      <c r="CC64" s="266">
        <f t="shared" si="56"/>
        <v>0</v>
      </c>
      <c r="CD64" s="241"/>
      <c r="CE64" s="198">
        <f t="shared" si="70"/>
        <v>8.9473732146245052E-11</v>
      </c>
      <c r="CF64" s="198">
        <f t="shared" si="58"/>
        <v>0</v>
      </c>
      <c r="CG64" s="198">
        <f t="shared" si="59"/>
        <v>0</v>
      </c>
      <c r="CH64" s="198">
        <f t="shared" si="60"/>
        <v>0</v>
      </c>
      <c r="CI64" s="198">
        <f t="shared" si="61"/>
        <v>0</v>
      </c>
      <c r="CJ64" s="198">
        <f t="shared" si="62"/>
        <v>0</v>
      </c>
      <c r="CK64" s="198">
        <f t="shared" si="63"/>
        <v>0</v>
      </c>
      <c r="CL64" s="198">
        <f t="shared" si="64"/>
        <v>3.9086562441080151E-13</v>
      </c>
      <c r="CM64" s="271">
        <f t="shared" si="65"/>
        <v>0</v>
      </c>
      <c r="CN64" s="198">
        <f t="shared" si="66"/>
        <v>8.9864597770655857E-11</v>
      </c>
      <c r="CO64" s="209">
        <f t="shared" si="71"/>
        <v>8.9473732146245052E-11</v>
      </c>
    </row>
    <row r="65" spans="2:93" x14ac:dyDescent="0.2">
      <c r="B65" s="221">
        <f>'DATA INPUT - DETAIL'!D56</f>
        <v>0</v>
      </c>
      <c r="C65" s="211">
        <f>'DATA INPUT - DETAIL'!E56</f>
        <v>0</v>
      </c>
      <c r="D65" s="257">
        <f>'DATA INPUT - DETAIL'!I56</f>
        <v>0</v>
      </c>
      <c r="E65" s="258">
        <f>'DATA INPUT - DETAIL'!K56</f>
        <v>0</v>
      </c>
      <c r="F65" s="258">
        <f>'DATA INPUT - DETAIL'!L56</f>
        <v>0</v>
      </c>
      <c r="G65" s="179">
        <f>'DATA INPUT - DETAIL'!M56*(1+$V$5)</f>
        <v>0</v>
      </c>
      <c r="H65" s="179">
        <f>'DATA INPUT - DETAIL'!N56*(1+$V$5)</f>
        <v>0</v>
      </c>
      <c r="I65" s="258">
        <f t="shared" si="72"/>
        <v>0</v>
      </c>
      <c r="J65" s="258">
        <f>'DATA INPUT - DETAIL'!O56</f>
        <v>0</v>
      </c>
      <c r="K65" s="258">
        <f>'DATA INPUT - DETAIL'!P56</f>
        <v>0</v>
      </c>
      <c r="L65" s="267">
        <f>ROUNDDOWN('DATA INPUT - DETAIL'!G56,0)</f>
        <v>0</v>
      </c>
      <c r="M65" s="196">
        <f t="shared" si="99"/>
        <v>0</v>
      </c>
      <c r="N65" s="196">
        <f t="shared" si="74"/>
        <v>0</v>
      </c>
      <c r="O65" s="196">
        <f t="shared" si="75"/>
        <v>0</v>
      </c>
      <c r="P65" s="196">
        <f t="shared" si="76"/>
        <v>0</v>
      </c>
      <c r="Q65" s="196">
        <f t="shared" si="77"/>
        <v>0</v>
      </c>
      <c r="R65" s="196">
        <f t="shared" si="78"/>
        <v>0</v>
      </c>
      <c r="S65" s="196">
        <f t="shared" si="79"/>
        <v>0</v>
      </c>
      <c r="T65" s="196">
        <f t="shared" si="80"/>
        <v>0</v>
      </c>
      <c r="U65" s="185">
        <f>(C65&gt;0)*(C65&lt;$E$5)*VLOOKUP(MPP,ASUMSI!$BN$77:$CR$108,B65+1)*(1+$V$4)</f>
        <v>0</v>
      </c>
      <c r="V65" s="196">
        <f t="shared" si="8"/>
        <v>0</v>
      </c>
      <c r="W65" s="196">
        <f t="shared" si="68"/>
        <v>0</v>
      </c>
      <c r="X65" s="196">
        <f t="shared" si="81"/>
        <v>0</v>
      </c>
      <c r="Y65" s="196">
        <f t="shared" si="82"/>
        <v>0</v>
      </c>
      <c r="Z65" s="196">
        <f t="shared" si="83"/>
        <v>0</v>
      </c>
      <c r="AA65" s="185">
        <f t="shared" si="28"/>
        <v>0</v>
      </c>
      <c r="AB65" s="196">
        <f t="shared" si="84"/>
        <v>0</v>
      </c>
      <c r="AC65" s="196">
        <f t="shared" si="84"/>
        <v>0</v>
      </c>
      <c r="AD65" s="196">
        <f t="shared" si="84"/>
        <v>0</v>
      </c>
      <c r="AE65" s="196">
        <f t="shared" si="85"/>
        <v>0</v>
      </c>
      <c r="AF65" s="196">
        <f t="shared" si="86"/>
        <v>0</v>
      </c>
      <c r="AG65" s="196">
        <f t="shared" si="87"/>
        <v>0</v>
      </c>
      <c r="AH65" s="196">
        <f t="shared" si="88"/>
        <v>0</v>
      </c>
      <c r="AI65" s="266">
        <f>'DATA INPUT - DETAIL'!R56</f>
        <v>0</v>
      </c>
      <c r="AJ65" s="266">
        <f>'DATA INPUT - DETAIL'!S56</f>
        <v>0</v>
      </c>
      <c r="AK65" s="266">
        <f>'DATA INPUT - DETAIL'!T56</f>
        <v>0</v>
      </c>
      <c r="AL65" s="266">
        <f>'DATA INPUT - DETAIL'!U56</f>
        <v>0</v>
      </c>
      <c r="AM65" s="266">
        <f>'DATA INPUT - DETAIL'!V56</f>
        <v>0</v>
      </c>
      <c r="AN65" s="266">
        <f>'DATA INPUT - DETAIL'!W56</f>
        <v>0</v>
      </c>
      <c r="AO65" s="198">
        <f t="shared" si="10"/>
        <v>0</v>
      </c>
      <c r="AP65" s="266">
        <f>'DATA INPUT - DETAIL'!X56</f>
        <v>0</v>
      </c>
      <c r="AQ65" s="266">
        <f>'DATA INPUT - DETAIL'!Y56</f>
        <v>0</v>
      </c>
      <c r="AR65" s="266">
        <f>'DATA INPUT - DETAIL'!Z56</f>
        <v>0</v>
      </c>
      <c r="AS65" s="266">
        <f>'DATA INPUT - DETAIL'!AD56</f>
        <v>0</v>
      </c>
      <c r="AT65" s="266">
        <f t="shared" si="33"/>
        <v>0</v>
      </c>
      <c r="AU65" s="206">
        <f>'DATA INPUT - DETAIL'!AA56</f>
        <v>0</v>
      </c>
      <c r="AV65" s="206">
        <f>'DATA INPUT - DETAIL'!AB56</f>
        <v>0</v>
      </c>
      <c r="AW65" s="206">
        <f>'DATA INPUT - DETAIL'!AC56</f>
        <v>0</v>
      </c>
      <c r="AX65" s="206">
        <f t="shared" si="89"/>
        <v>0</v>
      </c>
      <c r="AY65" s="206">
        <f t="shared" si="34"/>
        <v>0</v>
      </c>
      <c r="AZ65" s="206">
        <f t="shared" si="90"/>
        <v>0</v>
      </c>
      <c r="BA65" s="206">
        <f t="shared" si="91"/>
        <v>0</v>
      </c>
      <c r="BB65" s="206">
        <f t="shared" si="92"/>
        <v>0</v>
      </c>
      <c r="BC65" s="206">
        <f t="shared" si="93"/>
        <v>0</v>
      </c>
      <c r="BD65" s="206">
        <f t="shared" si="94"/>
        <v>0</v>
      </c>
      <c r="BE65" s="206">
        <f t="shared" si="95"/>
        <v>0</v>
      </c>
      <c r="BF65" s="206">
        <f t="shared" si="96"/>
        <v>0</v>
      </c>
      <c r="BG65" s="206">
        <f t="shared" si="97"/>
        <v>0</v>
      </c>
      <c r="BH65" s="206">
        <f t="shared" si="98"/>
        <v>0</v>
      </c>
      <c r="BI65" s="206">
        <f t="shared" si="19"/>
        <v>0</v>
      </c>
      <c r="BJ65" s="266">
        <f t="shared" si="37"/>
        <v>0</v>
      </c>
      <c r="BK65" s="266">
        <f t="shared" si="38"/>
        <v>0</v>
      </c>
      <c r="BL65" s="192">
        <f t="shared" si="39"/>
        <v>0</v>
      </c>
      <c r="BM65" s="192">
        <f t="shared" si="40"/>
        <v>0</v>
      </c>
      <c r="BN65" s="192">
        <f t="shared" si="41"/>
        <v>0</v>
      </c>
      <c r="BO65" s="192">
        <f t="shared" si="42"/>
        <v>0</v>
      </c>
      <c r="BP65" s="192">
        <f t="shared" si="43"/>
        <v>0</v>
      </c>
      <c r="BQ65" s="193">
        <f t="shared" si="44"/>
        <v>0</v>
      </c>
      <c r="BR65" s="193">
        <f t="shared" si="45"/>
        <v>0</v>
      </c>
      <c r="BS65" s="265">
        <f t="shared" si="46"/>
        <v>0</v>
      </c>
      <c r="BT65" s="265">
        <f t="shared" si="47"/>
        <v>0</v>
      </c>
      <c r="BU65" s="265">
        <f t="shared" si="48"/>
        <v>0</v>
      </c>
      <c r="BV65" s="265">
        <f t="shared" si="49"/>
        <v>0</v>
      </c>
      <c r="BW65" s="265">
        <f t="shared" si="50"/>
        <v>0</v>
      </c>
      <c r="BX65" s="265">
        <f t="shared" si="51"/>
        <v>0</v>
      </c>
      <c r="BY65" s="265">
        <f t="shared" si="52"/>
        <v>0</v>
      </c>
      <c r="BZ65" s="265">
        <f t="shared" si="53"/>
        <v>0</v>
      </c>
      <c r="CA65" s="265">
        <f t="shared" si="54"/>
        <v>0</v>
      </c>
      <c r="CB65" s="269">
        <f t="shared" si="55"/>
        <v>0</v>
      </c>
      <c r="CC65" s="266">
        <f t="shared" si="56"/>
        <v>0</v>
      </c>
      <c r="CD65" s="241"/>
      <c r="CE65" s="198">
        <f t="shared" si="70"/>
        <v>8.9864597770655857E-11</v>
      </c>
      <c r="CF65" s="198">
        <f t="shared" si="58"/>
        <v>0</v>
      </c>
      <c r="CG65" s="198">
        <f t="shared" si="59"/>
        <v>0</v>
      </c>
      <c r="CH65" s="198">
        <f t="shared" si="60"/>
        <v>0</v>
      </c>
      <c r="CI65" s="198">
        <f t="shared" si="61"/>
        <v>0</v>
      </c>
      <c r="CJ65" s="198">
        <f t="shared" si="62"/>
        <v>0</v>
      </c>
      <c r="CK65" s="198">
        <f t="shared" si="63"/>
        <v>0</v>
      </c>
      <c r="CL65" s="198">
        <f t="shared" si="64"/>
        <v>3.9257311925516915E-13</v>
      </c>
      <c r="CM65" s="271">
        <f t="shared" si="65"/>
        <v>0</v>
      </c>
      <c r="CN65" s="198">
        <f t="shared" si="66"/>
        <v>9.0257170889911032E-11</v>
      </c>
      <c r="CO65" s="209">
        <f t="shared" si="71"/>
        <v>8.9864597770655857E-11</v>
      </c>
    </row>
    <row r="66" spans="2:93" x14ac:dyDescent="0.2">
      <c r="B66" s="221">
        <f>'DATA INPUT - DETAIL'!D57</f>
        <v>0</v>
      </c>
      <c r="C66" s="211">
        <f>'DATA INPUT - DETAIL'!E57</f>
        <v>0</v>
      </c>
      <c r="D66" s="257">
        <f>'DATA INPUT - DETAIL'!I57</f>
        <v>0</v>
      </c>
      <c r="E66" s="258">
        <f>'DATA INPUT - DETAIL'!K57</f>
        <v>0</v>
      </c>
      <c r="F66" s="258">
        <f>'DATA INPUT - DETAIL'!L57</f>
        <v>0</v>
      </c>
      <c r="G66" s="179">
        <f>'DATA INPUT - DETAIL'!M57*(1+$V$5)</f>
        <v>0</v>
      </c>
      <c r="H66" s="179">
        <f>'DATA INPUT - DETAIL'!N57*(1+$V$5)</f>
        <v>0</v>
      </c>
      <c r="I66" s="258">
        <f t="shared" si="72"/>
        <v>0</v>
      </c>
      <c r="J66" s="258">
        <f>'DATA INPUT - DETAIL'!O57</f>
        <v>0</v>
      </c>
      <c r="K66" s="258">
        <f>'DATA INPUT - DETAIL'!P57</f>
        <v>0</v>
      </c>
      <c r="L66" s="267">
        <f>ROUNDDOWN('DATA INPUT - DETAIL'!G57,0)</f>
        <v>0</v>
      </c>
      <c r="M66" s="196">
        <f t="shared" si="99"/>
        <v>0</v>
      </c>
      <c r="N66" s="196">
        <f t="shared" si="74"/>
        <v>0</v>
      </c>
      <c r="O66" s="196">
        <f t="shared" si="75"/>
        <v>0</v>
      </c>
      <c r="P66" s="196">
        <f t="shared" si="76"/>
        <v>0</v>
      </c>
      <c r="Q66" s="196">
        <f t="shared" si="77"/>
        <v>0</v>
      </c>
      <c r="R66" s="196">
        <f t="shared" si="78"/>
        <v>0</v>
      </c>
      <c r="S66" s="196">
        <f t="shared" si="79"/>
        <v>0</v>
      </c>
      <c r="T66" s="196">
        <f t="shared" si="80"/>
        <v>0</v>
      </c>
      <c r="U66" s="185">
        <f>(C66&gt;0)*(C66&lt;$E$5)*VLOOKUP(MPP,ASUMSI!$BN$77:$CR$108,B66+1)*(1+$V$4)</f>
        <v>0</v>
      </c>
      <c r="V66" s="196">
        <f t="shared" si="8"/>
        <v>0</v>
      </c>
      <c r="W66" s="196">
        <f t="shared" si="68"/>
        <v>0</v>
      </c>
      <c r="X66" s="196">
        <f t="shared" si="81"/>
        <v>0</v>
      </c>
      <c r="Y66" s="196">
        <f t="shared" si="82"/>
        <v>0</v>
      </c>
      <c r="Z66" s="196">
        <f t="shared" si="83"/>
        <v>0</v>
      </c>
      <c r="AA66" s="185">
        <f t="shared" si="28"/>
        <v>0</v>
      </c>
      <c r="AB66" s="196">
        <f t="shared" si="84"/>
        <v>0</v>
      </c>
      <c r="AC66" s="196">
        <f t="shared" si="84"/>
        <v>0</v>
      </c>
      <c r="AD66" s="196">
        <f t="shared" si="84"/>
        <v>0</v>
      </c>
      <c r="AE66" s="196">
        <f t="shared" si="85"/>
        <v>0</v>
      </c>
      <c r="AF66" s="196">
        <f t="shared" si="86"/>
        <v>0</v>
      </c>
      <c r="AG66" s="196">
        <f t="shared" si="87"/>
        <v>0</v>
      </c>
      <c r="AH66" s="196">
        <f t="shared" si="88"/>
        <v>0</v>
      </c>
      <c r="AI66" s="266">
        <f>'DATA INPUT - DETAIL'!R57</f>
        <v>0</v>
      </c>
      <c r="AJ66" s="266">
        <f>'DATA INPUT - DETAIL'!S57</f>
        <v>0</v>
      </c>
      <c r="AK66" s="266">
        <f>'DATA INPUT - DETAIL'!T57</f>
        <v>0</v>
      </c>
      <c r="AL66" s="266">
        <f>'DATA INPUT - DETAIL'!U57</f>
        <v>0</v>
      </c>
      <c r="AM66" s="266">
        <f>'DATA INPUT - DETAIL'!V57</f>
        <v>0</v>
      </c>
      <c r="AN66" s="266">
        <f>'DATA INPUT - DETAIL'!W57</f>
        <v>0</v>
      </c>
      <c r="AO66" s="198">
        <f t="shared" si="10"/>
        <v>0</v>
      </c>
      <c r="AP66" s="266">
        <f>'DATA INPUT - DETAIL'!X57</f>
        <v>0</v>
      </c>
      <c r="AQ66" s="266">
        <f>'DATA INPUT - DETAIL'!Y57</f>
        <v>0</v>
      </c>
      <c r="AR66" s="266">
        <f>'DATA INPUT - DETAIL'!Z57</f>
        <v>0</v>
      </c>
      <c r="AS66" s="266">
        <f>'DATA INPUT - DETAIL'!AD57</f>
        <v>0</v>
      </c>
      <c r="AT66" s="266">
        <f t="shared" si="33"/>
        <v>0</v>
      </c>
      <c r="AU66" s="206">
        <f>'DATA INPUT - DETAIL'!AA57</f>
        <v>0</v>
      </c>
      <c r="AV66" s="206">
        <f>'DATA INPUT - DETAIL'!AB57</f>
        <v>0</v>
      </c>
      <c r="AW66" s="206">
        <f>'DATA INPUT - DETAIL'!AC57</f>
        <v>0</v>
      </c>
      <c r="AX66" s="206">
        <f t="shared" si="89"/>
        <v>0</v>
      </c>
      <c r="AY66" s="206">
        <f t="shared" si="34"/>
        <v>0</v>
      </c>
      <c r="AZ66" s="206">
        <f t="shared" si="90"/>
        <v>0</v>
      </c>
      <c r="BA66" s="206">
        <f t="shared" si="91"/>
        <v>0</v>
      </c>
      <c r="BB66" s="206">
        <f t="shared" si="92"/>
        <v>0</v>
      </c>
      <c r="BC66" s="206">
        <f t="shared" si="93"/>
        <v>0</v>
      </c>
      <c r="BD66" s="206">
        <f t="shared" si="94"/>
        <v>0</v>
      </c>
      <c r="BE66" s="206">
        <f t="shared" si="95"/>
        <v>0</v>
      </c>
      <c r="BF66" s="206">
        <f t="shared" si="96"/>
        <v>0</v>
      </c>
      <c r="BG66" s="206">
        <f t="shared" si="97"/>
        <v>0</v>
      </c>
      <c r="BH66" s="206">
        <f t="shared" si="98"/>
        <v>0</v>
      </c>
      <c r="BI66" s="206">
        <f t="shared" si="19"/>
        <v>0</v>
      </c>
      <c r="BJ66" s="266">
        <f t="shared" si="37"/>
        <v>0</v>
      </c>
      <c r="BK66" s="266">
        <f t="shared" si="38"/>
        <v>0</v>
      </c>
      <c r="BL66" s="192">
        <f t="shared" si="39"/>
        <v>0</v>
      </c>
      <c r="BM66" s="192">
        <f t="shared" si="40"/>
        <v>0</v>
      </c>
      <c r="BN66" s="192">
        <f t="shared" si="41"/>
        <v>0</v>
      </c>
      <c r="BO66" s="192">
        <f t="shared" si="42"/>
        <v>0</v>
      </c>
      <c r="BP66" s="192">
        <f t="shared" si="43"/>
        <v>0</v>
      </c>
      <c r="BQ66" s="193">
        <f t="shared" si="44"/>
        <v>0</v>
      </c>
      <c r="BR66" s="193">
        <f t="shared" si="45"/>
        <v>0</v>
      </c>
      <c r="BS66" s="265">
        <f t="shared" si="46"/>
        <v>0</v>
      </c>
      <c r="BT66" s="265">
        <f t="shared" si="47"/>
        <v>0</v>
      </c>
      <c r="BU66" s="265">
        <f t="shared" si="48"/>
        <v>0</v>
      </c>
      <c r="BV66" s="265">
        <f t="shared" si="49"/>
        <v>0</v>
      </c>
      <c r="BW66" s="265">
        <f t="shared" si="50"/>
        <v>0</v>
      </c>
      <c r="BX66" s="265">
        <f t="shared" si="51"/>
        <v>0</v>
      </c>
      <c r="BY66" s="265">
        <f t="shared" si="52"/>
        <v>0</v>
      </c>
      <c r="BZ66" s="265">
        <f t="shared" si="53"/>
        <v>0</v>
      </c>
      <c r="CA66" s="265">
        <f t="shared" si="54"/>
        <v>0</v>
      </c>
      <c r="CB66" s="269">
        <f t="shared" si="55"/>
        <v>0</v>
      </c>
      <c r="CC66" s="266">
        <f t="shared" si="56"/>
        <v>0</v>
      </c>
      <c r="CD66" s="241"/>
      <c r="CE66" s="198">
        <f t="shared" si="70"/>
        <v>9.0257170889911032E-11</v>
      </c>
      <c r="CF66" s="198">
        <f t="shared" si="58"/>
        <v>0</v>
      </c>
      <c r="CG66" s="198">
        <f t="shared" si="59"/>
        <v>0</v>
      </c>
      <c r="CH66" s="198">
        <f t="shared" si="60"/>
        <v>0</v>
      </c>
      <c r="CI66" s="198">
        <f t="shared" si="61"/>
        <v>0</v>
      </c>
      <c r="CJ66" s="198">
        <f t="shared" si="62"/>
        <v>0</v>
      </c>
      <c r="CK66" s="198">
        <f t="shared" si="63"/>
        <v>0</v>
      </c>
      <c r="CL66" s="198">
        <f t="shared" si="64"/>
        <v>3.9428807328361818E-13</v>
      </c>
      <c r="CM66" s="271">
        <f t="shared" si="65"/>
        <v>0</v>
      </c>
      <c r="CN66" s="198">
        <f t="shared" si="66"/>
        <v>9.0651458963194651E-11</v>
      </c>
      <c r="CO66" s="209">
        <f t="shared" si="71"/>
        <v>9.0257170889911032E-11</v>
      </c>
    </row>
    <row r="67" spans="2:93" x14ac:dyDescent="0.2">
      <c r="B67" s="221">
        <f>'DATA INPUT - DETAIL'!D58</f>
        <v>0</v>
      </c>
      <c r="C67" s="211">
        <f>'DATA INPUT - DETAIL'!E58</f>
        <v>0</v>
      </c>
      <c r="D67" s="257">
        <f>'DATA INPUT - DETAIL'!I58</f>
        <v>0</v>
      </c>
      <c r="E67" s="258">
        <f>'DATA INPUT - DETAIL'!K58</f>
        <v>0</v>
      </c>
      <c r="F67" s="258">
        <f>'DATA INPUT - DETAIL'!L58</f>
        <v>0</v>
      </c>
      <c r="G67" s="179">
        <f>'DATA INPUT - DETAIL'!M58*(1+$V$5)</f>
        <v>0</v>
      </c>
      <c r="H67" s="179">
        <f>'DATA INPUT - DETAIL'!N58*(1+$V$5)</f>
        <v>0</v>
      </c>
      <c r="I67" s="258">
        <f t="shared" si="72"/>
        <v>0</v>
      </c>
      <c r="J67" s="258">
        <f>'DATA INPUT - DETAIL'!O58</f>
        <v>0</v>
      </c>
      <c r="K67" s="258">
        <f>'DATA INPUT - DETAIL'!P58</f>
        <v>0</v>
      </c>
      <c r="L67" s="267">
        <f>ROUNDDOWN('DATA INPUT - DETAIL'!G58,0)</f>
        <v>0</v>
      </c>
      <c r="M67" s="196">
        <f t="shared" si="99"/>
        <v>0</v>
      </c>
      <c r="N67" s="196">
        <f t="shared" si="74"/>
        <v>0</v>
      </c>
      <c r="O67" s="196">
        <f t="shared" si="75"/>
        <v>0</v>
      </c>
      <c r="P67" s="196">
        <f t="shared" si="76"/>
        <v>0</v>
      </c>
      <c r="Q67" s="196">
        <f t="shared" si="77"/>
        <v>0</v>
      </c>
      <c r="R67" s="196">
        <f t="shared" si="78"/>
        <v>0</v>
      </c>
      <c r="S67" s="196">
        <f t="shared" si="79"/>
        <v>0</v>
      </c>
      <c r="T67" s="196">
        <f t="shared" si="80"/>
        <v>0</v>
      </c>
      <c r="U67" s="185">
        <f>(C67&gt;0)*(C67&lt;$E$5)*VLOOKUP(MPP,ASUMSI!$BN$77:$CR$108,B67+1)*(1+$V$4)</f>
        <v>0</v>
      </c>
      <c r="V67" s="196">
        <f t="shared" si="8"/>
        <v>0</v>
      </c>
      <c r="W67" s="196">
        <f t="shared" si="68"/>
        <v>0</v>
      </c>
      <c r="X67" s="196">
        <f t="shared" si="81"/>
        <v>0</v>
      </c>
      <c r="Y67" s="196">
        <f t="shared" si="82"/>
        <v>0</v>
      </c>
      <c r="Z67" s="196">
        <f t="shared" si="83"/>
        <v>0</v>
      </c>
      <c r="AA67" s="185">
        <f t="shared" si="28"/>
        <v>0</v>
      </c>
      <c r="AB67" s="196">
        <f t="shared" si="84"/>
        <v>0</v>
      </c>
      <c r="AC67" s="196">
        <f t="shared" si="84"/>
        <v>0</v>
      </c>
      <c r="AD67" s="196">
        <f t="shared" si="84"/>
        <v>0</v>
      </c>
      <c r="AE67" s="196">
        <f t="shared" si="85"/>
        <v>0</v>
      </c>
      <c r="AF67" s="196">
        <f t="shared" si="86"/>
        <v>0</v>
      </c>
      <c r="AG67" s="196">
        <f t="shared" si="87"/>
        <v>0</v>
      </c>
      <c r="AH67" s="196">
        <f t="shared" si="88"/>
        <v>0</v>
      </c>
      <c r="AI67" s="266">
        <f>'DATA INPUT - DETAIL'!R58</f>
        <v>0</v>
      </c>
      <c r="AJ67" s="266">
        <f>'DATA INPUT - DETAIL'!S58</f>
        <v>0</v>
      </c>
      <c r="AK67" s="266">
        <f>'DATA INPUT - DETAIL'!T58</f>
        <v>0</v>
      </c>
      <c r="AL67" s="266">
        <f>'DATA INPUT - DETAIL'!U58</f>
        <v>0</v>
      </c>
      <c r="AM67" s="266">
        <f>'DATA INPUT - DETAIL'!V58</f>
        <v>0</v>
      </c>
      <c r="AN67" s="266">
        <f>'DATA INPUT - DETAIL'!W58</f>
        <v>0</v>
      </c>
      <c r="AO67" s="198">
        <f t="shared" si="10"/>
        <v>0</v>
      </c>
      <c r="AP67" s="266">
        <f>'DATA INPUT - DETAIL'!X58</f>
        <v>0</v>
      </c>
      <c r="AQ67" s="266">
        <f>'DATA INPUT - DETAIL'!Y58</f>
        <v>0</v>
      </c>
      <c r="AR67" s="266">
        <f>'DATA INPUT - DETAIL'!Z58</f>
        <v>0</v>
      </c>
      <c r="AS67" s="266">
        <f>'DATA INPUT - DETAIL'!AD58</f>
        <v>0</v>
      </c>
      <c r="AT67" s="266">
        <f t="shared" si="33"/>
        <v>0</v>
      </c>
      <c r="AU67" s="206">
        <f>'DATA INPUT - DETAIL'!AA58</f>
        <v>0</v>
      </c>
      <c r="AV67" s="206">
        <f>'DATA INPUT - DETAIL'!AB58</f>
        <v>0</v>
      </c>
      <c r="AW67" s="206">
        <f>'DATA INPUT - DETAIL'!AC58</f>
        <v>0</v>
      </c>
      <c r="AX67" s="206">
        <f t="shared" si="89"/>
        <v>0</v>
      </c>
      <c r="AY67" s="206">
        <f t="shared" si="34"/>
        <v>0</v>
      </c>
      <c r="AZ67" s="206">
        <f t="shared" si="90"/>
        <v>0</v>
      </c>
      <c r="BA67" s="206">
        <f t="shared" si="91"/>
        <v>0</v>
      </c>
      <c r="BB67" s="206">
        <f t="shared" si="92"/>
        <v>0</v>
      </c>
      <c r="BC67" s="206">
        <f t="shared" si="93"/>
        <v>0</v>
      </c>
      <c r="BD67" s="206">
        <f t="shared" si="94"/>
        <v>0</v>
      </c>
      <c r="BE67" s="206">
        <f t="shared" si="95"/>
        <v>0</v>
      </c>
      <c r="BF67" s="206">
        <f t="shared" si="96"/>
        <v>0</v>
      </c>
      <c r="BG67" s="206">
        <f t="shared" si="97"/>
        <v>0</v>
      </c>
      <c r="BH67" s="206">
        <f t="shared" si="98"/>
        <v>0</v>
      </c>
      <c r="BI67" s="206">
        <f t="shared" si="19"/>
        <v>0</v>
      </c>
      <c r="BJ67" s="266">
        <f t="shared" si="37"/>
        <v>0</v>
      </c>
      <c r="BK67" s="266">
        <f t="shared" si="38"/>
        <v>0</v>
      </c>
      <c r="BL67" s="192">
        <f t="shared" si="39"/>
        <v>0</v>
      </c>
      <c r="BM67" s="192">
        <f t="shared" si="40"/>
        <v>0</v>
      </c>
      <c r="BN67" s="192">
        <f t="shared" si="41"/>
        <v>0</v>
      </c>
      <c r="BO67" s="192">
        <f t="shared" si="42"/>
        <v>0</v>
      </c>
      <c r="BP67" s="192">
        <f t="shared" si="43"/>
        <v>0</v>
      </c>
      <c r="BQ67" s="193">
        <f t="shared" si="44"/>
        <v>0</v>
      </c>
      <c r="BR67" s="193">
        <f t="shared" si="45"/>
        <v>0</v>
      </c>
      <c r="BS67" s="265">
        <f t="shared" si="46"/>
        <v>0</v>
      </c>
      <c r="BT67" s="265">
        <f t="shared" si="47"/>
        <v>0</v>
      </c>
      <c r="BU67" s="265">
        <f t="shared" si="48"/>
        <v>0</v>
      </c>
      <c r="BV67" s="265">
        <f t="shared" si="49"/>
        <v>0</v>
      </c>
      <c r="BW67" s="265">
        <f t="shared" si="50"/>
        <v>0</v>
      </c>
      <c r="BX67" s="265">
        <f t="shared" si="51"/>
        <v>0</v>
      </c>
      <c r="BY67" s="265">
        <f t="shared" si="52"/>
        <v>0</v>
      </c>
      <c r="BZ67" s="265">
        <f t="shared" si="53"/>
        <v>0</v>
      </c>
      <c r="CA67" s="265">
        <f t="shared" si="54"/>
        <v>0</v>
      </c>
      <c r="CB67" s="269">
        <f t="shared" si="55"/>
        <v>0</v>
      </c>
      <c r="CC67" s="266">
        <f t="shared" si="56"/>
        <v>0</v>
      </c>
      <c r="CD67" s="241"/>
      <c r="CE67" s="198">
        <f t="shared" si="70"/>
        <v>9.0651458963194651E-11</v>
      </c>
      <c r="CF67" s="198">
        <f t="shared" si="58"/>
        <v>0</v>
      </c>
      <c r="CG67" s="198">
        <f t="shared" si="59"/>
        <v>0</v>
      </c>
      <c r="CH67" s="198">
        <f t="shared" si="60"/>
        <v>0</v>
      </c>
      <c r="CI67" s="198">
        <f t="shared" si="61"/>
        <v>0</v>
      </c>
      <c r="CJ67" s="198">
        <f t="shared" si="62"/>
        <v>0</v>
      </c>
      <c r="CK67" s="198">
        <f t="shared" si="63"/>
        <v>0</v>
      </c>
      <c r="CL67" s="198">
        <f t="shared" si="64"/>
        <v>3.960105190815629E-13</v>
      </c>
      <c r="CM67" s="271">
        <f t="shared" si="65"/>
        <v>0</v>
      </c>
      <c r="CN67" s="198">
        <f t="shared" si="66"/>
        <v>9.1047469482276209E-11</v>
      </c>
      <c r="CO67" s="209">
        <f t="shared" si="71"/>
        <v>9.0651458963194651E-11</v>
      </c>
    </row>
    <row r="68" spans="2:93" x14ac:dyDescent="0.2">
      <c r="B68" s="221">
        <f>'DATA INPUT - DETAIL'!D59</f>
        <v>0</v>
      </c>
      <c r="C68" s="211">
        <f>'DATA INPUT - DETAIL'!E59</f>
        <v>0</v>
      </c>
      <c r="D68" s="257">
        <f>'DATA INPUT - DETAIL'!I59</f>
        <v>0</v>
      </c>
      <c r="E68" s="258">
        <f>'DATA INPUT - DETAIL'!K59</f>
        <v>0</v>
      </c>
      <c r="F68" s="258">
        <f>'DATA INPUT - DETAIL'!L59</f>
        <v>0</v>
      </c>
      <c r="G68" s="179">
        <f>'DATA INPUT - DETAIL'!M59*(1+$V$5)</f>
        <v>0</v>
      </c>
      <c r="H68" s="179">
        <f>'DATA INPUT - DETAIL'!N59*(1+$V$5)</f>
        <v>0</v>
      </c>
      <c r="I68" s="258">
        <f t="shared" si="72"/>
        <v>0</v>
      </c>
      <c r="J68" s="258">
        <f>'DATA INPUT - DETAIL'!O59</f>
        <v>0</v>
      </c>
      <c r="K68" s="258">
        <f>'DATA INPUT - DETAIL'!P59</f>
        <v>0</v>
      </c>
      <c r="L68" s="267">
        <f>ROUNDDOWN('DATA INPUT - DETAIL'!G59,0)</f>
        <v>0</v>
      </c>
      <c r="M68" s="196">
        <f t="shared" si="99"/>
        <v>0</v>
      </c>
      <c r="N68" s="196">
        <f t="shared" si="74"/>
        <v>0</v>
      </c>
      <c r="O68" s="196">
        <f t="shared" si="75"/>
        <v>0</v>
      </c>
      <c r="P68" s="196">
        <f t="shared" si="76"/>
        <v>0</v>
      </c>
      <c r="Q68" s="196">
        <f t="shared" si="77"/>
        <v>0</v>
      </c>
      <c r="R68" s="196">
        <f t="shared" si="78"/>
        <v>0</v>
      </c>
      <c r="S68" s="196">
        <f t="shared" si="79"/>
        <v>0</v>
      </c>
      <c r="T68" s="196">
        <f t="shared" si="80"/>
        <v>0</v>
      </c>
      <c r="U68" s="185">
        <f>(C68&gt;0)*(C68&lt;$E$5)*VLOOKUP(MPP,ASUMSI!$BN$77:$CR$108,B68+1)*(1+$V$4)</f>
        <v>0</v>
      </c>
      <c r="V68" s="196">
        <f t="shared" si="8"/>
        <v>0</v>
      </c>
      <c r="W68" s="196">
        <f t="shared" si="68"/>
        <v>0</v>
      </c>
      <c r="X68" s="196">
        <f t="shared" si="81"/>
        <v>0</v>
      </c>
      <c r="Y68" s="196">
        <f t="shared" si="82"/>
        <v>0</v>
      </c>
      <c r="Z68" s="196">
        <f t="shared" si="83"/>
        <v>0</v>
      </c>
      <c r="AA68" s="185">
        <f t="shared" si="28"/>
        <v>0</v>
      </c>
      <c r="AB68" s="196">
        <f t="shared" si="84"/>
        <v>0</v>
      </c>
      <c r="AC68" s="196">
        <f t="shared" si="84"/>
        <v>0</v>
      </c>
      <c r="AD68" s="196">
        <f t="shared" si="84"/>
        <v>0</v>
      </c>
      <c r="AE68" s="196">
        <f t="shared" si="85"/>
        <v>0</v>
      </c>
      <c r="AF68" s="196">
        <f t="shared" si="86"/>
        <v>0</v>
      </c>
      <c r="AG68" s="196">
        <f t="shared" si="87"/>
        <v>0</v>
      </c>
      <c r="AH68" s="196">
        <f t="shared" si="88"/>
        <v>0</v>
      </c>
      <c r="AI68" s="266">
        <f>'DATA INPUT - DETAIL'!R59</f>
        <v>0</v>
      </c>
      <c r="AJ68" s="266">
        <f>'DATA INPUT - DETAIL'!S59</f>
        <v>0</v>
      </c>
      <c r="AK68" s="266">
        <f>'DATA INPUT - DETAIL'!T59</f>
        <v>0</v>
      </c>
      <c r="AL68" s="266">
        <f>'DATA INPUT - DETAIL'!U59</f>
        <v>0</v>
      </c>
      <c r="AM68" s="266">
        <f>'DATA INPUT - DETAIL'!V59</f>
        <v>0</v>
      </c>
      <c r="AN68" s="266">
        <f>'DATA INPUT - DETAIL'!W59</f>
        <v>0</v>
      </c>
      <c r="AO68" s="198">
        <f t="shared" si="10"/>
        <v>0</v>
      </c>
      <c r="AP68" s="266">
        <f>'DATA INPUT - DETAIL'!X59</f>
        <v>0</v>
      </c>
      <c r="AQ68" s="266">
        <f>'DATA INPUT - DETAIL'!Y59</f>
        <v>0</v>
      </c>
      <c r="AR68" s="266">
        <f>'DATA INPUT - DETAIL'!Z59</f>
        <v>0</v>
      </c>
      <c r="AS68" s="266">
        <f>'DATA INPUT - DETAIL'!AD59</f>
        <v>0</v>
      </c>
      <c r="AT68" s="266">
        <f t="shared" si="33"/>
        <v>0</v>
      </c>
      <c r="AU68" s="206">
        <f>'DATA INPUT - DETAIL'!AA59</f>
        <v>0</v>
      </c>
      <c r="AV68" s="206">
        <f>'DATA INPUT - DETAIL'!AB59</f>
        <v>0</v>
      </c>
      <c r="AW68" s="206">
        <f>'DATA INPUT - DETAIL'!AC59</f>
        <v>0</v>
      </c>
      <c r="AX68" s="206">
        <f t="shared" si="89"/>
        <v>0</v>
      </c>
      <c r="AY68" s="206">
        <f t="shared" si="34"/>
        <v>0</v>
      </c>
      <c r="AZ68" s="206">
        <f t="shared" si="90"/>
        <v>0</v>
      </c>
      <c r="BA68" s="206">
        <f t="shared" si="91"/>
        <v>0</v>
      </c>
      <c r="BB68" s="206">
        <f t="shared" si="92"/>
        <v>0</v>
      </c>
      <c r="BC68" s="206">
        <f t="shared" si="93"/>
        <v>0</v>
      </c>
      <c r="BD68" s="206">
        <f t="shared" si="94"/>
        <v>0</v>
      </c>
      <c r="BE68" s="206">
        <f t="shared" si="95"/>
        <v>0</v>
      </c>
      <c r="BF68" s="206">
        <f t="shared" si="96"/>
        <v>0</v>
      </c>
      <c r="BG68" s="206">
        <f t="shared" si="97"/>
        <v>0</v>
      </c>
      <c r="BH68" s="206">
        <f t="shared" si="98"/>
        <v>0</v>
      </c>
      <c r="BI68" s="206">
        <f t="shared" si="19"/>
        <v>0</v>
      </c>
      <c r="BJ68" s="266">
        <f t="shared" si="37"/>
        <v>0</v>
      </c>
      <c r="BK68" s="266">
        <f t="shared" si="38"/>
        <v>0</v>
      </c>
      <c r="BL68" s="192">
        <f t="shared" si="39"/>
        <v>0</v>
      </c>
      <c r="BM68" s="192">
        <f t="shared" si="40"/>
        <v>0</v>
      </c>
      <c r="BN68" s="192">
        <f t="shared" si="41"/>
        <v>0</v>
      </c>
      <c r="BO68" s="192">
        <f t="shared" si="42"/>
        <v>0</v>
      </c>
      <c r="BP68" s="192">
        <f t="shared" si="43"/>
        <v>0</v>
      </c>
      <c r="BQ68" s="193">
        <f t="shared" si="44"/>
        <v>0</v>
      </c>
      <c r="BR68" s="193">
        <f t="shared" si="45"/>
        <v>0</v>
      </c>
      <c r="BS68" s="265">
        <f t="shared" si="46"/>
        <v>0</v>
      </c>
      <c r="BT68" s="265">
        <f t="shared" si="47"/>
        <v>0</v>
      </c>
      <c r="BU68" s="265">
        <f t="shared" si="48"/>
        <v>0</v>
      </c>
      <c r="BV68" s="265">
        <f t="shared" si="49"/>
        <v>0</v>
      </c>
      <c r="BW68" s="265">
        <f t="shared" si="50"/>
        <v>0</v>
      </c>
      <c r="BX68" s="265">
        <f t="shared" si="51"/>
        <v>0</v>
      </c>
      <c r="BY68" s="265">
        <f t="shared" si="52"/>
        <v>0</v>
      </c>
      <c r="BZ68" s="265">
        <f t="shared" si="53"/>
        <v>0</v>
      </c>
      <c r="CA68" s="265">
        <f t="shared" si="54"/>
        <v>0</v>
      </c>
      <c r="CB68" s="269">
        <f t="shared" si="55"/>
        <v>0</v>
      </c>
      <c r="CC68" s="266">
        <f t="shared" si="56"/>
        <v>0</v>
      </c>
      <c r="CD68" s="241"/>
      <c r="CE68" s="198">
        <f t="shared" si="70"/>
        <v>9.1047469482276209E-11</v>
      </c>
      <c r="CF68" s="198">
        <f t="shared" si="58"/>
        <v>0</v>
      </c>
      <c r="CG68" s="198">
        <f t="shared" si="59"/>
        <v>0</v>
      </c>
      <c r="CH68" s="198">
        <f t="shared" si="60"/>
        <v>0</v>
      </c>
      <c r="CI68" s="198">
        <f t="shared" si="61"/>
        <v>0</v>
      </c>
      <c r="CJ68" s="198">
        <f t="shared" si="62"/>
        <v>0</v>
      </c>
      <c r="CK68" s="198">
        <f t="shared" si="63"/>
        <v>0</v>
      </c>
      <c r="CL68" s="198">
        <f t="shared" si="64"/>
        <v>3.977404893767671E-13</v>
      </c>
      <c r="CM68" s="271">
        <f t="shared" si="65"/>
        <v>0</v>
      </c>
      <c r="CN68" s="198">
        <f t="shared" si="66"/>
        <v>9.1445209971652978E-11</v>
      </c>
      <c r="CO68" s="209">
        <f t="shared" si="71"/>
        <v>9.1047469482276209E-11</v>
      </c>
    </row>
    <row r="69" spans="2:93" x14ac:dyDescent="0.2">
      <c r="B69" s="221">
        <f>'DATA INPUT - DETAIL'!D60</f>
        <v>0</v>
      </c>
      <c r="C69" s="211">
        <f>'DATA INPUT - DETAIL'!E60</f>
        <v>0</v>
      </c>
      <c r="D69" s="257">
        <f>'DATA INPUT - DETAIL'!I60</f>
        <v>0</v>
      </c>
      <c r="E69" s="258">
        <f>'DATA INPUT - DETAIL'!K60</f>
        <v>0</v>
      </c>
      <c r="F69" s="258">
        <f>'DATA INPUT - DETAIL'!L60</f>
        <v>0</v>
      </c>
      <c r="G69" s="179">
        <f>'DATA INPUT - DETAIL'!M60*(1+$V$5)</f>
        <v>0</v>
      </c>
      <c r="H69" s="179">
        <f>'DATA INPUT - DETAIL'!N60*(1+$V$5)</f>
        <v>0</v>
      </c>
      <c r="I69" s="258">
        <f t="shared" si="72"/>
        <v>0</v>
      </c>
      <c r="J69" s="258">
        <f>'DATA INPUT - DETAIL'!O60</f>
        <v>0</v>
      </c>
      <c r="K69" s="258">
        <f>'DATA INPUT - DETAIL'!P60</f>
        <v>0</v>
      </c>
      <c r="L69" s="267">
        <f>ROUNDDOWN('DATA INPUT - DETAIL'!G60,0)</f>
        <v>0</v>
      </c>
      <c r="M69" s="196">
        <f t="shared" si="99"/>
        <v>0</v>
      </c>
      <c r="N69" s="196">
        <f t="shared" si="74"/>
        <v>0</v>
      </c>
      <c r="O69" s="196">
        <f t="shared" si="75"/>
        <v>0</v>
      </c>
      <c r="P69" s="196">
        <f t="shared" si="76"/>
        <v>0</v>
      </c>
      <c r="Q69" s="196">
        <f t="shared" si="77"/>
        <v>0</v>
      </c>
      <c r="R69" s="196">
        <f t="shared" si="78"/>
        <v>0</v>
      </c>
      <c r="S69" s="196">
        <f t="shared" si="79"/>
        <v>0</v>
      </c>
      <c r="T69" s="196">
        <f t="shared" si="80"/>
        <v>0</v>
      </c>
      <c r="U69" s="185">
        <f>(C69&gt;0)*(C69&lt;$E$5)*VLOOKUP(MPP,ASUMSI!$BN$77:$CR$108,B69+1)*(1+$V$4)</f>
        <v>0</v>
      </c>
      <c r="V69" s="196">
        <f t="shared" si="8"/>
        <v>0</v>
      </c>
      <c r="W69" s="196">
        <f t="shared" si="68"/>
        <v>0</v>
      </c>
      <c r="X69" s="196">
        <f t="shared" si="81"/>
        <v>0</v>
      </c>
      <c r="Y69" s="196">
        <f t="shared" si="82"/>
        <v>0</v>
      </c>
      <c r="Z69" s="196">
        <f t="shared" si="83"/>
        <v>0</v>
      </c>
      <c r="AA69" s="185">
        <f t="shared" si="28"/>
        <v>0</v>
      </c>
      <c r="AB69" s="196">
        <f t="shared" si="84"/>
        <v>0</v>
      </c>
      <c r="AC69" s="196">
        <f t="shared" si="84"/>
        <v>0</v>
      </c>
      <c r="AD69" s="196">
        <f t="shared" si="84"/>
        <v>0</v>
      </c>
      <c r="AE69" s="196">
        <f t="shared" si="85"/>
        <v>0</v>
      </c>
      <c r="AF69" s="196">
        <f t="shared" si="86"/>
        <v>0</v>
      </c>
      <c r="AG69" s="196">
        <f t="shared" si="87"/>
        <v>0</v>
      </c>
      <c r="AH69" s="196">
        <f t="shared" si="88"/>
        <v>0</v>
      </c>
      <c r="AI69" s="266">
        <f>'DATA INPUT - DETAIL'!R60</f>
        <v>0</v>
      </c>
      <c r="AJ69" s="266">
        <f>'DATA INPUT - DETAIL'!S60</f>
        <v>0</v>
      </c>
      <c r="AK69" s="266">
        <f>'DATA INPUT - DETAIL'!T60</f>
        <v>0</v>
      </c>
      <c r="AL69" s="266">
        <f>'DATA INPUT - DETAIL'!U60</f>
        <v>0</v>
      </c>
      <c r="AM69" s="266">
        <f>'DATA INPUT - DETAIL'!V60</f>
        <v>0</v>
      </c>
      <c r="AN69" s="266">
        <f>'DATA INPUT - DETAIL'!W60</f>
        <v>0</v>
      </c>
      <c r="AO69" s="198">
        <f t="shared" si="10"/>
        <v>0</v>
      </c>
      <c r="AP69" s="266">
        <f>'DATA INPUT - DETAIL'!X60</f>
        <v>0</v>
      </c>
      <c r="AQ69" s="266">
        <f>'DATA INPUT - DETAIL'!Y60</f>
        <v>0</v>
      </c>
      <c r="AR69" s="266">
        <f>'DATA INPUT - DETAIL'!Z60</f>
        <v>0</v>
      </c>
      <c r="AS69" s="266">
        <f>'DATA INPUT - DETAIL'!AD60</f>
        <v>0</v>
      </c>
      <c r="AT69" s="266">
        <f t="shared" si="33"/>
        <v>0</v>
      </c>
      <c r="AU69" s="206">
        <f>'DATA INPUT - DETAIL'!AA60</f>
        <v>0</v>
      </c>
      <c r="AV69" s="206">
        <f>'DATA INPUT - DETAIL'!AB60</f>
        <v>0</v>
      </c>
      <c r="AW69" s="206">
        <f>'DATA INPUT - DETAIL'!AC60</f>
        <v>0</v>
      </c>
      <c r="AX69" s="206">
        <f t="shared" si="89"/>
        <v>0</v>
      </c>
      <c r="AY69" s="206">
        <f t="shared" si="34"/>
        <v>0</v>
      </c>
      <c r="AZ69" s="206">
        <f t="shared" si="90"/>
        <v>0</v>
      </c>
      <c r="BA69" s="206">
        <f t="shared" si="91"/>
        <v>0</v>
      </c>
      <c r="BB69" s="206">
        <f t="shared" si="92"/>
        <v>0</v>
      </c>
      <c r="BC69" s="206">
        <f t="shared" si="93"/>
        <v>0</v>
      </c>
      <c r="BD69" s="206">
        <f t="shared" si="94"/>
        <v>0</v>
      </c>
      <c r="BE69" s="206">
        <f t="shared" si="95"/>
        <v>0</v>
      </c>
      <c r="BF69" s="206">
        <f t="shared" si="96"/>
        <v>0</v>
      </c>
      <c r="BG69" s="206">
        <f t="shared" si="97"/>
        <v>0</v>
      </c>
      <c r="BH69" s="206">
        <f t="shared" si="98"/>
        <v>0</v>
      </c>
      <c r="BI69" s="206">
        <f t="shared" si="19"/>
        <v>0</v>
      </c>
      <c r="BJ69" s="266">
        <f t="shared" si="37"/>
        <v>0</v>
      </c>
      <c r="BK69" s="266">
        <f t="shared" si="38"/>
        <v>0</v>
      </c>
      <c r="BL69" s="192">
        <f t="shared" si="39"/>
        <v>0</v>
      </c>
      <c r="BM69" s="192">
        <f t="shared" si="40"/>
        <v>0</v>
      </c>
      <c r="BN69" s="192">
        <f t="shared" si="41"/>
        <v>0</v>
      </c>
      <c r="BO69" s="192">
        <f t="shared" si="42"/>
        <v>0</v>
      </c>
      <c r="BP69" s="192">
        <f t="shared" si="43"/>
        <v>0</v>
      </c>
      <c r="BQ69" s="193">
        <f t="shared" si="44"/>
        <v>0</v>
      </c>
      <c r="BR69" s="193">
        <f t="shared" si="45"/>
        <v>0</v>
      </c>
      <c r="BS69" s="265">
        <f t="shared" si="46"/>
        <v>0</v>
      </c>
      <c r="BT69" s="265">
        <f t="shared" si="47"/>
        <v>0</v>
      </c>
      <c r="BU69" s="265">
        <f t="shared" si="48"/>
        <v>0</v>
      </c>
      <c r="BV69" s="265">
        <f t="shared" si="49"/>
        <v>0</v>
      </c>
      <c r="BW69" s="265">
        <f t="shared" si="50"/>
        <v>0</v>
      </c>
      <c r="BX69" s="265">
        <f t="shared" si="51"/>
        <v>0</v>
      </c>
      <c r="BY69" s="265">
        <f t="shared" si="52"/>
        <v>0</v>
      </c>
      <c r="BZ69" s="265">
        <f t="shared" si="53"/>
        <v>0</v>
      </c>
      <c r="CA69" s="265">
        <f t="shared" si="54"/>
        <v>0</v>
      </c>
      <c r="CB69" s="269">
        <f t="shared" si="55"/>
        <v>0</v>
      </c>
      <c r="CC69" s="266">
        <f t="shared" si="56"/>
        <v>0</v>
      </c>
      <c r="CD69" s="241"/>
      <c r="CE69" s="198">
        <f t="shared" si="70"/>
        <v>9.1445209971652978E-11</v>
      </c>
      <c r="CF69" s="198">
        <f t="shared" si="58"/>
        <v>0</v>
      </c>
      <c r="CG69" s="198">
        <f t="shared" si="59"/>
        <v>0</v>
      </c>
      <c r="CH69" s="198">
        <f t="shared" si="60"/>
        <v>0</v>
      </c>
      <c r="CI69" s="198">
        <f t="shared" si="61"/>
        <v>0</v>
      </c>
      <c r="CJ69" s="198">
        <f t="shared" si="62"/>
        <v>0</v>
      </c>
      <c r="CK69" s="198">
        <f t="shared" si="63"/>
        <v>0</v>
      </c>
      <c r="CL69" s="198">
        <f t="shared" si="64"/>
        <v>3.9947801703996554E-13</v>
      </c>
      <c r="CM69" s="271">
        <f t="shared" si="65"/>
        <v>0</v>
      </c>
      <c r="CN69" s="198">
        <f t="shared" si="66"/>
        <v>9.184468798869294E-11</v>
      </c>
      <c r="CO69" s="209">
        <f t="shared" si="71"/>
        <v>9.1445209971652978E-11</v>
      </c>
    </row>
    <row r="70" spans="2:93" x14ac:dyDescent="0.2">
      <c r="B70" s="221">
        <f>'DATA INPUT - DETAIL'!D61</f>
        <v>0</v>
      </c>
      <c r="C70" s="211">
        <f>'DATA INPUT - DETAIL'!E61</f>
        <v>0</v>
      </c>
      <c r="D70" s="257">
        <f>'DATA INPUT - DETAIL'!I61</f>
        <v>0</v>
      </c>
      <c r="E70" s="258">
        <f>'DATA INPUT - DETAIL'!K61</f>
        <v>0</v>
      </c>
      <c r="F70" s="258">
        <f>'DATA INPUT - DETAIL'!L61</f>
        <v>0</v>
      </c>
      <c r="G70" s="179">
        <f>'DATA INPUT - DETAIL'!M61*(1+$V$5)</f>
        <v>0</v>
      </c>
      <c r="H70" s="179">
        <f>'DATA INPUT - DETAIL'!N61*(1+$V$5)</f>
        <v>0</v>
      </c>
      <c r="I70" s="258">
        <f t="shared" si="72"/>
        <v>0</v>
      </c>
      <c r="J70" s="258">
        <f>'DATA INPUT - DETAIL'!O61</f>
        <v>0</v>
      </c>
      <c r="K70" s="258">
        <f>'DATA INPUT - DETAIL'!P61</f>
        <v>0</v>
      </c>
      <c r="L70" s="267">
        <f>ROUNDDOWN('DATA INPUT - DETAIL'!G61,0)</f>
        <v>0</v>
      </c>
      <c r="M70" s="196">
        <f t="shared" si="99"/>
        <v>0</v>
      </c>
      <c r="N70" s="196">
        <f t="shared" si="74"/>
        <v>0</v>
      </c>
      <c r="O70" s="196">
        <f t="shared" si="75"/>
        <v>0</v>
      </c>
      <c r="P70" s="196">
        <f t="shared" si="76"/>
        <v>0</v>
      </c>
      <c r="Q70" s="196">
        <f t="shared" si="77"/>
        <v>0</v>
      </c>
      <c r="R70" s="196">
        <f t="shared" si="78"/>
        <v>0</v>
      </c>
      <c r="S70" s="196">
        <f t="shared" si="79"/>
        <v>0</v>
      </c>
      <c r="T70" s="196">
        <f t="shared" si="80"/>
        <v>0</v>
      </c>
      <c r="U70" s="185">
        <f>(C70&gt;0)*(C70&lt;$E$5)*VLOOKUP(MPP,ASUMSI!$BN$77:$CR$108,B70+1)*(1+$V$4)</f>
        <v>0</v>
      </c>
      <c r="V70" s="196">
        <f t="shared" si="8"/>
        <v>0</v>
      </c>
      <c r="W70" s="196">
        <f t="shared" si="68"/>
        <v>0</v>
      </c>
      <c r="X70" s="196">
        <f t="shared" si="81"/>
        <v>0</v>
      </c>
      <c r="Y70" s="196">
        <f t="shared" si="82"/>
        <v>0</v>
      </c>
      <c r="Z70" s="196">
        <f t="shared" si="83"/>
        <v>0</v>
      </c>
      <c r="AA70" s="185">
        <f t="shared" si="28"/>
        <v>0</v>
      </c>
      <c r="AB70" s="196">
        <f t="shared" si="84"/>
        <v>0</v>
      </c>
      <c r="AC70" s="196">
        <f t="shared" si="84"/>
        <v>0</v>
      </c>
      <c r="AD70" s="196">
        <f t="shared" si="84"/>
        <v>0</v>
      </c>
      <c r="AE70" s="196">
        <f t="shared" si="85"/>
        <v>0</v>
      </c>
      <c r="AF70" s="196">
        <f t="shared" si="86"/>
        <v>0</v>
      </c>
      <c r="AG70" s="196">
        <f t="shared" si="87"/>
        <v>0</v>
      </c>
      <c r="AH70" s="196">
        <f t="shared" si="88"/>
        <v>0</v>
      </c>
      <c r="AI70" s="266">
        <f>'DATA INPUT - DETAIL'!R61</f>
        <v>0</v>
      </c>
      <c r="AJ70" s="266">
        <f>'DATA INPUT - DETAIL'!S61</f>
        <v>0</v>
      </c>
      <c r="AK70" s="266">
        <f>'DATA INPUT - DETAIL'!T61</f>
        <v>0</v>
      </c>
      <c r="AL70" s="266">
        <f>'DATA INPUT - DETAIL'!U61</f>
        <v>0</v>
      </c>
      <c r="AM70" s="266">
        <f>'DATA INPUT - DETAIL'!V61</f>
        <v>0</v>
      </c>
      <c r="AN70" s="266">
        <f>'DATA INPUT - DETAIL'!W61</f>
        <v>0</v>
      </c>
      <c r="AO70" s="198">
        <f t="shared" si="10"/>
        <v>0</v>
      </c>
      <c r="AP70" s="266">
        <f>'DATA INPUT - DETAIL'!X61</f>
        <v>0</v>
      </c>
      <c r="AQ70" s="266">
        <f>'DATA INPUT - DETAIL'!Y61</f>
        <v>0</v>
      </c>
      <c r="AR70" s="266">
        <f>'DATA INPUT - DETAIL'!Z61</f>
        <v>0</v>
      </c>
      <c r="AS70" s="266">
        <f>'DATA INPUT - DETAIL'!AD61</f>
        <v>0</v>
      </c>
      <c r="AT70" s="266">
        <f t="shared" si="33"/>
        <v>0</v>
      </c>
      <c r="AU70" s="206">
        <f>'DATA INPUT - DETAIL'!AA61</f>
        <v>0</v>
      </c>
      <c r="AV70" s="206">
        <f>'DATA INPUT - DETAIL'!AB61</f>
        <v>0</v>
      </c>
      <c r="AW70" s="206">
        <f>'DATA INPUT - DETAIL'!AC61</f>
        <v>0</v>
      </c>
      <c r="AX70" s="206">
        <f t="shared" si="89"/>
        <v>0</v>
      </c>
      <c r="AY70" s="206">
        <f t="shared" si="34"/>
        <v>0</v>
      </c>
      <c r="AZ70" s="206">
        <f t="shared" si="90"/>
        <v>0</v>
      </c>
      <c r="BA70" s="206">
        <f t="shared" si="91"/>
        <v>0</v>
      </c>
      <c r="BB70" s="206">
        <f t="shared" si="92"/>
        <v>0</v>
      </c>
      <c r="BC70" s="206">
        <f t="shared" si="93"/>
        <v>0</v>
      </c>
      <c r="BD70" s="206">
        <f t="shared" si="94"/>
        <v>0</v>
      </c>
      <c r="BE70" s="206">
        <f t="shared" si="95"/>
        <v>0</v>
      </c>
      <c r="BF70" s="206">
        <f t="shared" si="96"/>
        <v>0</v>
      </c>
      <c r="BG70" s="206">
        <f t="shared" si="97"/>
        <v>0</v>
      </c>
      <c r="BH70" s="206">
        <f t="shared" si="98"/>
        <v>0</v>
      </c>
      <c r="BI70" s="206">
        <f t="shared" si="19"/>
        <v>0</v>
      </c>
      <c r="BJ70" s="266">
        <f t="shared" si="37"/>
        <v>0</v>
      </c>
      <c r="BK70" s="266">
        <f t="shared" si="38"/>
        <v>0</v>
      </c>
      <c r="BL70" s="192">
        <f t="shared" si="39"/>
        <v>0</v>
      </c>
      <c r="BM70" s="192">
        <f t="shared" si="40"/>
        <v>0</v>
      </c>
      <c r="BN70" s="192">
        <f t="shared" si="41"/>
        <v>0</v>
      </c>
      <c r="BO70" s="192">
        <f t="shared" si="42"/>
        <v>0</v>
      </c>
      <c r="BP70" s="192">
        <f t="shared" si="43"/>
        <v>0</v>
      </c>
      <c r="BQ70" s="193">
        <f t="shared" si="44"/>
        <v>0</v>
      </c>
      <c r="BR70" s="193">
        <f t="shared" si="45"/>
        <v>0</v>
      </c>
      <c r="BS70" s="265">
        <f t="shared" si="46"/>
        <v>0</v>
      </c>
      <c r="BT70" s="265">
        <f t="shared" si="47"/>
        <v>0</v>
      </c>
      <c r="BU70" s="265">
        <f t="shared" si="48"/>
        <v>0</v>
      </c>
      <c r="BV70" s="265">
        <f t="shared" si="49"/>
        <v>0</v>
      </c>
      <c r="BW70" s="265">
        <f t="shared" si="50"/>
        <v>0</v>
      </c>
      <c r="BX70" s="265">
        <f t="shared" si="51"/>
        <v>0</v>
      </c>
      <c r="BY70" s="265">
        <f t="shared" si="52"/>
        <v>0</v>
      </c>
      <c r="BZ70" s="265">
        <f t="shared" si="53"/>
        <v>0</v>
      </c>
      <c r="CA70" s="265">
        <f t="shared" si="54"/>
        <v>0</v>
      </c>
      <c r="CB70" s="269">
        <f t="shared" si="55"/>
        <v>0</v>
      </c>
      <c r="CC70" s="266">
        <f t="shared" si="56"/>
        <v>0</v>
      </c>
      <c r="CD70" s="241"/>
      <c r="CE70" s="198">
        <f t="shared" si="70"/>
        <v>9.184468798869294E-11</v>
      </c>
      <c r="CF70" s="198">
        <f t="shared" si="58"/>
        <v>0</v>
      </c>
      <c r="CG70" s="198">
        <f t="shared" si="59"/>
        <v>0</v>
      </c>
      <c r="CH70" s="198">
        <f t="shared" si="60"/>
        <v>0</v>
      </c>
      <c r="CI70" s="198">
        <f t="shared" si="61"/>
        <v>0</v>
      </c>
      <c r="CJ70" s="198">
        <f t="shared" si="62"/>
        <v>0</v>
      </c>
      <c r="CK70" s="198">
        <f t="shared" si="63"/>
        <v>0</v>
      </c>
      <c r="CL70" s="198">
        <f t="shared" si="64"/>
        <v>4.0122313508548864E-13</v>
      </c>
      <c r="CM70" s="271">
        <f t="shared" si="65"/>
        <v>0</v>
      </c>
      <c r="CN70" s="198">
        <f t="shared" si="66"/>
        <v>9.2245911123778431E-11</v>
      </c>
      <c r="CO70" s="209">
        <f t="shared" si="71"/>
        <v>9.184468798869294E-11</v>
      </c>
    </row>
    <row r="71" spans="2:93" x14ac:dyDescent="0.2">
      <c r="B71" s="221">
        <f>'DATA INPUT - DETAIL'!D62</f>
        <v>0</v>
      </c>
      <c r="C71" s="211">
        <f>'DATA INPUT - DETAIL'!E62</f>
        <v>0</v>
      </c>
      <c r="D71" s="257">
        <f>'DATA INPUT - DETAIL'!I62</f>
        <v>0</v>
      </c>
      <c r="E71" s="258">
        <f>'DATA INPUT - DETAIL'!K62</f>
        <v>0</v>
      </c>
      <c r="F71" s="258">
        <f>'DATA INPUT - DETAIL'!L62</f>
        <v>0</v>
      </c>
      <c r="G71" s="179">
        <f>'DATA INPUT - DETAIL'!M62*(1+$V$5)</f>
        <v>0</v>
      </c>
      <c r="H71" s="179">
        <f>'DATA INPUT - DETAIL'!N62*(1+$V$5)</f>
        <v>0</v>
      </c>
      <c r="I71" s="258">
        <f t="shared" si="72"/>
        <v>0</v>
      </c>
      <c r="J71" s="258">
        <f>'DATA INPUT - DETAIL'!O62</f>
        <v>0</v>
      </c>
      <c r="K71" s="258">
        <f>'DATA INPUT - DETAIL'!P62</f>
        <v>0</v>
      </c>
      <c r="L71" s="267">
        <f>ROUNDDOWN('DATA INPUT - DETAIL'!G62,0)</f>
        <v>0</v>
      </c>
      <c r="M71" s="196">
        <f t="shared" si="99"/>
        <v>0</v>
      </c>
      <c r="N71" s="196">
        <f t="shared" si="74"/>
        <v>0</v>
      </c>
      <c r="O71" s="196">
        <f t="shared" si="75"/>
        <v>0</v>
      </c>
      <c r="P71" s="196">
        <f t="shared" si="76"/>
        <v>0</v>
      </c>
      <c r="Q71" s="196">
        <f t="shared" si="77"/>
        <v>0</v>
      </c>
      <c r="R71" s="196">
        <f t="shared" si="78"/>
        <v>0</v>
      </c>
      <c r="S71" s="196">
        <f t="shared" si="79"/>
        <v>0</v>
      </c>
      <c r="T71" s="196">
        <f t="shared" si="80"/>
        <v>0</v>
      </c>
      <c r="U71" s="185">
        <f>(C71&gt;0)*(C71&lt;$E$5)*VLOOKUP(MPP,ASUMSI!$BN$77:$CR$108,B71+1)*(1+$V$4)</f>
        <v>0</v>
      </c>
      <c r="V71" s="196">
        <f t="shared" si="8"/>
        <v>0</v>
      </c>
      <c r="W71" s="196">
        <f t="shared" si="68"/>
        <v>0</v>
      </c>
      <c r="X71" s="196">
        <f t="shared" si="81"/>
        <v>0</v>
      </c>
      <c r="Y71" s="196">
        <f t="shared" si="82"/>
        <v>0</v>
      </c>
      <c r="Z71" s="196">
        <f t="shared" si="83"/>
        <v>0</v>
      </c>
      <c r="AA71" s="185">
        <f t="shared" si="28"/>
        <v>0</v>
      </c>
      <c r="AB71" s="196">
        <f t="shared" si="84"/>
        <v>0</v>
      </c>
      <c r="AC71" s="196">
        <f t="shared" si="84"/>
        <v>0</v>
      </c>
      <c r="AD71" s="196">
        <f t="shared" si="84"/>
        <v>0</v>
      </c>
      <c r="AE71" s="196">
        <f t="shared" si="85"/>
        <v>0</v>
      </c>
      <c r="AF71" s="196">
        <f t="shared" si="86"/>
        <v>0</v>
      </c>
      <c r="AG71" s="196">
        <f t="shared" si="87"/>
        <v>0</v>
      </c>
      <c r="AH71" s="196">
        <f t="shared" si="88"/>
        <v>0</v>
      </c>
      <c r="AI71" s="266">
        <f>'DATA INPUT - DETAIL'!R62</f>
        <v>0</v>
      </c>
      <c r="AJ71" s="266">
        <f>'DATA INPUT - DETAIL'!S62</f>
        <v>0</v>
      </c>
      <c r="AK71" s="266">
        <f>'DATA INPUT - DETAIL'!T62</f>
        <v>0</v>
      </c>
      <c r="AL71" s="266">
        <f>'DATA INPUT - DETAIL'!U62</f>
        <v>0</v>
      </c>
      <c r="AM71" s="266">
        <f>'DATA INPUT - DETAIL'!V62</f>
        <v>0</v>
      </c>
      <c r="AN71" s="266">
        <f>'DATA INPUT - DETAIL'!W62</f>
        <v>0</v>
      </c>
      <c r="AO71" s="198">
        <f t="shared" si="10"/>
        <v>0</v>
      </c>
      <c r="AP71" s="266">
        <f>'DATA INPUT - DETAIL'!X62</f>
        <v>0</v>
      </c>
      <c r="AQ71" s="266">
        <f>'DATA INPUT - DETAIL'!Y62</f>
        <v>0</v>
      </c>
      <c r="AR71" s="266">
        <f>'DATA INPUT - DETAIL'!Z62</f>
        <v>0</v>
      </c>
      <c r="AS71" s="266">
        <f>'DATA INPUT - DETAIL'!AD62</f>
        <v>0</v>
      </c>
      <c r="AT71" s="266">
        <f t="shared" si="33"/>
        <v>0</v>
      </c>
      <c r="AU71" s="206">
        <f>'DATA INPUT - DETAIL'!AA62</f>
        <v>0</v>
      </c>
      <c r="AV71" s="206">
        <f>'DATA INPUT - DETAIL'!AB62</f>
        <v>0</v>
      </c>
      <c r="AW71" s="206">
        <f>'DATA INPUT - DETAIL'!AC62</f>
        <v>0</v>
      </c>
      <c r="AX71" s="206">
        <f t="shared" si="89"/>
        <v>0</v>
      </c>
      <c r="AY71" s="206">
        <f t="shared" si="34"/>
        <v>0</v>
      </c>
      <c r="AZ71" s="206">
        <f t="shared" si="90"/>
        <v>0</v>
      </c>
      <c r="BA71" s="206">
        <f t="shared" si="91"/>
        <v>0</v>
      </c>
      <c r="BB71" s="206">
        <f t="shared" si="92"/>
        <v>0</v>
      </c>
      <c r="BC71" s="206">
        <f t="shared" si="93"/>
        <v>0</v>
      </c>
      <c r="BD71" s="206">
        <f t="shared" si="94"/>
        <v>0</v>
      </c>
      <c r="BE71" s="206">
        <f t="shared" si="95"/>
        <v>0</v>
      </c>
      <c r="BF71" s="206">
        <f t="shared" si="96"/>
        <v>0</v>
      </c>
      <c r="BG71" s="206">
        <f t="shared" si="97"/>
        <v>0</v>
      </c>
      <c r="BH71" s="206">
        <f t="shared" si="98"/>
        <v>0</v>
      </c>
      <c r="BI71" s="206">
        <f t="shared" si="19"/>
        <v>0</v>
      </c>
      <c r="BJ71" s="266">
        <f t="shared" si="37"/>
        <v>0</v>
      </c>
      <c r="BK71" s="266">
        <f t="shared" si="38"/>
        <v>0</v>
      </c>
      <c r="BL71" s="192">
        <f t="shared" si="39"/>
        <v>0</v>
      </c>
      <c r="BM71" s="192">
        <f t="shared" si="40"/>
        <v>0</v>
      </c>
      <c r="BN71" s="192">
        <f t="shared" si="41"/>
        <v>0</v>
      </c>
      <c r="BO71" s="192">
        <f t="shared" si="42"/>
        <v>0</v>
      </c>
      <c r="BP71" s="192">
        <f t="shared" si="43"/>
        <v>0</v>
      </c>
      <c r="BQ71" s="193">
        <f t="shared" si="44"/>
        <v>0</v>
      </c>
      <c r="BR71" s="193">
        <f t="shared" si="45"/>
        <v>0</v>
      </c>
      <c r="BS71" s="265">
        <f t="shared" si="46"/>
        <v>0</v>
      </c>
      <c r="BT71" s="265">
        <f t="shared" si="47"/>
        <v>0</v>
      </c>
      <c r="BU71" s="265">
        <f t="shared" si="48"/>
        <v>0</v>
      </c>
      <c r="BV71" s="265">
        <f t="shared" si="49"/>
        <v>0</v>
      </c>
      <c r="BW71" s="265">
        <f t="shared" si="50"/>
        <v>0</v>
      </c>
      <c r="BX71" s="265">
        <f t="shared" si="51"/>
        <v>0</v>
      </c>
      <c r="BY71" s="265">
        <f t="shared" si="52"/>
        <v>0</v>
      </c>
      <c r="BZ71" s="265">
        <f t="shared" si="53"/>
        <v>0</v>
      </c>
      <c r="CA71" s="265">
        <f t="shared" si="54"/>
        <v>0</v>
      </c>
      <c r="CB71" s="269">
        <f t="shared" si="55"/>
        <v>0</v>
      </c>
      <c r="CC71" s="266">
        <f t="shared" si="56"/>
        <v>0</v>
      </c>
      <c r="CD71" s="241"/>
      <c r="CE71" s="198">
        <f t="shared" si="70"/>
        <v>9.2245911123778431E-11</v>
      </c>
      <c r="CF71" s="198">
        <f t="shared" si="58"/>
        <v>0</v>
      </c>
      <c r="CG71" s="198">
        <f t="shared" si="59"/>
        <v>0</v>
      </c>
      <c r="CH71" s="198">
        <f t="shared" si="60"/>
        <v>0</v>
      </c>
      <c r="CI71" s="198">
        <f t="shared" si="61"/>
        <v>0</v>
      </c>
      <c r="CJ71" s="198">
        <f t="shared" si="62"/>
        <v>0</v>
      </c>
      <c r="CK71" s="198">
        <f t="shared" si="63"/>
        <v>0</v>
      </c>
      <c r="CL71" s="198">
        <f t="shared" si="64"/>
        <v>4.029758766718899E-13</v>
      </c>
      <c r="CM71" s="271">
        <f t="shared" si="65"/>
        <v>0</v>
      </c>
      <c r="CN71" s="198">
        <f t="shared" si="66"/>
        <v>9.2648887000450318E-11</v>
      </c>
      <c r="CO71" s="209">
        <f t="shared" si="71"/>
        <v>9.2245911123778431E-11</v>
      </c>
    </row>
    <row r="72" spans="2:93" x14ac:dyDescent="0.2">
      <c r="B72" s="221">
        <f>'DATA INPUT - DETAIL'!D63</f>
        <v>0</v>
      </c>
      <c r="C72" s="211">
        <f>'DATA INPUT - DETAIL'!E63</f>
        <v>0</v>
      </c>
      <c r="D72" s="257">
        <f>'DATA INPUT - DETAIL'!I63</f>
        <v>0</v>
      </c>
      <c r="E72" s="258">
        <f>'DATA INPUT - DETAIL'!K63</f>
        <v>0</v>
      </c>
      <c r="F72" s="258">
        <f>'DATA INPUT - DETAIL'!L63</f>
        <v>0</v>
      </c>
      <c r="G72" s="179">
        <f>'DATA INPUT - DETAIL'!M63*(1+$V$5)</f>
        <v>0</v>
      </c>
      <c r="H72" s="179">
        <f>'DATA INPUT - DETAIL'!N63*(1+$V$5)</f>
        <v>0</v>
      </c>
      <c r="I72" s="258">
        <f t="shared" si="72"/>
        <v>0</v>
      </c>
      <c r="J72" s="258">
        <f>'DATA INPUT - DETAIL'!O63</f>
        <v>0</v>
      </c>
      <c r="K72" s="258">
        <f>'DATA INPUT - DETAIL'!P63</f>
        <v>0</v>
      </c>
      <c r="L72" s="267">
        <f>ROUNDDOWN('DATA INPUT - DETAIL'!G63,0)</f>
        <v>0</v>
      </c>
      <c r="M72" s="196">
        <f t="shared" si="99"/>
        <v>0</v>
      </c>
      <c r="N72" s="196">
        <f t="shared" si="74"/>
        <v>0</v>
      </c>
      <c r="O72" s="196">
        <f t="shared" si="75"/>
        <v>0</v>
      </c>
      <c r="P72" s="196">
        <f t="shared" si="76"/>
        <v>0</v>
      </c>
      <c r="Q72" s="196">
        <f t="shared" si="77"/>
        <v>0</v>
      </c>
      <c r="R72" s="196">
        <f t="shared" si="78"/>
        <v>0</v>
      </c>
      <c r="S72" s="196">
        <f t="shared" si="79"/>
        <v>0</v>
      </c>
      <c r="T72" s="196">
        <f t="shared" si="80"/>
        <v>0</v>
      </c>
      <c r="U72" s="185">
        <f>(C72&gt;0)*(C72&lt;$E$5)*VLOOKUP(MPP,ASUMSI!$BN$77:$CR$108,B72+1)*(1+$V$4)</f>
        <v>0</v>
      </c>
      <c r="V72" s="196">
        <f t="shared" si="8"/>
        <v>0</v>
      </c>
      <c r="W72" s="196">
        <f t="shared" si="68"/>
        <v>0</v>
      </c>
      <c r="X72" s="196">
        <f t="shared" si="81"/>
        <v>0</v>
      </c>
      <c r="Y72" s="196">
        <f t="shared" si="82"/>
        <v>0</v>
      </c>
      <c r="Z72" s="196">
        <f t="shared" si="83"/>
        <v>0</v>
      </c>
      <c r="AA72" s="185">
        <f t="shared" si="28"/>
        <v>0</v>
      </c>
      <c r="AB72" s="196">
        <f t="shared" si="84"/>
        <v>0</v>
      </c>
      <c r="AC72" s="196">
        <f t="shared" si="84"/>
        <v>0</v>
      </c>
      <c r="AD72" s="196">
        <f t="shared" si="84"/>
        <v>0</v>
      </c>
      <c r="AE72" s="196">
        <f t="shared" si="85"/>
        <v>0</v>
      </c>
      <c r="AF72" s="196">
        <f t="shared" si="86"/>
        <v>0</v>
      </c>
      <c r="AG72" s="196">
        <f t="shared" si="87"/>
        <v>0</v>
      </c>
      <c r="AH72" s="196">
        <f t="shared" si="88"/>
        <v>0</v>
      </c>
      <c r="AI72" s="266">
        <f>'DATA INPUT - DETAIL'!R63</f>
        <v>0</v>
      </c>
      <c r="AJ72" s="266">
        <f>'DATA INPUT - DETAIL'!S63</f>
        <v>0</v>
      </c>
      <c r="AK72" s="266">
        <f>'DATA INPUT - DETAIL'!T63</f>
        <v>0</v>
      </c>
      <c r="AL72" s="266">
        <f>'DATA INPUT - DETAIL'!U63</f>
        <v>0</v>
      </c>
      <c r="AM72" s="266">
        <f>'DATA INPUT - DETAIL'!V63</f>
        <v>0</v>
      </c>
      <c r="AN72" s="266">
        <f>'DATA INPUT - DETAIL'!W63</f>
        <v>0</v>
      </c>
      <c r="AO72" s="198">
        <f>AN72+AO73/(1+$BS$5)</f>
        <v>0</v>
      </c>
      <c r="AP72" s="266">
        <f>'DATA INPUT - DETAIL'!X63</f>
        <v>0</v>
      </c>
      <c r="AQ72" s="266">
        <f>'DATA INPUT - DETAIL'!Y63</f>
        <v>0</v>
      </c>
      <c r="AR72" s="266">
        <f>'DATA INPUT - DETAIL'!Z63</f>
        <v>0</v>
      </c>
      <c r="AS72" s="266">
        <f>'DATA INPUT - DETAIL'!AD63</f>
        <v>0</v>
      </c>
      <c r="AT72" s="266">
        <f t="shared" si="33"/>
        <v>0</v>
      </c>
      <c r="AU72" s="206">
        <f>'DATA INPUT - DETAIL'!AA63</f>
        <v>0</v>
      </c>
      <c r="AV72" s="206">
        <f>'DATA INPUT - DETAIL'!AB63</f>
        <v>0</v>
      </c>
      <c r="AW72" s="206">
        <f>'DATA INPUT - DETAIL'!AC63</f>
        <v>0</v>
      </c>
      <c r="AX72" s="206">
        <f t="shared" si="89"/>
        <v>0</v>
      </c>
      <c r="AY72" s="206">
        <f t="shared" si="34"/>
        <v>0</v>
      </c>
      <c r="AZ72" s="206">
        <f t="shared" si="90"/>
        <v>0</v>
      </c>
      <c r="BA72" s="206">
        <f t="shared" si="91"/>
        <v>0</v>
      </c>
      <c r="BB72" s="206">
        <f t="shared" si="92"/>
        <v>0</v>
      </c>
      <c r="BC72" s="206">
        <f t="shared" si="93"/>
        <v>0</v>
      </c>
      <c r="BD72" s="206">
        <f t="shared" si="94"/>
        <v>0</v>
      </c>
      <c r="BE72" s="206">
        <f t="shared" si="95"/>
        <v>0</v>
      </c>
      <c r="BF72" s="206">
        <f t="shared" si="96"/>
        <v>0</v>
      </c>
      <c r="BG72" s="206">
        <f t="shared" si="97"/>
        <v>0</v>
      </c>
      <c r="BH72" s="206">
        <f t="shared" si="98"/>
        <v>0</v>
      </c>
      <c r="BI72" s="206">
        <f t="shared" si="19"/>
        <v>0</v>
      </c>
      <c r="BJ72" s="266">
        <f t="shared" si="37"/>
        <v>0</v>
      </c>
      <c r="BK72" s="266">
        <f t="shared" si="38"/>
        <v>0</v>
      </c>
      <c r="BL72" s="192">
        <f t="shared" si="39"/>
        <v>0</v>
      </c>
      <c r="BM72" s="192">
        <f t="shared" si="40"/>
        <v>0</v>
      </c>
      <c r="BN72" s="192">
        <f t="shared" si="41"/>
        <v>0</v>
      </c>
      <c r="BO72" s="192">
        <f t="shared" si="42"/>
        <v>0</v>
      </c>
      <c r="BP72" s="192">
        <f t="shared" si="43"/>
        <v>0</v>
      </c>
      <c r="BQ72" s="193">
        <f t="shared" si="44"/>
        <v>0</v>
      </c>
      <c r="BR72" s="193">
        <f t="shared" si="45"/>
        <v>0</v>
      </c>
      <c r="BS72" s="265">
        <f t="shared" si="46"/>
        <v>0</v>
      </c>
      <c r="BT72" s="265">
        <f t="shared" si="47"/>
        <v>0</v>
      </c>
      <c r="BU72" s="265">
        <f t="shared" si="48"/>
        <v>0</v>
      </c>
      <c r="BV72" s="265">
        <f t="shared" si="49"/>
        <v>0</v>
      </c>
      <c r="BW72" s="265">
        <f t="shared" si="50"/>
        <v>0</v>
      </c>
      <c r="BX72" s="265">
        <f t="shared" si="51"/>
        <v>0</v>
      </c>
      <c r="BY72" s="265">
        <f t="shared" si="52"/>
        <v>0</v>
      </c>
      <c r="BZ72" s="265">
        <f t="shared" si="53"/>
        <v>0</v>
      </c>
      <c r="CA72" s="265">
        <f t="shared" si="54"/>
        <v>0</v>
      </c>
      <c r="CB72" s="269">
        <f t="shared" si="55"/>
        <v>0</v>
      </c>
      <c r="CC72" s="266">
        <f t="shared" si="56"/>
        <v>0</v>
      </c>
      <c r="CD72" s="241"/>
      <c r="CE72" s="198">
        <f t="shared" si="70"/>
        <v>9.2648887000450318E-11</v>
      </c>
      <c r="CF72" s="198">
        <f t="shared" si="58"/>
        <v>0</v>
      </c>
      <c r="CG72" s="198">
        <f t="shared" si="59"/>
        <v>0</v>
      </c>
      <c r="CH72" s="198">
        <f t="shared" si="60"/>
        <v>0</v>
      </c>
      <c r="CI72" s="198">
        <f t="shared" si="61"/>
        <v>0</v>
      </c>
      <c r="CJ72" s="198">
        <f t="shared" si="62"/>
        <v>0</v>
      </c>
      <c r="CK72" s="198">
        <f t="shared" si="63"/>
        <v>0</v>
      </c>
      <c r="CL72" s="198">
        <f t="shared" si="64"/>
        <v>4.0473627510257567E-13</v>
      </c>
      <c r="CM72" s="271">
        <f t="shared" si="65"/>
        <v>0</v>
      </c>
      <c r="CN72" s="198">
        <f t="shared" si="66"/>
        <v>9.3053623275552896E-11</v>
      </c>
      <c r="CO72" s="209">
        <f t="shared" si="71"/>
        <v>9.2648887000450318E-11</v>
      </c>
    </row>
    <row r="73" spans="2:93" x14ac:dyDescent="0.2">
      <c r="B73" s="221">
        <f>'DATA INPUT - DETAIL'!D64</f>
        <v>0</v>
      </c>
      <c r="C73" s="211">
        <f>'DATA INPUT - DETAIL'!E64</f>
        <v>0</v>
      </c>
      <c r="D73" s="257">
        <f>'DATA INPUT - DETAIL'!I64</f>
        <v>0</v>
      </c>
      <c r="E73" s="258">
        <f>'DATA INPUT - DETAIL'!K64</f>
        <v>0</v>
      </c>
      <c r="F73" s="258">
        <f>'DATA INPUT - DETAIL'!L64</f>
        <v>0</v>
      </c>
      <c r="G73" s="179">
        <f>'DATA INPUT - DETAIL'!M64*(1+$V$5)</f>
        <v>0</v>
      </c>
      <c r="H73" s="179">
        <f>'DATA INPUT - DETAIL'!N64*(1+$V$5)</f>
        <v>0</v>
      </c>
      <c r="I73" s="258">
        <f t="shared" ref="I73:I127" si="100">H73*(1+$M$5)^C73</f>
        <v>0</v>
      </c>
      <c r="J73" s="258">
        <f>'DATA INPUT - DETAIL'!O64</f>
        <v>0</v>
      </c>
      <c r="K73" s="258">
        <f>'DATA INPUT - DETAIL'!P64</f>
        <v>0</v>
      </c>
      <c r="L73" s="267">
        <f>ROUNDDOWN('DATA INPUT - DETAIL'!G64,0)</f>
        <v>0</v>
      </c>
      <c r="M73" s="196">
        <f t="shared" si="99"/>
        <v>0</v>
      </c>
      <c r="N73" s="196">
        <f t="shared" ref="N73:N127" si="101">IF($AJ$7=0,0,IF(AND(C73&lt;=$E$5-1,C73&lt;&gt;0), VLOOKUP(L73,Mortality,7,FALSE)*(1+$V$3), 0))</f>
        <v>0</v>
      </c>
      <c r="O73" s="196">
        <f t="shared" ref="O73:O127" si="102">IF($AK$7=0,0,IF(AND(C73&lt;=$E$5-1,C73&lt;&gt;0), VLOOKUP(L73,Mortality,9,FALSE)*(1+$V$3), 0))</f>
        <v>0</v>
      </c>
      <c r="P73" s="196">
        <f t="shared" ref="P73:P127" si="103">IF($AL$7=0,0,IF(AND(C73&lt;=$E$5-1,C73&lt;&gt;0), VLOOKUP(L73,Mortality,11,FALSE)*(1+$V$3), 0))</f>
        <v>0</v>
      </c>
      <c r="Q73" s="196">
        <f t="shared" ref="Q73:Q127" si="104">IF($AM$7=0,0,IF(AND(C73&lt;=$E$5-1,C73&lt;&gt;0), VLOOKUP(L73,Mortality,13,FALSE)*(1+$V$3), 0))</f>
        <v>0</v>
      </c>
      <c r="R73" s="196">
        <f t="shared" ref="R73:R127" si="105">IF($AP$7=0,0,IF(AND(C73&lt;=$E$5-1,C73&lt;&gt;0), VLOOKUP(L73,Mortality,15,FALSE)*(1+$V$3), 0))</f>
        <v>0</v>
      </c>
      <c r="S73" s="196">
        <f t="shared" ref="S73:S127" si="106">IF($AQ$7=0,0,IF(AND(C73&lt;=$E$5-1,C73&lt;&gt;0), VLOOKUP(L73,Mortality,17,FALSE)*(1+$V$3), 0))</f>
        <v>0</v>
      </c>
      <c r="T73" s="196">
        <f t="shared" ref="T73:T127" si="107">IF($AR$7=0,0,IF(AND(C73&lt;=$E$5-1,C73&lt;&gt;0), VLOOKUP(L73,Mortality,19,FALSE)*(1+$V$3), 0))</f>
        <v>0</v>
      </c>
      <c r="U73" s="185">
        <f>(C73&gt;0)*(C73&lt;$E$5)*VLOOKUP(MPP,ASUMSI!$BN$77:$CR$108,B73+1)*(1+$V$4)</f>
        <v>0</v>
      </c>
      <c r="V73" s="196">
        <f t="shared" ref="V73:V127" si="108">IF(C73=$E$5,1,0)</f>
        <v>0</v>
      </c>
      <c r="W73" s="196">
        <f t="shared" ref="W73:W127" si="109">AA72</f>
        <v>0</v>
      </c>
      <c r="X73" s="196">
        <f t="shared" ref="X73:X127" si="110">M73*$AA72</f>
        <v>0</v>
      </c>
      <c r="Y73" s="196">
        <f t="shared" ref="Y73:Y127" si="111">U73*AA72</f>
        <v>0</v>
      </c>
      <c r="Z73" s="196">
        <f t="shared" ref="Z73:Z127" si="112">V73*AA72</f>
        <v>0</v>
      </c>
      <c r="AA73" s="185">
        <f t="shared" ref="AA73:AA127" si="113">IF(C73=0,0,W73-SUM(X73:Z73))</f>
        <v>0</v>
      </c>
      <c r="AB73" s="196">
        <f t="shared" ref="AB73:AD127" si="114">N73*$AA72</f>
        <v>0</v>
      </c>
      <c r="AC73" s="196">
        <f t="shared" si="114"/>
        <v>0</v>
      </c>
      <c r="AD73" s="196">
        <f t="shared" si="114"/>
        <v>0</v>
      </c>
      <c r="AE73" s="196">
        <f t="shared" ref="AE73:AE127" si="115">Q73*$AA72</f>
        <v>0</v>
      </c>
      <c r="AF73" s="196">
        <f t="shared" ref="AF73:AF127" si="116">R73*$AA72</f>
        <v>0</v>
      </c>
      <c r="AG73" s="196">
        <f t="shared" ref="AG73:AG127" si="117">S73*$AA72</f>
        <v>0</v>
      </c>
      <c r="AH73" s="196">
        <f t="shared" ref="AH73:AH127" si="118">T73*$AA72</f>
        <v>0</v>
      </c>
      <c r="AI73" s="266">
        <f>'DATA INPUT - DETAIL'!R64</f>
        <v>0</v>
      </c>
      <c r="AJ73" s="266">
        <f>'DATA INPUT - DETAIL'!S64</f>
        <v>0</v>
      </c>
      <c r="AK73" s="266">
        <f>'DATA INPUT - DETAIL'!T64</f>
        <v>0</v>
      </c>
      <c r="AL73" s="266">
        <f>'DATA INPUT - DETAIL'!U64</f>
        <v>0</v>
      </c>
      <c r="AM73" s="266">
        <f>'DATA INPUT - DETAIL'!V64</f>
        <v>0</v>
      </c>
      <c r="AN73" s="266">
        <f>'DATA INPUT - DETAIL'!W64</f>
        <v>0</v>
      </c>
      <c r="AO73" s="198">
        <f t="shared" ref="AO73:AO127" si="119">AN73+AO74/(1+$BS$5)</f>
        <v>0</v>
      </c>
      <c r="AP73" s="266">
        <f>'DATA INPUT - DETAIL'!X64</f>
        <v>0</v>
      </c>
      <c r="AQ73" s="266">
        <f>'DATA INPUT - DETAIL'!Y64</f>
        <v>0</v>
      </c>
      <c r="AR73" s="266">
        <f>'DATA INPUT - DETAIL'!Z64</f>
        <v>0</v>
      </c>
      <c r="AS73" s="266">
        <f>'DATA INPUT - DETAIL'!AD64</f>
        <v>0</v>
      </c>
      <c r="AT73" s="266">
        <f t="shared" ref="AT73:AT127" si="120">AS73+AT74*(1+$AS$4)</f>
        <v>0</v>
      </c>
      <c r="AU73" s="206">
        <f>'DATA INPUT - DETAIL'!AA64</f>
        <v>0</v>
      </c>
      <c r="AV73" s="206">
        <f>'DATA INPUT - DETAIL'!AB64</f>
        <v>0</v>
      </c>
      <c r="AW73" s="206">
        <f>'DATA INPUT - DETAIL'!AC64</f>
        <v>0</v>
      </c>
      <c r="AX73" s="206">
        <f t="shared" ref="AX73:AX127" si="121">IF(AI73=0,0,(AI73+AT73)*X73)</f>
        <v>0</v>
      </c>
      <c r="AY73" s="206">
        <f t="shared" ref="AY73:AY127" si="122">IF(AJ73=0,0,AJ73*AB73)</f>
        <v>0</v>
      </c>
      <c r="AZ73" s="206">
        <f t="shared" ref="AZ73:AZ127" si="123">AK73*AC73</f>
        <v>0</v>
      </c>
      <c r="BA73" s="206">
        <f t="shared" ref="BA73:BA127" si="124">AL73*AD73</f>
        <v>0</v>
      </c>
      <c r="BB73" s="206">
        <f t="shared" ref="BB73:BB127" si="125">AM73*AE73</f>
        <v>0</v>
      </c>
      <c r="BC73" s="206">
        <f t="shared" ref="BC73:BC127" si="126">AO73*X73</f>
        <v>0</v>
      </c>
      <c r="BD73" s="206">
        <f t="shared" ref="BD73:BD127" si="127">AP73*AF73</f>
        <v>0</v>
      </c>
      <c r="BE73" s="206">
        <f t="shared" ref="BE73:BE127" si="128">AQ73*AG73</f>
        <v>0</v>
      </c>
      <c r="BF73" s="206">
        <f t="shared" ref="BF73:BF127" si="129">AR73*AH73</f>
        <v>0</v>
      </c>
      <c r="BG73" s="206">
        <f t="shared" ref="BG73:BG127" si="130">(AU73+AT73)*Y73</f>
        <v>0</v>
      </c>
      <c r="BH73" s="206">
        <f t="shared" ref="BH73:BH127" si="131">AV73*AA73</f>
        <v>0</v>
      </c>
      <c r="BI73" s="206">
        <f t="shared" ref="BI73:BI127" si="132">(AW73+AT73)*Z73</f>
        <v>0</v>
      </c>
      <c r="BJ73" s="266">
        <f t="shared" ref="BJ73:BJ127" si="133">SUM(AX73:BF73)+SUM(BH73:BI73)</f>
        <v>0</v>
      </c>
      <c r="BK73" s="266">
        <f t="shared" ref="BK73:BK127" si="134">BG73</f>
        <v>0</v>
      </c>
      <c r="BL73" s="192">
        <f t="shared" ref="BL73:BL127" si="135">E73*$W73</f>
        <v>0</v>
      </c>
      <c r="BM73" s="192">
        <f t="shared" ref="BM73:BM127" si="136">F73*$W73</f>
        <v>0</v>
      </c>
      <c r="BN73" s="192">
        <f t="shared" ref="BN73:BN127" si="137">G73*$W73</f>
        <v>0</v>
      </c>
      <c r="BO73" s="192">
        <f t="shared" ref="BO73:BO127" si="138">I73*$W73</f>
        <v>0</v>
      </c>
      <c r="BP73" s="192">
        <f t="shared" ref="BP73:BP127" si="139">SUM(BN73:BO73)</f>
        <v>0</v>
      </c>
      <c r="BQ73" s="193">
        <f t="shared" ref="BQ73:BQ127" si="140">(SUM(E73:G73)+I73)*W73</f>
        <v>0</v>
      </c>
      <c r="BR73" s="193">
        <f t="shared" ref="BR73:BR127" si="141">D73*W73</f>
        <v>0</v>
      </c>
      <c r="BS73" s="265">
        <f t="shared" si="46"/>
        <v>0</v>
      </c>
      <c r="BT73" s="265">
        <f t="shared" si="47"/>
        <v>0</v>
      </c>
      <c r="BU73" s="265">
        <f t="shared" si="48"/>
        <v>0</v>
      </c>
      <c r="BV73" s="265">
        <f t="shared" si="49"/>
        <v>0</v>
      </c>
      <c r="BW73" s="265">
        <f t="shared" si="50"/>
        <v>0</v>
      </c>
      <c r="BX73" s="265">
        <f t="shared" si="51"/>
        <v>0</v>
      </c>
      <c r="BY73" s="265">
        <f t="shared" si="52"/>
        <v>0</v>
      </c>
      <c r="BZ73" s="265">
        <f t="shared" si="53"/>
        <v>0</v>
      </c>
      <c r="CA73" s="265">
        <f t="shared" si="54"/>
        <v>0</v>
      </c>
      <c r="CB73" s="269">
        <f t="shared" si="55"/>
        <v>0</v>
      </c>
      <c r="CC73" s="266">
        <f t="shared" si="56"/>
        <v>0</v>
      </c>
      <c r="CD73" s="241"/>
      <c r="CE73" s="198">
        <f t="shared" ref="CE73:CE127" si="142">CN72</f>
        <v>9.3053623275552896E-11</v>
      </c>
      <c r="CF73" s="198">
        <f t="shared" si="58"/>
        <v>0</v>
      </c>
      <c r="CG73" s="198">
        <f t="shared" si="59"/>
        <v>0</v>
      </c>
      <c r="CH73" s="198">
        <f t="shared" si="60"/>
        <v>0</v>
      </c>
      <c r="CI73" s="198">
        <f t="shared" si="61"/>
        <v>0</v>
      </c>
      <c r="CJ73" s="198">
        <f t="shared" si="62"/>
        <v>0</v>
      </c>
      <c r="CK73" s="198">
        <f t="shared" si="63"/>
        <v>0</v>
      </c>
      <c r="CL73" s="198">
        <f t="shared" si="64"/>
        <v>4.0650436382643816E-13</v>
      </c>
      <c r="CM73" s="271">
        <f t="shared" si="65"/>
        <v>0</v>
      </c>
      <c r="CN73" s="198">
        <f t="shared" si="66"/>
        <v>9.3460127639379331E-11</v>
      </c>
      <c r="CO73" s="209">
        <f t="shared" ref="CO73:CO127" si="143">CE73-CC73</f>
        <v>9.3053623275552896E-11</v>
      </c>
    </row>
    <row r="74" spans="2:93" x14ac:dyDescent="0.2">
      <c r="B74" s="221">
        <f>'DATA INPUT - DETAIL'!D65</f>
        <v>0</v>
      </c>
      <c r="C74" s="211">
        <f>'DATA INPUT - DETAIL'!E65</f>
        <v>0</v>
      </c>
      <c r="D74" s="257">
        <f>'DATA INPUT - DETAIL'!I65</f>
        <v>0</v>
      </c>
      <c r="E74" s="258">
        <f>'DATA INPUT - DETAIL'!K65</f>
        <v>0</v>
      </c>
      <c r="F74" s="258">
        <f>'DATA INPUT - DETAIL'!L65</f>
        <v>0</v>
      </c>
      <c r="G74" s="179">
        <f>'DATA INPUT - DETAIL'!M65*(1+$V$5)</f>
        <v>0</v>
      </c>
      <c r="H74" s="179">
        <f>'DATA INPUT - DETAIL'!N65*(1+$V$5)</f>
        <v>0</v>
      </c>
      <c r="I74" s="258">
        <f t="shared" si="100"/>
        <v>0</v>
      </c>
      <c r="J74" s="258">
        <f>'DATA INPUT - DETAIL'!O65</f>
        <v>0</v>
      </c>
      <c r="K74" s="258">
        <f>'DATA INPUT - DETAIL'!P65</f>
        <v>0</v>
      </c>
      <c r="L74" s="267">
        <f>ROUNDDOWN('DATA INPUT - DETAIL'!G65,0)</f>
        <v>0</v>
      </c>
      <c r="M74" s="196">
        <f t="shared" si="99"/>
        <v>0</v>
      </c>
      <c r="N74" s="196">
        <f t="shared" si="101"/>
        <v>0</v>
      </c>
      <c r="O74" s="196">
        <f t="shared" si="102"/>
        <v>0</v>
      </c>
      <c r="P74" s="196">
        <f t="shared" si="103"/>
        <v>0</v>
      </c>
      <c r="Q74" s="196">
        <f t="shared" si="104"/>
        <v>0</v>
      </c>
      <c r="R74" s="196">
        <f t="shared" si="105"/>
        <v>0</v>
      </c>
      <c r="S74" s="196">
        <f t="shared" si="106"/>
        <v>0</v>
      </c>
      <c r="T74" s="196">
        <f t="shared" si="107"/>
        <v>0</v>
      </c>
      <c r="U74" s="185">
        <f>(C74&gt;0)*(C74&lt;$E$5)*VLOOKUP(MPP,ASUMSI!$BN$77:$CR$108,B74+1)*(1+$V$4)</f>
        <v>0</v>
      </c>
      <c r="V74" s="196">
        <f t="shared" si="108"/>
        <v>0</v>
      </c>
      <c r="W74" s="196">
        <f t="shared" si="109"/>
        <v>0</v>
      </c>
      <c r="X74" s="196">
        <f t="shared" si="110"/>
        <v>0</v>
      </c>
      <c r="Y74" s="196">
        <f t="shared" si="111"/>
        <v>0</v>
      </c>
      <c r="Z74" s="196">
        <f t="shared" si="112"/>
        <v>0</v>
      </c>
      <c r="AA74" s="185">
        <f t="shared" si="113"/>
        <v>0</v>
      </c>
      <c r="AB74" s="196">
        <f t="shared" si="114"/>
        <v>0</v>
      </c>
      <c r="AC74" s="196">
        <f t="shared" si="114"/>
        <v>0</v>
      </c>
      <c r="AD74" s="196">
        <f t="shared" si="114"/>
        <v>0</v>
      </c>
      <c r="AE74" s="196">
        <f t="shared" si="115"/>
        <v>0</v>
      </c>
      <c r="AF74" s="196">
        <f t="shared" si="116"/>
        <v>0</v>
      </c>
      <c r="AG74" s="196">
        <f t="shared" si="117"/>
        <v>0</v>
      </c>
      <c r="AH74" s="196">
        <f t="shared" si="118"/>
        <v>0</v>
      </c>
      <c r="AI74" s="266">
        <f>'DATA INPUT - DETAIL'!R65</f>
        <v>0</v>
      </c>
      <c r="AJ74" s="266">
        <f>'DATA INPUT - DETAIL'!S65</f>
        <v>0</v>
      </c>
      <c r="AK74" s="266">
        <f>'DATA INPUT - DETAIL'!T65</f>
        <v>0</v>
      </c>
      <c r="AL74" s="266">
        <f>'DATA INPUT - DETAIL'!U65</f>
        <v>0</v>
      </c>
      <c r="AM74" s="266">
        <f>'DATA INPUT - DETAIL'!V65</f>
        <v>0</v>
      </c>
      <c r="AN74" s="266">
        <f>'DATA INPUT - DETAIL'!W65</f>
        <v>0</v>
      </c>
      <c r="AO74" s="198">
        <f t="shared" si="119"/>
        <v>0</v>
      </c>
      <c r="AP74" s="266">
        <f>'DATA INPUT - DETAIL'!X65</f>
        <v>0</v>
      </c>
      <c r="AQ74" s="266">
        <f>'DATA INPUT - DETAIL'!Y65</f>
        <v>0</v>
      </c>
      <c r="AR74" s="266">
        <f>'DATA INPUT - DETAIL'!Z65</f>
        <v>0</v>
      </c>
      <c r="AS74" s="266">
        <f>'DATA INPUT - DETAIL'!AD65</f>
        <v>0</v>
      </c>
      <c r="AT74" s="266">
        <f t="shared" si="120"/>
        <v>0</v>
      </c>
      <c r="AU74" s="206">
        <f>'DATA INPUT - DETAIL'!AA65</f>
        <v>0</v>
      </c>
      <c r="AV74" s="206">
        <f>'DATA INPUT - DETAIL'!AB65</f>
        <v>0</v>
      </c>
      <c r="AW74" s="206">
        <f>'DATA INPUT - DETAIL'!AC65</f>
        <v>0</v>
      </c>
      <c r="AX74" s="206">
        <f t="shared" si="121"/>
        <v>0</v>
      </c>
      <c r="AY74" s="206">
        <f t="shared" si="122"/>
        <v>0</v>
      </c>
      <c r="AZ74" s="206">
        <f t="shared" si="123"/>
        <v>0</v>
      </c>
      <c r="BA74" s="206">
        <f t="shared" si="124"/>
        <v>0</v>
      </c>
      <c r="BB74" s="206">
        <f t="shared" si="125"/>
        <v>0</v>
      </c>
      <c r="BC74" s="206">
        <f t="shared" si="126"/>
        <v>0</v>
      </c>
      <c r="BD74" s="206">
        <f t="shared" si="127"/>
        <v>0</v>
      </c>
      <c r="BE74" s="206">
        <f t="shared" si="128"/>
        <v>0</v>
      </c>
      <c r="BF74" s="206">
        <f t="shared" si="129"/>
        <v>0</v>
      </c>
      <c r="BG74" s="206">
        <f t="shared" si="130"/>
        <v>0</v>
      </c>
      <c r="BH74" s="206">
        <f t="shared" si="131"/>
        <v>0</v>
      </c>
      <c r="BI74" s="206">
        <f t="shared" si="132"/>
        <v>0</v>
      </c>
      <c r="BJ74" s="266">
        <f t="shared" si="133"/>
        <v>0</v>
      </c>
      <c r="BK74" s="266">
        <f t="shared" si="134"/>
        <v>0</v>
      </c>
      <c r="BL74" s="192">
        <f t="shared" si="135"/>
        <v>0</v>
      </c>
      <c r="BM74" s="192">
        <f t="shared" si="136"/>
        <v>0</v>
      </c>
      <c r="BN74" s="192">
        <f t="shared" si="137"/>
        <v>0</v>
      </c>
      <c r="BO74" s="192">
        <f t="shared" si="138"/>
        <v>0</v>
      </c>
      <c r="BP74" s="192">
        <f t="shared" si="139"/>
        <v>0</v>
      </c>
      <c r="BQ74" s="193">
        <f t="shared" si="140"/>
        <v>0</v>
      </c>
      <c r="BR74" s="193">
        <f t="shared" si="141"/>
        <v>0</v>
      </c>
      <c r="BS74" s="265">
        <f t="shared" si="46"/>
        <v>0</v>
      </c>
      <c r="BT74" s="265">
        <f t="shared" si="47"/>
        <v>0</v>
      </c>
      <c r="BU74" s="265">
        <f t="shared" si="48"/>
        <v>0</v>
      </c>
      <c r="BV74" s="265">
        <f t="shared" si="49"/>
        <v>0</v>
      </c>
      <c r="BW74" s="265">
        <f t="shared" si="50"/>
        <v>0</v>
      </c>
      <c r="BX74" s="265">
        <f t="shared" si="51"/>
        <v>0</v>
      </c>
      <c r="BY74" s="265">
        <f t="shared" si="52"/>
        <v>0</v>
      </c>
      <c r="BZ74" s="265">
        <f t="shared" si="53"/>
        <v>0</v>
      </c>
      <c r="CA74" s="265">
        <f t="shared" si="54"/>
        <v>0</v>
      </c>
      <c r="CB74" s="269">
        <f t="shared" si="55"/>
        <v>0</v>
      </c>
      <c r="CC74" s="266">
        <f t="shared" si="56"/>
        <v>0</v>
      </c>
      <c r="CD74" s="241"/>
      <c r="CE74" s="198">
        <f t="shared" si="142"/>
        <v>9.3460127639379331E-11</v>
      </c>
      <c r="CF74" s="198">
        <f t="shared" si="58"/>
        <v>0</v>
      </c>
      <c r="CG74" s="198">
        <f t="shared" si="59"/>
        <v>0</v>
      </c>
      <c r="CH74" s="198">
        <f t="shared" si="60"/>
        <v>0</v>
      </c>
      <c r="CI74" s="198">
        <f t="shared" si="61"/>
        <v>0</v>
      </c>
      <c r="CJ74" s="198">
        <f t="shared" si="62"/>
        <v>0</v>
      </c>
      <c r="CK74" s="198">
        <f t="shared" si="63"/>
        <v>0</v>
      </c>
      <c r="CL74" s="198">
        <f t="shared" si="64"/>
        <v>4.0828017643849097E-13</v>
      </c>
      <c r="CM74" s="271">
        <f t="shared" si="65"/>
        <v>0</v>
      </c>
      <c r="CN74" s="198">
        <f t="shared" si="66"/>
        <v>9.3868407815817826E-11</v>
      </c>
      <c r="CO74" s="209">
        <f t="shared" si="143"/>
        <v>9.3460127639379331E-11</v>
      </c>
    </row>
    <row r="75" spans="2:93" x14ac:dyDescent="0.2">
      <c r="B75" s="221">
        <f>'DATA INPUT - DETAIL'!D66</f>
        <v>0</v>
      </c>
      <c r="C75" s="211">
        <f>'DATA INPUT - DETAIL'!E66</f>
        <v>0</v>
      </c>
      <c r="D75" s="257">
        <f>'DATA INPUT - DETAIL'!I66</f>
        <v>0</v>
      </c>
      <c r="E75" s="258">
        <f>'DATA INPUT - DETAIL'!K66</f>
        <v>0</v>
      </c>
      <c r="F75" s="258">
        <f>'DATA INPUT - DETAIL'!L66</f>
        <v>0</v>
      </c>
      <c r="G75" s="179">
        <f>'DATA INPUT - DETAIL'!M66*(1+$V$5)</f>
        <v>0</v>
      </c>
      <c r="H75" s="179">
        <f>'DATA INPUT - DETAIL'!N66*(1+$V$5)</f>
        <v>0</v>
      </c>
      <c r="I75" s="258">
        <f t="shared" si="100"/>
        <v>0</v>
      </c>
      <c r="J75" s="258">
        <f>'DATA INPUT - DETAIL'!O66</f>
        <v>0</v>
      </c>
      <c r="K75" s="258">
        <f>'DATA INPUT - DETAIL'!P66</f>
        <v>0</v>
      </c>
      <c r="L75" s="267">
        <f>ROUNDDOWN('DATA INPUT - DETAIL'!G66,0)</f>
        <v>0</v>
      </c>
      <c r="M75" s="196">
        <f t="shared" si="99"/>
        <v>0</v>
      </c>
      <c r="N75" s="196">
        <f t="shared" si="101"/>
        <v>0</v>
      </c>
      <c r="O75" s="196">
        <f t="shared" si="102"/>
        <v>0</v>
      </c>
      <c r="P75" s="196">
        <f t="shared" si="103"/>
        <v>0</v>
      </c>
      <c r="Q75" s="196">
        <f t="shared" si="104"/>
        <v>0</v>
      </c>
      <c r="R75" s="196">
        <f t="shared" si="105"/>
        <v>0</v>
      </c>
      <c r="S75" s="196">
        <f t="shared" si="106"/>
        <v>0</v>
      </c>
      <c r="T75" s="196">
        <f t="shared" si="107"/>
        <v>0</v>
      </c>
      <c r="U75" s="185">
        <f>(C75&gt;0)*(C75&lt;$E$5)*VLOOKUP(MPP,ASUMSI!$BN$77:$CR$108,B75+1)*(1+$V$4)</f>
        <v>0</v>
      </c>
      <c r="V75" s="196">
        <f t="shared" si="108"/>
        <v>0</v>
      </c>
      <c r="W75" s="196">
        <f t="shared" si="109"/>
        <v>0</v>
      </c>
      <c r="X75" s="196">
        <f t="shared" si="110"/>
        <v>0</v>
      </c>
      <c r="Y75" s="196">
        <f t="shared" si="111"/>
        <v>0</v>
      </c>
      <c r="Z75" s="196">
        <f t="shared" si="112"/>
        <v>0</v>
      </c>
      <c r="AA75" s="185">
        <f t="shared" si="113"/>
        <v>0</v>
      </c>
      <c r="AB75" s="196">
        <f t="shared" si="114"/>
        <v>0</v>
      </c>
      <c r="AC75" s="196">
        <f t="shared" si="114"/>
        <v>0</v>
      </c>
      <c r="AD75" s="196">
        <f t="shared" si="114"/>
        <v>0</v>
      </c>
      <c r="AE75" s="196">
        <f t="shared" si="115"/>
        <v>0</v>
      </c>
      <c r="AF75" s="196">
        <f t="shared" si="116"/>
        <v>0</v>
      </c>
      <c r="AG75" s="196">
        <f t="shared" si="117"/>
        <v>0</v>
      </c>
      <c r="AH75" s="196">
        <f t="shared" si="118"/>
        <v>0</v>
      </c>
      <c r="AI75" s="266">
        <f>'DATA INPUT - DETAIL'!R66</f>
        <v>0</v>
      </c>
      <c r="AJ75" s="266">
        <f>'DATA INPUT - DETAIL'!S66</f>
        <v>0</v>
      </c>
      <c r="AK75" s="266">
        <f>'DATA INPUT - DETAIL'!T66</f>
        <v>0</v>
      </c>
      <c r="AL75" s="266">
        <f>'DATA INPUT - DETAIL'!U66</f>
        <v>0</v>
      </c>
      <c r="AM75" s="266">
        <f>'DATA INPUT - DETAIL'!V66</f>
        <v>0</v>
      </c>
      <c r="AN75" s="266">
        <f>'DATA INPUT - DETAIL'!W66</f>
        <v>0</v>
      </c>
      <c r="AO75" s="198">
        <f t="shared" si="119"/>
        <v>0</v>
      </c>
      <c r="AP75" s="266">
        <f>'DATA INPUT - DETAIL'!X66</f>
        <v>0</v>
      </c>
      <c r="AQ75" s="266">
        <f>'DATA INPUT - DETAIL'!Y66</f>
        <v>0</v>
      </c>
      <c r="AR75" s="266">
        <f>'DATA INPUT - DETAIL'!Z66</f>
        <v>0</v>
      </c>
      <c r="AS75" s="266">
        <f>'DATA INPUT - DETAIL'!AD66</f>
        <v>0</v>
      </c>
      <c r="AT75" s="266">
        <f t="shared" si="120"/>
        <v>0</v>
      </c>
      <c r="AU75" s="206">
        <f>'DATA INPUT - DETAIL'!AA66</f>
        <v>0</v>
      </c>
      <c r="AV75" s="206">
        <f>'DATA INPUT - DETAIL'!AB66</f>
        <v>0</v>
      </c>
      <c r="AW75" s="206">
        <f>'DATA INPUT - DETAIL'!AC66</f>
        <v>0</v>
      </c>
      <c r="AX75" s="206">
        <f t="shared" si="121"/>
        <v>0</v>
      </c>
      <c r="AY75" s="206">
        <f t="shared" si="122"/>
        <v>0</v>
      </c>
      <c r="AZ75" s="206">
        <f t="shared" si="123"/>
        <v>0</v>
      </c>
      <c r="BA75" s="206">
        <f t="shared" si="124"/>
        <v>0</v>
      </c>
      <c r="BB75" s="206">
        <f t="shared" si="125"/>
        <v>0</v>
      </c>
      <c r="BC75" s="206">
        <f t="shared" si="126"/>
        <v>0</v>
      </c>
      <c r="BD75" s="206">
        <f t="shared" si="127"/>
        <v>0</v>
      </c>
      <c r="BE75" s="206">
        <f t="shared" si="128"/>
        <v>0</v>
      </c>
      <c r="BF75" s="206">
        <f t="shared" si="129"/>
        <v>0</v>
      </c>
      <c r="BG75" s="206">
        <f t="shared" si="130"/>
        <v>0</v>
      </c>
      <c r="BH75" s="206">
        <f t="shared" si="131"/>
        <v>0</v>
      </c>
      <c r="BI75" s="206">
        <f t="shared" si="132"/>
        <v>0</v>
      </c>
      <c r="BJ75" s="266">
        <f t="shared" si="133"/>
        <v>0</v>
      </c>
      <c r="BK75" s="266">
        <f t="shared" si="134"/>
        <v>0</v>
      </c>
      <c r="BL75" s="192">
        <f t="shared" si="135"/>
        <v>0</v>
      </c>
      <c r="BM75" s="192">
        <f t="shared" si="136"/>
        <v>0</v>
      </c>
      <c r="BN75" s="192">
        <f t="shared" si="137"/>
        <v>0</v>
      </c>
      <c r="BO75" s="192">
        <f t="shared" si="138"/>
        <v>0</v>
      </c>
      <c r="BP75" s="192">
        <f t="shared" si="139"/>
        <v>0</v>
      </c>
      <c r="BQ75" s="193">
        <f t="shared" si="140"/>
        <v>0</v>
      </c>
      <c r="BR75" s="193">
        <f t="shared" si="141"/>
        <v>0</v>
      </c>
      <c r="BS75" s="265">
        <f t="shared" si="46"/>
        <v>0</v>
      </c>
      <c r="BT75" s="265">
        <f t="shared" si="47"/>
        <v>0</v>
      </c>
      <c r="BU75" s="265">
        <f t="shared" si="48"/>
        <v>0</v>
      </c>
      <c r="BV75" s="265">
        <f t="shared" si="49"/>
        <v>0</v>
      </c>
      <c r="BW75" s="265">
        <f t="shared" si="50"/>
        <v>0</v>
      </c>
      <c r="BX75" s="265">
        <f t="shared" si="51"/>
        <v>0</v>
      </c>
      <c r="BY75" s="265">
        <f t="shared" si="52"/>
        <v>0</v>
      </c>
      <c r="BZ75" s="265">
        <f t="shared" si="53"/>
        <v>0</v>
      </c>
      <c r="CA75" s="265">
        <f t="shared" si="54"/>
        <v>0</v>
      </c>
      <c r="CB75" s="269">
        <f t="shared" si="55"/>
        <v>0</v>
      </c>
      <c r="CC75" s="266">
        <f t="shared" si="56"/>
        <v>0</v>
      </c>
      <c r="CD75" s="241"/>
      <c r="CE75" s="198">
        <f t="shared" si="142"/>
        <v>9.3868407815817826E-11</v>
      </c>
      <c r="CF75" s="198">
        <f t="shared" si="58"/>
        <v>0</v>
      </c>
      <c r="CG75" s="198">
        <f t="shared" si="59"/>
        <v>0</v>
      </c>
      <c r="CH75" s="198">
        <f t="shared" si="60"/>
        <v>0</v>
      </c>
      <c r="CI75" s="198">
        <f t="shared" si="61"/>
        <v>0</v>
      </c>
      <c r="CJ75" s="198">
        <f t="shared" si="62"/>
        <v>0</v>
      </c>
      <c r="CK75" s="198">
        <f t="shared" si="63"/>
        <v>0</v>
      </c>
      <c r="CL75" s="198">
        <f t="shared" si="64"/>
        <v>4.100637466805073E-13</v>
      </c>
      <c r="CM75" s="271">
        <f t="shared" si="65"/>
        <v>0</v>
      </c>
      <c r="CN75" s="198">
        <f t="shared" si="66"/>
        <v>9.4278471562498338E-11</v>
      </c>
      <c r="CO75" s="209">
        <f t="shared" si="143"/>
        <v>9.3868407815817826E-11</v>
      </c>
    </row>
    <row r="76" spans="2:93" x14ac:dyDescent="0.2">
      <c r="B76" s="221">
        <f>'DATA INPUT - DETAIL'!D67</f>
        <v>0</v>
      </c>
      <c r="C76" s="211">
        <f>'DATA INPUT - DETAIL'!E67</f>
        <v>0</v>
      </c>
      <c r="D76" s="257">
        <f>'DATA INPUT - DETAIL'!I67</f>
        <v>0</v>
      </c>
      <c r="E76" s="258">
        <f>'DATA INPUT - DETAIL'!K67</f>
        <v>0</v>
      </c>
      <c r="F76" s="258">
        <f>'DATA INPUT - DETAIL'!L67</f>
        <v>0</v>
      </c>
      <c r="G76" s="179">
        <f>'DATA INPUT - DETAIL'!M67*(1+$V$5)</f>
        <v>0</v>
      </c>
      <c r="H76" s="179">
        <f>'DATA INPUT - DETAIL'!N67*(1+$V$5)</f>
        <v>0</v>
      </c>
      <c r="I76" s="258">
        <f t="shared" si="100"/>
        <v>0</v>
      </c>
      <c r="J76" s="258">
        <f>'DATA INPUT - DETAIL'!O67</f>
        <v>0</v>
      </c>
      <c r="K76" s="258">
        <f>'DATA INPUT - DETAIL'!P67</f>
        <v>0</v>
      </c>
      <c r="L76" s="267">
        <f>ROUNDDOWN('DATA INPUT - DETAIL'!G67,0)</f>
        <v>0</v>
      </c>
      <c r="M76" s="196">
        <f t="shared" si="99"/>
        <v>0</v>
      </c>
      <c r="N76" s="196">
        <f t="shared" si="101"/>
        <v>0</v>
      </c>
      <c r="O76" s="196">
        <f t="shared" si="102"/>
        <v>0</v>
      </c>
      <c r="P76" s="196">
        <f t="shared" si="103"/>
        <v>0</v>
      </c>
      <c r="Q76" s="196">
        <f t="shared" si="104"/>
        <v>0</v>
      </c>
      <c r="R76" s="196">
        <f t="shared" si="105"/>
        <v>0</v>
      </c>
      <c r="S76" s="196">
        <f t="shared" si="106"/>
        <v>0</v>
      </c>
      <c r="T76" s="196">
        <f t="shared" si="107"/>
        <v>0</v>
      </c>
      <c r="U76" s="185">
        <f>(C76&gt;0)*(C76&lt;$E$5)*VLOOKUP(MPP,ASUMSI!$BN$77:$CR$108,B76+1)*(1+$V$4)</f>
        <v>0</v>
      </c>
      <c r="V76" s="196">
        <f t="shared" si="108"/>
        <v>0</v>
      </c>
      <c r="W76" s="196">
        <f t="shared" si="109"/>
        <v>0</v>
      </c>
      <c r="X76" s="196">
        <f t="shared" si="110"/>
        <v>0</v>
      </c>
      <c r="Y76" s="196">
        <f t="shared" si="111"/>
        <v>0</v>
      </c>
      <c r="Z76" s="196">
        <f t="shared" si="112"/>
        <v>0</v>
      </c>
      <c r="AA76" s="185">
        <f t="shared" si="113"/>
        <v>0</v>
      </c>
      <c r="AB76" s="196">
        <f t="shared" si="114"/>
        <v>0</v>
      </c>
      <c r="AC76" s="196">
        <f t="shared" si="114"/>
        <v>0</v>
      </c>
      <c r="AD76" s="196">
        <f t="shared" si="114"/>
        <v>0</v>
      </c>
      <c r="AE76" s="196">
        <f t="shared" si="115"/>
        <v>0</v>
      </c>
      <c r="AF76" s="196">
        <f t="shared" si="116"/>
        <v>0</v>
      </c>
      <c r="AG76" s="196">
        <f t="shared" si="117"/>
        <v>0</v>
      </c>
      <c r="AH76" s="196">
        <f t="shared" si="118"/>
        <v>0</v>
      </c>
      <c r="AI76" s="266">
        <f>'DATA INPUT - DETAIL'!R67</f>
        <v>0</v>
      </c>
      <c r="AJ76" s="266">
        <f>'DATA INPUT - DETAIL'!S67</f>
        <v>0</v>
      </c>
      <c r="AK76" s="266">
        <f>'DATA INPUT - DETAIL'!T67</f>
        <v>0</v>
      </c>
      <c r="AL76" s="266">
        <f>'DATA INPUT - DETAIL'!U67</f>
        <v>0</v>
      </c>
      <c r="AM76" s="266">
        <f>'DATA INPUT - DETAIL'!V67</f>
        <v>0</v>
      </c>
      <c r="AN76" s="266">
        <f>'DATA INPUT - DETAIL'!W67</f>
        <v>0</v>
      </c>
      <c r="AO76" s="198">
        <f t="shared" si="119"/>
        <v>0</v>
      </c>
      <c r="AP76" s="266">
        <f>'DATA INPUT - DETAIL'!X67</f>
        <v>0</v>
      </c>
      <c r="AQ76" s="266">
        <f>'DATA INPUT - DETAIL'!Y67</f>
        <v>0</v>
      </c>
      <c r="AR76" s="266">
        <f>'DATA INPUT - DETAIL'!Z67</f>
        <v>0</v>
      </c>
      <c r="AS76" s="266">
        <f>'DATA INPUT - DETAIL'!AD67</f>
        <v>0</v>
      </c>
      <c r="AT76" s="266">
        <f t="shared" si="120"/>
        <v>0</v>
      </c>
      <c r="AU76" s="206">
        <f>'DATA INPUT - DETAIL'!AA67</f>
        <v>0</v>
      </c>
      <c r="AV76" s="206">
        <f>'DATA INPUT - DETAIL'!AB67</f>
        <v>0</v>
      </c>
      <c r="AW76" s="206">
        <f>'DATA INPUT - DETAIL'!AC67</f>
        <v>0</v>
      </c>
      <c r="AX76" s="206">
        <f t="shared" si="121"/>
        <v>0</v>
      </c>
      <c r="AY76" s="206">
        <f t="shared" si="122"/>
        <v>0</v>
      </c>
      <c r="AZ76" s="206">
        <f t="shared" si="123"/>
        <v>0</v>
      </c>
      <c r="BA76" s="206">
        <f t="shared" si="124"/>
        <v>0</v>
      </c>
      <c r="BB76" s="206">
        <f t="shared" si="125"/>
        <v>0</v>
      </c>
      <c r="BC76" s="206">
        <f t="shared" si="126"/>
        <v>0</v>
      </c>
      <c r="BD76" s="206">
        <f t="shared" si="127"/>
        <v>0</v>
      </c>
      <c r="BE76" s="206">
        <f t="shared" si="128"/>
        <v>0</v>
      </c>
      <c r="BF76" s="206">
        <f t="shared" si="129"/>
        <v>0</v>
      </c>
      <c r="BG76" s="206">
        <f t="shared" si="130"/>
        <v>0</v>
      </c>
      <c r="BH76" s="206">
        <f t="shared" si="131"/>
        <v>0</v>
      </c>
      <c r="BI76" s="206">
        <f t="shared" si="132"/>
        <v>0</v>
      </c>
      <c r="BJ76" s="266">
        <f t="shared" si="133"/>
        <v>0</v>
      </c>
      <c r="BK76" s="266">
        <f t="shared" si="134"/>
        <v>0</v>
      </c>
      <c r="BL76" s="192">
        <f t="shared" si="135"/>
        <v>0</v>
      </c>
      <c r="BM76" s="192">
        <f t="shared" si="136"/>
        <v>0</v>
      </c>
      <c r="BN76" s="192">
        <f t="shared" si="137"/>
        <v>0</v>
      </c>
      <c r="BO76" s="192">
        <f t="shared" si="138"/>
        <v>0</v>
      </c>
      <c r="BP76" s="192">
        <f t="shared" si="139"/>
        <v>0</v>
      </c>
      <c r="BQ76" s="193">
        <f t="shared" si="140"/>
        <v>0</v>
      </c>
      <c r="BR76" s="193">
        <f t="shared" si="141"/>
        <v>0</v>
      </c>
      <c r="BS76" s="265">
        <f t="shared" si="46"/>
        <v>0</v>
      </c>
      <c r="BT76" s="265">
        <f t="shared" si="47"/>
        <v>0</v>
      </c>
      <c r="BU76" s="265">
        <f t="shared" si="48"/>
        <v>0</v>
      </c>
      <c r="BV76" s="265">
        <f t="shared" si="49"/>
        <v>0</v>
      </c>
      <c r="BW76" s="265">
        <f t="shared" si="50"/>
        <v>0</v>
      </c>
      <c r="BX76" s="265">
        <f t="shared" si="51"/>
        <v>0</v>
      </c>
      <c r="BY76" s="265">
        <f t="shared" si="52"/>
        <v>0</v>
      </c>
      <c r="BZ76" s="265">
        <f t="shared" si="53"/>
        <v>0</v>
      </c>
      <c r="CA76" s="265">
        <f t="shared" si="54"/>
        <v>0</v>
      </c>
      <c r="CB76" s="269">
        <f t="shared" si="55"/>
        <v>0</v>
      </c>
      <c r="CC76" s="266">
        <f t="shared" si="56"/>
        <v>0</v>
      </c>
      <c r="CD76" s="241"/>
      <c r="CE76" s="198">
        <f t="shared" si="142"/>
        <v>9.4278471562498338E-11</v>
      </c>
      <c r="CF76" s="198">
        <f t="shared" si="58"/>
        <v>0</v>
      </c>
      <c r="CG76" s="198">
        <f t="shared" si="59"/>
        <v>0</v>
      </c>
      <c r="CH76" s="198">
        <f t="shared" si="60"/>
        <v>0</v>
      </c>
      <c r="CI76" s="198">
        <f t="shared" si="61"/>
        <v>0</v>
      </c>
      <c r="CJ76" s="198">
        <f t="shared" si="62"/>
        <v>0</v>
      </c>
      <c r="CK76" s="198">
        <f t="shared" si="63"/>
        <v>0</v>
      </c>
      <c r="CL76" s="198">
        <f t="shared" si="64"/>
        <v>4.118551084416612E-13</v>
      </c>
      <c r="CM76" s="271">
        <f t="shared" si="65"/>
        <v>0</v>
      </c>
      <c r="CN76" s="198">
        <f t="shared" si="66"/>
        <v>9.4690326670940004E-11</v>
      </c>
      <c r="CO76" s="209">
        <f t="shared" si="143"/>
        <v>9.4278471562498338E-11</v>
      </c>
    </row>
    <row r="77" spans="2:93" x14ac:dyDescent="0.2">
      <c r="B77" s="221">
        <f>'DATA INPUT - DETAIL'!D68</f>
        <v>0</v>
      </c>
      <c r="C77" s="211">
        <f>'DATA INPUT - DETAIL'!E68</f>
        <v>0</v>
      </c>
      <c r="D77" s="257">
        <f>'DATA INPUT - DETAIL'!I68</f>
        <v>0</v>
      </c>
      <c r="E77" s="258">
        <f>'DATA INPUT - DETAIL'!K68</f>
        <v>0</v>
      </c>
      <c r="F77" s="258">
        <f>'DATA INPUT - DETAIL'!L68</f>
        <v>0</v>
      </c>
      <c r="G77" s="179">
        <f>'DATA INPUT - DETAIL'!M68*(1+$V$5)</f>
        <v>0</v>
      </c>
      <c r="H77" s="179">
        <f>'DATA INPUT - DETAIL'!N68*(1+$V$5)</f>
        <v>0</v>
      </c>
      <c r="I77" s="258">
        <f t="shared" si="100"/>
        <v>0</v>
      </c>
      <c r="J77" s="258">
        <f>'DATA INPUT - DETAIL'!O68</f>
        <v>0</v>
      </c>
      <c r="K77" s="258">
        <f>'DATA INPUT - DETAIL'!P68</f>
        <v>0</v>
      </c>
      <c r="L77" s="267">
        <f>ROUNDDOWN('DATA INPUT - DETAIL'!G68,0)</f>
        <v>0</v>
      </c>
      <c r="M77" s="196">
        <f t="shared" ref="M77:M108" si="144">IF(AND(C77&lt;=$E$5-1,C77&lt;&gt;0),VLOOKUP(L77,Mortality,5,FALSE)*(1+$V$3),0)</f>
        <v>0</v>
      </c>
      <c r="N77" s="196">
        <f t="shared" si="101"/>
        <v>0</v>
      </c>
      <c r="O77" s="196">
        <f t="shared" si="102"/>
        <v>0</v>
      </c>
      <c r="P77" s="196">
        <f t="shared" si="103"/>
        <v>0</v>
      </c>
      <c r="Q77" s="196">
        <f t="shared" si="104"/>
        <v>0</v>
      </c>
      <c r="R77" s="196">
        <f t="shared" si="105"/>
        <v>0</v>
      </c>
      <c r="S77" s="196">
        <f t="shared" si="106"/>
        <v>0</v>
      </c>
      <c r="T77" s="196">
        <f t="shared" si="107"/>
        <v>0</v>
      </c>
      <c r="U77" s="185">
        <f>(C77&gt;0)*(C77&lt;$E$5)*VLOOKUP(MPP,ASUMSI!$BN$77:$CR$108,B77+1)*(1+$V$4)</f>
        <v>0</v>
      </c>
      <c r="V77" s="196">
        <f t="shared" si="108"/>
        <v>0</v>
      </c>
      <c r="W77" s="196">
        <f t="shared" si="109"/>
        <v>0</v>
      </c>
      <c r="X77" s="196">
        <f t="shared" si="110"/>
        <v>0</v>
      </c>
      <c r="Y77" s="196">
        <f t="shared" si="111"/>
        <v>0</v>
      </c>
      <c r="Z77" s="196">
        <f t="shared" si="112"/>
        <v>0</v>
      </c>
      <c r="AA77" s="185">
        <f t="shared" si="113"/>
        <v>0</v>
      </c>
      <c r="AB77" s="196">
        <f t="shared" si="114"/>
        <v>0</v>
      </c>
      <c r="AC77" s="196">
        <f t="shared" si="114"/>
        <v>0</v>
      </c>
      <c r="AD77" s="196">
        <f t="shared" si="114"/>
        <v>0</v>
      </c>
      <c r="AE77" s="196">
        <f t="shared" si="115"/>
        <v>0</v>
      </c>
      <c r="AF77" s="196">
        <f t="shared" si="116"/>
        <v>0</v>
      </c>
      <c r="AG77" s="196">
        <f t="shared" si="117"/>
        <v>0</v>
      </c>
      <c r="AH77" s="196">
        <f t="shared" si="118"/>
        <v>0</v>
      </c>
      <c r="AI77" s="266">
        <f>'DATA INPUT - DETAIL'!R68</f>
        <v>0</v>
      </c>
      <c r="AJ77" s="266">
        <f>'DATA INPUT - DETAIL'!S68</f>
        <v>0</v>
      </c>
      <c r="AK77" s="266">
        <f>'DATA INPUT - DETAIL'!T68</f>
        <v>0</v>
      </c>
      <c r="AL77" s="266">
        <f>'DATA INPUT - DETAIL'!U68</f>
        <v>0</v>
      </c>
      <c r="AM77" s="266">
        <f>'DATA INPUT - DETAIL'!V68</f>
        <v>0</v>
      </c>
      <c r="AN77" s="266">
        <f>'DATA INPUT - DETAIL'!W68</f>
        <v>0</v>
      </c>
      <c r="AO77" s="198">
        <f t="shared" si="119"/>
        <v>0</v>
      </c>
      <c r="AP77" s="266">
        <f>'DATA INPUT - DETAIL'!X68</f>
        <v>0</v>
      </c>
      <c r="AQ77" s="266">
        <f>'DATA INPUT - DETAIL'!Y68</f>
        <v>0</v>
      </c>
      <c r="AR77" s="266">
        <f>'DATA INPUT - DETAIL'!Z68</f>
        <v>0</v>
      </c>
      <c r="AS77" s="266">
        <f>'DATA INPUT - DETAIL'!AD68</f>
        <v>0</v>
      </c>
      <c r="AT77" s="266">
        <f t="shared" si="120"/>
        <v>0</v>
      </c>
      <c r="AU77" s="206">
        <f>'DATA INPUT - DETAIL'!AA68</f>
        <v>0</v>
      </c>
      <c r="AV77" s="206">
        <f>'DATA INPUT - DETAIL'!AB68</f>
        <v>0</v>
      </c>
      <c r="AW77" s="206">
        <f>'DATA INPUT - DETAIL'!AC68</f>
        <v>0</v>
      </c>
      <c r="AX77" s="206">
        <f t="shared" si="121"/>
        <v>0</v>
      </c>
      <c r="AY77" s="206">
        <f t="shared" si="122"/>
        <v>0</v>
      </c>
      <c r="AZ77" s="206">
        <f t="shared" si="123"/>
        <v>0</v>
      </c>
      <c r="BA77" s="206">
        <f t="shared" si="124"/>
        <v>0</v>
      </c>
      <c r="BB77" s="206">
        <f t="shared" si="125"/>
        <v>0</v>
      </c>
      <c r="BC77" s="206">
        <f t="shared" si="126"/>
        <v>0</v>
      </c>
      <c r="BD77" s="206">
        <f t="shared" si="127"/>
        <v>0</v>
      </c>
      <c r="BE77" s="206">
        <f t="shared" si="128"/>
        <v>0</v>
      </c>
      <c r="BF77" s="206">
        <f t="shared" si="129"/>
        <v>0</v>
      </c>
      <c r="BG77" s="206">
        <f t="shared" si="130"/>
        <v>0</v>
      </c>
      <c r="BH77" s="206">
        <f t="shared" si="131"/>
        <v>0</v>
      </c>
      <c r="BI77" s="206">
        <f t="shared" si="132"/>
        <v>0</v>
      </c>
      <c r="BJ77" s="266">
        <f t="shared" si="133"/>
        <v>0</v>
      </c>
      <c r="BK77" s="266">
        <f t="shared" si="134"/>
        <v>0</v>
      </c>
      <c r="BL77" s="192">
        <f t="shared" si="135"/>
        <v>0</v>
      </c>
      <c r="BM77" s="192">
        <f t="shared" si="136"/>
        <v>0</v>
      </c>
      <c r="BN77" s="192">
        <f t="shared" si="137"/>
        <v>0</v>
      </c>
      <c r="BO77" s="192">
        <f t="shared" si="138"/>
        <v>0</v>
      </c>
      <c r="BP77" s="192">
        <f t="shared" si="139"/>
        <v>0</v>
      </c>
      <c r="BQ77" s="193">
        <f t="shared" si="140"/>
        <v>0</v>
      </c>
      <c r="BR77" s="193">
        <f t="shared" si="141"/>
        <v>0</v>
      </c>
      <c r="BS77" s="265">
        <f t="shared" si="46"/>
        <v>0</v>
      </c>
      <c r="BT77" s="265">
        <f t="shared" si="47"/>
        <v>0</v>
      </c>
      <c r="BU77" s="265">
        <f t="shared" si="48"/>
        <v>0</v>
      </c>
      <c r="BV77" s="265">
        <f t="shared" si="49"/>
        <v>0</v>
      </c>
      <c r="BW77" s="265">
        <f t="shared" si="50"/>
        <v>0</v>
      </c>
      <c r="BX77" s="265">
        <f t="shared" si="51"/>
        <v>0</v>
      </c>
      <c r="BY77" s="265">
        <f t="shared" si="52"/>
        <v>0</v>
      </c>
      <c r="BZ77" s="265">
        <f t="shared" si="53"/>
        <v>0</v>
      </c>
      <c r="CA77" s="265">
        <f t="shared" si="54"/>
        <v>0</v>
      </c>
      <c r="CB77" s="269">
        <f t="shared" si="55"/>
        <v>0</v>
      </c>
      <c r="CC77" s="266">
        <f t="shared" si="56"/>
        <v>0</v>
      </c>
      <c r="CD77" s="241"/>
      <c r="CE77" s="198">
        <f t="shared" si="142"/>
        <v>9.4690326670940004E-11</v>
      </c>
      <c r="CF77" s="198">
        <f t="shared" si="58"/>
        <v>0</v>
      </c>
      <c r="CG77" s="198">
        <f t="shared" si="59"/>
        <v>0</v>
      </c>
      <c r="CH77" s="198">
        <f t="shared" si="60"/>
        <v>0</v>
      </c>
      <c r="CI77" s="198">
        <f t="shared" si="61"/>
        <v>0</v>
      </c>
      <c r="CJ77" s="198">
        <f t="shared" si="62"/>
        <v>0</v>
      </c>
      <c r="CK77" s="198">
        <f t="shared" si="63"/>
        <v>0</v>
      </c>
      <c r="CL77" s="198">
        <f t="shared" si="64"/>
        <v>4.1365429575917144E-13</v>
      </c>
      <c r="CM77" s="271">
        <f t="shared" si="65"/>
        <v>0</v>
      </c>
      <c r="CN77" s="198">
        <f t="shared" si="66"/>
        <v>9.5103980966699173E-11</v>
      </c>
      <c r="CO77" s="209">
        <f t="shared" si="143"/>
        <v>9.4690326670940004E-11</v>
      </c>
    </row>
    <row r="78" spans="2:93" x14ac:dyDescent="0.2">
      <c r="B78" s="221">
        <f>'DATA INPUT - DETAIL'!D69</f>
        <v>0</v>
      </c>
      <c r="C78" s="211">
        <f>'DATA INPUT - DETAIL'!E69</f>
        <v>0</v>
      </c>
      <c r="D78" s="257">
        <f>'DATA INPUT - DETAIL'!I69</f>
        <v>0</v>
      </c>
      <c r="E78" s="258">
        <f>'DATA INPUT - DETAIL'!K69</f>
        <v>0</v>
      </c>
      <c r="F78" s="258">
        <f>'DATA INPUT - DETAIL'!L69</f>
        <v>0</v>
      </c>
      <c r="G78" s="179">
        <f>'DATA INPUT - DETAIL'!M69*(1+$V$5)</f>
        <v>0</v>
      </c>
      <c r="H78" s="179">
        <f>'DATA INPUT - DETAIL'!N69*(1+$V$5)</f>
        <v>0</v>
      </c>
      <c r="I78" s="258">
        <f t="shared" si="100"/>
        <v>0</v>
      </c>
      <c r="J78" s="258">
        <f>'DATA INPUT - DETAIL'!O69</f>
        <v>0</v>
      </c>
      <c r="K78" s="258">
        <f>'DATA INPUT - DETAIL'!P69</f>
        <v>0</v>
      </c>
      <c r="L78" s="267">
        <f>ROUNDDOWN('DATA INPUT - DETAIL'!G69,0)</f>
        <v>0</v>
      </c>
      <c r="M78" s="196">
        <f t="shared" si="144"/>
        <v>0</v>
      </c>
      <c r="N78" s="196">
        <f t="shared" si="101"/>
        <v>0</v>
      </c>
      <c r="O78" s="196">
        <f t="shared" si="102"/>
        <v>0</v>
      </c>
      <c r="P78" s="196">
        <f t="shared" si="103"/>
        <v>0</v>
      </c>
      <c r="Q78" s="196">
        <f t="shared" si="104"/>
        <v>0</v>
      </c>
      <c r="R78" s="196">
        <f t="shared" si="105"/>
        <v>0</v>
      </c>
      <c r="S78" s="196">
        <f t="shared" si="106"/>
        <v>0</v>
      </c>
      <c r="T78" s="196">
        <f t="shared" si="107"/>
        <v>0</v>
      </c>
      <c r="U78" s="185">
        <f>(C78&gt;0)*(C78&lt;$E$5)*VLOOKUP(MPP,ASUMSI!$BN$77:$CR$108,B78+1)*(1+$V$4)</f>
        <v>0</v>
      </c>
      <c r="V78" s="196">
        <f t="shared" si="108"/>
        <v>0</v>
      </c>
      <c r="W78" s="196">
        <f t="shared" si="109"/>
        <v>0</v>
      </c>
      <c r="X78" s="196">
        <f t="shared" si="110"/>
        <v>0</v>
      </c>
      <c r="Y78" s="196">
        <f t="shared" si="111"/>
        <v>0</v>
      </c>
      <c r="Z78" s="196">
        <f t="shared" si="112"/>
        <v>0</v>
      </c>
      <c r="AA78" s="185">
        <f t="shared" si="113"/>
        <v>0</v>
      </c>
      <c r="AB78" s="196">
        <f t="shared" si="114"/>
        <v>0</v>
      </c>
      <c r="AC78" s="196">
        <f t="shared" si="114"/>
        <v>0</v>
      </c>
      <c r="AD78" s="196">
        <f t="shared" si="114"/>
        <v>0</v>
      </c>
      <c r="AE78" s="196">
        <f t="shared" si="115"/>
        <v>0</v>
      </c>
      <c r="AF78" s="196">
        <f t="shared" si="116"/>
        <v>0</v>
      </c>
      <c r="AG78" s="196">
        <f t="shared" si="117"/>
        <v>0</v>
      </c>
      <c r="AH78" s="196">
        <f t="shared" si="118"/>
        <v>0</v>
      </c>
      <c r="AI78" s="266">
        <f>'DATA INPUT - DETAIL'!R69</f>
        <v>0</v>
      </c>
      <c r="AJ78" s="266">
        <f>'DATA INPUT - DETAIL'!S69</f>
        <v>0</v>
      </c>
      <c r="AK78" s="266">
        <f>'DATA INPUT - DETAIL'!T69</f>
        <v>0</v>
      </c>
      <c r="AL78" s="266">
        <f>'DATA INPUT - DETAIL'!U69</f>
        <v>0</v>
      </c>
      <c r="AM78" s="266">
        <f>'DATA INPUT - DETAIL'!V69</f>
        <v>0</v>
      </c>
      <c r="AN78" s="266">
        <f>'DATA INPUT - DETAIL'!W69</f>
        <v>0</v>
      </c>
      <c r="AO78" s="198">
        <f t="shared" si="119"/>
        <v>0</v>
      </c>
      <c r="AP78" s="266">
        <f>'DATA INPUT - DETAIL'!X69</f>
        <v>0</v>
      </c>
      <c r="AQ78" s="266">
        <f>'DATA INPUT - DETAIL'!Y69</f>
        <v>0</v>
      </c>
      <c r="AR78" s="266">
        <f>'DATA INPUT - DETAIL'!Z69</f>
        <v>0</v>
      </c>
      <c r="AS78" s="266">
        <f>'DATA INPUT - DETAIL'!AD69</f>
        <v>0</v>
      </c>
      <c r="AT78" s="266">
        <f t="shared" si="120"/>
        <v>0</v>
      </c>
      <c r="AU78" s="206">
        <f>'DATA INPUT - DETAIL'!AA69</f>
        <v>0</v>
      </c>
      <c r="AV78" s="206">
        <f>'DATA INPUT - DETAIL'!AB69</f>
        <v>0</v>
      </c>
      <c r="AW78" s="206">
        <f>'DATA INPUT - DETAIL'!AC69</f>
        <v>0</v>
      </c>
      <c r="AX78" s="206">
        <f t="shared" si="121"/>
        <v>0</v>
      </c>
      <c r="AY78" s="206">
        <f t="shared" si="122"/>
        <v>0</v>
      </c>
      <c r="AZ78" s="206">
        <f t="shared" si="123"/>
        <v>0</v>
      </c>
      <c r="BA78" s="206">
        <f t="shared" si="124"/>
        <v>0</v>
      </c>
      <c r="BB78" s="206">
        <f t="shared" si="125"/>
        <v>0</v>
      </c>
      <c r="BC78" s="206">
        <f t="shared" si="126"/>
        <v>0</v>
      </c>
      <c r="BD78" s="206">
        <f t="shared" si="127"/>
        <v>0</v>
      </c>
      <c r="BE78" s="206">
        <f t="shared" si="128"/>
        <v>0</v>
      </c>
      <c r="BF78" s="206">
        <f t="shared" si="129"/>
        <v>0</v>
      </c>
      <c r="BG78" s="206">
        <f t="shared" si="130"/>
        <v>0</v>
      </c>
      <c r="BH78" s="206">
        <f t="shared" si="131"/>
        <v>0</v>
      </c>
      <c r="BI78" s="206">
        <f t="shared" si="132"/>
        <v>0</v>
      </c>
      <c r="BJ78" s="266">
        <f t="shared" si="133"/>
        <v>0</v>
      </c>
      <c r="BK78" s="266">
        <f t="shared" si="134"/>
        <v>0</v>
      </c>
      <c r="BL78" s="192">
        <f t="shared" si="135"/>
        <v>0</v>
      </c>
      <c r="BM78" s="192">
        <f t="shared" si="136"/>
        <v>0</v>
      </c>
      <c r="BN78" s="192">
        <f t="shared" si="137"/>
        <v>0</v>
      </c>
      <c r="BO78" s="192">
        <f t="shared" si="138"/>
        <v>0</v>
      </c>
      <c r="BP78" s="192">
        <f t="shared" si="139"/>
        <v>0</v>
      </c>
      <c r="BQ78" s="193">
        <f t="shared" si="140"/>
        <v>0</v>
      </c>
      <c r="BR78" s="193">
        <f t="shared" si="141"/>
        <v>0</v>
      </c>
      <c r="BS78" s="265">
        <f t="shared" ref="BS78:BS127" si="145">(BJ78+BS79)/(1+$BS$5)</f>
        <v>0</v>
      </c>
      <c r="BT78" s="265">
        <f t="shared" ref="BT78:BT127" si="146">(BK78+BT79)/(1+$BS$5)</f>
        <v>0</v>
      </c>
      <c r="BU78" s="265">
        <f t="shared" ref="BU78:BU127" si="147">BL78+BU79/(1+$BS$5)</f>
        <v>0</v>
      </c>
      <c r="BV78" s="265">
        <f t="shared" ref="BV78:BV127" si="148">BM78+BV79/(1+$BS$5)</f>
        <v>0</v>
      </c>
      <c r="BW78" s="265">
        <f t="shared" ref="BW78:BW127" si="149">BN78+BW79/(1+$BS$5)</f>
        <v>0</v>
      </c>
      <c r="BX78" s="265">
        <f t="shared" ref="BX78:BX127" si="150">BO78+BX79/(1+$BS$5)</f>
        <v>0</v>
      </c>
      <c r="BY78" s="265">
        <f t="shared" ref="BY78:BY127" si="151">BP78+BY79/(1+$BS$5)</f>
        <v>0</v>
      </c>
      <c r="BZ78" s="265">
        <f t="shared" ref="BZ78:BZ127" si="152">BQ78+BZ79/(1+$BS$5)</f>
        <v>0</v>
      </c>
      <c r="CA78" s="265">
        <f t="shared" ref="CA78:CA127" si="153">BR78+CA79/(1+$BS$5)</f>
        <v>0</v>
      </c>
      <c r="CB78" s="269">
        <f t="shared" ref="CB78:CB127" si="154">BS78+BT78+BZ78-CA78</f>
        <v>0</v>
      </c>
      <c r="CC78" s="266">
        <f t="shared" ref="CC78:CC127" si="155">IF(AND(C78=0,C79=0),0,CB78/W78)</f>
        <v>0</v>
      </c>
      <c r="CD78" s="241"/>
      <c r="CE78" s="198">
        <f t="shared" si="142"/>
        <v>9.5103980966699173E-11</v>
      </c>
      <c r="CF78" s="198">
        <f t="shared" ref="CF78:CF141" si="156">IFERROR(BR78/W78,0)</f>
        <v>0</v>
      </c>
      <c r="CG78" s="198">
        <f t="shared" ref="CG78:CG141" si="157">IFERROR(-BL78/W78,0)</f>
        <v>0</v>
      </c>
      <c r="CH78" s="198">
        <f t="shared" ref="CH78:CH141" si="158">IFERROR(-BP78/W78,0)</f>
        <v>0</v>
      </c>
      <c r="CI78" s="198">
        <f t="shared" ref="CI78:CI141" si="159">IFERROR(-BM78/W78,0)</f>
        <v>0</v>
      </c>
      <c r="CJ78" s="198">
        <f t="shared" ref="CJ78:CJ141" si="160">IFERROR(-BJ78/W78,0)</f>
        <v>0</v>
      </c>
      <c r="CK78" s="198">
        <f t="shared" ref="CK78:CK141" si="161">IFERROR(-BK78/W78,0)</f>
        <v>0</v>
      </c>
      <c r="CL78" s="198">
        <f t="shared" ref="CL78:CL141" si="162">SUM(CE78:CI78)*$CL$8</f>
        <v>4.1546134281894814E-13</v>
      </c>
      <c r="CM78" s="271">
        <f t="shared" ref="CM78:CM141" si="163">IF(CB79=0,0,CB79*(1/AA78-1/W78))</f>
        <v>0</v>
      </c>
      <c r="CN78" s="198">
        <f t="shared" ref="CN78:CN141" si="164">SUM(CE78:CM78)</f>
        <v>9.5519442309518123E-11</v>
      </c>
      <c r="CO78" s="209">
        <f t="shared" si="143"/>
        <v>9.5103980966699173E-11</v>
      </c>
    </row>
    <row r="79" spans="2:93" x14ac:dyDescent="0.2">
      <c r="B79" s="221">
        <f>'DATA INPUT - DETAIL'!D70</f>
        <v>0</v>
      </c>
      <c r="C79" s="211">
        <f>'DATA INPUT - DETAIL'!E70</f>
        <v>0</v>
      </c>
      <c r="D79" s="257">
        <f>'DATA INPUT - DETAIL'!I70</f>
        <v>0</v>
      </c>
      <c r="E79" s="258">
        <f>'DATA INPUT - DETAIL'!K70</f>
        <v>0</v>
      </c>
      <c r="F79" s="258">
        <f>'DATA INPUT - DETAIL'!L70</f>
        <v>0</v>
      </c>
      <c r="G79" s="179">
        <f>'DATA INPUT - DETAIL'!M70*(1+$V$5)</f>
        <v>0</v>
      </c>
      <c r="H79" s="179">
        <f>'DATA INPUT - DETAIL'!N70*(1+$V$5)</f>
        <v>0</v>
      </c>
      <c r="I79" s="258">
        <f t="shared" si="100"/>
        <v>0</v>
      </c>
      <c r="J79" s="258">
        <f>'DATA INPUT - DETAIL'!O70</f>
        <v>0</v>
      </c>
      <c r="K79" s="258">
        <f>'DATA INPUT - DETAIL'!P70</f>
        <v>0</v>
      </c>
      <c r="L79" s="267">
        <f>ROUNDDOWN('DATA INPUT - DETAIL'!G70,0)</f>
        <v>0</v>
      </c>
      <c r="M79" s="196">
        <f t="shared" si="144"/>
        <v>0</v>
      </c>
      <c r="N79" s="196">
        <f t="shared" si="101"/>
        <v>0</v>
      </c>
      <c r="O79" s="196">
        <f t="shared" si="102"/>
        <v>0</v>
      </c>
      <c r="P79" s="196">
        <f t="shared" si="103"/>
        <v>0</v>
      </c>
      <c r="Q79" s="196">
        <f t="shared" si="104"/>
        <v>0</v>
      </c>
      <c r="R79" s="196">
        <f t="shared" si="105"/>
        <v>0</v>
      </c>
      <c r="S79" s="196">
        <f t="shared" si="106"/>
        <v>0</v>
      </c>
      <c r="T79" s="196">
        <f t="shared" si="107"/>
        <v>0</v>
      </c>
      <c r="U79" s="185">
        <f>(C79&gt;0)*(C79&lt;$E$5)*VLOOKUP(MPP,ASUMSI!$BN$77:$CR$108,B79+1)*(1+$V$4)</f>
        <v>0</v>
      </c>
      <c r="V79" s="196">
        <f t="shared" si="108"/>
        <v>0</v>
      </c>
      <c r="W79" s="196">
        <f t="shared" si="109"/>
        <v>0</v>
      </c>
      <c r="X79" s="196">
        <f t="shared" si="110"/>
        <v>0</v>
      </c>
      <c r="Y79" s="196">
        <f t="shared" si="111"/>
        <v>0</v>
      </c>
      <c r="Z79" s="196">
        <f t="shared" si="112"/>
        <v>0</v>
      </c>
      <c r="AA79" s="185">
        <f t="shared" si="113"/>
        <v>0</v>
      </c>
      <c r="AB79" s="196">
        <f t="shared" si="114"/>
        <v>0</v>
      </c>
      <c r="AC79" s="196">
        <f t="shared" si="114"/>
        <v>0</v>
      </c>
      <c r="AD79" s="196">
        <f t="shared" si="114"/>
        <v>0</v>
      </c>
      <c r="AE79" s="196">
        <f t="shared" si="115"/>
        <v>0</v>
      </c>
      <c r="AF79" s="196">
        <f t="shared" si="116"/>
        <v>0</v>
      </c>
      <c r="AG79" s="196">
        <f t="shared" si="117"/>
        <v>0</v>
      </c>
      <c r="AH79" s="196">
        <f t="shared" si="118"/>
        <v>0</v>
      </c>
      <c r="AI79" s="266">
        <f>'DATA INPUT - DETAIL'!R70</f>
        <v>0</v>
      </c>
      <c r="AJ79" s="266">
        <f>'DATA INPUT - DETAIL'!S70</f>
        <v>0</v>
      </c>
      <c r="AK79" s="266">
        <f>'DATA INPUT - DETAIL'!T70</f>
        <v>0</v>
      </c>
      <c r="AL79" s="266">
        <f>'DATA INPUT - DETAIL'!U70</f>
        <v>0</v>
      </c>
      <c r="AM79" s="266">
        <f>'DATA INPUT - DETAIL'!V70</f>
        <v>0</v>
      </c>
      <c r="AN79" s="266">
        <f>'DATA INPUT - DETAIL'!W70</f>
        <v>0</v>
      </c>
      <c r="AO79" s="198">
        <f t="shared" si="119"/>
        <v>0</v>
      </c>
      <c r="AP79" s="266">
        <f>'DATA INPUT - DETAIL'!X70</f>
        <v>0</v>
      </c>
      <c r="AQ79" s="266">
        <f>'DATA INPUT - DETAIL'!Y70</f>
        <v>0</v>
      </c>
      <c r="AR79" s="266">
        <f>'DATA INPUT - DETAIL'!Z70</f>
        <v>0</v>
      </c>
      <c r="AS79" s="266">
        <f>'DATA INPUT - DETAIL'!AD70</f>
        <v>0</v>
      </c>
      <c r="AT79" s="266">
        <f t="shared" si="120"/>
        <v>0</v>
      </c>
      <c r="AU79" s="206">
        <f>'DATA INPUT - DETAIL'!AA70</f>
        <v>0</v>
      </c>
      <c r="AV79" s="206">
        <f>'DATA INPUT - DETAIL'!AB70</f>
        <v>0</v>
      </c>
      <c r="AW79" s="206">
        <f>'DATA INPUT - DETAIL'!AC70</f>
        <v>0</v>
      </c>
      <c r="AX79" s="206">
        <f t="shared" si="121"/>
        <v>0</v>
      </c>
      <c r="AY79" s="206">
        <f t="shared" si="122"/>
        <v>0</v>
      </c>
      <c r="AZ79" s="206">
        <f t="shared" si="123"/>
        <v>0</v>
      </c>
      <c r="BA79" s="206">
        <f t="shared" si="124"/>
        <v>0</v>
      </c>
      <c r="BB79" s="206">
        <f t="shared" si="125"/>
        <v>0</v>
      </c>
      <c r="BC79" s="206">
        <f t="shared" si="126"/>
        <v>0</v>
      </c>
      <c r="BD79" s="206">
        <f t="shared" si="127"/>
        <v>0</v>
      </c>
      <c r="BE79" s="206">
        <f t="shared" si="128"/>
        <v>0</v>
      </c>
      <c r="BF79" s="206">
        <f t="shared" si="129"/>
        <v>0</v>
      </c>
      <c r="BG79" s="206">
        <f t="shared" si="130"/>
        <v>0</v>
      </c>
      <c r="BH79" s="206">
        <f t="shared" si="131"/>
        <v>0</v>
      </c>
      <c r="BI79" s="206">
        <f t="shared" si="132"/>
        <v>0</v>
      </c>
      <c r="BJ79" s="266">
        <f t="shared" si="133"/>
        <v>0</v>
      </c>
      <c r="BK79" s="266">
        <f t="shared" si="134"/>
        <v>0</v>
      </c>
      <c r="BL79" s="192">
        <f t="shared" si="135"/>
        <v>0</v>
      </c>
      <c r="BM79" s="192">
        <f t="shared" si="136"/>
        <v>0</v>
      </c>
      <c r="BN79" s="192">
        <f t="shared" si="137"/>
        <v>0</v>
      </c>
      <c r="BO79" s="192">
        <f t="shared" si="138"/>
        <v>0</v>
      </c>
      <c r="BP79" s="192">
        <f t="shared" si="139"/>
        <v>0</v>
      </c>
      <c r="BQ79" s="193">
        <f t="shared" si="140"/>
        <v>0</v>
      </c>
      <c r="BR79" s="193">
        <f t="shared" si="141"/>
        <v>0</v>
      </c>
      <c r="BS79" s="265">
        <f t="shared" si="145"/>
        <v>0</v>
      </c>
      <c r="BT79" s="265">
        <f t="shared" si="146"/>
        <v>0</v>
      </c>
      <c r="BU79" s="265">
        <f t="shared" si="147"/>
        <v>0</v>
      </c>
      <c r="BV79" s="265">
        <f t="shared" si="148"/>
        <v>0</v>
      </c>
      <c r="BW79" s="265">
        <f t="shared" si="149"/>
        <v>0</v>
      </c>
      <c r="BX79" s="265">
        <f t="shared" si="150"/>
        <v>0</v>
      </c>
      <c r="BY79" s="265">
        <f t="shared" si="151"/>
        <v>0</v>
      </c>
      <c r="BZ79" s="265">
        <f t="shared" si="152"/>
        <v>0</v>
      </c>
      <c r="CA79" s="265">
        <f t="shared" si="153"/>
        <v>0</v>
      </c>
      <c r="CB79" s="269">
        <f t="shared" si="154"/>
        <v>0</v>
      </c>
      <c r="CC79" s="266">
        <f t="shared" si="155"/>
        <v>0</v>
      </c>
      <c r="CD79" s="241"/>
      <c r="CE79" s="198">
        <f t="shared" si="142"/>
        <v>9.5519442309518123E-11</v>
      </c>
      <c r="CF79" s="198">
        <f t="shared" si="156"/>
        <v>0</v>
      </c>
      <c r="CG79" s="198">
        <f t="shared" si="157"/>
        <v>0</v>
      </c>
      <c r="CH79" s="198">
        <f t="shared" si="158"/>
        <v>0</v>
      </c>
      <c r="CI79" s="198">
        <f t="shared" si="159"/>
        <v>0</v>
      </c>
      <c r="CJ79" s="198">
        <f t="shared" si="160"/>
        <v>0</v>
      </c>
      <c r="CK79" s="198">
        <f t="shared" si="161"/>
        <v>0</v>
      </c>
      <c r="CL79" s="198">
        <f t="shared" si="162"/>
        <v>4.1727628395624248E-13</v>
      </c>
      <c r="CM79" s="271">
        <f t="shared" si="163"/>
        <v>0</v>
      </c>
      <c r="CN79" s="198">
        <f t="shared" si="164"/>
        <v>9.5936718593474365E-11</v>
      </c>
      <c r="CO79" s="209">
        <f t="shared" si="143"/>
        <v>9.5519442309518123E-11</v>
      </c>
    </row>
    <row r="80" spans="2:93" x14ac:dyDescent="0.2">
      <c r="B80" s="221">
        <f>'DATA INPUT - DETAIL'!D71</f>
        <v>0</v>
      </c>
      <c r="C80" s="211">
        <f>'DATA INPUT - DETAIL'!E71</f>
        <v>0</v>
      </c>
      <c r="D80" s="257">
        <f>'DATA INPUT - DETAIL'!I71</f>
        <v>0</v>
      </c>
      <c r="E80" s="258">
        <f>'DATA INPUT - DETAIL'!K71</f>
        <v>0</v>
      </c>
      <c r="F80" s="258">
        <f>'DATA INPUT - DETAIL'!L71</f>
        <v>0</v>
      </c>
      <c r="G80" s="179">
        <f>'DATA INPUT - DETAIL'!M71*(1+$V$5)</f>
        <v>0</v>
      </c>
      <c r="H80" s="179">
        <f>'DATA INPUT - DETAIL'!N71*(1+$V$5)</f>
        <v>0</v>
      </c>
      <c r="I80" s="258">
        <f t="shared" si="100"/>
        <v>0</v>
      </c>
      <c r="J80" s="258">
        <f>'DATA INPUT - DETAIL'!O71</f>
        <v>0</v>
      </c>
      <c r="K80" s="258">
        <f>'DATA INPUT - DETAIL'!P71</f>
        <v>0</v>
      </c>
      <c r="L80" s="267">
        <f>ROUNDDOWN('DATA INPUT - DETAIL'!G71,0)</f>
        <v>0</v>
      </c>
      <c r="M80" s="196">
        <f t="shared" si="144"/>
        <v>0</v>
      </c>
      <c r="N80" s="196">
        <f t="shared" si="101"/>
        <v>0</v>
      </c>
      <c r="O80" s="196">
        <f t="shared" si="102"/>
        <v>0</v>
      </c>
      <c r="P80" s="196">
        <f t="shared" si="103"/>
        <v>0</v>
      </c>
      <c r="Q80" s="196">
        <f t="shared" si="104"/>
        <v>0</v>
      </c>
      <c r="R80" s="196">
        <f t="shared" si="105"/>
        <v>0</v>
      </c>
      <c r="S80" s="196">
        <f t="shared" si="106"/>
        <v>0</v>
      </c>
      <c r="T80" s="196">
        <f t="shared" si="107"/>
        <v>0</v>
      </c>
      <c r="U80" s="185">
        <f>(C80&gt;0)*(C80&lt;$E$5)*VLOOKUP(MPP,ASUMSI!$BN$77:$CR$108,B80+1)*(1+$V$4)</f>
        <v>0</v>
      </c>
      <c r="V80" s="196">
        <f t="shared" si="108"/>
        <v>0</v>
      </c>
      <c r="W80" s="196">
        <f t="shared" si="109"/>
        <v>0</v>
      </c>
      <c r="X80" s="196">
        <f t="shared" si="110"/>
        <v>0</v>
      </c>
      <c r="Y80" s="196">
        <f t="shared" si="111"/>
        <v>0</v>
      </c>
      <c r="Z80" s="196">
        <f t="shared" si="112"/>
        <v>0</v>
      </c>
      <c r="AA80" s="185">
        <f t="shared" si="113"/>
        <v>0</v>
      </c>
      <c r="AB80" s="196">
        <f t="shared" si="114"/>
        <v>0</v>
      </c>
      <c r="AC80" s="196">
        <f t="shared" si="114"/>
        <v>0</v>
      </c>
      <c r="AD80" s="196">
        <f t="shared" si="114"/>
        <v>0</v>
      </c>
      <c r="AE80" s="196">
        <f t="shared" si="115"/>
        <v>0</v>
      </c>
      <c r="AF80" s="196">
        <f t="shared" si="116"/>
        <v>0</v>
      </c>
      <c r="AG80" s="196">
        <f t="shared" si="117"/>
        <v>0</v>
      </c>
      <c r="AH80" s="196">
        <f t="shared" si="118"/>
        <v>0</v>
      </c>
      <c r="AI80" s="266">
        <f>'DATA INPUT - DETAIL'!R71</f>
        <v>0</v>
      </c>
      <c r="AJ80" s="266">
        <f>'DATA INPUT - DETAIL'!S71</f>
        <v>0</v>
      </c>
      <c r="AK80" s="266">
        <f>'DATA INPUT - DETAIL'!T71</f>
        <v>0</v>
      </c>
      <c r="AL80" s="266">
        <f>'DATA INPUT - DETAIL'!U71</f>
        <v>0</v>
      </c>
      <c r="AM80" s="266">
        <f>'DATA INPUT - DETAIL'!V71</f>
        <v>0</v>
      </c>
      <c r="AN80" s="266">
        <f>'DATA INPUT - DETAIL'!W71</f>
        <v>0</v>
      </c>
      <c r="AO80" s="198">
        <f t="shared" si="119"/>
        <v>0</v>
      </c>
      <c r="AP80" s="266">
        <f>'DATA INPUT - DETAIL'!X71</f>
        <v>0</v>
      </c>
      <c r="AQ80" s="266">
        <f>'DATA INPUT - DETAIL'!Y71</f>
        <v>0</v>
      </c>
      <c r="AR80" s="266">
        <f>'DATA INPUT - DETAIL'!Z71</f>
        <v>0</v>
      </c>
      <c r="AS80" s="266">
        <f>'DATA INPUT - DETAIL'!AD71</f>
        <v>0</v>
      </c>
      <c r="AT80" s="266">
        <f t="shared" si="120"/>
        <v>0</v>
      </c>
      <c r="AU80" s="206">
        <f>'DATA INPUT - DETAIL'!AA71</f>
        <v>0</v>
      </c>
      <c r="AV80" s="206">
        <f>'DATA INPUT - DETAIL'!AB71</f>
        <v>0</v>
      </c>
      <c r="AW80" s="206">
        <f>'DATA INPUT - DETAIL'!AC71</f>
        <v>0</v>
      </c>
      <c r="AX80" s="206">
        <f t="shared" si="121"/>
        <v>0</v>
      </c>
      <c r="AY80" s="206">
        <f t="shared" si="122"/>
        <v>0</v>
      </c>
      <c r="AZ80" s="206">
        <f t="shared" si="123"/>
        <v>0</v>
      </c>
      <c r="BA80" s="206">
        <f t="shared" si="124"/>
        <v>0</v>
      </c>
      <c r="BB80" s="206">
        <f t="shared" si="125"/>
        <v>0</v>
      </c>
      <c r="BC80" s="206">
        <f t="shared" si="126"/>
        <v>0</v>
      </c>
      <c r="BD80" s="206">
        <f t="shared" si="127"/>
        <v>0</v>
      </c>
      <c r="BE80" s="206">
        <f t="shared" si="128"/>
        <v>0</v>
      </c>
      <c r="BF80" s="206">
        <f t="shared" si="129"/>
        <v>0</v>
      </c>
      <c r="BG80" s="206">
        <f t="shared" si="130"/>
        <v>0</v>
      </c>
      <c r="BH80" s="206">
        <f t="shared" si="131"/>
        <v>0</v>
      </c>
      <c r="BI80" s="206">
        <f t="shared" si="132"/>
        <v>0</v>
      </c>
      <c r="BJ80" s="266">
        <f t="shared" si="133"/>
        <v>0</v>
      </c>
      <c r="BK80" s="266">
        <f t="shared" si="134"/>
        <v>0</v>
      </c>
      <c r="BL80" s="192">
        <f t="shared" si="135"/>
        <v>0</v>
      </c>
      <c r="BM80" s="192">
        <f t="shared" si="136"/>
        <v>0</v>
      </c>
      <c r="BN80" s="192">
        <f t="shared" si="137"/>
        <v>0</v>
      </c>
      <c r="BO80" s="192">
        <f t="shared" si="138"/>
        <v>0</v>
      </c>
      <c r="BP80" s="192">
        <f t="shared" si="139"/>
        <v>0</v>
      </c>
      <c r="BQ80" s="193">
        <f t="shared" si="140"/>
        <v>0</v>
      </c>
      <c r="BR80" s="193">
        <f t="shared" si="141"/>
        <v>0</v>
      </c>
      <c r="BS80" s="265">
        <f t="shared" si="145"/>
        <v>0</v>
      </c>
      <c r="BT80" s="265">
        <f t="shared" si="146"/>
        <v>0</v>
      </c>
      <c r="BU80" s="265">
        <f t="shared" si="147"/>
        <v>0</v>
      </c>
      <c r="BV80" s="265">
        <f t="shared" si="148"/>
        <v>0</v>
      </c>
      <c r="BW80" s="265">
        <f t="shared" si="149"/>
        <v>0</v>
      </c>
      <c r="BX80" s="265">
        <f t="shared" si="150"/>
        <v>0</v>
      </c>
      <c r="BY80" s="265">
        <f t="shared" si="151"/>
        <v>0</v>
      </c>
      <c r="BZ80" s="265">
        <f t="shared" si="152"/>
        <v>0</v>
      </c>
      <c r="CA80" s="265">
        <f t="shared" si="153"/>
        <v>0</v>
      </c>
      <c r="CB80" s="269">
        <f t="shared" si="154"/>
        <v>0</v>
      </c>
      <c r="CC80" s="266">
        <f t="shared" si="155"/>
        <v>0</v>
      </c>
      <c r="CD80" s="241"/>
      <c r="CE80" s="198">
        <f t="shared" si="142"/>
        <v>9.5936718593474365E-11</v>
      </c>
      <c r="CF80" s="198">
        <f t="shared" si="156"/>
        <v>0</v>
      </c>
      <c r="CG80" s="198">
        <f t="shared" si="157"/>
        <v>0</v>
      </c>
      <c r="CH80" s="198">
        <f t="shared" si="158"/>
        <v>0</v>
      </c>
      <c r="CI80" s="198">
        <f t="shared" si="159"/>
        <v>0</v>
      </c>
      <c r="CJ80" s="198">
        <f t="shared" si="160"/>
        <v>0</v>
      </c>
      <c r="CK80" s="198">
        <f t="shared" si="161"/>
        <v>0</v>
      </c>
      <c r="CL80" s="198">
        <f t="shared" si="162"/>
        <v>4.1909915365629918E-13</v>
      </c>
      <c r="CM80" s="271">
        <f t="shared" si="163"/>
        <v>0</v>
      </c>
      <c r="CN80" s="198">
        <f t="shared" si="164"/>
        <v>9.6355817747130661E-11</v>
      </c>
      <c r="CO80" s="209">
        <f t="shared" si="143"/>
        <v>9.5936718593474365E-11</v>
      </c>
    </row>
    <row r="81" spans="2:93" x14ac:dyDescent="0.2">
      <c r="B81" s="221">
        <f>'DATA INPUT - DETAIL'!D72</f>
        <v>0</v>
      </c>
      <c r="C81" s="211">
        <f>'DATA INPUT - DETAIL'!E72</f>
        <v>0</v>
      </c>
      <c r="D81" s="257">
        <f>'DATA INPUT - DETAIL'!I72</f>
        <v>0</v>
      </c>
      <c r="E81" s="258">
        <f>'DATA INPUT - DETAIL'!K72</f>
        <v>0</v>
      </c>
      <c r="F81" s="258">
        <f>'DATA INPUT - DETAIL'!L72</f>
        <v>0</v>
      </c>
      <c r="G81" s="179">
        <f>'DATA INPUT - DETAIL'!M72*(1+$V$5)</f>
        <v>0</v>
      </c>
      <c r="H81" s="179">
        <f>'DATA INPUT - DETAIL'!N72*(1+$V$5)</f>
        <v>0</v>
      </c>
      <c r="I81" s="258">
        <f t="shared" si="100"/>
        <v>0</v>
      </c>
      <c r="J81" s="258">
        <f>'DATA INPUT - DETAIL'!O72</f>
        <v>0</v>
      </c>
      <c r="K81" s="258">
        <f>'DATA INPUT - DETAIL'!P72</f>
        <v>0</v>
      </c>
      <c r="L81" s="267">
        <f>ROUNDDOWN('DATA INPUT - DETAIL'!G72,0)</f>
        <v>0</v>
      </c>
      <c r="M81" s="196">
        <f t="shared" si="144"/>
        <v>0</v>
      </c>
      <c r="N81" s="196">
        <f t="shared" si="101"/>
        <v>0</v>
      </c>
      <c r="O81" s="196">
        <f t="shared" si="102"/>
        <v>0</v>
      </c>
      <c r="P81" s="196">
        <f t="shared" si="103"/>
        <v>0</v>
      </c>
      <c r="Q81" s="196">
        <f t="shared" si="104"/>
        <v>0</v>
      </c>
      <c r="R81" s="196">
        <f t="shared" si="105"/>
        <v>0</v>
      </c>
      <c r="S81" s="196">
        <f t="shared" si="106"/>
        <v>0</v>
      </c>
      <c r="T81" s="196">
        <f t="shared" si="107"/>
        <v>0</v>
      </c>
      <c r="U81" s="185">
        <f>(C81&gt;0)*(C81&lt;$E$5)*VLOOKUP(MPP,ASUMSI!$BN$77:$CR$108,B81+1)*(1+$V$4)</f>
        <v>0</v>
      </c>
      <c r="V81" s="196">
        <f t="shared" si="108"/>
        <v>0</v>
      </c>
      <c r="W81" s="196">
        <f t="shared" si="109"/>
        <v>0</v>
      </c>
      <c r="X81" s="196">
        <f t="shared" si="110"/>
        <v>0</v>
      </c>
      <c r="Y81" s="196">
        <f t="shared" si="111"/>
        <v>0</v>
      </c>
      <c r="Z81" s="196">
        <f t="shared" si="112"/>
        <v>0</v>
      </c>
      <c r="AA81" s="185">
        <f t="shared" si="113"/>
        <v>0</v>
      </c>
      <c r="AB81" s="196">
        <f t="shared" si="114"/>
        <v>0</v>
      </c>
      <c r="AC81" s="196">
        <f t="shared" si="114"/>
        <v>0</v>
      </c>
      <c r="AD81" s="196">
        <f t="shared" si="114"/>
        <v>0</v>
      </c>
      <c r="AE81" s="196">
        <f t="shared" si="115"/>
        <v>0</v>
      </c>
      <c r="AF81" s="196">
        <f t="shared" si="116"/>
        <v>0</v>
      </c>
      <c r="AG81" s="196">
        <f t="shared" si="117"/>
        <v>0</v>
      </c>
      <c r="AH81" s="196">
        <f t="shared" si="118"/>
        <v>0</v>
      </c>
      <c r="AI81" s="266">
        <f>'DATA INPUT - DETAIL'!R72</f>
        <v>0</v>
      </c>
      <c r="AJ81" s="266">
        <f>'DATA INPUT - DETAIL'!S72</f>
        <v>0</v>
      </c>
      <c r="AK81" s="266">
        <f>'DATA INPUT - DETAIL'!T72</f>
        <v>0</v>
      </c>
      <c r="AL81" s="266">
        <f>'DATA INPUT - DETAIL'!U72</f>
        <v>0</v>
      </c>
      <c r="AM81" s="266">
        <f>'DATA INPUT - DETAIL'!V72</f>
        <v>0</v>
      </c>
      <c r="AN81" s="266">
        <f>'DATA INPUT - DETAIL'!W72</f>
        <v>0</v>
      </c>
      <c r="AO81" s="198">
        <f t="shared" si="119"/>
        <v>0</v>
      </c>
      <c r="AP81" s="266">
        <f>'DATA INPUT - DETAIL'!X72</f>
        <v>0</v>
      </c>
      <c r="AQ81" s="266">
        <f>'DATA INPUT - DETAIL'!Y72</f>
        <v>0</v>
      </c>
      <c r="AR81" s="266">
        <f>'DATA INPUT - DETAIL'!Z72</f>
        <v>0</v>
      </c>
      <c r="AS81" s="266">
        <f>'DATA INPUT - DETAIL'!AD72</f>
        <v>0</v>
      </c>
      <c r="AT81" s="266">
        <f t="shared" si="120"/>
        <v>0</v>
      </c>
      <c r="AU81" s="206">
        <f>'DATA INPUT - DETAIL'!AA72</f>
        <v>0</v>
      </c>
      <c r="AV81" s="206">
        <f>'DATA INPUT - DETAIL'!AB72</f>
        <v>0</v>
      </c>
      <c r="AW81" s="206">
        <f>'DATA INPUT - DETAIL'!AC72</f>
        <v>0</v>
      </c>
      <c r="AX81" s="206">
        <f t="shared" si="121"/>
        <v>0</v>
      </c>
      <c r="AY81" s="206">
        <f t="shared" si="122"/>
        <v>0</v>
      </c>
      <c r="AZ81" s="206">
        <f t="shared" si="123"/>
        <v>0</v>
      </c>
      <c r="BA81" s="206">
        <f t="shared" si="124"/>
        <v>0</v>
      </c>
      <c r="BB81" s="206">
        <f t="shared" si="125"/>
        <v>0</v>
      </c>
      <c r="BC81" s="206">
        <f t="shared" si="126"/>
        <v>0</v>
      </c>
      <c r="BD81" s="206">
        <f t="shared" si="127"/>
        <v>0</v>
      </c>
      <c r="BE81" s="206">
        <f t="shared" si="128"/>
        <v>0</v>
      </c>
      <c r="BF81" s="206">
        <f t="shared" si="129"/>
        <v>0</v>
      </c>
      <c r="BG81" s="206">
        <f t="shared" si="130"/>
        <v>0</v>
      </c>
      <c r="BH81" s="206">
        <f t="shared" si="131"/>
        <v>0</v>
      </c>
      <c r="BI81" s="206">
        <f t="shared" si="132"/>
        <v>0</v>
      </c>
      <c r="BJ81" s="266">
        <f t="shared" si="133"/>
        <v>0</v>
      </c>
      <c r="BK81" s="266">
        <f t="shared" si="134"/>
        <v>0</v>
      </c>
      <c r="BL81" s="192">
        <f t="shared" si="135"/>
        <v>0</v>
      </c>
      <c r="BM81" s="192">
        <f t="shared" si="136"/>
        <v>0</v>
      </c>
      <c r="BN81" s="192">
        <f t="shared" si="137"/>
        <v>0</v>
      </c>
      <c r="BO81" s="192">
        <f t="shared" si="138"/>
        <v>0</v>
      </c>
      <c r="BP81" s="192">
        <f t="shared" si="139"/>
        <v>0</v>
      </c>
      <c r="BQ81" s="193">
        <f t="shared" si="140"/>
        <v>0</v>
      </c>
      <c r="BR81" s="193">
        <f t="shared" si="141"/>
        <v>0</v>
      </c>
      <c r="BS81" s="265">
        <f t="shared" si="145"/>
        <v>0</v>
      </c>
      <c r="BT81" s="265">
        <f t="shared" si="146"/>
        <v>0</v>
      </c>
      <c r="BU81" s="265">
        <f t="shared" si="147"/>
        <v>0</v>
      </c>
      <c r="BV81" s="265">
        <f t="shared" si="148"/>
        <v>0</v>
      </c>
      <c r="BW81" s="265">
        <f t="shared" si="149"/>
        <v>0</v>
      </c>
      <c r="BX81" s="265">
        <f t="shared" si="150"/>
        <v>0</v>
      </c>
      <c r="BY81" s="265">
        <f t="shared" si="151"/>
        <v>0</v>
      </c>
      <c r="BZ81" s="265">
        <f t="shared" si="152"/>
        <v>0</v>
      </c>
      <c r="CA81" s="265">
        <f t="shared" si="153"/>
        <v>0</v>
      </c>
      <c r="CB81" s="269">
        <f t="shared" si="154"/>
        <v>0</v>
      </c>
      <c r="CC81" s="266">
        <f t="shared" si="155"/>
        <v>0</v>
      </c>
      <c r="CD81" s="241"/>
      <c r="CE81" s="198">
        <f t="shared" si="142"/>
        <v>9.6355817747130661E-11</v>
      </c>
      <c r="CF81" s="198">
        <f t="shared" si="156"/>
        <v>0</v>
      </c>
      <c r="CG81" s="198">
        <f t="shared" si="157"/>
        <v>0</v>
      </c>
      <c r="CH81" s="198">
        <f t="shared" si="158"/>
        <v>0</v>
      </c>
      <c r="CI81" s="198">
        <f t="shared" si="159"/>
        <v>0</v>
      </c>
      <c r="CJ81" s="198">
        <f t="shared" si="160"/>
        <v>0</v>
      </c>
      <c r="CK81" s="198">
        <f t="shared" si="161"/>
        <v>0</v>
      </c>
      <c r="CL81" s="198">
        <f t="shared" si="162"/>
        <v>4.2092998655501133E-13</v>
      </c>
      <c r="CM81" s="271">
        <f t="shared" si="163"/>
        <v>0</v>
      </c>
      <c r="CN81" s="198">
        <f t="shared" si="164"/>
        <v>9.6776747733685671E-11</v>
      </c>
      <c r="CO81" s="209">
        <f t="shared" si="143"/>
        <v>9.6355817747130661E-11</v>
      </c>
    </row>
    <row r="82" spans="2:93" x14ac:dyDescent="0.2">
      <c r="B82" s="221">
        <f>'DATA INPUT - DETAIL'!D73</f>
        <v>0</v>
      </c>
      <c r="C82" s="211">
        <f>'DATA INPUT - DETAIL'!E73</f>
        <v>0</v>
      </c>
      <c r="D82" s="257">
        <f>'DATA INPUT - DETAIL'!I73</f>
        <v>0</v>
      </c>
      <c r="E82" s="258">
        <f>'DATA INPUT - DETAIL'!K73</f>
        <v>0</v>
      </c>
      <c r="F82" s="258">
        <f>'DATA INPUT - DETAIL'!L73</f>
        <v>0</v>
      </c>
      <c r="G82" s="179">
        <f>'DATA INPUT - DETAIL'!M73*(1+$V$5)</f>
        <v>0</v>
      </c>
      <c r="H82" s="179">
        <f>'DATA INPUT - DETAIL'!N73*(1+$V$5)</f>
        <v>0</v>
      </c>
      <c r="I82" s="258">
        <f t="shared" si="100"/>
        <v>0</v>
      </c>
      <c r="J82" s="258">
        <f>'DATA INPUT - DETAIL'!O73</f>
        <v>0</v>
      </c>
      <c r="K82" s="258">
        <f>'DATA INPUT - DETAIL'!P73</f>
        <v>0</v>
      </c>
      <c r="L82" s="267">
        <f>ROUNDDOWN('DATA INPUT - DETAIL'!G73,0)</f>
        <v>0</v>
      </c>
      <c r="M82" s="196">
        <f t="shared" si="144"/>
        <v>0</v>
      </c>
      <c r="N82" s="196">
        <f t="shared" si="101"/>
        <v>0</v>
      </c>
      <c r="O82" s="196">
        <f t="shared" si="102"/>
        <v>0</v>
      </c>
      <c r="P82" s="196">
        <f t="shared" si="103"/>
        <v>0</v>
      </c>
      <c r="Q82" s="196">
        <f t="shared" si="104"/>
        <v>0</v>
      </c>
      <c r="R82" s="196">
        <f t="shared" si="105"/>
        <v>0</v>
      </c>
      <c r="S82" s="196">
        <f t="shared" si="106"/>
        <v>0</v>
      </c>
      <c r="T82" s="196">
        <f t="shared" si="107"/>
        <v>0</v>
      </c>
      <c r="U82" s="185">
        <f>(C82&gt;0)*(C82&lt;$E$5)*VLOOKUP(MPP,ASUMSI!$BN$77:$CR$108,B82+1)*(1+$V$4)</f>
        <v>0</v>
      </c>
      <c r="V82" s="196">
        <f t="shared" si="108"/>
        <v>0</v>
      </c>
      <c r="W82" s="196">
        <f t="shared" si="109"/>
        <v>0</v>
      </c>
      <c r="X82" s="196">
        <f t="shared" si="110"/>
        <v>0</v>
      </c>
      <c r="Y82" s="196">
        <f t="shared" si="111"/>
        <v>0</v>
      </c>
      <c r="Z82" s="196">
        <f t="shared" si="112"/>
        <v>0</v>
      </c>
      <c r="AA82" s="185">
        <f t="shared" si="113"/>
        <v>0</v>
      </c>
      <c r="AB82" s="196">
        <f t="shared" si="114"/>
        <v>0</v>
      </c>
      <c r="AC82" s="196">
        <f t="shared" si="114"/>
        <v>0</v>
      </c>
      <c r="AD82" s="196">
        <f t="shared" si="114"/>
        <v>0</v>
      </c>
      <c r="AE82" s="196">
        <f t="shared" si="115"/>
        <v>0</v>
      </c>
      <c r="AF82" s="196">
        <f t="shared" si="116"/>
        <v>0</v>
      </c>
      <c r="AG82" s="196">
        <f t="shared" si="117"/>
        <v>0</v>
      </c>
      <c r="AH82" s="196">
        <f t="shared" si="118"/>
        <v>0</v>
      </c>
      <c r="AI82" s="266">
        <f>'DATA INPUT - DETAIL'!R73</f>
        <v>0</v>
      </c>
      <c r="AJ82" s="266">
        <f>'DATA INPUT - DETAIL'!S73</f>
        <v>0</v>
      </c>
      <c r="AK82" s="266">
        <f>'DATA INPUT - DETAIL'!T73</f>
        <v>0</v>
      </c>
      <c r="AL82" s="266">
        <f>'DATA INPUT - DETAIL'!U73</f>
        <v>0</v>
      </c>
      <c r="AM82" s="266">
        <f>'DATA INPUT - DETAIL'!V73</f>
        <v>0</v>
      </c>
      <c r="AN82" s="266">
        <f>'DATA INPUT - DETAIL'!W73</f>
        <v>0</v>
      </c>
      <c r="AO82" s="198">
        <f t="shared" si="119"/>
        <v>0</v>
      </c>
      <c r="AP82" s="266">
        <f>'DATA INPUT - DETAIL'!X73</f>
        <v>0</v>
      </c>
      <c r="AQ82" s="266">
        <f>'DATA INPUT - DETAIL'!Y73</f>
        <v>0</v>
      </c>
      <c r="AR82" s="266">
        <f>'DATA INPUT - DETAIL'!Z73</f>
        <v>0</v>
      </c>
      <c r="AS82" s="266">
        <f>'DATA INPUT - DETAIL'!AD73</f>
        <v>0</v>
      </c>
      <c r="AT82" s="266">
        <f t="shared" si="120"/>
        <v>0</v>
      </c>
      <c r="AU82" s="206">
        <f>'DATA INPUT - DETAIL'!AA73</f>
        <v>0</v>
      </c>
      <c r="AV82" s="206">
        <f>'DATA INPUT - DETAIL'!AB73</f>
        <v>0</v>
      </c>
      <c r="AW82" s="206">
        <f>'DATA INPUT - DETAIL'!AC73</f>
        <v>0</v>
      </c>
      <c r="AX82" s="206">
        <f t="shared" si="121"/>
        <v>0</v>
      </c>
      <c r="AY82" s="206">
        <f t="shared" si="122"/>
        <v>0</v>
      </c>
      <c r="AZ82" s="206">
        <f t="shared" si="123"/>
        <v>0</v>
      </c>
      <c r="BA82" s="206">
        <f t="shared" si="124"/>
        <v>0</v>
      </c>
      <c r="BB82" s="206">
        <f t="shared" si="125"/>
        <v>0</v>
      </c>
      <c r="BC82" s="206">
        <f t="shared" si="126"/>
        <v>0</v>
      </c>
      <c r="BD82" s="206">
        <f t="shared" si="127"/>
        <v>0</v>
      </c>
      <c r="BE82" s="206">
        <f t="shared" si="128"/>
        <v>0</v>
      </c>
      <c r="BF82" s="206">
        <f t="shared" si="129"/>
        <v>0</v>
      </c>
      <c r="BG82" s="206">
        <f t="shared" si="130"/>
        <v>0</v>
      </c>
      <c r="BH82" s="206">
        <f t="shared" si="131"/>
        <v>0</v>
      </c>
      <c r="BI82" s="206">
        <f t="shared" si="132"/>
        <v>0</v>
      </c>
      <c r="BJ82" s="266">
        <f t="shared" si="133"/>
        <v>0</v>
      </c>
      <c r="BK82" s="266">
        <f t="shared" si="134"/>
        <v>0</v>
      </c>
      <c r="BL82" s="192">
        <f t="shared" si="135"/>
        <v>0</v>
      </c>
      <c r="BM82" s="192">
        <f t="shared" si="136"/>
        <v>0</v>
      </c>
      <c r="BN82" s="192">
        <f t="shared" si="137"/>
        <v>0</v>
      </c>
      <c r="BO82" s="192">
        <f t="shared" si="138"/>
        <v>0</v>
      </c>
      <c r="BP82" s="192">
        <f t="shared" si="139"/>
        <v>0</v>
      </c>
      <c r="BQ82" s="193">
        <f t="shared" si="140"/>
        <v>0</v>
      </c>
      <c r="BR82" s="193">
        <f t="shared" si="141"/>
        <v>0</v>
      </c>
      <c r="BS82" s="265">
        <f t="shared" si="145"/>
        <v>0</v>
      </c>
      <c r="BT82" s="265">
        <f t="shared" si="146"/>
        <v>0</v>
      </c>
      <c r="BU82" s="265">
        <f t="shared" si="147"/>
        <v>0</v>
      </c>
      <c r="BV82" s="265">
        <f t="shared" si="148"/>
        <v>0</v>
      </c>
      <c r="BW82" s="265">
        <f t="shared" si="149"/>
        <v>0</v>
      </c>
      <c r="BX82" s="265">
        <f t="shared" si="150"/>
        <v>0</v>
      </c>
      <c r="BY82" s="265">
        <f t="shared" si="151"/>
        <v>0</v>
      </c>
      <c r="BZ82" s="265">
        <f t="shared" si="152"/>
        <v>0</v>
      </c>
      <c r="CA82" s="265">
        <f t="shared" si="153"/>
        <v>0</v>
      </c>
      <c r="CB82" s="269">
        <f t="shared" si="154"/>
        <v>0</v>
      </c>
      <c r="CC82" s="266">
        <f t="shared" si="155"/>
        <v>0</v>
      </c>
      <c r="CD82" s="241"/>
      <c r="CE82" s="198">
        <f t="shared" si="142"/>
        <v>9.6776747733685671E-11</v>
      </c>
      <c r="CF82" s="198">
        <f t="shared" si="156"/>
        <v>0</v>
      </c>
      <c r="CG82" s="198">
        <f t="shared" si="157"/>
        <v>0</v>
      </c>
      <c r="CH82" s="198">
        <f t="shared" si="158"/>
        <v>0</v>
      </c>
      <c r="CI82" s="198">
        <f t="shared" si="159"/>
        <v>0</v>
      </c>
      <c r="CJ82" s="198">
        <f t="shared" si="160"/>
        <v>0</v>
      </c>
      <c r="CK82" s="198">
        <f t="shared" si="161"/>
        <v>0</v>
      </c>
      <c r="CL82" s="198">
        <f t="shared" si="162"/>
        <v>4.2276881743957905E-13</v>
      </c>
      <c r="CM82" s="271">
        <f t="shared" si="163"/>
        <v>0</v>
      </c>
      <c r="CN82" s="198">
        <f t="shared" si="164"/>
        <v>9.7199516551125255E-11</v>
      </c>
      <c r="CO82" s="209">
        <f t="shared" si="143"/>
        <v>9.6776747733685671E-11</v>
      </c>
    </row>
    <row r="83" spans="2:93" x14ac:dyDescent="0.2">
      <c r="B83" s="221">
        <f>'DATA INPUT - DETAIL'!D74</f>
        <v>0</v>
      </c>
      <c r="C83" s="211">
        <f>'DATA INPUT - DETAIL'!E74</f>
        <v>0</v>
      </c>
      <c r="D83" s="257">
        <f>'DATA INPUT - DETAIL'!I74</f>
        <v>0</v>
      </c>
      <c r="E83" s="258">
        <f>'DATA INPUT - DETAIL'!K74</f>
        <v>0</v>
      </c>
      <c r="F83" s="258">
        <f>'DATA INPUT - DETAIL'!L74</f>
        <v>0</v>
      </c>
      <c r="G83" s="179">
        <f>'DATA INPUT - DETAIL'!M74*(1+$V$5)</f>
        <v>0</v>
      </c>
      <c r="H83" s="179">
        <f>'DATA INPUT - DETAIL'!N74*(1+$V$5)</f>
        <v>0</v>
      </c>
      <c r="I83" s="258">
        <f t="shared" si="100"/>
        <v>0</v>
      </c>
      <c r="J83" s="258">
        <f>'DATA INPUT - DETAIL'!O74</f>
        <v>0</v>
      </c>
      <c r="K83" s="258">
        <f>'DATA INPUT - DETAIL'!P74</f>
        <v>0</v>
      </c>
      <c r="L83" s="267">
        <f>ROUNDDOWN('DATA INPUT - DETAIL'!G74,0)</f>
        <v>0</v>
      </c>
      <c r="M83" s="196">
        <f t="shared" si="144"/>
        <v>0</v>
      </c>
      <c r="N83" s="196">
        <f t="shared" si="101"/>
        <v>0</v>
      </c>
      <c r="O83" s="196">
        <f t="shared" si="102"/>
        <v>0</v>
      </c>
      <c r="P83" s="196">
        <f t="shared" si="103"/>
        <v>0</v>
      </c>
      <c r="Q83" s="196">
        <f t="shared" si="104"/>
        <v>0</v>
      </c>
      <c r="R83" s="196">
        <f t="shared" si="105"/>
        <v>0</v>
      </c>
      <c r="S83" s="196">
        <f t="shared" si="106"/>
        <v>0</v>
      </c>
      <c r="T83" s="196">
        <f t="shared" si="107"/>
        <v>0</v>
      </c>
      <c r="U83" s="185">
        <f>(C83&gt;0)*(C83&lt;$E$5)*VLOOKUP(MPP,ASUMSI!$BN$77:$CR$108,B83+1)*(1+$V$4)</f>
        <v>0</v>
      </c>
      <c r="V83" s="196">
        <f t="shared" si="108"/>
        <v>0</v>
      </c>
      <c r="W83" s="196">
        <f t="shared" si="109"/>
        <v>0</v>
      </c>
      <c r="X83" s="196">
        <f t="shared" si="110"/>
        <v>0</v>
      </c>
      <c r="Y83" s="196">
        <f t="shared" si="111"/>
        <v>0</v>
      </c>
      <c r="Z83" s="196">
        <f t="shared" si="112"/>
        <v>0</v>
      </c>
      <c r="AA83" s="185">
        <f t="shared" si="113"/>
        <v>0</v>
      </c>
      <c r="AB83" s="196">
        <f t="shared" si="114"/>
        <v>0</v>
      </c>
      <c r="AC83" s="196">
        <f t="shared" si="114"/>
        <v>0</v>
      </c>
      <c r="AD83" s="196">
        <f t="shared" si="114"/>
        <v>0</v>
      </c>
      <c r="AE83" s="196">
        <f t="shared" si="115"/>
        <v>0</v>
      </c>
      <c r="AF83" s="196">
        <f t="shared" si="116"/>
        <v>0</v>
      </c>
      <c r="AG83" s="196">
        <f t="shared" si="117"/>
        <v>0</v>
      </c>
      <c r="AH83" s="196">
        <f t="shared" si="118"/>
        <v>0</v>
      </c>
      <c r="AI83" s="266">
        <f>'DATA INPUT - DETAIL'!R74</f>
        <v>0</v>
      </c>
      <c r="AJ83" s="266">
        <f>'DATA INPUT - DETAIL'!S74</f>
        <v>0</v>
      </c>
      <c r="AK83" s="266">
        <f>'DATA INPUT - DETAIL'!T74</f>
        <v>0</v>
      </c>
      <c r="AL83" s="266">
        <f>'DATA INPUT - DETAIL'!U74</f>
        <v>0</v>
      </c>
      <c r="AM83" s="266">
        <f>'DATA INPUT - DETAIL'!V74</f>
        <v>0</v>
      </c>
      <c r="AN83" s="266">
        <f>'DATA INPUT - DETAIL'!W74</f>
        <v>0</v>
      </c>
      <c r="AO83" s="198">
        <f t="shared" si="119"/>
        <v>0</v>
      </c>
      <c r="AP83" s="266">
        <f>'DATA INPUT - DETAIL'!X74</f>
        <v>0</v>
      </c>
      <c r="AQ83" s="266">
        <f>'DATA INPUT - DETAIL'!Y74</f>
        <v>0</v>
      </c>
      <c r="AR83" s="266">
        <f>'DATA INPUT - DETAIL'!Z74</f>
        <v>0</v>
      </c>
      <c r="AS83" s="266">
        <f>'DATA INPUT - DETAIL'!AD74</f>
        <v>0</v>
      </c>
      <c r="AT83" s="266">
        <f t="shared" si="120"/>
        <v>0</v>
      </c>
      <c r="AU83" s="206">
        <f>'DATA INPUT - DETAIL'!AA74</f>
        <v>0</v>
      </c>
      <c r="AV83" s="206">
        <f>'DATA INPUT - DETAIL'!AB74</f>
        <v>0</v>
      </c>
      <c r="AW83" s="206">
        <f>'DATA INPUT - DETAIL'!AC74</f>
        <v>0</v>
      </c>
      <c r="AX83" s="206">
        <f t="shared" si="121"/>
        <v>0</v>
      </c>
      <c r="AY83" s="206">
        <f t="shared" si="122"/>
        <v>0</v>
      </c>
      <c r="AZ83" s="206">
        <f t="shared" si="123"/>
        <v>0</v>
      </c>
      <c r="BA83" s="206">
        <f t="shared" si="124"/>
        <v>0</v>
      </c>
      <c r="BB83" s="206">
        <f t="shared" si="125"/>
        <v>0</v>
      </c>
      <c r="BC83" s="206">
        <f t="shared" si="126"/>
        <v>0</v>
      </c>
      <c r="BD83" s="206">
        <f t="shared" si="127"/>
        <v>0</v>
      </c>
      <c r="BE83" s="206">
        <f t="shared" si="128"/>
        <v>0</v>
      </c>
      <c r="BF83" s="206">
        <f t="shared" si="129"/>
        <v>0</v>
      </c>
      <c r="BG83" s="206">
        <f t="shared" si="130"/>
        <v>0</v>
      </c>
      <c r="BH83" s="206">
        <f t="shared" si="131"/>
        <v>0</v>
      </c>
      <c r="BI83" s="206">
        <f t="shared" si="132"/>
        <v>0</v>
      </c>
      <c r="BJ83" s="266">
        <f t="shared" si="133"/>
        <v>0</v>
      </c>
      <c r="BK83" s="266">
        <f t="shared" si="134"/>
        <v>0</v>
      </c>
      <c r="BL83" s="192">
        <f t="shared" si="135"/>
        <v>0</v>
      </c>
      <c r="BM83" s="192">
        <f t="shared" si="136"/>
        <v>0</v>
      </c>
      <c r="BN83" s="192">
        <f t="shared" si="137"/>
        <v>0</v>
      </c>
      <c r="BO83" s="192">
        <f t="shared" si="138"/>
        <v>0</v>
      </c>
      <c r="BP83" s="192">
        <f t="shared" si="139"/>
        <v>0</v>
      </c>
      <c r="BQ83" s="193">
        <f t="shared" si="140"/>
        <v>0</v>
      </c>
      <c r="BR83" s="193">
        <f t="shared" si="141"/>
        <v>0</v>
      </c>
      <c r="BS83" s="265">
        <f t="shared" si="145"/>
        <v>0</v>
      </c>
      <c r="BT83" s="265">
        <f t="shared" si="146"/>
        <v>0</v>
      </c>
      <c r="BU83" s="265">
        <f t="shared" si="147"/>
        <v>0</v>
      </c>
      <c r="BV83" s="265">
        <f t="shared" si="148"/>
        <v>0</v>
      </c>
      <c r="BW83" s="265">
        <f t="shared" si="149"/>
        <v>0</v>
      </c>
      <c r="BX83" s="265">
        <f t="shared" si="150"/>
        <v>0</v>
      </c>
      <c r="BY83" s="265">
        <f t="shared" si="151"/>
        <v>0</v>
      </c>
      <c r="BZ83" s="265">
        <f t="shared" si="152"/>
        <v>0</v>
      </c>
      <c r="CA83" s="265">
        <f t="shared" si="153"/>
        <v>0</v>
      </c>
      <c r="CB83" s="269">
        <f t="shared" si="154"/>
        <v>0</v>
      </c>
      <c r="CC83" s="266">
        <f t="shared" si="155"/>
        <v>0</v>
      </c>
      <c r="CD83" s="241"/>
      <c r="CE83" s="198">
        <f t="shared" si="142"/>
        <v>9.7199516551125255E-11</v>
      </c>
      <c r="CF83" s="198">
        <f t="shared" si="156"/>
        <v>0</v>
      </c>
      <c r="CG83" s="198">
        <f t="shared" si="157"/>
        <v>0</v>
      </c>
      <c r="CH83" s="198">
        <f t="shared" si="158"/>
        <v>0</v>
      </c>
      <c r="CI83" s="198">
        <f t="shared" si="159"/>
        <v>0</v>
      </c>
      <c r="CJ83" s="198">
        <f t="shared" si="160"/>
        <v>0</v>
      </c>
      <c r="CK83" s="198">
        <f t="shared" si="161"/>
        <v>0</v>
      </c>
      <c r="CL83" s="198">
        <f t="shared" si="162"/>
        <v>4.2461568124917004E-13</v>
      </c>
      <c r="CM83" s="271">
        <f t="shared" si="163"/>
        <v>0</v>
      </c>
      <c r="CN83" s="198">
        <f t="shared" si="164"/>
        <v>9.7624132232374423E-11</v>
      </c>
      <c r="CO83" s="209">
        <f t="shared" si="143"/>
        <v>9.7199516551125255E-11</v>
      </c>
    </row>
    <row r="84" spans="2:93" x14ac:dyDescent="0.2">
      <c r="B84" s="221">
        <f>'DATA INPUT - DETAIL'!D75</f>
        <v>0</v>
      </c>
      <c r="C84" s="211">
        <f>'DATA INPUT - DETAIL'!E75</f>
        <v>0</v>
      </c>
      <c r="D84" s="257">
        <f>'DATA INPUT - DETAIL'!I75</f>
        <v>0</v>
      </c>
      <c r="E84" s="258">
        <f>'DATA INPUT - DETAIL'!K75</f>
        <v>0</v>
      </c>
      <c r="F84" s="258">
        <f>'DATA INPUT - DETAIL'!L75</f>
        <v>0</v>
      </c>
      <c r="G84" s="179">
        <f>'DATA INPUT - DETAIL'!M75*(1+$V$5)</f>
        <v>0</v>
      </c>
      <c r="H84" s="179">
        <f>'DATA INPUT - DETAIL'!N75*(1+$V$5)</f>
        <v>0</v>
      </c>
      <c r="I84" s="258">
        <f t="shared" si="100"/>
        <v>0</v>
      </c>
      <c r="J84" s="258">
        <f>'DATA INPUT - DETAIL'!O75</f>
        <v>0</v>
      </c>
      <c r="K84" s="258">
        <f>'DATA INPUT - DETAIL'!P75</f>
        <v>0</v>
      </c>
      <c r="L84" s="267">
        <f>ROUNDDOWN('DATA INPUT - DETAIL'!G75,0)</f>
        <v>0</v>
      </c>
      <c r="M84" s="196">
        <f t="shared" si="144"/>
        <v>0</v>
      </c>
      <c r="N84" s="196">
        <f t="shared" si="101"/>
        <v>0</v>
      </c>
      <c r="O84" s="196">
        <f t="shared" si="102"/>
        <v>0</v>
      </c>
      <c r="P84" s="196">
        <f t="shared" si="103"/>
        <v>0</v>
      </c>
      <c r="Q84" s="196">
        <f t="shared" si="104"/>
        <v>0</v>
      </c>
      <c r="R84" s="196">
        <f t="shared" si="105"/>
        <v>0</v>
      </c>
      <c r="S84" s="196">
        <f t="shared" si="106"/>
        <v>0</v>
      </c>
      <c r="T84" s="196">
        <f t="shared" si="107"/>
        <v>0</v>
      </c>
      <c r="U84" s="185">
        <f>(C84&gt;0)*(C84&lt;$E$5)*VLOOKUP(MPP,ASUMSI!$BN$77:$CR$108,B84+1)*(1+$V$4)</f>
        <v>0</v>
      </c>
      <c r="V84" s="196">
        <f t="shared" si="108"/>
        <v>0</v>
      </c>
      <c r="W84" s="196">
        <f t="shared" si="109"/>
        <v>0</v>
      </c>
      <c r="X84" s="196">
        <f t="shared" si="110"/>
        <v>0</v>
      </c>
      <c r="Y84" s="196">
        <f t="shared" si="111"/>
        <v>0</v>
      </c>
      <c r="Z84" s="196">
        <f t="shared" si="112"/>
        <v>0</v>
      </c>
      <c r="AA84" s="185">
        <f t="shared" si="113"/>
        <v>0</v>
      </c>
      <c r="AB84" s="196">
        <f t="shared" si="114"/>
        <v>0</v>
      </c>
      <c r="AC84" s="196">
        <f t="shared" si="114"/>
        <v>0</v>
      </c>
      <c r="AD84" s="196">
        <f t="shared" si="114"/>
        <v>0</v>
      </c>
      <c r="AE84" s="196">
        <f t="shared" si="115"/>
        <v>0</v>
      </c>
      <c r="AF84" s="196">
        <f t="shared" si="116"/>
        <v>0</v>
      </c>
      <c r="AG84" s="196">
        <f t="shared" si="117"/>
        <v>0</v>
      </c>
      <c r="AH84" s="196">
        <f t="shared" si="118"/>
        <v>0</v>
      </c>
      <c r="AI84" s="266">
        <f>'DATA INPUT - DETAIL'!R75</f>
        <v>0</v>
      </c>
      <c r="AJ84" s="266">
        <f>'DATA INPUT - DETAIL'!S75</f>
        <v>0</v>
      </c>
      <c r="AK84" s="266">
        <f>'DATA INPUT - DETAIL'!T75</f>
        <v>0</v>
      </c>
      <c r="AL84" s="266">
        <f>'DATA INPUT - DETAIL'!U75</f>
        <v>0</v>
      </c>
      <c r="AM84" s="266">
        <f>'DATA INPUT - DETAIL'!V75</f>
        <v>0</v>
      </c>
      <c r="AN84" s="266">
        <f>'DATA INPUT - DETAIL'!W75</f>
        <v>0</v>
      </c>
      <c r="AO84" s="198">
        <f t="shared" si="119"/>
        <v>0</v>
      </c>
      <c r="AP84" s="266">
        <f>'DATA INPUT - DETAIL'!X75</f>
        <v>0</v>
      </c>
      <c r="AQ84" s="266">
        <f>'DATA INPUT - DETAIL'!Y75</f>
        <v>0</v>
      </c>
      <c r="AR84" s="266">
        <f>'DATA INPUT - DETAIL'!Z75</f>
        <v>0</v>
      </c>
      <c r="AS84" s="266">
        <f>'DATA INPUT - DETAIL'!AD75</f>
        <v>0</v>
      </c>
      <c r="AT84" s="266">
        <f t="shared" si="120"/>
        <v>0</v>
      </c>
      <c r="AU84" s="206">
        <f>'DATA INPUT - DETAIL'!AA75</f>
        <v>0</v>
      </c>
      <c r="AV84" s="206">
        <f>'DATA INPUT - DETAIL'!AB75</f>
        <v>0</v>
      </c>
      <c r="AW84" s="206">
        <f>'DATA INPUT - DETAIL'!AC75</f>
        <v>0</v>
      </c>
      <c r="AX84" s="206">
        <f t="shared" si="121"/>
        <v>0</v>
      </c>
      <c r="AY84" s="206">
        <f t="shared" si="122"/>
        <v>0</v>
      </c>
      <c r="AZ84" s="206">
        <f t="shared" si="123"/>
        <v>0</v>
      </c>
      <c r="BA84" s="206">
        <f t="shared" si="124"/>
        <v>0</v>
      </c>
      <c r="BB84" s="206">
        <f t="shared" si="125"/>
        <v>0</v>
      </c>
      <c r="BC84" s="206">
        <f t="shared" si="126"/>
        <v>0</v>
      </c>
      <c r="BD84" s="206">
        <f t="shared" si="127"/>
        <v>0</v>
      </c>
      <c r="BE84" s="206">
        <f t="shared" si="128"/>
        <v>0</v>
      </c>
      <c r="BF84" s="206">
        <f t="shared" si="129"/>
        <v>0</v>
      </c>
      <c r="BG84" s="206">
        <f t="shared" si="130"/>
        <v>0</v>
      </c>
      <c r="BH84" s="206">
        <f t="shared" si="131"/>
        <v>0</v>
      </c>
      <c r="BI84" s="206">
        <f t="shared" si="132"/>
        <v>0</v>
      </c>
      <c r="BJ84" s="266">
        <f t="shared" si="133"/>
        <v>0</v>
      </c>
      <c r="BK84" s="266">
        <f t="shared" si="134"/>
        <v>0</v>
      </c>
      <c r="BL84" s="192">
        <f t="shared" si="135"/>
        <v>0</v>
      </c>
      <c r="BM84" s="192">
        <f t="shared" si="136"/>
        <v>0</v>
      </c>
      <c r="BN84" s="192">
        <f t="shared" si="137"/>
        <v>0</v>
      </c>
      <c r="BO84" s="192">
        <f t="shared" si="138"/>
        <v>0</v>
      </c>
      <c r="BP84" s="192">
        <f t="shared" si="139"/>
        <v>0</v>
      </c>
      <c r="BQ84" s="193">
        <f t="shared" si="140"/>
        <v>0</v>
      </c>
      <c r="BR84" s="193">
        <f t="shared" si="141"/>
        <v>0</v>
      </c>
      <c r="BS84" s="265">
        <f t="shared" si="145"/>
        <v>0</v>
      </c>
      <c r="BT84" s="265">
        <f t="shared" si="146"/>
        <v>0</v>
      </c>
      <c r="BU84" s="265">
        <f t="shared" si="147"/>
        <v>0</v>
      </c>
      <c r="BV84" s="265">
        <f t="shared" si="148"/>
        <v>0</v>
      </c>
      <c r="BW84" s="265">
        <f t="shared" si="149"/>
        <v>0</v>
      </c>
      <c r="BX84" s="265">
        <f t="shared" si="150"/>
        <v>0</v>
      </c>
      <c r="BY84" s="265">
        <f t="shared" si="151"/>
        <v>0</v>
      </c>
      <c r="BZ84" s="265">
        <f t="shared" si="152"/>
        <v>0</v>
      </c>
      <c r="CA84" s="265">
        <f t="shared" si="153"/>
        <v>0</v>
      </c>
      <c r="CB84" s="269">
        <f t="shared" si="154"/>
        <v>0</v>
      </c>
      <c r="CC84" s="266">
        <f t="shared" si="155"/>
        <v>0</v>
      </c>
      <c r="CD84" s="241"/>
      <c r="CE84" s="198">
        <f t="shared" si="142"/>
        <v>9.7624132232374423E-11</v>
      </c>
      <c r="CF84" s="198">
        <f t="shared" si="156"/>
        <v>0</v>
      </c>
      <c r="CG84" s="198">
        <f t="shared" si="157"/>
        <v>0</v>
      </c>
      <c r="CH84" s="198">
        <f t="shared" si="158"/>
        <v>0</v>
      </c>
      <c r="CI84" s="198">
        <f t="shared" si="159"/>
        <v>0</v>
      </c>
      <c r="CJ84" s="198">
        <f t="shared" si="160"/>
        <v>0</v>
      </c>
      <c r="CK84" s="198">
        <f t="shared" si="161"/>
        <v>0</v>
      </c>
      <c r="CL84" s="198">
        <f t="shared" si="162"/>
        <v>4.2647061307558361E-13</v>
      </c>
      <c r="CM84" s="271">
        <f t="shared" si="163"/>
        <v>0</v>
      </c>
      <c r="CN84" s="198">
        <f t="shared" si="164"/>
        <v>9.8050602845450006E-11</v>
      </c>
      <c r="CO84" s="209">
        <f t="shared" si="143"/>
        <v>9.7624132232374423E-11</v>
      </c>
    </row>
    <row r="85" spans="2:93" x14ac:dyDescent="0.2">
      <c r="B85" s="221">
        <f>'DATA INPUT - DETAIL'!D76</f>
        <v>0</v>
      </c>
      <c r="C85" s="211">
        <f>'DATA INPUT - DETAIL'!E76</f>
        <v>0</v>
      </c>
      <c r="D85" s="257">
        <f>'DATA INPUT - DETAIL'!I76</f>
        <v>0</v>
      </c>
      <c r="E85" s="258">
        <f>'DATA INPUT - DETAIL'!K76</f>
        <v>0</v>
      </c>
      <c r="F85" s="258">
        <f>'DATA INPUT - DETAIL'!L76</f>
        <v>0</v>
      </c>
      <c r="G85" s="179">
        <f>'DATA INPUT - DETAIL'!M76*(1+$V$5)</f>
        <v>0</v>
      </c>
      <c r="H85" s="179">
        <f>'DATA INPUT - DETAIL'!N76*(1+$V$5)</f>
        <v>0</v>
      </c>
      <c r="I85" s="258">
        <f t="shared" si="100"/>
        <v>0</v>
      </c>
      <c r="J85" s="258">
        <f>'DATA INPUT - DETAIL'!O76</f>
        <v>0</v>
      </c>
      <c r="K85" s="258">
        <f>'DATA INPUT - DETAIL'!P76</f>
        <v>0</v>
      </c>
      <c r="L85" s="267">
        <f>ROUNDDOWN('DATA INPUT - DETAIL'!G76,0)</f>
        <v>0</v>
      </c>
      <c r="M85" s="196">
        <f t="shared" si="144"/>
        <v>0</v>
      </c>
      <c r="N85" s="196">
        <f t="shared" si="101"/>
        <v>0</v>
      </c>
      <c r="O85" s="196">
        <f t="shared" si="102"/>
        <v>0</v>
      </c>
      <c r="P85" s="196">
        <f t="shared" si="103"/>
        <v>0</v>
      </c>
      <c r="Q85" s="196">
        <f t="shared" si="104"/>
        <v>0</v>
      </c>
      <c r="R85" s="196">
        <f t="shared" si="105"/>
        <v>0</v>
      </c>
      <c r="S85" s="196">
        <f t="shared" si="106"/>
        <v>0</v>
      </c>
      <c r="T85" s="196">
        <f t="shared" si="107"/>
        <v>0</v>
      </c>
      <c r="U85" s="185">
        <f>(C85&gt;0)*(C85&lt;$E$5)*VLOOKUP(MPP,ASUMSI!$BN$77:$CR$108,B85+1)*(1+$V$4)</f>
        <v>0</v>
      </c>
      <c r="V85" s="196">
        <f t="shared" si="108"/>
        <v>0</v>
      </c>
      <c r="W85" s="196">
        <f t="shared" si="109"/>
        <v>0</v>
      </c>
      <c r="X85" s="196">
        <f t="shared" si="110"/>
        <v>0</v>
      </c>
      <c r="Y85" s="196">
        <f t="shared" si="111"/>
        <v>0</v>
      </c>
      <c r="Z85" s="196">
        <f t="shared" si="112"/>
        <v>0</v>
      </c>
      <c r="AA85" s="185">
        <f t="shared" si="113"/>
        <v>0</v>
      </c>
      <c r="AB85" s="196">
        <f t="shared" si="114"/>
        <v>0</v>
      </c>
      <c r="AC85" s="196">
        <f t="shared" si="114"/>
        <v>0</v>
      </c>
      <c r="AD85" s="196">
        <f t="shared" si="114"/>
        <v>0</v>
      </c>
      <c r="AE85" s="196">
        <f t="shared" si="115"/>
        <v>0</v>
      </c>
      <c r="AF85" s="196">
        <f t="shared" si="116"/>
        <v>0</v>
      </c>
      <c r="AG85" s="196">
        <f t="shared" si="117"/>
        <v>0</v>
      </c>
      <c r="AH85" s="196">
        <f t="shared" si="118"/>
        <v>0</v>
      </c>
      <c r="AI85" s="266">
        <f>'DATA INPUT - DETAIL'!R76</f>
        <v>0</v>
      </c>
      <c r="AJ85" s="266">
        <f>'DATA INPUT - DETAIL'!S76</f>
        <v>0</v>
      </c>
      <c r="AK85" s="266">
        <f>'DATA INPUT - DETAIL'!T76</f>
        <v>0</v>
      </c>
      <c r="AL85" s="266">
        <f>'DATA INPUT - DETAIL'!U76</f>
        <v>0</v>
      </c>
      <c r="AM85" s="266">
        <f>'DATA INPUT - DETAIL'!V76</f>
        <v>0</v>
      </c>
      <c r="AN85" s="266">
        <f>'DATA INPUT - DETAIL'!W76</f>
        <v>0</v>
      </c>
      <c r="AO85" s="198">
        <f t="shared" si="119"/>
        <v>0</v>
      </c>
      <c r="AP85" s="266">
        <f>'DATA INPUT - DETAIL'!X76</f>
        <v>0</v>
      </c>
      <c r="AQ85" s="266">
        <f>'DATA INPUT - DETAIL'!Y76</f>
        <v>0</v>
      </c>
      <c r="AR85" s="266">
        <f>'DATA INPUT - DETAIL'!Z76</f>
        <v>0</v>
      </c>
      <c r="AS85" s="266">
        <f>'DATA INPUT - DETAIL'!AD76</f>
        <v>0</v>
      </c>
      <c r="AT85" s="266">
        <f t="shared" si="120"/>
        <v>0</v>
      </c>
      <c r="AU85" s="206">
        <f>'DATA INPUT - DETAIL'!AA76</f>
        <v>0</v>
      </c>
      <c r="AV85" s="206">
        <f>'DATA INPUT - DETAIL'!AB76</f>
        <v>0</v>
      </c>
      <c r="AW85" s="206">
        <f>'DATA INPUT - DETAIL'!AC76</f>
        <v>0</v>
      </c>
      <c r="AX85" s="206">
        <f t="shared" si="121"/>
        <v>0</v>
      </c>
      <c r="AY85" s="206">
        <f t="shared" si="122"/>
        <v>0</v>
      </c>
      <c r="AZ85" s="206">
        <f t="shared" si="123"/>
        <v>0</v>
      </c>
      <c r="BA85" s="206">
        <f t="shared" si="124"/>
        <v>0</v>
      </c>
      <c r="BB85" s="206">
        <f t="shared" si="125"/>
        <v>0</v>
      </c>
      <c r="BC85" s="206">
        <f t="shared" si="126"/>
        <v>0</v>
      </c>
      <c r="BD85" s="206">
        <f t="shared" si="127"/>
        <v>0</v>
      </c>
      <c r="BE85" s="206">
        <f t="shared" si="128"/>
        <v>0</v>
      </c>
      <c r="BF85" s="206">
        <f t="shared" si="129"/>
        <v>0</v>
      </c>
      <c r="BG85" s="206">
        <f t="shared" si="130"/>
        <v>0</v>
      </c>
      <c r="BH85" s="206">
        <f t="shared" si="131"/>
        <v>0</v>
      </c>
      <c r="BI85" s="206">
        <f t="shared" si="132"/>
        <v>0</v>
      </c>
      <c r="BJ85" s="266">
        <f t="shared" si="133"/>
        <v>0</v>
      </c>
      <c r="BK85" s="266">
        <f t="shared" si="134"/>
        <v>0</v>
      </c>
      <c r="BL85" s="192">
        <f t="shared" si="135"/>
        <v>0</v>
      </c>
      <c r="BM85" s="192">
        <f t="shared" si="136"/>
        <v>0</v>
      </c>
      <c r="BN85" s="192">
        <f t="shared" si="137"/>
        <v>0</v>
      </c>
      <c r="BO85" s="192">
        <f t="shared" si="138"/>
        <v>0</v>
      </c>
      <c r="BP85" s="192">
        <f t="shared" si="139"/>
        <v>0</v>
      </c>
      <c r="BQ85" s="193">
        <f t="shared" si="140"/>
        <v>0</v>
      </c>
      <c r="BR85" s="193">
        <f t="shared" si="141"/>
        <v>0</v>
      </c>
      <c r="BS85" s="265">
        <f t="shared" si="145"/>
        <v>0</v>
      </c>
      <c r="BT85" s="265">
        <f t="shared" si="146"/>
        <v>0</v>
      </c>
      <c r="BU85" s="265">
        <f t="shared" si="147"/>
        <v>0</v>
      </c>
      <c r="BV85" s="265">
        <f t="shared" si="148"/>
        <v>0</v>
      </c>
      <c r="BW85" s="265">
        <f t="shared" si="149"/>
        <v>0</v>
      </c>
      <c r="BX85" s="265">
        <f t="shared" si="150"/>
        <v>0</v>
      </c>
      <c r="BY85" s="265">
        <f t="shared" si="151"/>
        <v>0</v>
      </c>
      <c r="BZ85" s="265">
        <f t="shared" si="152"/>
        <v>0</v>
      </c>
      <c r="CA85" s="265">
        <f t="shared" si="153"/>
        <v>0</v>
      </c>
      <c r="CB85" s="269">
        <f t="shared" si="154"/>
        <v>0</v>
      </c>
      <c r="CC85" s="266">
        <f t="shared" si="155"/>
        <v>0</v>
      </c>
      <c r="CD85" s="241"/>
      <c r="CE85" s="198">
        <f t="shared" si="142"/>
        <v>9.8050602845450006E-11</v>
      </c>
      <c r="CF85" s="198">
        <f t="shared" si="156"/>
        <v>0</v>
      </c>
      <c r="CG85" s="198">
        <f t="shared" si="157"/>
        <v>0</v>
      </c>
      <c r="CH85" s="198">
        <f t="shared" si="158"/>
        <v>0</v>
      </c>
      <c r="CI85" s="198">
        <f t="shared" si="159"/>
        <v>0</v>
      </c>
      <c r="CJ85" s="198">
        <f t="shared" si="160"/>
        <v>0</v>
      </c>
      <c r="CK85" s="198">
        <f t="shared" si="161"/>
        <v>0</v>
      </c>
      <c r="CL85" s="198">
        <f t="shared" si="162"/>
        <v>4.2833364816391752E-13</v>
      </c>
      <c r="CM85" s="271">
        <f t="shared" si="163"/>
        <v>0</v>
      </c>
      <c r="CN85" s="198">
        <f t="shared" si="164"/>
        <v>9.8478936493613929E-11</v>
      </c>
      <c r="CO85" s="209">
        <f t="shared" si="143"/>
        <v>9.8050602845450006E-11</v>
      </c>
    </row>
    <row r="86" spans="2:93" x14ac:dyDescent="0.2">
      <c r="B86" s="221">
        <f>'DATA INPUT - DETAIL'!D77</f>
        <v>0</v>
      </c>
      <c r="C86" s="211">
        <f>'DATA INPUT - DETAIL'!E77</f>
        <v>0</v>
      </c>
      <c r="D86" s="257">
        <f>'DATA INPUT - DETAIL'!I77</f>
        <v>0</v>
      </c>
      <c r="E86" s="258">
        <f>'DATA INPUT - DETAIL'!K77</f>
        <v>0</v>
      </c>
      <c r="F86" s="258">
        <f>'DATA INPUT - DETAIL'!L77</f>
        <v>0</v>
      </c>
      <c r="G86" s="179">
        <f>'DATA INPUT - DETAIL'!M77*(1+$V$5)</f>
        <v>0</v>
      </c>
      <c r="H86" s="179">
        <f>'DATA INPUT - DETAIL'!N77*(1+$V$5)</f>
        <v>0</v>
      </c>
      <c r="I86" s="258">
        <f t="shared" si="100"/>
        <v>0</v>
      </c>
      <c r="J86" s="258">
        <f>'DATA INPUT - DETAIL'!O77</f>
        <v>0</v>
      </c>
      <c r="K86" s="258">
        <f>'DATA INPUT - DETAIL'!P77</f>
        <v>0</v>
      </c>
      <c r="L86" s="267">
        <f>ROUNDDOWN('DATA INPUT - DETAIL'!G77,0)</f>
        <v>0</v>
      </c>
      <c r="M86" s="196">
        <f t="shared" si="144"/>
        <v>0</v>
      </c>
      <c r="N86" s="196">
        <f t="shared" si="101"/>
        <v>0</v>
      </c>
      <c r="O86" s="196">
        <f t="shared" si="102"/>
        <v>0</v>
      </c>
      <c r="P86" s="196">
        <f t="shared" si="103"/>
        <v>0</v>
      </c>
      <c r="Q86" s="196">
        <f t="shared" si="104"/>
        <v>0</v>
      </c>
      <c r="R86" s="196">
        <f t="shared" si="105"/>
        <v>0</v>
      </c>
      <c r="S86" s="196">
        <f t="shared" si="106"/>
        <v>0</v>
      </c>
      <c r="T86" s="196">
        <f t="shared" si="107"/>
        <v>0</v>
      </c>
      <c r="U86" s="185">
        <f>(C86&gt;0)*(C86&lt;$E$5)*VLOOKUP(MPP,ASUMSI!$BN$77:$CR$108,B86+1)*(1+$V$4)</f>
        <v>0</v>
      </c>
      <c r="V86" s="196">
        <f t="shared" si="108"/>
        <v>0</v>
      </c>
      <c r="W86" s="196">
        <f t="shared" si="109"/>
        <v>0</v>
      </c>
      <c r="X86" s="196">
        <f t="shared" si="110"/>
        <v>0</v>
      </c>
      <c r="Y86" s="196">
        <f t="shared" si="111"/>
        <v>0</v>
      </c>
      <c r="Z86" s="196">
        <f t="shared" si="112"/>
        <v>0</v>
      </c>
      <c r="AA86" s="185">
        <f t="shared" si="113"/>
        <v>0</v>
      </c>
      <c r="AB86" s="196">
        <f t="shared" si="114"/>
        <v>0</v>
      </c>
      <c r="AC86" s="196">
        <f t="shared" si="114"/>
        <v>0</v>
      </c>
      <c r="AD86" s="196">
        <f t="shared" si="114"/>
        <v>0</v>
      </c>
      <c r="AE86" s="196">
        <f t="shared" si="115"/>
        <v>0</v>
      </c>
      <c r="AF86" s="196">
        <f t="shared" si="116"/>
        <v>0</v>
      </c>
      <c r="AG86" s="196">
        <f t="shared" si="117"/>
        <v>0</v>
      </c>
      <c r="AH86" s="196">
        <f t="shared" si="118"/>
        <v>0</v>
      </c>
      <c r="AI86" s="266">
        <f>'DATA INPUT - DETAIL'!R77</f>
        <v>0</v>
      </c>
      <c r="AJ86" s="266">
        <f>'DATA INPUT - DETAIL'!S77</f>
        <v>0</v>
      </c>
      <c r="AK86" s="266">
        <f>'DATA INPUT - DETAIL'!T77</f>
        <v>0</v>
      </c>
      <c r="AL86" s="266">
        <f>'DATA INPUT - DETAIL'!U77</f>
        <v>0</v>
      </c>
      <c r="AM86" s="266">
        <f>'DATA INPUT - DETAIL'!V77</f>
        <v>0</v>
      </c>
      <c r="AN86" s="266">
        <f>'DATA INPUT - DETAIL'!W77</f>
        <v>0</v>
      </c>
      <c r="AO86" s="198">
        <f t="shared" si="119"/>
        <v>0</v>
      </c>
      <c r="AP86" s="266">
        <f>'DATA INPUT - DETAIL'!X77</f>
        <v>0</v>
      </c>
      <c r="AQ86" s="266">
        <f>'DATA INPUT - DETAIL'!Y77</f>
        <v>0</v>
      </c>
      <c r="AR86" s="266">
        <f>'DATA INPUT - DETAIL'!Z77</f>
        <v>0</v>
      </c>
      <c r="AS86" s="266">
        <f>'DATA INPUT - DETAIL'!AD77</f>
        <v>0</v>
      </c>
      <c r="AT86" s="266">
        <f t="shared" si="120"/>
        <v>0</v>
      </c>
      <c r="AU86" s="206">
        <f>'DATA INPUT - DETAIL'!AA77</f>
        <v>0</v>
      </c>
      <c r="AV86" s="206">
        <f>'DATA INPUT - DETAIL'!AB77</f>
        <v>0</v>
      </c>
      <c r="AW86" s="206">
        <f>'DATA INPUT - DETAIL'!AC77</f>
        <v>0</v>
      </c>
      <c r="AX86" s="206">
        <f t="shared" si="121"/>
        <v>0</v>
      </c>
      <c r="AY86" s="206">
        <f t="shared" si="122"/>
        <v>0</v>
      </c>
      <c r="AZ86" s="206">
        <f t="shared" si="123"/>
        <v>0</v>
      </c>
      <c r="BA86" s="206">
        <f t="shared" si="124"/>
        <v>0</v>
      </c>
      <c r="BB86" s="206">
        <f t="shared" si="125"/>
        <v>0</v>
      </c>
      <c r="BC86" s="206">
        <f t="shared" si="126"/>
        <v>0</v>
      </c>
      <c r="BD86" s="206">
        <f t="shared" si="127"/>
        <v>0</v>
      </c>
      <c r="BE86" s="206">
        <f t="shared" si="128"/>
        <v>0</v>
      </c>
      <c r="BF86" s="206">
        <f t="shared" si="129"/>
        <v>0</v>
      </c>
      <c r="BG86" s="206">
        <f t="shared" si="130"/>
        <v>0</v>
      </c>
      <c r="BH86" s="206">
        <f t="shared" si="131"/>
        <v>0</v>
      </c>
      <c r="BI86" s="206">
        <f t="shared" si="132"/>
        <v>0</v>
      </c>
      <c r="BJ86" s="266">
        <f t="shared" si="133"/>
        <v>0</v>
      </c>
      <c r="BK86" s="266">
        <f t="shared" si="134"/>
        <v>0</v>
      </c>
      <c r="BL86" s="192">
        <f t="shared" si="135"/>
        <v>0</v>
      </c>
      <c r="BM86" s="192">
        <f t="shared" si="136"/>
        <v>0</v>
      </c>
      <c r="BN86" s="192">
        <f t="shared" si="137"/>
        <v>0</v>
      </c>
      <c r="BO86" s="192">
        <f t="shared" si="138"/>
        <v>0</v>
      </c>
      <c r="BP86" s="192">
        <f t="shared" si="139"/>
        <v>0</v>
      </c>
      <c r="BQ86" s="193">
        <f t="shared" si="140"/>
        <v>0</v>
      </c>
      <c r="BR86" s="193">
        <f t="shared" si="141"/>
        <v>0</v>
      </c>
      <c r="BS86" s="265">
        <f t="shared" si="145"/>
        <v>0</v>
      </c>
      <c r="BT86" s="265">
        <f t="shared" si="146"/>
        <v>0</v>
      </c>
      <c r="BU86" s="265">
        <f t="shared" si="147"/>
        <v>0</v>
      </c>
      <c r="BV86" s="265">
        <f t="shared" si="148"/>
        <v>0</v>
      </c>
      <c r="BW86" s="265">
        <f t="shared" si="149"/>
        <v>0</v>
      </c>
      <c r="BX86" s="265">
        <f t="shared" si="150"/>
        <v>0</v>
      </c>
      <c r="BY86" s="265">
        <f t="shared" si="151"/>
        <v>0</v>
      </c>
      <c r="BZ86" s="265">
        <f t="shared" si="152"/>
        <v>0</v>
      </c>
      <c r="CA86" s="265">
        <f t="shared" si="153"/>
        <v>0</v>
      </c>
      <c r="CB86" s="269">
        <f t="shared" si="154"/>
        <v>0</v>
      </c>
      <c r="CC86" s="266">
        <f t="shared" si="155"/>
        <v>0</v>
      </c>
      <c r="CD86" s="241"/>
      <c r="CE86" s="198">
        <f t="shared" si="142"/>
        <v>9.8478936493613929E-11</v>
      </c>
      <c r="CF86" s="198">
        <f t="shared" si="156"/>
        <v>0</v>
      </c>
      <c r="CG86" s="198">
        <f t="shared" si="157"/>
        <v>0</v>
      </c>
      <c r="CH86" s="198">
        <f t="shared" si="158"/>
        <v>0</v>
      </c>
      <c r="CI86" s="198">
        <f t="shared" si="159"/>
        <v>0</v>
      </c>
      <c r="CJ86" s="198">
        <f t="shared" si="160"/>
        <v>0</v>
      </c>
      <c r="CK86" s="198">
        <f t="shared" si="161"/>
        <v>0</v>
      </c>
      <c r="CL86" s="198">
        <f t="shared" si="162"/>
        <v>4.302048219132376E-13</v>
      </c>
      <c r="CM86" s="271">
        <f t="shared" si="163"/>
        <v>0</v>
      </c>
      <c r="CN86" s="198">
        <f t="shared" si="164"/>
        <v>9.8909141315527165E-11</v>
      </c>
      <c r="CO86" s="209">
        <f t="shared" si="143"/>
        <v>9.8478936493613929E-11</v>
      </c>
    </row>
    <row r="87" spans="2:93" x14ac:dyDescent="0.2">
      <c r="B87" s="221">
        <f>'DATA INPUT - DETAIL'!D78</f>
        <v>0</v>
      </c>
      <c r="C87" s="211">
        <f>'DATA INPUT - DETAIL'!E78</f>
        <v>0</v>
      </c>
      <c r="D87" s="257">
        <f>'DATA INPUT - DETAIL'!I78</f>
        <v>0</v>
      </c>
      <c r="E87" s="258">
        <f>'DATA INPUT - DETAIL'!K78</f>
        <v>0</v>
      </c>
      <c r="F87" s="258">
        <f>'DATA INPUT - DETAIL'!L78</f>
        <v>0</v>
      </c>
      <c r="G87" s="179">
        <f>'DATA INPUT - DETAIL'!M78*(1+$V$5)</f>
        <v>0</v>
      </c>
      <c r="H87" s="179">
        <f>'DATA INPUT - DETAIL'!N78*(1+$V$5)</f>
        <v>0</v>
      </c>
      <c r="I87" s="258">
        <f t="shared" si="100"/>
        <v>0</v>
      </c>
      <c r="J87" s="258">
        <f>'DATA INPUT - DETAIL'!O78</f>
        <v>0</v>
      </c>
      <c r="K87" s="258">
        <f>'DATA INPUT - DETAIL'!P78</f>
        <v>0</v>
      </c>
      <c r="L87" s="267">
        <f>ROUNDDOWN('DATA INPUT - DETAIL'!G78,0)</f>
        <v>0</v>
      </c>
      <c r="M87" s="196">
        <f t="shared" si="144"/>
        <v>0</v>
      </c>
      <c r="N87" s="196">
        <f t="shared" si="101"/>
        <v>0</v>
      </c>
      <c r="O87" s="196">
        <f t="shared" si="102"/>
        <v>0</v>
      </c>
      <c r="P87" s="196">
        <f t="shared" si="103"/>
        <v>0</v>
      </c>
      <c r="Q87" s="196">
        <f t="shared" si="104"/>
        <v>0</v>
      </c>
      <c r="R87" s="196">
        <f t="shared" si="105"/>
        <v>0</v>
      </c>
      <c r="S87" s="196">
        <f t="shared" si="106"/>
        <v>0</v>
      </c>
      <c r="T87" s="196">
        <f t="shared" si="107"/>
        <v>0</v>
      </c>
      <c r="U87" s="185">
        <f>(C87&gt;0)*(C87&lt;$E$5)*VLOOKUP(MPP,ASUMSI!$BN$77:$CR$108,B87+1)*(1+$V$4)</f>
        <v>0</v>
      </c>
      <c r="V87" s="196">
        <f t="shared" si="108"/>
        <v>0</v>
      </c>
      <c r="W87" s="196">
        <f t="shared" si="109"/>
        <v>0</v>
      </c>
      <c r="X87" s="196">
        <f t="shared" si="110"/>
        <v>0</v>
      </c>
      <c r="Y87" s="196">
        <f t="shared" si="111"/>
        <v>0</v>
      </c>
      <c r="Z87" s="196">
        <f t="shared" si="112"/>
        <v>0</v>
      </c>
      <c r="AA87" s="185">
        <f t="shared" si="113"/>
        <v>0</v>
      </c>
      <c r="AB87" s="196">
        <f t="shared" si="114"/>
        <v>0</v>
      </c>
      <c r="AC87" s="196">
        <f t="shared" si="114"/>
        <v>0</v>
      </c>
      <c r="AD87" s="196">
        <f t="shared" si="114"/>
        <v>0</v>
      </c>
      <c r="AE87" s="196">
        <f t="shared" si="115"/>
        <v>0</v>
      </c>
      <c r="AF87" s="196">
        <f t="shared" si="116"/>
        <v>0</v>
      </c>
      <c r="AG87" s="196">
        <f t="shared" si="117"/>
        <v>0</v>
      </c>
      <c r="AH87" s="196">
        <f t="shared" si="118"/>
        <v>0</v>
      </c>
      <c r="AI87" s="266">
        <f>'DATA INPUT - DETAIL'!R78</f>
        <v>0</v>
      </c>
      <c r="AJ87" s="266">
        <f>'DATA INPUT - DETAIL'!S78</f>
        <v>0</v>
      </c>
      <c r="AK87" s="266">
        <f>'DATA INPUT - DETAIL'!T78</f>
        <v>0</v>
      </c>
      <c r="AL87" s="266">
        <f>'DATA INPUT - DETAIL'!U78</f>
        <v>0</v>
      </c>
      <c r="AM87" s="266">
        <f>'DATA INPUT - DETAIL'!V78</f>
        <v>0</v>
      </c>
      <c r="AN87" s="266">
        <f>'DATA INPUT - DETAIL'!W78</f>
        <v>0</v>
      </c>
      <c r="AO87" s="198">
        <f t="shared" si="119"/>
        <v>0</v>
      </c>
      <c r="AP87" s="266">
        <f>'DATA INPUT - DETAIL'!X78</f>
        <v>0</v>
      </c>
      <c r="AQ87" s="266">
        <f>'DATA INPUT - DETAIL'!Y78</f>
        <v>0</v>
      </c>
      <c r="AR87" s="266">
        <f>'DATA INPUT - DETAIL'!Z78</f>
        <v>0</v>
      </c>
      <c r="AS87" s="266">
        <f>'DATA INPUT - DETAIL'!AD78</f>
        <v>0</v>
      </c>
      <c r="AT87" s="266">
        <f t="shared" si="120"/>
        <v>0</v>
      </c>
      <c r="AU87" s="206">
        <f>'DATA INPUT - DETAIL'!AA78</f>
        <v>0</v>
      </c>
      <c r="AV87" s="206">
        <f>'DATA INPUT - DETAIL'!AB78</f>
        <v>0</v>
      </c>
      <c r="AW87" s="206">
        <f>'DATA INPUT - DETAIL'!AC78</f>
        <v>0</v>
      </c>
      <c r="AX87" s="206">
        <f t="shared" si="121"/>
        <v>0</v>
      </c>
      <c r="AY87" s="206">
        <f t="shared" si="122"/>
        <v>0</v>
      </c>
      <c r="AZ87" s="206">
        <f t="shared" si="123"/>
        <v>0</v>
      </c>
      <c r="BA87" s="206">
        <f t="shared" si="124"/>
        <v>0</v>
      </c>
      <c r="BB87" s="206">
        <f t="shared" si="125"/>
        <v>0</v>
      </c>
      <c r="BC87" s="206">
        <f t="shared" si="126"/>
        <v>0</v>
      </c>
      <c r="BD87" s="206">
        <f t="shared" si="127"/>
        <v>0</v>
      </c>
      <c r="BE87" s="206">
        <f t="shared" si="128"/>
        <v>0</v>
      </c>
      <c r="BF87" s="206">
        <f t="shared" si="129"/>
        <v>0</v>
      </c>
      <c r="BG87" s="206">
        <f t="shared" si="130"/>
        <v>0</v>
      </c>
      <c r="BH87" s="206">
        <f t="shared" si="131"/>
        <v>0</v>
      </c>
      <c r="BI87" s="206">
        <f t="shared" si="132"/>
        <v>0</v>
      </c>
      <c r="BJ87" s="266">
        <f t="shared" si="133"/>
        <v>0</v>
      </c>
      <c r="BK87" s="266">
        <f t="shared" si="134"/>
        <v>0</v>
      </c>
      <c r="BL87" s="192">
        <f t="shared" si="135"/>
        <v>0</v>
      </c>
      <c r="BM87" s="192">
        <f t="shared" si="136"/>
        <v>0</v>
      </c>
      <c r="BN87" s="192">
        <f t="shared" si="137"/>
        <v>0</v>
      </c>
      <c r="BO87" s="192">
        <f t="shared" si="138"/>
        <v>0</v>
      </c>
      <c r="BP87" s="192">
        <f t="shared" si="139"/>
        <v>0</v>
      </c>
      <c r="BQ87" s="193">
        <f t="shared" si="140"/>
        <v>0</v>
      </c>
      <c r="BR87" s="193">
        <f t="shared" si="141"/>
        <v>0</v>
      </c>
      <c r="BS87" s="265">
        <f t="shared" si="145"/>
        <v>0</v>
      </c>
      <c r="BT87" s="265">
        <f t="shared" si="146"/>
        <v>0</v>
      </c>
      <c r="BU87" s="265">
        <f t="shared" si="147"/>
        <v>0</v>
      </c>
      <c r="BV87" s="265">
        <f t="shared" si="148"/>
        <v>0</v>
      </c>
      <c r="BW87" s="265">
        <f t="shared" si="149"/>
        <v>0</v>
      </c>
      <c r="BX87" s="265">
        <f t="shared" si="150"/>
        <v>0</v>
      </c>
      <c r="BY87" s="265">
        <f t="shared" si="151"/>
        <v>0</v>
      </c>
      <c r="BZ87" s="265">
        <f t="shared" si="152"/>
        <v>0</v>
      </c>
      <c r="CA87" s="265">
        <f t="shared" si="153"/>
        <v>0</v>
      </c>
      <c r="CB87" s="269">
        <f t="shared" si="154"/>
        <v>0</v>
      </c>
      <c r="CC87" s="266">
        <f t="shared" si="155"/>
        <v>0</v>
      </c>
      <c r="CD87" s="241"/>
      <c r="CE87" s="198">
        <f t="shared" si="142"/>
        <v>9.8909141315527165E-11</v>
      </c>
      <c r="CF87" s="198">
        <f t="shared" si="156"/>
        <v>0</v>
      </c>
      <c r="CG87" s="198">
        <f t="shared" si="157"/>
        <v>0</v>
      </c>
      <c r="CH87" s="198">
        <f t="shared" si="158"/>
        <v>0</v>
      </c>
      <c r="CI87" s="198">
        <f t="shared" si="159"/>
        <v>0</v>
      </c>
      <c r="CJ87" s="198">
        <f t="shared" si="160"/>
        <v>0</v>
      </c>
      <c r="CK87" s="198">
        <f t="shared" si="161"/>
        <v>0</v>
      </c>
      <c r="CL87" s="198">
        <f t="shared" si="162"/>
        <v>4.3208416987725022E-13</v>
      </c>
      <c r="CM87" s="271">
        <f t="shared" si="163"/>
        <v>0</v>
      </c>
      <c r="CN87" s="198">
        <f t="shared" si="164"/>
        <v>9.9341225485404414E-11</v>
      </c>
      <c r="CO87" s="209">
        <f t="shared" si="143"/>
        <v>9.8909141315527165E-11</v>
      </c>
    </row>
    <row r="88" spans="2:93" x14ac:dyDescent="0.2">
      <c r="B88" s="221">
        <f>'DATA INPUT - DETAIL'!D79</f>
        <v>0</v>
      </c>
      <c r="C88" s="211">
        <f>'DATA INPUT - DETAIL'!E79</f>
        <v>0</v>
      </c>
      <c r="D88" s="257">
        <f>'DATA INPUT - DETAIL'!I79</f>
        <v>0</v>
      </c>
      <c r="E88" s="258">
        <f>'DATA INPUT - DETAIL'!K79</f>
        <v>0</v>
      </c>
      <c r="F88" s="258">
        <f>'DATA INPUT - DETAIL'!L79</f>
        <v>0</v>
      </c>
      <c r="G88" s="179">
        <f>'DATA INPUT - DETAIL'!M79*(1+$V$5)</f>
        <v>0</v>
      </c>
      <c r="H88" s="179">
        <f>'DATA INPUT - DETAIL'!N79*(1+$V$5)</f>
        <v>0</v>
      </c>
      <c r="I88" s="258">
        <f t="shared" si="100"/>
        <v>0</v>
      </c>
      <c r="J88" s="258">
        <f>'DATA INPUT - DETAIL'!O79</f>
        <v>0</v>
      </c>
      <c r="K88" s="258">
        <f>'DATA INPUT - DETAIL'!P79</f>
        <v>0</v>
      </c>
      <c r="L88" s="267">
        <f>ROUNDDOWN('DATA INPUT - DETAIL'!G79,0)</f>
        <v>0</v>
      </c>
      <c r="M88" s="196">
        <f t="shared" si="144"/>
        <v>0</v>
      </c>
      <c r="N88" s="196">
        <f t="shared" si="101"/>
        <v>0</v>
      </c>
      <c r="O88" s="196">
        <f t="shared" si="102"/>
        <v>0</v>
      </c>
      <c r="P88" s="196">
        <f t="shared" si="103"/>
        <v>0</v>
      </c>
      <c r="Q88" s="196">
        <f t="shared" si="104"/>
        <v>0</v>
      </c>
      <c r="R88" s="196">
        <f t="shared" si="105"/>
        <v>0</v>
      </c>
      <c r="S88" s="196">
        <f t="shared" si="106"/>
        <v>0</v>
      </c>
      <c r="T88" s="196">
        <f t="shared" si="107"/>
        <v>0</v>
      </c>
      <c r="U88" s="185">
        <f>(C88&gt;0)*(C88&lt;$E$5)*VLOOKUP(MPP,ASUMSI!$BN$77:$CR$108,B88+1)*(1+$V$4)</f>
        <v>0</v>
      </c>
      <c r="V88" s="196">
        <f t="shared" si="108"/>
        <v>0</v>
      </c>
      <c r="W88" s="196">
        <f t="shared" si="109"/>
        <v>0</v>
      </c>
      <c r="X88" s="196">
        <f t="shared" si="110"/>
        <v>0</v>
      </c>
      <c r="Y88" s="196">
        <f t="shared" si="111"/>
        <v>0</v>
      </c>
      <c r="Z88" s="196">
        <f t="shared" si="112"/>
        <v>0</v>
      </c>
      <c r="AA88" s="185">
        <f t="shared" si="113"/>
        <v>0</v>
      </c>
      <c r="AB88" s="196">
        <f t="shared" si="114"/>
        <v>0</v>
      </c>
      <c r="AC88" s="196">
        <f t="shared" si="114"/>
        <v>0</v>
      </c>
      <c r="AD88" s="196">
        <f t="shared" si="114"/>
        <v>0</v>
      </c>
      <c r="AE88" s="196">
        <f t="shared" si="115"/>
        <v>0</v>
      </c>
      <c r="AF88" s="196">
        <f t="shared" si="116"/>
        <v>0</v>
      </c>
      <c r="AG88" s="196">
        <f t="shared" si="117"/>
        <v>0</v>
      </c>
      <c r="AH88" s="196">
        <f t="shared" si="118"/>
        <v>0</v>
      </c>
      <c r="AI88" s="266">
        <f>'DATA INPUT - DETAIL'!R79</f>
        <v>0</v>
      </c>
      <c r="AJ88" s="266">
        <f>'DATA INPUT - DETAIL'!S79</f>
        <v>0</v>
      </c>
      <c r="AK88" s="266">
        <f>'DATA INPUT - DETAIL'!T79</f>
        <v>0</v>
      </c>
      <c r="AL88" s="266">
        <f>'DATA INPUT - DETAIL'!U79</f>
        <v>0</v>
      </c>
      <c r="AM88" s="266">
        <f>'DATA INPUT - DETAIL'!V79</f>
        <v>0</v>
      </c>
      <c r="AN88" s="266">
        <f>'DATA INPUT - DETAIL'!W79</f>
        <v>0</v>
      </c>
      <c r="AO88" s="198">
        <f t="shared" si="119"/>
        <v>0</v>
      </c>
      <c r="AP88" s="266">
        <f>'DATA INPUT - DETAIL'!X79</f>
        <v>0</v>
      </c>
      <c r="AQ88" s="266">
        <f>'DATA INPUT - DETAIL'!Y79</f>
        <v>0</v>
      </c>
      <c r="AR88" s="266">
        <f>'DATA INPUT - DETAIL'!Z79</f>
        <v>0</v>
      </c>
      <c r="AS88" s="266">
        <f>'DATA INPUT - DETAIL'!AD79</f>
        <v>0</v>
      </c>
      <c r="AT88" s="266">
        <f t="shared" si="120"/>
        <v>0</v>
      </c>
      <c r="AU88" s="206">
        <f>'DATA INPUT - DETAIL'!AA79</f>
        <v>0</v>
      </c>
      <c r="AV88" s="206">
        <f>'DATA INPUT - DETAIL'!AB79</f>
        <v>0</v>
      </c>
      <c r="AW88" s="206">
        <f>'DATA INPUT - DETAIL'!AC79</f>
        <v>0</v>
      </c>
      <c r="AX88" s="206">
        <f t="shared" si="121"/>
        <v>0</v>
      </c>
      <c r="AY88" s="206">
        <f t="shared" si="122"/>
        <v>0</v>
      </c>
      <c r="AZ88" s="206">
        <f t="shared" si="123"/>
        <v>0</v>
      </c>
      <c r="BA88" s="206">
        <f t="shared" si="124"/>
        <v>0</v>
      </c>
      <c r="BB88" s="206">
        <f t="shared" si="125"/>
        <v>0</v>
      </c>
      <c r="BC88" s="206">
        <f t="shared" si="126"/>
        <v>0</v>
      </c>
      <c r="BD88" s="206">
        <f t="shared" si="127"/>
        <v>0</v>
      </c>
      <c r="BE88" s="206">
        <f t="shared" si="128"/>
        <v>0</v>
      </c>
      <c r="BF88" s="206">
        <f t="shared" si="129"/>
        <v>0</v>
      </c>
      <c r="BG88" s="206">
        <f t="shared" si="130"/>
        <v>0</v>
      </c>
      <c r="BH88" s="206">
        <f t="shared" si="131"/>
        <v>0</v>
      </c>
      <c r="BI88" s="206">
        <f t="shared" si="132"/>
        <v>0</v>
      </c>
      <c r="BJ88" s="266">
        <f t="shared" si="133"/>
        <v>0</v>
      </c>
      <c r="BK88" s="266">
        <f t="shared" si="134"/>
        <v>0</v>
      </c>
      <c r="BL88" s="192">
        <f t="shared" si="135"/>
        <v>0</v>
      </c>
      <c r="BM88" s="192">
        <f t="shared" si="136"/>
        <v>0</v>
      </c>
      <c r="BN88" s="192">
        <f t="shared" si="137"/>
        <v>0</v>
      </c>
      <c r="BO88" s="192">
        <f t="shared" si="138"/>
        <v>0</v>
      </c>
      <c r="BP88" s="192">
        <f t="shared" si="139"/>
        <v>0</v>
      </c>
      <c r="BQ88" s="193">
        <f t="shared" si="140"/>
        <v>0</v>
      </c>
      <c r="BR88" s="193">
        <f t="shared" si="141"/>
        <v>0</v>
      </c>
      <c r="BS88" s="265">
        <f t="shared" si="145"/>
        <v>0</v>
      </c>
      <c r="BT88" s="265">
        <f t="shared" si="146"/>
        <v>0</v>
      </c>
      <c r="BU88" s="265">
        <f t="shared" si="147"/>
        <v>0</v>
      </c>
      <c r="BV88" s="265">
        <f t="shared" si="148"/>
        <v>0</v>
      </c>
      <c r="BW88" s="265">
        <f t="shared" si="149"/>
        <v>0</v>
      </c>
      <c r="BX88" s="265">
        <f t="shared" si="150"/>
        <v>0</v>
      </c>
      <c r="BY88" s="265">
        <f t="shared" si="151"/>
        <v>0</v>
      </c>
      <c r="BZ88" s="265">
        <f t="shared" si="152"/>
        <v>0</v>
      </c>
      <c r="CA88" s="265">
        <f t="shared" si="153"/>
        <v>0</v>
      </c>
      <c r="CB88" s="269">
        <f t="shared" si="154"/>
        <v>0</v>
      </c>
      <c r="CC88" s="266">
        <f t="shared" si="155"/>
        <v>0</v>
      </c>
      <c r="CD88" s="241"/>
      <c r="CE88" s="198">
        <f t="shared" si="142"/>
        <v>9.9341225485404414E-11</v>
      </c>
      <c r="CF88" s="198">
        <f t="shared" si="156"/>
        <v>0</v>
      </c>
      <c r="CG88" s="198">
        <f t="shared" si="157"/>
        <v>0</v>
      </c>
      <c r="CH88" s="198">
        <f t="shared" si="158"/>
        <v>0</v>
      </c>
      <c r="CI88" s="198">
        <f t="shared" si="159"/>
        <v>0</v>
      </c>
      <c r="CJ88" s="198">
        <f t="shared" si="160"/>
        <v>0</v>
      </c>
      <c r="CK88" s="198">
        <f t="shared" si="161"/>
        <v>0</v>
      </c>
      <c r="CL88" s="198">
        <f t="shared" si="162"/>
        <v>4.3397172776497808E-13</v>
      </c>
      <c r="CM88" s="271">
        <f t="shared" si="163"/>
        <v>0</v>
      </c>
      <c r="CN88" s="198">
        <f t="shared" si="164"/>
        <v>9.9775197213169397E-11</v>
      </c>
      <c r="CO88" s="209">
        <f t="shared" si="143"/>
        <v>9.9341225485404414E-11</v>
      </c>
    </row>
    <row r="89" spans="2:93" x14ac:dyDescent="0.2">
      <c r="B89" s="221">
        <f>'DATA INPUT - DETAIL'!D80</f>
        <v>0</v>
      </c>
      <c r="C89" s="211">
        <f>'DATA INPUT - DETAIL'!E80</f>
        <v>0</v>
      </c>
      <c r="D89" s="257">
        <f>'DATA INPUT - DETAIL'!I80</f>
        <v>0</v>
      </c>
      <c r="E89" s="258">
        <f>'DATA INPUT - DETAIL'!K80</f>
        <v>0</v>
      </c>
      <c r="F89" s="258">
        <f>'DATA INPUT - DETAIL'!L80</f>
        <v>0</v>
      </c>
      <c r="G89" s="179">
        <f>'DATA INPUT - DETAIL'!M80*(1+$V$5)</f>
        <v>0</v>
      </c>
      <c r="H89" s="179">
        <f>'DATA INPUT - DETAIL'!N80*(1+$V$5)</f>
        <v>0</v>
      </c>
      <c r="I89" s="258">
        <f t="shared" si="100"/>
        <v>0</v>
      </c>
      <c r="J89" s="258">
        <f>'DATA INPUT - DETAIL'!O80</f>
        <v>0</v>
      </c>
      <c r="K89" s="258">
        <f>'DATA INPUT - DETAIL'!P80</f>
        <v>0</v>
      </c>
      <c r="L89" s="267">
        <f>ROUNDDOWN('DATA INPUT - DETAIL'!G80,0)</f>
        <v>0</v>
      </c>
      <c r="M89" s="196">
        <f t="shared" si="144"/>
        <v>0</v>
      </c>
      <c r="N89" s="196">
        <f t="shared" si="101"/>
        <v>0</v>
      </c>
      <c r="O89" s="196">
        <f t="shared" si="102"/>
        <v>0</v>
      </c>
      <c r="P89" s="196">
        <f t="shared" si="103"/>
        <v>0</v>
      </c>
      <c r="Q89" s="196">
        <f t="shared" si="104"/>
        <v>0</v>
      </c>
      <c r="R89" s="196">
        <f t="shared" si="105"/>
        <v>0</v>
      </c>
      <c r="S89" s="196">
        <f t="shared" si="106"/>
        <v>0</v>
      </c>
      <c r="T89" s="196">
        <f t="shared" si="107"/>
        <v>0</v>
      </c>
      <c r="U89" s="185">
        <f>(C89&gt;0)*(C89&lt;$E$5)*VLOOKUP(MPP,ASUMSI!$BN$77:$CR$108,B89+1)*(1+$V$4)</f>
        <v>0</v>
      </c>
      <c r="V89" s="196">
        <f t="shared" si="108"/>
        <v>0</v>
      </c>
      <c r="W89" s="196">
        <f t="shared" si="109"/>
        <v>0</v>
      </c>
      <c r="X89" s="196">
        <f t="shared" si="110"/>
        <v>0</v>
      </c>
      <c r="Y89" s="196">
        <f t="shared" si="111"/>
        <v>0</v>
      </c>
      <c r="Z89" s="196">
        <f t="shared" si="112"/>
        <v>0</v>
      </c>
      <c r="AA89" s="185">
        <f t="shared" si="113"/>
        <v>0</v>
      </c>
      <c r="AB89" s="196">
        <f t="shared" si="114"/>
        <v>0</v>
      </c>
      <c r="AC89" s="196">
        <f t="shared" si="114"/>
        <v>0</v>
      </c>
      <c r="AD89" s="196">
        <f t="shared" si="114"/>
        <v>0</v>
      </c>
      <c r="AE89" s="196">
        <f t="shared" si="115"/>
        <v>0</v>
      </c>
      <c r="AF89" s="196">
        <f t="shared" si="116"/>
        <v>0</v>
      </c>
      <c r="AG89" s="196">
        <f t="shared" si="117"/>
        <v>0</v>
      </c>
      <c r="AH89" s="196">
        <f t="shared" si="118"/>
        <v>0</v>
      </c>
      <c r="AI89" s="266">
        <f>'DATA INPUT - DETAIL'!R80</f>
        <v>0</v>
      </c>
      <c r="AJ89" s="266">
        <f>'DATA INPUT - DETAIL'!S80</f>
        <v>0</v>
      </c>
      <c r="AK89" s="266">
        <f>'DATA INPUT - DETAIL'!T80</f>
        <v>0</v>
      </c>
      <c r="AL89" s="266">
        <f>'DATA INPUT - DETAIL'!U80</f>
        <v>0</v>
      </c>
      <c r="AM89" s="266">
        <f>'DATA INPUT - DETAIL'!V80</f>
        <v>0</v>
      </c>
      <c r="AN89" s="266">
        <f>'DATA INPUT - DETAIL'!W80</f>
        <v>0</v>
      </c>
      <c r="AO89" s="198">
        <f t="shared" si="119"/>
        <v>0</v>
      </c>
      <c r="AP89" s="266">
        <f>'DATA INPUT - DETAIL'!X80</f>
        <v>0</v>
      </c>
      <c r="AQ89" s="266">
        <f>'DATA INPUT - DETAIL'!Y80</f>
        <v>0</v>
      </c>
      <c r="AR89" s="266">
        <f>'DATA INPUT - DETAIL'!Z80</f>
        <v>0</v>
      </c>
      <c r="AS89" s="266">
        <f>'DATA INPUT - DETAIL'!AD80</f>
        <v>0</v>
      </c>
      <c r="AT89" s="266">
        <f t="shared" si="120"/>
        <v>0</v>
      </c>
      <c r="AU89" s="206">
        <f>'DATA INPUT - DETAIL'!AA80</f>
        <v>0</v>
      </c>
      <c r="AV89" s="206">
        <f>'DATA INPUT - DETAIL'!AB80</f>
        <v>0</v>
      </c>
      <c r="AW89" s="206">
        <f>'DATA INPUT - DETAIL'!AC80</f>
        <v>0</v>
      </c>
      <c r="AX89" s="206">
        <f t="shared" si="121"/>
        <v>0</v>
      </c>
      <c r="AY89" s="206">
        <f t="shared" si="122"/>
        <v>0</v>
      </c>
      <c r="AZ89" s="206">
        <f t="shared" si="123"/>
        <v>0</v>
      </c>
      <c r="BA89" s="206">
        <f t="shared" si="124"/>
        <v>0</v>
      </c>
      <c r="BB89" s="206">
        <f t="shared" si="125"/>
        <v>0</v>
      </c>
      <c r="BC89" s="206">
        <f t="shared" si="126"/>
        <v>0</v>
      </c>
      <c r="BD89" s="206">
        <f t="shared" si="127"/>
        <v>0</v>
      </c>
      <c r="BE89" s="206">
        <f t="shared" si="128"/>
        <v>0</v>
      </c>
      <c r="BF89" s="206">
        <f t="shared" si="129"/>
        <v>0</v>
      </c>
      <c r="BG89" s="206">
        <f t="shared" si="130"/>
        <v>0</v>
      </c>
      <c r="BH89" s="206">
        <f t="shared" si="131"/>
        <v>0</v>
      </c>
      <c r="BI89" s="206">
        <f t="shared" si="132"/>
        <v>0</v>
      </c>
      <c r="BJ89" s="266">
        <f t="shared" si="133"/>
        <v>0</v>
      </c>
      <c r="BK89" s="266">
        <f t="shared" si="134"/>
        <v>0</v>
      </c>
      <c r="BL89" s="192">
        <f t="shared" si="135"/>
        <v>0</v>
      </c>
      <c r="BM89" s="192">
        <f t="shared" si="136"/>
        <v>0</v>
      </c>
      <c r="BN89" s="192">
        <f t="shared" si="137"/>
        <v>0</v>
      </c>
      <c r="BO89" s="192">
        <f t="shared" si="138"/>
        <v>0</v>
      </c>
      <c r="BP89" s="192">
        <f t="shared" si="139"/>
        <v>0</v>
      </c>
      <c r="BQ89" s="193">
        <f t="shared" si="140"/>
        <v>0</v>
      </c>
      <c r="BR89" s="193">
        <f t="shared" si="141"/>
        <v>0</v>
      </c>
      <c r="BS89" s="265">
        <f t="shared" si="145"/>
        <v>0</v>
      </c>
      <c r="BT89" s="265">
        <f t="shared" si="146"/>
        <v>0</v>
      </c>
      <c r="BU89" s="265">
        <f t="shared" si="147"/>
        <v>0</v>
      </c>
      <c r="BV89" s="265">
        <f t="shared" si="148"/>
        <v>0</v>
      </c>
      <c r="BW89" s="265">
        <f t="shared" si="149"/>
        <v>0</v>
      </c>
      <c r="BX89" s="265">
        <f t="shared" si="150"/>
        <v>0</v>
      </c>
      <c r="BY89" s="265">
        <f t="shared" si="151"/>
        <v>0</v>
      </c>
      <c r="BZ89" s="265">
        <f t="shared" si="152"/>
        <v>0</v>
      </c>
      <c r="CA89" s="265">
        <f t="shared" si="153"/>
        <v>0</v>
      </c>
      <c r="CB89" s="269">
        <f t="shared" si="154"/>
        <v>0</v>
      </c>
      <c r="CC89" s="266">
        <f t="shared" si="155"/>
        <v>0</v>
      </c>
      <c r="CD89" s="241"/>
      <c r="CE89" s="198">
        <f t="shared" si="142"/>
        <v>9.9775197213169397E-11</v>
      </c>
      <c r="CF89" s="198">
        <f t="shared" si="156"/>
        <v>0</v>
      </c>
      <c r="CG89" s="198">
        <f t="shared" si="157"/>
        <v>0</v>
      </c>
      <c r="CH89" s="198">
        <f t="shared" si="158"/>
        <v>0</v>
      </c>
      <c r="CI89" s="198">
        <f t="shared" si="159"/>
        <v>0</v>
      </c>
      <c r="CJ89" s="198">
        <f t="shared" si="160"/>
        <v>0</v>
      </c>
      <c r="CK89" s="198">
        <f t="shared" si="161"/>
        <v>0</v>
      </c>
      <c r="CL89" s="198">
        <f t="shared" si="162"/>
        <v>4.3586753144143857E-13</v>
      </c>
      <c r="CM89" s="271">
        <f t="shared" si="163"/>
        <v>0</v>
      </c>
      <c r="CN89" s="198">
        <f t="shared" si="164"/>
        <v>1.0021106474461084E-10</v>
      </c>
      <c r="CO89" s="209">
        <f t="shared" si="143"/>
        <v>9.9775197213169397E-11</v>
      </c>
    </row>
    <row r="90" spans="2:93" x14ac:dyDescent="0.2">
      <c r="B90" s="221">
        <f>'DATA INPUT - DETAIL'!D81</f>
        <v>0</v>
      </c>
      <c r="C90" s="211">
        <f>'DATA INPUT - DETAIL'!E81</f>
        <v>0</v>
      </c>
      <c r="D90" s="257">
        <f>'DATA INPUT - DETAIL'!I81</f>
        <v>0</v>
      </c>
      <c r="E90" s="258">
        <f>'DATA INPUT - DETAIL'!K81</f>
        <v>0</v>
      </c>
      <c r="F90" s="258">
        <f>'DATA INPUT - DETAIL'!L81</f>
        <v>0</v>
      </c>
      <c r="G90" s="179">
        <f>'DATA INPUT - DETAIL'!M81*(1+$V$5)</f>
        <v>0</v>
      </c>
      <c r="H90" s="179">
        <f>'DATA INPUT - DETAIL'!N81*(1+$V$5)</f>
        <v>0</v>
      </c>
      <c r="I90" s="258">
        <f t="shared" si="100"/>
        <v>0</v>
      </c>
      <c r="J90" s="258">
        <f>'DATA INPUT - DETAIL'!O81</f>
        <v>0</v>
      </c>
      <c r="K90" s="258">
        <f>'DATA INPUT - DETAIL'!P81</f>
        <v>0</v>
      </c>
      <c r="L90" s="267">
        <f>ROUNDDOWN('DATA INPUT - DETAIL'!G81,0)</f>
        <v>0</v>
      </c>
      <c r="M90" s="196">
        <f t="shared" si="144"/>
        <v>0</v>
      </c>
      <c r="N90" s="196">
        <f t="shared" si="101"/>
        <v>0</v>
      </c>
      <c r="O90" s="196">
        <f t="shared" si="102"/>
        <v>0</v>
      </c>
      <c r="P90" s="196">
        <f t="shared" si="103"/>
        <v>0</v>
      </c>
      <c r="Q90" s="196">
        <f t="shared" si="104"/>
        <v>0</v>
      </c>
      <c r="R90" s="196">
        <f t="shared" si="105"/>
        <v>0</v>
      </c>
      <c r="S90" s="196">
        <f t="shared" si="106"/>
        <v>0</v>
      </c>
      <c r="T90" s="196">
        <f t="shared" si="107"/>
        <v>0</v>
      </c>
      <c r="U90" s="185">
        <f>(C90&gt;0)*(C90&lt;$E$5)*VLOOKUP(MPP,ASUMSI!$BN$77:$CR$108,B90+1)*(1+$V$4)</f>
        <v>0</v>
      </c>
      <c r="V90" s="196">
        <f t="shared" si="108"/>
        <v>0</v>
      </c>
      <c r="W90" s="196">
        <f t="shared" si="109"/>
        <v>0</v>
      </c>
      <c r="X90" s="196">
        <f t="shared" si="110"/>
        <v>0</v>
      </c>
      <c r="Y90" s="196">
        <f t="shared" si="111"/>
        <v>0</v>
      </c>
      <c r="Z90" s="196">
        <f t="shared" si="112"/>
        <v>0</v>
      </c>
      <c r="AA90" s="185">
        <f t="shared" si="113"/>
        <v>0</v>
      </c>
      <c r="AB90" s="196">
        <f t="shared" si="114"/>
        <v>0</v>
      </c>
      <c r="AC90" s="196">
        <f t="shared" si="114"/>
        <v>0</v>
      </c>
      <c r="AD90" s="196">
        <f t="shared" si="114"/>
        <v>0</v>
      </c>
      <c r="AE90" s="196">
        <f t="shared" si="115"/>
        <v>0</v>
      </c>
      <c r="AF90" s="196">
        <f t="shared" si="116"/>
        <v>0</v>
      </c>
      <c r="AG90" s="196">
        <f t="shared" si="117"/>
        <v>0</v>
      </c>
      <c r="AH90" s="196">
        <f t="shared" si="118"/>
        <v>0</v>
      </c>
      <c r="AI90" s="266">
        <f>'DATA INPUT - DETAIL'!R81</f>
        <v>0</v>
      </c>
      <c r="AJ90" s="266">
        <f>'DATA INPUT - DETAIL'!S81</f>
        <v>0</v>
      </c>
      <c r="AK90" s="266">
        <f>'DATA INPUT - DETAIL'!T81</f>
        <v>0</v>
      </c>
      <c r="AL90" s="266">
        <f>'DATA INPUT - DETAIL'!U81</f>
        <v>0</v>
      </c>
      <c r="AM90" s="266">
        <f>'DATA INPUT - DETAIL'!V81</f>
        <v>0</v>
      </c>
      <c r="AN90" s="266">
        <f>'DATA INPUT - DETAIL'!W81</f>
        <v>0</v>
      </c>
      <c r="AO90" s="198">
        <f t="shared" si="119"/>
        <v>0</v>
      </c>
      <c r="AP90" s="266">
        <f>'DATA INPUT - DETAIL'!X81</f>
        <v>0</v>
      </c>
      <c r="AQ90" s="266">
        <f>'DATA INPUT - DETAIL'!Y81</f>
        <v>0</v>
      </c>
      <c r="AR90" s="266">
        <f>'DATA INPUT - DETAIL'!Z81</f>
        <v>0</v>
      </c>
      <c r="AS90" s="266">
        <f>'DATA INPUT - DETAIL'!AD81</f>
        <v>0</v>
      </c>
      <c r="AT90" s="266">
        <f t="shared" si="120"/>
        <v>0</v>
      </c>
      <c r="AU90" s="206">
        <f>'DATA INPUT - DETAIL'!AA81</f>
        <v>0</v>
      </c>
      <c r="AV90" s="206">
        <f>'DATA INPUT - DETAIL'!AB81</f>
        <v>0</v>
      </c>
      <c r="AW90" s="206">
        <f>'DATA INPUT - DETAIL'!AC81</f>
        <v>0</v>
      </c>
      <c r="AX90" s="206">
        <f t="shared" si="121"/>
        <v>0</v>
      </c>
      <c r="AY90" s="206">
        <f t="shared" si="122"/>
        <v>0</v>
      </c>
      <c r="AZ90" s="206">
        <f t="shared" si="123"/>
        <v>0</v>
      </c>
      <c r="BA90" s="206">
        <f t="shared" si="124"/>
        <v>0</v>
      </c>
      <c r="BB90" s="206">
        <f t="shared" si="125"/>
        <v>0</v>
      </c>
      <c r="BC90" s="206">
        <f t="shared" si="126"/>
        <v>0</v>
      </c>
      <c r="BD90" s="206">
        <f t="shared" si="127"/>
        <v>0</v>
      </c>
      <c r="BE90" s="206">
        <f t="shared" si="128"/>
        <v>0</v>
      </c>
      <c r="BF90" s="206">
        <f t="shared" si="129"/>
        <v>0</v>
      </c>
      <c r="BG90" s="206">
        <f t="shared" si="130"/>
        <v>0</v>
      </c>
      <c r="BH90" s="206">
        <f t="shared" si="131"/>
        <v>0</v>
      </c>
      <c r="BI90" s="206">
        <f t="shared" si="132"/>
        <v>0</v>
      </c>
      <c r="BJ90" s="266">
        <f t="shared" si="133"/>
        <v>0</v>
      </c>
      <c r="BK90" s="266">
        <f t="shared" si="134"/>
        <v>0</v>
      </c>
      <c r="BL90" s="192">
        <f t="shared" si="135"/>
        <v>0</v>
      </c>
      <c r="BM90" s="192">
        <f t="shared" si="136"/>
        <v>0</v>
      </c>
      <c r="BN90" s="192">
        <f t="shared" si="137"/>
        <v>0</v>
      </c>
      <c r="BO90" s="192">
        <f t="shared" si="138"/>
        <v>0</v>
      </c>
      <c r="BP90" s="192">
        <f t="shared" si="139"/>
        <v>0</v>
      </c>
      <c r="BQ90" s="193">
        <f t="shared" si="140"/>
        <v>0</v>
      </c>
      <c r="BR90" s="193">
        <f t="shared" si="141"/>
        <v>0</v>
      </c>
      <c r="BS90" s="265">
        <f t="shared" si="145"/>
        <v>0</v>
      </c>
      <c r="BT90" s="265">
        <f t="shared" si="146"/>
        <v>0</v>
      </c>
      <c r="BU90" s="265">
        <f t="shared" si="147"/>
        <v>0</v>
      </c>
      <c r="BV90" s="265">
        <f t="shared" si="148"/>
        <v>0</v>
      </c>
      <c r="BW90" s="265">
        <f t="shared" si="149"/>
        <v>0</v>
      </c>
      <c r="BX90" s="265">
        <f t="shared" si="150"/>
        <v>0</v>
      </c>
      <c r="BY90" s="265">
        <f t="shared" si="151"/>
        <v>0</v>
      </c>
      <c r="BZ90" s="265">
        <f t="shared" si="152"/>
        <v>0</v>
      </c>
      <c r="CA90" s="265">
        <f t="shared" si="153"/>
        <v>0</v>
      </c>
      <c r="CB90" s="269">
        <f t="shared" si="154"/>
        <v>0</v>
      </c>
      <c r="CC90" s="266">
        <f t="shared" si="155"/>
        <v>0</v>
      </c>
      <c r="CD90" s="241"/>
      <c r="CE90" s="198">
        <f t="shared" si="142"/>
        <v>1.0021106474461084E-10</v>
      </c>
      <c r="CF90" s="198">
        <f t="shared" si="156"/>
        <v>0</v>
      </c>
      <c r="CG90" s="198">
        <f t="shared" si="157"/>
        <v>0</v>
      </c>
      <c r="CH90" s="198">
        <f t="shared" si="158"/>
        <v>0</v>
      </c>
      <c r="CI90" s="198">
        <f t="shared" si="159"/>
        <v>0</v>
      </c>
      <c r="CJ90" s="198">
        <f t="shared" si="160"/>
        <v>0</v>
      </c>
      <c r="CK90" s="198">
        <f t="shared" si="161"/>
        <v>0</v>
      </c>
      <c r="CL90" s="198">
        <f t="shared" si="162"/>
        <v>4.3777161692832528E-13</v>
      </c>
      <c r="CM90" s="271">
        <f t="shared" si="163"/>
        <v>0</v>
      </c>
      <c r="CN90" s="198">
        <f t="shared" si="164"/>
        <v>1.0064883636153916E-10</v>
      </c>
      <c r="CO90" s="209">
        <f t="shared" si="143"/>
        <v>1.0021106474461084E-10</v>
      </c>
    </row>
    <row r="91" spans="2:93" x14ac:dyDescent="0.2">
      <c r="B91" s="221">
        <f>'DATA INPUT - DETAIL'!D82</f>
        <v>0</v>
      </c>
      <c r="C91" s="211">
        <f>'DATA INPUT - DETAIL'!E82</f>
        <v>0</v>
      </c>
      <c r="D91" s="257">
        <f>'DATA INPUT - DETAIL'!I82</f>
        <v>0</v>
      </c>
      <c r="E91" s="258">
        <f>'DATA INPUT - DETAIL'!K82</f>
        <v>0</v>
      </c>
      <c r="F91" s="258">
        <f>'DATA INPUT - DETAIL'!L82</f>
        <v>0</v>
      </c>
      <c r="G91" s="179">
        <f>'DATA INPUT - DETAIL'!M82*(1+$V$5)</f>
        <v>0</v>
      </c>
      <c r="H91" s="179">
        <f>'DATA INPUT - DETAIL'!N82*(1+$V$5)</f>
        <v>0</v>
      </c>
      <c r="I91" s="258">
        <f t="shared" si="100"/>
        <v>0</v>
      </c>
      <c r="J91" s="258">
        <f>'DATA INPUT - DETAIL'!O82</f>
        <v>0</v>
      </c>
      <c r="K91" s="258">
        <f>'DATA INPUT - DETAIL'!P82</f>
        <v>0</v>
      </c>
      <c r="L91" s="267">
        <f>ROUNDDOWN('DATA INPUT - DETAIL'!G82,0)</f>
        <v>0</v>
      </c>
      <c r="M91" s="196">
        <f t="shared" si="144"/>
        <v>0</v>
      </c>
      <c r="N91" s="196">
        <f t="shared" si="101"/>
        <v>0</v>
      </c>
      <c r="O91" s="196">
        <f t="shared" si="102"/>
        <v>0</v>
      </c>
      <c r="P91" s="196">
        <f t="shared" si="103"/>
        <v>0</v>
      </c>
      <c r="Q91" s="196">
        <f t="shared" si="104"/>
        <v>0</v>
      </c>
      <c r="R91" s="196">
        <f t="shared" si="105"/>
        <v>0</v>
      </c>
      <c r="S91" s="196">
        <f t="shared" si="106"/>
        <v>0</v>
      </c>
      <c r="T91" s="196">
        <f t="shared" si="107"/>
        <v>0</v>
      </c>
      <c r="U91" s="185">
        <f>(C91&gt;0)*(C91&lt;$E$5)*VLOOKUP(MPP,ASUMSI!$BN$77:$CR$108,B91+1)*(1+$V$4)</f>
        <v>0</v>
      </c>
      <c r="V91" s="196">
        <f t="shared" si="108"/>
        <v>0</v>
      </c>
      <c r="W91" s="196">
        <f t="shared" si="109"/>
        <v>0</v>
      </c>
      <c r="X91" s="196">
        <f t="shared" si="110"/>
        <v>0</v>
      </c>
      <c r="Y91" s="196">
        <f t="shared" si="111"/>
        <v>0</v>
      </c>
      <c r="Z91" s="196">
        <f t="shared" si="112"/>
        <v>0</v>
      </c>
      <c r="AA91" s="185">
        <f t="shared" si="113"/>
        <v>0</v>
      </c>
      <c r="AB91" s="196">
        <f t="shared" si="114"/>
        <v>0</v>
      </c>
      <c r="AC91" s="196">
        <f t="shared" si="114"/>
        <v>0</v>
      </c>
      <c r="AD91" s="196">
        <f t="shared" si="114"/>
        <v>0</v>
      </c>
      <c r="AE91" s="196">
        <f t="shared" si="115"/>
        <v>0</v>
      </c>
      <c r="AF91" s="196">
        <f t="shared" si="116"/>
        <v>0</v>
      </c>
      <c r="AG91" s="196">
        <f t="shared" si="117"/>
        <v>0</v>
      </c>
      <c r="AH91" s="196">
        <f t="shared" si="118"/>
        <v>0</v>
      </c>
      <c r="AI91" s="266">
        <f>'DATA INPUT - DETAIL'!R82</f>
        <v>0</v>
      </c>
      <c r="AJ91" s="266">
        <f>'DATA INPUT - DETAIL'!S82</f>
        <v>0</v>
      </c>
      <c r="AK91" s="266">
        <f>'DATA INPUT - DETAIL'!T82</f>
        <v>0</v>
      </c>
      <c r="AL91" s="266">
        <f>'DATA INPUT - DETAIL'!U82</f>
        <v>0</v>
      </c>
      <c r="AM91" s="266">
        <f>'DATA INPUT - DETAIL'!V82</f>
        <v>0</v>
      </c>
      <c r="AN91" s="266">
        <f>'DATA INPUT - DETAIL'!W82</f>
        <v>0</v>
      </c>
      <c r="AO91" s="198">
        <f t="shared" si="119"/>
        <v>0</v>
      </c>
      <c r="AP91" s="266">
        <f>'DATA INPUT - DETAIL'!X82</f>
        <v>0</v>
      </c>
      <c r="AQ91" s="266">
        <f>'DATA INPUT - DETAIL'!Y82</f>
        <v>0</v>
      </c>
      <c r="AR91" s="266">
        <f>'DATA INPUT - DETAIL'!Z82</f>
        <v>0</v>
      </c>
      <c r="AS91" s="266">
        <f>'DATA INPUT - DETAIL'!AD82</f>
        <v>0</v>
      </c>
      <c r="AT91" s="266">
        <f t="shared" si="120"/>
        <v>0</v>
      </c>
      <c r="AU91" s="206">
        <f>'DATA INPUT - DETAIL'!AA82</f>
        <v>0</v>
      </c>
      <c r="AV91" s="206">
        <f>'DATA INPUT - DETAIL'!AB82</f>
        <v>0</v>
      </c>
      <c r="AW91" s="206">
        <f>'DATA INPUT - DETAIL'!AC82</f>
        <v>0</v>
      </c>
      <c r="AX91" s="206">
        <f t="shared" si="121"/>
        <v>0</v>
      </c>
      <c r="AY91" s="206">
        <f t="shared" si="122"/>
        <v>0</v>
      </c>
      <c r="AZ91" s="206">
        <f t="shared" si="123"/>
        <v>0</v>
      </c>
      <c r="BA91" s="206">
        <f t="shared" si="124"/>
        <v>0</v>
      </c>
      <c r="BB91" s="206">
        <f t="shared" si="125"/>
        <v>0</v>
      </c>
      <c r="BC91" s="206">
        <f t="shared" si="126"/>
        <v>0</v>
      </c>
      <c r="BD91" s="206">
        <f t="shared" si="127"/>
        <v>0</v>
      </c>
      <c r="BE91" s="206">
        <f t="shared" si="128"/>
        <v>0</v>
      </c>
      <c r="BF91" s="206">
        <f t="shared" si="129"/>
        <v>0</v>
      </c>
      <c r="BG91" s="206">
        <f t="shared" si="130"/>
        <v>0</v>
      </c>
      <c r="BH91" s="206">
        <f t="shared" si="131"/>
        <v>0</v>
      </c>
      <c r="BI91" s="206">
        <f t="shared" si="132"/>
        <v>0</v>
      </c>
      <c r="BJ91" s="266">
        <f t="shared" si="133"/>
        <v>0</v>
      </c>
      <c r="BK91" s="266">
        <f t="shared" si="134"/>
        <v>0</v>
      </c>
      <c r="BL91" s="192">
        <f t="shared" si="135"/>
        <v>0</v>
      </c>
      <c r="BM91" s="192">
        <f t="shared" si="136"/>
        <v>0</v>
      </c>
      <c r="BN91" s="192">
        <f t="shared" si="137"/>
        <v>0</v>
      </c>
      <c r="BO91" s="192">
        <f t="shared" si="138"/>
        <v>0</v>
      </c>
      <c r="BP91" s="192">
        <f t="shared" si="139"/>
        <v>0</v>
      </c>
      <c r="BQ91" s="193">
        <f t="shared" si="140"/>
        <v>0</v>
      </c>
      <c r="BR91" s="193">
        <f t="shared" si="141"/>
        <v>0</v>
      </c>
      <c r="BS91" s="265">
        <f t="shared" si="145"/>
        <v>0</v>
      </c>
      <c r="BT91" s="265">
        <f t="shared" si="146"/>
        <v>0</v>
      </c>
      <c r="BU91" s="265">
        <f t="shared" si="147"/>
        <v>0</v>
      </c>
      <c r="BV91" s="265">
        <f t="shared" si="148"/>
        <v>0</v>
      </c>
      <c r="BW91" s="265">
        <f t="shared" si="149"/>
        <v>0</v>
      </c>
      <c r="BX91" s="265">
        <f t="shared" si="150"/>
        <v>0</v>
      </c>
      <c r="BY91" s="265">
        <f t="shared" si="151"/>
        <v>0</v>
      </c>
      <c r="BZ91" s="265">
        <f t="shared" si="152"/>
        <v>0</v>
      </c>
      <c r="CA91" s="265">
        <f t="shared" si="153"/>
        <v>0</v>
      </c>
      <c r="CB91" s="269">
        <f t="shared" si="154"/>
        <v>0</v>
      </c>
      <c r="CC91" s="266">
        <f t="shared" si="155"/>
        <v>0</v>
      </c>
      <c r="CD91" s="241"/>
      <c r="CE91" s="198">
        <f t="shared" si="142"/>
        <v>1.0064883636153916E-10</v>
      </c>
      <c r="CF91" s="198">
        <f t="shared" si="156"/>
        <v>0</v>
      </c>
      <c r="CG91" s="198">
        <f t="shared" si="157"/>
        <v>0</v>
      </c>
      <c r="CH91" s="198">
        <f t="shared" si="158"/>
        <v>0</v>
      </c>
      <c r="CI91" s="198">
        <f t="shared" si="159"/>
        <v>0</v>
      </c>
      <c r="CJ91" s="198">
        <f t="shared" si="160"/>
        <v>0</v>
      </c>
      <c r="CK91" s="198">
        <f t="shared" si="161"/>
        <v>0</v>
      </c>
      <c r="CL91" s="198">
        <f t="shared" si="162"/>
        <v>4.3968402040469237E-13</v>
      </c>
      <c r="CM91" s="271">
        <f t="shared" si="163"/>
        <v>0</v>
      </c>
      <c r="CN91" s="198">
        <f t="shared" si="164"/>
        <v>1.0108852038194386E-10</v>
      </c>
      <c r="CO91" s="209">
        <f t="shared" si="143"/>
        <v>1.0064883636153916E-10</v>
      </c>
    </row>
    <row r="92" spans="2:93" x14ac:dyDescent="0.2">
      <c r="B92" s="221">
        <f>'DATA INPUT - DETAIL'!D83</f>
        <v>0</v>
      </c>
      <c r="C92" s="211">
        <f>'DATA INPUT - DETAIL'!E83</f>
        <v>0</v>
      </c>
      <c r="D92" s="257">
        <f>'DATA INPUT - DETAIL'!I83</f>
        <v>0</v>
      </c>
      <c r="E92" s="258">
        <f>'DATA INPUT - DETAIL'!K83</f>
        <v>0</v>
      </c>
      <c r="F92" s="258">
        <f>'DATA INPUT - DETAIL'!L83</f>
        <v>0</v>
      </c>
      <c r="G92" s="179">
        <f>'DATA INPUT - DETAIL'!M83*(1+$V$5)</f>
        <v>0</v>
      </c>
      <c r="H92" s="179">
        <f>'DATA INPUT - DETAIL'!N83*(1+$V$5)</f>
        <v>0</v>
      </c>
      <c r="I92" s="258">
        <f t="shared" si="100"/>
        <v>0</v>
      </c>
      <c r="J92" s="258">
        <f>'DATA INPUT - DETAIL'!O83</f>
        <v>0</v>
      </c>
      <c r="K92" s="258">
        <f>'DATA INPUT - DETAIL'!P83</f>
        <v>0</v>
      </c>
      <c r="L92" s="267">
        <f>ROUNDDOWN('DATA INPUT - DETAIL'!G83,0)</f>
        <v>0</v>
      </c>
      <c r="M92" s="196">
        <f t="shared" si="144"/>
        <v>0</v>
      </c>
      <c r="N92" s="196">
        <f t="shared" si="101"/>
        <v>0</v>
      </c>
      <c r="O92" s="196">
        <f t="shared" si="102"/>
        <v>0</v>
      </c>
      <c r="P92" s="196">
        <f t="shared" si="103"/>
        <v>0</v>
      </c>
      <c r="Q92" s="196">
        <f t="shared" si="104"/>
        <v>0</v>
      </c>
      <c r="R92" s="196">
        <f t="shared" si="105"/>
        <v>0</v>
      </c>
      <c r="S92" s="196">
        <f t="shared" si="106"/>
        <v>0</v>
      </c>
      <c r="T92" s="196">
        <f t="shared" si="107"/>
        <v>0</v>
      </c>
      <c r="U92" s="185">
        <f>(C92&gt;0)*(C92&lt;$E$5)*VLOOKUP(MPP,ASUMSI!$BN$77:$CR$108,B92+1)*(1+$V$4)</f>
        <v>0</v>
      </c>
      <c r="V92" s="196">
        <f t="shared" si="108"/>
        <v>0</v>
      </c>
      <c r="W92" s="196">
        <f t="shared" si="109"/>
        <v>0</v>
      </c>
      <c r="X92" s="196">
        <f t="shared" si="110"/>
        <v>0</v>
      </c>
      <c r="Y92" s="196">
        <f t="shared" si="111"/>
        <v>0</v>
      </c>
      <c r="Z92" s="196">
        <f t="shared" si="112"/>
        <v>0</v>
      </c>
      <c r="AA92" s="185">
        <f t="shared" si="113"/>
        <v>0</v>
      </c>
      <c r="AB92" s="196">
        <f t="shared" si="114"/>
        <v>0</v>
      </c>
      <c r="AC92" s="196">
        <f t="shared" si="114"/>
        <v>0</v>
      </c>
      <c r="AD92" s="196">
        <f t="shared" si="114"/>
        <v>0</v>
      </c>
      <c r="AE92" s="196">
        <f t="shared" si="115"/>
        <v>0</v>
      </c>
      <c r="AF92" s="196">
        <f t="shared" si="116"/>
        <v>0</v>
      </c>
      <c r="AG92" s="196">
        <f t="shared" si="117"/>
        <v>0</v>
      </c>
      <c r="AH92" s="196">
        <f t="shared" si="118"/>
        <v>0</v>
      </c>
      <c r="AI92" s="266">
        <f>'DATA INPUT - DETAIL'!R83</f>
        <v>0</v>
      </c>
      <c r="AJ92" s="266">
        <f>'DATA INPUT - DETAIL'!S83</f>
        <v>0</v>
      </c>
      <c r="AK92" s="266">
        <f>'DATA INPUT - DETAIL'!T83</f>
        <v>0</v>
      </c>
      <c r="AL92" s="266">
        <f>'DATA INPUT - DETAIL'!U83</f>
        <v>0</v>
      </c>
      <c r="AM92" s="266">
        <f>'DATA INPUT - DETAIL'!V83</f>
        <v>0</v>
      </c>
      <c r="AN92" s="266">
        <f>'DATA INPUT - DETAIL'!W83</f>
        <v>0</v>
      </c>
      <c r="AO92" s="198">
        <f t="shared" si="119"/>
        <v>0</v>
      </c>
      <c r="AP92" s="266">
        <f>'DATA INPUT - DETAIL'!X83</f>
        <v>0</v>
      </c>
      <c r="AQ92" s="266">
        <f>'DATA INPUT - DETAIL'!Y83</f>
        <v>0</v>
      </c>
      <c r="AR92" s="266">
        <f>'DATA INPUT - DETAIL'!Z83</f>
        <v>0</v>
      </c>
      <c r="AS92" s="266">
        <f>'DATA INPUT - DETAIL'!AD83</f>
        <v>0</v>
      </c>
      <c r="AT92" s="266">
        <f t="shared" si="120"/>
        <v>0</v>
      </c>
      <c r="AU92" s="206">
        <f>'DATA INPUT - DETAIL'!AA83</f>
        <v>0</v>
      </c>
      <c r="AV92" s="206">
        <f>'DATA INPUT - DETAIL'!AB83</f>
        <v>0</v>
      </c>
      <c r="AW92" s="206">
        <f>'DATA INPUT - DETAIL'!AC83</f>
        <v>0</v>
      </c>
      <c r="AX92" s="206">
        <f t="shared" si="121"/>
        <v>0</v>
      </c>
      <c r="AY92" s="206">
        <f t="shared" si="122"/>
        <v>0</v>
      </c>
      <c r="AZ92" s="206">
        <f t="shared" si="123"/>
        <v>0</v>
      </c>
      <c r="BA92" s="206">
        <f t="shared" si="124"/>
        <v>0</v>
      </c>
      <c r="BB92" s="206">
        <f t="shared" si="125"/>
        <v>0</v>
      </c>
      <c r="BC92" s="206">
        <f t="shared" si="126"/>
        <v>0</v>
      </c>
      <c r="BD92" s="206">
        <f t="shared" si="127"/>
        <v>0</v>
      </c>
      <c r="BE92" s="206">
        <f t="shared" si="128"/>
        <v>0</v>
      </c>
      <c r="BF92" s="206">
        <f t="shared" si="129"/>
        <v>0</v>
      </c>
      <c r="BG92" s="206">
        <f t="shared" si="130"/>
        <v>0</v>
      </c>
      <c r="BH92" s="206">
        <f t="shared" si="131"/>
        <v>0</v>
      </c>
      <c r="BI92" s="206">
        <f t="shared" si="132"/>
        <v>0</v>
      </c>
      <c r="BJ92" s="266">
        <f t="shared" si="133"/>
        <v>0</v>
      </c>
      <c r="BK92" s="266">
        <f t="shared" si="134"/>
        <v>0</v>
      </c>
      <c r="BL92" s="192">
        <f t="shared" si="135"/>
        <v>0</v>
      </c>
      <c r="BM92" s="192">
        <f t="shared" si="136"/>
        <v>0</v>
      </c>
      <c r="BN92" s="192">
        <f t="shared" si="137"/>
        <v>0</v>
      </c>
      <c r="BO92" s="192">
        <f t="shared" si="138"/>
        <v>0</v>
      </c>
      <c r="BP92" s="192">
        <f t="shared" si="139"/>
        <v>0</v>
      </c>
      <c r="BQ92" s="193">
        <f t="shared" si="140"/>
        <v>0</v>
      </c>
      <c r="BR92" s="193">
        <f t="shared" si="141"/>
        <v>0</v>
      </c>
      <c r="BS92" s="265">
        <f t="shared" si="145"/>
        <v>0</v>
      </c>
      <c r="BT92" s="265">
        <f t="shared" si="146"/>
        <v>0</v>
      </c>
      <c r="BU92" s="265">
        <f t="shared" si="147"/>
        <v>0</v>
      </c>
      <c r="BV92" s="265">
        <f t="shared" si="148"/>
        <v>0</v>
      </c>
      <c r="BW92" s="265">
        <f t="shared" si="149"/>
        <v>0</v>
      </c>
      <c r="BX92" s="265">
        <f t="shared" si="150"/>
        <v>0</v>
      </c>
      <c r="BY92" s="265">
        <f t="shared" si="151"/>
        <v>0</v>
      </c>
      <c r="BZ92" s="265">
        <f t="shared" si="152"/>
        <v>0</v>
      </c>
      <c r="CA92" s="265">
        <f t="shared" si="153"/>
        <v>0</v>
      </c>
      <c r="CB92" s="269">
        <f t="shared" si="154"/>
        <v>0</v>
      </c>
      <c r="CC92" s="266">
        <f t="shared" si="155"/>
        <v>0</v>
      </c>
      <c r="CD92" s="241"/>
      <c r="CE92" s="198">
        <f t="shared" si="142"/>
        <v>1.0108852038194386E-10</v>
      </c>
      <c r="CF92" s="198">
        <f t="shared" si="156"/>
        <v>0</v>
      </c>
      <c r="CG92" s="198">
        <f t="shared" si="157"/>
        <v>0</v>
      </c>
      <c r="CH92" s="198">
        <f t="shared" si="158"/>
        <v>0</v>
      </c>
      <c r="CI92" s="198">
        <f t="shared" si="159"/>
        <v>0</v>
      </c>
      <c r="CJ92" s="198">
        <f t="shared" si="160"/>
        <v>0</v>
      </c>
      <c r="CK92" s="198">
        <f t="shared" si="161"/>
        <v>0</v>
      </c>
      <c r="CL92" s="198">
        <f t="shared" si="162"/>
        <v>4.4160477820764207E-13</v>
      </c>
      <c r="CM92" s="271">
        <f t="shared" si="163"/>
        <v>0</v>
      </c>
      <c r="CN92" s="198">
        <f t="shared" si="164"/>
        <v>1.015301251601515E-10</v>
      </c>
      <c r="CO92" s="209">
        <f t="shared" si="143"/>
        <v>1.0108852038194386E-10</v>
      </c>
    </row>
    <row r="93" spans="2:93" x14ac:dyDescent="0.2">
      <c r="B93" s="221">
        <f>'DATA INPUT - DETAIL'!D84</f>
        <v>0</v>
      </c>
      <c r="C93" s="211">
        <f>'DATA INPUT - DETAIL'!E84</f>
        <v>0</v>
      </c>
      <c r="D93" s="257">
        <f>'DATA INPUT - DETAIL'!I84</f>
        <v>0</v>
      </c>
      <c r="E93" s="258">
        <f>'DATA INPUT - DETAIL'!K84</f>
        <v>0</v>
      </c>
      <c r="F93" s="258">
        <f>'DATA INPUT - DETAIL'!L84</f>
        <v>0</v>
      </c>
      <c r="G93" s="179">
        <f>'DATA INPUT - DETAIL'!M84*(1+$V$5)</f>
        <v>0</v>
      </c>
      <c r="H93" s="179">
        <f>'DATA INPUT - DETAIL'!N84*(1+$V$5)</f>
        <v>0</v>
      </c>
      <c r="I93" s="258">
        <f t="shared" si="100"/>
        <v>0</v>
      </c>
      <c r="J93" s="258">
        <f>'DATA INPUT - DETAIL'!O84</f>
        <v>0</v>
      </c>
      <c r="K93" s="258">
        <f>'DATA INPUT - DETAIL'!P84</f>
        <v>0</v>
      </c>
      <c r="L93" s="267">
        <f>ROUNDDOWN('DATA INPUT - DETAIL'!G84,0)</f>
        <v>0</v>
      </c>
      <c r="M93" s="196">
        <f t="shared" si="144"/>
        <v>0</v>
      </c>
      <c r="N93" s="196">
        <f t="shared" si="101"/>
        <v>0</v>
      </c>
      <c r="O93" s="196">
        <f t="shared" si="102"/>
        <v>0</v>
      </c>
      <c r="P93" s="196">
        <f t="shared" si="103"/>
        <v>0</v>
      </c>
      <c r="Q93" s="196">
        <f t="shared" si="104"/>
        <v>0</v>
      </c>
      <c r="R93" s="196">
        <f t="shared" si="105"/>
        <v>0</v>
      </c>
      <c r="S93" s="196">
        <f t="shared" si="106"/>
        <v>0</v>
      </c>
      <c r="T93" s="196">
        <f t="shared" si="107"/>
        <v>0</v>
      </c>
      <c r="U93" s="185">
        <f>(C93&gt;0)*(C93&lt;$E$5)*VLOOKUP(MPP,ASUMSI!$BN$77:$CR$108,B93+1)*(1+$V$4)</f>
        <v>0</v>
      </c>
      <c r="V93" s="196">
        <f t="shared" si="108"/>
        <v>0</v>
      </c>
      <c r="W93" s="196">
        <f t="shared" si="109"/>
        <v>0</v>
      </c>
      <c r="X93" s="196">
        <f t="shared" si="110"/>
        <v>0</v>
      </c>
      <c r="Y93" s="196">
        <f t="shared" si="111"/>
        <v>0</v>
      </c>
      <c r="Z93" s="196">
        <f t="shared" si="112"/>
        <v>0</v>
      </c>
      <c r="AA93" s="185">
        <f t="shared" si="113"/>
        <v>0</v>
      </c>
      <c r="AB93" s="196">
        <f t="shared" si="114"/>
        <v>0</v>
      </c>
      <c r="AC93" s="196">
        <f t="shared" si="114"/>
        <v>0</v>
      </c>
      <c r="AD93" s="196">
        <f t="shared" si="114"/>
        <v>0</v>
      </c>
      <c r="AE93" s="196">
        <f t="shared" si="115"/>
        <v>0</v>
      </c>
      <c r="AF93" s="196">
        <f t="shared" si="116"/>
        <v>0</v>
      </c>
      <c r="AG93" s="196">
        <f t="shared" si="117"/>
        <v>0</v>
      </c>
      <c r="AH93" s="196">
        <f t="shared" si="118"/>
        <v>0</v>
      </c>
      <c r="AI93" s="266">
        <f>'DATA INPUT - DETAIL'!R84</f>
        <v>0</v>
      </c>
      <c r="AJ93" s="266">
        <f>'DATA INPUT - DETAIL'!S84</f>
        <v>0</v>
      </c>
      <c r="AK93" s="266">
        <f>'DATA INPUT - DETAIL'!T84</f>
        <v>0</v>
      </c>
      <c r="AL93" s="266">
        <f>'DATA INPUT - DETAIL'!U84</f>
        <v>0</v>
      </c>
      <c r="AM93" s="266">
        <f>'DATA INPUT - DETAIL'!V84</f>
        <v>0</v>
      </c>
      <c r="AN93" s="266">
        <f>'DATA INPUT - DETAIL'!W84</f>
        <v>0</v>
      </c>
      <c r="AO93" s="198">
        <f t="shared" si="119"/>
        <v>0</v>
      </c>
      <c r="AP93" s="266">
        <f>'DATA INPUT - DETAIL'!X84</f>
        <v>0</v>
      </c>
      <c r="AQ93" s="266">
        <f>'DATA INPUT - DETAIL'!Y84</f>
        <v>0</v>
      </c>
      <c r="AR93" s="266">
        <f>'DATA INPUT - DETAIL'!Z84</f>
        <v>0</v>
      </c>
      <c r="AS93" s="266">
        <f>'DATA INPUT - DETAIL'!AD84</f>
        <v>0</v>
      </c>
      <c r="AT93" s="266">
        <f t="shared" si="120"/>
        <v>0</v>
      </c>
      <c r="AU93" s="206">
        <f>'DATA INPUT - DETAIL'!AA84</f>
        <v>0</v>
      </c>
      <c r="AV93" s="206">
        <f>'DATA INPUT - DETAIL'!AB84</f>
        <v>0</v>
      </c>
      <c r="AW93" s="206">
        <f>'DATA INPUT - DETAIL'!AC84</f>
        <v>0</v>
      </c>
      <c r="AX93" s="206">
        <f t="shared" si="121"/>
        <v>0</v>
      </c>
      <c r="AY93" s="206">
        <f t="shared" si="122"/>
        <v>0</v>
      </c>
      <c r="AZ93" s="206">
        <f t="shared" si="123"/>
        <v>0</v>
      </c>
      <c r="BA93" s="206">
        <f t="shared" si="124"/>
        <v>0</v>
      </c>
      <c r="BB93" s="206">
        <f t="shared" si="125"/>
        <v>0</v>
      </c>
      <c r="BC93" s="206">
        <f t="shared" si="126"/>
        <v>0</v>
      </c>
      <c r="BD93" s="206">
        <f t="shared" si="127"/>
        <v>0</v>
      </c>
      <c r="BE93" s="206">
        <f t="shared" si="128"/>
        <v>0</v>
      </c>
      <c r="BF93" s="206">
        <f t="shared" si="129"/>
        <v>0</v>
      </c>
      <c r="BG93" s="206">
        <f t="shared" si="130"/>
        <v>0</v>
      </c>
      <c r="BH93" s="206">
        <f t="shared" si="131"/>
        <v>0</v>
      </c>
      <c r="BI93" s="206">
        <f t="shared" si="132"/>
        <v>0</v>
      </c>
      <c r="BJ93" s="266">
        <f t="shared" si="133"/>
        <v>0</v>
      </c>
      <c r="BK93" s="266">
        <f t="shared" si="134"/>
        <v>0</v>
      </c>
      <c r="BL93" s="192">
        <f t="shared" si="135"/>
        <v>0</v>
      </c>
      <c r="BM93" s="192">
        <f t="shared" si="136"/>
        <v>0</v>
      </c>
      <c r="BN93" s="192">
        <f t="shared" si="137"/>
        <v>0</v>
      </c>
      <c r="BO93" s="192">
        <f t="shared" si="138"/>
        <v>0</v>
      </c>
      <c r="BP93" s="192">
        <f t="shared" si="139"/>
        <v>0</v>
      </c>
      <c r="BQ93" s="193">
        <f t="shared" si="140"/>
        <v>0</v>
      </c>
      <c r="BR93" s="193">
        <f t="shared" si="141"/>
        <v>0</v>
      </c>
      <c r="BS93" s="265">
        <f t="shared" si="145"/>
        <v>0</v>
      </c>
      <c r="BT93" s="265">
        <f t="shared" si="146"/>
        <v>0</v>
      </c>
      <c r="BU93" s="265">
        <f t="shared" si="147"/>
        <v>0</v>
      </c>
      <c r="BV93" s="265">
        <f t="shared" si="148"/>
        <v>0</v>
      </c>
      <c r="BW93" s="265">
        <f t="shared" si="149"/>
        <v>0</v>
      </c>
      <c r="BX93" s="265">
        <f t="shared" si="150"/>
        <v>0</v>
      </c>
      <c r="BY93" s="265">
        <f t="shared" si="151"/>
        <v>0</v>
      </c>
      <c r="BZ93" s="265">
        <f t="shared" si="152"/>
        <v>0</v>
      </c>
      <c r="CA93" s="265">
        <f t="shared" si="153"/>
        <v>0</v>
      </c>
      <c r="CB93" s="269">
        <f t="shared" si="154"/>
        <v>0</v>
      </c>
      <c r="CC93" s="266">
        <f t="shared" si="155"/>
        <v>0</v>
      </c>
      <c r="CD93" s="241"/>
      <c r="CE93" s="198">
        <f t="shared" si="142"/>
        <v>1.015301251601515E-10</v>
      </c>
      <c r="CF93" s="198">
        <f t="shared" si="156"/>
        <v>0</v>
      </c>
      <c r="CG93" s="198">
        <f t="shared" si="157"/>
        <v>0</v>
      </c>
      <c r="CH93" s="198">
        <f t="shared" si="158"/>
        <v>0</v>
      </c>
      <c r="CI93" s="198">
        <f t="shared" si="159"/>
        <v>0</v>
      </c>
      <c r="CJ93" s="198">
        <f t="shared" si="160"/>
        <v>0</v>
      </c>
      <c r="CK93" s="198">
        <f t="shared" si="161"/>
        <v>0</v>
      </c>
      <c r="CL93" s="198">
        <f t="shared" si="162"/>
        <v>4.435339268330151E-13</v>
      </c>
      <c r="CM93" s="271">
        <f t="shared" si="163"/>
        <v>0</v>
      </c>
      <c r="CN93" s="198">
        <f t="shared" si="164"/>
        <v>1.0197365908698451E-10</v>
      </c>
      <c r="CO93" s="209">
        <f t="shared" si="143"/>
        <v>1.015301251601515E-10</v>
      </c>
    </row>
    <row r="94" spans="2:93" x14ac:dyDescent="0.2">
      <c r="B94" s="221">
        <f>'DATA INPUT - DETAIL'!D85</f>
        <v>0</v>
      </c>
      <c r="C94" s="211">
        <f>'DATA INPUT - DETAIL'!E85</f>
        <v>0</v>
      </c>
      <c r="D94" s="257">
        <f>'DATA INPUT - DETAIL'!I85</f>
        <v>0</v>
      </c>
      <c r="E94" s="258">
        <f>'DATA INPUT - DETAIL'!K85</f>
        <v>0</v>
      </c>
      <c r="F94" s="258">
        <f>'DATA INPUT - DETAIL'!L85</f>
        <v>0</v>
      </c>
      <c r="G94" s="179">
        <f>'DATA INPUT - DETAIL'!M85*(1+$V$5)</f>
        <v>0</v>
      </c>
      <c r="H94" s="179">
        <f>'DATA INPUT - DETAIL'!N85*(1+$V$5)</f>
        <v>0</v>
      </c>
      <c r="I94" s="258">
        <f t="shared" si="100"/>
        <v>0</v>
      </c>
      <c r="J94" s="258">
        <f>'DATA INPUT - DETAIL'!O85</f>
        <v>0</v>
      </c>
      <c r="K94" s="258">
        <f>'DATA INPUT - DETAIL'!P85</f>
        <v>0</v>
      </c>
      <c r="L94" s="267">
        <f>ROUNDDOWN('DATA INPUT - DETAIL'!G85,0)</f>
        <v>0</v>
      </c>
      <c r="M94" s="196">
        <f t="shared" si="144"/>
        <v>0</v>
      </c>
      <c r="N94" s="196">
        <f t="shared" si="101"/>
        <v>0</v>
      </c>
      <c r="O94" s="196">
        <f t="shared" si="102"/>
        <v>0</v>
      </c>
      <c r="P94" s="196">
        <f t="shared" si="103"/>
        <v>0</v>
      </c>
      <c r="Q94" s="196">
        <f t="shared" si="104"/>
        <v>0</v>
      </c>
      <c r="R94" s="196">
        <f t="shared" si="105"/>
        <v>0</v>
      </c>
      <c r="S94" s="196">
        <f t="shared" si="106"/>
        <v>0</v>
      </c>
      <c r="T94" s="196">
        <f t="shared" si="107"/>
        <v>0</v>
      </c>
      <c r="U94" s="185">
        <f>(C94&gt;0)*(C94&lt;$E$5)*VLOOKUP(MPP,ASUMSI!$BN$77:$CR$108,B94+1)*(1+$V$4)</f>
        <v>0</v>
      </c>
      <c r="V94" s="196">
        <f t="shared" si="108"/>
        <v>0</v>
      </c>
      <c r="W94" s="196">
        <f t="shared" si="109"/>
        <v>0</v>
      </c>
      <c r="X94" s="196">
        <f t="shared" si="110"/>
        <v>0</v>
      </c>
      <c r="Y94" s="196">
        <f t="shared" si="111"/>
        <v>0</v>
      </c>
      <c r="Z94" s="196">
        <f t="shared" si="112"/>
        <v>0</v>
      </c>
      <c r="AA94" s="185">
        <f t="shared" si="113"/>
        <v>0</v>
      </c>
      <c r="AB94" s="196">
        <f t="shared" si="114"/>
        <v>0</v>
      </c>
      <c r="AC94" s="196">
        <f t="shared" si="114"/>
        <v>0</v>
      </c>
      <c r="AD94" s="196">
        <f t="shared" si="114"/>
        <v>0</v>
      </c>
      <c r="AE94" s="196">
        <f t="shared" si="115"/>
        <v>0</v>
      </c>
      <c r="AF94" s="196">
        <f t="shared" si="116"/>
        <v>0</v>
      </c>
      <c r="AG94" s="196">
        <f t="shared" si="117"/>
        <v>0</v>
      </c>
      <c r="AH94" s="196">
        <f t="shared" si="118"/>
        <v>0</v>
      </c>
      <c r="AI94" s="266">
        <f>'DATA INPUT - DETAIL'!R85</f>
        <v>0</v>
      </c>
      <c r="AJ94" s="266">
        <f>'DATA INPUT - DETAIL'!S85</f>
        <v>0</v>
      </c>
      <c r="AK94" s="266">
        <f>'DATA INPUT - DETAIL'!T85</f>
        <v>0</v>
      </c>
      <c r="AL94" s="266">
        <f>'DATA INPUT - DETAIL'!U85</f>
        <v>0</v>
      </c>
      <c r="AM94" s="266">
        <f>'DATA INPUT - DETAIL'!V85</f>
        <v>0</v>
      </c>
      <c r="AN94" s="266">
        <f>'DATA INPUT - DETAIL'!W85</f>
        <v>0</v>
      </c>
      <c r="AO94" s="198">
        <f t="shared" si="119"/>
        <v>0</v>
      </c>
      <c r="AP94" s="266">
        <f>'DATA INPUT - DETAIL'!X85</f>
        <v>0</v>
      </c>
      <c r="AQ94" s="266">
        <f>'DATA INPUT - DETAIL'!Y85</f>
        <v>0</v>
      </c>
      <c r="AR94" s="266">
        <f>'DATA INPUT - DETAIL'!Z85</f>
        <v>0</v>
      </c>
      <c r="AS94" s="266">
        <f>'DATA INPUT - DETAIL'!AD85</f>
        <v>0</v>
      </c>
      <c r="AT94" s="266">
        <f t="shared" si="120"/>
        <v>0</v>
      </c>
      <c r="AU94" s="206">
        <f>'DATA INPUT - DETAIL'!AA85</f>
        <v>0</v>
      </c>
      <c r="AV94" s="206">
        <f>'DATA INPUT - DETAIL'!AB85</f>
        <v>0</v>
      </c>
      <c r="AW94" s="206">
        <f>'DATA INPUT - DETAIL'!AC85</f>
        <v>0</v>
      </c>
      <c r="AX94" s="206">
        <f t="shared" si="121"/>
        <v>0</v>
      </c>
      <c r="AY94" s="206">
        <f t="shared" si="122"/>
        <v>0</v>
      </c>
      <c r="AZ94" s="206">
        <f t="shared" si="123"/>
        <v>0</v>
      </c>
      <c r="BA94" s="206">
        <f t="shared" si="124"/>
        <v>0</v>
      </c>
      <c r="BB94" s="206">
        <f t="shared" si="125"/>
        <v>0</v>
      </c>
      <c r="BC94" s="206">
        <f t="shared" si="126"/>
        <v>0</v>
      </c>
      <c r="BD94" s="206">
        <f t="shared" si="127"/>
        <v>0</v>
      </c>
      <c r="BE94" s="206">
        <f t="shared" si="128"/>
        <v>0</v>
      </c>
      <c r="BF94" s="206">
        <f t="shared" si="129"/>
        <v>0</v>
      </c>
      <c r="BG94" s="206">
        <f t="shared" si="130"/>
        <v>0</v>
      </c>
      <c r="BH94" s="206">
        <f t="shared" si="131"/>
        <v>0</v>
      </c>
      <c r="BI94" s="206">
        <f t="shared" si="132"/>
        <v>0</v>
      </c>
      <c r="BJ94" s="266">
        <f t="shared" si="133"/>
        <v>0</v>
      </c>
      <c r="BK94" s="266">
        <f t="shared" si="134"/>
        <v>0</v>
      </c>
      <c r="BL94" s="192">
        <f t="shared" si="135"/>
        <v>0</v>
      </c>
      <c r="BM94" s="192">
        <f t="shared" si="136"/>
        <v>0</v>
      </c>
      <c r="BN94" s="192">
        <f t="shared" si="137"/>
        <v>0</v>
      </c>
      <c r="BO94" s="192">
        <f t="shared" si="138"/>
        <v>0</v>
      </c>
      <c r="BP94" s="192">
        <f t="shared" si="139"/>
        <v>0</v>
      </c>
      <c r="BQ94" s="193">
        <f t="shared" si="140"/>
        <v>0</v>
      </c>
      <c r="BR94" s="193">
        <f t="shared" si="141"/>
        <v>0</v>
      </c>
      <c r="BS94" s="265">
        <f t="shared" si="145"/>
        <v>0</v>
      </c>
      <c r="BT94" s="265">
        <f t="shared" si="146"/>
        <v>0</v>
      </c>
      <c r="BU94" s="265">
        <f t="shared" si="147"/>
        <v>0</v>
      </c>
      <c r="BV94" s="265">
        <f t="shared" si="148"/>
        <v>0</v>
      </c>
      <c r="BW94" s="265">
        <f t="shared" si="149"/>
        <v>0</v>
      </c>
      <c r="BX94" s="265">
        <f t="shared" si="150"/>
        <v>0</v>
      </c>
      <c r="BY94" s="265">
        <f t="shared" si="151"/>
        <v>0</v>
      </c>
      <c r="BZ94" s="265">
        <f t="shared" si="152"/>
        <v>0</v>
      </c>
      <c r="CA94" s="265">
        <f t="shared" si="153"/>
        <v>0</v>
      </c>
      <c r="CB94" s="269">
        <f t="shared" si="154"/>
        <v>0</v>
      </c>
      <c r="CC94" s="266">
        <f t="shared" si="155"/>
        <v>0</v>
      </c>
      <c r="CD94" s="241"/>
      <c r="CE94" s="198">
        <f t="shared" si="142"/>
        <v>1.0197365908698451E-10</v>
      </c>
      <c r="CF94" s="198">
        <f t="shared" si="156"/>
        <v>0</v>
      </c>
      <c r="CG94" s="198">
        <f t="shared" si="157"/>
        <v>0</v>
      </c>
      <c r="CH94" s="198">
        <f t="shared" si="158"/>
        <v>0</v>
      </c>
      <c r="CI94" s="198">
        <f t="shared" si="159"/>
        <v>0</v>
      </c>
      <c r="CJ94" s="198">
        <f t="shared" si="160"/>
        <v>0</v>
      </c>
      <c r="CK94" s="198">
        <f t="shared" si="161"/>
        <v>0</v>
      </c>
      <c r="CL94" s="198">
        <f t="shared" si="162"/>
        <v>4.4547150293608407E-13</v>
      </c>
      <c r="CM94" s="271">
        <f t="shared" si="163"/>
        <v>0</v>
      </c>
      <c r="CN94" s="198">
        <f t="shared" si="164"/>
        <v>1.024191305899206E-10</v>
      </c>
      <c r="CO94" s="209">
        <f t="shared" si="143"/>
        <v>1.0197365908698451E-10</v>
      </c>
    </row>
    <row r="95" spans="2:93" x14ac:dyDescent="0.2">
      <c r="B95" s="221">
        <f>'DATA INPUT - DETAIL'!D86</f>
        <v>0</v>
      </c>
      <c r="C95" s="211">
        <f>'DATA INPUT - DETAIL'!E86</f>
        <v>0</v>
      </c>
      <c r="D95" s="257">
        <f>'DATA INPUT - DETAIL'!I86</f>
        <v>0</v>
      </c>
      <c r="E95" s="258">
        <f>'DATA INPUT - DETAIL'!K86</f>
        <v>0</v>
      </c>
      <c r="F95" s="258">
        <f>'DATA INPUT - DETAIL'!L86</f>
        <v>0</v>
      </c>
      <c r="G95" s="179">
        <f>'DATA INPUT - DETAIL'!M86*(1+$V$5)</f>
        <v>0</v>
      </c>
      <c r="H95" s="179">
        <f>'DATA INPUT - DETAIL'!N86*(1+$V$5)</f>
        <v>0</v>
      </c>
      <c r="I95" s="258">
        <f t="shared" si="100"/>
        <v>0</v>
      </c>
      <c r="J95" s="258">
        <f>'DATA INPUT - DETAIL'!O86</f>
        <v>0</v>
      </c>
      <c r="K95" s="258">
        <f>'DATA INPUT - DETAIL'!P86</f>
        <v>0</v>
      </c>
      <c r="L95" s="267">
        <f>ROUNDDOWN('DATA INPUT - DETAIL'!G86,0)</f>
        <v>0</v>
      </c>
      <c r="M95" s="196">
        <f t="shared" si="144"/>
        <v>0</v>
      </c>
      <c r="N95" s="196">
        <f t="shared" si="101"/>
        <v>0</v>
      </c>
      <c r="O95" s="196">
        <f t="shared" si="102"/>
        <v>0</v>
      </c>
      <c r="P95" s="196">
        <f t="shared" si="103"/>
        <v>0</v>
      </c>
      <c r="Q95" s="196">
        <f t="shared" si="104"/>
        <v>0</v>
      </c>
      <c r="R95" s="196">
        <f t="shared" si="105"/>
        <v>0</v>
      </c>
      <c r="S95" s="196">
        <f t="shared" si="106"/>
        <v>0</v>
      </c>
      <c r="T95" s="196">
        <f t="shared" si="107"/>
        <v>0</v>
      </c>
      <c r="U95" s="185">
        <f>(C95&gt;0)*(C95&lt;$E$5)*VLOOKUP(MPP,ASUMSI!$BN$77:$CR$108,B95+1)*(1+$V$4)</f>
        <v>0</v>
      </c>
      <c r="V95" s="196">
        <f t="shared" si="108"/>
        <v>0</v>
      </c>
      <c r="W95" s="196">
        <f t="shared" si="109"/>
        <v>0</v>
      </c>
      <c r="X95" s="196">
        <f t="shared" si="110"/>
        <v>0</v>
      </c>
      <c r="Y95" s="196">
        <f t="shared" si="111"/>
        <v>0</v>
      </c>
      <c r="Z95" s="196">
        <f t="shared" si="112"/>
        <v>0</v>
      </c>
      <c r="AA95" s="185">
        <f t="shared" si="113"/>
        <v>0</v>
      </c>
      <c r="AB95" s="196">
        <f t="shared" si="114"/>
        <v>0</v>
      </c>
      <c r="AC95" s="196">
        <f t="shared" si="114"/>
        <v>0</v>
      </c>
      <c r="AD95" s="196">
        <f t="shared" si="114"/>
        <v>0</v>
      </c>
      <c r="AE95" s="196">
        <f t="shared" si="115"/>
        <v>0</v>
      </c>
      <c r="AF95" s="196">
        <f t="shared" si="116"/>
        <v>0</v>
      </c>
      <c r="AG95" s="196">
        <f t="shared" si="117"/>
        <v>0</v>
      </c>
      <c r="AH95" s="196">
        <f t="shared" si="118"/>
        <v>0</v>
      </c>
      <c r="AI95" s="266">
        <f>'DATA INPUT - DETAIL'!R86</f>
        <v>0</v>
      </c>
      <c r="AJ95" s="266">
        <f>'DATA INPUT - DETAIL'!S86</f>
        <v>0</v>
      </c>
      <c r="AK95" s="266">
        <f>'DATA INPUT - DETAIL'!T86</f>
        <v>0</v>
      </c>
      <c r="AL95" s="266">
        <f>'DATA INPUT - DETAIL'!U86</f>
        <v>0</v>
      </c>
      <c r="AM95" s="266">
        <f>'DATA INPUT - DETAIL'!V86</f>
        <v>0</v>
      </c>
      <c r="AN95" s="266">
        <f>'DATA INPUT - DETAIL'!W86</f>
        <v>0</v>
      </c>
      <c r="AO95" s="198">
        <f t="shared" si="119"/>
        <v>0</v>
      </c>
      <c r="AP95" s="266">
        <f>'DATA INPUT - DETAIL'!X86</f>
        <v>0</v>
      </c>
      <c r="AQ95" s="266">
        <f>'DATA INPUT - DETAIL'!Y86</f>
        <v>0</v>
      </c>
      <c r="AR95" s="266">
        <f>'DATA INPUT - DETAIL'!Z86</f>
        <v>0</v>
      </c>
      <c r="AS95" s="266">
        <f>'DATA INPUT - DETAIL'!AD86</f>
        <v>0</v>
      </c>
      <c r="AT95" s="266">
        <f t="shared" si="120"/>
        <v>0</v>
      </c>
      <c r="AU95" s="206">
        <f>'DATA INPUT - DETAIL'!AA86</f>
        <v>0</v>
      </c>
      <c r="AV95" s="206">
        <f>'DATA INPUT - DETAIL'!AB86</f>
        <v>0</v>
      </c>
      <c r="AW95" s="206">
        <f>'DATA INPUT - DETAIL'!AC86</f>
        <v>0</v>
      </c>
      <c r="AX95" s="206">
        <f t="shared" si="121"/>
        <v>0</v>
      </c>
      <c r="AY95" s="206">
        <f t="shared" si="122"/>
        <v>0</v>
      </c>
      <c r="AZ95" s="206">
        <f t="shared" si="123"/>
        <v>0</v>
      </c>
      <c r="BA95" s="206">
        <f t="shared" si="124"/>
        <v>0</v>
      </c>
      <c r="BB95" s="206">
        <f t="shared" si="125"/>
        <v>0</v>
      </c>
      <c r="BC95" s="206">
        <f t="shared" si="126"/>
        <v>0</v>
      </c>
      <c r="BD95" s="206">
        <f t="shared" si="127"/>
        <v>0</v>
      </c>
      <c r="BE95" s="206">
        <f t="shared" si="128"/>
        <v>0</v>
      </c>
      <c r="BF95" s="206">
        <f t="shared" si="129"/>
        <v>0</v>
      </c>
      <c r="BG95" s="206">
        <f t="shared" si="130"/>
        <v>0</v>
      </c>
      <c r="BH95" s="206">
        <f t="shared" si="131"/>
        <v>0</v>
      </c>
      <c r="BI95" s="206">
        <f t="shared" si="132"/>
        <v>0</v>
      </c>
      <c r="BJ95" s="266">
        <f t="shared" si="133"/>
        <v>0</v>
      </c>
      <c r="BK95" s="266">
        <f t="shared" si="134"/>
        <v>0</v>
      </c>
      <c r="BL95" s="192">
        <f t="shared" si="135"/>
        <v>0</v>
      </c>
      <c r="BM95" s="192">
        <f t="shared" si="136"/>
        <v>0</v>
      </c>
      <c r="BN95" s="192">
        <f t="shared" si="137"/>
        <v>0</v>
      </c>
      <c r="BO95" s="192">
        <f t="shared" si="138"/>
        <v>0</v>
      </c>
      <c r="BP95" s="192">
        <f t="shared" si="139"/>
        <v>0</v>
      </c>
      <c r="BQ95" s="193">
        <f t="shared" si="140"/>
        <v>0</v>
      </c>
      <c r="BR95" s="193">
        <f t="shared" si="141"/>
        <v>0</v>
      </c>
      <c r="BS95" s="265">
        <f t="shared" si="145"/>
        <v>0</v>
      </c>
      <c r="BT95" s="265">
        <f t="shared" si="146"/>
        <v>0</v>
      </c>
      <c r="BU95" s="265">
        <f t="shared" si="147"/>
        <v>0</v>
      </c>
      <c r="BV95" s="265">
        <f t="shared" si="148"/>
        <v>0</v>
      </c>
      <c r="BW95" s="265">
        <f t="shared" si="149"/>
        <v>0</v>
      </c>
      <c r="BX95" s="265">
        <f t="shared" si="150"/>
        <v>0</v>
      </c>
      <c r="BY95" s="265">
        <f t="shared" si="151"/>
        <v>0</v>
      </c>
      <c r="BZ95" s="265">
        <f t="shared" si="152"/>
        <v>0</v>
      </c>
      <c r="CA95" s="265">
        <f t="shared" si="153"/>
        <v>0</v>
      </c>
      <c r="CB95" s="269">
        <f t="shared" si="154"/>
        <v>0</v>
      </c>
      <c r="CC95" s="266">
        <f t="shared" si="155"/>
        <v>0</v>
      </c>
      <c r="CD95" s="241"/>
      <c r="CE95" s="198">
        <f t="shared" si="142"/>
        <v>1.024191305899206E-10</v>
      </c>
      <c r="CF95" s="198">
        <f t="shared" si="156"/>
        <v>0</v>
      </c>
      <c r="CG95" s="198">
        <f t="shared" si="157"/>
        <v>0</v>
      </c>
      <c r="CH95" s="198">
        <f t="shared" si="158"/>
        <v>0</v>
      </c>
      <c r="CI95" s="198">
        <f t="shared" si="159"/>
        <v>0</v>
      </c>
      <c r="CJ95" s="198">
        <f t="shared" si="160"/>
        <v>0</v>
      </c>
      <c r="CK95" s="198">
        <f t="shared" si="161"/>
        <v>0</v>
      </c>
      <c r="CL95" s="198">
        <f t="shared" si="162"/>
        <v>4.4741754333225013E-13</v>
      </c>
      <c r="CM95" s="271">
        <f t="shared" si="163"/>
        <v>0</v>
      </c>
      <c r="CN95" s="198">
        <f t="shared" si="164"/>
        <v>1.0286654813325285E-10</v>
      </c>
      <c r="CO95" s="209">
        <f t="shared" si="143"/>
        <v>1.024191305899206E-10</v>
      </c>
    </row>
    <row r="96" spans="2:93" x14ac:dyDescent="0.2">
      <c r="B96" s="221">
        <f>'DATA INPUT - DETAIL'!D87</f>
        <v>0</v>
      </c>
      <c r="C96" s="211">
        <f>'DATA INPUT - DETAIL'!E87</f>
        <v>0</v>
      </c>
      <c r="D96" s="257">
        <f>'DATA INPUT - DETAIL'!I87</f>
        <v>0</v>
      </c>
      <c r="E96" s="258">
        <f>'DATA INPUT - DETAIL'!K87</f>
        <v>0</v>
      </c>
      <c r="F96" s="258">
        <f>'DATA INPUT - DETAIL'!L87</f>
        <v>0</v>
      </c>
      <c r="G96" s="179">
        <f>'DATA INPUT - DETAIL'!M87*(1+$V$5)</f>
        <v>0</v>
      </c>
      <c r="H96" s="179">
        <f>'DATA INPUT - DETAIL'!N87*(1+$V$5)</f>
        <v>0</v>
      </c>
      <c r="I96" s="258">
        <f t="shared" si="100"/>
        <v>0</v>
      </c>
      <c r="J96" s="258">
        <f>'DATA INPUT - DETAIL'!O87</f>
        <v>0</v>
      </c>
      <c r="K96" s="258">
        <f>'DATA INPUT - DETAIL'!P87</f>
        <v>0</v>
      </c>
      <c r="L96" s="267">
        <f>ROUNDDOWN('DATA INPUT - DETAIL'!G87,0)</f>
        <v>0</v>
      </c>
      <c r="M96" s="196">
        <f t="shared" si="144"/>
        <v>0</v>
      </c>
      <c r="N96" s="196">
        <f t="shared" si="101"/>
        <v>0</v>
      </c>
      <c r="O96" s="196">
        <f t="shared" si="102"/>
        <v>0</v>
      </c>
      <c r="P96" s="196">
        <f t="shared" si="103"/>
        <v>0</v>
      </c>
      <c r="Q96" s="196">
        <f t="shared" si="104"/>
        <v>0</v>
      </c>
      <c r="R96" s="196">
        <f t="shared" si="105"/>
        <v>0</v>
      </c>
      <c r="S96" s="196">
        <f t="shared" si="106"/>
        <v>0</v>
      </c>
      <c r="T96" s="196">
        <f t="shared" si="107"/>
        <v>0</v>
      </c>
      <c r="U96" s="185">
        <f>(C96&gt;0)*(C96&lt;$E$5)*VLOOKUP(MPP,ASUMSI!$BN$77:$CR$108,B96+1)*(1+$V$4)</f>
        <v>0</v>
      </c>
      <c r="V96" s="196">
        <f t="shared" si="108"/>
        <v>0</v>
      </c>
      <c r="W96" s="196">
        <f t="shared" si="109"/>
        <v>0</v>
      </c>
      <c r="X96" s="196">
        <f t="shared" si="110"/>
        <v>0</v>
      </c>
      <c r="Y96" s="196">
        <f t="shared" si="111"/>
        <v>0</v>
      </c>
      <c r="Z96" s="196">
        <f t="shared" si="112"/>
        <v>0</v>
      </c>
      <c r="AA96" s="185">
        <f t="shared" si="113"/>
        <v>0</v>
      </c>
      <c r="AB96" s="196">
        <f t="shared" si="114"/>
        <v>0</v>
      </c>
      <c r="AC96" s="196">
        <f t="shared" si="114"/>
        <v>0</v>
      </c>
      <c r="AD96" s="196">
        <f t="shared" si="114"/>
        <v>0</v>
      </c>
      <c r="AE96" s="196">
        <f t="shared" si="115"/>
        <v>0</v>
      </c>
      <c r="AF96" s="196">
        <f t="shared" si="116"/>
        <v>0</v>
      </c>
      <c r="AG96" s="196">
        <f t="shared" si="117"/>
        <v>0</v>
      </c>
      <c r="AH96" s="196">
        <f t="shared" si="118"/>
        <v>0</v>
      </c>
      <c r="AI96" s="266">
        <f>'DATA INPUT - DETAIL'!R87</f>
        <v>0</v>
      </c>
      <c r="AJ96" s="266">
        <f>'DATA INPUT - DETAIL'!S87</f>
        <v>0</v>
      </c>
      <c r="AK96" s="266">
        <f>'DATA INPUT - DETAIL'!T87</f>
        <v>0</v>
      </c>
      <c r="AL96" s="266">
        <f>'DATA INPUT - DETAIL'!U87</f>
        <v>0</v>
      </c>
      <c r="AM96" s="266">
        <f>'DATA INPUT - DETAIL'!V87</f>
        <v>0</v>
      </c>
      <c r="AN96" s="266">
        <f>'DATA INPUT - DETAIL'!W87</f>
        <v>0</v>
      </c>
      <c r="AO96" s="198">
        <f t="shared" si="119"/>
        <v>0</v>
      </c>
      <c r="AP96" s="266">
        <f>'DATA INPUT - DETAIL'!X87</f>
        <v>0</v>
      </c>
      <c r="AQ96" s="266">
        <f>'DATA INPUT - DETAIL'!Y87</f>
        <v>0</v>
      </c>
      <c r="AR96" s="266">
        <f>'DATA INPUT - DETAIL'!Z87</f>
        <v>0</v>
      </c>
      <c r="AS96" s="266">
        <f>'DATA INPUT - DETAIL'!AD87</f>
        <v>0</v>
      </c>
      <c r="AT96" s="266">
        <f t="shared" si="120"/>
        <v>0</v>
      </c>
      <c r="AU96" s="206">
        <f>'DATA INPUT - DETAIL'!AA87</f>
        <v>0</v>
      </c>
      <c r="AV96" s="206">
        <f>'DATA INPUT - DETAIL'!AB87</f>
        <v>0</v>
      </c>
      <c r="AW96" s="206">
        <f>'DATA INPUT - DETAIL'!AC87</f>
        <v>0</v>
      </c>
      <c r="AX96" s="206">
        <f t="shared" si="121"/>
        <v>0</v>
      </c>
      <c r="AY96" s="206">
        <f t="shared" si="122"/>
        <v>0</v>
      </c>
      <c r="AZ96" s="206">
        <f t="shared" si="123"/>
        <v>0</v>
      </c>
      <c r="BA96" s="206">
        <f t="shared" si="124"/>
        <v>0</v>
      </c>
      <c r="BB96" s="206">
        <f t="shared" si="125"/>
        <v>0</v>
      </c>
      <c r="BC96" s="206">
        <f t="shared" si="126"/>
        <v>0</v>
      </c>
      <c r="BD96" s="206">
        <f t="shared" si="127"/>
        <v>0</v>
      </c>
      <c r="BE96" s="206">
        <f t="shared" si="128"/>
        <v>0</v>
      </c>
      <c r="BF96" s="206">
        <f t="shared" si="129"/>
        <v>0</v>
      </c>
      <c r="BG96" s="206">
        <f t="shared" si="130"/>
        <v>0</v>
      </c>
      <c r="BH96" s="206">
        <f t="shared" si="131"/>
        <v>0</v>
      </c>
      <c r="BI96" s="206">
        <f t="shared" si="132"/>
        <v>0</v>
      </c>
      <c r="BJ96" s="266">
        <f t="shared" si="133"/>
        <v>0</v>
      </c>
      <c r="BK96" s="266">
        <f t="shared" si="134"/>
        <v>0</v>
      </c>
      <c r="BL96" s="192">
        <f t="shared" si="135"/>
        <v>0</v>
      </c>
      <c r="BM96" s="192">
        <f t="shared" si="136"/>
        <v>0</v>
      </c>
      <c r="BN96" s="192">
        <f t="shared" si="137"/>
        <v>0</v>
      </c>
      <c r="BO96" s="192">
        <f t="shared" si="138"/>
        <v>0</v>
      </c>
      <c r="BP96" s="192">
        <f t="shared" si="139"/>
        <v>0</v>
      </c>
      <c r="BQ96" s="193">
        <f t="shared" si="140"/>
        <v>0</v>
      </c>
      <c r="BR96" s="193">
        <f t="shared" si="141"/>
        <v>0</v>
      </c>
      <c r="BS96" s="265">
        <f t="shared" si="145"/>
        <v>0</v>
      </c>
      <c r="BT96" s="265">
        <f t="shared" si="146"/>
        <v>0</v>
      </c>
      <c r="BU96" s="265">
        <f t="shared" si="147"/>
        <v>0</v>
      </c>
      <c r="BV96" s="265">
        <f t="shared" si="148"/>
        <v>0</v>
      </c>
      <c r="BW96" s="265">
        <f t="shared" si="149"/>
        <v>0</v>
      </c>
      <c r="BX96" s="265">
        <f t="shared" si="150"/>
        <v>0</v>
      </c>
      <c r="BY96" s="265">
        <f t="shared" si="151"/>
        <v>0</v>
      </c>
      <c r="BZ96" s="265">
        <f t="shared" si="152"/>
        <v>0</v>
      </c>
      <c r="CA96" s="265">
        <f t="shared" si="153"/>
        <v>0</v>
      </c>
      <c r="CB96" s="269">
        <f t="shared" si="154"/>
        <v>0</v>
      </c>
      <c r="CC96" s="266">
        <f t="shared" si="155"/>
        <v>0</v>
      </c>
      <c r="CD96" s="241"/>
      <c r="CE96" s="198">
        <f t="shared" si="142"/>
        <v>1.0286654813325285E-10</v>
      </c>
      <c r="CF96" s="198">
        <f t="shared" si="156"/>
        <v>0</v>
      </c>
      <c r="CG96" s="198">
        <f t="shared" si="157"/>
        <v>0</v>
      </c>
      <c r="CH96" s="198">
        <f t="shared" si="158"/>
        <v>0</v>
      </c>
      <c r="CI96" s="198">
        <f t="shared" si="159"/>
        <v>0</v>
      </c>
      <c r="CJ96" s="198">
        <f t="shared" si="160"/>
        <v>0</v>
      </c>
      <c r="CK96" s="198">
        <f t="shared" si="161"/>
        <v>0</v>
      </c>
      <c r="CL96" s="198">
        <f t="shared" si="162"/>
        <v>4.4937208499774212E-13</v>
      </c>
      <c r="CM96" s="271">
        <f t="shared" si="163"/>
        <v>0</v>
      </c>
      <c r="CN96" s="198">
        <f t="shared" si="164"/>
        <v>1.0331592021825059E-10</v>
      </c>
      <c r="CO96" s="209">
        <f t="shared" si="143"/>
        <v>1.0286654813325285E-10</v>
      </c>
    </row>
    <row r="97" spans="2:93" x14ac:dyDescent="0.2">
      <c r="B97" s="221">
        <f>'DATA INPUT - DETAIL'!D88</f>
        <v>0</v>
      </c>
      <c r="C97" s="211">
        <f>'DATA INPUT - DETAIL'!E88</f>
        <v>0</v>
      </c>
      <c r="D97" s="257">
        <f>'DATA INPUT - DETAIL'!I88</f>
        <v>0</v>
      </c>
      <c r="E97" s="258">
        <f>'DATA INPUT - DETAIL'!K88</f>
        <v>0</v>
      </c>
      <c r="F97" s="258">
        <f>'DATA INPUT - DETAIL'!L88</f>
        <v>0</v>
      </c>
      <c r="G97" s="179">
        <f>'DATA INPUT - DETAIL'!M88*(1+$V$5)</f>
        <v>0</v>
      </c>
      <c r="H97" s="179">
        <f>'DATA INPUT - DETAIL'!N88*(1+$V$5)</f>
        <v>0</v>
      </c>
      <c r="I97" s="258">
        <f t="shared" si="100"/>
        <v>0</v>
      </c>
      <c r="J97" s="258">
        <f>'DATA INPUT - DETAIL'!O88</f>
        <v>0</v>
      </c>
      <c r="K97" s="258">
        <f>'DATA INPUT - DETAIL'!P88</f>
        <v>0</v>
      </c>
      <c r="L97" s="267">
        <f>ROUNDDOWN('DATA INPUT - DETAIL'!G88,0)</f>
        <v>0</v>
      </c>
      <c r="M97" s="196">
        <f t="shared" si="144"/>
        <v>0</v>
      </c>
      <c r="N97" s="196">
        <f t="shared" si="101"/>
        <v>0</v>
      </c>
      <c r="O97" s="196">
        <f t="shared" si="102"/>
        <v>0</v>
      </c>
      <c r="P97" s="196">
        <f t="shared" si="103"/>
        <v>0</v>
      </c>
      <c r="Q97" s="196">
        <f t="shared" si="104"/>
        <v>0</v>
      </c>
      <c r="R97" s="196">
        <f t="shared" si="105"/>
        <v>0</v>
      </c>
      <c r="S97" s="196">
        <f t="shared" si="106"/>
        <v>0</v>
      </c>
      <c r="T97" s="196">
        <f t="shared" si="107"/>
        <v>0</v>
      </c>
      <c r="U97" s="185">
        <f>(C97&gt;0)*(C97&lt;$E$5)*VLOOKUP(MPP,ASUMSI!$BN$77:$CR$108,B97+1)*(1+$V$4)</f>
        <v>0</v>
      </c>
      <c r="V97" s="196">
        <f t="shared" si="108"/>
        <v>0</v>
      </c>
      <c r="W97" s="196">
        <f t="shared" si="109"/>
        <v>0</v>
      </c>
      <c r="X97" s="196">
        <f t="shared" si="110"/>
        <v>0</v>
      </c>
      <c r="Y97" s="196">
        <f t="shared" si="111"/>
        <v>0</v>
      </c>
      <c r="Z97" s="196">
        <f t="shared" si="112"/>
        <v>0</v>
      </c>
      <c r="AA97" s="185">
        <f t="shared" si="113"/>
        <v>0</v>
      </c>
      <c r="AB97" s="196">
        <f t="shared" si="114"/>
        <v>0</v>
      </c>
      <c r="AC97" s="196">
        <f t="shared" si="114"/>
        <v>0</v>
      </c>
      <c r="AD97" s="196">
        <f t="shared" si="114"/>
        <v>0</v>
      </c>
      <c r="AE97" s="196">
        <f t="shared" si="115"/>
        <v>0</v>
      </c>
      <c r="AF97" s="196">
        <f t="shared" si="116"/>
        <v>0</v>
      </c>
      <c r="AG97" s="196">
        <f t="shared" si="117"/>
        <v>0</v>
      </c>
      <c r="AH97" s="196">
        <f t="shared" si="118"/>
        <v>0</v>
      </c>
      <c r="AI97" s="266">
        <f>'DATA INPUT - DETAIL'!R88</f>
        <v>0</v>
      </c>
      <c r="AJ97" s="266">
        <f>'DATA INPUT - DETAIL'!S88</f>
        <v>0</v>
      </c>
      <c r="AK97" s="266">
        <f>'DATA INPUT - DETAIL'!T88</f>
        <v>0</v>
      </c>
      <c r="AL97" s="266">
        <f>'DATA INPUT - DETAIL'!U88</f>
        <v>0</v>
      </c>
      <c r="AM97" s="266">
        <f>'DATA INPUT - DETAIL'!V88</f>
        <v>0</v>
      </c>
      <c r="AN97" s="266">
        <f>'DATA INPUT - DETAIL'!W88</f>
        <v>0</v>
      </c>
      <c r="AO97" s="198">
        <f t="shared" si="119"/>
        <v>0</v>
      </c>
      <c r="AP97" s="266">
        <f>'DATA INPUT - DETAIL'!X88</f>
        <v>0</v>
      </c>
      <c r="AQ97" s="266">
        <f>'DATA INPUT - DETAIL'!Y88</f>
        <v>0</v>
      </c>
      <c r="AR97" s="266">
        <f>'DATA INPUT - DETAIL'!Z88</f>
        <v>0</v>
      </c>
      <c r="AS97" s="266">
        <f>'DATA INPUT - DETAIL'!AD88</f>
        <v>0</v>
      </c>
      <c r="AT97" s="266">
        <f t="shared" si="120"/>
        <v>0</v>
      </c>
      <c r="AU97" s="206">
        <f>'DATA INPUT - DETAIL'!AA88</f>
        <v>0</v>
      </c>
      <c r="AV97" s="206">
        <f>'DATA INPUT - DETAIL'!AB88</f>
        <v>0</v>
      </c>
      <c r="AW97" s="206">
        <f>'DATA INPUT - DETAIL'!AC88</f>
        <v>0</v>
      </c>
      <c r="AX97" s="206">
        <f t="shared" si="121"/>
        <v>0</v>
      </c>
      <c r="AY97" s="206">
        <f t="shared" si="122"/>
        <v>0</v>
      </c>
      <c r="AZ97" s="206">
        <f t="shared" si="123"/>
        <v>0</v>
      </c>
      <c r="BA97" s="206">
        <f t="shared" si="124"/>
        <v>0</v>
      </c>
      <c r="BB97" s="206">
        <f t="shared" si="125"/>
        <v>0</v>
      </c>
      <c r="BC97" s="206">
        <f t="shared" si="126"/>
        <v>0</v>
      </c>
      <c r="BD97" s="206">
        <f t="shared" si="127"/>
        <v>0</v>
      </c>
      <c r="BE97" s="206">
        <f t="shared" si="128"/>
        <v>0</v>
      </c>
      <c r="BF97" s="206">
        <f t="shared" si="129"/>
        <v>0</v>
      </c>
      <c r="BG97" s="206">
        <f t="shared" si="130"/>
        <v>0</v>
      </c>
      <c r="BH97" s="206">
        <f t="shared" si="131"/>
        <v>0</v>
      </c>
      <c r="BI97" s="206">
        <f t="shared" si="132"/>
        <v>0</v>
      </c>
      <c r="BJ97" s="266">
        <f t="shared" si="133"/>
        <v>0</v>
      </c>
      <c r="BK97" s="266">
        <f t="shared" si="134"/>
        <v>0</v>
      </c>
      <c r="BL97" s="192">
        <f t="shared" si="135"/>
        <v>0</v>
      </c>
      <c r="BM97" s="192">
        <f t="shared" si="136"/>
        <v>0</v>
      </c>
      <c r="BN97" s="192">
        <f t="shared" si="137"/>
        <v>0</v>
      </c>
      <c r="BO97" s="192">
        <f t="shared" si="138"/>
        <v>0</v>
      </c>
      <c r="BP97" s="192">
        <f t="shared" si="139"/>
        <v>0</v>
      </c>
      <c r="BQ97" s="193">
        <f t="shared" si="140"/>
        <v>0</v>
      </c>
      <c r="BR97" s="193">
        <f t="shared" si="141"/>
        <v>0</v>
      </c>
      <c r="BS97" s="265">
        <f t="shared" si="145"/>
        <v>0</v>
      </c>
      <c r="BT97" s="265">
        <f t="shared" si="146"/>
        <v>0</v>
      </c>
      <c r="BU97" s="265">
        <f t="shared" si="147"/>
        <v>0</v>
      </c>
      <c r="BV97" s="265">
        <f t="shared" si="148"/>
        <v>0</v>
      </c>
      <c r="BW97" s="265">
        <f t="shared" si="149"/>
        <v>0</v>
      </c>
      <c r="BX97" s="265">
        <f t="shared" si="150"/>
        <v>0</v>
      </c>
      <c r="BY97" s="265">
        <f t="shared" si="151"/>
        <v>0</v>
      </c>
      <c r="BZ97" s="265">
        <f t="shared" si="152"/>
        <v>0</v>
      </c>
      <c r="CA97" s="265">
        <f t="shared" si="153"/>
        <v>0</v>
      </c>
      <c r="CB97" s="269">
        <f t="shared" si="154"/>
        <v>0</v>
      </c>
      <c r="CC97" s="266">
        <f t="shared" si="155"/>
        <v>0</v>
      </c>
      <c r="CD97" s="241"/>
      <c r="CE97" s="198">
        <f t="shared" si="142"/>
        <v>1.0331592021825059E-10</v>
      </c>
      <c r="CF97" s="198">
        <f t="shared" si="156"/>
        <v>0</v>
      </c>
      <c r="CG97" s="198">
        <f t="shared" si="157"/>
        <v>0</v>
      </c>
      <c r="CH97" s="198">
        <f t="shared" si="158"/>
        <v>0</v>
      </c>
      <c r="CI97" s="198">
        <f t="shared" si="159"/>
        <v>0</v>
      </c>
      <c r="CJ97" s="198">
        <f t="shared" si="160"/>
        <v>0</v>
      </c>
      <c r="CK97" s="198">
        <f t="shared" si="161"/>
        <v>0</v>
      </c>
      <c r="CL97" s="198">
        <f t="shared" si="162"/>
        <v>4.5133516507031957E-13</v>
      </c>
      <c r="CM97" s="271">
        <f t="shared" si="163"/>
        <v>0</v>
      </c>
      <c r="CN97" s="198">
        <f t="shared" si="164"/>
        <v>1.0376725538332092E-10</v>
      </c>
      <c r="CO97" s="209">
        <f t="shared" si="143"/>
        <v>1.0331592021825059E-10</v>
      </c>
    </row>
    <row r="98" spans="2:93" x14ac:dyDescent="0.2">
      <c r="B98" s="221">
        <f>'DATA INPUT - DETAIL'!D89</f>
        <v>0</v>
      </c>
      <c r="C98" s="211">
        <f>'DATA INPUT - DETAIL'!E89</f>
        <v>0</v>
      </c>
      <c r="D98" s="257">
        <f>'DATA INPUT - DETAIL'!I89</f>
        <v>0</v>
      </c>
      <c r="E98" s="258">
        <f>'DATA INPUT - DETAIL'!K89</f>
        <v>0</v>
      </c>
      <c r="F98" s="258">
        <f>'DATA INPUT - DETAIL'!L89</f>
        <v>0</v>
      </c>
      <c r="G98" s="179">
        <f>'DATA INPUT - DETAIL'!M89*(1+$V$5)</f>
        <v>0</v>
      </c>
      <c r="H98" s="179">
        <f>'DATA INPUT - DETAIL'!N89*(1+$V$5)</f>
        <v>0</v>
      </c>
      <c r="I98" s="258">
        <f t="shared" si="100"/>
        <v>0</v>
      </c>
      <c r="J98" s="258">
        <f>'DATA INPUT - DETAIL'!O89</f>
        <v>0</v>
      </c>
      <c r="K98" s="258">
        <f>'DATA INPUT - DETAIL'!P89</f>
        <v>0</v>
      </c>
      <c r="L98" s="267">
        <f>ROUNDDOWN('DATA INPUT - DETAIL'!G89,0)</f>
        <v>0</v>
      </c>
      <c r="M98" s="196">
        <f t="shared" si="144"/>
        <v>0</v>
      </c>
      <c r="N98" s="196">
        <f t="shared" si="101"/>
        <v>0</v>
      </c>
      <c r="O98" s="196">
        <f t="shared" si="102"/>
        <v>0</v>
      </c>
      <c r="P98" s="196">
        <f t="shared" si="103"/>
        <v>0</v>
      </c>
      <c r="Q98" s="196">
        <f t="shared" si="104"/>
        <v>0</v>
      </c>
      <c r="R98" s="196">
        <f t="shared" si="105"/>
        <v>0</v>
      </c>
      <c r="S98" s="196">
        <f t="shared" si="106"/>
        <v>0</v>
      </c>
      <c r="T98" s="196">
        <f t="shared" si="107"/>
        <v>0</v>
      </c>
      <c r="U98" s="185">
        <f>(C98&gt;0)*(C98&lt;$E$5)*VLOOKUP(MPP,ASUMSI!$BN$77:$CR$108,B98+1)*(1+$V$4)</f>
        <v>0</v>
      </c>
      <c r="V98" s="196">
        <f t="shared" si="108"/>
        <v>0</v>
      </c>
      <c r="W98" s="196">
        <f t="shared" si="109"/>
        <v>0</v>
      </c>
      <c r="X98" s="196">
        <f t="shared" si="110"/>
        <v>0</v>
      </c>
      <c r="Y98" s="196">
        <f t="shared" si="111"/>
        <v>0</v>
      </c>
      <c r="Z98" s="196">
        <f t="shared" si="112"/>
        <v>0</v>
      </c>
      <c r="AA98" s="185">
        <f t="shared" si="113"/>
        <v>0</v>
      </c>
      <c r="AB98" s="196">
        <f t="shared" si="114"/>
        <v>0</v>
      </c>
      <c r="AC98" s="196">
        <f t="shared" si="114"/>
        <v>0</v>
      </c>
      <c r="AD98" s="196">
        <f t="shared" si="114"/>
        <v>0</v>
      </c>
      <c r="AE98" s="196">
        <f t="shared" si="115"/>
        <v>0</v>
      </c>
      <c r="AF98" s="196">
        <f t="shared" si="116"/>
        <v>0</v>
      </c>
      <c r="AG98" s="196">
        <f t="shared" si="117"/>
        <v>0</v>
      </c>
      <c r="AH98" s="196">
        <f t="shared" si="118"/>
        <v>0</v>
      </c>
      <c r="AI98" s="266">
        <f>'DATA INPUT - DETAIL'!R89</f>
        <v>0</v>
      </c>
      <c r="AJ98" s="266">
        <f>'DATA INPUT - DETAIL'!S89</f>
        <v>0</v>
      </c>
      <c r="AK98" s="266">
        <f>'DATA INPUT - DETAIL'!T89</f>
        <v>0</v>
      </c>
      <c r="AL98" s="266">
        <f>'DATA INPUT - DETAIL'!U89</f>
        <v>0</v>
      </c>
      <c r="AM98" s="266">
        <f>'DATA INPUT - DETAIL'!V89</f>
        <v>0</v>
      </c>
      <c r="AN98" s="266">
        <f>'DATA INPUT - DETAIL'!W89</f>
        <v>0</v>
      </c>
      <c r="AO98" s="198">
        <f t="shared" si="119"/>
        <v>0</v>
      </c>
      <c r="AP98" s="266">
        <f>'DATA INPUT - DETAIL'!X89</f>
        <v>0</v>
      </c>
      <c r="AQ98" s="266">
        <f>'DATA INPUT - DETAIL'!Y89</f>
        <v>0</v>
      </c>
      <c r="AR98" s="266">
        <f>'DATA INPUT - DETAIL'!Z89</f>
        <v>0</v>
      </c>
      <c r="AS98" s="266">
        <f>'DATA INPUT - DETAIL'!AD89</f>
        <v>0</v>
      </c>
      <c r="AT98" s="266">
        <f t="shared" si="120"/>
        <v>0</v>
      </c>
      <c r="AU98" s="206">
        <f>'DATA INPUT - DETAIL'!AA89</f>
        <v>0</v>
      </c>
      <c r="AV98" s="206">
        <f>'DATA INPUT - DETAIL'!AB89</f>
        <v>0</v>
      </c>
      <c r="AW98" s="206">
        <f>'DATA INPUT - DETAIL'!AC89</f>
        <v>0</v>
      </c>
      <c r="AX98" s="206">
        <f t="shared" si="121"/>
        <v>0</v>
      </c>
      <c r="AY98" s="206">
        <f t="shared" si="122"/>
        <v>0</v>
      </c>
      <c r="AZ98" s="206">
        <f t="shared" si="123"/>
        <v>0</v>
      </c>
      <c r="BA98" s="206">
        <f t="shared" si="124"/>
        <v>0</v>
      </c>
      <c r="BB98" s="206">
        <f t="shared" si="125"/>
        <v>0</v>
      </c>
      <c r="BC98" s="206">
        <f t="shared" si="126"/>
        <v>0</v>
      </c>
      <c r="BD98" s="206">
        <f t="shared" si="127"/>
        <v>0</v>
      </c>
      <c r="BE98" s="206">
        <f t="shared" si="128"/>
        <v>0</v>
      </c>
      <c r="BF98" s="206">
        <f t="shared" si="129"/>
        <v>0</v>
      </c>
      <c r="BG98" s="206">
        <f t="shared" si="130"/>
        <v>0</v>
      </c>
      <c r="BH98" s="206">
        <f t="shared" si="131"/>
        <v>0</v>
      </c>
      <c r="BI98" s="206">
        <f t="shared" si="132"/>
        <v>0</v>
      </c>
      <c r="BJ98" s="266">
        <f t="shared" si="133"/>
        <v>0</v>
      </c>
      <c r="BK98" s="266">
        <f t="shared" si="134"/>
        <v>0</v>
      </c>
      <c r="BL98" s="192">
        <f t="shared" si="135"/>
        <v>0</v>
      </c>
      <c r="BM98" s="192">
        <f t="shared" si="136"/>
        <v>0</v>
      </c>
      <c r="BN98" s="192">
        <f t="shared" si="137"/>
        <v>0</v>
      </c>
      <c r="BO98" s="192">
        <f t="shared" si="138"/>
        <v>0</v>
      </c>
      <c r="BP98" s="192">
        <f t="shared" si="139"/>
        <v>0</v>
      </c>
      <c r="BQ98" s="193">
        <f t="shared" si="140"/>
        <v>0</v>
      </c>
      <c r="BR98" s="193">
        <f t="shared" si="141"/>
        <v>0</v>
      </c>
      <c r="BS98" s="265">
        <f t="shared" si="145"/>
        <v>0</v>
      </c>
      <c r="BT98" s="265">
        <f t="shared" si="146"/>
        <v>0</v>
      </c>
      <c r="BU98" s="265">
        <f t="shared" si="147"/>
        <v>0</v>
      </c>
      <c r="BV98" s="265">
        <f t="shared" si="148"/>
        <v>0</v>
      </c>
      <c r="BW98" s="265">
        <f t="shared" si="149"/>
        <v>0</v>
      </c>
      <c r="BX98" s="265">
        <f t="shared" si="150"/>
        <v>0</v>
      </c>
      <c r="BY98" s="265">
        <f t="shared" si="151"/>
        <v>0</v>
      </c>
      <c r="BZ98" s="265">
        <f t="shared" si="152"/>
        <v>0</v>
      </c>
      <c r="CA98" s="265">
        <f t="shared" si="153"/>
        <v>0</v>
      </c>
      <c r="CB98" s="269">
        <f t="shared" si="154"/>
        <v>0</v>
      </c>
      <c r="CC98" s="266">
        <f t="shared" si="155"/>
        <v>0</v>
      </c>
      <c r="CD98" s="241"/>
      <c r="CE98" s="198">
        <f t="shared" si="142"/>
        <v>1.0376725538332092E-10</v>
      </c>
      <c r="CF98" s="198">
        <f t="shared" si="156"/>
        <v>0</v>
      </c>
      <c r="CG98" s="198">
        <f t="shared" si="157"/>
        <v>0</v>
      </c>
      <c r="CH98" s="198">
        <f t="shared" si="158"/>
        <v>0</v>
      </c>
      <c r="CI98" s="198">
        <f t="shared" si="159"/>
        <v>0</v>
      </c>
      <c r="CJ98" s="198">
        <f t="shared" si="160"/>
        <v>0</v>
      </c>
      <c r="CK98" s="198">
        <f t="shared" si="161"/>
        <v>0</v>
      </c>
      <c r="CL98" s="198">
        <f t="shared" si="162"/>
        <v>4.5330682084997812E-13</v>
      </c>
      <c r="CM98" s="271">
        <f t="shared" si="163"/>
        <v>0</v>
      </c>
      <c r="CN98" s="198">
        <f t="shared" si="164"/>
        <v>1.042205622041709E-10</v>
      </c>
      <c r="CO98" s="209">
        <f t="shared" si="143"/>
        <v>1.0376725538332092E-10</v>
      </c>
    </row>
    <row r="99" spans="2:93" x14ac:dyDescent="0.2">
      <c r="B99" s="221">
        <f>'DATA INPUT - DETAIL'!D90</f>
        <v>0</v>
      </c>
      <c r="C99" s="211">
        <f>'DATA INPUT - DETAIL'!E90</f>
        <v>0</v>
      </c>
      <c r="D99" s="257">
        <f>'DATA INPUT - DETAIL'!I90</f>
        <v>0</v>
      </c>
      <c r="E99" s="258">
        <f>'DATA INPUT - DETAIL'!K90</f>
        <v>0</v>
      </c>
      <c r="F99" s="258">
        <f>'DATA INPUT - DETAIL'!L90</f>
        <v>0</v>
      </c>
      <c r="G99" s="179">
        <f>'DATA INPUT - DETAIL'!M90*(1+$V$5)</f>
        <v>0</v>
      </c>
      <c r="H99" s="179">
        <f>'DATA INPUT - DETAIL'!N90*(1+$V$5)</f>
        <v>0</v>
      </c>
      <c r="I99" s="258">
        <f t="shared" si="100"/>
        <v>0</v>
      </c>
      <c r="J99" s="258">
        <f>'DATA INPUT - DETAIL'!O90</f>
        <v>0</v>
      </c>
      <c r="K99" s="258">
        <f>'DATA INPUT - DETAIL'!P90</f>
        <v>0</v>
      </c>
      <c r="L99" s="267">
        <f>ROUNDDOWN('DATA INPUT - DETAIL'!G90,0)</f>
        <v>0</v>
      </c>
      <c r="M99" s="196">
        <f t="shared" si="144"/>
        <v>0</v>
      </c>
      <c r="N99" s="196">
        <f t="shared" si="101"/>
        <v>0</v>
      </c>
      <c r="O99" s="196">
        <f t="shared" si="102"/>
        <v>0</v>
      </c>
      <c r="P99" s="196">
        <f t="shared" si="103"/>
        <v>0</v>
      </c>
      <c r="Q99" s="196">
        <f t="shared" si="104"/>
        <v>0</v>
      </c>
      <c r="R99" s="196">
        <f t="shared" si="105"/>
        <v>0</v>
      </c>
      <c r="S99" s="196">
        <f t="shared" si="106"/>
        <v>0</v>
      </c>
      <c r="T99" s="196">
        <f t="shared" si="107"/>
        <v>0</v>
      </c>
      <c r="U99" s="185">
        <f>(C99&gt;0)*(C99&lt;$E$5)*VLOOKUP(MPP,ASUMSI!$BN$77:$CR$108,B99+1)*(1+$V$4)</f>
        <v>0</v>
      </c>
      <c r="V99" s="196">
        <f t="shared" si="108"/>
        <v>0</v>
      </c>
      <c r="W99" s="196">
        <f t="shared" si="109"/>
        <v>0</v>
      </c>
      <c r="X99" s="196">
        <f t="shared" si="110"/>
        <v>0</v>
      </c>
      <c r="Y99" s="196">
        <f t="shared" si="111"/>
        <v>0</v>
      </c>
      <c r="Z99" s="196">
        <f t="shared" si="112"/>
        <v>0</v>
      </c>
      <c r="AA99" s="185">
        <f t="shared" si="113"/>
        <v>0</v>
      </c>
      <c r="AB99" s="196">
        <f t="shared" si="114"/>
        <v>0</v>
      </c>
      <c r="AC99" s="196">
        <f t="shared" si="114"/>
        <v>0</v>
      </c>
      <c r="AD99" s="196">
        <f t="shared" si="114"/>
        <v>0</v>
      </c>
      <c r="AE99" s="196">
        <f t="shared" si="115"/>
        <v>0</v>
      </c>
      <c r="AF99" s="196">
        <f t="shared" si="116"/>
        <v>0</v>
      </c>
      <c r="AG99" s="196">
        <f t="shared" si="117"/>
        <v>0</v>
      </c>
      <c r="AH99" s="196">
        <f t="shared" si="118"/>
        <v>0</v>
      </c>
      <c r="AI99" s="266">
        <f>'DATA INPUT - DETAIL'!R90</f>
        <v>0</v>
      </c>
      <c r="AJ99" s="266">
        <f>'DATA INPUT - DETAIL'!S90</f>
        <v>0</v>
      </c>
      <c r="AK99" s="266">
        <f>'DATA INPUT - DETAIL'!T90</f>
        <v>0</v>
      </c>
      <c r="AL99" s="266">
        <f>'DATA INPUT - DETAIL'!U90</f>
        <v>0</v>
      </c>
      <c r="AM99" s="266">
        <f>'DATA INPUT - DETAIL'!V90</f>
        <v>0</v>
      </c>
      <c r="AN99" s="266">
        <f>'DATA INPUT - DETAIL'!W90</f>
        <v>0</v>
      </c>
      <c r="AO99" s="198">
        <f t="shared" si="119"/>
        <v>0</v>
      </c>
      <c r="AP99" s="266">
        <f>'DATA INPUT - DETAIL'!X90</f>
        <v>0</v>
      </c>
      <c r="AQ99" s="266">
        <f>'DATA INPUT - DETAIL'!Y90</f>
        <v>0</v>
      </c>
      <c r="AR99" s="266">
        <f>'DATA INPUT - DETAIL'!Z90</f>
        <v>0</v>
      </c>
      <c r="AS99" s="266">
        <f>'DATA INPUT - DETAIL'!AD90</f>
        <v>0</v>
      </c>
      <c r="AT99" s="266">
        <f t="shared" si="120"/>
        <v>0</v>
      </c>
      <c r="AU99" s="206">
        <f>'DATA INPUT - DETAIL'!AA90</f>
        <v>0</v>
      </c>
      <c r="AV99" s="206">
        <f>'DATA INPUT - DETAIL'!AB90</f>
        <v>0</v>
      </c>
      <c r="AW99" s="206">
        <f>'DATA INPUT - DETAIL'!AC90</f>
        <v>0</v>
      </c>
      <c r="AX99" s="206">
        <f t="shared" si="121"/>
        <v>0</v>
      </c>
      <c r="AY99" s="206">
        <f t="shared" si="122"/>
        <v>0</v>
      </c>
      <c r="AZ99" s="206">
        <f t="shared" si="123"/>
        <v>0</v>
      </c>
      <c r="BA99" s="206">
        <f t="shared" si="124"/>
        <v>0</v>
      </c>
      <c r="BB99" s="206">
        <f t="shared" si="125"/>
        <v>0</v>
      </c>
      <c r="BC99" s="206">
        <f t="shared" si="126"/>
        <v>0</v>
      </c>
      <c r="BD99" s="206">
        <f t="shared" si="127"/>
        <v>0</v>
      </c>
      <c r="BE99" s="206">
        <f t="shared" si="128"/>
        <v>0</v>
      </c>
      <c r="BF99" s="206">
        <f t="shared" si="129"/>
        <v>0</v>
      </c>
      <c r="BG99" s="206">
        <f t="shared" si="130"/>
        <v>0</v>
      </c>
      <c r="BH99" s="206">
        <f t="shared" si="131"/>
        <v>0</v>
      </c>
      <c r="BI99" s="206">
        <f t="shared" si="132"/>
        <v>0</v>
      </c>
      <c r="BJ99" s="266">
        <f t="shared" si="133"/>
        <v>0</v>
      </c>
      <c r="BK99" s="266">
        <f t="shared" si="134"/>
        <v>0</v>
      </c>
      <c r="BL99" s="192">
        <f t="shared" si="135"/>
        <v>0</v>
      </c>
      <c r="BM99" s="192">
        <f t="shared" si="136"/>
        <v>0</v>
      </c>
      <c r="BN99" s="192">
        <f t="shared" si="137"/>
        <v>0</v>
      </c>
      <c r="BO99" s="192">
        <f t="shared" si="138"/>
        <v>0</v>
      </c>
      <c r="BP99" s="192">
        <f t="shared" si="139"/>
        <v>0</v>
      </c>
      <c r="BQ99" s="193">
        <f t="shared" si="140"/>
        <v>0</v>
      </c>
      <c r="BR99" s="193">
        <f t="shared" si="141"/>
        <v>0</v>
      </c>
      <c r="BS99" s="265">
        <f t="shared" si="145"/>
        <v>0</v>
      </c>
      <c r="BT99" s="265">
        <f t="shared" si="146"/>
        <v>0</v>
      </c>
      <c r="BU99" s="265">
        <f t="shared" si="147"/>
        <v>0</v>
      </c>
      <c r="BV99" s="265">
        <f t="shared" si="148"/>
        <v>0</v>
      </c>
      <c r="BW99" s="265">
        <f t="shared" si="149"/>
        <v>0</v>
      </c>
      <c r="BX99" s="265">
        <f t="shared" si="150"/>
        <v>0</v>
      </c>
      <c r="BY99" s="265">
        <f t="shared" si="151"/>
        <v>0</v>
      </c>
      <c r="BZ99" s="265">
        <f t="shared" si="152"/>
        <v>0</v>
      </c>
      <c r="CA99" s="265">
        <f t="shared" si="153"/>
        <v>0</v>
      </c>
      <c r="CB99" s="269">
        <f t="shared" si="154"/>
        <v>0</v>
      </c>
      <c r="CC99" s="266">
        <f t="shared" si="155"/>
        <v>0</v>
      </c>
      <c r="CD99" s="241"/>
      <c r="CE99" s="198">
        <f t="shared" si="142"/>
        <v>1.042205622041709E-10</v>
      </c>
      <c r="CF99" s="198">
        <f t="shared" si="156"/>
        <v>0</v>
      </c>
      <c r="CG99" s="198">
        <f t="shared" si="157"/>
        <v>0</v>
      </c>
      <c r="CH99" s="198">
        <f t="shared" si="158"/>
        <v>0</v>
      </c>
      <c r="CI99" s="198">
        <f t="shared" si="159"/>
        <v>0</v>
      </c>
      <c r="CJ99" s="198">
        <f t="shared" si="160"/>
        <v>0</v>
      </c>
      <c r="CK99" s="198">
        <f t="shared" si="161"/>
        <v>0</v>
      </c>
      <c r="CL99" s="198">
        <f t="shared" si="162"/>
        <v>4.5528708979965824E-13</v>
      </c>
      <c r="CM99" s="271">
        <f t="shared" si="163"/>
        <v>0</v>
      </c>
      <c r="CN99" s="198">
        <f t="shared" si="164"/>
        <v>1.0467584929397056E-10</v>
      </c>
      <c r="CO99" s="209">
        <f t="shared" si="143"/>
        <v>1.042205622041709E-10</v>
      </c>
    </row>
    <row r="100" spans="2:93" x14ac:dyDescent="0.2">
      <c r="B100" s="221">
        <f>'DATA INPUT - DETAIL'!D91</f>
        <v>0</v>
      </c>
      <c r="C100" s="211">
        <f>'DATA INPUT - DETAIL'!E91</f>
        <v>0</v>
      </c>
      <c r="D100" s="257">
        <f>'DATA INPUT - DETAIL'!I91</f>
        <v>0</v>
      </c>
      <c r="E100" s="258">
        <f>'DATA INPUT - DETAIL'!K91</f>
        <v>0</v>
      </c>
      <c r="F100" s="258">
        <f>'DATA INPUT - DETAIL'!L91</f>
        <v>0</v>
      </c>
      <c r="G100" s="179">
        <f>'DATA INPUT - DETAIL'!M91*(1+$V$5)</f>
        <v>0</v>
      </c>
      <c r="H100" s="179">
        <f>'DATA INPUT - DETAIL'!N91*(1+$V$5)</f>
        <v>0</v>
      </c>
      <c r="I100" s="258">
        <f t="shared" si="100"/>
        <v>0</v>
      </c>
      <c r="J100" s="258">
        <f>'DATA INPUT - DETAIL'!O91</f>
        <v>0</v>
      </c>
      <c r="K100" s="258">
        <f>'DATA INPUT - DETAIL'!P91</f>
        <v>0</v>
      </c>
      <c r="L100" s="267">
        <f>ROUNDDOWN('DATA INPUT - DETAIL'!G91,0)</f>
        <v>0</v>
      </c>
      <c r="M100" s="196">
        <f t="shared" si="144"/>
        <v>0</v>
      </c>
      <c r="N100" s="196">
        <f t="shared" si="101"/>
        <v>0</v>
      </c>
      <c r="O100" s="196">
        <f t="shared" si="102"/>
        <v>0</v>
      </c>
      <c r="P100" s="196">
        <f t="shared" si="103"/>
        <v>0</v>
      </c>
      <c r="Q100" s="196">
        <f t="shared" si="104"/>
        <v>0</v>
      </c>
      <c r="R100" s="196">
        <f t="shared" si="105"/>
        <v>0</v>
      </c>
      <c r="S100" s="196">
        <f t="shared" si="106"/>
        <v>0</v>
      </c>
      <c r="T100" s="196">
        <f t="shared" si="107"/>
        <v>0</v>
      </c>
      <c r="U100" s="185">
        <f>(C100&gt;0)*(C100&lt;$E$5)*VLOOKUP(MPP,ASUMSI!$BN$77:$CR$108,B100+1)*(1+$V$4)</f>
        <v>0</v>
      </c>
      <c r="V100" s="196">
        <f t="shared" si="108"/>
        <v>0</v>
      </c>
      <c r="W100" s="196">
        <f t="shared" si="109"/>
        <v>0</v>
      </c>
      <c r="X100" s="196">
        <f t="shared" si="110"/>
        <v>0</v>
      </c>
      <c r="Y100" s="196">
        <f t="shared" si="111"/>
        <v>0</v>
      </c>
      <c r="Z100" s="196">
        <f t="shared" si="112"/>
        <v>0</v>
      </c>
      <c r="AA100" s="185">
        <f t="shared" si="113"/>
        <v>0</v>
      </c>
      <c r="AB100" s="196">
        <f t="shared" si="114"/>
        <v>0</v>
      </c>
      <c r="AC100" s="196">
        <f t="shared" si="114"/>
        <v>0</v>
      </c>
      <c r="AD100" s="196">
        <f t="shared" si="114"/>
        <v>0</v>
      </c>
      <c r="AE100" s="196">
        <f t="shared" si="115"/>
        <v>0</v>
      </c>
      <c r="AF100" s="196">
        <f t="shared" si="116"/>
        <v>0</v>
      </c>
      <c r="AG100" s="196">
        <f t="shared" si="117"/>
        <v>0</v>
      </c>
      <c r="AH100" s="196">
        <f t="shared" si="118"/>
        <v>0</v>
      </c>
      <c r="AI100" s="266">
        <f>'DATA INPUT - DETAIL'!R91</f>
        <v>0</v>
      </c>
      <c r="AJ100" s="266">
        <f>'DATA INPUT - DETAIL'!S91</f>
        <v>0</v>
      </c>
      <c r="AK100" s="266">
        <f>'DATA INPUT - DETAIL'!T91</f>
        <v>0</v>
      </c>
      <c r="AL100" s="266">
        <f>'DATA INPUT - DETAIL'!U91</f>
        <v>0</v>
      </c>
      <c r="AM100" s="266">
        <f>'DATA INPUT - DETAIL'!V91</f>
        <v>0</v>
      </c>
      <c r="AN100" s="266">
        <f>'DATA INPUT - DETAIL'!W91</f>
        <v>0</v>
      </c>
      <c r="AO100" s="198">
        <f t="shared" si="119"/>
        <v>0</v>
      </c>
      <c r="AP100" s="266">
        <f>'DATA INPUT - DETAIL'!X91</f>
        <v>0</v>
      </c>
      <c r="AQ100" s="266">
        <f>'DATA INPUT - DETAIL'!Y91</f>
        <v>0</v>
      </c>
      <c r="AR100" s="266">
        <f>'DATA INPUT - DETAIL'!Z91</f>
        <v>0</v>
      </c>
      <c r="AS100" s="266">
        <f>'DATA INPUT - DETAIL'!AD91</f>
        <v>0</v>
      </c>
      <c r="AT100" s="266">
        <f t="shared" si="120"/>
        <v>0</v>
      </c>
      <c r="AU100" s="206">
        <f>'DATA INPUT - DETAIL'!AA91</f>
        <v>0</v>
      </c>
      <c r="AV100" s="206">
        <f>'DATA INPUT - DETAIL'!AB91</f>
        <v>0</v>
      </c>
      <c r="AW100" s="206">
        <f>'DATA INPUT - DETAIL'!AC91</f>
        <v>0</v>
      </c>
      <c r="AX100" s="206">
        <f t="shared" si="121"/>
        <v>0</v>
      </c>
      <c r="AY100" s="206">
        <f t="shared" si="122"/>
        <v>0</v>
      </c>
      <c r="AZ100" s="206">
        <f t="shared" si="123"/>
        <v>0</v>
      </c>
      <c r="BA100" s="206">
        <f t="shared" si="124"/>
        <v>0</v>
      </c>
      <c r="BB100" s="206">
        <f t="shared" si="125"/>
        <v>0</v>
      </c>
      <c r="BC100" s="206">
        <f t="shared" si="126"/>
        <v>0</v>
      </c>
      <c r="BD100" s="206">
        <f t="shared" si="127"/>
        <v>0</v>
      </c>
      <c r="BE100" s="206">
        <f t="shared" si="128"/>
        <v>0</v>
      </c>
      <c r="BF100" s="206">
        <f t="shared" si="129"/>
        <v>0</v>
      </c>
      <c r="BG100" s="206">
        <f t="shared" si="130"/>
        <v>0</v>
      </c>
      <c r="BH100" s="206">
        <f t="shared" si="131"/>
        <v>0</v>
      </c>
      <c r="BI100" s="206">
        <f t="shared" si="132"/>
        <v>0</v>
      </c>
      <c r="BJ100" s="266">
        <f t="shared" si="133"/>
        <v>0</v>
      </c>
      <c r="BK100" s="266">
        <f t="shared" si="134"/>
        <v>0</v>
      </c>
      <c r="BL100" s="192">
        <f t="shared" si="135"/>
        <v>0</v>
      </c>
      <c r="BM100" s="192">
        <f t="shared" si="136"/>
        <v>0</v>
      </c>
      <c r="BN100" s="192">
        <f t="shared" si="137"/>
        <v>0</v>
      </c>
      <c r="BO100" s="192">
        <f t="shared" si="138"/>
        <v>0</v>
      </c>
      <c r="BP100" s="192">
        <f t="shared" si="139"/>
        <v>0</v>
      </c>
      <c r="BQ100" s="193">
        <f t="shared" si="140"/>
        <v>0</v>
      </c>
      <c r="BR100" s="193">
        <f t="shared" si="141"/>
        <v>0</v>
      </c>
      <c r="BS100" s="265">
        <f t="shared" si="145"/>
        <v>0</v>
      </c>
      <c r="BT100" s="265">
        <f t="shared" si="146"/>
        <v>0</v>
      </c>
      <c r="BU100" s="265">
        <f t="shared" si="147"/>
        <v>0</v>
      </c>
      <c r="BV100" s="265">
        <f t="shared" si="148"/>
        <v>0</v>
      </c>
      <c r="BW100" s="265">
        <f t="shared" si="149"/>
        <v>0</v>
      </c>
      <c r="BX100" s="265">
        <f t="shared" si="150"/>
        <v>0</v>
      </c>
      <c r="BY100" s="265">
        <f t="shared" si="151"/>
        <v>0</v>
      </c>
      <c r="BZ100" s="265">
        <f t="shared" si="152"/>
        <v>0</v>
      </c>
      <c r="CA100" s="265">
        <f t="shared" si="153"/>
        <v>0</v>
      </c>
      <c r="CB100" s="269">
        <f t="shared" si="154"/>
        <v>0</v>
      </c>
      <c r="CC100" s="266">
        <f t="shared" si="155"/>
        <v>0</v>
      </c>
      <c r="CD100" s="241"/>
      <c r="CE100" s="198">
        <f t="shared" si="142"/>
        <v>1.0467584929397056E-10</v>
      </c>
      <c r="CF100" s="198">
        <f t="shared" si="156"/>
        <v>0</v>
      </c>
      <c r="CG100" s="198">
        <f t="shared" si="157"/>
        <v>0</v>
      </c>
      <c r="CH100" s="198">
        <f t="shared" si="158"/>
        <v>0</v>
      </c>
      <c r="CI100" s="198">
        <f t="shared" si="159"/>
        <v>0</v>
      </c>
      <c r="CJ100" s="198">
        <f t="shared" si="160"/>
        <v>0</v>
      </c>
      <c r="CK100" s="198">
        <f t="shared" si="161"/>
        <v>0</v>
      </c>
      <c r="CL100" s="198">
        <f t="shared" si="162"/>
        <v>4.5727600954595705E-13</v>
      </c>
      <c r="CM100" s="271">
        <f t="shared" si="163"/>
        <v>0</v>
      </c>
      <c r="CN100" s="198">
        <f t="shared" si="164"/>
        <v>1.0513312530351652E-10</v>
      </c>
      <c r="CO100" s="209">
        <f t="shared" si="143"/>
        <v>1.0467584929397056E-10</v>
      </c>
    </row>
    <row r="101" spans="2:93" x14ac:dyDescent="0.2">
      <c r="B101" s="221">
        <f>'DATA INPUT - DETAIL'!D92</f>
        <v>0</v>
      </c>
      <c r="C101" s="211">
        <f>'DATA INPUT - DETAIL'!E92</f>
        <v>0</v>
      </c>
      <c r="D101" s="257">
        <f>'DATA INPUT - DETAIL'!I92</f>
        <v>0</v>
      </c>
      <c r="E101" s="258">
        <f>'DATA INPUT - DETAIL'!K92</f>
        <v>0</v>
      </c>
      <c r="F101" s="258">
        <f>'DATA INPUT - DETAIL'!L92</f>
        <v>0</v>
      </c>
      <c r="G101" s="179">
        <f>'DATA INPUT - DETAIL'!M92*(1+$V$5)</f>
        <v>0</v>
      </c>
      <c r="H101" s="179">
        <f>'DATA INPUT - DETAIL'!N92*(1+$V$5)</f>
        <v>0</v>
      </c>
      <c r="I101" s="258">
        <f t="shared" si="100"/>
        <v>0</v>
      </c>
      <c r="J101" s="258">
        <f>'DATA INPUT - DETAIL'!O92</f>
        <v>0</v>
      </c>
      <c r="K101" s="258">
        <f>'DATA INPUT - DETAIL'!P92</f>
        <v>0</v>
      </c>
      <c r="L101" s="267">
        <f>ROUNDDOWN('DATA INPUT - DETAIL'!G92,0)</f>
        <v>0</v>
      </c>
      <c r="M101" s="196">
        <f t="shared" si="144"/>
        <v>0</v>
      </c>
      <c r="N101" s="196">
        <f t="shared" si="101"/>
        <v>0</v>
      </c>
      <c r="O101" s="196">
        <f t="shared" si="102"/>
        <v>0</v>
      </c>
      <c r="P101" s="196">
        <f t="shared" si="103"/>
        <v>0</v>
      </c>
      <c r="Q101" s="196">
        <f t="shared" si="104"/>
        <v>0</v>
      </c>
      <c r="R101" s="196">
        <f t="shared" si="105"/>
        <v>0</v>
      </c>
      <c r="S101" s="196">
        <f t="shared" si="106"/>
        <v>0</v>
      </c>
      <c r="T101" s="196">
        <f t="shared" si="107"/>
        <v>0</v>
      </c>
      <c r="U101" s="185">
        <f>(C101&gt;0)*(C101&lt;$E$5)*VLOOKUP(MPP,ASUMSI!$BN$77:$CR$108,B101+1)*(1+$V$4)</f>
        <v>0</v>
      </c>
      <c r="V101" s="196">
        <f t="shared" si="108"/>
        <v>0</v>
      </c>
      <c r="W101" s="196">
        <f t="shared" si="109"/>
        <v>0</v>
      </c>
      <c r="X101" s="196">
        <f t="shared" si="110"/>
        <v>0</v>
      </c>
      <c r="Y101" s="196">
        <f t="shared" si="111"/>
        <v>0</v>
      </c>
      <c r="Z101" s="196">
        <f t="shared" si="112"/>
        <v>0</v>
      </c>
      <c r="AA101" s="185">
        <f t="shared" si="113"/>
        <v>0</v>
      </c>
      <c r="AB101" s="196">
        <f t="shared" si="114"/>
        <v>0</v>
      </c>
      <c r="AC101" s="196">
        <f t="shared" si="114"/>
        <v>0</v>
      </c>
      <c r="AD101" s="196">
        <f t="shared" si="114"/>
        <v>0</v>
      </c>
      <c r="AE101" s="196">
        <f t="shared" si="115"/>
        <v>0</v>
      </c>
      <c r="AF101" s="196">
        <f t="shared" si="116"/>
        <v>0</v>
      </c>
      <c r="AG101" s="196">
        <f t="shared" si="117"/>
        <v>0</v>
      </c>
      <c r="AH101" s="196">
        <f t="shared" si="118"/>
        <v>0</v>
      </c>
      <c r="AI101" s="266">
        <f>'DATA INPUT - DETAIL'!R92</f>
        <v>0</v>
      </c>
      <c r="AJ101" s="266">
        <f>'DATA INPUT - DETAIL'!S92</f>
        <v>0</v>
      </c>
      <c r="AK101" s="266">
        <f>'DATA INPUT - DETAIL'!T92</f>
        <v>0</v>
      </c>
      <c r="AL101" s="266">
        <f>'DATA INPUT - DETAIL'!U92</f>
        <v>0</v>
      </c>
      <c r="AM101" s="266">
        <f>'DATA INPUT - DETAIL'!V92</f>
        <v>0</v>
      </c>
      <c r="AN101" s="266">
        <f>'DATA INPUT - DETAIL'!W92</f>
        <v>0</v>
      </c>
      <c r="AO101" s="198">
        <f t="shared" si="119"/>
        <v>0</v>
      </c>
      <c r="AP101" s="266">
        <f>'DATA INPUT - DETAIL'!X92</f>
        <v>0</v>
      </c>
      <c r="AQ101" s="266">
        <f>'DATA INPUT - DETAIL'!Y92</f>
        <v>0</v>
      </c>
      <c r="AR101" s="266">
        <f>'DATA INPUT - DETAIL'!Z92</f>
        <v>0</v>
      </c>
      <c r="AS101" s="266">
        <f>'DATA INPUT - DETAIL'!AD92</f>
        <v>0</v>
      </c>
      <c r="AT101" s="266">
        <f t="shared" si="120"/>
        <v>0</v>
      </c>
      <c r="AU101" s="206">
        <f>'DATA INPUT - DETAIL'!AA92</f>
        <v>0</v>
      </c>
      <c r="AV101" s="206">
        <f>'DATA INPUT - DETAIL'!AB92</f>
        <v>0</v>
      </c>
      <c r="AW101" s="206">
        <f>'DATA INPUT - DETAIL'!AC92</f>
        <v>0</v>
      </c>
      <c r="AX101" s="206">
        <f t="shared" si="121"/>
        <v>0</v>
      </c>
      <c r="AY101" s="206">
        <f t="shared" si="122"/>
        <v>0</v>
      </c>
      <c r="AZ101" s="206">
        <f t="shared" si="123"/>
        <v>0</v>
      </c>
      <c r="BA101" s="206">
        <f t="shared" si="124"/>
        <v>0</v>
      </c>
      <c r="BB101" s="206">
        <f t="shared" si="125"/>
        <v>0</v>
      </c>
      <c r="BC101" s="206">
        <f t="shared" si="126"/>
        <v>0</v>
      </c>
      <c r="BD101" s="206">
        <f t="shared" si="127"/>
        <v>0</v>
      </c>
      <c r="BE101" s="206">
        <f t="shared" si="128"/>
        <v>0</v>
      </c>
      <c r="BF101" s="206">
        <f t="shared" si="129"/>
        <v>0</v>
      </c>
      <c r="BG101" s="206">
        <f t="shared" si="130"/>
        <v>0</v>
      </c>
      <c r="BH101" s="206">
        <f t="shared" si="131"/>
        <v>0</v>
      </c>
      <c r="BI101" s="206">
        <f t="shared" si="132"/>
        <v>0</v>
      </c>
      <c r="BJ101" s="266">
        <f t="shared" si="133"/>
        <v>0</v>
      </c>
      <c r="BK101" s="266">
        <f t="shared" si="134"/>
        <v>0</v>
      </c>
      <c r="BL101" s="192">
        <f t="shared" si="135"/>
        <v>0</v>
      </c>
      <c r="BM101" s="192">
        <f t="shared" si="136"/>
        <v>0</v>
      </c>
      <c r="BN101" s="192">
        <f t="shared" si="137"/>
        <v>0</v>
      </c>
      <c r="BO101" s="192">
        <f t="shared" si="138"/>
        <v>0</v>
      </c>
      <c r="BP101" s="192">
        <f t="shared" si="139"/>
        <v>0</v>
      </c>
      <c r="BQ101" s="193">
        <f t="shared" si="140"/>
        <v>0</v>
      </c>
      <c r="BR101" s="193">
        <f t="shared" si="141"/>
        <v>0</v>
      </c>
      <c r="BS101" s="265">
        <f t="shared" si="145"/>
        <v>0</v>
      </c>
      <c r="BT101" s="265">
        <f t="shared" si="146"/>
        <v>0</v>
      </c>
      <c r="BU101" s="265">
        <f t="shared" si="147"/>
        <v>0</v>
      </c>
      <c r="BV101" s="265">
        <f t="shared" si="148"/>
        <v>0</v>
      </c>
      <c r="BW101" s="265">
        <f t="shared" si="149"/>
        <v>0</v>
      </c>
      <c r="BX101" s="265">
        <f t="shared" si="150"/>
        <v>0</v>
      </c>
      <c r="BY101" s="265">
        <f t="shared" si="151"/>
        <v>0</v>
      </c>
      <c r="BZ101" s="265">
        <f t="shared" si="152"/>
        <v>0</v>
      </c>
      <c r="CA101" s="265">
        <f t="shared" si="153"/>
        <v>0</v>
      </c>
      <c r="CB101" s="269">
        <f t="shared" si="154"/>
        <v>0</v>
      </c>
      <c r="CC101" s="266">
        <f t="shared" si="155"/>
        <v>0</v>
      </c>
      <c r="CD101" s="241"/>
      <c r="CE101" s="198">
        <f t="shared" si="142"/>
        <v>1.0513312530351652E-10</v>
      </c>
      <c r="CF101" s="198">
        <f t="shared" si="156"/>
        <v>0</v>
      </c>
      <c r="CG101" s="198">
        <f t="shared" si="157"/>
        <v>0</v>
      </c>
      <c r="CH101" s="198">
        <f t="shared" si="158"/>
        <v>0</v>
      </c>
      <c r="CI101" s="198">
        <f t="shared" si="159"/>
        <v>0</v>
      </c>
      <c r="CJ101" s="198">
        <f t="shared" si="160"/>
        <v>0</v>
      </c>
      <c r="CK101" s="198">
        <f t="shared" si="161"/>
        <v>0</v>
      </c>
      <c r="CL101" s="198">
        <f t="shared" si="162"/>
        <v>4.5927361787984355E-13</v>
      </c>
      <c r="CM101" s="271">
        <f t="shared" si="163"/>
        <v>0</v>
      </c>
      <c r="CN101" s="198">
        <f t="shared" si="164"/>
        <v>1.0559239892139636E-10</v>
      </c>
      <c r="CO101" s="209">
        <f t="shared" si="143"/>
        <v>1.0513312530351652E-10</v>
      </c>
    </row>
    <row r="102" spans="2:93" x14ac:dyDescent="0.2">
      <c r="B102" s="221">
        <f>'DATA INPUT - DETAIL'!D93</f>
        <v>0</v>
      </c>
      <c r="C102" s="211">
        <f>'DATA INPUT - DETAIL'!E93</f>
        <v>0</v>
      </c>
      <c r="D102" s="257">
        <f>'DATA INPUT - DETAIL'!I93</f>
        <v>0</v>
      </c>
      <c r="E102" s="258">
        <f>'DATA INPUT - DETAIL'!K93</f>
        <v>0</v>
      </c>
      <c r="F102" s="258">
        <f>'DATA INPUT - DETAIL'!L93</f>
        <v>0</v>
      </c>
      <c r="G102" s="179">
        <f>'DATA INPUT - DETAIL'!M93*(1+$V$5)</f>
        <v>0</v>
      </c>
      <c r="H102" s="179">
        <f>'DATA INPUT - DETAIL'!N93*(1+$V$5)</f>
        <v>0</v>
      </c>
      <c r="I102" s="258">
        <f t="shared" si="100"/>
        <v>0</v>
      </c>
      <c r="J102" s="258">
        <f>'DATA INPUT - DETAIL'!O93</f>
        <v>0</v>
      </c>
      <c r="K102" s="258">
        <f>'DATA INPUT - DETAIL'!P93</f>
        <v>0</v>
      </c>
      <c r="L102" s="267">
        <f>ROUNDDOWN('DATA INPUT - DETAIL'!G93,0)</f>
        <v>0</v>
      </c>
      <c r="M102" s="196">
        <f t="shared" si="144"/>
        <v>0</v>
      </c>
      <c r="N102" s="196">
        <f t="shared" si="101"/>
        <v>0</v>
      </c>
      <c r="O102" s="196">
        <f t="shared" si="102"/>
        <v>0</v>
      </c>
      <c r="P102" s="196">
        <f t="shared" si="103"/>
        <v>0</v>
      </c>
      <c r="Q102" s="196">
        <f t="shared" si="104"/>
        <v>0</v>
      </c>
      <c r="R102" s="196">
        <f t="shared" si="105"/>
        <v>0</v>
      </c>
      <c r="S102" s="196">
        <f t="shared" si="106"/>
        <v>0</v>
      </c>
      <c r="T102" s="196">
        <f t="shared" si="107"/>
        <v>0</v>
      </c>
      <c r="U102" s="185">
        <f>(C102&gt;0)*(C102&lt;$E$5)*VLOOKUP(MPP,ASUMSI!$BN$77:$CR$108,B102+1)*(1+$V$4)</f>
        <v>0</v>
      </c>
      <c r="V102" s="196">
        <f t="shared" si="108"/>
        <v>0</v>
      </c>
      <c r="W102" s="196">
        <f t="shared" si="109"/>
        <v>0</v>
      </c>
      <c r="X102" s="196">
        <f t="shared" si="110"/>
        <v>0</v>
      </c>
      <c r="Y102" s="196">
        <f t="shared" si="111"/>
        <v>0</v>
      </c>
      <c r="Z102" s="196">
        <f t="shared" si="112"/>
        <v>0</v>
      </c>
      <c r="AA102" s="185">
        <f t="shared" si="113"/>
        <v>0</v>
      </c>
      <c r="AB102" s="196">
        <f t="shared" si="114"/>
        <v>0</v>
      </c>
      <c r="AC102" s="196">
        <f t="shared" si="114"/>
        <v>0</v>
      </c>
      <c r="AD102" s="196">
        <f t="shared" si="114"/>
        <v>0</v>
      </c>
      <c r="AE102" s="196">
        <f t="shared" si="115"/>
        <v>0</v>
      </c>
      <c r="AF102" s="196">
        <f t="shared" si="116"/>
        <v>0</v>
      </c>
      <c r="AG102" s="196">
        <f t="shared" si="117"/>
        <v>0</v>
      </c>
      <c r="AH102" s="196">
        <f t="shared" si="118"/>
        <v>0</v>
      </c>
      <c r="AI102" s="266">
        <f>'DATA INPUT - DETAIL'!R93</f>
        <v>0</v>
      </c>
      <c r="AJ102" s="266">
        <f>'DATA INPUT - DETAIL'!S93</f>
        <v>0</v>
      </c>
      <c r="AK102" s="266">
        <f>'DATA INPUT - DETAIL'!T93</f>
        <v>0</v>
      </c>
      <c r="AL102" s="266">
        <f>'DATA INPUT - DETAIL'!U93</f>
        <v>0</v>
      </c>
      <c r="AM102" s="266">
        <f>'DATA INPUT - DETAIL'!V93</f>
        <v>0</v>
      </c>
      <c r="AN102" s="266">
        <f>'DATA INPUT - DETAIL'!W93</f>
        <v>0</v>
      </c>
      <c r="AO102" s="198">
        <f t="shared" si="119"/>
        <v>0</v>
      </c>
      <c r="AP102" s="266">
        <f>'DATA INPUT - DETAIL'!X93</f>
        <v>0</v>
      </c>
      <c r="AQ102" s="266">
        <f>'DATA INPUT - DETAIL'!Y93</f>
        <v>0</v>
      </c>
      <c r="AR102" s="266">
        <f>'DATA INPUT - DETAIL'!Z93</f>
        <v>0</v>
      </c>
      <c r="AS102" s="266">
        <f>'DATA INPUT - DETAIL'!AD93</f>
        <v>0</v>
      </c>
      <c r="AT102" s="266">
        <f t="shared" si="120"/>
        <v>0</v>
      </c>
      <c r="AU102" s="206">
        <f>'DATA INPUT - DETAIL'!AA93</f>
        <v>0</v>
      </c>
      <c r="AV102" s="206">
        <f>'DATA INPUT - DETAIL'!AB93</f>
        <v>0</v>
      </c>
      <c r="AW102" s="206">
        <f>'DATA INPUT - DETAIL'!AC93</f>
        <v>0</v>
      </c>
      <c r="AX102" s="206">
        <f t="shared" si="121"/>
        <v>0</v>
      </c>
      <c r="AY102" s="206">
        <f t="shared" si="122"/>
        <v>0</v>
      </c>
      <c r="AZ102" s="206">
        <f t="shared" si="123"/>
        <v>0</v>
      </c>
      <c r="BA102" s="206">
        <f t="shared" si="124"/>
        <v>0</v>
      </c>
      <c r="BB102" s="206">
        <f t="shared" si="125"/>
        <v>0</v>
      </c>
      <c r="BC102" s="206">
        <f t="shared" si="126"/>
        <v>0</v>
      </c>
      <c r="BD102" s="206">
        <f t="shared" si="127"/>
        <v>0</v>
      </c>
      <c r="BE102" s="206">
        <f t="shared" si="128"/>
        <v>0</v>
      </c>
      <c r="BF102" s="206">
        <f t="shared" si="129"/>
        <v>0</v>
      </c>
      <c r="BG102" s="206">
        <f t="shared" si="130"/>
        <v>0</v>
      </c>
      <c r="BH102" s="206">
        <f t="shared" si="131"/>
        <v>0</v>
      </c>
      <c r="BI102" s="206">
        <f t="shared" si="132"/>
        <v>0</v>
      </c>
      <c r="BJ102" s="266">
        <f t="shared" si="133"/>
        <v>0</v>
      </c>
      <c r="BK102" s="266">
        <f t="shared" si="134"/>
        <v>0</v>
      </c>
      <c r="BL102" s="192">
        <f t="shared" si="135"/>
        <v>0</v>
      </c>
      <c r="BM102" s="192">
        <f t="shared" si="136"/>
        <v>0</v>
      </c>
      <c r="BN102" s="192">
        <f t="shared" si="137"/>
        <v>0</v>
      </c>
      <c r="BO102" s="192">
        <f t="shared" si="138"/>
        <v>0</v>
      </c>
      <c r="BP102" s="192">
        <f t="shared" si="139"/>
        <v>0</v>
      </c>
      <c r="BQ102" s="193">
        <f t="shared" si="140"/>
        <v>0</v>
      </c>
      <c r="BR102" s="193">
        <f t="shared" si="141"/>
        <v>0</v>
      </c>
      <c r="BS102" s="265">
        <f t="shared" si="145"/>
        <v>0</v>
      </c>
      <c r="BT102" s="265">
        <f t="shared" si="146"/>
        <v>0</v>
      </c>
      <c r="BU102" s="265">
        <f t="shared" si="147"/>
        <v>0</v>
      </c>
      <c r="BV102" s="265">
        <f t="shared" si="148"/>
        <v>0</v>
      </c>
      <c r="BW102" s="265">
        <f t="shared" si="149"/>
        <v>0</v>
      </c>
      <c r="BX102" s="265">
        <f t="shared" si="150"/>
        <v>0</v>
      </c>
      <c r="BY102" s="265">
        <f t="shared" si="151"/>
        <v>0</v>
      </c>
      <c r="BZ102" s="265">
        <f t="shared" si="152"/>
        <v>0</v>
      </c>
      <c r="CA102" s="265">
        <f t="shared" si="153"/>
        <v>0</v>
      </c>
      <c r="CB102" s="269">
        <f t="shared" si="154"/>
        <v>0</v>
      </c>
      <c r="CC102" s="266">
        <f t="shared" si="155"/>
        <v>0</v>
      </c>
      <c r="CD102" s="241"/>
      <c r="CE102" s="198">
        <f t="shared" si="142"/>
        <v>1.0559239892139636E-10</v>
      </c>
      <c r="CF102" s="198">
        <f t="shared" si="156"/>
        <v>0</v>
      </c>
      <c r="CG102" s="198">
        <f t="shared" si="157"/>
        <v>0</v>
      </c>
      <c r="CH102" s="198">
        <f t="shared" si="158"/>
        <v>0</v>
      </c>
      <c r="CI102" s="198">
        <f t="shared" si="159"/>
        <v>0</v>
      </c>
      <c r="CJ102" s="198">
        <f t="shared" si="160"/>
        <v>0</v>
      </c>
      <c r="CK102" s="198">
        <f t="shared" si="161"/>
        <v>0</v>
      </c>
      <c r="CL102" s="198">
        <f t="shared" si="162"/>
        <v>4.6127995275737598E-13</v>
      </c>
      <c r="CM102" s="271">
        <f t="shared" si="163"/>
        <v>0</v>
      </c>
      <c r="CN102" s="198">
        <f t="shared" si="164"/>
        <v>1.0605367887415375E-10</v>
      </c>
      <c r="CO102" s="209">
        <f t="shared" si="143"/>
        <v>1.0559239892139636E-10</v>
      </c>
    </row>
    <row r="103" spans="2:93" x14ac:dyDescent="0.2">
      <c r="B103" s="221">
        <f>'DATA INPUT - DETAIL'!D94</f>
        <v>0</v>
      </c>
      <c r="C103" s="211">
        <f>'DATA INPUT - DETAIL'!E94</f>
        <v>0</v>
      </c>
      <c r="D103" s="257">
        <f>'DATA INPUT - DETAIL'!I94</f>
        <v>0</v>
      </c>
      <c r="E103" s="258">
        <f>'DATA INPUT - DETAIL'!K94</f>
        <v>0</v>
      </c>
      <c r="F103" s="258">
        <f>'DATA INPUT - DETAIL'!L94</f>
        <v>0</v>
      </c>
      <c r="G103" s="179">
        <f>'DATA INPUT - DETAIL'!M94*(1+$V$5)</f>
        <v>0</v>
      </c>
      <c r="H103" s="179">
        <f>'DATA INPUT - DETAIL'!N94*(1+$V$5)</f>
        <v>0</v>
      </c>
      <c r="I103" s="258">
        <f t="shared" si="100"/>
        <v>0</v>
      </c>
      <c r="J103" s="258">
        <f>'DATA INPUT - DETAIL'!O94</f>
        <v>0</v>
      </c>
      <c r="K103" s="258">
        <f>'DATA INPUT - DETAIL'!P94</f>
        <v>0</v>
      </c>
      <c r="L103" s="267">
        <f>ROUNDDOWN('DATA INPUT - DETAIL'!G94,0)</f>
        <v>0</v>
      </c>
      <c r="M103" s="196">
        <f t="shared" si="144"/>
        <v>0</v>
      </c>
      <c r="N103" s="196">
        <f t="shared" si="101"/>
        <v>0</v>
      </c>
      <c r="O103" s="196">
        <f t="shared" si="102"/>
        <v>0</v>
      </c>
      <c r="P103" s="196">
        <f t="shared" si="103"/>
        <v>0</v>
      </c>
      <c r="Q103" s="196">
        <f t="shared" si="104"/>
        <v>0</v>
      </c>
      <c r="R103" s="196">
        <f t="shared" si="105"/>
        <v>0</v>
      </c>
      <c r="S103" s="196">
        <f t="shared" si="106"/>
        <v>0</v>
      </c>
      <c r="T103" s="196">
        <f t="shared" si="107"/>
        <v>0</v>
      </c>
      <c r="U103" s="185">
        <f>(C103&gt;0)*(C103&lt;$E$5)*VLOOKUP(MPP,ASUMSI!$BN$77:$CR$108,B103+1)*(1+$V$4)</f>
        <v>0</v>
      </c>
      <c r="V103" s="196">
        <f t="shared" si="108"/>
        <v>0</v>
      </c>
      <c r="W103" s="196">
        <f t="shared" si="109"/>
        <v>0</v>
      </c>
      <c r="X103" s="196">
        <f t="shared" si="110"/>
        <v>0</v>
      </c>
      <c r="Y103" s="196">
        <f t="shared" si="111"/>
        <v>0</v>
      </c>
      <c r="Z103" s="196">
        <f t="shared" si="112"/>
        <v>0</v>
      </c>
      <c r="AA103" s="185">
        <f t="shared" si="113"/>
        <v>0</v>
      </c>
      <c r="AB103" s="196">
        <f t="shared" si="114"/>
        <v>0</v>
      </c>
      <c r="AC103" s="196">
        <f t="shared" si="114"/>
        <v>0</v>
      </c>
      <c r="AD103" s="196">
        <f t="shared" si="114"/>
        <v>0</v>
      </c>
      <c r="AE103" s="196">
        <f t="shared" si="115"/>
        <v>0</v>
      </c>
      <c r="AF103" s="196">
        <f t="shared" si="116"/>
        <v>0</v>
      </c>
      <c r="AG103" s="196">
        <f t="shared" si="117"/>
        <v>0</v>
      </c>
      <c r="AH103" s="196">
        <f t="shared" si="118"/>
        <v>0</v>
      </c>
      <c r="AI103" s="266">
        <f>'DATA INPUT - DETAIL'!R94</f>
        <v>0</v>
      </c>
      <c r="AJ103" s="266">
        <f>'DATA INPUT - DETAIL'!S94</f>
        <v>0</v>
      </c>
      <c r="AK103" s="266">
        <f>'DATA INPUT - DETAIL'!T94</f>
        <v>0</v>
      </c>
      <c r="AL103" s="266">
        <f>'DATA INPUT - DETAIL'!U94</f>
        <v>0</v>
      </c>
      <c r="AM103" s="266">
        <f>'DATA INPUT - DETAIL'!V94</f>
        <v>0</v>
      </c>
      <c r="AN103" s="266">
        <f>'DATA INPUT - DETAIL'!W94</f>
        <v>0</v>
      </c>
      <c r="AO103" s="198">
        <f t="shared" si="119"/>
        <v>0</v>
      </c>
      <c r="AP103" s="266">
        <f>'DATA INPUT - DETAIL'!X94</f>
        <v>0</v>
      </c>
      <c r="AQ103" s="266">
        <f>'DATA INPUT - DETAIL'!Y94</f>
        <v>0</v>
      </c>
      <c r="AR103" s="266">
        <f>'DATA INPUT - DETAIL'!Z94</f>
        <v>0</v>
      </c>
      <c r="AS103" s="266">
        <f>'DATA INPUT - DETAIL'!AD94</f>
        <v>0</v>
      </c>
      <c r="AT103" s="266">
        <f t="shared" si="120"/>
        <v>0</v>
      </c>
      <c r="AU103" s="206">
        <f>'DATA INPUT - DETAIL'!AA94</f>
        <v>0</v>
      </c>
      <c r="AV103" s="206">
        <f>'DATA INPUT - DETAIL'!AB94</f>
        <v>0</v>
      </c>
      <c r="AW103" s="206">
        <f>'DATA INPUT - DETAIL'!AC94</f>
        <v>0</v>
      </c>
      <c r="AX103" s="206">
        <f t="shared" si="121"/>
        <v>0</v>
      </c>
      <c r="AY103" s="206">
        <f t="shared" si="122"/>
        <v>0</v>
      </c>
      <c r="AZ103" s="206">
        <f t="shared" si="123"/>
        <v>0</v>
      </c>
      <c r="BA103" s="206">
        <f t="shared" si="124"/>
        <v>0</v>
      </c>
      <c r="BB103" s="206">
        <f t="shared" si="125"/>
        <v>0</v>
      </c>
      <c r="BC103" s="206">
        <f t="shared" si="126"/>
        <v>0</v>
      </c>
      <c r="BD103" s="206">
        <f t="shared" si="127"/>
        <v>0</v>
      </c>
      <c r="BE103" s="206">
        <f t="shared" si="128"/>
        <v>0</v>
      </c>
      <c r="BF103" s="206">
        <f t="shared" si="129"/>
        <v>0</v>
      </c>
      <c r="BG103" s="206">
        <f t="shared" si="130"/>
        <v>0</v>
      </c>
      <c r="BH103" s="206">
        <f t="shared" si="131"/>
        <v>0</v>
      </c>
      <c r="BI103" s="206">
        <f t="shared" si="132"/>
        <v>0</v>
      </c>
      <c r="BJ103" s="266">
        <f t="shared" si="133"/>
        <v>0</v>
      </c>
      <c r="BK103" s="266">
        <f t="shared" si="134"/>
        <v>0</v>
      </c>
      <c r="BL103" s="192">
        <f t="shared" si="135"/>
        <v>0</v>
      </c>
      <c r="BM103" s="192">
        <f t="shared" si="136"/>
        <v>0</v>
      </c>
      <c r="BN103" s="192">
        <f t="shared" si="137"/>
        <v>0</v>
      </c>
      <c r="BO103" s="192">
        <f t="shared" si="138"/>
        <v>0</v>
      </c>
      <c r="BP103" s="192">
        <f t="shared" si="139"/>
        <v>0</v>
      </c>
      <c r="BQ103" s="193">
        <f t="shared" si="140"/>
        <v>0</v>
      </c>
      <c r="BR103" s="193">
        <f t="shared" si="141"/>
        <v>0</v>
      </c>
      <c r="BS103" s="265">
        <f t="shared" si="145"/>
        <v>0</v>
      </c>
      <c r="BT103" s="265">
        <f t="shared" si="146"/>
        <v>0</v>
      </c>
      <c r="BU103" s="265">
        <f t="shared" si="147"/>
        <v>0</v>
      </c>
      <c r="BV103" s="265">
        <f t="shared" si="148"/>
        <v>0</v>
      </c>
      <c r="BW103" s="265">
        <f t="shared" si="149"/>
        <v>0</v>
      </c>
      <c r="BX103" s="265">
        <f t="shared" si="150"/>
        <v>0</v>
      </c>
      <c r="BY103" s="265">
        <f t="shared" si="151"/>
        <v>0</v>
      </c>
      <c r="BZ103" s="265">
        <f t="shared" si="152"/>
        <v>0</v>
      </c>
      <c r="CA103" s="265">
        <f t="shared" si="153"/>
        <v>0</v>
      </c>
      <c r="CB103" s="269">
        <f t="shared" si="154"/>
        <v>0</v>
      </c>
      <c r="CC103" s="266">
        <f t="shared" si="155"/>
        <v>0</v>
      </c>
      <c r="CD103" s="241"/>
      <c r="CE103" s="198">
        <f t="shared" si="142"/>
        <v>1.0605367887415375E-10</v>
      </c>
      <c r="CF103" s="198">
        <f t="shared" si="156"/>
        <v>0</v>
      </c>
      <c r="CG103" s="198">
        <f t="shared" si="157"/>
        <v>0</v>
      </c>
      <c r="CH103" s="198">
        <f t="shared" si="158"/>
        <v>0</v>
      </c>
      <c r="CI103" s="198">
        <f t="shared" si="159"/>
        <v>0</v>
      </c>
      <c r="CJ103" s="198">
        <f t="shared" si="160"/>
        <v>0</v>
      </c>
      <c r="CK103" s="198">
        <f t="shared" si="161"/>
        <v>0</v>
      </c>
      <c r="CL103" s="198">
        <f t="shared" si="162"/>
        <v>4.6329505230042404E-13</v>
      </c>
      <c r="CM103" s="271">
        <f t="shared" si="163"/>
        <v>0</v>
      </c>
      <c r="CN103" s="198">
        <f t="shared" si="164"/>
        <v>1.0651697392645417E-10</v>
      </c>
      <c r="CO103" s="209">
        <f t="shared" si="143"/>
        <v>1.0605367887415375E-10</v>
      </c>
    </row>
    <row r="104" spans="2:93" x14ac:dyDescent="0.2">
      <c r="B104" s="221">
        <f>'DATA INPUT - DETAIL'!D95</f>
        <v>0</v>
      </c>
      <c r="C104" s="211">
        <f>'DATA INPUT - DETAIL'!E95</f>
        <v>0</v>
      </c>
      <c r="D104" s="257">
        <f>'DATA INPUT - DETAIL'!I95</f>
        <v>0</v>
      </c>
      <c r="E104" s="258">
        <f>'DATA INPUT - DETAIL'!K95</f>
        <v>0</v>
      </c>
      <c r="F104" s="258">
        <f>'DATA INPUT - DETAIL'!L95</f>
        <v>0</v>
      </c>
      <c r="G104" s="179">
        <f>'DATA INPUT - DETAIL'!M95*(1+$V$5)</f>
        <v>0</v>
      </c>
      <c r="H104" s="179">
        <f>'DATA INPUT - DETAIL'!N95*(1+$V$5)</f>
        <v>0</v>
      </c>
      <c r="I104" s="258">
        <f t="shared" si="100"/>
        <v>0</v>
      </c>
      <c r="J104" s="258">
        <f>'DATA INPUT - DETAIL'!O95</f>
        <v>0</v>
      </c>
      <c r="K104" s="258">
        <f>'DATA INPUT - DETAIL'!P95</f>
        <v>0</v>
      </c>
      <c r="L104" s="267">
        <f>ROUNDDOWN('DATA INPUT - DETAIL'!G95,0)</f>
        <v>0</v>
      </c>
      <c r="M104" s="196">
        <f t="shared" si="144"/>
        <v>0</v>
      </c>
      <c r="N104" s="196">
        <f t="shared" si="101"/>
        <v>0</v>
      </c>
      <c r="O104" s="196">
        <f t="shared" si="102"/>
        <v>0</v>
      </c>
      <c r="P104" s="196">
        <f t="shared" si="103"/>
        <v>0</v>
      </c>
      <c r="Q104" s="196">
        <f t="shared" si="104"/>
        <v>0</v>
      </c>
      <c r="R104" s="196">
        <f t="shared" si="105"/>
        <v>0</v>
      </c>
      <c r="S104" s="196">
        <f t="shared" si="106"/>
        <v>0</v>
      </c>
      <c r="T104" s="196">
        <f t="shared" si="107"/>
        <v>0</v>
      </c>
      <c r="U104" s="185">
        <f>(C104&gt;0)*(C104&lt;$E$5)*VLOOKUP(MPP,ASUMSI!$BN$77:$CR$108,B104+1)*(1+$V$4)</f>
        <v>0</v>
      </c>
      <c r="V104" s="196">
        <f t="shared" si="108"/>
        <v>0</v>
      </c>
      <c r="W104" s="196">
        <f t="shared" si="109"/>
        <v>0</v>
      </c>
      <c r="X104" s="196">
        <f t="shared" si="110"/>
        <v>0</v>
      </c>
      <c r="Y104" s="196">
        <f t="shared" si="111"/>
        <v>0</v>
      </c>
      <c r="Z104" s="196">
        <f t="shared" si="112"/>
        <v>0</v>
      </c>
      <c r="AA104" s="185">
        <f t="shared" si="113"/>
        <v>0</v>
      </c>
      <c r="AB104" s="196">
        <f t="shared" si="114"/>
        <v>0</v>
      </c>
      <c r="AC104" s="196">
        <f t="shared" si="114"/>
        <v>0</v>
      </c>
      <c r="AD104" s="196">
        <f t="shared" si="114"/>
        <v>0</v>
      </c>
      <c r="AE104" s="196">
        <f t="shared" si="115"/>
        <v>0</v>
      </c>
      <c r="AF104" s="196">
        <f t="shared" si="116"/>
        <v>0</v>
      </c>
      <c r="AG104" s="196">
        <f t="shared" si="117"/>
        <v>0</v>
      </c>
      <c r="AH104" s="196">
        <f t="shared" si="118"/>
        <v>0</v>
      </c>
      <c r="AI104" s="266">
        <f>'DATA INPUT - DETAIL'!R95</f>
        <v>0</v>
      </c>
      <c r="AJ104" s="266">
        <f>'DATA INPUT - DETAIL'!S95</f>
        <v>0</v>
      </c>
      <c r="AK104" s="266">
        <f>'DATA INPUT - DETAIL'!T95</f>
        <v>0</v>
      </c>
      <c r="AL104" s="266">
        <f>'DATA INPUT - DETAIL'!U95</f>
        <v>0</v>
      </c>
      <c r="AM104" s="266">
        <f>'DATA INPUT - DETAIL'!V95</f>
        <v>0</v>
      </c>
      <c r="AN104" s="266">
        <f>'DATA INPUT - DETAIL'!W95</f>
        <v>0</v>
      </c>
      <c r="AO104" s="198">
        <f t="shared" si="119"/>
        <v>0</v>
      </c>
      <c r="AP104" s="266">
        <f>'DATA INPUT - DETAIL'!X95</f>
        <v>0</v>
      </c>
      <c r="AQ104" s="266">
        <f>'DATA INPUT - DETAIL'!Y95</f>
        <v>0</v>
      </c>
      <c r="AR104" s="266">
        <f>'DATA INPUT - DETAIL'!Z95</f>
        <v>0</v>
      </c>
      <c r="AS104" s="266">
        <f>'DATA INPUT - DETAIL'!AD95</f>
        <v>0</v>
      </c>
      <c r="AT104" s="266">
        <f t="shared" si="120"/>
        <v>0</v>
      </c>
      <c r="AU104" s="206">
        <f>'DATA INPUT - DETAIL'!AA95</f>
        <v>0</v>
      </c>
      <c r="AV104" s="206">
        <f>'DATA INPUT - DETAIL'!AB95</f>
        <v>0</v>
      </c>
      <c r="AW104" s="206">
        <f>'DATA INPUT - DETAIL'!AC95</f>
        <v>0</v>
      </c>
      <c r="AX104" s="206">
        <f t="shared" si="121"/>
        <v>0</v>
      </c>
      <c r="AY104" s="206">
        <f t="shared" si="122"/>
        <v>0</v>
      </c>
      <c r="AZ104" s="206">
        <f t="shared" si="123"/>
        <v>0</v>
      </c>
      <c r="BA104" s="206">
        <f t="shared" si="124"/>
        <v>0</v>
      </c>
      <c r="BB104" s="206">
        <f t="shared" si="125"/>
        <v>0</v>
      </c>
      <c r="BC104" s="206">
        <f t="shared" si="126"/>
        <v>0</v>
      </c>
      <c r="BD104" s="206">
        <f t="shared" si="127"/>
        <v>0</v>
      </c>
      <c r="BE104" s="206">
        <f t="shared" si="128"/>
        <v>0</v>
      </c>
      <c r="BF104" s="206">
        <f t="shared" si="129"/>
        <v>0</v>
      </c>
      <c r="BG104" s="206">
        <f t="shared" si="130"/>
        <v>0</v>
      </c>
      <c r="BH104" s="206">
        <f t="shared" si="131"/>
        <v>0</v>
      </c>
      <c r="BI104" s="206">
        <f t="shared" si="132"/>
        <v>0</v>
      </c>
      <c r="BJ104" s="266">
        <f t="shared" si="133"/>
        <v>0</v>
      </c>
      <c r="BK104" s="266">
        <f t="shared" si="134"/>
        <v>0</v>
      </c>
      <c r="BL104" s="192">
        <f t="shared" si="135"/>
        <v>0</v>
      </c>
      <c r="BM104" s="192">
        <f t="shared" si="136"/>
        <v>0</v>
      </c>
      <c r="BN104" s="192">
        <f t="shared" si="137"/>
        <v>0</v>
      </c>
      <c r="BO104" s="192">
        <f t="shared" si="138"/>
        <v>0</v>
      </c>
      <c r="BP104" s="192">
        <f t="shared" si="139"/>
        <v>0</v>
      </c>
      <c r="BQ104" s="193">
        <f t="shared" si="140"/>
        <v>0</v>
      </c>
      <c r="BR104" s="193">
        <f t="shared" si="141"/>
        <v>0</v>
      </c>
      <c r="BS104" s="265">
        <f t="shared" si="145"/>
        <v>0</v>
      </c>
      <c r="BT104" s="265">
        <f t="shared" si="146"/>
        <v>0</v>
      </c>
      <c r="BU104" s="265">
        <f t="shared" si="147"/>
        <v>0</v>
      </c>
      <c r="BV104" s="265">
        <f t="shared" si="148"/>
        <v>0</v>
      </c>
      <c r="BW104" s="265">
        <f t="shared" si="149"/>
        <v>0</v>
      </c>
      <c r="BX104" s="265">
        <f t="shared" si="150"/>
        <v>0</v>
      </c>
      <c r="BY104" s="265">
        <f t="shared" si="151"/>
        <v>0</v>
      </c>
      <c r="BZ104" s="265">
        <f t="shared" si="152"/>
        <v>0</v>
      </c>
      <c r="CA104" s="265">
        <f t="shared" si="153"/>
        <v>0</v>
      </c>
      <c r="CB104" s="269">
        <f t="shared" si="154"/>
        <v>0</v>
      </c>
      <c r="CC104" s="266">
        <f t="shared" si="155"/>
        <v>0</v>
      </c>
      <c r="CD104" s="241"/>
      <c r="CE104" s="198">
        <f t="shared" si="142"/>
        <v>1.0651697392645417E-10</v>
      </c>
      <c r="CF104" s="198">
        <f t="shared" si="156"/>
        <v>0</v>
      </c>
      <c r="CG104" s="198">
        <f t="shared" si="157"/>
        <v>0</v>
      </c>
      <c r="CH104" s="198">
        <f t="shared" si="158"/>
        <v>0</v>
      </c>
      <c r="CI104" s="198">
        <f t="shared" si="159"/>
        <v>0</v>
      </c>
      <c r="CJ104" s="198">
        <f t="shared" si="160"/>
        <v>0</v>
      </c>
      <c r="CK104" s="198">
        <f t="shared" si="161"/>
        <v>0</v>
      </c>
      <c r="CL104" s="198">
        <f t="shared" si="162"/>
        <v>4.6531895479739207E-13</v>
      </c>
      <c r="CM104" s="271">
        <f t="shared" si="163"/>
        <v>0</v>
      </c>
      <c r="CN104" s="198">
        <f t="shared" si="164"/>
        <v>1.0698229288125155E-10</v>
      </c>
      <c r="CO104" s="209">
        <f t="shared" si="143"/>
        <v>1.0651697392645417E-10</v>
      </c>
    </row>
    <row r="105" spans="2:93" x14ac:dyDescent="0.2">
      <c r="B105" s="221">
        <f>'DATA INPUT - DETAIL'!D96</f>
        <v>0</v>
      </c>
      <c r="C105" s="211">
        <f>'DATA INPUT - DETAIL'!E96</f>
        <v>0</v>
      </c>
      <c r="D105" s="257">
        <f>'DATA INPUT - DETAIL'!I96</f>
        <v>0</v>
      </c>
      <c r="E105" s="258">
        <f>'DATA INPUT - DETAIL'!K96</f>
        <v>0</v>
      </c>
      <c r="F105" s="258">
        <f>'DATA INPUT - DETAIL'!L96</f>
        <v>0</v>
      </c>
      <c r="G105" s="179">
        <f>'DATA INPUT - DETAIL'!M96*(1+$V$5)</f>
        <v>0</v>
      </c>
      <c r="H105" s="179">
        <f>'DATA INPUT - DETAIL'!N96*(1+$V$5)</f>
        <v>0</v>
      </c>
      <c r="I105" s="258">
        <f t="shared" si="100"/>
        <v>0</v>
      </c>
      <c r="J105" s="258">
        <f>'DATA INPUT - DETAIL'!O96</f>
        <v>0</v>
      </c>
      <c r="K105" s="258">
        <f>'DATA INPUT - DETAIL'!P96</f>
        <v>0</v>
      </c>
      <c r="L105" s="267">
        <f>ROUNDDOWN('DATA INPUT - DETAIL'!G96,0)</f>
        <v>0</v>
      </c>
      <c r="M105" s="196">
        <f t="shared" si="144"/>
        <v>0</v>
      </c>
      <c r="N105" s="196">
        <f t="shared" si="101"/>
        <v>0</v>
      </c>
      <c r="O105" s="196">
        <f t="shared" si="102"/>
        <v>0</v>
      </c>
      <c r="P105" s="196">
        <f t="shared" si="103"/>
        <v>0</v>
      </c>
      <c r="Q105" s="196">
        <f t="shared" si="104"/>
        <v>0</v>
      </c>
      <c r="R105" s="196">
        <f t="shared" si="105"/>
        <v>0</v>
      </c>
      <c r="S105" s="196">
        <f t="shared" si="106"/>
        <v>0</v>
      </c>
      <c r="T105" s="196">
        <f t="shared" si="107"/>
        <v>0</v>
      </c>
      <c r="U105" s="185">
        <f>(C105&gt;0)*(C105&lt;$E$5)*VLOOKUP(MPP,ASUMSI!$BN$77:$CR$108,B105+1)*(1+$V$4)</f>
        <v>0</v>
      </c>
      <c r="V105" s="196">
        <f t="shared" si="108"/>
        <v>0</v>
      </c>
      <c r="W105" s="196">
        <f t="shared" si="109"/>
        <v>0</v>
      </c>
      <c r="X105" s="196">
        <f t="shared" si="110"/>
        <v>0</v>
      </c>
      <c r="Y105" s="196">
        <f t="shared" si="111"/>
        <v>0</v>
      </c>
      <c r="Z105" s="196">
        <f t="shared" si="112"/>
        <v>0</v>
      </c>
      <c r="AA105" s="185">
        <f t="shared" si="113"/>
        <v>0</v>
      </c>
      <c r="AB105" s="196">
        <f t="shared" si="114"/>
        <v>0</v>
      </c>
      <c r="AC105" s="196">
        <f t="shared" si="114"/>
        <v>0</v>
      </c>
      <c r="AD105" s="196">
        <f t="shared" si="114"/>
        <v>0</v>
      </c>
      <c r="AE105" s="196">
        <f t="shared" si="115"/>
        <v>0</v>
      </c>
      <c r="AF105" s="196">
        <f t="shared" si="116"/>
        <v>0</v>
      </c>
      <c r="AG105" s="196">
        <f t="shared" si="117"/>
        <v>0</v>
      </c>
      <c r="AH105" s="196">
        <f t="shared" si="118"/>
        <v>0</v>
      </c>
      <c r="AI105" s="266">
        <f>'DATA INPUT - DETAIL'!R96</f>
        <v>0</v>
      </c>
      <c r="AJ105" s="266">
        <f>'DATA INPUT - DETAIL'!S96</f>
        <v>0</v>
      </c>
      <c r="AK105" s="266">
        <f>'DATA INPUT - DETAIL'!T96</f>
        <v>0</v>
      </c>
      <c r="AL105" s="266">
        <f>'DATA INPUT - DETAIL'!U96</f>
        <v>0</v>
      </c>
      <c r="AM105" s="266">
        <f>'DATA INPUT - DETAIL'!V96</f>
        <v>0</v>
      </c>
      <c r="AN105" s="266">
        <f>'DATA INPUT - DETAIL'!W96</f>
        <v>0</v>
      </c>
      <c r="AO105" s="198">
        <f t="shared" si="119"/>
        <v>0</v>
      </c>
      <c r="AP105" s="266">
        <f>'DATA INPUT - DETAIL'!X96</f>
        <v>0</v>
      </c>
      <c r="AQ105" s="266">
        <f>'DATA INPUT - DETAIL'!Y96</f>
        <v>0</v>
      </c>
      <c r="AR105" s="266">
        <f>'DATA INPUT - DETAIL'!Z96</f>
        <v>0</v>
      </c>
      <c r="AS105" s="266">
        <f>'DATA INPUT - DETAIL'!AD96</f>
        <v>0</v>
      </c>
      <c r="AT105" s="266">
        <f t="shared" si="120"/>
        <v>0</v>
      </c>
      <c r="AU105" s="206">
        <f>'DATA INPUT - DETAIL'!AA96</f>
        <v>0</v>
      </c>
      <c r="AV105" s="206">
        <f>'DATA INPUT - DETAIL'!AB96</f>
        <v>0</v>
      </c>
      <c r="AW105" s="206">
        <f>'DATA INPUT - DETAIL'!AC96</f>
        <v>0</v>
      </c>
      <c r="AX105" s="206">
        <f t="shared" si="121"/>
        <v>0</v>
      </c>
      <c r="AY105" s="206">
        <f t="shared" si="122"/>
        <v>0</v>
      </c>
      <c r="AZ105" s="206">
        <f t="shared" si="123"/>
        <v>0</v>
      </c>
      <c r="BA105" s="206">
        <f t="shared" si="124"/>
        <v>0</v>
      </c>
      <c r="BB105" s="206">
        <f t="shared" si="125"/>
        <v>0</v>
      </c>
      <c r="BC105" s="206">
        <f t="shared" si="126"/>
        <v>0</v>
      </c>
      <c r="BD105" s="206">
        <f t="shared" si="127"/>
        <v>0</v>
      </c>
      <c r="BE105" s="206">
        <f t="shared" si="128"/>
        <v>0</v>
      </c>
      <c r="BF105" s="206">
        <f t="shared" si="129"/>
        <v>0</v>
      </c>
      <c r="BG105" s="206">
        <f t="shared" si="130"/>
        <v>0</v>
      </c>
      <c r="BH105" s="206">
        <f t="shared" si="131"/>
        <v>0</v>
      </c>
      <c r="BI105" s="206">
        <f t="shared" si="132"/>
        <v>0</v>
      </c>
      <c r="BJ105" s="266">
        <f t="shared" si="133"/>
        <v>0</v>
      </c>
      <c r="BK105" s="266">
        <f t="shared" si="134"/>
        <v>0</v>
      </c>
      <c r="BL105" s="192">
        <f t="shared" si="135"/>
        <v>0</v>
      </c>
      <c r="BM105" s="192">
        <f t="shared" si="136"/>
        <v>0</v>
      </c>
      <c r="BN105" s="192">
        <f t="shared" si="137"/>
        <v>0</v>
      </c>
      <c r="BO105" s="192">
        <f t="shared" si="138"/>
        <v>0</v>
      </c>
      <c r="BP105" s="192">
        <f t="shared" si="139"/>
        <v>0</v>
      </c>
      <c r="BQ105" s="193">
        <f t="shared" si="140"/>
        <v>0</v>
      </c>
      <c r="BR105" s="193">
        <f t="shared" si="141"/>
        <v>0</v>
      </c>
      <c r="BS105" s="265">
        <f t="shared" si="145"/>
        <v>0</v>
      </c>
      <c r="BT105" s="265">
        <f t="shared" si="146"/>
        <v>0</v>
      </c>
      <c r="BU105" s="265">
        <f t="shared" si="147"/>
        <v>0</v>
      </c>
      <c r="BV105" s="265">
        <f t="shared" si="148"/>
        <v>0</v>
      </c>
      <c r="BW105" s="265">
        <f t="shared" si="149"/>
        <v>0</v>
      </c>
      <c r="BX105" s="265">
        <f t="shared" si="150"/>
        <v>0</v>
      </c>
      <c r="BY105" s="265">
        <f t="shared" si="151"/>
        <v>0</v>
      </c>
      <c r="BZ105" s="265">
        <f t="shared" si="152"/>
        <v>0</v>
      </c>
      <c r="CA105" s="265">
        <f t="shared" si="153"/>
        <v>0</v>
      </c>
      <c r="CB105" s="269">
        <f t="shared" si="154"/>
        <v>0</v>
      </c>
      <c r="CC105" s="266">
        <f t="shared" si="155"/>
        <v>0</v>
      </c>
      <c r="CD105" s="241"/>
      <c r="CE105" s="198">
        <f t="shared" si="142"/>
        <v>1.0698229288125155E-10</v>
      </c>
      <c r="CF105" s="198">
        <f t="shared" si="156"/>
        <v>0</v>
      </c>
      <c r="CG105" s="198">
        <f t="shared" si="157"/>
        <v>0</v>
      </c>
      <c r="CH105" s="198">
        <f t="shared" si="158"/>
        <v>0</v>
      </c>
      <c r="CI105" s="198">
        <f t="shared" si="159"/>
        <v>0</v>
      </c>
      <c r="CJ105" s="198">
        <f t="shared" si="160"/>
        <v>0</v>
      </c>
      <c r="CK105" s="198">
        <f t="shared" si="161"/>
        <v>0</v>
      </c>
      <c r="CL105" s="198">
        <f t="shared" si="162"/>
        <v>4.6735169870394762E-13</v>
      </c>
      <c r="CM105" s="271">
        <f t="shared" si="163"/>
        <v>0</v>
      </c>
      <c r="CN105" s="198">
        <f t="shared" si="164"/>
        <v>1.074496445799555E-10</v>
      </c>
      <c r="CO105" s="209">
        <f t="shared" si="143"/>
        <v>1.0698229288125155E-10</v>
      </c>
    </row>
    <row r="106" spans="2:93" x14ac:dyDescent="0.2">
      <c r="B106" s="221">
        <f>'DATA INPUT - DETAIL'!D97</f>
        <v>0</v>
      </c>
      <c r="C106" s="211">
        <f>'DATA INPUT - DETAIL'!E97</f>
        <v>0</v>
      </c>
      <c r="D106" s="257">
        <f>'DATA INPUT - DETAIL'!I97</f>
        <v>0</v>
      </c>
      <c r="E106" s="258">
        <f>'DATA INPUT - DETAIL'!K97</f>
        <v>0</v>
      </c>
      <c r="F106" s="258">
        <f>'DATA INPUT - DETAIL'!L97</f>
        <v>0</v>
      </c>
      <c r="G106" s="179">
        <f>'DATA INPUT - DETAIL'!M97*(1+$V$5)</f>
        <v>0</v>
      </c>
      <c r="H106" s="179">
        <f>'DATA INPUT - DETAIL'!N97*(1+$V$5)</f>
        <v>0</v>
      </c>
      <c r="I106" s="258">
        <f t="shared" si="100"/>
        <v>0</v>
      </c>
      <c r="J106" s="258">
        <f>'DATA INPUT - DETAIL'!O97</f>
        <v>0</v>
      </c>
      <c r="K106" s="258">
        <f>'DATA INPUT - DETAIL'!P97</f>
        <v>0</v>
      </c>
      <c r="L106" s="267">
        <f>ROUNDDOWN('DATA INPUT - DETAIL'!G97,0)</f>
        <v>0</v>
      </c>
      <c r="M106" s="196">
        <f t="shared" si="144"/>
        <v>0</v>
      </c>
      <c r="N106" s="196">
        <f t="shared" si="101"/>
        <v>0</v>
      </c>
      <c r="O106" s="196">
        <f t="shared" si="102"/>
        <v>0</v>
      </c>
      <c r="P106" s="196">
        <f t="shared" si="103"/>
        <v>0</v>
      </c>
      <c r="Q106" s="196">
        <f t="shared" si="104"/>
        <v>0</v>
      </c>
      <c r="R106" s="196">
        <f t="shared" si="105"/>
        <v>0</v>
      </c>
      <c r="S106" s="196">
        <f t="shared" si="106"/>
        <v>0</v>
      </c>
      <c r="T106" s="196">
        <f t="shared" si="107"/>
        <v>0</v>
      </c>
      <c r="U106" s="185">
        <f>(C106&gt;0)*(C106&lt;$E$5)*VLOOKUP(MPP,ASUMSI!$BN$77:$CR$108,B106+1)*(1+$V$4)</f>
        <v>0</v>
      </c>
      <c r="V106" s="196">
        <f t="shared" si="108"/>
        <v>0</v>
      </c>
      <c r="W106" s="196">
        <f t="shared" si="109"/>
        <v>0</v>
      </c>
      <c r="X106" s="196">
        <f t="shared" si="110"/>
        <v>0</v>
      </c>
      <c r="Y106" s="196">
        <f t="shared" si="111"/>
        <v>0</v>
      </c>
      <c r="Z106" s="196">
        <f t="shared" si="112"/>
        <v>0</v>
      </c>
      <c r="AA106" s="185">
        <f t="shared" si="113"/>
        <v>0</v>
      </c>
      <c r="AB106" s="196">
        <f t="shared" si="114"/>
        <v>0</v>
      </c>
      <c r="AC106" s="196">
        <f t="shared" si="114"/>
        <v>0</v>
      </c>
      <c r="AD106" s="196">
        <f t="shared" si="114"/>
        <v>0</v>
      </c>
      <c r="AE106" s="196">
        <f t="shared" si="115"/>
        <v>0</v>
      </c>
      <c r="AF106" s="196">
        <f t="shared" si="116"/>
        <v>0</v>
      </c>
      <c r="AG106" s="196">
        <f t="shared" si="117"/>
        <v>0</v>
      </c>
      <c r="AH106" s="196">
        <f t="shared" si="118"/>
        <v>0</v>
      </c>
      <c r="AI106" s="266">
        <f>'DATA INPUT - DETAIL'!R97</f>
        <v>0</v>
      </c>
      <c r="AJ106" s="266">
        <f>'DATA INPUT - DETAIL'!S97</f>
        <v>0</v>
      </c>
      <c r="AK106" s="266">
        <f>'DATA INPUT - DETAIL'!T97</f>
        <v>0</v>
      </c>
      <c r="AL106" s="266">
        <f>'DATA INPUT - DETAIL'!U97</f>
        <v>0</v>
      </c>
      <c r="AM106" s="266">
        <f>'DATA INPUT - DETAIL'!V97</f>
        <v>0</v>
      </c>
      <c r="AN106" s="266">
        <f>'DATA INPUT - DETAIL'!W97</f>
        <v>0</v>
      </c>
      <c r="AO106" s="198">
        <f t="shared" si="119"/>
        <v>0</v>
      </c>
      <c r="AP106" s="266">
        <f>'DATA INPUT - DETAIL'!X97</f>
        <v>0</v>
      </c>
      <c r="AQ106" s="266">
        <f>'DATA INPUT - DETAIL'!Y97</f>
        <v>0</v>
      </c>
      <c r="AR106" s="266">
        <f>'DATA INPUT - DETAIL'!Z97</f>
        <v>0</v>
      </c>
      <c r="AS106" s="266">
        <f>'DATA INPUT - DETAIL'!AD97</f>
        <v>0</v>
      </c>
      <c r="AT106" s="266">
        <f t="shared" si="120"/>
        <v>0</v>
      </c>
      <c r="AU106" s="206">
        <f>'DATA INPUT - DETAIL'!AA97</f>
        <v>0</v>
      </c>
      <c r="AV106" s="206">
        <f>'DATA INPUT - DETAIL'!AB97</f>
        <v>0</v>
      </c>
      <c r="AW106" s="206">
        <f>'DATA INPUT - DETAIL'!AC97</f>
        <v>0</v>
      </c>
      <c r="AX106" s="206">
        <f t="shared" si="121"/>
        <v>0</v>
      </c>
      <c r="AY106" s="206">
        <f t="shared" si="122"/>
        <v>0</v>
      </c>
      <c r="AZ106" s="206">
        <f t="shared" si="123"/>
        <v>0</v>
      </c>
      <c r="BA106" s="206">
        <f t="shared" si="124"/>
        <v>0</v>
      </c>
      <c r="BB106" s="206">
        <f t="shared" si="125"/>
        <v>0</v>
      </c>
      <c r="BC106" s="206">
        <f t="shared" si="126"/>
        <v>0</v>
      </c>
      <c r="BD106" s="206">
        <f t="shared" si="127"/>
        <v>0</v>
      </c>
      <c r="BE106" s="206">
        <f t="shared" si="128"/>
        <v>0</v>
      </c>
      <c r="BF106" s="206">
        <f t="shared" si="129"/>
        <v>0</v>
      </c>
      <c r="BG106" s="206">
        <f t="shared" si="130"/>
        <v>0</v>
      </c>
      <c r="BH106" s="206">
        <f t="shared" si="131"/>
        <v>0</v>
      </c>
      <c r="BI106" s="206">
        <f t="shared" si="132"/>
        <v>0</v>
      </c>
      <c r="BJ106" s="266">
        <f t="shared" si="133"/>
        <v>0</v>
      </c>
      <c r="BK106" s="266">
        <f t="shared" si="134"/>
        <v>0</v>
      </c>
      <c r="BL106" s="192">
        <f t="shared" si="135"/>
        <v>0</v>
      </c>
      <c r="BM106" s="192">
        <f t="shared" si="136"/>
        <v>0</v>
      </c>
      <c r="BN106" s="192">
        <f t="shared" si="137"/>
        <v>0</v>
      </c>
      <c r="BO106" s="192">
        <f t="shared" si="138"/>
        <v>0</v>
      </c>
      <c r="BP106" s="192">
        <f t="shared" si="139"/>
        <v>0</v>
      </c>
      <c r="BQ106" s="193">
        <f t="shared" si="140"/>
        <v>0</v>
      </c>
      <c r="BR106" s="193">
        <f t="shared" si="141"/>
        <v>0</v>
      </c>
      <c r="BS106" s="265">
        <f t="shared" si="145"/>
        <v>0</v>
      </c>
      <c r="BT106" s="265">
        <f t="shared" si="146"/>
        <v>0</v>
      </c>
      <c r="BU106" s="265">
        <f t="shared" si="147"/>
        <v>0</v>
      </c>
      <c r="BV106" s="265">
        <f t="shared" si="148"/>
        <v>0</v>
      </c>
      <c r="BW106" s="265">
        <f t="shared" si="149"/>
        <v>0</v>
      </c>
      <c r="BX106" s="265">
        <f t="shared" si="150"/>
        <v>0</v>
      </c>
      <c r="BY106" s="265">
        <f t="shared" si="151"/>
        <v>0</v>
      </c>
      <c r="BZ106" s="265">
        <f t="shared" si="152"/>
        <v>0</v>
      </c>
      <c r="CA106" s="265">
        <f t="shared" si="153"/>
        <v>0</v>
      </c>
      <c r="CB106" s="269">
        <f t="shared" si="154"/>
        <v>0</v>
      </c>
      <c r="CC106" s="266">
        <f t="shared" si="155"/>
        <v>0</v>
      </c>
      <c r="CD106" s="241"/>
      <c r="CE106" s="198">
        <f t="shared" si="142"/>
        <v>1.074496445799555E-10</v>
      </c>
      <c r="CF106" s="198">
        <f t="shared" si="156"/>
        <v>0</v>
      </c>
      <c r="CG106" s="198">
        <f t="shared" si="157"/>
        <v>0</v>
      </c>
      <c r="CH106" s="198">
        <f t="shared" si="158"/>
        <v>0</v>
      </c>
      <c r="CI106" s="198">
        <f t="shared" si="159"/>
        <v>0</v>
      </c>
      <c r="CJ106" s="198">
        <f t="shared" si="160"/>
        <v>0</v>
      </c>
      <c r="CK106" s="198">
        <f t="shared" si="161"/>
        <v>0</v>
      </c>
      <c r="CL106" s="198">
        <f t="shared" si="162"/>
        <v>4.6939332264375147E-13</v>
      </c>
      <c r="CM106" s="271">
        <f t="shared" si="163"/>
        <v>0</v>
      </c>
      <c r="CN106" s="198">
        <f t="shared" si="164"/>
        <v>1.0791903790259925E-10</v>
      </c>
      <c r="CO106" s="209">
        <f t="shared" si="143"/>
        <v>1.074496445799555E-10</v>
      </c>
    </row>
    <row r="107" spans="2:93" x14ac:dyDescent="0.2">
      <c r="B107" s="221">
        <f>'DATA INPUT - DETAIL'!D98</f>
        <v>0</v>
      </c>
      <c r="C107" s="211">
        <f>'DATA INPUT - DETAIL'!E98</f>
        <v>0</v>
      </c>
      <c r="D107" s="257">
        <f>'DATA INPUT - DETAIL'!I98</f>
        <v>0</v>
      </c>
      <c r="E107" s="258">
        <f>'DATA INPUT - DETAIL'!K98</f>
        <v>0</v>
      </c>
      <c r="F107" s="258">
        <f>'DATA INPUT - DETAIL'!L98</f>
        <v>0</v>
      </c>
      <c r="G107" s="179">
        <f>'DATA INPUT - DETAIL'!M98*(1+$V$5)</f>
        <v>0</v>
      </c>
      <c r="H107" s="179">
        <f>'DATA INPUT - DETAIL'!N98*(1+$V$5)</f>
        <v>0</v>
      </c>
      <c r="I107" s="258">
        <f t="shared" si="100"/>
        <v>0</v>
      </c>
      <c r="J107" s="258">
        <f>'DATA INPUT - DETAIL'!O98</f>
        <v>0</v>
      </c>
      <c r="K107" s="258">
        <f>'DATA INPUT - DETAIL'!P98</f>
        <v>0</v>
      </c>
      <c r="L107" s="267">
        <f>ROUNDDOWN('DATA INPUT - DETAIL'!G98,0)</f>
        <v>0</v>
      </c>
      <c r="M107" s="196">
        <f t="shared" si="144"/>
        <v>0</v>
      </c>
      <c r="N107" s="196">
        <f t="shared" si="101"/>
        <v>0</v>
      </c>
      <c r="O107" s="196">
        <f t="shared" si="102"/>
        <v>0</v>
      </c>
      <c r="P107" s="196">
        <f t="shared" si="103"/>
        <v>0</v>
      </c>
      <c r="Q107" s="196">
        <f t="shared" si="104"/>
        <v>0</v>
      </c>
      <c r="R107" s="196">
        <f t="shared" si="105"/>
        <v>0</v>
      </c>
      <c r="S107" s="196">
        <f t="shared" si="106"/>
        <v>0</v>
      </c>
      <c r="T107" s="196">
        <f t="shared" si="107"/>
        <v>0</v>
      </c>
      <c r="U107" s="185">
        <f>(C107&gt;0)*(C107&lt;$E$5)*VLOOKUP(MPP,ASUMSI!$BN$77:$CR$108,B107+1)*(1+$V$4)</f>
        <v>0</v>
      </c>
      <c r="V107" s="196">
        <f t="shared" si="108"/>
        <v>0</v>
      </c>
      <c r="W107" s="196">
        <f t="shared" si="109"/>
        <v>0</v>
      </c>
      <c r="X107" s="196">
        <f t="shared" si="110"/>
        <v>0</v>
      </c>
      <c r="Y107" s="196">
        <f t="shared" si="111"/>
        <v>0</v>
      </c>
      <c r="Z107" s="196">
        <f t="shared" si="112"/>
        <v>0</v>
      </c>
      <c r="AA107" s="185">
        <f t="shared" si="113"/>
        <v>0</v>
      </c>
      <c r="AB107" s="196">
        <f t="shared" si="114"/>
        <v>0</v>
      </c>
      <c r="AC107" s="196">
        <f t="shared" si="114"/>
        <v>0</v>
      </c>
      <c r="AD107" s="196">
        <f t="shared" si="114"/>
        <v>0</v>
      </c>
      <c r="AE107" s="196">
        <f t="shared" si="115"/>
        <v>0</v>
      </c>
      <c r="AF107" s="196">
        <f t="shared" si="116"/>
        <v>0</v>
      </c>
      <c r="AG107" s="196">
        <f t="shared" si="117"/>
        <v>0</v>
      </c>
      <c r="AH107" s="196">
        <f t="shared" si="118"/>
        <v>0</v>
      </c>
      <c r="AI107" s="266">
        <f>'DATA INPUT - DETAIL'!R98</f>
        <v>0</v>
      </c>
      <c r="AJ107" s="266">
        <f>'DATA INPUT - DETAIL'!S98</f>
        <v>0</v>
      </c>
      <c r="AK107" s="266">
        <f>'DATA INPUT - DETAIL'!T98</f>
        <v>0</v>
      </c>
      <c r="AL107" s="266">
        <f>'DATA INPUT - DETAIL'!U98</f>
        <v>0</v>
      </c>
      <c r="AM107" s="266">
        <f>'DATA INPUT - DETAIL'!V98</f>
        <v>0</v>
      </c>
      <c r="AN107" s="266">
        <f>'DATA INPUT - DETAIL'!W98</f>
        <v>0</v>
      </c>
      <c r="AO107" s="198">
        <f t="shared" si="119"/>
        <v>0</v>
      </c>
      <c r="AP107" s="266">
        <f>'DATA INPUT - DETAIL'!X98</f>
        <v>0</v>
      </c>
      <c r="AQ107" s="266">
        <f>'DATA INPUT - DETAIL'!Y98</f>
        <v>0</v>
      </c>
      <c r="AR107" s="266">
        <f>'DATA INPUT - DETAIL'!Z98</f>
        <v>0</v>
      </c>
      <c r="AS107" s="266">
        <f>'DATA INPUT - DETAIL'!AD98</f>
        <v>0</v>
      </c>
      <c r="AT107" s="266">
        <f t="shared" si="120"/>
        <v>0</v>
      </c>
      <c r="AU107" s="206">
        <f>'DATA INPUT - DETAIL'!AA98</f>
        <v>0</v>
      </c>
      <c r="AV107" s="206">
        <f>'DATA INPUT - DETAIL'!AB98</f>
        <v>0</v>
      </c>
      <c r="AW107" s="206">
        <f>'DATA INPUT - DETAIL'!AC98</f>
        <v>0</v>
      </c>
      <c r="AX107" s="206">
        <f t="shared" si="121"/>
        <v>0</v>
      </c>
      <c r="AY107" s="206">
        <f t="shared" si="122"/>
        <v>0</v>
      </c>
      <c r="AZ107" s="206">
        <f t="shared" si="123"/>
        <v>0</v>
      </c>
      <c r="BA107" s="206">
        <f t="shared" si="124"/>
        <v>0</v>
      </c>
      <c r="BB107" s="206">
        <f t="shared" si="125"/>
        <v>0</v>
      </c>
      <c r="BC107" s="206">
        <f t="shared" si="126"/>
        <v>0</v>
      </c>
      <c r="BD107" s="206">
        <f t="shared" si="127"/>
        <v>0</v>
      </c>
      <c r="BE107" s="206">
        <f t="shared" si="128"/>
        <v>0</v>
      </c>
      <c r="BF107" s="206">
        <f t="shared" si="129"/>
        <v>0</v>
      </c>
      <c r="BG107" s="206">
        <f t="shared" si="130"/>
        <v>0</v>
      </c>
      <c r="BH107" s="206">
        <f t="shared" si="131"/>
        <v>0</v>
      </c>
      <c r="BI107" s="206">
        <f t="shared" si="132"/>
        <v>0</v>
      </c>
      <c r="BJ107" s="266">
        <f t="shared" si="133"/>
        <v>0</v>
      </c>
      <c r="BK107" s="266">
        <f t="shared" si="134"/>
        <v>0</v>
      </c>
      <c r="BL107" s="192">
        <f t="shared" si="135"/>
        <v>0</v>
      </c>
      <c r="BM107" s="192">
        <f t="shared" si="136"/>
        <v>0</v>
      </c>
      <c r="BN107" s="192">
        <f t="shared" si="137"/>
        <v>0</v>
      </c>
      <c r="BO107" s="192">
        <f t="shared" si="138"/>
        <v>0</v>
      </c>
      <c r="BP107" s="192">
        <f t="shared" si="139"/>
        <v>0</v>
      </c>
      <c r="BQ107" s="193">
        <f t="shared" si="140"/>
        <v>0</v>
      </c>
      <c r="BR107" s="193">
        <f t="shared" si="141"/>
        <v>0</v>
      </c>
      <c r="BS107" s="265">
        <f t="shared" si="145"/>
        <v>0</v>
      </c>
      <c r="BT107" s="265">
        <f t="shared" si="146"/>
        <v>0</v>
      </c>
      <c r="BU107" s="265">
        <f t="shared" si="147"/>
        <v>0</v>
      </c>
      <c r="BV107" s="265">
        <f t="shared" si="148"/>
        <v>0</v>
      </c>
      <c r="BW107" s="265">
        <f t="shared" si="149"/>
        <v>0</v>
      </c>
      <c r="BX107" s="265">
        <f t="shared" si="150"/>
        <v>0</v>
      </c>
      <c r="BY107" s="265">
        <f t="shared" si="151"/>
        <v>0</v>
      </c>
      <c r="BZ107" s="265">
        <f t="shared" si="152"/>
        <v>0</v>
      </c>
      <c r="CA107" s="265">
        <f t="shared" si="153"/>
        <v>0</v>
      </c>
      <c r="CB107" s="269">
        <f t="shared" si="154"/>
        <v>0</v>
      </c>
      <c r="CC107" s="266">
        <f t="shared" si="155"/>
        <v>0</v>
      </c>
      <c r="CD107" s="241"/>
      <c r="CE107" s="198">
        <f t="shared" si="142"/>
        <v>1.0791903790259925E-10</v>
      </c>
      <c r="CF107" s="198">
        <f t="shared" si="156"/>
        <v>0</v>
      </c>
      <c r="CG107" s="198">
        <f t="shared" si="157"/>
        <v>0</v>
      </c>
      <c r="CH107" s="198">
        <f t="shared" si="158"/>
        <v>0</v>
      </c>
      <c r="CI107" s="198">
        <f t="shared" si="159"/>
        <v>0</v>
      </c>
      <c r="CJ107" s="198">
        <f t="shared" si="160"/>
        <v>0</v>
      </c>
      <c r="CK107" s="198">
        <f t="shared" si="161"/>
        <v>0</v>
      </c>
      <c r="CL107" s="198">
        <f t="shared" si="162"/>
        <v>4.7144386540919156E-13</v>
      </c>
      <c r="CM107" s="271">
        <f t="shared" si="163"/>
        <v>0</v>
      </c>
      <c r="CN107" s="198">
        <f t="shared" si="164"/>
        <v>1.0839048176800844E-10</v>
      </c>
      <c r="CO107" s="209">
        <f t="shared" si="143"/>
        <v>1.0791903790259925E-10</v>
      </c>
    </row>
    <row r="108" spans="2:93" x14ac:dyDescent="0.2">
      <c r="B108" s="221">
        <f>'DATA INPUT - DETAIL'!D99</f>
        <v>0</v>
      </c>
      <c r="C108" s="211">
        <f>'DATA INPUT - DETAIL'!E99</f>
        <v>0</v>
      </c>
      <c r="D108" s="257">
        <f>'DATA INPUT - DETAIL'!I99</f>
        <v>0</v>
      </c>
      <c r="E108" s="258">
        <f>'DATA INPUT - DETAIL'!K99</f>
        <v>0</v>
      </c>
      <c r="F108" s="258">
        <f>'DATA INPUT - DETAIL'!L99</f>
        <v>0</v>
      </c>
      <c r="G108" s="179">
        <f>'DATA INPUT - DETAIL'!M99*(1+$V$5)</f>
        <v>0</v>
      </c>
      <c r="H108" s="179">
        <f>'DATA INPUT - DETAIL'!N99*(1+$V$5)</f>
        <v>0</v>
      </c>
      <c r="I108" s="258">
        <f t="shared" si="100"/>
        <v>0</v>
      </c>
      <c r="J108" s="258">
        <f>'DATA INPUT - DETAIL'!O99</f>
        <v>0</v>
      </c>
      <c r="K108" s="258">
        <f>'DATA INPUT - DETAIL'!P99</f>
        <v>0</v>
      </c>
      <c r="L108" s="267">
        <f>ROUNDDOWN('DATA INPUT - DETAIL'!G99,0)</f>
        <v>0</v>
      </c>
      <c r="M108" s="196">
        <f t="shared" si="144"/>
        <v>0</v>
      </c>
      <c r="N108" s="196">
        <f t="shared" si="101"/>
        <v>0</v>
      </c>
      <c r="O108" s="196">
        <f t="shared" si="102"/>
        <v>0</v>
      </c>
      <c r="P108" s="196">
        <f t="shared" si="103"/>
        <v>0</v>
      </c>
      <c r="Q108" s="196">
        <f t="shared" si="104"/>
        <v>0</v>
      </c>
      <c r="R108" s="196">
        <f t="shared" si="105"/>
        <v>0</v>
      </c>
      <c r="S108" s="196">
        <f t="shared" si="106"/>
        <v>0</v>
      </c>
      <c r="T108" s="196">
        <f t="shared" si="107"/>
        <v>0</v>
      </c>
      <c r="U108" s="185">
        <f>(C108&gt;0)*(C108&lt;$E$5)*VLOOKUP(MPP,ASUMSI!$BN$77:$CR$108,B108+1)*(1+$V$4)</f>
        <v>0</v>
      </c>
      <c r="V108" s="196">
        <f t="shared" si="108"/>
        <v>0</v>
      </c>
      <c r="W108" s="196">
        <f t="shared" si="109"/>
        <v>0</v>
      </c>
      <c r="X108" s="196">
        <f t="shared" si="110"/>
        <v>0</v>
      </c>
      <c r="Y108" s="196">
        <f t="shared" si="111"/>
        <v>0</v>
      </c>
      <c r="Z108" s="196">
        <f t="shared" si="112"/>
        <v>0</v>
      </c>
      <c r="AA108" s="185">
        <f t="shared" si="113"/>
        <v>0</v>
      </c>
      <c r="AB108" s="196">
        <f t="shared" si="114"/>
        <v>0</v>
      </c>
      <c r="AC108" s="196">
        <f t="shared" si="114"/>
        <v>0</v>
      </c>
      <c r="AD108" s="196">
        <f t="shared" si="114"/>
        <v>0</v>
      </c>
      <c r="AE108" s="196">
        <f t="shared" si="115"/>
        <v>0</v>
      </c>
      <c r="AF108" s="196">
        <f t="shared" si="116"/>
        <v>0</v>
      </c>
      <c r="AG108" s="196">
        <f t="shared" si="117"/>
        <v>0</v>
      </c>
      <c r="AH108" s="196">
        <f t="shared" si="118"/>
        <v>0</v>
      </c>
      <c r="AI108" s="266">
        <f>'DATA INPUT - DETAIL'!R99</f>
        <v>0</v>
      </c>
      <c r="AJ108" s="266">
        <f>'DATA INPUT - DETAIL'!S99</f>
        <v>0</v>
      </c>
      <c r="AK108" s="266">
        <f>'DATA INPUT - DETAIL'!T99</f>
        <v>0</v>
      </c>
      <c r="AL108" s="266">
        <f>'DATA INPUT - DETAIL'!U99</f>
        <v>0</v>
      </c>
      <c r="AM108" s="266">
        <f>'DATA INPUT - DETAIL'!V99</f>
        <v>0</v>
      </c>
      <c r="AN108" s="266">
        <f>'DATA INPUT - DETAIL'!W99</f>
        <v>0</v>
      </c>
      <c r="AO108" s="198">
        <f t="shared" si="119"/>
        <v>0</v>
      </c>
      <c r="AP108" s="266">
        <f>'DATA INPUT - DETAIL'!X99</f>
        <v>0</v>
      </c>
      <c r="AQ108" s="266">
        <f>'DATA INPUT - DETAIL'!Y99</f>
        <v>0</v>
      </c>
      <c r="AR108" s="266">
        <f>'DATA INPUT - DETAIL'!Z99</f>
        <v>0</v>
      </c>
      <c r="AS108" s="266">
        <f>'DATA INPUT - DETAIL'!AD99</f>
        <v>0</v>
      </c>
      <c r="AT108" s="266">
        <f t="shared" si="120"/>
        <v>0</v>
      </c>
      <c r="AU108" s="206">
        <f>'DATA INPUT - DETAIL'!AA99</f>
        <v>0</v>
      </c>
      <c r="AV108" s="206">
        <f>'DATA INPUT - DETAIL'!AB99</f>
        <v>0</v>
      </c>
      <c r="AW108" s="206">
        <f>'DATA INPUT - DETAIL'!AC99</f>
        <v>0</v>
      </c>
      <c r="AX108" s="206">
        <f t="shared" si="121"/>
        <v>0</v>
      </c>
      <c r="AY108" s="206">
        <f t="shared" si="122"/>
        <v>0</v>
      </c>
      <c r="AZ108" s="206">
        <f t="shared" si="123"/>
        <v>0</v>
      </c>
      <c r="BA108" s="206">
        <f t="shared" si="124"/>
        <v>0</v>
      </c>
      <c r="BB108" s="206">
        <f t="shared" si="125"/>
        <v>0</v>
      </c>
      <c r="BC108" s="206">
        <f t="shared" si="126"/>
        <v>0</v>
      </c>
      <c r="BD108" s="206">
        <f t="shared" si="127"/>
        <v>0</v>
      </c>
      <c r="BE108" s="206">
        <f t="shared" si="128"/>
        <v>0</v>
      </c>
      <c r="BF108" s="206">
        <f t="shared" si="129"/>
        <v>0</v>
      </c>
      <c r="BG108" s="206">
        <f t="shared" si="130"/>
        <v>0</v>
      </c>
      <c r="BH108" s="206">
        <f t="shared" si="131"/>
        <v>0</v>
      </c>
      <c r="BI108" s="206">
        <f t="shared" si="132"/>
        <v>0</v>
      </c>
      <c r="BJ108" s="266">
        <f t="shared" si="133"/>
        <v>0</v>
      </c>
      <c r="BK108" s="266">
        <f t="shared" si="134"/>
        <v>0</v>
      </c>
      <c r="BL108" s="192">
        <f t="shared" si="135"/>
        <v>0</v>
      </c>
      <c r="BM108" s="192">
        <f t="shared" si="136"/>
        <v>0</v>
      </c>
      <c r="BN108" s="192">
        <f t="shared" si="137"/>
        <v>0</v>
      </c>
      <c r="BO108" s="192">
        <f t="shared" si="138"/>
        <v>0</v>
      </c>
      <c r="BP108" s="192">
        <f t="shared" si="139"/>
        <v>0</v>
      </c>
      <c r="BQ108" s="193">
        <f t="shared" si="140"/>
        <v>0</v>
      </c>
      <c r="BR108" s="193">
        <f t="shared" si="141"/>
        <v>0</v>
      </c>
      <c r="BS108" s="265">
        <f t="shared" si="145"/>
        <v>0</v>
      </c>
      <c r="BT108" s="265">
        <f t="shared" si="146"/>
        <v>0</v>
      </c>
      <c r="BU108" s="265">
        <f t="shared" si="147"/>
        <v>0</v>
      </c>
      <c r="BV108" s="265">
        <f t="shared" si="148"/>
        <v>0</v>
      </c>
      <c r="BW108" s="265">
        <f t="shared" si="149"/>
        <v>0</v>
      </c>
      <c r="BX108" s="265">
        <f t="shared" si="150"/>
        <v>0</v>
      </c>
      <c r="BY108" s="265">
        <f t="shared" si="151"/>
        <v>0</v>
      </c>
      <c r="BZ108" s="265">
        <f t="shared" si="152"/>
        <v>0</v>
      </c>
      <c r="CA108" s="265">
        <f t="shared" si="153"/>
        <v>0</v>
      </c>
      <c r="CB108" s="269">
        <f t="shared" si="154"/>
        <v>0</v>
      </c>
      <c r="CC108" s="266">
        <f t="shared" si="155"/>
        <v>0</v>
      </c>
      <c r="CD108" s="241"/>
      <c r="CE108" s="198">
        <f t="shared" si="142"/>
        <v>1.0839048176800844E-10</v>
      </c>
      <c r="CF108" s="198">
        <f t="shared" si="156"/>
        <v>0</v>
      </c>
      <c r="CG108" s="198">
        <f t="shared" si="157"/>
        <v>0</v>
      </c>
      <c r="CH108" s="198">
        <f t="shared" si="158"/>
        <v>0</v>
      </c>
      <c r="CI108" s="198">
        <f t="shared" si="159"/>
        <v>0</v>
      </c>
      <c r="CJ108" s="198">
        <f t="shared" si="160"/>
        <v>0</v>
      </c>
      <c r="CK108" s="198">
        <f t="shared" si="161"/>
        <v>0</v>
      </c>
      <c r="CL108" s="198">
        <f t="shared" si="162"/>
        <v>4.735033659621205E-13</v>
      </c>
      <c r="CM108" s="271">
        <f t="shared" si="163"/>
        <v>0</v>
      </c>
      <c r="CN108" s="198">
        <f t="shared" si="164"/>
        <v>1.0886398513397057E-10</v>
      </c>
      <c r="CO108" s="209">
        <f t="shared" si="143"/>
        <v>1.0839048176800844E-10</v>
      </c>
    </row>
    <row r="109" spans="2:93" x14ac:dyDescent="0.2">
      <c r="B109" s="221">
        <f>'DATA INPUT - DETAIL'!D100</f>
        <v>0</v>
      </c>
      <c r="C109" s="211">
        <f>'DATA INPUT - DETAIL'!E100</f>
        <v>0</v>
      </c>
      <c r="D109" s="257">
        <f>'DATA INPUT - DETAIL'!I100</f>
        <v>0</v>
      </c>
      <c r="E109" s="258">
        <f>'DATA INPUT - DETAIL'!K100</f>
        <v>0</v>
      </c>
      <c r="F109" s="258">
        <f>'DATA INPUT - DETAIL'!L100</f>
        <v>0</v>
      </c>
      <c r="G109" s="179">
        <f>'DATA INPUT - DETAIL'!M100*(1+$V$5)</f>
        <v>0</v>
      </c>
      <c r="H109" s="179">
        <f>'DATA INPUT - DETAIL'!N100*(1+$V$5)</f>
        <v>0</v>
      </c>
      <c r="I109" s="258">
        <f t="shared" si="100"/>
        <v>0</v>
      </c>
      <c r="J109" s="258">
        <f>'DATA INPUT - DETAIL'!O100</f>
        <v>0</v>
      </c>
      <c r="K109" s="258">
        <f>'DATA INPUT - DETAIL'!P100</f>
        <v>0</v>
      </c>
      <c r="L109" s="267">
        <f>ROUNDDOWN('DATA INPUT - DETAIL'!G100,0)</f>
        <v>0</v>
      </c>
      <c r="M109" s="196">
        <f t="shared" ref="M109:M140" si="165">IF(AND(C109&lt;=$E$5-1,C109&lt;&gt;0),VLOOKUP(L109,Mortality,5,FALSE)*(1+$V$3),0)</f>
        <v>0</v>
      </c>
      <c r="N109" s="196">
        <f t="shared" si="101"/>
        <v>0</v>
      </c>
      <c r="O109" s="196">
        <f t="shared" si="102"/>
        <v>0</v>
      </c>
      <c r="P109" s="196">
        <f t="shared" si="103"/>
        <v>0</v>
      </c>
      <c r="Q109" s="196">
        <f t="shared" si="104"/>
        <v>0</v>
      </c>
      <c r="R109" s="196">
        <f t="shared" si="105"/>
        <v>0</v>
      </c>
      <c r="S109" s="196">
        <f t="shared" si="106"/>
        <v>0</v>
      </c>
      <c r="T109" s="196">
        <f t="shared" si="107"/>
        <v>0</v>
      </c>
      <c r="U109" s="185">
        <f>(C109&gt;0)*(C109&lt;$E$5)*VLOOKUP(MPP,ASUMSI!$BN$77:$CR$108,B109+1)*(1+$V$4)</f>
        <v>0</v>
      </c>
      <c r="V109" s="196">
        <f t="shared" si="108"/>
        <v>0</v>
      </c>
      <c r="W109" s="196">
        <f t="shared" si="109"/>
        <v>0</v>
      </c>
      <c r="X109" s="196">
        <f t="shared" si="110"/>
        <v>0</v>
      </c>
      <c r="Y109" s="196">
        <f t="shared" si="111"/>
        <v>0</v>
      </c>
      <c r="Z109" s="196">
        <f t="shared" si="112"/>
        <v>0</v>
      </c>
      <c r="AA109" s="185">
        <f t="shared" si="113"/>
        <v>0</v>
      </c>
      <c r="AB109" s="196">
        <f t="shared" si="114"/>
        <v>0</v>
      </c>
      <c r="AC109" s="196">
        <f t="shared" si="114"/>
        <v>0</v>
      </c>
      <c r="AD109" s="196">
        <f t="shared" si="114"/>
        <v>0</v>
      </c>
      <c r="AE109" s="196">
        <f t="shared" si="115"/>
        <v>0</v>
      </c>
      <c r="AF109" s="196">
        <f t="shared" si="116"/>
        <v>0</v>
      </c>
      <c r="AG109" s="196">
        <f t="shared" si="117"/>
        <v>0</v>
      </c>
      <c r="AH109" s="196">
        <f t="shared" si="118"/>
        <v>0</v>
      </c>
      <c r="AI109" s="266">
        <f>'DATA INPUT - DETAIL'!R100</f>
        <v>0</v>
      </c>
      <c r="AJ109" s="266">
        <f>'DATA INPUT - DETAIL'!S100</f>
        <v>0</v>
      </c>
      <c r="AK109" s="266">
        <f>'DATA INPUT - DETAIL'!T100</f>
        <v>0</v>
      </c>
      <c r="AL109" s="266">
        <f>'DATA INPUT - DETAIL'!U100</f>
        <v>0</v>
      </c>
      <c r="AM109" s="266">
        <f>'DATA INPUT - DETAIL'!V100</f>
        <v>0</v>
      </c>
      <c r="AN109" s="266">
        <f>'DATA INPUT - DETAIL'!W100</f>
        <v>0</v>
      </c>
      <c r="AO109" s="198">
        <f t="shared" si="119"/>
        <v>0</v>
      </c>
      <c r="AP109" s="266">
        <f>'DATA INPUT - DETAIL'!X100</f>
        <v>0</v>
      </c>
      <c r="AQ109" s="266">
        <f>'DATA INPUT - DETAIL'!Y100</f>
        <v>0</v>
      </c>
      <c r="AR109" s="266">
        <f>'DATA INPUT - DETAIL'!Z100</f>
        <v>0</v>
      </c>
      <c r="AS109" s="266">
        <f>'DATA INPUT - DETAIL'!AD100</f>
        <v>0</v>
      </c>
      <c r="AT109" s="266">
        <f t="shared" si="120"/>
        <v>0</v>
      </c>
      <c r="AU109" s="206">
        <f>'DATA INPUT - DETAIL'!AA100</f>
        <v>0</v>
      </c>
      <c r="AV109" s="206">
        <f>'DATA INPUT - DETAIL'!AB100</f>
        <v>0</v>
      </c>
      <c r="AW109" s="206">
        <f>'DATA INPUT - DETAIL'!AC100</f>
        <v>0</v>
      </c>
      <c r="AX109" s="206">
        <f t="shared" si="121"/>
        <v>0</v>
      </c>
      <c r="AY109" s="206">
        <f t="shared" si="122"/>
        <v>0</v>
      </c>
      <c r="AZ109" s="206">
        <f t="shared" si="123"/>
        <v>0</v>
      </c>
      <c r="BA109" s="206">
        <f t="shared" si="124"/>
        <v>0</v>
      </c>
      <c r="BB109" s="206">
        <f t="shared" si="125"/>
        <v>0</v>
      </c>
      <c r="BC109" s="206">
        <f t="shared" si="126"/>
        <v>0</v>
      </c>
      <c r="BD109" s="206">
        <f t="shared" si="127"/>
        <v>0</v>
      </c>
      <c r="BE109" s="206">
        <f t="shared" si="128"/>
        <v>0</v>
      </c>
      <c r="BF109" s="206">
        <f t="shared" si="129"/>
        <v>0</v>
      </c>
      <c r="BG109" s="206">
        <f t="shared" si="130"/>
        <v>0</v>
      </c>
      <c r="BH109" s="206">
        <f t="shared" si="131"/>
        <v>0</v>
      </c>
      <c r="BI109" s="206">
        <f t="shared" si="132"/>
        <v>0</v>
      </c>
      <c r="BJ109" s="266">
        <f t="shared" si="133"/>
        <v>0</v>
      </c>
      <c r="BK109" s="266">
        <f t="shared" si="134"/>
        <v>0</v>
      </c>
      <c r="BL109" s="192">
        <f t="shared" si="135"/>
        <v>0</v>
      </c>
      <c r="BM109" s="192">
        <f t="shared" si="136"/>
        <v>0</v>
      </c>
      <c r="BN109" s="192">
        <f t="shared" si="137"/>
        <v>0</v>
      </c>
      <c r="BO109" s="192">
        <f t="shared" si="138"/>
        <v>0</v>
      </c>
      <c r="BP109" s="192">
        <f t="shared" si="139"/>
        <v>0</v>
      </c>
      <c r="BQ109" s="193">
        <f t="shared" si="140"/>
        <v>0</v>
      </c>
      <c r="BR109" s="193">
        <f t="shared" si="141"/>
        <v>0</v>
      </c>
      <c r="BS109" s="265">
        <f t="shared" si="145"/>
        <v>0</v>
      </c>
      <c r="BT109" s="265">
        <f t="shared" si="146"/>
        <v>0</v>
      </c>
      <c r="BU109" s="265">
        <f t="shared" si="147"/>
        <v>0</v>
      </c>
      <c r="BV109" s="265">
        <f t="shared" si="148"/>
        <v>0</v>
      </c>
      <c r="BW109" s="265">
        <f t="shared" si="149"/>
        <v>0</v>
      </c>
      <c r="BX109" s="265">
        <f t="shared" si="150"/>
        <v>0</v>
      </c>
      <c r="BY109" s="265">
        <f t="shared" si="151"/>
        <v>0</v>
      </c>
      <c r="BZ109" s="265">
        <f t="shared" si="152"/>
        <v>0</v>
      </c>
      <c r="CA109" s="265">
        <f t="shared" si="153"/>
        <v>0</v>
      </c>
      <c r="CB109" s="269">
        <f t="shared" si="154"/>
        <v>0</v>
      </c>
      <c r="CC109" s="266">
        <f t="shared" si="155"/>
        <v>0</v>
      </c>
      <c r="CD109" s="241"/>
      <c r="CE109" s="198">
        <f t="shared" si="142"/>
        <v>1.0886398513397057E-10</v>
      </c>
      <c r="CF109" s="198">
        <f t="shared" si="156"/>
        <v>0</v>
      </c>
      <c r="CG109" s="198">
        <f t="shared" si="157"/>
        <v>0</v>
      </c>
      <c r="CH109" s="198">
        <f t="shared" si="158"/>
        <v>0</v>
      </c>
      <c r="CI109" s="198">
        <f t="shared" si="159"/>
        <v>0</v>
      </c>
      <c r="CJ109" s="198">
        <f t="shared" si="160"/>
        <v>0</v>
      </c>
      <c r="CK109" s="198">
        <f t="shared" si="161"/>
        <v>0</v>
      </c>
      <c r="CL109" s="198">
        <f t="shared" si="162"/>
        <v>4.7557186343459537E-13</v>
      </c>
      <c r="CM109" s="271">
        <f t="shared" si="163"/>
        <v>0</v>
      </c>
      <c r="CN109" s="198">
        <f t="shared" si="164"/>
        <v>1.0933955699740516E-10</v>
      </c>
      <c r="CO109" s="209">
        <f t="shared" si="143"/>
        <v>1.0886398513397057E-10</v>
      </c>
    </row>
    <row r="110" spans="2:93" x14ac:dyDescent="0.2">
      <c r="B110" s="221">
        <f>'DATA INPUT - DETAIL'!D101</f>
        <v>0</v>
      </c>
      <c r="C110" s="211">
        <f>'DATA INPUT - DETAIL'!E101</f>
        <v>0</v>
      </c>
      <c r="D110" s="257">
        <f>'DATA INPUT - DETAIL'!I101</f>
        <v>0</v>
      </c>
      <c r="E110" s="258">
        <f>'DATA INPUT - DETAIL'!K101</f>
        <v>0</v>
      </c>
      <c r="F110" s="258">
        <f>'DATA INPUT - DETAIL'!L101</f>
        <v>0</v>
      </c>
      <c r="G110" s="179">
        <f>'DATA INPUT - DETAIL'!M101*(1+$V$5)</f>
        <v>0</v>
      </c>
      <c r="H110" s="179">
        <f>'DATA INPUT - DETAIL'!N101*(1+$V$5)</f>
        <v>0</v>
      </c>
      <c r="I110" s="258">
        <f t="shared" si="100"/>
        <v>0</v>
      </c>
      <c r="J110" s="258">
        <f>'DATA INPUT - DETAIL'!O101</f>
        <v>0</v>
      </c>
      <c r="K110" s="258">
        <f>'DATA INPUT - DETAIL'!P101</f>
        <v>0</v>
      </c>
      <c r="L110" s="267">
        <f>ROUNDDOWN('DATA INPUT - DETAIL'!G101,0)</f>
        <v>0</v>
      </c>
      <c r="M110" s="196">
        <f t="shared" si="165"/>
        <v>0</v>
      </c>
      <c r="N110" s="196">
        <f t="shared" si="101"/>
        <v>0</v>
      </c>
      <c r="O110" s="196">
        <f t="shared" si="102"/>
        <v>0</v>
      </c>
      <c r="P110" s="196">
        <f t="shared" si="103"/>
        <v>0</v>
      </c>
      <c r="Q110" s="196">
        <f t="shared" si="104"/>
        <v>0</v>
      </c>
      <c r="R110" s="196">
        <f t="shared" si="105"/>
        <v>0</v>
      </c>
      <c r="S110" s="196">
        <f t="shared" si="106"/>
        <v>0</v>
      </c>
      <c r="T110" s="196">
        <f t="shared" si="107"/>
        <v>0</v>
      </c>
      <c r="U110" s="185">
        <f>(C110&gt;0)*(C110&lt;$E$5)*VLOOKUP(MPP,ASUMSI!$BN$77:$CR$108,B110+1)*(1+$V$4)</f>
        <v>0</v>
      </c>
      <c r="V110" s="196">
        <f t="shared" si="108"/>
        <v>0</v>
      </c>
      <c r="W110" s="196">
        <f t="shared" si="109"/>
        <v>0</v>
      </c>
      <c r="X110" s="196">
        <f t="shared" si="110"/>
        <v>0</v>
      </c>
      <c r="Y110" s="196">
        <f t="shared" si="111"/>
        <v>0</v>
      </c>
      <c r="Z110" s="196">
        <f t="shared" si="112"/>
        <v>0</v>
      </c>
      <c r="AA110" s="185">
        <f t="shared" si="113"/>
        <v>0</v>
      </c>
      <c r="AB110" s="196">
        <f t="shared" si="114"/>
        <v>0</v>
      </c>
      <c r="AC110" s="196">
        <f t="shared" si="114"/>
        <v>0</v>
      </c>
      <c r="AD110" s="196">
        <f t="shared" si="114"/>
        <v>0</v>
      </c>
      <c r="AE110" s="196">
        <f t="shared" si="115"/>
        <v>0</v>
      </c>
      <c r="AF110" s="196">
        <f t="shared" si="116"/>
        <v>0</v>
      </c>
      <c r="AG110" s="196">
        <f t="shared" si="117"/>
        <v>0</v>
      </c>
      <c r="AH110" s="196">
        <f t="shared" si="118"/>
        <v>0</v>
      </c>
      <c r="AI110" s="266">
        <f>'DATA INPUT - DETAIL'!R101</f>
        <v>0</v>
      </c>
      <c r="AJ110" s="266">
        <f>'DATA INPUT - DETAIL'!S101</f>
        <v>0</v>
      </c>
      <c r="AK110" s="266">
        <f>'DATA INPUT - DETAIL'!T101</f>
        <v>0</v>
      </c>
      <c r="AL110" s="266">
        <f>'DATA INPUT - DETAIL'!U101</f>
        <v>0</v>
      </c>
      <c r="AM110" s="266">
        <f>'DATA INPUT - DETAIL'!V101</f>
        <v>0</v>
      </c>
      <c r="AN110" s="266">
        <f>'DATA INPUT - DETAIL'!W101</f>
        <v>0</v>
      </c>
      <c r="AO110" s="198">
        <f t="shared" si="119"/>
        <v>0</v>
      </c>
      <c r="AP110" s="266">
        <f>'DATA INPUT - DETAIL'!X101</f>
        <v>0</v>
      </c>
      <c r="AQ110" s="266">
        <f>'DATA INPUT - DETAIL'!Y101</f>
        <v>0</v>
      </c>
      <c r="AR110" s="266">
        <f>'DATA INPUT - DETAIL'!Z101</f>
        <v>0</v>
      </c>
      <c r="AS110" s="266">
        <f>'DATA INPUT - DETAIL'!AD101</f>
        <v>0</v>
      </c>
      <c r="AT110" s="266">
        <f t="shared" si="120"/>
        <v>0</v>
      </c>
      <c r="AU110" s="206">
        <f>'DATA INPUT - DETAIL'!AA101</f>
        <v>0</v>
      </c>
      <c r="AV110" s="206">
        <f>'DATA INPUT - DETAIL'!AB101</f>
        <v>0</v>
      </c>
      <c r="AW110" s="206">
        <f>'DATA INPUT - DETAIL'!AC101</f>
        <v>0</v>
      </c>
      <c r="AX110" s="206">
        <f t="shared" si="121"/>
        <v>0</v>
      </c>
      <c r="AY110" s="206">
        <f t="shared" si="122"/>
        <v>0</v>
      </c>
      <c r="AZ110" s="206">
        <f t="shared" si="123"/>
        <v>0</v>
      </c>
      <c r="BA110" s="206">
        <f t="shared" si="124"/>
        <v>0</v>
      </c>
      <c r="BB110" s="206">
        <f t="shared" si="125"/>
        <v>0</v>
      </c>
      <c r="BC110" s="206">
        <f t="shared" si="126"/>
        <v>0</v>
      </c>
      <c r="BD110" s="206">
        <f t="shared" si="127"/>
        <v>0</v>
      </c>
      <c r="BE110" s="206">
        <f t="shared" si="128"/>
        <v>0</v>
      </c>
      <c r="BF110" s="206">
        <f t="shared" si="129"/>
        <v>0</v>
      </c>
      <c r="BG110" s="206">
        <f t="shared" si="130"/>
        <v>0</v>
      </c>
      <c r="BH110" s="206">
        <f t="shared" si="131"/>
        <v>0</v>
      </c>
      <c r="BI110" s="206">
        <f t="shared" si="132"/>
        <v>0</v>
      </c>
      <c r="BJ110" s="266">
        <f t="shared" si="133"/>
        <v>0</v>
      </c>
      <c r="BK110" s="266">
        <f t="shared" si="134"/>
        <v>0</v>
      </c>
      <c r="BL110" s="192">
        <f t="shared" si="135"/>
        <v>0</v>
      </c>
      <c r="BM110" s="192">
        <f t="shared" si="136"/>
        <v>0</v>
      </c>
      <c r="BN110" s="192">
        <f t="shared" si="137"/>
        <v>0</v>
      </c>
      <c r="BO110" s="192">
        <f t="shared" si="138"/>
        <v>0</v>
      </c>
      <c r="BP110" s="192">
        <f t="shared" si="139"/>
        <v>0</v>
      </c>
      <c r="BQ110" s="193">
        <f t="shared" si="140"/>
        <v>0</v>
      </c>
      <c r="BR110" s="193">
        <f t="shared" si="141"/>
        <v>0</v>
      </c>
      <c r="BS110" s="265">
        <f t="shared" si="145"/>
        <v>0</v>
      </c>
      <c r="BT110" s="265">
        <f t="shared" si="146"/>
        <v>0</v>
      </c>
      <c r="BU110" s="265">
        <f t="shared" si="147"/>
        <v>0</v>
      </c>
      <c r="BV110" s="265">
        <f t="shared" si="148"/>
        <v>0</v>
      </c>
      <c r="BW110" s="265">
        <f t="shared" si="149"/>
        <v>0</v>
      </c>
      <c r="BX110" s="265">
        <f t="shared" si="150"/>
        <v>0</v>
      </c>
      <c r="BY110" s="265">
        <f t="shared" si="151"/>
        <v>0</v>
      </c>
      <c r="BZ110" s="265">
        <f t="shared" si="152"/>
        <v>0</v>
      </c>
      <c r="CA110" s="265">
        <f t="shared" si="153"/>
        <v>0</v>
      </c>
      <c r="CB110" s="269">
        <f t="shared" si="154"/>
        <v>0</v>
      </c>
      <c r="CC110" s="266">
        <f t="shared" si="155"/>
        <v>0</v>
      </c>
      <c r="CD110" s="241"/>
      <c r="CE110" s="198">
        <f t="shared" si="142"/>
        <v>1.0933955699740516E-10</v>
      </c>
      <c r="CF110" s="198">
        <f t="shared" si="156"/>
        <v>0</v>
      </c>
      <c r="CG110" s="198">
        <f t="shared" si="157"/>
        <v>0</v>
      </c>
      <c r="CH110" s="198">
        <f t="shared" si="158"/>
        <v>0</v>
      </c>
      <c r="CI110" s="198">
        <f t="shared" si="159"/>
        <v>0</v>
      </c>
      <c r="CJ110" s="198">
        <f t="shared" si="160"/>
        <v>0</v>
      </c>
      <c r="CK110" s="198">
        <f t="shared" si="161"/>
        <v>0</v>
      </c>
      <c r="CL110" s="198">
        <f t="shared" si="162"/>
        <v>4.7764939712962153E-13</v>
      </c>
      <c r="CM110" s="271">
        <f t="shared" si="163"/>
        <v>0</v>
      </c>
      <c r="CN110" s="198">
        <f t="shared" si="164"/>
        <v>1.0981720639453478E-10</v>
      </c>
      <c r="CO110" s="209">
        <f t="shared" si="143"/>
        <v>1.0933955699740516E-10</v>
      </c>
    </row>
    <row r="111" spans="2:93" x14ac:dyDescent="0.2">
      <c r="B111" s="221">
        <f>'DATA INPUT - DETAIL'!D102</f>
        <v>0</v>
      </c>
      <c r="C111" s="211">
        <f>'DATA INPUT - DETAIL'!E102</f>
        <v>0</v>
      </c>
      <c r="D111" s="257">
        <f>'DATA INPUT - DETAIL'!I102</f>
        <v>0</v>
      </c>
      <c r="E111" s="258">
        <f>'DATA INPUT - DETAIL'!K102</f>
        <v>0</v>
      </c>
      <c r="F111" s="258">
        <f>'DATA INPUT - DETAIL'!L102</f>
        <v>0</v>
      </c>
      <c r="G111" s="179">
        <f>'DATA INPUT - DETAIL'!M102*(1+$V$5)</f>
        <v>0</v>
      </c>
      <c r="H111" s="179">
        <f>'DATA INPUT - DETAIL'!N102*(1+$V$5)</f>
        <v>0</v>
      </c>
      <c r="I111" s="258">
        <f t="shared" si="100"/>
        <v>0</v>
      </c>
      <c r="J111" s="258">
        <f>'DATA INPUT - DETAIL'!O102</f>
        <v>0</v>
      </c>
      <c r="K111" s="258">
        <f>'DATA INPUT - DETAIL'!P102</f>
        <v>0</v>
      </c>
      <c r="L111" s="267">
        <f>ROUNDDOWN('DATA INPUT - DETAIL'!G102,0)</f>
        <v>0</v>
      </c>
      <c r="M111" s="196">
        <f t="shared" si="165"/>
        <v>0</v>
      </c>
      <c r="N111" s="196">
        <f t="shared" si="101"/>
        <v>0</v>
      </c>
      <c r="O111" s="196">
        <f t="shared" si="102"/>
        <v>0</v>
      </c>
      <c r="P111" s="196">
        <f t="shared" si="103"/>
        <v>0</v>
      </c>
      <c r="Q111" s="196">
        <f t="shared" si="104"/>
        <v>0</v>
      </c>
      <c r="R111" s="196">
        <f t="shared" si="105"/>
        <v>0</v>
      </c>
      <c r="S111" s="196">
        <f t="shared" si="106"/>
        <v>0</v>
      </c>
      <c r="T111" s="196">
        <f t="shared" si="107"/>
        <v>0</v>
      </c>
      <c r="U111" s="185">
        <f>(C111&gt;0)*(C111&lt;$E$5)*VLOOKUP(MPP,ASUMSI!$BN$77:$CR$108,B111+1)*(1+$V$4)</f>
        <v>0</v>
      </c>
      <c r="V111" s="196">
        <f t="shared" si="108"/>
        <v>0</v>
      </c>
      <c r="W111" s="196">
        <f t="shared" si="109"/>
        <v>0</v>
      </c>
      <c r="X111" s="196">
        <f t="shared" si="110"/>
        <v>0</v>
      </c>
      <c r="Y111" s="196">
        <f t="shared" si="111"/>
        <v>0</v>
      </c>
      <c r="Z111" s="196">
        <f t="shared" si="112"/>
        <v>0</v>
      </c>
      <c r="AA111" s="185">
        <f t="shared" si="113"/>
        <v>0</v>
      </c>
      <c r="AB111" s="196">
        <f t="shared" si="114"/>
        <v>0</v>
      </c>
      <c r="AC111" s="196">
        <f t="shared" si="114"/>
        <v>0</v>
      </c>
      <c r="AD111" s="196">
        <f t="shared" si="114"/>
        <v>0</v>
      </c>
      <c r="AE111" s="196">
        <f t="shared" si="115"/>
        <v>0</v>
      </c>
      <c r="AF111" s="196">
        <f t="shared" si="116"/>
        <v>0</v>
      </c>
      <c r="AG111" s="196">
        <f t="shared" si="117"/>
        <v>0</v>
      </c>
      <c r="AH111" s="196">
        <f t="shared" si="118"/>
        <v>0</v>
      </c>
      <c r="AI111" s="266">
        <f>'DATA INPUT - DETAIL'!R102</f>
        <v>0</v>
      </c>
      <c r="AJ111" s="266">
        <f>'DATA INPUT - DETAIL'!S102</f>
        <v>0</v>
      </c>
      <c r="AK111" s="266">
        <f>'DATA INPUT - DETAIL'!T102</f>
        <v>0</v>
      </c>
      <c r="AL111" s="266">
        <f>'DATA INPUT - DETAIL'!U102</f>
        <v>0</v>
      </c>
      <c r="AM111" s="266">
        <f>'DATA INPUT - DETAIL'!V102</f>
        <v>0</v>
      </c>
      <c r="AN111" s="266">
        <f>'DATA INPUT - DETAIL'!W102</f>
        <v>0</v>
      </c>
      <c r="AO111" s="198">
        <f t="shared" si="119"/>
        <v>0</v>
      </c>
      <c r="AP111" s="266">
        <f>'DATA INPUT - DETAIL'!X102</f>
        <v>0</v>
      </c>
      <c r="AQ111" s="266">
        <f>'DATA INPUT - DETAIL'!Y102</f>
        <v>0</v>
      </c>
      <c r="AR111" s="266">
        <f>'DATA INPUT - DETAIL'!Z102</f>
        <v>0</v>
      </c>
      <c r="AS111" s="266">
        <f>'DATA INPUT - DETAIL'!AD102</f>
        <v>0</v>
      </c>
      <c r="AT111" s="266">
        <f t="shared" si="120"/>
        <v>0</v>
      </c>
      <c r="AU111" s="206">
        <f>'DATA INPUT - DETAIL'!AA102</f>
        <v>0</v>
      </c>
      <c r="AV111" s="206">
        <f>'DATA INPUT - DETAIL'!AB102</f>
        <v>0</v>
      </c>
      <c r="AW111" s="206">
        <f>'DATA INPUT - DETAIL'!AC102</f>
        <v>0</v>
      </c>
      <c r="AX111" s="206">
        <f t="shared" si="121"/>
        <v>0</v>
      </c>
      <c r="AY111" s="206">
        <f t="shared" si="122"/>
        <v>0</v>
      </c>
      <c r="AZ111" s="206">
        <f t="shared" si="123"/>
        <v>0</v>
      </c>
      <c r="BA111" s="206">
        <f t="shared" si="124"/>
        <v>0</v>
      </c>
      <c r="BB111" s="206">
        <f t="shared" si="125"/>
        <v>0</v>
      </c>
      <c r="BC111" s="206">
        <f t="shared" si="126"/>
        <v>0</v>
      </c>
      <c r="BD111" s="206">
        <f t="shared" si="127"/>
        <v>0</v>
      </c>
      <c r="BE111" s="206">
        <f t="shared" si="128"/>
        <v>0</v>
      </c>
      <c r="BF111" s="206">
        <f t="shared" si="129"/>
        <v>0</v>
      </c>
      <c r="BG111" s="206">
        <f t="shared" si="130"/>
        <v>0</v>
      </c>
      <c r="BH111" s="206">
        <f t="shared" si="131"/>
        <v>0</v>
      </c>
      <c r="BI111" s="206">
        <f t="shared" si="132"/>
        <v>0</v>
      </c>
      <c r="BJ111" s="266">
        <f t="shared" si="133"/>
        <v>0</v>
      </c>
      <c r="BK111" s="266">
        <f t="shared" si="134"/>
        <v>0</v>
      </c>
      <c r="BL111" s="192">
        <f t="shared" si="135"/>
        <v>0</v>
      </c>
      <c r="BM111" s="192">
        <f t="shared" si="136"/>
        <v>0</v>
      </c>
      <c r="BN111" s="192">
        <f t="shared" si="137"/>
        <v>0</v>
      </c>
      <c r="BO111" s="192">
        <f t="shared" si="138"/>
        <v>0</v>
      </c>
      <c r="BP111" s="192">
        <f t="shared" si="139"/>
        <v>0</v>
      </c>
      <c r="BQ111" s="193">
        <f t="shared" si="140"/>
        <v>0</v>
      </c>
      <c r="BR111" s="193">
        <f t="shared" si="141"/>
        <v>0</v>
      </c>
      <c r="BS111" s="265">
        <f t="shared" si="145"/>
        <v>0</v>
      </c>
      <c r="BT111" s="265">
        <f t="shared" si="146"/>
        <v>0</v>
      </c>
      <c r="BU111" s="265">
        <f t="shared" si="147"/>
        <v>0</v>
      </c>
      <c r="BV111" s="265">
        <f t="shared" si="148"/>
        <v>0</v>
      </c>
      <c r="BW111" s="265">
        <f t="shared" si="149"/>
        <v>0</v>
      </c>
      <c r="BX111" s="265">
        <f t="shared" si="150"/>
        <v>0</v>
      </c>
      <c r="BY111" s="265">
        <f t="shared" si="151"/>
        <v>0</v>
      </c>
      <c r="BZ111" s="265">
        <f t="shared" si="152"/>
        <v>0</v>
      </c>
      <c r="CA111" s="265">
        <f t="shared" si="153"/>
        <v>0</v>
      </c>
      <c r="CB111" s="269">
        <f t="shared" si="154"/>
        <v>0</v>
      </c>
      <c r="CC111" s="266">
        <f t="shared" si="155"/>
        <v>0</v>
      </c>
      <c r="CD111" s="241"/>
      <c r="CE111" s="198">
        <f t="shared" si="142"/>
        <v>1.0981720639453478E-10</v>
      </c>
      <c r="CF111" s="198">
        <f t="shared" si="156"/>
        <v>0</v>
      </c>
      <c r="CG111" s="198">
        <f t="shared" si="157"/>
        <v>0</v>
      </c>
      <c r="CH111" s="198">
        <f t="shared" si="158"/>
        <v>0</v>
      </c>
      <c r="CI111" s="198">
        <f t="shared" si="159"/>
        <v>0</v>
      </c>
      <c r="CJ111" s="198">
        <f t="shared" si="160"/>
        <v>0</v>
      </c>
      <c r="CK111" s="198">
        <f t="shared" si="161"/>
        <v>0</v>
      </c>
      <c r="CL111" s="198">
        <f t="shared" si="162"/>
        <v>4.7973600652189943E-13</v>
      </c>
      <c r="CM111" s="271">
        <f t="shared" si="163"/>
        <v>0</v>
      </c>
      <c r="CN111" s="198">
        <f t="shared" si="164"/>
        <v>1.1029694240105669E-10</v>
      </c>
      <c r="CO111" s="209">
        <f t="shared" si="143"/>
        <v>1.0981720639453478E-10</v>
      </c>
    </row>
    <row r="112" spans="2:93" x14ac:dyDescent="0.2">
      <c r="B112" s="221">
        <f>'DATA INPUT - DETAIL'!D103</f>
        <v>0</v>
      </c>
      <c r="C112" s="211">
        <f>'DATA INPUT - DETAIL'!E103</f>
        <v>0</v>
      </c>
      <c r="D112" s="257">
        <f>'DATA INPUT - DETAIL'!I103</f>
        <v>0</v>
      </c>
      <c r="E112" s="258">
        <f>'DATA INPUT - DETAIL'!K103</f>
        <v>0</v>
      </c>
      <c r="F112" s="258">
        <f>'DATA INPUT - DETAIL'!L103</f>
        <v>0</v>
      </c>
      <c r="G112" s="179">
        <f>'DATA INPUT - DETAIL'!M103*(1+$V$5)</f>
        <v>0</v>
      </c>
      <c r="H112" s="179">
        <f>'DATA INPUT - DETAIL'!N103*(1+$V$5)</f>
        <v>0</v>
      </c>
      <c r="I112" s="258">
        <f t="shared" si="100"/>
        <v>0</v>
      </c>
      <c r="J112" s="258">
        <f>'DATA INPUT - DETAIL'!O103</f>
        <v>0</v>
      </c>
      <c r="K112" s="258">
        <f>'DATA INPUT - DETAIL'!P103</f>
        <v>0</v>
      </c>
      <c r="L112" s="267">
        <f>ROUNDDOWN('DATA INPUT - DETAIL'!G103,0)</f>
        <v>0</v>
      </c>
      <c r="M112" s="196">
        <f t="shared" si="165"/>
        <v>0</v>
      </c>
      <c r="N112" s="196">
        <f t="shared" si="101"/>
        <v>0</v>
      </c>
      <c r="O112" s="196">
        <f t="shared" si="102"/>
        <v>0</v>
      </c>
      <c r="P112" s="196">
        <f t="shared" si="103"/>
        <v>0</v>
      </c>
      <c r="Q112" s="196">
        <f t="shared" si="104"/>
        <v>0</v>
      </c>
      <c r="R112" s="196">
        <f t="shared" si="105"/>
        <v>0</v>
      </c>
      <c r="S112" s="196">
        <f t="shared" si="106"/>
        <v>0</v>
      </c>
      <c r="T112" s="196">
        <f t="shared" si="107"/>
        <v>0</v>
      </c>
      <c r="U112" s="185">
        <f>(C112&gt;0)*(C112&lt;$E$5)*VLOOKUP(MPP,ASUMSI!$BN$77:$CR$108,B112+1)*(1+$V$4)</f>
        <v>0</v>
      </c>
      <c r="V112" s="196">
        <f t="shared" si="108"/>
        <v>0</v>
      </c>
      <c r="W112" s="196">
        <f t="shared" si="109"/>
        <v>0</v>
      </c>
      <c r="X112" s="196">
        <f t="shared" si="110"/>
        <v>0</v>
      </c>
      <c r="Y112" s="196">
        <f t="shared" si="111"/>
        <v>0</v>
      </c>
      <c r="Z112" s="196">
        <f t="shared" si="112"/>
        <v>0</v>
      </c>
      <c r="AA112" s="185">
        <f t="shared" si="113"/>
        <v>0</v>
      </c>
      <c r="AB112" s="196">
        <f t="shared" si="114"/>
        <v>0</v>
      </c>
      <c r="AC112" s="196">
        <f t="shared" si="114"/>
        <v>0</v>
      </c>
      <c r="AD112" s="196">
        <f t="shared" si="114"/>
        <v>0</v>
      </c>
      <c r="AE112" s="196">
        <f t="shared" si="115"/>
        <v>0</v>
      </c>
      <c r="AF112" s="196">
        <f t="shared" si="116"/>
        <v>0</v>
      </c>
      <c r="AG112" s="196">
        <f t="shared" si="117"/>
        <v>0</v>
      </c>
      <c r="AH112" s="196">
        <f t="shared" si="118"/>
        <v>0</v>
      </c>
      <c r="AI112" s="266">
        <f>'DATA INPUT - DETAIL'!R103</f>
        <v>0</v>
      </c>
      <c r="AJ112" s="266">
        <f>'DATA INPUT - DETAIL'!S103</f>
        <v>0</v>
      </c>
      <c r="AK112" s="266">
        <f>'DATA INPUT - DETAIL'!T103</f>
        <v>0</v>
      </c>
      <c r="AL112" s="266">
        <f>'DATA INPUT - DETAIL'!U103</f>
        <v>0</v>
      </c>
      <c r="AM112" s="266">
        <f>'DATA INPUT - DETAIL'!V103</f>
        <v>0</v>
      </c>
      <c r="AN112" s="266">
        <f>'DATA INPUT - DETAIL'!W103</f>
        <v>0</v>
      </c>
      <c r="AO112" s="198">
        <f t="shared" si="119"/>
        <v>0</v>
      </c>
      <c r="AP112" s="266">
        <f>'DATA INPUT - DETAIL'!X103</f>
        <v>0</v>
      </c>
      <c r="AQ112" s="266">
        <f>'DATA INPUT - DETAIL'!Y103</f>
        <v>0</v>
      </c>
      <c r="AR112" s="266">
        <f>'DATA INPUT - DETAIL'!Z103</f>
        <v>0</v>
      </c>
      <c r="AS112" s="266">
        <f>'DATA INPUT - DETAIL'!AD103</f>
        <v>0</v>
      </c>
      <c r="AT112" s="266">
        <f t="shared" si="120"/>
        <v>0</v>
      </c>
      <c r="AU112" s="206">
        <f>'DATA INPUT - DETAIL'!AA103</f>
        <v>0</v>
      </c>
      <c r="AV112" s="206">
        <f>'DATA INPUT - DETAIL'!AB103</f>
        <v>0</v>
      </c>
      <c r="AW112" s="206">
        <f>'DATA INPUT - DETAIL'!AC103</f>
        <v>0</v>
      </c>
      <c r="AX112" s="206">
        <f t="shared" si="121"/>
        <v>0</v>
      </c>
      <c r="AY112" s="206">
        <f t="shared" si="122"/>
        <v>0</v>
      </c>
      <c r="AZ112" s="206">
        <f t="shared" si="123"/>
        <v>0</v>
      </c>
      <c r="BA112" s="206">
        <f t="shared" si="124"/>
        <v>0</v>
      </c>
      <c r="BB112" s="206">
        <f t="shared" si="125"/>
        <v>0</v>
      </c>
      <c r="BC112" s="206">
        <f t="shared" si="126"/>
        <v>0</v>
      </c>
      <c r="BD112" s="206">
        <f t="shared" si="127"/>
        <v>0</v>
      </c>
      <c r="BE112" s="206">
        <f t="shared" si="128"/>
        <v>0</v>
      </c>
      <c r="BF112" s="206">
        <f t="shared" si="129"/>
        <v>0</v>
      </c>
      <c r="BG112" s="206">
        <f t="shared" si="130"/>
        <v>0</v>
      </c>
      <c r="BH112" s="206">
        <f t="shared" si="131"/>
        <v>0</v>
      </c>
      <c r="BI112" s="206">
        <f t="shared" si="132"/>
        <v>0</v>
      </c>
      <c r="BJ112" s="266">
        <f t="shared" si="133"/>
        <v>0</v>
      </c>
      <c r="BK112" s="266">
        <f t="shared" si="134"/>
        <v>0</v>
      </c>
      <c r="BL112" s="192">
        <f t="shared" si="135"/>
        <v>0</v>
      </c>
      <c r="BM112" s="192">
        <f t="shared" si="136"/>
        <v>0</v>
      </c>
      <c r="BN112" s="192">
        <f t="shared" si="137"/>
        <v>0</v>
      </c>
      <c r="BO112" s="192">
        <f t="shared" si="138"/>
        <v>0</v>
      </c>
      <c r="BP112" s="192">
        <f t="shared" si="139"/>
        <v>0</v>
      </c>
      <c r="BQ112" s="193">
        <f t="shared" si="140"/>
        <v>0</v>
      </c>
      <c r="BR112" s="193">
        <f t="shared" si="141"/>
        <v>0</v>
      </c>
      <c r="BS112" s="265">
        <f t="shared" si="145"/>
        <v>0</v>
      </c>
      <c r="BT112" s="265">
        <f t="shared" si="146"/>
        <v>0</v>
      </c>
      <c r="BU112" s="265">
        <f t="shared" si="147"/>
        <v>0</v>
      </c>
      <c r="BV112" s="265">
        <f t="shared" si="148"/>
        <v>0</v>
      </c>
      <c r="BW112" s="265">
        <f t="shared" si="149"/>
        <v>0</v>
      </c>
      <c r="BX112" s="265">
        <f t="shared" si="150"/>
        <v>0</v>
      </c>
      <c r="BY112" s="265">
        <f t="shared" si="151"/>
        <v>0</v>
      </c>
      <c r="BZ112" s="265">
        <f t="shared" si="152"/>
        <v>0</v>
      </c>
      <c r="CA112" s="265">
        <f t="shared" si="153"/>
        <v>0</v>
      </c>
      <c r="CB112" s="269">
        <f t="shared" si="154"/>
        <v>0</v>
      </c>
      <c r="CC112" s="266">
        <f t="shared" si="155"/>
        <v>0</v>
      </c>
      <c r="CD112" s="241"/>
      <c r="CE112" s="198">
        <f t="shared" si="142"/>
        <v>1.1029694240105669E-10</v>
      </c>
      <c r="CF112" s="198">
        <f t="shared" si="156"/>
        <v>0</v>
      </c>
      <c r="CG112" s="198">
        <f t="shared" si="157"/>
        <v>0</v>
      </c>
      <c r="CH112" s="198">
        <f t="shared" si="158"/>
        <v>0</v>
      </c>
      <c r="CI112" s="198">
        <f t="shared" si="159"/>
        <v>0</v>
      </c>
      <c r="CJ112" s="198">
        <f t="shared" si="160"/>
        <v>0</v>
      </c>
      <c r="CK112" s="198">
        <f t="shared" si="161"/>
        <v>0</v>
      </c>
      <c r="CL112" s="198">
        <f t="shared" si="162"/>
        <v>4.8183173125857459E-13</v>
      </c>
      <c r="CM112" s="271">
        <f t="shared" si="163"/>
        <v>0</v>
      </c>
      <c r="CN112" s="198">
        <f t="shared" si="164"/>
        <v>1.1077877413231526E-10</v>
      </c>
      <c r="CO112" s="209">
        <f t="shared" si="143"/>
        <v>1.1029694240105669E-10</v>
      </c>
    </row>
    <row r="113" spans="2:93" x14ac:dyDescent="0.2">
      <c r="B113" s="221">
        <f>'DATA INPUT - DETAIL'!D104</f>
        <v>0</v>
      </c>
      <c r="C113" s="211">
        <f>'DATA INPUT - DETAIL'!E104</f>
        <v>0</v>
      </c>
      <c r="D113" s="257">
        <f>'DATA INPUT - DETAIL'!I104</f>
        <v>0</v>
      </c>
      <c r="E113" s="258">
        <f>'DATA INPUT - DETAIL'!K104</f>
        <v>0</v>
      </c>
      <c r="F113" s="258">
        <f>'DATA INPUT - DETAIL'!L104</f>
        <v>0</v>
      </c>
      <c r="G113" s="179">
        <f>'DATA INPUT - DETAIL'!M104*(1+$V$5)</f>
        <v>0</v>
      </c>
      <c r="H113" s="179">
        <f>'DATA INPUT - DETAIL'!N104*(1+$V$5)</f>
        <v>0</v>
      </c>
      <c r="I113" s="258">
        <f t="shared" si="100"/>
        <v>0</v>
      </c>
      <c r="J113" s="258">
        <f>'DATA INPUT - DETAIL'!O104</f>
        <v>0</v>
      </c>
      <c r="K113" s="258">
        <f>'DATA INPUT - DETAIL'!P104</f>
        <v>0</v>
      </c>
      <c r="L113" s="267">
        <f>ROUNDDOWN('DATA INPUT - DETAIL'!G104,0)</f>
        <v>0</v>
      </c>
      <c r="M113" s="196">
        <f t="shared" si="165"/>
        <v>0</v>
      </c>
      <c r="N113" s="196">
        <f t="shared" si="101"/>
        <v>0</v>
      </c>
      <c r="O113" s="196">
        <f t="shared" si="102"/>
        <v>0</v>
      </c>
      <c r="P113" s="196">
        <f t="shared" si="103"/>
        <v>0</v>
      </c>
      <c r="Q113" s="196">
        <f t="shared" si="104"/>
        <v>0</v>
      </c>
      <c r="R113" s="196">
        <f t="shared" si="105"/>
        <v>0</v>
      </c>
      <c r="S113" s="196">
        <f t="shared" si="106"/>
        <v>0</v>
      </c>
      <c r="T113" s="196">
        <f t="shared" si="107"/>
        <v>0</v>
      </c>
      <c r="U113" s="185">
        <f>(C113&gt;0)*(C113&lt;$E$5)*VLOOKUP(MPP,ASUMSI!$BN$77:$CR$108,B113+1)*(1+$V$4)</f>
        <v>0</v>
      </c>
      <c r="V113" s="196">
        <f t="shared" si="108"/>
        <v>0</v>
      </c>
      <c r="W113" s="196">
        <f t="shared" si="109"/>
        <v>0</v>
      </c>
      <c r="X113" s="196">
        <f t="shared" si="110"/>
        <v>0</v>
      </c>
      <c r="Y113" s="196">
        <f t="shared" si="111"/>
        <v>0</v>
      </c>
      <c r="Z113" s="196">
        <f t="shared" si="112"/>
        <v>0</v>
      </c>
      <c r="AA113" s="185">
        <f t="shared" si="113"/>
        <v>0</v>
      </c>
      <c r="AB113" s="196">
        <f t="shared" si="114"/>
        <v>0</v>
      </c>
      <c r="AC113" s="196">
        <f t="shared" si="114"/>
        <v>0</v>
      </c>
      <c r="AD113" s="196">
        <f t="shared" si="114"/>
        <v>0</v>
      </c>
      <c r="AE113" s="196">
        <f t="shared" si="115"/>
        <v>0</v>
      </c>
      <c r="AF113" s="196">
        <f t="shared" si="116"/>
        <v>0</v>
      </c>
      <c r="AG113" s="196">
        <f t="shared" si="117"/>
        <v>0</v>
      </c>
      <c r="AH113" s="196">
        <f t="shared" si="118"/>
        <v>0</v>
      </c>
      <c r="AI113" s="266">
        <f>'DATA INPUT - DETAIL'!R104</f>
        <v>0</v>
      </c>
      <c r="AJ113" s="266">
        <f>'DATA INPUT - DETAIL'!S104</f>
        <v>0</v>
      </c>
      <c r="AK113" s="266">
        <f>'DATA INPUT - DETAIL'!T104</f>
        <v>0</v>
      </c>
      <c r="AL113" s="266">
        <f>'DATA INPUT - DETAIL'!U104</f>
        <v>0</v>
      </c>
      <c r="AM113" s="266">
        <f>'DATA INPUT - DETAIL'!V104</f>
        <v>0</v>
      </c>
      <c r="AN113" s="266">
        <f>'DATA INPUT - DETAIL'!W104</f>
        <v>0</v>
      </c>
      <c r="AO113" s="198">
        <f t="shared" si="119"/>
        <v>0</v>
      </c>
      <c r="AP113" s="266">
        <f>'DATA INPUT - DETAIL'!X104</f>
        <v>0</v>
      </c>
      <c r="AQ113" s="266">
        <f>'DATA INPUT - DETAIL'!Y104</f>
        <v>0</v>
      </c>
      <c r="AR113" s="266">
        <f>'DATA INPUT - DETAIL'!Z104</f>
        <v>0</v>
      </c>
      <c r="AS113" s="266">
        <f>'DATA INPUT - DETAIL'!AD104</f>
        <v>0</v>
      </c>
      <c r="AT113" s="266">
        <f t="shared" si="120"/>
        <v>0</v>
      </c>
      <c r="AU113" s="206">
        <f>'DATA INPUT - DETAIL'!AA104</f>
        <v>0</v>
      </c>
      <c r="AV113" s="206">
        <f>'DATA INPUT - DETAIL'!AB104</f>
        <v>0</v>
      </c>
      <c r="AW113" s="206">
        <f>'DATA INPUT - DETAIL'!AC104</f>
        <v>0</v>
      </c>
      <c r="AX113" s="206">
        <f t="shared" si="121"/>
        <v>0</v>
      </c>
      <c r="AY113" s="206">
        <f t="shared" si="122"/>
        <v>0</v>
      </c>
      <c r="AZ113" s="206">
        <f t="shared" si="123"/>
        <v>0</v>
      </c>
      <c r="BA113" s="206">
        <f t="shared" si="124"/>
        <v>0</v>
      </c>
      <c r="BB113" s="206">
        <f t="shared" si="125"/>
        <v>0</v>
      </c>
      <c r="BC113" s="206">
        <f t="shared" si="126"/>
        <v>0</v>
      </c>
      <c r="BD113" s="206">
        <f t="shared" si="127"/>
        <v>0</v>
      </c>
      <c r="BE113" s="206">
        <f t="shared" si="128"/>
        <v>0</v>
      </c>
      <c r="BF113" s="206">
        <f t="shared" si="129"/>
        <v>0</v>
      </c>
      <c r="BG113" s="206">
        <f t="shared" si="130"/>
        <v>0</v>
      </c>
      <c r="BH113" s="206">
        <f t="shared" si="131"/>
        <v>0</v>
      </c>
      <c r="BI113" s="206">
        <f t="shared" si="132"/>
        <v>0</v>
      </c>
      <c r="BJ113" s="266">
        <f t="shared" si="133"/>
        <v>0</v>
      </c>
      <c r="BK113" s="266">
        <f t="shared" si="134"/>
        <v>0</v>
      </c>
      <c r="BL113" s="192">
        <f t="shared" si="135"/>
        <v>0</v>
      </c>
      <c r="BM113" s="192">
        <f t="shared" si="136"/>
        <v>0</v>
      </c>
      <c r="BN113" s="192">
        <f t="shared" si="137"/>
        <v>0</v>
      </c>
      <c r="BO113" s="192">
        <f t="shared" si="138"/>
        <v>0</v>
      </c>
      <c r="BP113" s="192">
        <f t="shared" si="139"/>
        <v>0</v>
      </c>
      <c r="BQ113" s="193">
        <f t="shared" si="140"/>
        <v>0</v>
      </c>
      <c r="BR113" s="193">
        <f t="shared" si="141"/>
        <v>0</v>
      </c>
      <c r="BS113" s="265">
        <f t="shared" si="145"/>
        <v>0</v>
      </c>
      <c r="BT113" s="265">
        <f t="shared" si="146"/>
        <v>0</v>
      </c>
      <c r="BU113" s="265">
        <f t="shared" si="147"/>
        <v>0</v>
      </c>
      <c r="BV113" s="265">
        <f t="shared" si="148"/>
        <v>0</v>
      </c>
      <c r="BW113" s="265">
        <f t="shared" si="149"/>
        <v>0</v>
      </c>
      <c r="BX113" s="265">
        <f t="shared" si="150"/>
        <v>0</v>
      </c>
      <c r="BY113" s="265">
        <f t="shared" si="151"/>
        <v>0</v>
      </c>
      <c r="BZ113" s="265">
        <f t="shared" si="152"/>
        <v>0</v>
      </c>
      <c r="CA113" s="265">
        <f t="shared" si="153"/>
        <v>0</v>
      </c>
      <c r="CB113" s="269">
        <f t="shared" si="154"/>
        <v>0</v>
      </c>
      <c r="CC113" s="266">
        <f t="shared" si="155"/>
        <v>0</v>
      </c>
      <c r="CD113" s="241"/>
      <c r="CE113" s="198">
        <f t="shared" si="142"/>
        <v>1.1077877413231526E-10</v>
      </c>
      <c r="CF113" s="198">
        <f t="shared" si="156"/>
        <v>0</v>
      </c>
      <c r="CG113" s="198">
        <f t="shared" si="157"/>
        <v>0</v>
      </c>
      <c r="CH113" s="198">
        <f t="shared" si="158"/>
        <v>0</v>
      </c>
      <c r="CI113" s="198">
        <f t="shared" si="159"/>
        <v>0</v>
      </c>
      <c r="CJ113" s="198">
        <f t="shared" si="160"/>
        <v>0</v>
      </c>
      <c r="CK113" s="198">
        <f t="shared" si="161"/>
        <v>0</v>
      </c>
      <c r="CL113" s="198">
        <f t="shared" si="162"/>
        <v>4.8393661115999065E-13</v>
      </c>
      <c r="CM113" s="271">
        <f t="shared" si="163"/>
        <v>0</v>
      </c>
      <c r="CN113" s="198">
        <f t="shared" si="164"/>
        <v>1.1126271074347526E-10</v>
      </c>
      <c r="CO113" s="209">
        <f t="shared" si="143"/>
        <v>1.1077877413231526E-10</v>
      </c>
    </row>
    <row r="114" spans="2:93" x14ac:dyDescent="0.2">
      <c r="B114" s="221">
        <f>'DATA INPUT - DETAIL'!D105</f>
        <v>0</v>
      </c>
      <c r="C114" s="211">
        <f>'DATA INPUT - DETAIL'!E105</f>
        <v>0</v>
      </c>
      <c r="D114" s="257">
        <f>'DATA INPUT - DETAIL'!I105</f>
        <v>0</v>
      </c>
      <c r="E114" s="258">
        <f>'DATA INPUT - DETAIL'!K105</f>
        <v>0</v>
      </c>
      <c r="F114" s="258">
        <f>'DATA INPUT - DETAIL'!L105</f>
        <v>0</v>
      </c>
      <c r="G114" s="179">
        <f>'DATA INPUT - DETAIL'!M105*(1+$V$5)</f>
        <v>0</v>
      </c>
      <c r="H114" s="179">
        <f>'DATA INPUT - DETAIL'!N105*(1+$V$5)</f>
        <v>0</v>
      </c>
      <c r="I114" s="258">
        <f t="shared" si="100"/>
        <v>0</v>
      </c>
      <c r="J114" s="258">
        <f>'DATA INPUT - DETAIL'!O105</f>
        <v>0</v>
      </c>
      <c r="K114" s="258">
        <f>'DATA INPUT - DETAIL'!P105</f>
        <v>0</v>
      </c>
      <c r="L114" s="267">
        <f>ROUNDDOWN('DATA INPUT - DETAIL'!G105,0)</f>
        <v>0</v>
      </c>
      <c r="M114" s="196">
        <f t="shared" si="165"/>
        <v>0</v>
      </c>
      <c r="N114" s="196">
        <f t="shared" si="101"/>
        <v>0</v>
      </c>
      <c r="O114" s="196">
        <f t="shared" si="102"/>
        <v>0</v>
      </c>
      <c r="P114" s="196">
        <f t="shared" si="103"/>
        <v>0</v>
      </c>
      <c r="Q114" s="196">
        <f t="shared" si="104"/>
        <v>0</v>
      </c>
      <c r="R114" s="196">
        <f t="shared" si="105"/>
        <v>0</v>
      </c>
      <c r="S114" s="196">
        <f t="shared" si="106"/>
        <v>0</v>
      </c>
      <c r="T114" s="196">
        <f t="shared" si="107"/>
        <v>0</v>
      </c>
      <c r="U114" s="185">
        <f>(C114&gt;0)*(C114&lt;$E$5)*VLOOKUP(MPP,ASUMSI!$BN$77:$CR$108,B114+1)*(1+$V$4)</f>
        <v>0</v>
      </c>
      <c r="V114" s="196">
        <f t="shared" si="108"/>
        <v>0</v>
      </c>
      <c r="W114" s="196">
        <f t="shared" si="109"/>
        <v>0</v>
      </c>
      <c r="X114" s="196">
        <f t="shared" si="110"/>
        <v>0</v>
      </c>
      <c r="Y114" s="196">
        <f t="shared" si="111"/>
        <v>0</v>
      </c>
      <c r="Z114" s="196">
        <f t="shared" si="112"/>
        <v>0</v>
      </c>
      <c r="AA114" s="185">
        <f t="shared" si="113"/>
        <v>0</v>
      </c>
      <c r="AB114" s="196">
        <f t="shared" si="114"/>
        <v>0</v>
      </c>
      <c r="AC114" s="196">
        <f t="shared" si="114"/>
        <v>0</v>
      </c>
      <c r="AD114" s="196">
        <f t="shared" si="114"/>
        <v>0</v>
      </c>
      <c r="AE114" s="196">
        <f t="shared" si="115"/>
        <v>0</v>
      </c>
      <c r="AF114" s="196">
        <f t="shared" si="116"/>
        <v>0</v>
      </c>
      <c r="AG114" s="196">
        <f t="shared" si="117"/>
        <v>0</v>
      </c>
      <c r="AH114" s="196">
        <f t="shared" si="118"/>
        <v>0</v>
      </c>
      <c r="AI114" s="266">
        <f>'DATA INPUT - DETAIL'!R105</f>
        <v>0</v>
      </c>
      <c r="AJ114" s="266">
        <f>'DATA INPUT - DETAIL'!S105</f>
        <v>0</v>
      </c>
      <c r="AK114" s="266">
        <f>'DATA INPUT - DETAIL'!T105</f>
        <v>0</v>
      </c>
      <c r="AL114" s="266">
        <f>'DATA INPUT - DETAIL'!U105</f>
        <v>0</v>
      </c>
      <c r="AM114" s="266">
        <f>'DATA INPUT - DETAIL'!V105</f>
        <v>0</v>
      </c>
      <c r="AN114" s="266">
        <f>'DATA INPUT - DETAIL'!W105</f>
        <v>0</v>
      </c>
      <c r="AO114" s="198">
        <f t="shared" si="119"/>
        <v>0</v>
      </c>
      <c r="AP114" s="266">
        <f>'DATA INPUT - DETAIL'!X105</f>
        <v>0</v>
      </c>
      <c r="AQ114" s="266">
        <f>'DATA INPUT - DETAIL'!Y105</f>
        <v>0</v>
      </c>
      <c r="AR114" s="266">
        <f>'DATA INPUT - DETAIL'!Z105</f>
        <v>0</v>
      </c>
      <c r="AS114" s="266">
        <f>'DATA INPUT - DETAIL'!AD105</f>
        <v>0</v>
      </c>
      <c r="AT114" s="266">
        <f t="shared" si="120"/>
        <v>0</v>
      </c>
      <c r="AU114" s="206">
        <f>'DATA INPUT - DETAIL'!AA105</f>
        <v>0</v>
      </c>
      <c r="AV114" s="206">
        <f>'DATA INPUT - DETAIL'!AB105</f>
        <v>0</v>
      </c>
      <c r="AW114" s="206">
        <f>'DATA INPUT - DETAIL'!AC105</f>
        <v>0</v>
      </c>
      <c r="AX114" s="206">
        <f t="shared" si="121"/>
        <v>0</v>
      </c>
      <c r="AY114" s="206">
        <f t="shared" si="122"/>
        <v>0</v>
      </c>
      <c r="AZ114" s="206">
        <f t="shared" si="123"/>
        <v>0</v>
      </c>
      <c r="BA114" s="206">
        <f t="shared" si="124"/>
        <v>0</v>
      </c>
      <c r="BB114" s="206">
        <f t="shared" si="125"/>
        <v>0</v>
      </c>
      <c r="BC114" s="206">
        <f t="shared" si="126"/>
        <v>0</v>
      </c>
      <c r="BD114" s="206">
        <f t="shared" si="127"/>
        <v>0</v>
      </c>
      <c r="BE114" s="206">
        <f t="shared" si="128"/>
        <v>0</v>
      </c>
      <c r="BF114" s="206">
        <f t="shared" si="129"/>
        <v>0</v>
      </c>
      <c r="BG114" s="206">
        <f t="shared" si="130"/>
        <v>0</v>
      </c>
      <c r="BH114" s="206">
        <f t="shared" si="131"/>
        <v>0</v>
      </c>
      <c r="BI114" s="206">
        <f t="shared" si="132"/>
        <v>0</v>
      </c>
      <c r="BJ114" s="266">
        <f t="shared" si="133"/>
        <v>0</v>
      </c>
      <c r="BK114" s="266">
        <f t="shared" si="134"/>
        <v>0</v>
      </c>
      <c r="BL114" s="192">
        <f t="shared" si="135"/>
        <v>0</v>
      </c>
      <c r="BM114" s="192">
        <f t="shared" si="136"/>
        <v>0</v>
      </c>
      <c r="BN114" s="192">
        <f t="shared" si="137"/>
        <v>0</v>
      </c>
      <c r="BO114" s="192">
        <f t="shared" si="138"/>
        <v>0</v>
      </c>
      <c r="BP114" s="192">
        <f t="shared" si="139"/>
        <v>0</v>
      </c>
      <c r="BQ114" s="193">
        <f t="shared" si="140"/>
        <v>0</v>
      </c>
      <c r="BR114" s="193">
        <f t="shared" si="141"/>
        <v>0</v>
      </c>
      <c r="BS114" s="265">
        <f t="shared" si="145"/>
        <v>0</v>
      </c>
      <c r="BT114" s="265">
        <f t="shared" si="146"/>
        <v>0</v>
      </c>
      <c r="BU114" s="265">
        <f t="shared" si="147"/>
        <v>0</v>
      </c>
      <c r="BV114" s="265">
        <f t="shared" si="148"/>
        <v>0</v>
      </c>
      <c r="BW114" s="265">
        <f t="shared" si="149"/>
        <v>0</v>
      </c>
      <c r="BX114" s="265">
        <f t="shared" si="150"/>
        <v>0</v>
      </c>
      <c r="BY114" s="265">
        <f t="shared" si="151"/>
        <v>0</v>
      </c>
      <c r="BZ114" s="265">
        <f t="shared" si="152"/>
        <v>0</v>
      </c>
      <c r="CA114" s="265">
        <f t="shared" si="153"/>
        <v>0</v>
      </c>
      <c r="CB114" s="269">
        <f t="shared" si="154"/>
        <v>0</v>
      </c>
      <c r="CC114" s="266">
        <f t="shared" si="155"/>
        <v>0</v>
      </c>
      <c r="CD114" s="241"/>
      <c r="CE114" s="198">
        <f t="shared" si="142"/>
        <v>1.1126271074347526E-10</v>
      </c>
      <c r="CF114" s="198">
        <f t="shared" si="156"/>
        <v>0</v>
      </c>
      <c r="CG114" s="198">
        <f t="shared" si="157"/>
        <v>0</v>
      </c>
      <c r="CH114" s="198">
        <f t="shared" si="158"/>
        <v>0</v>
      </c>
      <c r="CI114" s="198">
        <f t="shared" si="159"/>
        <v>0</v>
      </c>
      <c r="CJ114" s="198">
        <f t="shared" si="160"/>
        <v>0</v>
      </c>
      <c r="CK114" s="198">
        <f t="shared" si="161"/>
        <v>0</v>
      </c>
      <c r="CL114" s="198">
        <f t="shared" si="162"/>
        <v>4.8605068622044674E-13</v>
      </c>
      <c r="CM114" s="271">
        <f t="shared" si="163"/>
        <v>0</v>
      </c>
      <c r="CN114" s="198">
        <f t="shared" si="164"/>
        <v>1.1174876142969571E-10</v>
      </c>
      <c r="CO114" s="209">
        <f t="shared" si="143"/>
        <v>1.1126271074347526E-10</v>
      </c>
    </row>
    <row r="115" spans="2:93" x14ac:dyDescent="0.2">
      <c r="B115" s="221">
        <f>'DATA INPUT - DETAIL'!D106</f>
        <v>0</v>
      </c>
      <c r="C115" s="211">
        <f>'DATA INPUT - DETAIL'!E106</f>
        <v>0</v>
      </c>
      <c r="D115" s="257">
        <f>'DATA INPUT - DETAIL'!I106</f>
        <v>0</v>
      </c>
      <c r="E115" s="258">
        <f>'DATA INPUT - DETAIL'!K106</f>
        <v>0</v>
      </c>
      <c r="F115" s="258">
        <f>'DATA INPUT - DETAIL'!L106</f>
        <v>0</v>
      </c>
      <c r="G115" s="179">
        <f>'DATA INPUT - DETAIL'!M106*(1+$V$5)</f>
        <v>0</v>
      </c>
      <c r="H115" s="179">
        <f>'DATA INPUT - DETAIL'!N106*(1+$V$5)</f>
        <v>0</v>
      </c>
      <c r="I115" s="258">
        <f t="shared" si="100"/>
        <v>0</v>
      </c>
      <c r="J115" s="258">
        <f>'DATA INPUT - DETAIL'!O106</f>
        <v>0</v>
      </c>
      <c r="K115" s="258">
        <f>'DATA INPUT - DETAIL'!P106</f>
        <v>0</v>
      </c>
      <c r="L115" s="267">
        <f>ROUNDDOWN('DATA INPUT - DETAIL'!G106,0)</f>
        <v>0</v>
      </c>
      <c r="M115" s="196">
        <f t="shared" si="165"/>
        <v>0</v>
      </c>
      <c r="N115" s="196">
        <f t="shared" si="101"/>
        <v>0</v>
      </c>
      <c r="O115" s="196">
        <f t="shared" si="102"/>
        <v>0</v>
      </c>
      <c r="P115" s="196">
        <f t="shared" si="103"/>
        <v>0</v>
      </c>
      <c r="Q115" s="196">
        <f t="shared" si="104"/>
        <v>0</v>
      </c>
      <c r="R115" s="196">
        <f t="shared" si="105"/>
        <v>0</v>
      </c>
      <c r="S115" s="196">
        <f t="shared" si="106"/>
        <v>0</v>
      </c>
      <c r="T115" s="196">
        <f t="shared" si="107"/>
        <v>0</v>
      </c>
      <c r="U115" s="185">
        <f>(C115&gt;0)*(C115&lt;$E$5)*VLOOKUP(MPP,ASUMSI!$BN$77:$CR$108,B115+1)*(1+$V$4)</f>
        <v>0</v>
      </c>
      <c r="V115" s="196">
        <f t="shared" si="108"/>
        <v>0</v>
      </c>
      <c r="W115" s="196">
        <f t="shared" si="109"/>
        <v>0</v>
      </c>
      <c r="X115" s="196">
        <f t="shared" si="110"/>
        <v>0</v>
      </c>
      <c r="Y115" s="196">
        <f t="shared" si="111"/>
        <v>0</v>
      </c>
      <c r="Z115" s="196">
        <f t="shared" si="112"/>
        <v>0</v>
      </c>
      <c r="AA115" s="185">
        <f t="shared" si="113"/>
        <v>0</v>
      </c>
      <c r="AB115" s="196">
        <f t="shared" si="114"/>
        <v>0</v>
      </c>
      <c r="AC115" s="196">
        <f t="shared" si="114"/>
        <v>0</v>
      </c>
      <c r="AD115" s="196">
        <f t="shared" si="114"/>
        <v>0</v>
      </c>
      <c r="AE115" s="196">
        <f t="shared" si="115"/>
        <v>0</v>
      </c>
      <c r="AF115" s="196">
        <f t="shared" si="116"/>
        <v>0</v>
      </c>
      <c r="AG115" s="196">
        <f t="shared" si="117"/>
        <v>0</v>
      </c>
      <c r="AH115" s="196">
        <f t="shared" si="118"/>
        <v>0</v>
      </c>
      <c r="AI115" s="266">
        <f>'DATA INPUT - DETAIL'!R106</f>
        <v>0</v>
      </c>
      <c r="AJ115" s="266">
        <f>'DATA INPUT - DETAIL'!S106</f>
        <v>0</v>
      </c>
      <c r="AK115" s="266">
        <f>'DATA INPUT - DETAIL'!T106</f>
        <v>0</v>
      </c>
      <c r="AL115" s="266">
        <f>'DATA INPUT - DETAIL'!U106</f>
        <v>0</v>
      </c>
      <c r="AM115" s="266">
        <f>'DATA INPUT - DETAIL'!V106</f>
        <v>0</v>
      </c>
      <c r="AN115" s="266">
        <f>'DATA INPUT - DETAIL'!W106</f>
        <v>0</v>
      </c>
      <c r="AO115" s="198">
        <f t="shared" si="119"/>
        <v>0</v>
      </c>
      <c r="AP115" s="266">
        <f>'DATA INPUT - DETAIL'!X106</f>
        <v>0</v>
      </c>
      <c r="AQ115" s="266">
        <f>'DATA INPUT - DETAIL'!Y106</f>
        <v>0</v>
      </c>
      <c r="AR115" s="266">
        <f>'DATA INPUT - DETAIL'!Z106</f>
        <v>0</v>
      </c>
      <c r="AS115" s="266">
        <f>'DATA INPUT - DETAIL'!AD106</f>
        <v>0</v>
      </c>
      <c r="AT115" s="266">
        <f t="shared" si="120"/>
        <v>0</v>
      </c>
      <c r="AU115" s="206">
        <f>'DATA INPUT - DETAIL'!AA106</f>
        <v>0</v>
      </c>
      <c r="AV115" s="206">
        <f>'DATA INPUT - DETAIL'!AB106</f>
        <v>0</v>
      </c>
      <c r="AW115" s="206">
        <f>'DATA INPUT - DETAIL'!AC106</f>
        <v>0</v>
      </c>
      <c r="AX115" s="206">
        <f t="shared" si="121"/>
        <v>0</v>
      </c>
      <c r="AY115" s="206">
        <f t="shared" si="122"/>
        <v>0</v>
      </c>
      <c r="AZ115" s="206">
        <f t="shared" si="123"/>
        <v>0</v>
      </c>
      <c r="BA115" s="206">
        <f t="shared" si="124"/>
        <v>0</v>
      </c>
      <c r="BB115" s="206">
        <f t="shared" si="125"/>
        <v>0</v>
      </c>
      <c r="BC115" s="206">
        <f t="shared" si="126"/>
        <v>0</v>
      </c>
      <c r="BD115" s="206">
        <f t="shared" si="127"/>
        <v>0</v>
      </c>
      <c r="BE115" s="206">
        <f t="shared" si="128"/>
        <v>0</v>
      </c>
      <c r="BF115" s="206">
        <f t="shared" si="129"/>
        <v>0</v>
      </c>
      <c r="BG115" s="206">
        <f t="shared" si="130"/>
        <v>0</v>
      </c>
      <c r="BH115" s="206">
        <f t="shared" si="131"/>
        <v>0</v>
      </c>
      <c r="BI115" s="206">
        <f t="shared" si="132"/>
        <v>0</v>
      </c>
      <c r="BJ115" s="266">
        <f t="shared" si="133"/>
        <v>0</v>
      </c>
      <c r="BK115" s="266">
        <f t="shared" si="134"/>
        <v>0</v>
      </c>
      <c r="BL115" s="192">
        <f t="shared" si="135"/>
        <v>0</v>
      </c>
      <c r="BM115" s="192">
        <f t="shared" si="136"/>
        <v>0</v>
      </c>
      <c r="BN115" s="192">
        <f t="shared" si="137"/>
        <v>0</v>
      </c>
      <c r="BO115" s="192">
        <f t="shared" si="138"/>
        <v>0</v>
      </c>
      <c r="BP115" s="192">
        <f t="shared" si="139"/>
        <v>0</v>
      </c>
      <c r="BQ115" s="193">
        <f t="shared" si="140"/>
        <v>0</v>
      </c>
      <c r="BR115" s="193">
        <f t="shared" si="141"/>
        <v>0</v>
      </c>
      <c r="BS115" s="265">
        <f t="shared" si="145"/>
        <v>0</v>
      </c>
      <c r="BT115" s="265">
        <f t="shared" si="146"/>
        <v>0</v>
      </c>
      <c r="BU115" s="265">
        <f t="shared" si="147"/>
        <v>0</v>
      </c>
      <c r="BV115" s="265">
        <f t="shared" si="148"/>
        <v>0</v>
      </c>
      <c r="BW115" s="265">
        <f t="shared" si="149"/>
        <v>0</v>
      </c>
      <c r="BX115" s="265">
        <f t="shared" si="150"/>
        <v>0</v>
      </c>
      <c r="BY115" s="265">
        <f t="shared" si="151"/>
        <v>0</v>
      </c>
      <c r="BZ115" s="265">
        <f t="shared" si="152"/>
        <v>0</v>
      </c>
      <c r="CA115" s="265">
        <f t="shared" si="153"/>
        <v>0</v>
      </c>
      <c r="CB115" s="269">
        <f t="shared" si="154"/>
        <v>0</v>
      </c>
      <c r="CC115" s="266">
        <f t="shared" si="155"/>
        <v>0</v>
      </c>
      <c r="CD115" s="241"/>
      <c r="CE115" s="198">
        <f t="shared" si="142"/>
        <v>1.1174876142969571E-10</v>
      </c>
      <c r="CF115" s="198">
        <f t="shared" si="156"/>
        <v>0</v>
      </c>
      <c r="CG115" s="198">
        <f t="shared" si="157"/>
        <v>0</v>
      </c>
      <c r="CH115" s="198">
        <f t="shared" si="158"/>
        <v>0</v>
      </c>
      <c r="CI115" s="198">
        <f t="shared" si="159"/>
        <v>0</v>
      </c>
      <c r="CJ115" s="198">
        <f t="shared" si="160"/>
        <v>0</v>
      </c>
      <c r="CK115" s="198">
        <f t="shared" si="161"/>
        <v>0</v>
      </c>
      <c r="CL115" s="198">
        <f t="shared" si="162"/>
        <v>4.8817399660895643E-13</v>
      </c>
      <c r="CM115" s="271">
        <f t="shared" si="163"/>
        <v>0</v>
      </c>
      <c r="CN115" s="198">
        <f t="shared" si="164"/>
        <v>1.1223693542630467E-10</v>
      </c>
      <c r="CO115" s="209">
        <f t="shared" si="143"/>
        <v>1.1174876142969571E-10</v>
      </c>
    </row>
    <row r="116" spans="2:93" x14ac:dyDescent="0.2">
      <c r="B116" s="221">
        <f>'DATA INPUT - DETAIL'!D107</f>
        <v>0</v>
      </c>
      <c r="C116" s="211">
        <f>'DATA INPUT - DETAIL'!E107</f>
        <v>0</v>
      </c>
      <c r="D116" s="257">
        <f>'DATA INPUT - DETAIL'!I107</f>
        <v>0</v>
      </c>
      <c r="E116" s="258">
        <f>'DATA INPUT - DETAIL'!K107</f>
        <v>0</v>
      </c>
      <c r="F116" s="258">
        <f>'DATA INPUT - DETAIL'!L107</f>
        <v>0</v>
      </c>
      <c r="G116" s="179">
        <f>'DATA INPUT - DETAIL'!M107*(1+$V$5)</f>
        <v>0</v>
      </c>
      <c r="H116" s="179">
        <f>'DATA INPUT - DETAIL'!N107*(1+$V$5)</f>
        <v>0</v>
      </c>
      <c r="I116" s="258">
        <f t="shared" si="100"/>
        <v>0</v>
      </c>
      <c r="J116" s="258">
        <f>'DATA INPUT - DETAIL'!O107</f>
        <v>0</v>
      </c>
      <c r="K116" s="258">
        <f>'DATA INPUT - DETAIL'!P107</f>
        <v>0</v>
      </c>
      <c r="L116" s="267">
        <f>ROUNDDOWN('DATA INPUT - DETAIL'!G107,0)</f>
        <v>0</v>
      </c>
      <c r="M116" s="196">
        <f t="shared" si="165"/>
        <v>0</v>
      </c>
      <c r="N116" s="196">
        <f t="shared" si="101"/>
        <v>0</v>
      </c>
      <c r="O116" s="196">
        <f t="shared" si="102"/>
        <v>0</v>
      </c>
      <c r="P116" s="196">
        <f t="shared" si="103"/>
        <v>0</v>
      </c>
      <c r="Q116" s="196">
        <f t="shared" si="104"/>
        <v>0</v>
      </c>
      <c r="R116" s="196">
        <f t="shared" si="105"/>
        <v>0</v>
      </c>
      <c r="S116" s="196">
        <f t="shared" si="106"/>
        <v>0</v>
      </c>
      <c r="T116" s="196">
        <f t="shared" si="107"/>
        <v>0</v>
      </c>
      <c r="U116" s="185">
        <f>(C116&gt;0)*(C116&lt;$E$5)*VLOOKUP(MPP,ASUMSI!$BN$77:$CR$108,B116+1)*(1+$V$4)</f>
        <v>0</v>
      </c>
      <c r="V116" s="196">
        <f t="shared" si="108"/>
        <v>0</v>
      </c>
      <c r="W116" s="196">
        <f t="shared" si="109"/>
        <v>0</v>
      </c>
      <c r="X116" s="196">
        <f t="shared" si="110"/>
        <v>0</v>
      </c>
      <c r="Y116" s="196">
        <f t="shared" si="111"/>
        <v>0</v>
      </c>
      <c r="Z116" s="196">
        <f t="shared" si="112"/>
        <v>0</v>
      </c>
      <c r="AA116" s="185">
        <f t="shared" si="113"/>
        <v>0</v>
      </c>
      <c r="AB116" s="196">
        <f t="shared" si="114"/>
        <v>0</v>
      </c>
      <c r="AC116" s="196">
        <f t="shared" si="114"/>
        <v>0</v>
      </c>
      <c r="AD116" s="196">
        <f t="shared" si="114"/>
        <v>0</v>
      </c>
      <c r="AE116" s="196">
        <f t="shared" si="115"/>
        <v>0</v>
      </c>
      <c r="AF116" s="196">
        <f t="shared" si="116"/>
        <v>0</v>
      </c>
      <c r="AG116" s="196">
        <f t="shared" si="117"/>
        <v>0</v>
      </c>
      <c r="AH116" s="196">
        <f t="shared" si="118"/>
        <v>0</v>
      </c>
      <c r="AI116" s="266">
        <f>'DATA INPUT - DETAIL'!R107</f>
        <v>0</v>
      </c>
      <c r="AJ116" s="266">
        <f>'DATA INPUT - DETAIL'!S107</f>
        <v>0</v>
      </c>
      <c r="AK116" s="266">
        <f>'DATA INPUT - DETAIL'!T107</f>
        <v>0</v>
      </c>
      <c r="AL116" s="266">
        <f>'DATA INPUT - DETAIL'!U107</f>
        <v>0</v>
      </c>
      <c r="AM116" s="266">
        <f>'DATA INPUT - DETAIL'!V107</f>
        <v>0</v>
      </c>
      <c r="AN116" s="266">
        <f>'DATA INPUT - DETAIL'!W107</f>
        <v>0</v>
      </c>
      <c r="AO116" s="198">
        <f t="shared" si="119"/>
        <v>0</v>
      </c>
      <c r="AP116" s="266">
        <f>'DATA INPUT - DETAIL'!X107</f>
        <v>0</v>
      </c>
      <c r="AQ116" s="266">
        <f>'DATA INPUT - DETAIL'!Y107</f>
        <v>0</v>
      </c>
      <c r="AR116" s="266">
        <f>'DATA INPUT - DETAIL'!Z107</f>
        <v>0</v>
      </c>
      <c r="AS116" s="266">
        <f>'DATA INPUT - DETAIL'!AD107</f>
        <v>0</v>
      </c>
      <c r="AT116" s="266">
        <f t="shared" si="120"/>
        <v>0</v>
      </c>
      <c r="AU116" s="206">
        <f>'DATA INPUT - DETAIL'!AA107</f>
        <v>0</v>
      </c>
      <c r="AV116" s="206">
        <f>'DATA INPUT - DETAIL'!AB107</f>
        <v>0</v>
      </c>
      <c r="AW116" s="206">
        <f>'DATA INPUT - DETAIL'!AC107</f>
        <v>0</v>
      </c>
      <c r="AX116" s="206">
        <f t="shared" si="121"/>
        <v>0</v>
      </c>
      <c r="AY116" s="206">
        <f t="shared" si="122"/>
        <v>0</v>
      </c>
      <c r="AZ116" s="206">
        <f t="shared" si="123"/>
        <v>0</v>
      </c>
      <c r="BA116" s="206">
        <f t="shared" si="124"/>
        <v>0</v>
      </c>
      <c r="BB116" s="206">
        <f t="shared" si="125"/>
        <v>0</v>
      </c>
      <c r="BC116" s="206">
        <f t="shared" si="126"/>
        <v>0</v>
      </c>
      <c r="BD116" s="206">
        <f t="shared" si="127"/>
        <v>0</v>
      </c>
      <c r="BE116" s="206">
        <f t="shared" si="128"/>
        <v>0</v>
      </c>
      <c r="BF116" s="206">
        <f t="shared" si="129"/>
        <v>0</v>
      </c>
      <c r="BG116" s="206">
        <f t="shared" si="130"/>
        <v>0</v>
      </c>
      <c r="BH116" s="206">
        <f t="shared" si="131"/>
        <v>0</v>
      </c>
      <c r="BI116" s="206">
        <f t="shared" si="132"/>
        <v>0</v>
      </c>
      <c r="BJ116" s="266">
        <f t="shared" si="133"/>
        <v>0</v>
      </c>
      <c r="BK116" s="266">
        <f t="shared" si="134"/>
        <v>0</v>
      </c>
      <c r="BL116" s="192">
        <f t="shared" si="135"/>
        <v>0</v>
      </c>
      <c r="BM116" s="192">
        <f t="shared" si="136"/>
        <v>0</v>
      </c>
      <c r="BN116" s="192">
        <f t="shared" si="137"/>
        <v>0</v>
      </c>
      <c r="BO116" s="192">
        <f t="shared" si="138"/>
        <v>0</v>
      </c>
      <c r="BP116" s="192">
        <f t="shared" si="139"/>
        <v>0</v>
      </c>
      <c r="BQ116" s="193">
        <f t="shared" si="140"/>
        <v>0</v>
      </c>
      <c r="BR116" s="193">
        <f t="shared" si="141"/>
        <v>0</v>
      </c>
      <c r="BS116" s="265">
        <f t="shared" si="145"/>
        <v>0</v>
      </c>
      <c r="BT116" s="265">
        <f t="shared" si="146"/>
        <v>0</v>
      </c>
      <c r="BU116" s="265">
        <f t="shared" si="147"/>
        <v>0</v>
      </c>
      <c r="BV116" s="265">
        <f t="shared" si="148"/>
        <v>0</v>
      </c>
      <c r="BW116" s="265">
        <f t="shared" si="149"/>
        <v>0</v>
      </c>
      <c r="BX116" s="265">
        <f t="shared" si="150"/>
        <v>0</v>
      </c>
      <c r="BY116" s="265">
        <f t="shared" si="151"/>
        <v>0</v>
      </c>
      <c r="BZ116" s="265">
        <f t="shared" si="152"/>
        <v>0</v>
      </c>
      <c r="CA116" s="265">
        <f t="shared" si="153"/>
        <v>0</v>
      </c>
      <c r="CB116" s="269">
        <f t="shared" si="154"/>
        <v>0</v>
      </c>
      <c r="CC116" s="266">
        <f t="shared" si="155"/>
        <v>0</v>
      </c>
      <c r="CD116" s="241"/>
      <c r="CE116" s="198">
        <f t="shared" si="142"/>
        <v>1.1223693542630467E-10</v>
      </c>
      <c r="CF116" s="198">
        <f t="shared" si="156"/>
        <v>0</v>
      </c>
      <c r="CG116" s="198">
        <f t="shared" si="157"/>
        <v>0</v>
      </c>
      <c r="CH116" s="198">
        <f t="shared" si="158"/>
        <v>0</v>
      </c>
      <c r="CI116" s="198">
        <f t="shared" si="159"/>
        <v>0</v>
      </c>
      <c r="CJ116" s="198">
        <f t="shared" si="160"/>
        <v>0</v>
      </c>
      <c r="CK116" s="198">
        <f t="shared" si="161"/>
        <v>0</v>
      </c>
      <c r="CL116" s="198">
        <f t="shared" si="162"/>
        <v>4.9030658267001173E-13</v>
      </c>
      <c r="CM116" s="271">
        <f t="shared" si="163"/>
        <v>0</v>
      </c>
      <c r="CN116" s="198">
        <f t="shared" si="164"/>
        <v>1.1272724200897468E-10</v>
      </c>
      <c r="CO116" s="209">
        <f t="shared" si="143"/>
        <v>1.1223693542630467E-10</v>
      </c>
    </row>
    <row r="117" spans="2:93" x14ac:dyDescent="0.2">
      <c r="B117" s="221">
        <f>'DATA INPUT - DETAIL'!D108</f>
        <v>0</v>
      </c>
      <c r="C117" s="211">
        <f>'DATA INPUT - DETAIL'!E108</f>
        <v>0</v>
      </c>
      <c r="D117" s="257">
        <f>'DATA INPUT - DETAIL'!I108</f>
        <v>0</v>
      </c>
      <c r="E117" s="258">
        <f>'DATA INPUT - DETAIL'!K108</f>
        <v>0</v>
      </c>
      <c r="F117" s="258">
        <f>'DATA INPUT - DETAIL'!L108</f>
        <v>0</v>
      </c>
      <c r="G117" s="179">
        <f>'DATA INPUT - DETAIL'!M108*(1+$V$5)</f>
        <v>0</v>
      </c>
      <c r="H117" s="179">
        <f>'DATA INPUT - DETAIL'!N108*(1+$V$5)</f>
        <v>0</v>
      </c>
      <c r="I117" s="258">
        <f t="shared" si="100"/>
        <v>0</v>
      </c>
      <c r="J117" s="258">
        <f>'DATA INPUT - DETAIL'!O108</f>
        <v>0</v>
      </c>
      <c r="K117" s="258">
        <f>'DATA INPUT - DETAIL'!P108</f>
        <v>0</v>
      </c>
      <c r="L117" s="267">
        <f>ROUNDDOWN('DATA INPUT - DETAIL'!G108,0)</f>
        <v>0</v>
      </c>
      <c r="M117" s="196">
        <f t="shared" si="165"/>
        <v>0</v>
      </c>
      <c r="N117" s="196">
        <f t="shared" si="101"/>
        <v>0</v>
      </c>
      <c r="O117" s="196">
        <f t="shared" si="102"/>
        <v>0</v>
      </c>
      <c r="P117" s="196">
        <f t="shared" si="103"/>
        <v>0</v>
      </c>
      <c r="Q117" s="196">
        <f t="shared" si="104"/>
        <v>0</v>
      </c>
      <c r="R117" s="196">
        <f t="shared" si="105"/>
        <v>0</v>
      </c>
      <c r="S117" s="196">
        <f t="shared" si="106"/>
        <v>0</v>
      </c>
      <c r="T117" s="196">
        <f t="shared" si="107"/>
        <v>0</v>
      </c>
      <c r="U117" s="185">
        <f>(C117&gt;0)*(C117&lt;$E$5)*VLOOKUP(MPP,ASUMSI!$BN$77:$CR$108,B117+1)*(1+$V$4)</f>
        <v>0</v>
      </c>
      <c r="V117" s="196">
        <f t="shared" si="108"/>
        <v>0</v>
      </c>
      <c r="W117" s="196">
        <f t="shared" si="109"/>
        <v>0</v>
      </c>
      <c r="X117" s="196">
        <f t="shared" si="110"/>
        <v>0</v>
      </c>
      <c r="Y117" s="196">
        <f t="shared" si="111"/>
        <v>0</v>
      </c>
      <c r="Z117" s="196">
        <f t="shared" si="112"/>
        <v>0</v>
      </c>
      <c r="AA117" s="185">
        <f t="shared" si="113"/>
        <v>0</v>
      </c>
      <c r="AB117" s="196">
        <f t="shared" si="114"/>
        <v>0</v>
      </c>
      <c r="AC117" s="196">
        <f t="shared" si="114"/>
        <v>0</v>
      </c>
      <c r="AD117" s="196">
        <f t="shared" si="114"/>
        <v>0</v>
      </c>
      <c r="AE117" s="196">
        <f t="shared" si="115"/>
        <v>0</v>
      </c>
      <c r="AF117" s="196">
        <f t="shared" si="116"/>
        <v>0</v>
      </c>
      <c r="AG117" s="196">
        <f t="shared" si="117"/>
        <v>0</v>
      </c>
      <c r="AH117" s="196">
        <f t="shared" si="118"/>
        <v>0</v>
      </c>
      <c r="AI117" s="266">
        <f>'DATA INPUT - DETAIL'!R108</f>
        <v>0</v>
      </c>
      <c r="AJ117" s="266">
        <f>'DATA INPUT - DETAIL'!S108</f>
        <v>0</v>
      </c>
      <c r="AK117" s="266">
        <f>'DATA INPUT - DETAIL'!T108</f>
        <v>0</v>
      </c>
      <c r="AL117" s="266">
        <f>'DATA INPUT - DETAIL'!U108</f>
        <v>0</v>
      </c>
      <c r="AM117" s="266">
        <f>'DATA INPUT - DETAIL'!V108</f>
        <v>0</v>
      </c>
      <c r="AN117" s="266">
        <f>'DATA INPUT - DETAIL'!W108</f>
        <v>0</v>
      </c>
      <c r="AO117" s="198">
        <f t="shared" si="119"/>
        <v>0</v>
      </c>
      <c r="AP117" s="266">
        <f>'DATA INPUT - DETAIL'!X108</f>
        <v>0</v>
      </c>
      <c r="AQ117" s="266">
        <f>'DATA INPUT - DETAIL'!Y108</f>
        <v>0</v>
      </c>
      <c r="AR117" s="266">
        <f>'DATA INPUT - DETAIL'!Z108</f>
        <v>0</v>
      </c>
      <c r="AS117" s="266">
        <f>'DATA INPUT - DETAIL'!AD108</f>
        <v>0</v>
      </c>
      <c r="AT117" s="266">
        <f t="shared" si="120"/>
        <v>0</v>
      </c>
      <c r="AU117" s="206">
        <f>'DATA INPUT - DETAIL'!AA108</f>
        <v>0</v>
      </c>
      <c r="AV117" s="206">
        <f>'DATA INPUT - DETAIL'!AB108</f>
        <v>0</v>
      </c>
      <c r="AW117" s="206">
        <f>'DATA INPUT - DETAIL'!AC108</f>
        <v>0</v>
      </c>
      <c r="AX117" s="206">
        <f t="shared" si="121"/>
        <v>0</v>
      </c>
      <c r="AY117" s="206">
        <f t="shared" si="122"/>
        <v>0</v>
      </c>
      <c r="AZ117" s="206">
        <f t="shared" si="123"/>
        <v>0</v>
      </c>
      <c r="BA117" s="206">
        <f t="shared" si="124"/>
        <v>0</v>
      </c>
      <c r="BB117" s="206">
        <f t="shared" si="125"/>
        <v>0</v>
      </c>
      <c r="BC117" s="206">
        <f t="shared" si="126"/>
        <v>0</v>
      </c>
      <c r="BD117" s="206">
        <f t="shared" si="127"/>
        <v>0</v>
      </c>
      <c r="BE117" s="206">
        <f t="shared" si="128"/>
        <v>0</v>
      </c>
      <c r="BF117" s="206">
        <f t="shared" si="129"/>
        <v>0</v>
      </c>
      <c r="BG117" s="206">
        <f t="shared" si="130"/>
        <v>0</v>
      </c>
      <c r="BH117" s="206">
        <f t="shared" si="131"/>
        <v>0</v>
      </c>
      <c r="BI117" s="206">
        <f t="shared" si="132"/>
        <v>0</v>
      </c>
      <c r="BJ117" s="266">
        <f t="shared" si="133"/>
        <v>0</v>
      </c>
      <c r="BK117" s="266">
        <f t="shared" si="134"/>
        <v>0</v>
      </c>
      <c r="BL117" s="192">
        <f t="shared" si="135"/>
        <v>0</v>
      </c>
      <c r="BM117" s="192">
        <f t="shared" si="136"/>
        <v>0</v>
      </c>
      <c r="BN117" s="192">
        <f t="shared" si="137"/>
        <v>0</v>
      </c>
      <c r="BO117" s="192">
        <f t="shared" si="138"/>
        <v>0</v>
      </c>
      <c r="BP117" s="192">
        <f t="shared" si="139"/>
        <v>0</v>
      </c>
      <c r="BQ117" s="193">
        <f t="shared" si="140"/>
        <v>0</v>
      </c>
      <c r="BR117" s="193">
        <f t="shared" si="141"/>
        <v>0</v>
      </c>
      <c r="BS117" s="265">
        <f t="shared" si="145"/>
        <v>0</v>
      </c>
      <c r="BT117" s="265">
        <f t="shared" si="146"/>
        <v>0</v>
      </c>
      <c r="BU117" s="265">
        <f t="shared" si="147"/>
        <v>0</v>
      </c>
      <c r="BV117" s="265">
        <f t="shared" si="148"/>
        <v>0</v>
      </c>
      <c r="BW117" s="265">
        <f t="shared" si="149"/>
        <v>0</v>
      </c>
      <c r="BX117" s="265">
        <f t="shared" si="150"/>
        <v>0</v>
      </c>
      <c r="BY117" s="265">
        <f t="shared" si="151"/>
        <v>0</v>
      </c>
      <c r="BZ117" s="265">
        <f t="shared" si="152"/>
        <v>0</v>
      </c>
      <c r="CA117" s="265">
        <f t="shared" si="153"/>
        <v>0</v>
      </c>
      <c r="CB117" s="269">
        <f t="shared" si="154"/>
        <v>0</v>
      </c>
      <c r="CC117" s="266">
        <f t="shared" si="155"/>
        <v>0</v>
      </c>
      <c r="CD117" s="241"/>
      <c r="CE117" s="198">
        <f t="shared" si="142"/>
        <v>1.1272724200897468E-10</v>
      </c>
      <c r="CF117" s="198">
        <f t="shared" si="156"/>
        <v>0</v>
      </c>
      <c r="CG117" s="198">
        <f t="shared" si="157"/>
        <v>0</v>
      </c>
      <c r="CH117" s="198">
        <f t="shared" si="158"/>
        <v>0</v>
      </c>
      <c r="CI117" s="198">
        <f t="shared" si="159"/>
        <v>0</v>
      </c>
      <c r="CJ117" s="198">
        <f t="shared" si="160"/>
        <v>0</v>
      </c>
      <c r="CK117" s="198">
        <f t="shared" si="161"/>
        <v>0</v>
      </c>
      <c r="CL117" s="198">
        <f t="shared" si="162"/>
        <v>4.9244848492434933E-13</v>
      </c>
      <c r="CM117" s="271">
        <f t="shared" si="163"/>
        <v>0</v>
      </c>
      <c r="CN117" s="198">
        <f t="shared" si="164"/>
        <v>1.1321969049389904E-10</v>
      </c>
      <c r="CO117" s="209">
        <f t="shared" si="143"/>
        <v>1.1272724200897468E-10</v>
      </c>
    </row>
    <row r="118" spans="2:93" x14ac:dyDescent="0.2">
      <c r="B118" s="221">
        <f>'DATA INPUT - DETAIL'!D109</f>
        <v>0</v>
      </c>
      <c r="C118" s="211">
        <f>'DATA INPUT - DETAIL'!E109</f>
        <v>0</v>
      </c>
      <c r="D118" s="257">
        <f>'DATA INPUT - DETAIL'!I109</f>
        <v>0</v>
      </c>
      <c r="E118" s="258">
        <f>'DATA INPUT - DETAIL'!K109</f>
        <v>0</v>
      </c>
      <c r="F118" s="258">
        <f>'DATA INPUT - DETAIL'!L109</f>
        <v>0</v>
      </c>
      <c r="G118" s="179">
        <f>'DATA INPUT - DETAIL'!M109*(1+$V$5)</f>
        <v>0</v>
      </c>
      <c r="H118" s="179">
        <f>'DATA INPUT - DETAIL'!N109*(1+$V$5)</f>
        <v>0</v>
      </c>
      <c r="I118" s="258">
        <f t="shared" si="100"/>
        <v>0</v>
      </c>
      <c r="J118" s="258">
        <f>'DATA INPUT - DETAIL'!O109</f>
        <v>0</v>
      </c>
      <c r="K118" s="258">
        <f>'DATA INPUT - DETAIL'!P109</f>
        <v>0</v>
      </c>
      <c r="L118" s="267">
        <f>ROUNDDOWN('DATA INPUT - DETAIL'!G109,0)</f>
        <v>0</v>
      </c>
      <c r="M118" s="196">
        <f t="shared" si="165"/>
        <v>0</v>
      </c>
      <c r="N118" s="196">
        <f t="shared" si="101"/>
        <v>0</v>
      </c>
      <c r="O118" s="196">
        <f t="shared" si="102"/>
        <v>0</v>
      </c>
      <c r="P118" s="196">
        <f t="shared" si="103"/>
        <v>0</v>
      </c>
      <c r="Q118" s="196">
        <f t="shared" si="104"/>
        <v>0</v>
      </c>
      <c r="R118" s="196">
        <f t="shared" si="105"/>
        <v>0</v>
      </c>
      <c r="S118" s="196">
        <f t="shared" si="106"/>
        <v>0</v>
      </c>
      <c r="T118" s="196">
        <f t="shared" si="107"/>
        <v>0</v>
      </c>
      <c r="U118" s="185">
        <f>(C118&gt;0)*(C118&lt;$E$5)*VLOOKUP(MPP,ASUMSI!$BN$77:$CR$108,B118+1)*(1+$V$4)</f>
        <v>0</v>
      </c>
      <c r="V118" s="196">
        <f t="shared" si="108"/>
        <v>0</v>
      </c>
      <c r="W118" s="196">
        <f t="shared" si="109"/>
        <v>0</v>
      </c>
      <c r="X118" s="196">
        <f t="shared" si="110"/>
        <v>0</v>
      </c>
      <c r="Y118" s="196">
        <f t="shared" si="111"/>
        <v>0</v>
      </c>
      <c r="Z118" s="196">
        <f t="shared" si="112"/>
        <v>0</v>
      </c>
      <c r="AA118" s="185">
        <f t="shared" si="113"/>
        <v>0</v>
      </c>
      <c r="AB118" s="196">
        <f t="shared" si="114"/>
        <v>0</v>
      </c>
      <c r="AC118" s="196">
        <f t="shared" si="114"/>
        <v>0</v>
      </c>
      <c r="AD118" s="196">
        <f t="shared" si="114"/>
        <v>0</v>
      </c>
      <c r="AE118" s="196">
        <f t="shared" si="115"/>
        <v>0</v>
      </c>
      <c r="AF118" s="196">
        <f t="shared" si="116"/>
        <v>0</v>
      </c>
      <c r="AG118" s="196">
        <f t="shared" si="117"/>
        <v>0</v>
      </c>
      <c r="AH118" s="196">
        <f t="shared" si="118"/>
        <v>0</v>
      </c>
      <c r="AI118" s="266">
        <f>'DATA INPUT - DETAIL'!R109</f>
        <v>0</v>
      </c>
      <c r="AJ118" s="266">
        <f>'DATA INPUT - DETAIL'!S109</f>
        <v>0</v>
      </c>
      <c r="AK118" s="266">
        <f>'DATA INPUT - DETAIL'!T109</f>
        <v>0</v>
      </c>
      <c r="AL118" s="266">
        <f>'DATA INPUT - DETAIL'!U109</f>
        <v>0</v>
      </c>
      <c r="AM118" s="266">
        <f>'DATA INPUT - DETAIL'!V109</f>
        <v>0</v>
      </c>
      <c r="AN118" s="266">
        <f>'DATA INPUT - DETAIL'!W109</f>
        <v>0</v>
      </c>
      <c r="AO118" s="198">
        <f t="shared" si="119"/>
        <v>0</v>
      </c>
      <c r="AP118" s="266">
        <f>'DATA INPUT - DETAIL'!X109</f>
        <v>0</v>
      </c>
      <c r="AQ118" s="266">
        <f>'DATA INPUT - DETAIL'!Y109</f>
        <v>0</v>
      </c>
      <c r="AR118" s="266">
        <f>'DATA INPUT - DETAIL'!Z109</f>
        <v>0</v>
      </c>
      <c r="AS118" s="266">
        <f>'DATA INPUT - DETAIL'!AD109</f>
        <v>0</v>
      </c>
      <c r="AT118" s="266">
        <f t="shared" si="120"/>
        <v>0</v>
      </c>
      <c r="AU118" s="206">
        <f>'DATA INPUT - DETAIL'!AA109</f>
        <v>0</v>
      </c>
      <c r="AV118" s="206">
        <f>'DATA INPUT - DETAIL'!AB109</f>
        <v>0</v>
      </c>
      <c r="AW118" s="206">
        <f>'DATA INPUT - DETAIL'!AC109</f>
        <v>0</v>
      </c>
      <c r="AX118" s="206">
        <f t="shared" si="121"/>
        <v>0</v>
      </c>
      <c r="AY118" s="206">
        <f t="shared" si="122"/>
        <v>0</v>
      </c>
      <c r="AZ118" s="206">
        <f t="shared" si="123"/>
        <v>0</v>
      </c>
      <c r="BA118" s="206">
        <f t="shared" si="124"/>
        <v>0</v>
      </c>
      <c r="BB118" s="206">
        <f t="shared" si="125"/>
        <v>0</v>
      </c>
      <c r="BC118" s="206">
        <f t="shared" si="126"/>
        <v>0</v>
      </c>
      <c r="BD118" s="206">
        <f t="shared" si="127"/>
        <v>0</v>
      </c>
      <c r="BE118" s="206">
        <f t="shared" si="128"/>
        <v>0</v>
      </c>
      <c r="BF118" s="206">
        <f t="shared" si="129"/>
        <v>0</v>
      </c>
      <c r="BG118" s="206">
        <f t="shared" si="130"/>
        <v>0</v>
      </c>
      <c r="BH118" s="206">
        <f t="shared" si="131"/>
        <v>0</v>
      </c>
      <c r="BI118" s="206">
        <f t="shared" si="132"/>
        <v>0</v>
      </c>
      <c r="BJ118" s="266">
        <f t="shared" si="133"/>
        <v>0</v>
      </c>
      <c r="BK118" s="266">
        <f t="shared" si="134"/>
        <v>0</v>
      </c>
      <c r="BL118" s="192">
        <f t="shared" si="135"/>
        <v>0</v>
      </c>
      <c r="BM118" s="192">
        <f t="shared" si="136"/>
        <v>0</v>
      </c>
      <c r="BN118" s="192">
        <f t="shared" si="137"/>
        <v>0</v>
      </c>
      <c r="BO118" s="192">
        <f t="shared" si="138"/>
        <v>0</v>
      </c>
      <c r="BP118" s="192">
        <f t="shared" si="139"/>
        <v>0</v>
      </c>
      <c r="BQ118" s="193">
        <f t="shared" si="140"/>
        <v>0</v>
      </c>
      <c r="BR118" s="193">
        <f t="shared" si="141"/>
        <v>0</v>
      </c>
      <c r="BS118" s="265">
        <f t="shared" si="145"/>
        <v>0</v>
      </c>
      <c r="BT118" s="265">
        <f t="shared" si="146"/>
        <v>0</v>
      </c>
      <c r="BU118" s="265">
        <f t="shared" si="147"/>
        <v>0</v>
      </c>
      <c r="BV118" s="265">
        <f t="shared" si="148"/>
        <v>0</v>
      </c>
      <c r="BW118" s="265">
        <f t="shared" si="149"/>
        <v>0</v>
      </c>
      <c r="BX118" s="265">
        <f t="shared" si="150"/>
        <v>0</v>
      </c>
      <c r="BY118" s="265">
        <f t="shared" si="151"/>
        <v>0</v>
      </c>
      <c r="BZ118" s="265">
        <f t="shared" si="152"/>
        <v>0</v>
      </c>
      <c r="CA118" s="265">
        <f t="shared" si="153"/>
        <v>0</v>
      </c>
      <c r="CB118" s="269">
        <f t="shared" si="154"/>
        <v>0</v>
      </c>
      <c r="CC118" s="266">
        <f t="shared" si="155"/>
        <v>0</v>
      </c>
      <c r="CD118" s="241"/>
      <c r="CE118" s="198">
        <f t="shared" si="142"/>
        <v>1.1321969049389904E-10</v>
      </c>
      <c r="CF118" s="198">
        <f t="shared" si="156"/>
        <v>0</v>
      </c>
      <c r="CG118" s="198">
        <f t="shared" si="157"/>
        <v>0</v>
      </c>
      <c r="CH118" s="198">
        <f t="shared" si="158"/>
        <v>0</v>
      </c>
      <c r="CI118" s="198">
        <f t="shared" si="159"/>
        <v>0</v>
      </c>
      <c r="CJ118" s="198">
        <f t="shared" si="160"/>
        <v>0</v>
      </c>
      <c r="CK118" s="198">
        <f t="shared" si="161"/>
        <v>0</v>
      </c>
      <c r="CL118" s="198">
        <f t="shared" si="162"/>
        <v>4.9459974406972054E-13</v>
      </c>
      <c r="CM118" s="271">
        <f t="shared" si="163"/>
        <v>0</v>
      </c>
      <c r="CN118" s="198">
        <f t="shared" si="164"/>
        <v>1.1371429023796876E-10</v>
      </c>
      <c r="CO118" s="209">
        <f t="shared" si="143"/>
        <v>1.1321969049389904E-10</v>
      </c>
    </row>
    <row r="119" spans="2:93" x14ac:dyDescent="0.2">
      <c r="B119" s="221">
        <f>'DATA INPUT - DETAIL'!D110</f>
        <v>0</v>
      </c>
      <c r="C119" s="211">
        <f>'DATA INPUT - DETAIL'!E110</f>
        <v>0</v>
      </c>
      <c r="D119" s="257">
        <f>'DATA INPUT - DETAIL'!I110</f>
        <v>0</v>
      </c>
      <c r="E119" s="258">
        <f>'DATA INPUT - DETAIL'!K110</f>
        <v>0</v>
      </c>
      <c r="F119" s="258">
        <f>'DATA INPUT - DETAIL'!L110</f>
        <v>0</v>
      </c>
      <c r="G119" s="179">
        <f>'DATA INPUT - DETAIL'!M110*(1+$V$5)</f>
        <v>0</v>
      </c>
      <c r="H119" s="179">
        <f>'DATA INPUT - DETAIL'!N110*(1+$V$5)</f>
        <v>0</v>
      </c>
      <c r="I119" s="258">
        <f t="shared" si="100"/>
        <v>0</v>
      </c>
      <c r="J119" s="258">
        <f>'DATA INPUT - DETAIL'!O110</f>
        <v>0</v>
      </c>
      <c r="K119" s="258">
        <f>'DATA INPUT - DETAIL'!P110</f>
        <v>0</v>
      </c>
      <c r="L119" s="267">
        <f>ROUNDDOWN('DATA INPUT - DETAIL'!G110,0)</f>
        <v>0</v>
      </c>
      <c r="M119" s="196">
        <f t="shared" si="165"/>
        <v>0</v>
      </c>
      <c r="N119" s="196">
        <f t="shared" si="101"/>
        <v>0</v>
      </c>
      <c r="O119" s="196">
        <f t="shared" si="102"/>
        <v>0</v>
      </c>
      <c r="P119" s="196">
        <f t="shared" si="103"/>
        <v>0</v>
      </c>
      <c r="Q119" s="196">
        <f t="shared" si="104"/>
        <v>0</v>
      </c>
      <c r="R119" s="196">
        <f t="shared" si="105"/>
        <v>0</v>
      </c>
      <c r="S119" s="196">
        <f t="shared" si="106"/>
        <v>0</v>
      </c>
      <c r="T119" s="196">
        <f t="shared" si="107"/>
        <v>0</v>
      </c>
      <c r="U119" s="185">
        <f>(C119&gt;0)*(C119&lt;$E$5)*VLOOKUP(MPP,ASUMSI!$BN$77:$CR$108,B119+1)*(1+$V$4)</f>
        <v>0</v>
      </c>
      <c r="V119" s="196">
        <f t="shared" si="108"/>
        <v>0</v>
      </c>
      <c r="W119" s="196">
        <f t="shared" si="109"/>
        <v>0</v>
      </c>
      <c r="X119" s="196">
        <f t="shared" si="110"/>
        <v>0</v>
      </c>
      <c r="Y119" s="196">
        <f t="shared" si="111"/>
        <v>0</v>
      </c>
      <c r="Z119" s="196">
        <f t="shared" si="112"/>
        <v>0</v>
      </c>
      <c r="AA119" s="185">
        <f t="shared" si="113"/>
        <v>0</v>
      </c>
      <c r="AB119" s="196">
        <f t="shared" si="114"/>
        <v>0</v>
      </c>
      <c r="AC119" s="196">
        <f t="shared" si="114"/>
        <v>0</v>
      </c>
      <c r="AD119" s="196">
        <f t="shared" si="114"/>
        <v>0</v>
      </c>
      <c r="AE119" s="196">
        <f t="shared" si="115"/>
        <v>0</v>
      </c>
      <c r="AF119" s="196">
        <f t="shared" si="116"/>
        <v>0</v>
      </c>
      <c r="AG119" s="196">
        <f t="shared" si="117"/>
        <v>0</v>
      </c>
      <c r="AH119" s="196">
        <f t="shared" si="118"/>
        <v>0</v>
      </c>
      <c r="AI119" s="266">
        <f>'DATA INPUT - DETAIL'!R110</f>
        <v>0</v>
      </c>
      <c r="AJ119" s="266">
        <f>'DATA INPUT - DETAIL'!S110</f>
        <v>0</v>
      </c>
      <c r="AK119" s="266">
        <f>'DATA INPUT - DETAIL'!T110</f>
        <v>0</v>
      </c>
      <c r="AL119" s="266">
        <f>'DATA INPUT - DETAIL'!U110</f>
        <v>0</v>
      </c>
      <c r="AM119" s="266">
        <f>'DATA INPUT - DETAIL'!V110</f>
        <v>0</v>
      </c>
      <c r="AN119" s="266">
        <f>'DATA INPUT - DETAIL'!W110</f>
        <v>0</v>
      </c>
      <c r="AO119" s="198">
        <f t="shared" si="119"/>
        <v>0</v>
      </c>
      <c r="AP119" s="266">
        <f>'DATA INPUT - DETAIL'!X110</f>
        <v>0</v>
      </c>
      <c r="AQ119" s="266">
        <f>'DATA INPUT - DETAIL'!Y110</f>
        <v>0</v>
      </c>
      <c r="AR119" s="266">
        <f>'DATA INPUT - DETAIL'!Z110</f>
        <v>0</v>
      </c>
      <c r="AS119" s="266">
        <f>'DATA INPUT - DETAIL'!AD110</f>
        <v>0</v>
      </c>
      <c r="AT119" s="266">
        <f t="shared" si="120"/>
        <v>0</v>
      </c>
      <c r="AU119" s="206">
        <f>'DATA INPUT - DETAIL'!AA110</f>
        <v>0</v>
      </c>
      <c r="AV119" s="206">
        <f>'DATA INPUT - DETAIL'!AB110</f>
        <v>0</v>
      </c>
      <c r="AW119" s="206">
        <f>'DATA INPUT - DETAIL'!AC110</f>
        <v>0</v>
      </c>
      <c r="AX119" s="206">
        <f t="shared" si="121"/>
        <v>0</v>
      </c>
      <c r="AY119" s="206">
        <f t="shared" si="122"/>
        <v>0</v>
      </c>
      <c r="AZ119" s="206">
        <f t="shared" si="123"/>
        <v>0</v>
      </c>
      <c r="BA119" s="206">
        <f t="shared" si="124"/>
        <v>0</v>
      </c>
      <c r="BB119" s="206">
        <f t="shared" si="125"/>
        <v>0</v>
      </c>
      <c r="BC119" s="206">
        <f t="shared" si="126"/>
        <v>0</v>
      </c>
      <c r="BD119" s="206">
        <f t="shared" si="127"/>
        <v>0</v>
      </c>
      <c r="BE119" s="206">
        <f t="shared" si="128"/>
        <v>0</v>
      </c>
      <c r="BF119" s="206">
        <f t="shared" si="129"/>
        <v>0</v>
      </c>
      <c r="BG119" s="206">
        <f t="shared" si="130"/>
        <v>0</v>
      </c>
      <c r="BH119" s="206">
        <f t="shared" si="131"/>
        <v>0</v>
      </c>
      <c r="BI119" s="206">
        <f t="shared" si="132"/>
        <v>0</v>
      </c>
      <c r="BJ119" s="266">
        <f t="shared" si="133"/>
        <v>0</v>
      </c>
      <c r="BK119" s="266">
        <f t="shared" si="134"/>
        <v>0</v>
      </c>
      <c r="BL119" s="192">
        <f t="shared" si="135"/>
        <v>0</v>
      </c>
      <c r="BM119" s="192">
        <f t="shared" si="136"/>
        <v>0</v>
      </c>
      <c r="BN119" s="192">
        <f t="shared" si="137"/>
        <v>0</v>
      </c>
      <c r="BO119" s="192">
        <f t="shared" si="138"/>
        <v>0</v>
      </c>
      <c r="BP119" s="192">
        <f t="shared" si="139"/>
        <v>0</v>
      </c>
      <c r="BQ119" s="193">
        <f t="shared" si="140"/>
        <v>0</v>
      </c>
      <c r="BR119" s="193">
        <f t="shared" si="141"/>
        <v>0</v>
      </c>
      <c r="BS119" s="265">
        <f t="shared" si="145"/>
        <v>0</v>
      </c>
      <c r="BT119" s="265">
        <f t="shared" si="146"/>
        <v>0</v>
      </c>
      <c r="BU119" s="265">
        <f t="shared" si="147"/>
        <v>0</v>
      </c>
      <c r="BV119" s="265">
        <f t="shared" si="148"/>
        <v>0</v>
      </c>
      <c r="BW119" s="265">
        <f t="shared" si="149"/>
        <v>0</v>
      </c>
      <c r="BX119" s="265">
        <f t="shared" si="150"/>
        <v>0</v>
      </c>
      <c r="BY119" s="265">
        <f t="shared" si="151"/>
        <v>0</v>
      </c>
      <c r="BZ119" s="265">
        <f t="shared" si="152"/>
        <v>0</v>
      </c>
      <c r="CA119" s="265">
        <f t="shared" si="153"/>
        <v>0</v>
      </c>
      <c r="CB119" s="269">
        <f t="shared" si="154"/>
        <v>0</v>
      </c>
      <c r="CC119" s="266">
        <f t="shared" si="155"/>
        <v>0</v>
      </c>
      <c r="CD119" s="241"/>
      <c r="CE119" s="198">
        <f t="shared" si="142"/>
        <v>1.1371429023796876E-10</v>
      </c>
      <c r="CF119" s="198">
        <f t="shared" si="156"/>
        <v>0</v>
      </c>
      <c r="CG119" s="198">
        <f t="shared" si="157"/>
        <v>0</v>
      </c>
      <c r="CH119" s="198">
        <f t="shared" si="158"/>
        <v>0</v>
      </c>
      <c r="CI119" s="198">
        <f t="shared" si="159"/>
        <v>0</v>
      </c>
      <c r="CJ119" s="198">
        <f t="shared" si="160"/>
        <v>0</v>
      </c>
      <c r="CK119" s="198">
        <f t="shared" si="161"/>
        <v>0</v>
      </c>
      <c r="CL119" s="198">
        <f t="shared" si="162"/>
        <v>4.967604009816648E-13</v>
      </c>
      <c r="CM119" s="271">
        <f t="shared" si="163"/>
        <v>0</v>
      </c>
      <c r="CN119" s="198">
        <f t="shared" si="164"/>
        <v>1.1421105063895041E-10</v>
      </c>
      <c r="CO119" s="209">
        <f t="shared" si="143"/>
        <v>1.1371429023796876E-10</v>
      </c>
    </row>
    <row r="120" spans="2:93" x14ac:dyDescent="0.2">
      <c r="B120" s="221">
        <f>'DATA INPUT - DETAIL'!D111</f>
        <v>0</v>
      </c>
      <c r="C120" s="211">
        <f>'DATA INPUT - DETAIL'!E111</f>
        <v>0</v>
      </c>
      <c r="D120" s="257">
        <f>'DATA INPUT - DETAIL'!I111</f>
        <v>0</v>
      </c>
      <c r="E120" s="258">
        <f>'DATA INPUT - DETAIL'!K111</f>
        <v>0</v>
      </c>
      <c r="F120" s="258">
        <f>'DATA INPUT - DETAIL'!L111</f>
        <v>0</v>
      </c>
      <c r="G120" s="179">
        <f>'DATA INPUT - DETAIL'!M111*(1+$V$5)</f>
        <v>0</v>
      </c>
      <c r="H120" s="179">
        <f>'DATA INPUT - DETAIL'!N111*(1+$V$5)</f>
        <v>0</v>
      </c>
      <c r="I120" s="258">
        <f t="shared" si="100"/>
        <v>0</v>
      </c>
      <c r="J120" s="258">
        <f>'DATA INPUT - DETAIL'!O111</f>
        <v>0</v>
      </c>
      <c r="K120" s="258">
        <f>'DATA INPUT - DETAIL'!P111</f>
        <v>0</v>
      </c>
      <c r="L120" s="267">
        <f>ROUNDDOWN('DATA INPUT - DETAIL'!G111,0)</f>
        <v>0</v>
      </c>
      <c r="M120" s="196">
        <f t="shared" si="165"/>
        <v>0</v>
      </c>
      <c r="N120" s="196">
        <f t="shared" si="101"/>
        <v>0</v>
      </c>
      <c r="O120" s="196">
        <f t="shared" si="102"/>
        <v>0</v>
      </c>
      <c r="P120" s="196">
        <f t="shared" si="103"/>
        <v>0</v>
      </c>
      <c r="Q120" s="196">
        <f t="shared" si="104"/>
        <v>0</v>
      </c>
      <c r="R120" s="196">
        <f t="shared" si="105"/>
        <v>0</v>
      </c>
      <c r="S120" s="196">
        <f t="shared" si="106"/>
        <v>0</v>
      </c>
      <c r="T120" s="196">
        <f t="shared" si="107"/>
        <v>0</v>
      </c>
      <c r="U120" s="185">
        <f>(C120&gt;0)*(C120&lt;$E$5)*VLOOKUP(MPP,ASUMSI!$BN$77:$CR$108,B120+1)*(1+$V$4)</f>
        <v>0</v>
      </c>
      <c r="V120" s="196">
        <f t="shared" si="108"/>
        <v>0</v>
      </c>
      <c r="W120" s="196">
        <f t="shared" si="109"/>
        <v>0</v>
      </c>
      <c r="X120" s="196">
        <f t="shared" si="110"/>
        <v>0</v>
      </c>
      <c r="Y120" s="196">
        <f t="shared" si="111"/>
        <v>0</v>
      </c>
      <c r="Z120" s="196">
        <f t="shared" si="112"/>
        <v>0</v>
      </c>
      <c r="AA120" s="185">
        <f t="shared" si="113"/>
        <v>0</v>
      </c>
      <c r="AB120" s="196">
        <f t="shared" si="114"/>
        <v>0</v>
      </c>
      <c r="AC120" s="196">
        <f t="shared" si="114"/>
        <v>0</v>
      </c>
      <c r="AD120" s="196">
        <f t="shared" si="114"/>
        <v>0</v>
      </c>
      <c r="AE120" s="196">
        <f t="shared" si="115"/>
        <v>0</v>
      </c>
      <c r="AF120" s="196">
        <f t="shared" si="116"/>
        <v>0</v>
      </c>
      <c r="AG120" s="196">
        <f t="shared" si="117"/>
        <v>0</v>
      </c>
      <c r="AH120" s="196">
        <f t="shared" si="118"/>
        <v>0</v>
      </c>
      <c r="AI120" s="266">
        <f>'DATA INPUT - DETAIL'!R111</f>
        <v>0</v>
      </c>
      <c r="AJ120" s="266">
        <f>'DATA INPUT - DETAIL'!S111</f>
        <v>0</v>
      </c>
      <c r="AK120" s="266">
        <f>'DATA INPUT - DETAIL'!T111</f>
        <v>0</v>
      </c>
      <c r="AL120" s="266">
        <f>'DATA INPUT - DETAIL'!U111</f>
        <v>0</v>
      </c>
      <c r="AM120" s="266">
        <f>'DATA INPUT - DETAIL'!V111</f>
        <v>0</v>
      </c>
      <c r="AN120" s="266">
        <f>'DATA INPUT - DETAIL'!W111</f>
        <v>0</v>
      </c>
      <c r="AO120" s="198">
        <f t="shared" si="119"/>
        <v>0</v>
      </c>
      <c r="AP120" s="266">
        <f>'DATA INPUT - DETAIL'!X111</f>
        <v>0</v>
      </c>
      <c r="AQ120" s="266">
        <f>'DATA INPUT - DETAIL'!Y111</f>
        <v>0</v>
      </c>
      <c r="AR120" s="266">
        <f>'DATA INPUT - DETAIL'!Z111</f>
        <v>0</v>
      </c>
      <c r="AS120" s="266">
        <f>'DATA INPUT - DETAIL'!AD111</f>
        <v>0</v>
      </c>
      <c r="AT120" s="266">
        <f t="shared" si="120"/>
        <v>0</v>
      </c>
      <c r="AU120" s="206">
        <f>'DATA INPUT - DETAIL'!AA111</f>
        <v>0</v>
      </c>
      <c r="AV120" s="206">
        <f>'DATA INPUT - DETAIL'!AB111</f>
        <v>0</v>
      </c>
      <c r="AW120" s="206">
        <f>'DATA INPUT - DETAIL'!AC111</f>
        <v>0</v>
      </c>
      <c r="AX120" s="206">
        <f t="shared" si="121"/>
        <v>0</v>
      </c>
      <c r="AY120" s="206">
        <f t="shared" si="122"/>
        <v>0</v>
      </c>
      <c r="AZ120" s="206">
        <f t="shared" si="123"/>
        <v>0</v>
      </c>
      <c r="BA120" s="206">
        <f t="shared" si="124"/>
        <v>0</v>
      </c>
      <c r="BB120" s="206">
        <f t="shared" si="125"/>
        <v>0</v>
      </c>
      <c r="BC120" s="206">
        <f t="shared" si="126"/>
        <v>0</v>
      </c>
      <c r="BD120" s="206">
        <f t="shared" si="127"/>
        <v>0</v>
      </c>
      <c r="BE120" s="206">
        <f t="shared" si="128"/>
        <v>0</v>
      </c>
      <c r="BF120" s="206">
        <f t="shared" si="129"/>
        <v>0</v>
      </c>
      <c r="BG120" s="206">
        <f t="shared" si="130"/>
        <v>0</v>
      </c>
      <c r="BH120" s="206">
        <f t="shared" si="131"/>
        <v>0</v>
      </c>
      <c r="BI120" s="206">
        <f t="shared" si="132"/>
        <v>0</v>
      </c>
      <c r="BJ120" s="266">
        <f t="shared" si="133"/>
        <v>0</v>
      </c>
      <c r="BK120" s="266">
        <f t="shared" si="134"/>
        <v>0</v>
      </c>
      <c r="BL120" s="192">
        <f t="shared" si="135"/>
        <v>0</v>
      </c>
      <c r="BM120" s="192">
        <f t="shared" si="136"/>
        <v>0</v>
      </c>
      <c r="BN120" s="192">
        <f t="shared" si="137"/>
        <v>0</v>
      </c>
      <c r="BO120" s="192">
        <f t="shared" si="138"/>
        <v>0</v>
      </c>
      <c r="BP120" s="192">
        <f t="shared" si="139"/>
        <v>0</v>
      </c>
      <c r="BQ120" s="193">
        <f t="shared" si="140"/>
        <v>0</v>
      </c>
      <c r="BR120" s="193">
        <f t="shared" si="141"/>
        <v>0</v>
      </c>
      <c r="BS120" s="265">
        <f t="shared" si="145"/>
        <v>0</v>
      </c>
      <c r="BT120" s="265">
        <f t="shared" si="146"/>
        <v>0</v>
      </c>
      <c r="BU120" s="265">
        <f t="shared" si="147"/>
        <v>0</v>
      </c>
      <c r="BV120" s="265">
        <f t="shared" si="148"/>
        <v>0</v>
      </c>
      <c r="BW120" s="265">
        <f t="shared" si="149"/>
        <v>0</v>
      </c>
      <c r="BX120" s="265">
        <f t="shared" si="150"/>
        <v>0</v>
      </c>
      <c r="BY120" s="265">
        <f t="shared" si="151"/>
        <v>0</v>
      </c>
      <c r="BZ120" s="265">
        <f t="shared" si="152"/>
        <v>0</v>
      </c>
      <c r="CA120" s="265">
        <f t="shared" si="153"/>
        <v>0</v>
      </c>
      <c r="CB120" s="269">
        <f t="shared" si="154"/>
        <v>0</v>
      </c>
      <c r="CC120" s="266">
        <f t="shared" si="155"/>
        <v>0</v>
      </c>
      <c r="CD120" s="241"/>
      <c r="CE120" s="198">
        <f t="shared" si="142"/>
        <v>1.1421105063895041E-10</v>
      </c>
      <c r="CF120" s="198">
        <f t="shared" si="156"/>
        <v>0</v>
      </c>
      <c r="CG120" s="198">
        <f t="shared" si="157"/>
        <v>0</v>
      </c>
      <c r="CH120" s="198">
        <f t="shared" si="158"/>
        <v>0</v>
      </c>
      <c r="CI120" s="198">
        <f t="shared" si="159"/>
        <v>0</v>
      </c>
      <c r="CJ120" s="198">
        <f t="shared" si="160"/>
        <v>0</v>
      </c>
      <c r="CK120" s="198">
        <f t="shared" si="161"/>
        <v>0</v>
      </c>
      <c r="CL120" s="198">
        <f t="shared" si="162"/>
        <v>4.98930496714286E-13</v>
      </c>
      <c r="CM120" s="271">
        <f t="shared" si="163"/>
        <v>0</v>
      </c>
      <c r="CN120" s="198">
        <f t="shared" si="164"/>
        <v>1.147099811356647E-10</v>
      </c>
      <c r="CO120" s="209">
        <f t="shared" si="143"/>
        <v>1.1421105063895041E-10</v>
      </c>
    </row>
    <row r="121" spans="2:93" x14ac:dyDescent="0.2">
      <c r="B121" s="221">
        <f>'DATA INPUT - DETAIL'!D112</f>
        <v>0</v>
      </c>
      <c r="C121" s="211">
        <f>'DATA INPUT - DETAIL'!E112</f>
        <v>0</v>
      </c>
      <c r="D121" s="257">
        <f>'DATA INPUT - DETAIL'!I112</f>
        <v>0</v>
      </c>
      <c r="E121" s="258">
        <f>'DATA INPUT - DETAIL'!K112</f>
        <v>0</v>
      </c>
      <c r="F121" s="258">
        <f>'DATA INPUT - DETAIL'!L112</f>
        <v>0</v>
      </c>
      <c r="G121" s="179">
        <f>'DATA INPUT - DETAIL'!M112*(1+$V$5)</f>
        <v>0</v>
      </c>
      <c r="H121" s="179">
        <f>'DATA INPUT - DETAIL'!N112*(1+$V$5)</f>
        <v>0</v>
      </c>
      <c r="I121" s="258">
        <f t="shared" si="100"/>
        <v>0</v>
      </c>
      <c r="J121" s="258">
        <f>'DATA INPUT - DETAIL'!O112</f>
        <v>0</v>
      </c>
      <c r="K121" s="258">
        <f>'DATA INPUT - DETAIL'!P112</f>
        <v>0</v>
      </c>
      <c r="L121" s="267">
        <f>ROUNDDOWN('DATA INPUT - DETAIL'!G112,0)</f>
        <v>0</v>
      </c>
      <c r="M121" s="196">
        <f t="shared" si="165"/>
        <v>0</v>
      </c>
      <c r="N121" s="196">
        <f t="shared" si="101"/>
        <v>0</v>
      </c>
      <c r="O121" s="196">
        <f t="shared" si="102"/>
        <v>0</v>
      </c>
      <c r="P121" s="196">
        <f t="shared" si="103"/>
        <v>0</v>
      </c>
      <c r="Q121" s="196">
        <f t="shared" si="104"/>
        <v>0</v>
      </c>
      <c r="R121" s="196">
        <f t="shared" si="105"/>
        <v>0</v>
      </c>
      <c r="S121" s="196">
        <f t="shared" si="106"/>
        <v>0</v>
      </c>
      <c r="T121" s="196">
        <f t="shared" si="107"/>
        <v>0</v>
      </c>
      <c r="U121" s="185">
        <f>(C121&gt;0)*(C121&lt;$E$5)*VLOOKUP(MPP,ASUMSI!$BN$77:$CR$108,B121+1)*(1+$V$4)</f>
        <v>0</v>
      </c>
      <c r="V121" s="196">
        <f t="shared" si="108"/>
        <v>0</v>
      </c>
      <c r="W121" s="196">
        <f t="shared" si="109"/>
        <v>0</v>
      </c>
      <c r="X121" s="196">
        <f t="shared" si="110"/>
        <v>0</v>
      </c>
      <c r="Y121" s="196">
        <f t="shared" si="111"/>
        <v>0</v>
      </c>
      <c r="Z121" s="196">
        <f t="shared" si="112"/>
        <v>0</v>
      </c>
      <c r="AA121" s="185">
        <f t="shared" si="113"/>
        <v>0</v>
      </c>
      <c r="AB121" s="196">
        <f t="shared" si="114"/>
        <v>0</v>
      </c>
      <c r="AC121" s="196">
        <f t="shared" si="114"/>
        <v>0</v>
      </c>
      <c r="AD121" s="196">
        <f t="shared" si="114"/>
        <v>0</v>
      </c>
      <c r="AE121" s="196">
        <f t="shared" si="115"/>
        <v>0</v>
      </c>
      <c r="AF121" s="196">
        <f t="shared" si="116"/>
        <v>0</v>
      </c>
      <c r="AG121" s="196">
        <f t="shared" si="117"/>
        <v>0</v>
      </c>
      <c r="AH121" s="196">
        <f t="shared" si="118"/>
        <v>0</v>
      </c>
      <c r="AI121" s="266">
        <f>'DATA INPUT - DETAIL'!R112</f>
        <v>0</v>
      </c>
      <c r="AJ121" s="266">
        <f>'DATA INPUT - DETAIL'!S112</f>
        <v>0</v>
      </c>
      <c r="AK121" s="266">
        <f>'DATA INPUT - DETAIL'!T112</f>
        <v>0</v>
      </c>
      <c r="AL121" s="266">
        <f>'DATA INPUT - DETAIL'!U112</f>
        <v>0</v>
      </c>
      <c r="AM121" s="266">
        <f>'DATA INPUT - DETAIL'!V112</f>
        <v>0</v>
      </c>
      <c r="AN121" s="266">
        <f>'DATA INPUT - DETAIL'!W112</f>
        <v>0</v>
      </c>
      <c r="AO121" s="198">
        <f t="shared" si="119"/>
        <v>0</v>
      </c>
      <c r="AP121" s="266">
        <f>'DATA INPUT - DETAIL'!X112</f>
        <v>0</v>
      </c>
      <c r="AQ121" s="266">
        <f>'DATA INPUT - DETAIL'!Y112</f>
        <v>0</v>
      </c>
      <c r="AR121" s="266">
        <f>'DATA INPUT - DETAIL'!Z112</f>
        <v>0</v>
      </c>
      <c r="AS121" s="266">
        <f>'DATA INPUT - DETAIL'!AD112</f>
        <v>0</v>
      </c>
      <c r="AT121" s="266">
        <f t="shared" si="120"/>
        <v>0</v>
      </c>
      <c r="AU121" s="206">
        <f>'DATA INPUT - DETAIL'!AA112</f>
        <v>0</v>
      </c>
      <c r="AV121" s="206">
        <f>'DATA INPUT - DETAIL'!AB112</f>
        <v>0</v>
      </c>
      <c r="AW121" s="206">
        <f>'DATA INPUT - DETAIL'!AC112</f>
        <v>0</v>
      </c>
      <c r="AX121" s="206">
        <f t="shared" si="121"/>
        <v>0</v>
      </c>
      <c r="AY121" s="206">
        <f t="shared" si="122"/>
        <v>0</v>
      </c>
      <c r="AZ121" s="206">
        <f t="shared" si="123"/>
        <v>0</v>
      </c>
      <c r="BA121" s="206">
        <f t="shared" si="124"/>
        <v>0</v>
      </c>
      <c r="BB121" s="206">
        <f t="shared" si="125"/>
        <v>0</v>
      </c>
      <c r="BC121" s="206">
        <f t="shared" si="126"/>
        <v>0</v>
      </c>
      <c r="BD121" s="206">
        <f t="shared" si="127"/>
        <v>0</v>
      </c>
      <c r="BE121" s="206">
        <f t="shared" si="128"/>
        <v>0</v>
      </c>
      <c r="BF121" s="206">
        <f t="shared" si="129"/>
        <v>0</v>
      </c>
      <c r="BG121" s="206">
        <f t="shared" si="130"/>
        <v>0</v>
      </c>
      <c r="BH121" s="206">
        <f t="shared" si="131"/>
        <v>0</v>
      </c>
      <c r="BI121" s="206">
        <f t="shared" si="132"/>
        <v>0</v>
      </c>
      <c r="BJ121" s="266">
        <f t="shared" si="133"/>
        <v>0</v>
      </c>
      <c r="BK121" s="266">
        <f t="shared" si="134"/>
        <v>0</v>
      </c>
      <c r="BL121" s="192">
        <f t="shared" si="135"/>
        <v>0</v>
      </c>
      <c r="BM121" s="192">
        <f t="shared" si="136"/>
        <v>0</v>
      </c>
      <c r="BN121" s="192">
        <f t="shared" si="137"/>
        <v>0</v>
      </c>
      <c r="BO121" s="192">
        <f t="shared" si="138"/>
        <v>0</v>
      </c>
      <c r="BP121" s="192">
        <f t="shared" si="139"/>
        <v>0</v>
      </c>
      <c r="BQ121" s="193">
        <f t="shared" si="140"/>
        <v>0</v>
      </c>
      <c r="BR121" s="193">
        <f t="shared" si="141"/>
        <v>0</v>
      </c>
      <c r="BS121" s="265">
        <f t="shared" si="145"/>
        <v>0</v>
      </c>
      <c r="BT121" s="265">
        <f t="shared" si="146"/>
        <v>0</v>
      </c>
      <c r="BU121" s="265">
        <f t="shared" si="147"/>
        <v>0</v>
      </c>
      <c r="BV121" s="265">
        <f t="shared" si="148"/>
        <v>0</v>
      </c>
      <c r="BW121" s="265">
        <f t="shared" si="149"/>
        <v>0</v>
      </c>
      <c r="BX121" s="265">
        <f t="shared" si="150"/>
        <v>0</v>
      </c>
      <c r="BY121" s="265">
        <f t="shared" si="151"/>
        <v>0</v>
      </c>
      <c r="BZ121" s="265">
        <f t="shared" si="152"/>
        <v>0</v>
      </c>
      <c r="CA121" s="265">
        <f t="shared" si="153"/>
        <v>0</v>
      </c>
      <c r="CB121" s="269">
        <f t="shared" si="154"/>
        <v>0</v>
      </c>
      <c r="CC121" s="266">
        <f t="shared" si="155"/>
        <v>0</v>
      </c>
      <c r="CD121" s="241"/>
      <c r="CE121" s="198">
        <f t="shared" si="142"/>
        <v>1.147099811356647E-10</v>
      </c>
      <c r="CF121" s="198">
        <f t="shared" si="156"/>
        <v>0</v>
      </c>
      <c r="CG121" s="198">
        <f t="shared" si="157"/>
        <v>0</v>
      </c>
      <c r="CH121" s="198">
        <f t="shared" si="158"/>
        <v>0</v>
      </c>
      <c r="CI121" s="198">
        <f t="shared" si="159"/>
        <v>0</v>
      </c>
      <c r="CJ121" s="198">
        <f t="shared" si="160"/>
        <v>0</v>
      </c>
      <c r="CK121" s="198">
        <f t="shared" si="161"/>
        <v>0</v>
      </c>
      <c r="CL121" s="198">
        <f t="shared" si="162"/>
        <v>5.0111007250103276E-13</v>
      </c>
      <c r="CM121" s="271">
        <f t="shared" si="163"/>
        <v>0</v>
      </c>
      <c r="CN121" s="198">
        <f t="shared" si="164"/>
        <v>1.1521109120816573E-10</v>
      </c>
      <c r="CO121" s="209">
        <f t="shared" si="143"/>
        <v>1.147099811356647E-10</v>
      </c>
    </row>
    <row r="122" spans="2:93" x14ac:dyDescent="0.2">
      <c r="B122" s="221">
        <f>'DATA INPUT - DETAIL'!D113</f>
        <v>0</v>
      </c>
      <c r="C122" s="211">
        <f>'DATA INPUT - DETAIL'!E113</f>
        <v>0</v>
      </c>
      <c r="D122" s="257">
        <f>'DATA INPUT - DETAIL'!I113</f>
        <v>0</v>
      </c>
      <c r="E122" s="258">
        <f>'DATA INPUT - DETAIL'!K113</f>
        <v>0</v>
      </c>
      <c r="F122" s="258">
        <f>'DATA INPUT - DETAIL'!L113</f>
        <v>0</v>
      </c>
      <c r="G122" s="179">
        <f>'DATA INPUT - DETAIL'!M113*(1+$V$5)</f>
        <v>0</v>
      </c>
      <c r="H122" s="179">
        <f>'DATA INPUT - DETAIL'!N113*(1+$V$5)</f>
        <v>0</v>
      </c>
      <c r="I122" s="258">
        <f t="shared" si="100"/>
        <v>0</v>
      </c>
      <c r="J122" s="258">
        <f>'DATA INPUT - DETAIL'!O113</f>
        <v>0</v>
      </c>
      <c r="K122" s="258">
        <f>'DATA INPUT - DETAIL'!P113</f>
        <v>0</v>
      </c>
      <c r="L122" s="267">
        <f>ROUNDDOWN('DATA INPUT - DETAIL'!G113,0)</f>
        <v>0</v>
      </c>
      <c r="M122" s="196">
        <f t="shared" si="165"/>
        <v>0</v>
      </c>
      <c r="N122" s="196">
        <f t="shared" si="101"/>
        <v>0</v>
      </c>
      <c r="O122" s="196">
        <f t="shared" si="102"/>
        <v>0</v>
      </c>
      <c r="P122" s="196">
        <f t="shared" si="103"/>
        <v>0</v>
      </c>
      <c r="Q122" s="196">
        <f t="shared" si="104"/>
        <v>0</v>
      </c>
      <c r="R122" s="196">
        <f t="shared" si="105"/>
        <v>0</v>
      </c>
      <c r="S122" s="196">
        <f t="shared" si="106"/>
        <v>0</v>
      </c>
      <c r="T122" s="196">
        <f t="shared" si="107"/>
        <v>0</v>
      </c>
      <c r="U122" s="185">
        <f>(C122&gt;0)*(C122&lt;$E$5)*VLOOKUP(MPP,ASUMSI!$BN$77:$CR$108,B122+1)*(1+$V$4)</f>
        <v>0</v>
      </c>
      <c r="V122" s="196">
        <f t="shared" si="108"/>
        <v>0</v>
      </c>
      <c r="W122" s="196">
        <f t="shared" si="109"/>
        <v>0</v>
      </c>
      <c r="X122" s="196">
        <f t="shared" si="110"/>
        <v>0</v>
      </c>
      <c r="Y122" s="196">
        <f t="shared" si="111"/>
        <v>0</v>
      </c>
      <c r="Z122" s="196">
        <f t="shared" si="112"/>
        <v>0</v>
      </c>
      <c r="AA122" s="185">
        <f t="shared" si="113"/>
        <v>0</v>
      </c>
      <c r="AB122" s="196">
        <f t="shared" si="114"/>
        <v>0</v>
      </c>
      <c r="AC122" s="196">
        <f t="shared" si="114"/>
        <v>0</v>
      </c>
      <c r="AD122" s="196">
        <f t="shared" si="114"/>
        <v>0</v>
      </c>
      <c r="AE122" s="196">
        <f t="shared" si="115"/>
        <v>0</v>
      </c>
      <c r="AF122" s="196">
        <f t="shared" si="116"/>
        <v>0</v>
      </c>
      <c r="AG122" s="196">
        <f t="shared" si="117"/>
        <v>0</v>
      </c>
      <c r="AH122" s="196">
        <f t="shared" si="118"/>
        <v>0</v>
      </c>
      <c r="AI122" s="266">
        <f>'DATA INPUT - DETAIL'!R113</f>
        <v>0</v>
      </c>
      <c r="AJ122" s="266">
        <f>'DATA INPUT - DETAIL'!S113</f>
        <v>0</v>
      </c>
      <c r="AK122" s="266">
        <f>'DATA INPUT - DETAIL'!T113</f>
        <v>0</v>
      </c>
      <c r="AL122" s="266">
        <f>'DATA INPUT - DETAIL'!U113</f>
        <v>0</v>
      </c>
      <c r="AM122" s="266">
        <f>'DATA INPUT - DETAIL'!V113</f>
        <v>0</v>
      </c>
      <c r="AN122" s="266">
        <f>'DATA INPUT - DETAIL'!W113</f>
        <v>0</v>
      </c>
      <c r="AO122" s="198">
        <f t="shared" si="119"/>
        <v>0</v>
      </c>
      <c r="AP122" s="266">
        <f>'DATA INPUT - DETAIL'!X113</f>
        <v>0</v>
      </c>
      <c r="AQ122" s="266">
        <f>'DATA INPUT - DETAIL'!Y113</f>
        <v>0</v>
      </c>
      <c r="AR122" s="266">
        <f>'DATA INPUT - DETAIL'!Z113</f>
        <v>0</v>
      </c>
      <c r="AS122" s="266">
        <f>'DATA INPUT - DETAIL'!AD113</f>
        <v>0</v>
      </c>
      <c r="AT122" s="266">
        <f t="shared" si="120"/>
        <v>0</v>
      </c>
      <c r="AU122" s="206">
        <f>'DATA INPUT - DETAIL'!AA113</f>
        <v>0</v>
      </c>
      <c r="AV122" s="206">
        <f>'DATA INPUT - DETAIL'!AB113</f>
        <v>0</v>
      </c>
      <c r="AW122" s="206">
        <f>'DATA INPUT - DETAIL'!AC113</f>
        <v>0</v>
      </c>
      <c r="AX122" s="206">
        <f t="shared" si="121"/>
        <v>0</v>
      </c>
      <c r="AY122" s="206">
        <f t="shared" si="122"/>
        <v>0</v>
      </c>
      <c r="AZ122" s="206">
        <f t="shared" si="123"/>
        <v>0</v>
      </c>
      <c r="BA122" s="206">
        <f t="shared" si="124"/>
        <v>0</v>
      </c>
      <c r="BB122" s="206">
        <f t="shared" si="125"/>
        <v>0</v>
      </c>
      <c r="BC122" s="206">
        <f t="shared" si="126"/>
        <v>0</v>
      </c>
      <c r="BD122" s="206">
        <f t="shared" si="127"/>
        <v>0</v>
      </c>
      <c r="BE122" s="206">
        <f t="shared" si="128"/>
        <v>0</v>
      </c>
      <c r="BF122" s="206">
        <f t="shared" si="129"/>
        <v>0</v>
      </c>
      <c r="BG122" s="206">
        <f t="shared" si="130"/>
        <v>0</v>
      </c>
      <c r="BH122" s="206">
        <f t="shared" si="131"/>
        <v>0</v>
      </c>
      <c r="BI122" s="206">
        <f t="shared" si="132"/>
        <v>0</v>
      </c>
      <c r="BJ122" s="266">
        <f t="shared" si="133"/>
        <v>0</v>
      </c>
      <c r="BK122" s="266">
        <f t="shared" si="134"/>
        <v>0</v>
      </c>
      <c r="BL122" s="192">
        <f t="shared" si="135"/>
        <v>0</v>
      </c>
      <c r="BM122" s="192">
        <f t="shared" si="136"/>
        <v>0</v>
      </c>
      <c r="BN122" s="192">
        <f t="shared" si="137"/>
        <v>0</v>
      </c>
      <c r="BO122" s="192">
        <f t="shared" si="138"/>
        <v>0</v>
      </c>
      <c r="BP122" s="192">
        <f t="shared" si="139"/>
        <v>0</v>
      </c>
      <c r="BQ122" s="193">
        <f t="shared" si="140"/>
        <v>0</v>
      </c>
      <c r="BR122" s="193">
        <f t="shared" si="141"/>
        <v>0</v>
      </c>
      <c r="BS122" s="265">
        <f t="shared" si="145"/>
        <v>0</v>
      </c>
      <c r="BT122" s="265">
        <f t="shared" si="146"/>
        <v>0</v>
      </c>
      <c r="BU122" s="265">
        <f t="shared" si="147"/>
        <v>0</v>
      </c>
      <c r="BV122" s="265">
        <f t="shared" si="148"/>
        <v>0</v>
      </c>
      <c r="BW122" s="265">
        <f t="shared" si="149"/>
        <v>0</v>
      </c>
      <c r="BX122" s="265">
        <f t="shared" si="150"/>
        <v>0</v>
      </c>
      <c r="BY122" s="265">
        <f t="shared" si="151"/>
        <v>0</v>
      </c>
      <c r="BZ122" s="265">
        <f t="shared" si="152"/>
        <v>0</v>
      </c>
      <c r="CA122" s="265">
        <f t="shared" si="153"/>
        <v>0</v>
      </c>
      <c r="CB122" s="269">
        <f t="shared" si="154"/>
        <v>0</v>
      </c>
      <c r="CC122" s="266">
        <f t="shared" si="155"/>
        <v>0</v>
      </c>
      <c r="CD122" s="241"/>
      <c r="CE122" s="198">
        <f t="shared" si="142"/>
        <v>1.1521109120816573E-10</v>
      </c>
      <c r="CF122" s="198">
        <f t="shared" si="156"/>
        <v>0</v>
      </c>
      <c r="CG122" s="198">
        <f t="shared" si="157"/>
        <v>0</v>
      </c>
      <c r="CH122" s="198">
        <f t="shared" si="158"/>
        <v>0</v>
      </c>
      <c r="CI122" s="198">
        <f t="shared" si="159"/>
        <v>0</v>
      </c>
      <c r="CJ122" s="198">
        <f t="shared" si="160"/>
        <v>0</v>
      </c>
      <c r="CK122" s="198">
        <f t="shared" si="161"/>
        <v>0</v>
      </c>
      <c r="CL122" s="198">
        <f t="shared" si="162"/>
        <v>5.0329916975548187E-13</v>
      </c>
      <c r="CM122" s="271">
        <f t="shared" si="163"/>
        <v>0</v>
      </c>
      <c r="CN122" s="198">
        <f t="shared" si="164"/>
        <v>1.1571439037792121E-10</v>
      </c>
      <c r="CO122" s="209">
        <f t="shared" si="143"/>
        <v>1.1521109120816573E-10</v>
      </c>
    </row>
    <row r="123" spans="2:93" x14ac:dyDescent="0.2">
      <c r="B123" s="221">
        <f>'DATA INPUT - DETAIL'!D114</f>
        <v>0</v>
      </c>
      <c r="C123" s="211">
        <f>'DATA INPUT - DETAIL'!E114</f>
        <v>0</v>
      </c>
      <c r="D123" s="257">
        <f>'DATA INPUT - DETAIL'!I114</f>
        <v>0</v>
      </c>
      <c r="E123" s="258">
        <f>'DATA INPUT - DETAIL'!K114</f>
        <v>0</v>
      </c>
      <c r="F123" s="258">
        <f>'DATA INPUT - DETAIL'!L114</f>
        <v>0</v>
      </c>
      <c r="G123" s="179">
        <f>'DATA INPUT - DETAIL'!M114*(1+$V$5)</f>
        <v>0</v>
      </c>
      <c r="H123" s="179">
        <f>'DATA INPUT - DETAIL'!N114*(1+$V$5)</f>
        <v>0</v>
      </c>
      <c r="I123" s="258">
        <f t="shared" si="100"/>
        <v>0</v>
      </c>
      <c r="J123" s="258">
        <f>'DATA INPUT - DETAIL'!O114</f>
        <v>0</v>
      </c>
      <c r="K123" s="258">
        <f>'DATA INPUT - DETAIL'!P114</f>
        <v>0</v>
      </c>
      <c r="L123" s="267">
        <f>ROUNDDOWN('DATA INPUT - DETAIL'!G114,0)</f>
        <v>0</v>
      </c>
      <c r="M123" s="196">
        <f t="shared" si="165"/>
        <v>0</v>
      </c>
      <c r="N123" s="196">
        <f t="shared" si="101"/>
        <v>0</v>
      </c>
      <c r="O123" s="196">
        <f t="shared" si="102"/>
        <v>0</v>
      </c>
      <c r="P123" s="196">
        <f t="shared" si="103"/>
        <v>0</v>
      </c>
      <c r="Q123" s="196">
        <f t="shared" si="104"/>
        <v>0</v>
      </c>
      <c r="R123" s="196">
        <f t="shared" si="105"/>
        <v>0</v>
      </c>
      <c r="S123" s="196">
        <f t="shared" si="106"/>
        <v>0</v>
      </c>
      <c r="T123" s="196">
        <f t="shared" si="107"/>
        <v>0</v>
      </c>
      <c r="U123" s="185">
        <f>(C123&gt;0)*(C123&lt;$E$5)*VLOOKUP(MPP,ASUMSI!$BN$77:$CR$108,B123+1)*(1+$V$4)</f>
        <v>0</v>
      </c>
      <c r="V123" s="196">
        <f t="shared" si="108"/>
        <v>0</v>
      </c>
      <c r="W123" s="196">
        <f t="shared" si="109"/>
        <v>0</v>
      </c>
      <c r="X123" s="196">
        <f t="shared" si="110"/>
        <v>0</v>
      </c>
      <c r="Y123" s="196">
        <f t="shared" si="111"/>
        <v>0</v>
      </c>
      <c r="Z123" s="196">
        <f t="shared" si="112"/>
        <v>0</v>
      </c>
      <c r="AA123" s="185">
        <f t="shared" si="113"/>
        <v>0</v>
      </c>
      <c r="AB123" s="196">
        <f t="shared" si="114"/>
        <v>0</v>
      </c>
      <c r="AC123" s="196">
        <f t="shared" si="114"/>
        <v>0</v>
      </c>
      <c r="AD123" s="196">
        <f t="shared" si="114"/>
        <v>0</v>
      </c>
      <c r="AE123" s="196">
        <f t="shared" si="115"/>
        <v>0</v>
      </c>
      <c r="AF123" s="196">
        <f t="shared" si="116"/>
        <v>0</v>
      </c>
      <c r="AG123" s="196">
        <f t="shared" si="117"/>
        <v>0</v>
      </c>
      <c r="AH123" s="196">
        <f t="shared" si="118"/>
        <v>0</v>
      </c>
      <c r="AI123" s="266">
        <f>'DATA INPUT - DETAIL'!R114</f>
        <v>0</v>
      </c>
      <c r="AJ123" s="266">
        <f>'DATA INPUT - DETAIL'!S114</f>
        <v>0</v>
      </c>
      <c r="AK123" s="266">
        <f>'DATA INPUT - DETAIL'!T114</f>
        <v>0</v>
      </c>
      <c r="AL123" s="266">
        <f>'DATA INPUT - DETAIL'!U114</f>
        <v>0</v>
      </c>
      <c r="AM123" s="266">
        <f>'DATA INPUT - DETAIL'!V114</f>
        <v>0</v>
      </c>
      <c r="AN123" s="266">
        <f>'DATA INPUT - DETAIL'!W114</f>
        <v>0</v>
      </c>
      <c r="AO123" s="198">
        <f t="shared" si="119"/>
        <v>0</v>
      </c>
      <c r="AP123" s="266">
        <f>'DATA INPUT - DETAIL'!X114</f>
        <v>0</v>
      </c>
      <c r="AQ123" s="266">
        <f>'DATA INPUT - DETAIL'!Y114</f>
        <v>0</v>
      </c>
      <c r="AR123" s="266">
        <f>'DATA INPUT - DETAIL'!Z114</f>
        <v>0</v>
      </c>
      <c r="AS123" s="266">
        <f>'DATA INPUT - DETAIL'!AD114</f>
        <v>0</v>
      </c>
      <c r="AT123" s="266">
        <f t="shared" si="120"/>
        <v>0</v>
      </c>
      <c r="AU123" s="206">
        <f>'DATA INPUT - DETAIL'!AA114</f>
        <v>0</v>
      </c>
      <c r="AV123" s="206">
        <f>'DATA INPUT - DETAIL'!AB114</f>
        <v>0</v>
      </c>
      <c r="AW123" s="206">
        <f>'DATA INPUT - DETAIL'!AC114</f>
        <v>0</v>
      </c>
      <c r="AX123" s="206">
        <f t="shared" si="121"/>
        <v>0</v>
      </c>
      <c r="AY123" s="206">
        <f t="shared" si="122"/>
        <v>0</v>
      </c>
      <c r="AZ123" s="206">
        <f t="shared" si="123"/>
        <v>0</v>
      </c>
      <c r="BA123" s="206">
        <f t="shared" si="124"/>
        <v>0</v>
      </c>
      <c r="BB123" s="206">
        <f t="shared" si="125"/>
        <v>0</v>
      </c>
      <c r="BC123" s="206">
        <f t="shared" si="126"/>
        <v>0</v>
      </c>
      <c r="BD123" s="206">
        <f t="shared" si="127"/>
        <v>0</v>
      </c>
      <c r="BE123" s="206">
        <f t="shared" si="128"/>
        <v>0</v>
      </c>
      <c r="BF123" s="206">
        <f t="shared" si="129"/>
        <v>0</v>
      </c>
      <c r="BG123" s="206">
        <f t="shared" si="130"/>
        <v>0</v>
      </c>
      <c r="BH123" s="206">
        <f t="shared" si="131"/>
        <v>0</v>
      </c>
      <c r="BI123" s="206">
        <f t="shared" si="132"/>
        <v>0</v>
      </c>
      <c r="BJ123" s="266">
        <f t="shared" si="133"/>
        <v>0</v>
      </c>
      <c r="BK123" s="266">
        <f t="shared" si="134"/>
        <v>0</v>
      </c>
      <c r="BL123" s="192">
        <f t="shared" si="135"/>
        <v>0</v>
      </c>
      <c r="BM123" s="192">
        <f t="shared" si="136"/>
        <v>0</v>
      </c>
      <c r="BN123" s="192">
        <f t="shared" si="137"/>
        <v>0</v>
      </c>
      <c r="BO123" s="192">
        <f t="shared" si="138"/>
        <v>0</v>
      </c>
      <c r="BP123" s="192">
        <f t="shared" si="139"/>
        <v>0</v>
      </c>
      <c r="BQ123" s="193">
        <f t="shared" si="140"/>
        <v>0</v>
      </c>
      <c r="BR123" s="193">
        <f t="shared" si="141"/>
        <v>0</v>
      </c>
      <c r="BS123" s="265">
        <f t="shared" si="145"/>
        <v>0</v>
      </c>
      <c r="BT123" s="265">
        <f t="shared" si="146"/>
        <v>0</v>
      </c>
      <c r="BU123" s="265">
        <f t="shared" si="147"/>
        <v>0</v>
      </c>
      <c r="BV123" s="265">
        <f t="shared" si="148"/>
        <v>0</v>
      </c>
      <c r="BW123" s="265">
        <f t="shared" si="149"/>
        <v>0</v>
      </c>
      <c r="BX123" s="265">
        <f t="shared" si="150"/>
        <v>0</v>
      </c>
      <c r="BY123" s="265">
        <f t="shared" si="151"/>
        <v>0</v>
      </c>
      <c r="BZ123" s="265">
        <f t="shared" si="152"/>
        <v>0</v>
      </c>
      <c r="CA123" s="265">
        <f t="shared" si="153"/>
        <v>0</v>
      </c>
      <c r="CB123" s="269">
        <f t="shared" si="154"/>
        <v>0</v>
      </c>
      <c r="CC123" s="266">
        <f t="shared" si="155"/>
        <v>0</v>
      </c>
      <c r="CD123" s="241"/>
      <c r="CE123" s="198">
        <f t="shared" si="142"/>
        <v>1.1571439037792121E-10</v>
      </c>
      <c r="CF123" s="198">
        <f t="shared" si="156"/>
        <v>0</v>
      </c>
      <c r="CG123" s="198">
        <f t="shared" si="157"/>
        <v>0</v>
      </c>
      <c r="CH123" s="198">
        <f t="shared" si="158"/>
        <v>0</v>
      </c>
      <c r="CI123" s="198">
        <f t="shared" si="159"/>
        <v>0</v>
      </c>
      <c r="CJ123" s="198">
        <f t="shared" si="160"/>
        <v>0</v>
      </c>
      <c r="CK123" s="198">
        <f t="shared" si="161"/>
        <v>0</v>
      </c>
      <c r="CL123" s="198">
        <f t="shared" si="162"/>
        <v>5.0549783007212508E-13</v>
      </c>
      <c r="CM123" s="271">
        <f t="shared" si="163"/>
        <v>0</v>
      </c>
      <c r="CN123" s="198">
        <f t="shared" si="164"/>
        <v>1.1621988820799334E-10</v>
      </c>
      <c r="CO123" s="209">
        <f t="shared" si="143"/>
        <v>1.1571439037792121E-10</v>
      </c>
    </row>
    <row r="124" spans="2:93" x14ac:dyDescent="0.2">
      <c r="B124" s="221">
        <f>'DATA INPUT - DETAIL'!D115</f>
        <v>0</v>
      </c>
      <c r="C124" s="211">
        <f>'DATA INPUT - DETAIL'!E115</f>
        <v>0</v>
      </c>
      <c r="D124" s="257">
        <f>'DATA INPUT - DETAIL'!I115</f>
        <v>0</v>
      </c>
      <c r="E124" s="258">
        <f>'DATA INPUT - DETAIL'!K115</f>
        <v>0</v>
      </c>
      <c r="F124" s="258">
        <f>'DATA INPUT - DETAIL'!L115</f>
        <v>0</v>
      </c>
      <c r="G124" s="179">
        <f>'DATA INPUT - DETAIL'!M115*(1+$V$5)</f>
        <v>0</v>
      </c>
      <c r="H124" s="179">
        <f>'DATA INPUT - DETAIL'!N115*(1+$V$5)</f>
        <v>0</v>
      </c>
      <c r="I124" s="258">
        <f t="shared" si="100"/>
        <v>0</v>
      </c>
      <c r="J124" s="258">
        <f>'DATA INPUT - DETAIL'!O115</f>
        <v>0</v>
      </c>
      <c r="K124" s="258">
        <f>'DATA INPUT - DETAIL'!P115</f>
        <v>0</v>
      </c>
      <c r="L124" s="267">
        <f>ROUNDDOWN('DATA INPUT - DETAIL'!G115,0)</f>
        <v>0</v>
      </c>
      <c r="M124" s="196">
        <f t="shared" si="165"/>
        <v>0</v>
      </c>
      <c r="N124" s="196">
        <f t="shared" si="101"/>
        <v>0</v>
      </c>
      <c r="O124" s="196">
        <f t="shared" si="102"/>
        <v>0</v>
      </c>
      <c r="P124" s="196">
        <f t="shared" si="103"/>
        <v>0</v>
      </c>
      <c r="Q124" s="196">
        <f t="shared" si="104"/>
        <v>0</v>
      </c>
      <c r="R124" s="196">
        <f t="shared" si="105"/>
        <v>0</v>
      </c>
      <c r="S124" s="196">
        <f t="shared" si="106"/>
        <v>0</v>
      </c>
      <c r="T124" s="196">
        <f t="shared" si="107"/>
        <v>0</v>
      </c>
      <c r="U124" s="185">
        <f>(C124&gt;0)*(C124&lt;$E$5)*VLOOKUP(MPP,ASUMSI!$BN$77:$CR$108,B124+1)*(1+$V$4)</f>
        <v>0</v>
      </c>
      <c r="V124" s="196">
        <f t="shared" si="108"/>
        <v>0</v>
      </c>
      <c r="W124" s="196">
        <f t="shared" si="109"/>
        <v>0</v>
      </c>
      <c r="X124" s="196">
        <f t="shared" si="110"/>
        <v>0</v>
      </c>
      <c r="Y124" s="196">
        <f t="shared" si="111"/>
        <v>0</v>
      </c>
      <c r="Z124" s="196">
        <f t="shared" si="112"/>
        <v>0</v>
      </c>
      <c r="AA124" s="185">
        <f t="shared" si="113"/>
        <v>0</v>
      </c>
      <c r="AB124" s="196">
        <f t="shared" si="114"/>
        <v>0</v>
      </c>
      <c r="AC124" s="196">
        <f t="shared" si="114"/>
        <v>0</v>
      </c>
      <c r="AD124" s="196">
        <f t="shared" si="114"/>
        <v>0</v>
      </c>
      <c r="AE124" s="196">
        <f t="shared" si="115"/>
        <v>0</v>
      </c>
      <c r="AF124" s="196">
        <f t="shared" si="116"/>
        <v>0</v>
      </c>
      <c r="AG124" s="196">
        <f t="shared" si="117"/>
        <v>0</v>
      </c>
      <c r="AH124" s="196">
        <f t="shared" si="118"/>
        <v>0</v>
      </c>
      <c r="AI124" s="266">
        <f>'DATA INPUT - DETAIL'!R115</f>
        <v>0</v>
      </c>
      <c r="AJ124" s="266">
        <f>'DATA INPUT - DETAIL'!S115</f>
        <v>0</v>
      </c>
      <c r="AK124" s="266">
        <f>'DATA INPUT - DETAIL'!T115</f>
        <v>0</v>
      </c>
      <c r="AL124" s="266">
        <f>'DATA INPUT - DETAIL'!U115</f>
        <v>0</v>
      </c>
      <c r="AM124" s="266">
        <f>'DATA INPUT - DETAIL'!V115</f>
        <v>0</v>
      </c>
      <c r="AN124" s="266">
        <f>'DATA INPUT - DETAIL'!W115</f>
        <v>0</v>
      </c>
      <c r="AO124" s="198">
        <f t="shared" si="119"/>
        <v>0</v>
      </c>
      <c r="AP124" s="266">
        <f>'DATA INPUT - DETAIL'!X115</f>
        <v>0</v>
      </c>
      <c r="AQ124" s="266">
        <f>'DATA INPUT - DETAIL'!Y115</f>
        <v>0</v>
      </c>
      <c r="AR124" s="266">
        <f>'DATA INPUT - DETAIL'!Z115</f>
        <v>0</v>
      </c>
      <c r="AS124" s="266">
        <f>'DATA INPUT - DETAIL'!AD115</f>
        <v>0</v>
      </c>
      <c r="AT124" s="266">
        <f t="shared" si="120"/>
        <v>0</v>
      </c>
      <c r="AU124" s="206">
        <f>'DATA INPUT - DETAIL'!AA115</f>
        <v>0</v>
      </c>
      <c r="AV124" s="206">
        <f>'DATA INPUT - DETAIL'!AB115</f>
        <v>0</v>
      </c>
      <c r="AW124" s="206">
        <f>'DATA INPUT - DETAIL'!AC115</f>
        <v>0</v>
      </c>
      <c r="AX124" s="206">
        <f t="shared" si="121"/>
        <v>0</v>
      </c>
      <c r="AY124" s="206">
        <f t="shared" si="122"/>
        <v>0</v>
      </c>
      <c r="AZ124" s="206">
        <f t="shared" si="123"/>
        <v>0</v>
      </c>
      <c r="BA124" s="206">
        <f t="shared" si="124"/>
        <v>0</v>
      </c>
      <c r="BB124" s="206">
        <f t="shared" si="125"/>
        <v>0</v>
      </c>
      <c r="BC124" s="206">
        <f t="shared" si="126"/>
        <v>0</v>
      </c>
      <c r="BD124" s="206">
        <f t="shared" si="127"/>
        <v>0</v>
      </c>
      <c r="BE124" s="206">
        <f t="shared" si="128"/>
        <v>0</v>
      </c>
      <c r="BF124" s="206">
        <f t="shared" si="129"/>
        <v>0</v>
      </c>
      <c r="BG124" s="206">
        <f t="shared" si="130"/>
        <v>0</v>
      </c>
      <c r="BH124" s="206">
        <f t="shared" si="131"/>
        <v>0</v>
      </c>
      <c r="BI124" s="206">
        <f t="shared" si="132"/>
        <v>0</v>
      </c>
      <c r="BJ124" s="266">
        <f t="shared" si="133"/>
        <v>0</v>
      </c>
      <c r="BK124" s="266">
        <f t="shared" si="134"/>
        <v>0</v>
      </c>
      <c r="BL124" s="192">
        <f t="shared" si="135"/>
        <v>0</v>
      </c>
      <c r="BM124" s="192">
        <f t="shared" si="136"/>
        <v>0</v>
      </c>
      <c r="BN124" s="192">
        <f t="shared" si="137"/>
        <v>0</v>
      </c>
      <c r="BO124" s="192">
        <f t="shared" si="138"/>
        <v>0</v>
      </c>
      <c r="BP124" s="192">
        <f t="shared" si="139"/>
        <v>0</v>
      </c>
      <c r="BQ124" s="193">
        <f t="shared" si="140"/>
        <v>0</v>
      </c>
      <c r="BR124" s="193">
        <f t="shared" si="141"/>
        <v>0</v>
      </c>
      <c r="BS124" s="265">
        <f t="shared" si="145"/>
        <v>0</v>
      </c>
      <c r="BT124" s="265">
        <f t="shared" si="146"/>
        <v>0</v>
      </c>
      <c r="BU124" s="265">
        <f t="shared" si="147"/>
        <v>0</v>
      </c>
      <c r="BV124" s="265">
        <f t="shared" si="148"/>
        <v>0</v>
      </c>
      <c r="BW124" s="265">
        <f t="shared" si="149"/>
        <v>0</v>
      </c>
      <c r="BX124" s="265">
        <f t="shared" si="150"/>
        <v>0</v>
      </c>
      <c r="BY124" s="265">
        <f t="shared" si="151"/>
        <v>0</v>
      </c>
      <c r="BZ124" s="265">
        <f t="shared" si="152"/>
        <v>0</v>
      </c>
      <c r="CA124" s="265">
        <f t="shared" si="153"/>
        <v>0</v>
      </c>
      <c r="CB124" s="269">
        <f t="shared" si="154"/>
        <v>0</v>
      </c>
      <c r="CC124" s="266">
        <f t="shared" si="155"/>
        <v>0</v>
      </c>
      <c r="CD124" s="241"/>
      <c r="CE124" s="198">
        <f t="shared" si="142"/>
        <v>1.1621988820799334E-10</v>
      </c>
      <c r="CF124" s="198">
        <f t="shared" si="156"/>
        <v>0</v>
      </c>
      <c r="CG124" s="198">
        <f t="shared" si="157"/>
        <v>0</v>
      </c>
      <c r="CH124" s="198">
        <f t="shared" si="158"/>
        <v>0</v>
      </c>
      <c r="CI124" s="198">
        <f t="shared" si="159"/>
        <v>0</v>
      </c>
      <c r="CJ124" s="198">
        <f t="shared" si="160"/>
        <v>0</v>
      </c>
      <c r="CK124" s="198">
        <f t="shared" si="161"/>
        <v>0</v>
      </c>
      <c r="CL124" s="198">
        <f t="shared" si="162"/>
        <v>5.0770609522715962E-13</v>
      </c>
      <c r="CM124" s="271">
        <f t="shared" si="163"/>
        <v>0</v>
      </c>
      <c r="CN124" s="198">
        <f t="shared" si="164"/>
        <v>1.1672759430322049E-10</v>
      </c>
      <c r="CO124" s="209">
        <f t="shared" si="143"/>
        <v>1.1621988820799334E-10</v>
      </c>
    </row>
    <row r="125" spans="2:93" x14ac:dyDescent="0.2">
      <c r="B125" s="221">
        <f>'DATA INPUT - DETAIL'!D116</f>
        <v>0</v>
      </c>
      <c r="C125" s="211">
        <f>'DATA INPUT - DETAIL'!E116</f>
        <v>0</v>
      </c>
      <c r="D125" s="257">
        <f>'DATA INPUT - DETAIL'!I116</f>
        <v>0</v>
      </c>
      <c r="E125" s="258">
        <f>'DATA INPUT - DETAIL'!K116</f>
        <v>0</v>
      </c>
      <c r="F125" s="258">
        <f>'DATA INPUT - DETAIL'!L116</f>
        <v>0</v>
      </c>
      <c r="G125" s="179">
        <f>'DATA INPUT - DETAIL'!M116*(1+$V$5)</f>
        <v>0</v>
      </c>
      <c r="H125" s="179">
        <f>'DATA INPUT - DETAIL'!N116*(1+$V$5)</f>
        <v>0</v>
      </c>
      <c r="I125" s="258">
        <f t="shared" si="100"/>
        <v>0</v>
      </c>
      <c r="J125" s="258">
        <f>'DATA INPUT - DETAIL'!O116</f>
        <v>0</v>
      </c>
      <c r="K125" s="258">
        <f>'DATA INPUT - DETAIL'!P116</f>
        <v>0</v>
      </c>
      <c r="L125" s="267">
        <f>ROUNDDOWN('DATA INPUT - DETAIL'!G116,0)</f>
        <v>0</v>
      </c>
      <c r="M125" s="196">
        <f t="shared" si="165"/>
        <v>0</v>
      </c>
      <c r="N125" s="196">
        <f t="shared" si="101"/>
        <v>0</v>
      </c>
      <c r="O125" s="196">
        <f t="shared" si="102"/>
        <v>0</v>
      </c>
      <c r="P125" s="196">
        <f t="shared" si="103"/>
        <v>0</v>
      </c>
      <c r="Q125" s="196">
        <f t="shared" si="104"/>
        <v>0</v>
      </c>
      <c r="R125" s="196">
        <f t="shared" si="105"/>
        <v>0</v>
      </c>
      <c r="S125" s="196">
        <f t="shared" si="106"/>
        <v>0</v>
      </c>
      <c r="T125" s="196">
        <f t="shared" si="107"/>
        <v>0</v>
      </c>
      <c r="U125" s="185">
        <f>(C125&gt;0)*(C125&lt;$E$5)*VLOOKUP(MPP,ASUMSI!$BN$77:$CR$108,B125+1)*(1+$V$4)</f>
        <v>0</v>
      </c>
      <c r="V125" s="196">
        <f t="shared" si="108"/>
        <v>0</v>
      </c>
      <c r="W125" s="196">
        <f t="shared" si="109"/>
        <v>0</v>
      </c>
      <c r="X125" s="196">
        <f t="shared" si="110"/>
        <v>0</v>
      </c>
      <c r="Y125" s="196">
        <f t="shared" si="111"/>
        <v>0</v>
      </c>
      <c r="Z125" s="196">
        <f t="shared" si="112"/>
        <v>0</v>
      </c>
      <c r="AA125" s="185">
        <f t="shared" si="113"/>
        <v>0</v>
      </c>
      <c r="AB125" s="196">
        <f t="shared" si="114"/>
        <v>0</v>
      </c>
      <c r="AC125" s="196">
        <f t="shared" si="114"/>
        <v>0</v>
      </c>
      <c r="AD125" s="196">
        <f t="shared" si="114"/>
        <v>0</v>
      </c>
      <c r="AE125" s="196">
        <f t="shared" si="115"/>
        <v>0</v>
      </c>
      <c r="AF125" s="196">
        <f t="shared" si="116"/>
        <v>0</v>
      </c>
      <c r="AG125" s="196">
        <f t="shared" si="117"/>
        <v>0</v>
      </c>
      <c r="AH125" s="196">
        <f t="shared" si="118"/>
        <v>0</v>
      </c>
      <c r="AI125" s="266">
        <f>'DATA INPUT - DETAIL'!R116</f>
        <v>0</v>
      </c>
      <c r="AJ125" s="266">
        <f>'DATA INPUT - DETAIL'!S116</f>
        <v>0</v>
      </c>
      <c r="AK125" s="266">
        <f>'DATA INPUT - DETAIL'!T116</f>
        <v>0</v>
      </c>
      <c r="AL125" s="266">
        <f>'DATA INPUT - DETAIL'!U116</f>
        <v>0</v>
      </c>
      <c r="AM125" s="266">
        <f>'DATA INPUT - DETAIL'!V116</f>
        <v>0</v>
      </c>
      <c r="AN125" s="266">
        <f>'DATA INPUT - DETAIL'!W116</f>
        <v>0</v>
      </c>
      <c r="AO125" s="198">
        <f t="shared" si="119"/>
        <v>0</v>
      </c>
      <c r="AP125" s="266">
        <f>'DATA INPUT - DETAIL'!X116</f>
        <v>0</v>
      </c>
      <c r="AQ125" s="266">
        <f>'DATA INPUT - DETAIL'!Y116</f>
        <v>0</v>
      </c>
      <c r="AR125" s="266">
        <f>'DATA INPUT - DETAIL'!Z116</f>
        <v>0</v>
      </c>
      <c r="AS125" s="266">
        <f>'DATA INPUT - DETAIL'!AD116</f>
        <v>0</v>
      </c>
      <c r="AT125" s="266">
        <f t="shared" si="120"/>
        <v>0</v>
      </c>
      <c r="AU125" s="206">
        <f>'DATA INPUT - DETAIL'!AA116</f>
        <v>0</v>
      </c>
      <c r="AV125" s="206">
        <f>'DATA INPUT - DETAIL'!AB116</f>
        <v>0</v>
      </c>
      <c r="AW125" s="206">
        <f>'DATA INPUT - DETAIL'!AC116</f>
        <v>0</v>
      </c>
      <c r="AX125" s="206">
        <f t="shared" si="121"/>
        <v>0</v>
      </c>
      <c r="AY125" s="206">
        <f t="shared" si="122"/>
        <v>0</v>
      </c>
      <c r="AZ125" s="206">
        <f t="shared" si="123"/>
        <v>0</v>
      </c>
      <c r="BA125" s="206">
        <f t="shared" si="124"/>
        <v>0</v>
      </c>
      <c r="BB125" s="206">
        <f t="shared" si="125"/>
        <v>0</v>
      </c>
      <c r="BC125" s="206">
        <f t="shared" si="126"/>
        <v>0</v>
      </c>
      <c r="BD125" s="206">
        <f t="shared" si="127"/>
        <v>0</v>
      </c>
      <c r="BE125" s="206">
        <f t="shared" si="128"/>
        <v>0</v>
      </c>
      <c r="BF125" s="206">
        <f t="shared" si="129"/>
        <v>0</v>
      </c>
      <c r="BG125" s="206">
        <f t="shared" si="130"/>
        <v>0</v>
      </c>
      <c r="BH125" s="206">
        <f t="shared" si="131"/>
        <v>0</v>
      </c>
      <c r="BI125" s="206">
        <f t="shared" si="132"/>
        <v>0</v>
      </c>
      <c r="BJ125" s="266">
        <f t="shared" si="133"/>
        <v>0</v>
      </c>
      <c r="BK125" s="266">
        <f t="shared" si="134"/>
        <v>0</v>
      </c>
      <c r="BL125" s="192">
        <f t="shared" si="135"/>
        <v>0</v>
      </c>
      <c r="BM125" s="192">
        <f t="shared" si="136"/>
        <v>0</v>
      </c>
      <c r="BN125" s="192">
        <f t="shared" si="137"/>
        <v>0</v>
      </c>
      <c r="BO125" s="192">
        <f t="shared" si="138"/>
        <v>0</v>
      </c>
      <c r="BP125" s="192">
        <f t="shared" si="139"/>
        <v>0</v>
      </c>
      <c r="BQ125" s="193">
        <f t="shared" si="140"/>
        <v>0</v>
      </c>
      <c r="BR125" s="193">
        <f t="shared" si="141"/>
        <v>0</v>
      </c>
      <c r="BS125" s="265">
        <f t="shared" si="145"/>
        <v>0</v>
      </c>
      <c r="BT125" s="265">
        <f t="shared" si="146"/>
        <v>0</v>
      </c>
      <c r="BU125" s="265">
        <f t="shared" si="147"/>
        <v>0</v>
      </c>
      <c r="BV125" s="265">
        <f t="shared" si="148"/>
        <v>0</v>
      </c>
      <c r="BW125" s="265">
        <f t="shared" si="149"/>
        <v>0</v>
      </c>
      <c r="BX125" s="265">
        <f t="shared" si="150"/>
        <v>0</v>
      </c>
      <c r="BY125" s="265">
        <f t="shared" si="151"/>
        <v>0</v>
      </c>
      <c r="BZ125" s="265">
        <f t="shared" si="152"/>
        <v>0</v>
      </c>
      <c r="CA125" s="265">
        <f t="shared" si="153"/>
        <v>0</v>
      </c>
      <c r="CB125" s="269">
        <f t="shared" si="154"/>
        <v>0</v>
      </c>
      <c r="CC125" s="266">
        <f t="shared" si="155"/>
        <v>0</v>
      </c>
      <c r="CD125" s="241"/>
      <c r="CE125" s="198">
        <f t="shared" si="142"/>
        <v>1.1672759430322049E-10</v>
      </c>
      <c r="CF125" s="198">
        <f t="shared" si="156"/>
        <v>0</v>
      </c>
      <c r="CG125" s="198">
        <f t="shared" si="157"/>
        <v>0</v>
      </c>
      <c r="CH125" s="198">
        <f t="shared" si="158"/>
        <v>0</v>
      </c>
      <c r="CI125" s="198">
        <f t="shared" si="159"/>
        <v>0</v>
      </c>
      <c r="CJ125" s="198">
        <f t="shared" si="160"/>
        <v>0</v>
      </c>
      <c r="CK125" s="198">
        <f t="shared" si="161"/>
        <v>0</v>
      </c>
      <c r="CL125" s="198">
        <f t="shared" si="162"/>
        <v>5.0992400717928178E-13</v>
      </c>
      <c r="CM125" s="271">
        <f t="shared" si="163"/>
        <v>0</v>
      </c>
      <c r="CN125" s="198">
        <f t="shared" si="164"/>
        <v>1.1723751831039976E-10</v>
      </c>
      <c r="CO125" s="209">
        <f t="shared" si="143"/>
        <v>1.1672759430322049E-10</v>
      </c>
    </row>
    <row r="126" spans="2:93" x14ac:dyDescent="0.2">
      <c r="B126" s="221">
        <f>'DATA INPUT - DETAIL'!D117</f>
        <v>0</v>
      </c>
      <c r="C126" s="211">
        <f>'DATA INPUT - DETAIL'!E117</f>
        <v>0</v>
      </c>
      <c r="D126" s="257">
        <f>'DATA INPUT - DETAIL'!I117</f>
        <v>0</v>
      </c>
      <c r="E126" s="258">
        <f>'DATA INPUT - DETAIL'!K117</f>
        <v>0</v>
      </c>
      <c r="F126" s="258">
        <f>'DATA INPUT - DETAIL'!L117</f>
        <v>0</v>
      </c>
      <c r="G126" s="179">
        <f>'DATA INPUT - DETAIL'!M117*(1+$V$5)</f>
        <v>0</v>
      </c>
      <c r="H126" s="179">
        <f>'DATA INPUT - DETAIL'!N117*(1+$V$5)</f>
        <v>0</v>
      </c>
      <c r="I126" s="258">
        <f t="shared" si="100"/>
        <v>0</v>
      </c>
      <c r="J126" s="258">
        <f>'DATA INPUT - DETAIL'!O117</f>
        <v>0</v>
      </c>
      <c r="K126" s="258">
        <f>'DATA INPUT - DETAIL'!P117</f>
        <v>0</v>
      </c>
      <c r="L126" s="267">
        <f>ROUNDDOWN('DATA INPUT - DETAIL'!G117,0)</f>
        <v>0</v>
      </c>
      <c r="M126" s="196">
        <f t="shared" si="165"/>
        <v>0</v>
      </c>
      <c r="N126" s="196">
        <f t="shared" si="101"/>
        <v>0</v>
      </c>
      <c r="O126" s="196">
        <f t="shared" si="102"/>
        <v>0</v>
      </c>
      <c r="P126" s="196">
        <f t="shared" si="103"/>
        <v>0</v>
      </c>
      <c r="Q126" s="196">
        <f t="shared" si="104"/>
        <v>0</v>
      </c>
      <c r="R126" s="196">
        <f t="shared" si="105"/>
        <v>0</v>
      </c>
      <c r="S126" s="196">
        <f t="shared" si="106"/>
        <v>0</v>
      </c>
      <c r="T126" s="196">
        <f t="shared" si="107"/>
        <v>0</v>
      </c>
      <c r="U126" s="185">
        <f>(C126&gt;0)*(C126&lt;$E$5)*VLOOKUP(MPP,ASUMSI!$BN$77:$CR$108,B126+1)*(1+$V$4)</f>
        <v>0</v>
      </c>
      <c r="V126" s="196">
        <f t="shared" si="108"/>
        <v>0</v>
      </c>
      <c r="W126" s="196">
        <f t="shared" si="109"/>
        <v>0</v>
      </c>
      <c r="X126" s="196">
        <f t="shared" si="110"/>
        <v>0</v>
      </c>
      <c r="Y126" s="196">
        <f t="shared" si="111"/>
        <v>0</v>
      </c>
      <c r="Z126" s="196">
        <f t="shared" si="112"/>
        <v>0</v>
      </c>
      <c r="AA126" s="185">
        <f t="shared" si="113"/>
        <v>0</v>
      </c>
      <c r="AB126" s="196">
        <f t="shared" si="114"/>
        <v>0</v>
      </c>
      <c r="AC126" s="196">
        <f t="shared" si="114"/>
        <v>0</v>
      </c>
      <c r="AD126" s="196">
        <f t="shared" si="114"/>
        <v>0</v>
      </c>
      <c r="AE126" s="196">
        <f t="shared" si="115"/>
        <v>0</v>
      </c>
      <c r="AF126" s="196">
        <f t="shared" si="116"/>
        <v>0</v>
      </c>
      <c r="AG126" s="196">
        <f t="shared" si="117"/>
        <v>0</v>
      </c>
      <c r="AH126" s="196">
        <f t="shared" si="118"/>
        <v>0</v>
      </c>
      <c r="AI126" s="266">
        <f>'DATA INPUT - DETAIL'!R117</f>
        <v>0</v>
      </c>
      <c r="AJ126" s="266">
        <f>'DATA INPUT - DETAIL'!S117</f>
        <v>0</v>
      </c>
      <c r="AK126" s="266">
        <f>'DATA INPUT - DETAIL'!T117</f>
        <v>0</v>
      </c>
      <c r="AL126" s="266">
        <f>'DATA INPUT - DETAIL'!U117</f>
        <v>0</v>
      </c>
      <c r="AM126" s="266">
        <f>'DATA INPUT - DETAIL'!V117</f>
        <v>0</v>
      </c>
      <c r="AN126" s="266">
        <f>'DATA INPUT - DETAIL'!W117</f>
        <v>0</v>
      </c>
      <c r="AO126" s="198">
        <f t="shared" si="119"/>
        <v>0</v>
      </c>
      <c r="AP126" s="266">
        <f>'DATA INPUT - DETAIL'!X117</f>
        <v>0</v>
      </c>
      <c r="AQ126" s="266">
        <f>'DATA INPUT - DETAIL'!Y117</f>
        <v>0</v>
      </c>
      <c r="AR126" s="266">
        <f>'DATA INPUT - DETAIL'!Z117</f>
        <v>0</v>
      </c>
      <c r="AS126" s="266">
        <f>'DATA INPUT - DETAIL'!AD117</f>
        <v>0</v>
      </c>
      <c r="AT126" s="266">
        <f t="shared" si="120"/>
        <v>0</v>
      </c>
      <c r="AU126" s="206">
        <f>'DATA INPUT - DETAIL'!AA117</f>
        <v>0</v>
      </c>
      <c r="AV126" s="206">
        <f>'DATA INPUT - DETAIL'!AB117</f>
        <v>0</v>
      </c>
      <c r="AW126" s="206">
        <f>'DATA INPUT - DETAIL'!AC117</f>
        <v>0</v>
      </c>
      <c r="AX126" s="206">
        <f t="shared" si="121"/>
        <v>0</v>
      </c>
      <c r="AY126" s="206">
        <f t="shared" si="122"/>
        <v>0</v>
      </c>
      <c r="AZ126" s="206">
        <f t="shared" si="123"/>
        <v>0</v>
      </c>
      <c r="BA126" s="206">
        <f t="shared" si="124"/>
        <v>0</v>
      </c>
      <c r="BB126" s="206">
        <f t="shared" si="125"/>
        <v>0</v>
      </c>
      <c r="BC126" s="206">
        <f t="shared" si="126"/>
        <v>0</v>
      </c>
      <c r="BD126" s="206">
        <f t="shared" si="127"/>
        <v>0</v>
      </c>
      <c r="BE126" s="206">
        <f t="shared" si="128"/>
        <v>0</v>
      </c>
      <c r="BF126" s="206">
        <f t="shared" si="129"/>
        <v>0</v>
      </c>
      <c r="BG126" s="206">
        <f t="shared" si="130"/>
        <v>0</v>
      </c>
      <c r="BH126" s="206">
        <f t="shared" si="131"/>
        <v>0</v>
      </c>
      <c r="BI126" s="206">
        <f t="shared" si="132"/>
        <v>0</v>
      </c>
      <c r="BJ126" s="266">
        <f t="shared" si="133"/>
        <v>0</v>
      </c>
      <c r="BK126" s="266">
        <f t="shared" si="134"/>
        <v>0</v>
      </c>
      <c r="BL126" s="192">
        <f t="shared" si="135"/>
        <v>0</v>
      </c>
      <c r="BM126" s="192">
        <f t="shared" si="136"/>
        <v>0</v>
      </c>
      <c r="BN126" s="192">
        <f t="shared" si="137"/>
        <v>0</v>
      </c>
      <c r="BO126" s="192">
        <f t="shared" si="138"/>
        <v>0</v>
      </c>
      <c r="BP126" s="192">
        <f t="shared" si="139"/>
        <v>0</v>
      </c>
      <c r="BQ126" s="193">
        <f t="shared" si="140"/>
        <v>0</v>
      </c>
      <c r="BR126" s="193">
        <f t="shared" si="141"/>
        <v>0</v>
      </c>
      <c r="BS126" s="265">
        <f t="shared" si="145"/>
        <v>0</v>
      </c>
      <c r="BT126" s="265">
        <f t="shared" si="146"/>
        <v>0</v>
      </c>
      <c r="BU126" s="265">
        <f t="shared" si="147"/>
        <v>0</v>
      </c>
      <c r="BV126" s="265">
        <f t="shared" si="148"/>
        <v>0</v>
      </c>
      <c r="BW126" s="265">
        <f t="shared" si="149"/>
        <v>0</v>
      </c>
      <c r="BX126" s="265">
        <f t="shared" si="150"/>
        <v>0</v>
      </c>
      <c r="BY126" s="265">
        <f t="shared" si="151"/>
        <v>0</v>
      </c>
      <c r="BZ126" s="265">
        <f t="shared" si="152"/>
        <v>0</v>
      </c>
      <c r="CA126" s="265">
        <f t="shared" si="153"/>
        <v>0</v>
      </c>
      <c r="CB126" s="269">
        <f t="shared" si="154"/>
        <v>0</v>
      </c>
      <c r="CC126" s="266">
        <f t="shared" si="155"/>
        <v>0</v>
      </c>
      <c r="CD126" s="241"/>
      <c r="CE126" s="198">
        <f t="shared" si="142"/>
        <v>1.1723751831039976E-10</v>
      </c>
      <c r="CF126" s="198">
        <f t="shared" si="156"/>
        <v>0</v>
      </c>
      <c r="CG126" s="198">
        <f t="shared" si="157"/>
        <v>0</v>
      </c>
      <c r="CH126" s="198">
        <f t="shared" si="158"/>
        <v>0</v>
      </c>
      <c r="CI126" s="198">
        <f t="shared" si="159"/>
        <v>0</v>
      </c>
      <c r="CJ126" s="198">
        <f t="shared" si="160"/>
        <v>0</v>
      </c>
      <c r="CK126" s="198">
        <f t="shared" si="161"/>
        <v>0</v>
      </c>
      <c r="CL126" s="198">
        <f t="shared" si="162"/>
        <v>5.1215160807048419E-13</v>
      </c>
      <c r="CM126" s="271">
        <f t="shared" si="163"/>
        <v>0</v>
      </c>
      <c r="CN126" s="198">
        <f t="shared" si="164"/>
        <v>1.1774966991847025E-10</v>
      </c>
      <c r="CO126" s="209">
        <f t="shared" si="143"/>
        <v>1.1723751831039976E-10</v>
      </c>
    </row>
    <row r="127" spans="2:93" x14ac:dyDescent="0.2">
      <c r="B127" s="221">
        <f>'DATA INPUT - DETAIL'!D118</f>
        <v>0</v>
      </c>
      <c r="C127" s="211">
        <f>'DATA INPUT - DETAIL'!E118</f>
        <v>0</v>
      </c>
      <c r="D127" s="257">
        <f>'DATA INPUT - DETAIL'!I118</f>
        <v>0</v>
      </c>
      <c r="E127" s="258">
        <f>'DATA INPUT - DETAIL'!K118</f>
        <v>0</v>
      </c>
      <c r="F127" s="258">
        <f>'DATA INPUT - DETAIL'!L118</f>
        <v>0</v>
      </c>
      <c r="G127" s="179">
        <f>'DATA INPUT - DETAIL'!M118*(1+$V$5)</f>
        <v>0</v>
      </c>
      <c r="H127" s="179">
        <f>'DATA INPUT - DETAIL'!N118*(1+$V$5)</f>
        <v>0</v>
      </c>
      <c r="I127" s="258">
        <f t="shared" si="100"/>
        <v>0</v>
      </c>
      <c r="J127" s="258">
        <f>'DATA INPUT - DETAIL'!O118</f>
        <v>0</v>
      </c>
      <c r="K127" s="258">
        <f>'DATA INPUT - DETAIL'!P118</f>
        <v>0</v>
      </c>
      <c r="L127" s="267">
        <f>ROUNDDOWN('DATA INPUT - DETAIL'!G118,0)</f>
        <v>0</v>
      </c>
      <c r="M127" s="196">
        <f t="shared" si="165"/>
        <v>0</v>
      </c>
      <c r="N127" s="196">
        <f t="shared" si="101"/>
        <v>0</v>
      </c>
      <c r="O127" s="196">
        <f t="shared" si="102"/>
        <v>0</v>
      </c>
      <c r="P127" s="196">
        <f t="shared" si="103"/>
        <v>0</v>
      </c>
      <c r="Q127" s="196">
        <f t="shared" si="104"/>
        <v>0</v>
      </c>
      <c r="R127" s="196">
        <f t="shared" si="105"/>
        <v>0</v>
      </c>
      <c r="S127" s="196">
        <f t="shared" si="106"/>
        <v>0</v>
      </c>
      <c r="T127" s="196">
        <f t="shared" si="107"/>
        <v>0</v>
      </c>
      <c r="U127" s="185">
        <f>(C127&gt;0)*(C127&lt;$E$5)*VLOOKUP(MPP,ASUMSI!$BN$77:$CR$108,B127+1)*(1+$V$4)</f>
        <v>0</v>
      </c>
      <c r="V127" s="196">
        <f t="shared" si="108"/>
        <v>0</v>
      </c>
      <c r="W127" s="196">
        <f t="shared" si="109"/>
        <v>0</v>
      </c>
      <c r="X127" s="196">
        <f t="shared" si="110"/>
        <v>0</v>
      </c>
      <c r="Y127" s="196">
        <f t="shared" si="111"/>
        <v>0</v>
      </c>
      <c r="Z127" s="196">
        <f t="shared" si="112"/>
        <v>0</v>
      </c>
      <c r="AA127" s="185">
        <f t="shared" si="113"/>
        <v>0</v>
      </c>
      <c r="AB127" s="196">
        <f t="shared" si="114"/>
        <v>0</v>
      </c>
      <c r="AC127" s="196">
        <f t="shared" si="114"/>
        <v>0</v>
      </c>
      <c r="AD127" s="196">
        <f t="shared" si="114"/>
        <v>0</v>
      </c>
      <c r="AE127" s="196">
        <f t="shared" si="115"/>
        <v>0</v>
      </c>
      <c r="AF127" s="196">
        <f t="shared" si="116"/>
        <v>0</v>
      </c>
      <c r="AG127" s="196">
        <f t="shared" si="117"/>
        <v>0</v>
      </c>
      <c r="AH127" s="196">
        <f t="shared" si="118"/>
        <v>0</v>
      </c>
      <c r="AI127" s="266">
        <f>'DATA INPUT - DETAIL'!R118</f>
        <v>0</v>
      </c>
      <c r="AJ127" s="266">
        <f>'DATA INPUT - DETAIL'!S118</f>
        <v>0</v>
      </c>
      <c r="AK127" s="266">
        <f>'DATA INPUT - DETAIL'!T118</f>
        <v>0</v>
      </c>
      <c r="AL127" s="266">
        <f>'DATA INPUT - DETAIL'!U118</f>
        <v>0</v>
      </c>
      <c r="AM127" s="266">
        <f>'DATA INPUT - DETAIL'!V118</f>
        <v>0</v>
      </c>
      <c r="AN127" s="266">
        <f>'DATA INPUT - DETAIL'!W118</f>
        <v>0</v>
      </c>
      <c r="AO127" s="198">
        <f t="shared" si="119"/>
        <v>0</v>
      </c>
      <c r="AP127" s="266">
        <f>'DATA INPUT - DETAIL'!X118</f>
        <v>0</v>
      </c>
      <c r="AQ127" s="266">
        <f>'DATA INPUT - DETAIL'!Y118</f>
        <v>0</v>
      </c>
      <c r="AR127" s="266">
        <f>'DATA INPUT - DETAIL'!Z118</f>
        <v>0</v>
      </c>
      <c r="AS127" s="266">
        <f>'DATA INPUT - DETAIL'!AD118</f>
        <v>0</v>
      </c>
      <c r="AT127" s="266">
        <f t="shared" si="120"/>
        <v>0</v>
      </c>
      <c r="AU127" s="206">
        <f>'DATA INPUT - DETAIL'!AA118</f>
        <v>0</v>
      </c>
      <c r="AV127" s="206">
        <f>'DATA INPUT - DETAIL'!AB118</f>
        <v>0</v>
      </c>
      <c r="AW127" s="206">
        <f>'DATA INPUT - DETAIL'!AC118</f>
        <v>0</v>
      </c>
      <c r="AX127" s="206">
        <f t="shared" si="121"/>
        <v>0</v>
      </c>
      <c r="AY127" s="206">
        <f t="shared" si="122"/>
        <v>0</v>
      </c>
      <c r="AZ127" s="206">
        <f t="shared" si="123"/>
        <v>0</v>
      </c>
      <c r="BA127" s="206">
        <f t="shared" si="124"/>
        <v>0</v>
      </c>
      <c r="BB127" s="206">
        <f t="shared" si="125"/>
        <v>0</v>
      </c>
      <c r="BC127" s="206">
        <f t="shared" si="126"/>
        <v>0</v>
      </c>
      <c r="BD127" s="206">
        <f t="shared" si="127"/>
        <v>0</v>
      </c>
      <c r="BE127" s="206">
        <f t="shared" si="128"/>
        <v>0</v>
      </c>
      <c r="BF127" s="206">
        <f t="shared" si="129"/>
        <v>0</v>
      </c>
      <c r="BG127" s="206">
        <f t="shared" si="130"/>
        <v>0</v>
      </c>
      <c r="BH127" s="206">
        <f t="shared" si="131"/>
        <v>0</v>
      </c>
      <c r="BI127" s="206">
        <f t="shared" si="132"/>
        <v>0</v>
      </c>
      <c r="BJ127" s="266">
        <f t="shared" si="133"/>
        <v>0</v>
      </c>
      <c r="BK127" s="266">
        <f t="shared" si="134"/>
        <v>0</v>
      </c>
      <c r="BL127" s="192">
        <f t="shared" si="135"/>
        <v>0</v>
      </c>
      <c r="BM127" s="192">
        <f t="shared" si="136"/>
        <v>0</v>
      </c>
      <c r="BN127" s="192">
        <f t="shared" si="137"/>
        <v>0</v>
      </c>
      <c r="BO127" s="192">
        <f t="shared" si="138"/>
        <v>0</v>
      </c>
      <c r="BP127" s="192">
        <f t="shared" si="139"/>
        <v>0</v>
      </c>
      <c r="BQ127" s="193">
        <f t="shared" si="140"/>
        <v>0</v>
      </c>
      <c r="BR127" s="193">
        <f t="shared" si="141"/>
        <v>0</v>
      </c>
      <c r="BS127" s="265">
        <f t="shared" si="145"/>
        <v>0</v>
      </c>
      <c r="BT127" s="265">
        <f t="shared" si="146"/>
        <v>0</v>
      </c>
      <c r="BU127" s="265">
        <f t="shared" si="147"/>
        <v>0</v>
      </c>
      <c r="BV127" s="265">
        <f t="shared" si="148"/>
        <v>0</v>
      </c>
      <c r="BW127" s="265">
        <f t="shared" si="149"/>
        <v>0</v>
      </c>
      <c r="BX127" s="265">
        <f t="shared" si="150"/>
        <v>0</v>
      </c>
      <c r="BY127" s="265">
        <f t="shared" si="151"/>
        <v>0</v>
      </c>
      <c r="BZ127" s="265">
        <f t="shared" si="152"/>
        <v>0</v>
      </c>
      <c r="CA127" s="265">
        <f t="shared" si="153"/>
        <v>0</v>
      </c>
      <c r="CB127" s="269">
        <f t="shared" si="154"/>
        <v>0</v>
      </c>
      <c r="CC127" s="266">
        <f t="shared" si="155"/>
        <v>0</v>
      </c>
      <c r="CD127" s="241"/>
      <c r="CE127" s="198">
        <f t="shared" si="142"/>
        <v>1.1774966991847025E-10</v>
      </c>
      <c r="CF127" s="198">
        <f t="shared" si="156"/>
        <v>0</v>
      </c>
      <c r="CG127" s="198">
        <f t="shared" si="157"/>
        <v>0</v>
      </c>
      <c r="CH127" s="198">
        <f t="shared" si="158"/>
        <v>0</v>
      </c>
      <c r="CI127" s="198">
        <f t="shared" si="159"/>
        <v>0</v>
      </c>
      <c r="CJ127" s="198">
        <f t="shared" si="160"/>
        <v>0</v>
      </c>
      <c r="CK127" s="198">
        <f t="shared" si="161"/>
        <v>0</v>
      </c>
      <c r="CL127" s="198">
        <f t="shared" si="162"/>
        <v>5.1438894022685681E-13</v>
      </c>
      <c r="CM127" s="271">
        <f t="shared" si="163"/>
        <v>0</v>
      </c>
      <c r="CN127" s="198">
        <f t="shared" si="164"/>
        <v>1.1826405885869712E-10</v>
      </c>
      <c r="CO127" s="209">
        <f t="shared" si="143"/>
        <v>1.1774966991847025E-10</v>
      </c>
    </row>
    <row r="128" spans="2:93" x14ac:dyDescent="0.2">
      <c r="B128" s="221">
        <f>'DATA INPUT - DETAIL'!D119</f>
        <v>0</v>
      </c>
      <c r="C128" s="211">
        <f>'DATA INPUT - DETAIL'!E119</f>
        <v>0</v>
      </c>
      <c r="D128" s="257">
        <f>'DATA INPUT - DETAIL'!I119</f>
        <v>0</v>
      </c>
      <c r="E128" s="258">
        <f>'DATA INPUT - DETAIL'!K119</f>
        <v>0</v>
      </c>
      <c r="F128" s="258">
        <f>'DATA INPUT - DETAIL'!L119</f>
        <v>0</v>
      </c>
      <c r="G128" s="179">
        <f>'DATA INPUT - DETAIL'!M119*(1+$V$5)</f>
        <v>0</v>
      </c>
      <c r="H128" s="179">
        <f>'DATA INPUT - DETAIL'!N119*(1+$V$5)</f>
        <v>0</v>
      </c>
      <c r="I128" s="258">
        <f t="shared" ref="I128:I191" si="166">H128*(1+$M$5)^C128</f>
        <v>0</v>
      </c>
      <c r="J128" s="258">
        <f>'DATA INPUT - DETAIL'!O119</f>
        <v>0</v>
      </c>
      <c r="K128" s="258">
        <f>'DATA INPUT - DETAIL'!P119</f>
        <v>0</v>
      </c>
      <c r="L128" s="267">
        <f>ROUNDDOWN('DATA INPUT - DETAIL'!G119,0)</f>
        <v>0</v>
      </c>
      <c r="M128" s="196">
        <f t="shared" si="165"/>
        <v>0</v>
      </c>
      <c r="N128" s="196">
        <f t="shared" ref="N128:N191" si="167">IF($AJ$7=0,0,IF(AND(C128&lt;=$E$5-1,C128&lt;&gt;0), VLOOKUP(L128,Mortality,7,FALSE)*(1+$V$3), 0))</f>
        <v>0</v>
      </c>
      <c r="O128" s="196">
        <f t="shared" ref="O128:O191" si="168">IF($AK$7=0,0,IF(AND(C128&lt;=$E$5-1,C128&lt;&gt;0), VLOOKUP(L128,Mortality,9,FALSE)*(1+$V$3), 0))</f>
        <v>0</v>
      </c>
      <c r="P128" s="196">
        <f t="shared" ref="P128:P191" si="169">IF($AL$7=0,0,IF(AND(C128&lt;=$E$5-1,C128&lt;&gt;0), VLOOKUP(L128,Mortality,11,FALSE)*(1+$V$3), 0))</f>
        <v>0</v>
      </c>
      <c r="Q128" s="196">
        <f t="shared" ref="Q128:Q191" si="170">IF($AM$7=0,0,IF(AND(C128&lt;=$E$5-1,C128&lt;&gt;0), VLOOKUP(L128,Mortality,13,FALSE)*(1+$V$3), 0))</f>
        <v>0</v>
      </c>
      <c r="R128" s="196">
        <f t="shared" ref="R128:R191" si="171">IF($AP$7=0,0,IF(AND(C128&lt;=$E$5-1,C128&lt;&gt;0), VLOOKUP(L128,Mortality,15,FALSE)*(1+$V$3), 0))</f>
        <v>0</v>
      </c>
      <c r="S128" s="196">
        <f t="shared" ref="S128:S191" si="172">IF($AQ$7=0,0,IF(AND(C128&lt;=$E$5-1,C128&lt;&gt;0), VLOOKUP(L128,Mortality,17,FALSE)*(1+$V$3), 0))</f>
        <v>0</v>
      </c>
      <c r="T128" s="196">
        <f t="shared" ref="T128:T191" si="173">IF($AR$7=0,0,IF(AND(C128&lt;=$E$5-1,C128&lt;&gt;0), VLOOKUP(L128,Mortality,19,FALSE)*(1+$V$3), 0))</f>
        <v>0</v>
      </c>
      <c r="U128" s="185">
        <f>(C128&gt;0)*(C128&lt;$E$5)*VLOOKUP(MPP,ASUMSI!$BN$77:$CR$108,B128+1)*(1+$V$4)</f>
        <v>0</v>
      </c>
      <c r="V128" s="196">
        <f t="shared" ref="V128:V191" si="174">IF(C128=$E$5,1,0)</f>
        <v>0</v>
      </c>
      <c r="W128" s="196">
        <f t="shared" ref="W128:W191" si="175">AA127</f>
        <v>0</v>
      </c>
      <c r="X128" s="196">
        <f t="shared" ref="X128:X191" si="176">M128*$AA127</f>
        <v>0</v>
      </c>
      <c r="Y128" s="196">
        <f t="shared" ref="Y128:Y191" si="177">U128*AA127</f>
        <v>0</v>
      </c>
      <c r="Z128" s="196">
        <f t="shared" ref="Z128:Z191" si="178">V128*AA127</f>
        <v>0</v>
      </c>
      <c r="AA128" s="185">
        <f t="shared" ref="AA128:AA191" si="179">IF(C128=0,0,W128-SUM(X128:Z128))</f>
        <v>0</v>
      </c>
      <c r="AB128" s="196">
        <f t="shared" ref="AB128:AB191" si="180">N128*$AA127</f>
        <v>0</v>
      </c>
      <c r="AC128" s="196">
        <f t="shared" ref="AC128:AC191" si="181">O128*$AA127</f>
        <v>0</v>
      </c>
      <c r="AD128" s="196">
        <f t="shared" ref="AD128:AD191" si="182">P128*$AA127</f>
        <v>0</v>
      </c>
      <c r="AE128" s="196">
        <f t="shared" ref="AE128:AE191" si="183">Q128*$AA127</f>
        <v>0</v>
      </c>
      <c r="AF128" s="196">
        <f t="shared" ref="AF128:AF191" si="184">R128*$AA127</f>
        <v>0</v>
      </c>
      <c r="AG128" s="196">
        <f t="shared" ref="AG128:AG191" si="185">S128*$AA127</f>
        <v>0</v>
      </c>
      <c r="AH128" s="196">
        <f t="shared" ref="AH128:AH191" si="186">T128*$AA127</f>
        <v>0</v>
      </c>
      <c r="AI128" s="266">
        <f>'DATA INPUT - DETAIL'!R119</f>
        <v>0</v>
      </c>
      <c r="AJ128" s="266">
        <f>'DATA INPUT - DETAIL'!S119</f>
        <v>0</v>
      </c>
      <c r="AK128" s="266">
        <f>'DATA INPUT - DETAIL'!T119</f>
        <v>0</v>
      </c>
      <c r="AL128" s="266">
        <f>'DATA INPUT - DETAIL'!U119</f>
        <v>0</v>
      </c>
      <c r="AM128" s="266">
        <f>'DATA INPUT - DETAIL'!V119</f>
        <v>0</v>
      </c>
      <c r="AN128" s="266">
        <f>'DATA INPUT - DETAIL'!W119</f>
        <v>0</v>
      </c>
      <c r="AO128" s="198">
        <f t="shared" ref="AO128:AO191" si="187">AN128+AO129/(1+$BS$5)</f>
        <v>0</v>
      </c>
      <c r="AP128" s="266">
        <f>'DATA INPUT - DETAIL'!X119</f>
        <v>0</v>
      </c>
      <c r="AQ128" s="266">
        <f>'DATA INPUT - DETAIL'!Y119</f>
        <v>0</v>
      </c>
      <c r="AR128" s="266">
        <f>'DATA INPUT - DETAIL'!Z119</f>
        <v>0</v>
      </c>
      <c r="AS128" s="266">
        <f>'DATA INPUT - DETAIL'!AD119</f>
        <v>0</v>
      </c>
      <c r="AT128" s="266">
        <f t="shared" ref="AT128:AT191" si="188">AS128+AT129*(1+$AS$4)</f>
        <v>0</v>
      </c>
      <c r="AU128" s="206">
        <f>'DATA INPUT - DETAIL'!AA119</f>
        <v>0</v>
      </c>
      <c r="AV128" s="206">
        <f>'DATA INPUT - DETAIL'!AB119</f>
        <v>0</v>
      </c>
      <c r="AW128" s="206">
        <f>'DATA INPUT - DETAIL'!AC119</f>
        <v>0</v>
      </c>
      <c r="AX128" s="206">
        <f t="shared" ref="AX128:AX191" si="189">IF(AI128=0,0,(AI128+AT128)*X128)</f>
        <v>0</v>
      </c>
      <c r="AY128" s="206">
        <f t="shared" ref="AY128:AY191" si="190">IF(AJ128=0,0,AJ128*AB128)</f>
        <v>0</v>
      </c>
      <c r="AZ128" s="206">
        <f t="shared" ref="AZ128:AZ191" si="191">AK128*AC128</f>
        <v>0</v>
      </c>
      <c r="BA128" s="206">
        <f t="shared" ref="BA128:BA191" si="192">AL128*AD128</f>
        <v>0</v>
      </c>
      <c r="BB128" s="206">
        <f t="shared" ref="BB128:BB191" si="193">AM128*AE128</f>
        <v>0</v>
      </c>
      <c r="BC128" s="206">
        <f t="shared" ref="BC128:BC191" si="194">AO128*X128</f>
        <v>0</v>
      </c>
      <c r="BD128" s="206">
        <f t="shared" ref="BD128:BD191" si="195">AP128*AF128</f>
        <v>0</v>
      </c>
      <c r="BE128" s="206">
        <f t="shared" ref="BE128:BE191" si="196">AQ128*AG128</f>
        <v>0</v>
      </c>
      <c r="BF128" s="206">
        <f t="shared" ref="BF128:BF191" si="197">AR128*AH128</f>
        <v>0</v>
      </c>
      <c r="BG128" s="206">
        <f t="shared" ref="BG128:BG191" si="198">(AU128+AT128)*Y128</f>
        <v>0</v>
      </c>
      <c r="BH128" s="206">
        <f t="shared" ref="BH128:BH191" si="199">AV128*AA128</f>
        <v>0</v>
      </c>
      <c r="BI128" s="206">
        <f t="shared" ref="BI128:BI191" si="200">(AW128+AT128)*Z128</f>
        <v>0</v>
      </c>
      <c r="BJ128" s="266">
        <f t="shared" ref="BJ128:BJ191" si="201">SUM(AX128:BF128)+SUM(BH128:BI128)</f>
        <v>0</v>
      </c>
      <c r="BK128" s="266">
        <f t="shared" ref="BK128:BK191" si="202">BG128</f>
        <v>0</v>
      </c>
      <c r="BL128" s="192">
        <f t="shared" ref="BL128:BL191" si="203">E128*$W128</f>
        <v>0</v>
      </c>
      <c r="BM128" s="192">
        <f t="shared" ref="BM128:BM191" si="204">F128*$W128</f>
        <v>0</v>
      </c>
      <c r="BN128" s="192">
        <f t="shared" ref="BN128:BN191" si="205">G128*$W128</f>
        <v>0</v>
      </c>
      <c r="BO128" s="192">
        <f t="shared" ref="BO128:BO191" si="206">I128*$W128</f>
        <v>0</v>
      </c>
      <c r="BP128" s="192">
        <f t="shared" ref="BP128:BP191" si="207">SUM(BN128:BO128)</f>
        <v>0</v>
      </c>
      <c r="BQ128" s="193">
        <f t="shared" ref="BQ128:BQ191" si="208">(SUM(E128:G128)+I128)*W128</f>
        <v>0</v>
      </c>
      <c r="BR128" s="193">
        <f t="shared" ref="BR128:BR191" si="209">D128*W128</f>
        <v>0</v>
      </c>
      <c r="BS128" s="265">
        <f t="shared" ref="BS128:BS191" si="210">(BJ128+BS129)/(1+$BS$5)</f>
        <v>0</v>
      </c>
      <c r="BT128" s="265">
        <f t="shared" ref="BT128:BT191" si="211">(BK128+BT129)/(1+$BS$5)</f>
        <v>0</v>
      </c>
      <c r="BU128" s="265">
        <f t="shared" ref="BU128:BU191" si="212">BL128+BU129/(1+$BS$5)</f>
        <v>0</v>
      </c>
      <c r="BV128" s="265">
        <f t="shared" ref="BV128:BV191" si="213">BM128+BV129/(1+$BS$5)</f>
        <v>0</v>
      </c>
      <c r="BW128" s="265">
        <f t="shared" ref="BW128:BW191" si="214">BN128+BW129/(1+$BS$5)</f>
        <v>0</v>
      </c>
      <c r="BX128" s="265">
        <f t="shared" ref="BX128:BX191" si="215">BO128+BX129/(1+$BS$5)</f>
        <v>0</v>
      </c>
      <c r="BY128" s="265">
        <f t="shared" ref="BY128:BY191" si="216">BP128+BY129/(1+$BS$5)</f>
        <v>0</v>
      </c>
      <c r="BZ128" s="265">
        <f t="shared" ref="BZ128:BZ191" si="217">BQ128+BZ129/(1+$BS$5)</f>
        <v>0</v>
      </c>
      <c r="CA128" s="265">
        <f t="shared" ref="CA128:CA191" si="218">BR128+CA129/(1+$BS$5)</f>
        <v>0</v>
      </c>
      <c r="CB128" s="269">
        <f t="shared" ref="CB128:CB191" si="219">BS128+BT128+BZ128-CA128</f>
        <v>0</v>
      </c>
      <c r="CC128" s="266">
        <f t="shared" ref="CC128:CC191" si="220">IF(AND(C128=0,C129=0),0,CB128/W128)</f>
        <v>0</v>
      </c>
      <c r="CD128" s="241"/>
      <c r="CE128" s="198">
        <f t="shared" ref="CE128:CE191" si="221">CN127</f>
        <v>1.1826405885869712E-10</v>
      </c>
      <c r="CF128" s="198">
        <f t="shared" si="156"/>
        <v>0</v>
      </c>
      <c r="CG128" s="198">
        <f t="shared" si="157"/>
        <v>0</v>
      </c>
      <c r="CH128" s="198">
        <f t="shared" si="158"/>
        <v>0</v>
      </c>
      <c r="CI128" s="198">
        <f t="shared" si="159"/>
        <v>0</v>
      </c>
      <c r="CJ128" s="198">
        <f t="shared" si="160"/>
        <v>0</v>
      </c>
      <c r="CK128" s="198">
        <f t="shared" si="161"/>
        <v>0</v>
      </c>
      <c r="CL128" s="198">
        <f t="shared" si="162"/>
        <v>5.1663604615939077E-13</v>
      </c>
      <c r="CM128" s="271">
        <f t="shared" si="163"/>
        <v>0</v>
      </c>
      <c r="CN128" s="198">
        <f t="shared" si="164"/>
        <v>1.1878069490485649E-10</v>
      </c>
      <c r="CO128" s="209">
        <f t="shared" ref="CO128:CO191" si="222">CE128-CC128</f>
        <v>1.1826405885869712E-10</v>
      </c>
    </row>
    <row r="129" spans="2:93" x14ac:dyDescent="0.2">
      <c r="B129" s="221">
        <f>'DATA INPUT - DETAIL'!D120</f>
        <v>0</v>
      </c>
      <c r="C129" s="211">
        <f>'DATA INPUT - DETAIL'!E120</f>
        <v>0</v>
      </c>
      <c r="D129" s="257">
        <f>'DATA INPUT - DETAIL'!I120</f>
        <v>0</v>
      </c>
      <c r="E129" s="258">
        <f>'DATA INPUT - DETAIL'!K120</f>
        <v>0</v>
      </c>
      <c r="F129" s="258">
        <f>'DATA INPUT - DETAIL'!L120</f>
        <v>0</v>
      </c>
      <c r="G129" s="179">
        <f>'DATA INPUT - DETAIL'!M120*(1+$V$5)</f>
        <v>0</v>
      </c>
      <c r="H129" s="179">
        <f>'DATA INPUT - DETAIL'!N120*(1+$V$5)</f>
        <v>0</v>
      </c>
      <c r="I129" s="258">
        <f t="shared" si="166"/>
        <v>0</v>
      </c>
      <c r="J129" s="258">
        <f>'DATA INPUT - DETAIL'!O120</f>
        <v>0</v>
      </c>
      <c r="K129" s="258">
        <f>'DATA INPUT - DETAIL'!P120</f>
        <v>0</v>
      </c>
      <c r="L129" s="267">
        <f>ROUNDDOWN('DATA INPUT - DETAIL'!G120,0)</f>
        <v>0</v>
      </c>
      <c r="M129" s="196">
        <f t="shared" si="165"/>
        <v>0</v>
      </c>
      <c r="N129" s="196">
        <f t="shared" si="167"/>
        <v>0</v>
      </c>
      <c r="O129" s="196">
        <f t="shared" si="168"/>
        <v>0</v>
      </c>
      <c r="P129" s="196">
        <f t="shared" si="169"/>
        <v>0</v>
      </c>
      <c r="Q129" s="196">
        <f t="shared" si="170"/>
        <v>0</v>
      </c>
      <c r="R129" s="196">
        <f t="shared" si="171"/>
        <v>0</v>
      </c>
      <c r="S129" s="196">
        <f t="shared" si="172"/>
        <v>0</v>
      </c>
      <c r="T129" s="196">
        <f t="shared" si="173"/>
        <v>0</v>
      </c>
      <c r="U129" s="185">
        <f>(C129&gt;0)*(C129&lt;$E$5)*VLOOKUP(MPP,ASUMSI!$BN$77:$CR$108,B129+1)*(1+$V$4)</f>
        <v>0</v>
      </c>
      <c r="V129" s="196">
        <f t="shared" si="174"/>
        <v>0</v>
      </c>
      <c r="W129" s="196">
        <f t="shared" si="175"/>
        <v>0</v>
      </c>
      <c r="X129" s="196">
        <f t="shared" si="176"/>
        <v>0</v>
      </c>
      <c r="Y129" s="196">
        <f t="shared" si="177"/>
        <v>0</v>
      </c>
      <c r="Z129" s="196">
        <f t="shared" si="178"/>
        <v>0</v>
      </c>
      <c r="AA129" s="185">
        <f t="shared" si="179"/>
        <v>0</v>
      </c>
      <c r="AB129" s="196">
        <f t="shared" si="180"/>
        <v>0</v>
      </c>
      <c r="AC129" s="196">
        <f t="shared" si="181"/>
        <v>0</v>
      </c>
      <c r="AD129" s="196">
        <f t="shared" si="182"/>
        <v>0</v>
      </c>
      <c r="AE129" s="196">
        <f t="shared" si="183"/>
        <v>0</v>
      </c>
      <c r="AF129" s="196">
        <f t="shared" si="184"/>
        <v>0</v>
      </c>
      <c r="AG129" s="196">
        <f t="shared" si="185"/>
        <v>0</v>
      </c>
      <c r="AH129" s="196">
        <f t="shared" si="186"/>
        <v>0</v>
      </c>
      <c r="AI129" s="266">
        <f>'DATA INPUT - DETAIL'!R120</f>
        <v>0</v>
      </c>
      <c r="AJ129" s="266">
        <f>'DATA INPUT - DETAIL'!S120</f>
        <v>0</v>
      </c>
      <c r="AK129" s="266">
        <f>'DATA INPUT - DETAIL'!T120</f>
        <v>0</v>
      </c>
      <c r="AL129" s="266">
        <f>'DATA INPUT - DETAIL'!U120</f>
        <v>0</v>
      </c>
      <c r="AM129" s="266">
        <f>'DATA INPUT - DETAIL'!V120</f>
        <v>0</v>
      </c>
      <c r="AN129" s="266">
        <f>'DATA INPUT - DETAIL'!W120</f>
        <v>0</v>
      </c>
      <c r="AO129" s="198">
        <f t="shared" si="187"/>
        <v>0</v>
      </c>
      <c r="AP129" s="266">
        <f>'DATA INPUT - DETAIL'!X120</f>
        <v>0</v>
      </c>
      <c r="AQ129" s="266">
        <f>'DATA INPUT - DETAIL'!Y120</f>
        <v>0</v>
      </c>
      <c r="AR129" s="266">
        <f>'DATA INPUT - DETAIL'!Z120</f>
        <v>0</v>
      </c>
      <c r="AS129" s="266">
        <f>'DATA INPUT - DETAIL'!AD120</f>
        <v>0</v>
      </c>
      <c r="AT129" s="266">
        <f t="shared" si="188"/>
        <v>0</v>
      </c>
      <c r="AU129" s="206">
        <f>'DATA INPUT - DETAIL'!AA120</f>
        <v>0</v>
      </c>
      <c r="AV129" s="206">
        <f>'DATA INPUT - DETAIL'!AB120</f>
        <v>0</v>
      </c>
      <c r="AW129" s="206">
        <f>'DATA INPUT - DETAIL'!AC120</f>
        <v>0</v>
      </c>
      <c r="AX129" s="206">
        <f t="shared" si="189"/>
        <v>0</v>
      </c>
      <c r="AY129" s="206">
        <f t="shared" si="190"/>
        <v>0</v>
      </c>
      <c r="AZ129" s="206">
        <f t="shared" si="191"/>
        <v>0</v>
      </c>
      <c r="BA129" s="206">
        <f t="shared" si="192"/>
        <v>0</v>
      </c>
      <c r="BB129" s="206">
        <f t="shared" si="193"/>
        <v>0</v>
      </c>
      <c r="BC129" s="206">
        <f t="shared" si="194"/>
        <v>0</v>
      </c>
      <c r="BD129" s="206">
        <f t="shared" si="195"/>
        <v>0</v>
      </c>
      <c r="BE129" s="206">
        <f t="shared" si="196"/>
        <v>0</v>
      </c>
      <c r="BF129" s="206">
        <f t="shared" si="197"/>
        <v>0</v>
      </c>
      <c r="BG129" s="206">
        <f t="shared" si="198"/>
        <v>0</v>
      </c>
      <c r="BH129" s="206">
        <f t="shared" si="199"/>
        <v>0</v>
      </c>
      <c r="BI129" s="206">
        <f t="shared" si="200"/>
        <v>0</v>
      </c>
      <c r="BJ129" s="266">
        <f t="shared" si="201"/>
        <v>0</v>
      </c>
      <c r="BK129" s="266">
        <f t="shared" si="202"/>
        <v>0</v>
      </c>
      <c r="BL129" s="192">
        <f t="shared" si="203"/>
        <v>0</v>
      </c>
      <c r="BM129" s="192">
        <f t="shared" si="204"/>
        <v>0</v>
      </c>
      <c r="BN129" s="192">
        <f t="shared" si="205"/>
        <v>0</v>
      </c>
      <c r="BO129" s="192">
        <f t="shared" si="206"/>
        <v>0</v>
      </c>
      <c r="BP129" s="192">
        <f t="shared" si="207"/>
        <v>0</v>
      </c>
      <c r="BQ129" s="193">
        <f t="shared" si="208"/>
        <v>0</v>
      </c>
      <c r="BR129" s="193">
        <f t="shared" si="209"/>
        <v>0</v>
      </c>
      <c r="BS129" s="265">
        <f t="shared" si="210"/>
        <v>0</v>
      </c>
      <c r="BT129" s="265">
        <f t="shared" si="211"/>
        <v>0</v>
      </c>
      <c r="BU129" s="265">
        <f t="shared" si="212"/>
        <v>0</v>
      </c>
      <c r="BV129" s="265">
        <f t="shared" si="213"/>
        <v>0</v>
      </c>
      <c r="BW129" s="265">
        <f t="shared" si="214"/>
        <v>0</v>
      </c>
      <c r="BX129" s="265">
        <f t="shared" si="215"/>
        <v>0</v>
      </c>
      <c r="BY129" s="265">
        <f t="shared" si="216"/>
        <v>0</v>
      </c>
      <c r="BZ129" s="265">
        <f t="shared" si="217"/>
        <v>0</v>
      </c>
      <c r="CA129" s="265">
        <f t="shared" si="218"/>
        <v>0</v>
      </c>
      <c r="CB129" s="269">
        <f t="shared" si="219"/>
        <v>0</v>
      </c>
      <c r="CC129" s="266">
        <f t="shared" si="220"/>
        <v>0</v>
      </c>
      <c r="CD129" s="241"/>
      <c r="CE129" s="198">
        <f t="shared" si="221"/>
        <v>1.1878069490485649E-10</v>
      </c>
      <c r="CF129" s="198">
        <f t="shared" si="156"/>
        <v>0</v>
      </c>
      <c r="CG129" s="198">
        <f t="shared" si="157"/>
        <v>0</v>
      </c>
      <c r="CH129" s="198">
        <f t="shared" si="158"/>
        <v>0</v>
      </c>
      <c r="CI129" s="198">
        <f t="shared" si="159"/>
        <v>0</v>
      </c>
      <c r="CJ129" s="198">
        <f t="shared" si="160"/>
        <v>0</v>
      </c>
      <c r="CK129" s="198">
        <f t="shared" si="161"/>
        <v>0</v>
      </c>
      <c r="CL129" s="198">
        <f t="shared" si="162"/>
        <v>5.1889296856478628E-13</v>
      </c>
      <c r="CM129" s="271">
        <f t="shared" si="163"/>
        <v>0</v>
      </c>
      <c r="CN129" s="198">
        <f t="shared" si="164"/>
        <v>1.1929958787342127E-10</v>
      </c>
      <c r="CO129" s="209">
        <f t="shared" si="222"/>
        <v>1.1878069490485649E-10</v>
      </c>
    </row>
    <row r="130" spans="2:93" x14ac:dyDescent="0.2">
      <c r="B130" s="221">
        <f>'DATA INPUT - DETAIL'!D121</f>
        <v>0</v>
      </c>
      <c r="C130" s="211">
        <f>'DATA INPUT - DETAIL'!E121</f>
        <v>0</v>
      </c>
      <c r="D130" s="257">
        <f>'DATA INPUT - DETAIL'!I121</f>
        <v>0</v>
      </c>
      <c r="E130" s="258">
        <f>'DATA INPUT - DETAIL'!K121</f>
        <v>0</v>
      </c>
      <c r="F130" s="258">
        <f>'DATA INPUT - DETAIL'!L121</f>
        <v>0</v>
      </c>
      <c r="G130" s="179">
        <f>'DATA INPUT - DETAIL'!M121*(1+$V$5)</f>
        <v>0</v>
      </c>
      <c r="H130" s="179">
        <f>'DATA INPUT - DETAIL'!N121*(1+$V$5)</f>
        <v>0</v>
      </c>
      <c r="I130" s="258">
        <f t="shared" si="166"/>
        <v>0</v>
      </c>
      <c r="J130" s="258">
        <f>'DATA INPUT - DETAIL'!O121</f>
        <v>0</v>
      </c>
      <c r="K130" s="258">
        <f>'DATA INPUT - DETAIL'!P121</f>
        <v>0</v>
      </c>
      <c r="L130" s="267">
        <f>ROUNDDOWN('DATA INPUT - DETAIL'!G121,0)</f>
        <v>0</v>
      </c>
      <c r="M130" s="196">
        <f t="shared" si="165"/>
        <v>0</v>
      </c>
      <c r="N130" s="196">
        <f t="shared" si="167"/>
        <v>0</v>
      </c>
      <c r="O130" s="196">
        <f t="shared" si="168"/>
        <v>0</v>
      </c>
      <c r="P130" s="196">
        <f t="shared" si="169"/>
        <v>0</v>
      </c>
      <c r="Q130" s="196">
        <f t="shared" si="170"/>
        <v>0</v>
      </c>
      <c r="R130" s="196">
        <f t="shared" si="171"/>
        <v>0</v>
      </c>
      <c r="S130" s="196">
        <f t="shared" si="172"/>
        <v>0</v>
      </c>
      <c r="T130" s="196">
        <f t="shared" si="173"/>
        <v>0</v>
      </c>
      <c r="U130" s="185">
        <f>(C130&gt;0)*(C130&lt;$E$5)*VLOOKUP(MPP,ASUMSI!$BN$77:$CR$108,B130+1)*(1+$V$4)</f>
        <v>0</v>
      </c>
      <c r="V130" s="196">
        <f t="shared" si="174"/>
        <v>0</v>
      </c>
      <c r="W130" s="196">
        <f t="shared" si="175"/>
        <v>0</v>
      </c>
      <c r="X130" s="196">
        <f t="shared" si="176"/>
        <v>0</v>
      </c>
      <c r="Y130" s="196">
        <f t="shared" si="177"/>
        <v>0</v>
      </c>
      <c r="Z130" s="196">
        <f t="shared" si="178"/>
        <v>0</v>
      </c>
      <c r="AA130" s="185">
        <f t="shared" si="179"/>
        <v>0</v>
      </c>
      <c r="AB130" s="196">
        <f t="shared" si="180"/>
        <v>0</v>
      </c>
      <c r="AC130" s="196">
        <f t="shared" si="181"/>
        <v>0</v>
      </c>
      <c r="AD130" s="196">
        <f t="shared" si="182"/>
        <v>0</v>
      </c>
      <c r="AE130" s="196">
        <f t="shared" si="183"/>
        <v>0</v>
      </c>
      <c r="AF130" s="196">
        <f t="shared" si="184"/>
        <v>0</v>
      </c>
      <c r="AG130" s="196">
        <f t="shared" si="185"/>
        <v>0</v>
      </c>
      <c r="AH130" s="196">
        <f t="shared" si="186"/>
        <v>0</v>
      </c>
      <c r="AI130" s="266">
        <f>'DATA INPUT - DETAIL'!R121</f>
        <v>0</v>
      </c>
      <c r="AJ130" s="266">
        <f>'DATA INPUT - DETAIL'!S121</f>
        <v>0</v>
      </c>
      <c r="AK130" s="266">
        <f>'DATA INPUT - DETAIL'!T121</f>
        <v>0</v>
      </c>
      <c r="AL130" s="266">
        <f>'DATA INPUT - DETAIL'!U121</f>
        <v>0</v>
      </c>
      <c r="AM130" s="266">
        <f>'DATA INPUT - DETAIL'!V121</f>
        <v>0</v>
      </c>
      <c r="AN130" s="266">
        <f>'DATA INPUT - DETAIL'!W121</f>
        <v>0</v>
      </c>
      <c r="AO130" s="198">
        <f t="shared" si="187"/>
        <v>0</v>
      </c>
      <c r="AP130" s="266">
        <f>'DATA INPUT - DETAIL'!X121</f>
        <v>0</v>
      </c>
      <c r="AQ130" s="266">
        <f>'DATA INPUT - DETAIL'!Y121</f>
        <v>0</v>
      </c>
      <c r="AR130" s="266">
        <f>'DATA INPUT - DETAIL'!Z121</f>
        <v>0</v>
      </c>
      <c r="AS130" s="266">
        <f>'DATA INPUT - DETAIL'!AD121</f>
        <v>0</v>
      </c>
      <c r="AT130" s="266">
        <f t="shared" si="188"/>
        <v>0</v>
      </c>
      <c r="AU130" s="206">
        <f>'DATA INPUT - DETAIL'!AA121</f>
        <v>0</v>
      </c>
      <c r="AV130" s="206">
        <f>'DATA INPUT - DETAIL'!AB121</f>
        <v>0</v>
      </c>
      <c r="AW130" s="206">
        <f>'DATA INPUT - DETAIL'!AC121</f>
        <v>0</v>
      </c>
      <c r="AX130" s="206">
        <f t="shared" si="189"/>
        <v>0</v>
      </c>
      <c r="AY130" s="206">
        <f t="shared" si="190"/>
        <v>0</v>
      </c>
      <c r="AZ130" s="206">
        <f t="shared" si="191"/>
        <v>0</v>
      </c>
      <c r="BA130" s="206">
        <f t="shared" si="192"/>
        <v>0</v>
      </c>
      <c r="BB130" s="206">
        <f t="shared" si="193"/>
        <v>0</v>
      </c>
      <c r="BC130" s="206">
        <f t="shared" si="194"/>
        <v>0</v>
      </c>
      <c r="BD130" s="206">
        <f t="shared" si="195"/>
        <v>0</v>
      </c>
      <c r="BE130" s="206">
        <f t="shared" si="196"/>
        <v>0</v>
      </c>
      <c r="BF130" s="206">
        <f t="shared" si="197"/>
        <v>0</v>
      </c>
      <c r="BG130" s="206">
        <f t="shared" si="198"/>
        <v>0</v>
      </c>
      <c r="BH130" s="206">
        <f t="shared" si="199"/>
        <v>0</v>
      </c>
      <c r="BI130" s="206">
        <f t="shared" si="200"/>
        <v>0</v>
      </c>
      <c r="BJ130" s="266">
        <f t="shared" si="201"/>
        <v>0</v>
      </c>
      <c r="BK130" s="266">
        <f t="shared" si="202"/>
        <v>0</v>
      </c>
      <c r="BL130" s="192">
        <f t="shared" si="203"/>
        <v>0</v>
      </c>
      <c r="BM130" s="192">
        <f t="shared" si="204"/>
        <v>0</v>
      </c>
      <c r="BN130" s="192">
        <f t="shared" si="205"/>
        <v>0</v>
      </c>
      <c r="BO130" s="192">
        <f t="shared" si="206"/>
        <v>0</v>
      </c>
      <c r="BP130" s="192">
        <f t="shared" si="207"/>
        <v>0</v>
      </c>
      <c r="BQ130" s="193">
        <f t="shared" si="208"/>
        <v>0</v>
      </c>
      <c r="BR130" s="193">
        <f t="shared" si="209"/>
        <v>0</v>
      </c>
      <c r="BS130" s="265">
        <f t="shared" si="210"/>
        <v>0</v>
      </c>
      <c r="BT130" s="265">
        <f t="shared" si="211"/>
        <v>0</v>
      </c>
      <c r="BU130" s="265">
        <f t="shared" si="212"/>
        <v>0</v>
      </c>
      <c r="BV130" s="265">
        <f t="shared" si="213"/>
        <v>0</v>
      </c>
      <c r="BW130" s="265">
        <f t="shared" si="214"/>
        <v>0</v>
      </c>
      <c r="BX130" s="265">
        <f t="shared" si="215"/>
        <v>0</v>
      </c>
      <c r="BY130" s="265">
        <f t="shared" si="216"/>
        <v>0</v>
      </c>
      <c r="BZ130" s="265">
        <f t="shared" si="217"/>
        <v>0</v>
      </c>
      <c r="CA130" s="265">
        <f t="shared" si="218"/>
        <v>0</v>
      </c>
      <c r="CB130" s="269">
        <f t="shared" si="219"/>
        <v>0</v>
      </c>
      <c r="CC130" s="266">
        <f t="shared" si="220"/>
        <v>0</v>
      </c>
      <c r="CD130" s="241"/>
      <c r="CE130" s="198">
        <f t="shared" si="221"/>
        <v>1.1929958787342127E-10</v>
      </c>
      <c r="CF130" s="198">
        <f t="shared" si="156"/>
        <v>0</v>
      </c>
      <c r="CG130" s="198">
        <f t="shared" si="157"/>
        <v>0</v>
      </c>
      <c r="CH130" s="198">
        <f t="shared" si="158"/>
        <v>0</v>
      </c>
      <c r="CI130" s="198">
        <f t="shared" si="159"/>
        <v>0</v>
      </c>
      <c r="CJ130" s="198">
        <f t="shared" si="160"/>
        <v>0</v>
      </c>
      <c r="CK130" s="198">
        <f t="shared" si="161"/>
        <v>0</v>
      </c>
      <c r="CL130" s="198">
        <f t="shared" si="162"/>
        <v>5.2115975032626391E-13</v>
      </c>
      <c r="CM130" s="271">
        <f t="shared" si="163"/>
        <v>0</v>
      </c>
      <c r="CN130" s="198">
        <f t="shared" si="164"/>
        <v>1.1982074762374754E-10</v>
      </c>
      <c r="CO130" s="209">
        <f t="shared" si="222"/>
        <v>1.1929958787342127E-10</v>
      </c>
    </row>
    <row r="131" spans="2:93" x14ac:dyDescent="0.2">
      <c r="B131" s="221">
        <f>'DATA INPUT - DETAIL'!D122</f>
        <v>0</v>
      </c>
      <c r="C131" s="211">
        <f>'DATA INPUT - DETAIL'!E122</f>
        <v>0</v>
      </c>
      <c r="D131" s="257">
        <f>'DATA INPUT - DETAIL'!I122</f>
        <v>0</v>
      </c>
      <c r="E131" s="258">
        <f>'DATA INPUT - DETAIL'!K122</f>
        <v>0</v>
      </c>
      <c r="F131" s="258">
        <f>'DATA INPUT - DETAIL'!L122</f>
        <v>0</v>
      </c>
      <c r="G131" s="179">
        <f>'DATA INPUT - DETAIL'!M122*(1+$V$5)</f>
        <v>0</v>
      </c>
      <c r="H131" s="179">
        <f>'DATA INPUT - DETAIL'!N122*(1+$V$5)</f>
        <v>0</v>
      </c>
      <c r="I131" s="258">
        <f t="shared" si="166"/>
        <v>0</v>
      </c>
      <c r="J131" s="258">
        <f>'DATA INPUT - DETAIL'!O122</f>
        <v>0</v>
      </c>
      <c r="K131" s="258">
        <f>'DATA INPUT - DETAIL'!P122</f>
        <v>0</v>
      </c>
      <c r="L131" s="267">
        <f>ROUNDDOWN('DATA INPUT - DETAIL'!G122,0)</f>
        <v>0</v>
      </c>
      <c r="M131" s="196">
        <f t="shared" si="165"/>
        <v>0</v>
      </c>
      <c r="N131" s="196">
        <f t="shared" si="167"/>
        <v>0</v>
      </c>
      <c r="O131" s="196">
        <f t="shared" si="168"/>
        <v>0</v>
      </c>
      <c r="P131" s="196">
        <f t="shared" si="169"/>
        <v>0</v>
      </c>
      <c r="Q131" s="196">
        <f t="shared" si="170"/>
        <v>0</v>
      </c>
      <c r="R131" s="196">
        <f t="shared" si="171"/>
        <v>0</v>
      </c>
      <c r="S131" s="196">
        <f t="shared" si="172"/>
        <v>0</v>
      </c>
      <c r="T131" s="196">
        <f t="shared" si="173"/>
        <v>0</v>
      </c>
      <c r="U131" s="185">
        <f>(C131&gt;0)*(C131&lt;$E$5)*VLOOKUP(MPP,ASUMSI!$BN$77:$CR$108,B131+1)*(1+$V$4)</f>
        <v>0</v>
      </c>
      <c r="V131" s="196">
        <f t="shared" si="174"/>
        <v>0</v>
      </c>
      <c r="W131" s="196">
        <f t="shared" si="175"/>
        <v>0</v>
      </c>
      <c r="X131" s="196">
        <f t="shared" si="176"/>
        <v>0</v>
      </c>
      <c r="Y131" s="196">
        <f t="shared" si="177"/>
        <v>0</v>
      </c>
      <c r="Z131" s="196">
        <f t="shared" si="178"/>
        <v>0</v>
      </c>
      <c r="AA131" s="185">
        <f t="shared" si="179"/>
        <v>0</v>
      </c>
      <c r="AB131" s="196">
        <f t="shared" si="180"/>
        <v>0</v>
      </c>
      <c r="AC131" s="196">
        <f t="shared" si="181"/>
        <v>0</v>
      </c>
      <c r="AD131" s="196">
        <f t="shared" si="182"/>
        <v>0</v>
      </c>
      <c r="AE131" s="196">
        <f t="shared" si="183"/>
        <v>0</v>
      </c>
      <c r="AF131" s="196">
        <f t="shared" si="184"/>
        <v>0</v>
      </c>
      <c r="AG131" s="196">
        <f t="shared" si="185"/>
        <v>0</v>
      </c>
      <c r="AH131" s="196">
        <f t="shared" si="186"/>
        <v>0</v>
      </c>
      <c r="AI131" s="266">
        <f>'DATA INPUT - DETAIL'!R122</f>
        <v>0</v>
      </c>
      <c r="AJ131" s="266">
        <f>'DATA INPUT - DETAIL'!S122</f>
        <v>0</v>
      </c>
      <c r="AK131" s="266">
        <f>'DATA INPUT - DETAIL'!T122</f>
        <v>0</v>
      </c>
      <c r="AL131" s="266">
        <f>'DATA INPUT - DETAIL'!U122</f>
        <v>0</v>
      </c>
      <c r="AM131" s="266">
        <f>'DATA INPUT - DETAIL'!V122</f>
        <v>0</v>
      </c>
      <c r="AN131" s="266">
        <f>'DATA INPUT - DETAIL'!W122</f>
        <v>0</v>
      </c>
      <c r="AO131" s="198">
        <f t="shared" si="187"/>
        <v>0</v>
      </c>
      <c r="AP131" s="266">
        <f>'DATA INPUT - DETAIL'!X122</f>
        <v>0</v>
      </c>
      <c r="AQ131" s="266">
        <f>'DATA INPUT - DETAIL'!Y122</f>
        <v>0</v>
      </c>
      <c r="AR131" s="266">
        <f>'DATA INPUT - DETAIL'!Z122</f>
        <v>0</v>
      </c>
      <c r="AS131" s="266">
        <f>'DATA INPUT - DETAIL'!AD122</f>
        <v>0</v>
      </c>
      <c r="AT131" s="266">
        <f t="shared" si="188"/>
        <v>0</v>
      </c>
      <c r="AU131" s="206">
        <f>'DATA INPUT - DETAIL'!AA122</f>
        <v>0</v>
      </c>
      <c r="AV131" s="206">
        <f>'DATA INPUT - DETAIL'!AB122</f>
        <v>0</v>
      </c>
      <c r="AW131" s="206">
        <f>'DATA INPUT - DETAIL'!AC122</f>
        <v>0</v>
      </c>
      <c r="AX131" s="206">
        <f t="shared" si="189"/>
        <v>0</v>
      </c>
      <c r="AY131" s="206">
        <f t="shared" si="190"/>
        <v>0</v>
      </c>
      <c r="AZ131" s="206">
        <f t="shared" si="191"/>
        <v>0</v>
      </c>
      <c r="BA131" s="206">
        <f t="shared" si="192"/>
        <v>0</v>
      </c>
      <c r="BB131" s="206">
        <f t="shared" si="193"/>
        <v>0</v>
      </c>
      <c r="BC131" s="206">
        <f t="shared" si="194"/>
        <v>0</v>
      </c>
      <c r="BD131" s="206">
        <f t="shared" si="195"/>
        <v>0</v>
      </c>
      <c r="BE131" s="206">
        <f t="shared" si="196"/>
        <v>0</v>
      </c>
      <c r="BF131" s="206">
        <f t="shared" si="197"/>
        <v>0</v>
      </c>
      <c r="BG131" s="206">
        <f t="shared" si="198"/>
        <v>0</v>
      </c>
      <c r="BH131" s="206">
        <f t="shared" si="199"/>
        <v>0</v>
      </c>
      <c r="BI131" s="206">
        <f t="shared" si="200"/>
        <v>0</v>
      </c>
      <c r="BJ131" s="266">
        <f t="shared" si="201"/>
        <v>0</v>
      </c>
      <c r="BK131" s="266">
        <f t="shared" si="202"/>
        <v>0</v>
      </c>
      <c r="BL131" s="192">
        <f t="shared" si="203"/>
        <v>0</v>
      </c>
      <c r="BM131" s="192">
        <f t="shared" si="204"/>
        <v>0</v>
      </c>
      <c r="BN131" s="192">
        <f t="shared" si="205"/>
        <v>0</v>
      </c>
      <c r="BO131" s="192">
        <f t="shared" si="206"/>
        <v>0</v>
      </c>
      <c r="BP131" s="192">
        <f t="shared" si="207"/>
        <v>0</v>
      </c>
      <c r="BQ131" s="193">
        <f t="shared" si="208"/>
        <v>0</v>
      </c>
      <c r="BR131" s="193">
        <f t="shared" si="209"/>
        <v>0</v>
      </c>
      <c r="BS131" s="265">
        <f t="shared" si="210"/>
        <v>0</v>
      </c>
      <c r="BT131" s="265">
        <f t="shared" si="211"/>
        <v>0</v>
      </c>
      <c r="BU131" s="265">
        <f t="shared" si="212"/>
        <v>0</v>
      </c>
      <c r="BV131" s="265">
        <f t="shared" si="213"/>
        <v>0</v>
      </c>
      <c r="BW131" s="265">
        <f t="shared" si="214"/>
        <v>0</v>
      </c>
      <c r="BX131" s="265">
        <f t="shared" si="215"/>
        <v>0</v>
      </c>
      <c r="BY131" s="265">
        <f t="shared" si="216"/>
        <v>0</v>
      </c>
      <c r="BZ131" s="265">
        <f t="shared" si="217"/>
        <v>0</v>
      </c>
      <c r="CA131" s="265">
        <f t="shared" si="218"/>
        <v>0</v>
      </c>
      <c r="CB131" s="269">
        <f t="shared" si="219"/>
        <v>0</v>
      </c>
      <c r="CC131" s="266">
        <f t="shared" si="220"/>
        <v>0</v>
      </c>
      <c r="CD131" s="241"/>
      <c r="CE131" s="198">
        <f t="shared" si="221"/>
        <v>1.1982074762374754E-10</v>
      </c>
      <c r="CF131" s="198">
        <f t="shared" si="156"/>
        <v>0</v>
      </c>
      <c r="CG131" s="198">
        <f t="shared" si="157"/>
        <v>0</v>
      </c>
      <c r="CH131" s="198">
        <f t="shared" si="158"/>
        <v>0</v>
      </c>
      <c r="CI131" s="198">
        <f t="shared" si="159"/>
        <v>0</v>
      </c>
      <c r="CJ131" s="198">
        <f t="shared" si="160"/>
        <v>0</v>
      </c>
      <c r="CK131" s="198">
        <f t="shared" si="161"/>
        <v>0</v>
      </c>
      <c r="CL131" s="198">
        <f t="shared" si="162"/>
        <v>5.2343643451437963E-13</v>
      </c>
      <c r="CM131" s="271">
        <f t="shared" si="163"/>
        <v>0</v>
      </c>
      <c r="CN131" s="198">
        <f t="shared" si="164"/>
        <v>1.2034418405826193E-10</v>
      </c>
      <c r="CO131" s="209">
        <f t="shared" si="222"/>
        <v>1.1982074762374754E-10</v>
      </c>
    </row>
    <row r="132" spans="2:93" x14ac:dyDescent="0.2">
      <c r="B132" s="221">
        <f>'DATA INPUT - DETAIL'!D123</f>
        <v>0</v>
      </c>
      <c r="C132" s="211">
        <f>'DATA INPUT - DETAIL'!E123</f>
        <v>0</v>
      </c>
      <c r="D132" s="257">
        <f>'DATA INPUT - DETAIL'!I123</f>
        <v>0</v>
      </c>
      <c r="E132" s="258">
        <f>'DATA INPUT - DETAIL'!K123</f>
        <v>0</v>
      </c>
      <c r="F132" s="258">
        <f>'DATA INPUT - DETAIL'!L123</f>
        <v>0</v>
      </c>
      <c r="G132" s="179">
        <f>'DATA INPUT - DETAIL'!M123*(1+$V$5)</f>
        <v>0</v>
      </c>
      <c r="H132" s="179">
        <f>'DATA INPUT - DETAIL'!N123*(1+$V$5)</f>
        <v>0</v>
      </c>
      <c r="I132" s="258">
        <f t="shared" si="166"/>
        <v>0</v>
      </c>
      <c r="J132" s="258">
        <f>'DATA INPUT - DETAIL'!O123</f>
        <v>0</v>
      </c>
      <c r="K132" s="258">
        <f>'DATA INPUT - DETAIL'!P123</f>
        <v>0</v>
      </c>
      <c r="L132" s="267">
        <f>ROUNDDOWN('DATA INPUT - DETAIL'!G123,0)</f>
        <v>0</v>
      </c>
      <c r="M132" s="196">
        <f t="shared" si="165"/>
        <v>0</v>
      </c>
      <c r="N132" s="196">
        <f t="shared" si="167"/>
        <v>0</v>
      </c>
      <c r="O132" s="196">
        <f t="shared" si="168"/>
        <v>0</v>
      </c>
      <c r="P132" s="196">
        <f t="shared" si="169"/>
        <v>0</v>
      </c>
      <c r="Q132" s="196">
        <f t="shared" si="170"/>
        <v>0</v>
      </c>
      <c r="R132" s="196">
        <f t="shared" si="171"/>
        <v>0</v>
      </c>
      <c r="S132" s="196">
        <f t="shared" si="172"/>
        <v>0</v>
      </c>
      <c r="T132" s="196">
        <f t="shared" si="173"/>
        <v>0</v>
      </c>
      <c r="U132" s="185">
        <f>(C132&gt;0)*(C132&lt;$E$5)*VLOOKUP(MPP,ASUMSI!$BN$77:$CR$108,B132+1)*(1+$V$4)</f>
        <v>0</v>
      </c>
      <c r="V132" s="196">
        <f t="shared" si="174"/>
        <v>0</v>
      </c>
      <c r="W132" s="196">
        <f t="shared" si="175"/>
        <v>0</v>
      </c>
      <c r="X132" s="196">
        <f t="shared" si="176"/>
        <v>0</v>
      </c>
      <c r="Y132" s="196">
        <f t="shared" si="177"/>
        <v>0</v>
      </c>
      <c r="Z132" s="196">
        <f t="shared" si="178"/>
        <v>0</v>
      </c>
      <c r="AA132" s="185">
        <f t="shared" si="179"/>
        <v>0</v>
      </c>
      <c r="AB132" s="196">
        <f t="shared" si="180"/>
        <v>0</v>
      </c>
      <c r="AC132" s="196">
        <f t="shared" si="181"/>
        <v>0</v>
      </c>
      <c r="AD132" s="196">
        <f t="shared" si="182"/>
        <v>0</v>
      </c>
      <c r="AE132" s="196">
        <f t="shared" si="183"/>
        <v>0</v>
      </c>
      <c r="AF132" s="196">
        <f t="shared" si="184"/>
        <v>0</v>
      </c>
      <c r="AG132" s="196">
        <f t="shared" si="185"/>
        <v>0</v>
      </c>
      <c r="AH132" s="196">
        <f t="shared" si="186"/>
        <v>0</v>
      </c>
      <c r="AI132" s="266">
        <f>'DATA INPUT - DETAIL'!R123</f>
        <v>0</v>
      </c>
      <c r="AJ132" s="266">
        <f>'DATA INPUT - DETAIL'!S123</f>
        <v>0</v>
      </c>
      <c r="AK132" s="266">
        <f>'DATA INPUT - DETAIL'!T123</f>
        <v>0</v>
      </c>
      <c r="AL132" s="266">
        <f>'DATA INPUT - DETAIL'!U123</f>
        <v>0</v>
      </c>
      <c r="AM132" s="266">
        <f>'DATA INPUT - DETAIL'!V123</f>
        <v>0</v>
      </c>
      <c r="AN132" s="266">
        <f>'DATA INPUT - DETAIL'!W123</f>
        <v>0</v>
      </c>
      <c r="AO132" s="198">
        <f t="shared" si="187"/>
        <v>0</v>
      </c>
      <c r="AP132" s="266">
        <f>'DATA INPUT - DETAIL'!X123</f>
        <v>0</v>
      </c>
      <c r="AQ132" s="266">
        <f>'DATA INPUT - DETAIL'!Y123</f>
        <v>0</v>
      </c>
      <c r="AR132" s="266">
        <f>'DATA INPUT - DETAIL'!Z123</f>
        <v>0</v>
      </c>
      <c r="AS132" s="266">
        <f>'DATA INPUT - DETAIL'!AD123</f>
        <v>0</v>
      </c>
      <c r="AT132" s="266">
        <f t="shared" si="188"/>
        <v>0</v>
      </c>
      <c r="AU132" s="206">
        <f>'DATA INPUT - DETAIL'!AA123</f>
        <v>0</v>
      </c>
      <c r="AV132" s="206">
        <f>'DATA INPUT - DETAIL'!AB123</f>
        <v>0</v>
      </c>
      <c r="AW132" s="206">
        <f>'DATA INPUT - DETAIL'!AC123</f>
        <v>0</v>
      </c>
      <c r="AX132" s="206">
        <f t="shared" si="189"/>
        <v>0</v>
      </c>
      <c r="AY132" s="206">
        <f t="shared" si="190"/>
        <v>0</v>
      </c>
      <c r="AZ132" s="206">
        <f t="shared" si="191"/>
        <v>0</v>
      </c>
      <c r="BA132" s="206">
        <f t="shared" si="192"/>
        <v>0</v>
      </c>
      <c r="BB132" s="206">
        <f t="shared" si="193"/>
        <v>0</v>
      </c>
      <c r="BC132" s="206">
        <f t="shared" si="194"/>
        <v>0</v>
      </c>
      <c r="BD132" s="206">
        <f t="shared" si="195"/>
        <v>0</v>
      </c>
      <c r="BE132" s="206">
        <f t="shared" si="196"/>
        <v>0</v>
      </c>
      <c r="BF132" s="206">
        <f t="shared" si="197"/>
        <v>0</v>
      </c>
      <c r="BG132" s="206">
        <f t="shared" si="198"/>
        <v>0</v>
      </c>
      <c r="BH132" s="206">
        <f t="shared" si="199"/>
        <v>0</v>
      </c>
      <c r="BI132" s="206">
        <f t="shared" si="200"/>
        <v>0</v>
      </c>
      <c r="BJ132" s="266">
        <f t="shared" si="201"/>
        <v>0</v>
      </c>
      <c r="BK132" s="266">
        <f t="shared" si="202"/>
        <v>0</v>
      </c>
      <c r="BL132" s="192">
        <f t="shared" si="203"/>
        <v>0</v>
      </c>
      <c r="BM132" s="192">
        <f t="shared" si="204"/>
        <v>0</v>
      </c>
      <c r="BN132" s="192">
        <f t="shared" si="205"/>
        <v>0</v>
      </c>
      <c r="BO132" s="192">
        <f t="shared" si="206"/>
        <v>0</v>
      </c>
      <c r="BP132" s="192">
        <f t="shared" si="207"/>
        <v>0</v>
      </c>
      <c r="BQ132" s="193">
        <f t="shared" si="208"/>
        <v>0</v>
      </c>
      <c r="BR132" s="193">
        <f t="shared" si="209"/>
        <v>0</v>
      </c>
      <c r="BS132" s="265">
        <f t="shared" si="210"/>
        <v>0</v>
      </c>
      <c r="BT132" s="265">
        <f t="shared" si="211"/>
        <v>0</v>
      </c>
      <c r="BU132" s="265">
        <f t="shared" si="212"/>
        <v>0</v>
      </c>
      <c r="BV132" s="265">
        <f t="shared" si="213"/>
        <v>0</v>
      </c>
      <c r="BW132" s="265">
        <f t="shared" si="214"/>
        <v>0</v>
      </c>
      <c r="BX132" s="265">
        <f t="shared" si="215"/>
        <v>0</v>
      </c>
      <c r="BY132" s="265">
        <f t="shared" si="216"/>
        <v>0</v>
      </c>
      <c r="BZ132" s="265">
        <f t="shared" si="217"/>
        <v>0</v>
      </c>
      <c r="CA132" s="265">
        <f t="shared" si="218"/>
        <v>0</v>
      </c>
      <c r="CB132" s="269">
        <f t="shared" si="219"/>
        <v>0</v>
      </c>
      <c r="CC132" s="266">
        <f t="shared" si="220"/>
        <v>0</v>
      </c>
      <c r="CD132" s="241"/>
      <c r="CE132" s="198">
        <f t="shared" si="221"/>
        <v>1.2034418405826193E-10</v>
      </c>
      <c r="CF132" s="198">
        <f t="shared" si="156"/>
        <v>0</v>
      </c>
      <c r="CG132" s="198">
        <f t="shared" si="157"/>
        <v>0</v>
      </c>
      <c r="CH132" s="198">
        <f t="shared" si="158"/>
        <v>0</v>
      </c>
      <c r="CI132" s="198">
        <f t="shared" si="159"/>
        <v>0</v>
      </c>
      <c r="CJ132" s="198">
        <f t="shared" si="160"/>
        <v>0</v>
      </c>
      <c r="CK132" s="198">
        <f t="shared" si="161"/>
        <v>0</v>
      </c>
      <c r="CL132" s="198">
        <f t="shared" si="162"/>
        <v>5.257230643878426E-13</v>
      </c>
      <c r="CM132" s="271">
        <f t="shared" si="163"/>
        <v>0</v>
      </c>
      <c r="CN132" s="198">
        <f t="shared" si="164"/>
        <v>1.2086990712264976E-10</v>
      </c>
      <c r="CO132" s="209">
        <f t="shared" si="222"/>
        <v>1.2034418405826193E-10</v>
      </c>
    </row>
    <row r="133" spans="2:93" x14ac:dyDescent="0.2">
      <c r="B133" s="221">
        <f>'DATA INPUT - DETAIL'!D124</f>
        <v>0</v>
      </c>
      <c r="C133" s="211">
        <f>'DATA INPUT - DETAIL'!E124</f>
        <v>0</v>
      </c>
      <c r="D133" s="257">
        <f>'DATA INPUT - DETAIL'!I124</f>
        <v>0</v>
      </c>
      <c r="E133" s="258">
        <f>'DATA INPUT - DETAIL'!K124</f>
        <v>0</v>
      </c>
      <c r="F133" s="258">
        <f>'DATA INPUT - DETAIL'!L124</f>
        <v>0</v>
      </c>
      <c r="G133" s="179">
        <f>'DATA INPUT - DETAIL'!M124*(1+$V$5)</f>
        <v>0</v>
      </c>
      <c r="H133" s="179">
        <f>'DATA INPUT - DETAIL'!N124*(1+$V$5)</f>
        <v>0</v>
      </c>
      <c r="I133" s="258">
        <f t="shared" si="166"/>
        <v>0</v>
      </c>
      <c r="J133" s="258">
        <f>'DATA INPUT - DETAIL'!O124</f>
        <v>0</v>
      </c>
      <c r="K133" s="258">
        <f>'DATA INPUT - DETAIL'!P124</f>
        <v>0</v>
      </c>
      <c r="L133" s="267">
        <f>ROUNDDOWN('DATA INPUT - DETAIL'!G124,0)</f>
        <v>0</v>
      </c>
      <c r="M133" s="196">
        <f t="shared" si="165"/>
        <v>0</v>
      </c>
      <c r="N133" s="196">
        <f t="shared" si="167"/>
        <v>0</v>
      </c>
      <c r="O133" s="196">
        <f t="shared" si="168"/>
        <v>0</v>
      </c>
      <c r="P133" s="196">
        <f t="shared" si="169"/>
        <v>0</v>
      </c>
      <c r="Q133" s="196">
        <f t="shared" si="170"/>
        <v>0</v>
      </c>
      <c r="R133" s="196">
        <f t="shared" si="171"/>
        <v>0</v>
      </c>
      <c r="S133" s="196">
        <f t="shared" si="172"/>
        <v>0</v>
      </c>
      <c r="T133" s="196">
        <f t="shared" si="173"/>
        <v>0</v>
      </c>
      <c r="U133" s="185">
        <f>(C133&gt;0)*(C133&lt;$E$5)*VLOOKUP(MPP,ASUMSI!$BN$77:$CR$108,B133+1)*(1+$V$4)</f>
        <v>0</v>
      </c>
      <c r="V133" s="196">
        <f t="shared" si="174"/>
        <v>0</v>
      </c>
      <c r="W133" s="196">
        <f t="shared" si="175"/>
        <v>0</v>
      </c>
      <c r="X133" s="196">
        <f t="shared" si="176"/>
        <v>0</v>
      </c>
      <c r="Y133" s="196">
        <f t="shared" si="177"/>
        <v>0</v>
      </c>
      <c r="Z133" s="196">
        <f t="shared" si="178"/>
        <v>0</v>
      </c>
      <c r="AA133" s="185">
        <f t="shared" si="179"/>
        <v>0</v>
      </c>
      <c r="AB133" s="196">
        <f t="shared" si="180"/>
        <v>0</v>
      </c>
      <c r="AC133" s="196">
        <f t="shared" si="181"/>
        <v>0</v>
      </c>
      <c r="AD133" s="196">
        <f t="shared" si="182"/>
        <v>0</v>
      </c>
      <c r="AE133" s="196">
        <f t="shared" si="183"/>
        <v>0</v>
      </c>
      <c r="AF133" s="196">
        <f t="shared" si="184"/>
        <v>0</v>
      </c>
      <c r="AG133" s="196">
        <f t="shared" si="185"/>
        <v>0</v>
      </c>
      <c r="AH133" s="196">
        <f t="shared" si="186"/>
        <v>0</v>
      </c>
      <c r="AI133" s="266">
        <f>'DATA INPUT - DETAIL'!R124</f>
        <v>0</v>
      </c>
      <c r="AJ133" s="266">
        <f>'DATA INPUT - DETAIL'!S124</f>
        <v>0</v>
      </c>
      <c r="AK133" s="266">
        <f>'DATA INPUT - DETAIL'!T124</f>
        <v>0</v>
      </c>
      <c r="AL133" s="266">
        <f>'DATA INPUT - DETAIL'!U124</f>
        <v>0</v>
      </c>
      <c r="AM133" s="266">
        <f>'DATA INPUT - DETAIL'!V124</f>
        <v>0</v>
      </c>
      <c r="AN133" s="266">
        <f>'DATA INPUT - DETAIL'!W124</f>
        <v>0</v>
      </c>
      <c r="AO133" s="198">
        <f t="shared" si="187"/>
        <v>0</v>
      </c>
      <c r="AP133" s="266">
        <f>'DATA INPUT - DETAIL'!X124</f>
        <v>0</v>
      </c>
      <c r="AQ133" s="266">
        <f>'DATA INPUT - DETAIL'!Y124</f>
        <v>0</v>
      </c>
      <c r="AR133" s="266">
        <f>'DATA INPUT - DETAIL'!Z124</f>
        <v>0</v>
      </c>
      <c r="AS133" s="266">
        <f>'DATA INPUT - DETAIL'!AD124</f>
        <v>0</v>
      </c>
      <c r="AT133" s="266">
        <f t="shared" si="188"/>
        <v>0</v>
      </c>
      <c r="AU133" s="206">
        <f>'DATA INPUT - DETAIL'!AA124</f>
        <v>0</v>
      </c>
      <c r="AV133" s="206">
        <f>'DATA INPUT - DETAIL'!AB124</f>
        <v>0</v>
      </c>
      <c r="AW133" s="206">
        <f>'DATA INPUT - DETAIL'!AC124</f>
        <v>0</v>
      </c>
      <c r="AX133" s="206">
        <f t="shared" si="189"/>
        <v>0</v>
      </c>
      <c r="AY133" s="206">
        <f t="shared" si="190"/>
        <v>0</v>
      </c>
      <c r="AZ133" s="206">
        <f t="shared" si="191"/>
        <v>0</v>
      </c>
      <c r="BA133" s="206">
        <f t="shared" si="192"/>
        <v>0</v>
      </c>
      <c r="BB133" s="206">
        <f t="shared" si="193"/>
        <v>0</v>
      </c>
      <c r="BC133" s="206">
        <f t="shared" si="194"/>
        <v>0</v>
      </c>
      <c r="BD133" s="206">
        <f t="shared" si="195"/>
        <v>0</v>
      </c>
      <c r="BE133" s="206">
        <f t="shared" si="196"/>
        <v>0</v>
      </c>
      <c r="BF133" s="206">
        <f t="shared" si="197"/>
        <v>0</v>
      </c>
      <c r="BG133" s="206">
        <f t="shared" si="198"/>
        <v>0</v>
      </c>
      <c r="BH133" s="206">
        <f t="shared" si="199"/>
        <v>0</v>
      </c>
      <c r="BI133" s="206">
        <f t="shared" si="200"/>
        <v>0</v>
      </c>
      <c r="BJ133" s="266">
        <f t="shared" si="201"/>
        <v>0</v>
      </c>
      <c r="BK133" s="266">
        <f t="shared" si="202"/>
        <v>0</v>
      </c>
      <c r="BL133" s="192">
        <f t="shared" si="203"/>
        <v>0</v>
      </c>
      <c r="BM133" s="192">
        <f t="shared" si="204"/>
        <v>0</v>
      </c>
      <c r="BN133" s="192">
        <f t="shared" si="205"/>
        <v>0</v>
      </c>
      <c r="BO133" s="192">
        <f t="shared" si="206"/>
        <v>0</v>
      </c>
      <c r="BP133" s="192">
        <f t="shared" si="207"/>
        <v>0</v>
      </c>
      <c r="BQ133" s="193">
        <f t="shared" si="208"/>
        <v>0</v>
      </c>
      <c r="BR133" s="193">
        <f t="shared" si="209"/>
        <v>0</v>
      </c>
      <c r="BS133" s="265">
        <f t="shared" si="210"/>
        <v>0</v>
      </c>
      <c r="BT133" s="265">
        <f t="shared" si="211"/>
        <v>0</v>
      </c>
      <c r="BU133" s="265">
        <f t="shared" si="212"/>
        <v>0</v>
      </c>
      <c r="BV133" s="265">
        <f t="shared" si="213"/>
        <v>0</v>
      </c>
      <c r="BW133" s="265">
        <f t="shared" si="214"/>
        <v>0</v>
      </c>
      <c r="BX133" s="265">
        <f t="shared" si="215"/>
        <v>0</v>
      </c>
      <c r="BY133" s="265">
        <f t="shared" si="216"/>
        <v>0</v>
      </c>
      <c r="BZ133" s="265">
        <f t="shared" si="217"/>
        <v>0</v>
      </c>
      <c r="CA133" s="265">
        <f t="shared" si="218"/>
        <v>0</v>
      </c>
      <c r="CB133" s="269">
        <f t="shared" si="219"/>
        <v>0</v>
      </c>
      <c r="CC133" s="266">
        <f t="shared" si="220"/>
        <v>0</v>
      </c>
      <c r="CD133" s="241"/>
      <c r="CE133" s="198">
        <f t="shared" si="221"/>
        <v>1.2086990712264976E-10</v>
      </c>
      <c r="CF133" s="198">
        <f t="shared" si="156"/>
        <v>0</v>
      </c>
      <c r="CG133" s="198">
        <f t="shared" si="157"/>
        <v>0</v>
      </c>
      <c r="CH133" s="198">
        <f t="shared" si="158"/>
        <v>0</v>
      </c>
      <c r="CI133" s="198">
        <f t="shared" si="159"/>
        <v>0</v>
      </c>
      <c r="CJ133" s="198">
        <f t="shared" si="160"/>
        <v>0</v>
      </c>
      <c r="CK133" s="198">
        <f t="shared" si="161"/>
        <v>0</v>
      </c>
      <c r="CL133" s="198">
        <f t="shared" si="162"/>
        <v>5.2801968339433763E-13</v>
      </c>
      <c r="CM133" s="271">
        <f t="shared" si="163"/>
        <v>0</v>
      </c>
      <c r="CN133" s="198">
        <f t="shared" si="164"/>
        <v>1.213979268060441E-10</v>
      </c>
      <c r="CO133" s="209">
        <f t="shared" si="222"/>
        <v>1.2086990712264976E-10</v>
      </c>
    </row>
    <row r="134" spans="2:93" x14ac:dyDescent="0.2">
      <c r="B134" s="221">
        <f>'DATA INPUT - DETAIL'!D125</f>
        <v>0</v>
      </c>
      <c r="C134" s="211">
        <f>'DATA INPUT - DETAIL'!E125</f>
        <v>0</v>
      </c>
      <c r="D134" s="257">
        <f>'DATA INPUT - DETAIL'!I125</f>
        <v>0</v>
      </c>
      <c r="E134" s="258">
        <f>'DATA INPUT - DETAIL'!K125</f>
        <v>0</v>
      </c>
      <c r="F134" s="258">
        <f>'DATA INPUT - DETAIL'!L125</f>
        <v>0</v>
      </c>
      <c r="G134" s="179">
        <f>'DATA INPUT - DETAIL'!M125*(1+$V$5)</f>
        <v>0</v>
      </c>
      <c r="H134" s="179">
        <f>'DATA INPUT - DETAIL'!N125*(1+$V$5)</f>
        <v>0</v>
      </c>
      <c r="I134" s="258">
        <f t="shared" si="166"/>
        <v>0</v>
      </c>
      <c r="J134" s="258">
        <f>'DATA INPUT - DETAIL'!O125</f>
        <v>0</v>
      </c>
      <c r="K134" s="258">
        <f>'DATA INPUT - DETAIL'!P125</f>
        <v>0</v>
      </c>
      <c r="L134" s="267">
        <f>ROUNDDOWN('DATA INPUT - DETAIL'!G125,0)</f>
        <v>0</v>
      </c>
      <c r="M134" s="196">
        <f t="shared" si="165"/>
        <v>0</v>
      </c>
      <c r="N134" s="196">
        <f t="shared" si="167"/>
        <v>0</v>
      </c>
      <c r="O134" s="196">
        <f t="shared" si="168"/>
        <v>0</v>
      </c>
      <c r="P134" s="196">
        <f t="shared" si="169"/>
        <v>0</v>
      </c>
      <c r="Q134" s="196">
        <f t="shared" si="170"/>
        <v>0</v>
      </c>
      <c r="R134" s="196">
        <f t="shared" si="171"/>
        <v>0</v>
      </c>
      <c r="S134" s="196">
        <f t="shared" si="172"/>
        <v>0</v>
      </c>
      <c r="T134" s="196">
        <f t="shared" si="173"/>
        <v>0</v>
      </c>
      <c r="U134" s="185">
        <f>(C134&gt;0)*(C134&lt;$E$5)*VLOOKUP(MPP,ASUMSI!$BN$77:$CR$108,B134+1)*(1+$V$4)</f>
        <v>0</v>
      </c>
      <c r="V134" s="196">
        <f t="shared" si="174"/>
        <v>0</v>
      </c>
      <c r="W134" s="196">
        <f t="shared" si="175"/>
        <v>0</v>
      </c>
      <c r="X134" s="196">
        <f t="shared" si="176"/>
        <v>0</v>
      </c>
      <c r="Y134" s="196">
        <f t="shared" si="177"/>
        <v>0</v>
      </c>
      <c r="Z134" s="196">
        <f t="shared" si="178"/>
        <v>0</v>
      </c>
      <c r="AA134" s="185">
        <f t="shared" si="179"/>
        <v>0</v>
      </c>
      <c r="AB134" s="196">
        <f t="shared" si="180"/>
        <v>0</v>
      </c>
      <c r="AC134" s="196">
        <f t="shared" si="181"/>
        <v>0</v>
      </c>
      <c r="AD134" s="196">
        <f t="shared" si="182"/>
        <v>0</v>
      </c>
      <c r="AE134" s="196">
        <f t="shared" si="183"/>
        <v>0</v>
      </c>
      <c r="AF134" s="196">
        <f t="shared" si="184"/>
        <v>0</v>
      </c>
      <c r="AG134" s="196">
        <f t="shared" si="185"/>
        <v>0</v>
      </c>
      <c r="AH134" s="196">
        <f t="shared" si="186"/>
        <v>0</v>
      </c>
      <c r="AI134" s="266">
        <f>'DATA INPUT - DETAIL'!R125</f>
        <v>0</v>
      </c>
      <c r="AJ134" s="266">
        <f>'DATA INPUT - DETAIL'!S125</f>
        <v>0</v>
      </c>
      <c r="AK134" s="266">
        <f>'DATA INPUT - DETAIL'!T125</f>
        <v>0</v>
      </c>
      <c r="AL134" s="266">
        <f>'DATA INPUT - DETAIL'!U125</f>
        <v>0</v>
      </c>
      <c r="AM134" s="266">
        <f>'DATA INPUT - DETAIL'!V125</f>
        <v>0</v>
      </c>
      <c r="AN134" s="266">
        <f>'DATA INPUT - DETAIL'!W125</f>
        <v>0</v>
      </c>
      <c r="AO134" s="198">
        <f t="shared" si="187"/>
        <v>0</v>
      </c>
      <c r="AP134" s="266">
        <f>'DATA INPUT - DETAIL'!X125</f>
        <v>0</v>
      </c>
      <c r="AQ134" s="266">
        <f>'DATA INPUT - DETAIL'!Y125</f>
        <v>0</v>
      </c>
      <c r="AR134" s="266">
        <f>'DATA INPUT - DETAIL'!Z125</f>
        <v>0</v>
      </c>
      <c r="AS134" s="266">
        <f>'DATA INPUT - DETAIL'!AD125</f>
        <v>0</v>
      </c>
      <c r="AT134" s="266">
        <f t="shared" si="188"/>
        <v>0</v>
      </c>
      <c r="AU134" s="206">
        <f>'DATA INPUT - DETAIL'!AA125</f>
        <v>0</v>
      </c>
      <c r="AV134" s="206">
        <f>'DATA INPUT - DETAIL'!AB125</f>
        <v>0</v>
      </c>
      <c r="AW134" s="206">
        <f>'DATA INPUT - DETAIL'!AC125</f>
        <v>0</v>
      </c>
      <c r="AX134" s="206">
        <f t="shared" si="189"/>
        <v>0</v>
      </c>
      <c r="AY134" s="206">
        <f t="shared" si="190"/>
        <v>0</v>
      </c>
      <c r="AZ134" s="206">
        <f t="shared" si="191"/>
        <v>0</v>
      </c>
      <c r="BA134" s="206">
        <f t="shared" si="192"/>
        <v>0</v>
      </c>
      <c r="BB134" s="206">
        <f t="shared" si="193"/>
        <v>0</v>
      </c>
      <c r="BC134" s="206">
        <f t="shared" si="194"/>
        <v>0</v>
      </c>
      <c r="BD134" s="206">
        <f t="shared" si="195"/>
        <v>0</v>
      </c>
      <c r="BE134" s="206">
        <f t="shared" si="196"/>
        <v>0</v>
      </c>
      <c r="BF134" s="206">
        <f t="shared" si="197"/>
        <v>0</v>
      </c>
      <c r="BG134" s="206">
        <f t="shared" si="198"/>
        <v>0</v>
      </c>
      <c r="BH134" s="206">
        <f t="shared" si="199"/>
        <v>0</v>
      </c>
      <c r="BI134" s="206">
        <f t="shared" si="200"/>
        <v>0</v>
      </c>
      <c r="BJ134" s="266">
        <f t="shared" si="201"/>
        <v>0</v>
      </c>
      <c r="BK134" s="266">
        <f t="shared" si="202"/>
        <v>0</v>
      </c>
      <c r="BL134" s="192">
        <f t="shared" si="203"/>
        <v>0</v>
      </c>
      <c r="BM134" s="192">
        <f t="shared" si="204"/>
        <v>0</v>
      </c>
      <c r="BN134" s="192">
        <f t="shared" si="205"/>
        <v>0</v>
      </c>
      <c r="BO134" s="192">
        <f t="shared" si="206"/>
        <v>0</v>
      </c>
      <c r="BP134" s="192">
        <f t="shared" si="207"/>
        <v>0</v>
      </c>
      <c r="BQ134" s="193">
        <f t="shared" si="208"/>
        <v>0</v>
      </c>
      <c r="BR134" s="193">
        <f t="shared" si="209"/>
        <v>0</v>
      </c>
      <c r="BS134" s="265">
        <f t="shared" si="210"/>
        <v>0</v>
      </c>
      <c r="BT134" s="265">
        <f t="shared" si="211"/>
        <v>0</v>
      </c>
      <c r="BU134" s="265">
        <f t="shared" si="212"/>
        <v>0</v>
      </c>
      <c r="BV134" s="265">
        <f t="shared" si="213"/>
        <v>0</v>
      </c>
      <c r="BW134" s="265">
        <f t="shared" si="214"/>
        <v>0</v>
      </c>
      <c r="BX134" s="265">
        <f t="shared" si="215"/>
        <v>0</v>
      </c>
      <c r="BY134" s="265">
        <f t="shared" si="216"/>
        <v>0</v>
      </c>
      <c r="BZ134" s="265">
        <f t="shared" si="217"/>
        <v>0</v>
      </c>
      <c r="CA134" s="265">
        <f t="shared" si="218"/>
        <v>0</v>
      </c>
      <c r="CB134" s="269">
        <f t="shared" si="219"/>
        <v>0</v>
      </c>
      <c r="CC134" s="266">
        <f t="shared" si="220"/>
        <v>0</v>
      </c>
      <c r="CD134" s="241"/>
      <c r="CE134" s="198">
        <f t="shared" si="221"/>
        <v>1.213979268060441E-10</v>
      </c>
      <c r="CF134" s="198">
        <f t="shared" si="156"/>
        <v>0</v>
      </c>
      <c r="CG134" s="198">
        <f t="shared" si="157"/>
        <v>0</v>
      </c>
      <c r="CH134" s="198">
        <f t="shared" si="158"/>
        <v>0</v>
      </c>
      <c r="CI134" s="198">
        <f t="shared" si="159"/>
        <v>0</v>
      </c>
      <c r="CJ134" s="198">
        <f t="shared" si="160"/>
        <v>0</v>
      </c>
      <c r="CK134" s="198">
        <f t="shared" si="161"/>
        <v>0</v>
      </c>
      <c r="CL134" s="198">
        <f t="shared" si="162"/>
        <v>5.3032633517135069E-13</v>
      </c>
      <c r="CM134" s="271">
        <f t="shared" si="163"/>
        <v>0</v>
      </c>
      <c r="CN134" s="198">
        <f t="shared" si="164"/>
        <v>1.2192825314121545E-10</v>
      </c>
      <c r="CO134" s="209">
        <f t="shared" si="222"/>
        <v>1.213979268060441E-10</v>
      </c>
    </row>
    <row r="135" spans="2:93" x14ac:dyDescent="0.2">
      <c r="B135" s="221">
        <f>'DATA INPUT - DETAIL'!D126</f>
        <v>0</v>
      </c>
      <c r="C135" s="211">
        <f>'DATA INPUT - DETAIL'!E126</f>
        <v>0</v>
      </c>
      <c r="D135" s="257">
        <f>'DATA INPUT - DETAIL'!I126</f>
        <v>0</v>
      </c>
      <c r="E135" s="258">
        <f>'DATA INPUT - DETAIL'!K126</f>
        <v>0</v>
      </c>
      <c r="F135" s="258">
        <f>'DATA INPUT - DETAIL'!L126</f>
        <v>0</v>
      </c>
      <c r="G135" s="179">
        <f>'DATA INPUT - DETAIL'!M126*(1+$V$5)</f>
        <v>0</v>
      </c>
      <c r="H135" s="179">
        <f>'DATA INPUT - DETAIL'!N126*(1+$V$5)</f>
        <v>0</v>
      </c>
      <c r="I135" s="258">
        <f t="shared" si="166"/>
        <v>0</v>
      </c>
      <c r="J135" s="258">
        <f>'DATA INPUT - DETAIL'!O126</f>
        <v>0</v>
      </c>
      <c r="K135" s="258">
        <f>'DATA INPUT - DETAIL'!P126</f>
        <v>0</v>
      </c>
      <c r="L135" s="267">
        <f>ROUNDDOWN('DATA INPUT - DETAIL'!G126,0)</f>
        <v>0</v>
      </c>
      <c r="M135" s="196">
        <f t="shared" si="165"/>
        <v>0</v>
      </c>
      <c r="N135" s="196">
        <f t="shared" si="167"/>
        <v>0</v>
      </c>
      <c r="O135" s="196">
        <f t="shared" si="168"/>
        <v>0</v>
      </c>
      <c r="P135" s="196">
        <f t="shared" si="169"/>
        <v>0</v>
      </c>
      <c r="Q135" s="196">
        <f t="shared" si="170"/>
        <v>0</v>
      </c>
      <c r="R135" s="196">
        <f t="shared" si="171"/>
        <v>0</v>
      </c>
      <c r="S135" s="196">
        <f t="shared" si="172"/>
        <v>0</v>
      </c>
      <c r="T135" s="196">
        <f t="shared" si="173"/>
        <v>0</v>
      </c>
      <c r="U135" s="185">
        <f>(C135&gt;0)*(C135&lt;$E$5)*VLOOKUP(MPP,ASUMSI!$BN$77:$CR$108,B135+1)*(1+$V$4)</f>
        <v>0</v>
      </c>
      <c r="V135" s="196">
        <f t="shared" si="174"/>
        <v>0</v>
      </c>
      <c r="W135" s="196">
        <f t="shared" si="175"/>
        <v>0</v>
      </c>
      <c r="X135" s="196">
        <f t="shared" si="176"/>
        <v>0</v>
      </c>
      <c r="Y135" s="196">
        <f t="shared" si="177"/>
        <v>0</v>
      </c>
      <c r="Z135" s="196">
        <f t="shared" si="178"/>
        <v>0</v>
      </c>
      <c r="AA135" s="185">
        <f t="shared" si="179"/>
        <v>0</v>
      </c>
      <c r="AB135" s="196">
        <f t="shared" si="180"/>
        <v>0</v>
      </c>
      <c r="AC135" s="196">
        <f t="shared" si="181"/>
        <v>0</v>
      </c>
      <c r="AD135" s="196">
        <f t="shared" si="182"/>
        <v>0</v>
      </c>
      <c r="AE135" s="196">
        <f t="shared" si="183"/>
        <v>0</v>
      </c>
      <c r="AF135" s="196">
        <f t="shared" si="184"/>
        <v>0</v>
      </c>
      <c r="AG135" s="196">
        <f t="shared" si="185"/>
        <v>0</v>
      </c>
      <c r="AH135" s="196">
        <f t="shared" si="186"/>
        <v>0</v>
      </c>
      <c r="AI135" s="266">
        <f>'DATA INPUT - DETAIL'!R126</f>
        <v>0</v>
      </c>
      <c r="AJ135" s="266">
        <f>'DATA INPUT - DETAIL'!S126</f>
        <v>0</v>
      </c>
      <c r="AK135" s="266">
        <f>'DATA INPUT - DETAIL'!T126</f>
        <v>0</v>
      </c>
      <c r="AL135" s="266">
        <f>'DATA INPUT - DETAIL'!U126</f>
        <v>0</v>
      </c>
      <c r="AM135" s="266">
        <f>'DATA INPUT - DETAIL'!V126</f>
        <v>0</v>
      </c>
      <c r="AN135" s="266">
        <f>'DATA INPUT - DETAIL'!W126</f>
        <v>0</v>
      </c>
      <c r="AO135" s="198">
        <f t="shared" si="187"/>
        <v>0</v>
      </c>
      <c r="AP135" s="266">
        <f>'DATA INPUT - DETAIL'!X126</f>
        <v>0</v>
      </c>
      <c r="AQ135" s="266">
        <f>'DATA INPUT - DETAIL'!Y126</f>
        <v>0</v>
      </c>
      <c r="AR135" s="266">
        <f>'DATA INPUT - DETAIL'!Z126</f>
        <v>0</v>
      </c>
      <c r="AS135" s="266">
        <f>'DATA INPUT - DETAIL'!AD126</f>
        <v>0</v>
      </c>
      <c r="AT135" s="266">
        <f t="shared" si="188"/>
        <v>0</v>
      </c>
      <c r="AU135" s="206">
        <f>'DATA INPUT - DETAIL'!AA126</f>
        <v>0</v>
      </c>
      <c r="AV135" s="206">
        <f>'DATA INPUT - DETAIL'!AB126</f>
        <v>0</v>
      </c>
      <c r="AW135" s="206">
        <f>'DATA INPUT - DETAIL'!AC126</f>
        <v>0</v>
      </c>
      <c r="AX135" s="206">
        <f t="shared" si="189"/>
        <v>0</v>
      </c>
      <c r="AY135" s="206">
        <f t="shared" si="190"/>
        <v>0</v>
      </c>
      <c r="AZ135" s="206">
        <f t="shared" si="191"/>
        <v>0</v>
      </c>
      <c r="BA135" s="206">
        <f t="shared" si="192"/>
        <v>0</v>
      </c>
      <c r="BB135" s="206">
        <f t="shared" si="193"/>
        <v>0</v>
      </c>
      <c r="BC135" s="206">
        <f t="shared" si="194"/>
        <v>0</v>
      </c>
      <c r="BD135" s="206">
        <f t="shared" si="195"/>
        <v>0</v>
      </c>
      <c r="BE135" s="206">
        <f t="shared" si="196"/>
        <v>0</v>
      </c>
      <c r="BF135" s="206">
        <f t="shared" si="197"/>
        <v>0</v>
      </c>
      <c r="BG135" s="206">
        <f t="shared" si="198"/>
        <v>0</v>
      </c>
      <c r="BH135" s="206">
        <f t="shared" si="199"/>
        <v>0</v>
      </c>
      <c r="BI135" s="206">
        <f t="shared" si="200"/>
        <v>0</v>
      </c>
      <c r="BJ135" s="266">
        <f t="shared" si="201"/>
        <v>0</v>
      </c>
      <c r="BK135" s="266">
        <f t="shared" si="202"/>
        <v>0</v>
      </c>
      <c r="BL135" s="192">
        <f t="shared" si="203"/>
        <v>0</v>
      </c>
      <c r="BM135" s="192">
        <f t="shared" si="204"/>
        <v>0</v>
      </c>
      <c r="BN135" s="192">
        <f t="shared" si="205"/>
        <v>0</v>
      </c>
      <c r="BO135" s="192">
        <f t="shared" si="206"/>
        <v>0</v>
      </c>
      <c r="BP135" s="192">
        <f t="shared" si="207"/>
        <v>0</v>
      </c>
      <c r="BQ135" s="193">
        <f t="shared" si="208"/>
        <v>0</v>
      </c>
      <c r="BR135" s="193">
        <f t="shared" si="209"/>
        <v>0</v>
      </c>
      <c r="BS135" s="265">
        <f t="shared" si="210"/>
        <v>0</v>
      </c>
      <c r="BT135" s="265">
        <f t="shared" si="211"/>
        <v>0</v>
      </c>
      <c r="BU135" s="265">
        <f t="shared" si="212"/>
        <v>0</v>
      </c>
      <c r="BV135" s="265">
        <f t="shared" si="213"/>
        <v>0</v>
      </c>
      <c r="BW135" s="265">
        <f t="shared" si="214"/>
        <v>0</v>
      </c>
      <c r="BX135" s="265">
        <f t="shared" si="215"/>
        <v>0</v>
      </c>
      <c r="BY135" s="265">
        <f t="shared" si="216"/>
        <v>0</v>
      </c>
      <c r="BZ135" s="265">
        <f t="shared" si="217"/>
        <v>0</v>
      </c>
      <c r="CA135" s="265">
        <f t="shared" si="218"/>
        <v>0</v>
      </c>
      <c r="CB135" s="269">
        <f t="shared" si="219"/>
        <v>0</v>
      </c>
      <c r="CC135" s="266">
        <f t="shared" si="220"/>
        <v>0</v>
      </c>
      <c r="CD135" s="241"/>
      <c r="CE135" s="198">
        <f t="shared" si="221"/>
        <v>1.2192825314121545E-10</v>
      </c>
      <c r="CF135" s="198">
        <f t="shared" si="156"/>
        <v>0</v>
      </c>
      <c r="CG135" s="198">
        <f t="shared" si="157"/>
        <v>0</v>
      </c>
      <c r="CH135" s="198">
        <f t="shared" si="158"/>
        <v>0</v>
      </c>
      <c r="CI135" s="198">
        <f t="shared" si="159"/>
        <v>0</v>
      </c>
      <c r="CJ135" s="198">
        <f t="shared" si="160"/>
        <v>0</v>
      </c>
      <c r="CK135" s="198">
        <f t="shared" si="161"/>
        <v>0</v>
      </c>
      <c r="CL135" s="198">
        <f t="shared" si="162"/>
        <v>5.3264306354699759E-13</v>
      </c>
      <c r="CM135" s="271">
        <f t="shared" si="163"/>
        <v>0</v>
      </c>
      <c r="CN135" s="198">
        <f t="shared" si="164"/>
        <v>1.2246089620476244E-10</v>
      </c>
      <c r="CO135" s="209">
        <f t="shared" si="222"/>
        <v>1.2192825314121545E-10</v>
      </c>
    </row>
    <row r="136" spans="2:93" x14ac:dyDescent="0.2">
      <c r="B136" s="221">
        <f>'DATA INPUT - DETAIL'!D127</f>
        <v>0</v>
      </c>
      <c r="C136" s="211">
        <f>'DATA INPUT - DETAIL'!E127</f>
        <v>0</v>
      </c>
      <c r="D136" s="257">
        <f>'DATA INPUT - DETAIL'!I127</f>
        <v>0</v>
      </c>
      <c r="E136" s="258">
        <f>'DATA INPUT - DETAIL'!K127</f>
        <v>0</v>
      </c>
      <c r="F136" s="258">
        <f>'DATA INPUT - DETAIL'!L127</f>
        <v>0</v>
      </c>
      <c r="G136" s="179">
        <f>'DATA INPUT - DETAIL'!M127*(1+$V$5)</f>
        <v>0</v>
      </c>
      <c r="H136" s="179">
        <f>'DATA INPUT - DETAIL'!N127*(1+$V$5)</f>
        <v>0</v>
      </c>
      <c r="I136" s="258">
        <f t="shared" si="166"/>
        <v>0</v>
      </c>
      <c r="J136" s="258">
        <f>'DATA INPUT - DETAIL'!O127</f>
        <v>0</v>
      </c>
      <c r="K136" s="258">
        <f>'DATA INPUT - DETAIL'!P127</f>
        <v>0</v>
      </c>
      <c r="L136" s="267">
        <f>ROUNDDOWN('DATA INPUT - DETAIL'!G127,0)</f>
        <v>0</v>
      </c>
      <c r="M136" s="196">
        <f t="shared" si="165"/>
        <v>0</v>
      </c>
      <c r="N136" s="196">
        <f t="shared" si="167"/>
        <v>0</v>
      </c>
      <c r="O136" s="196">
        <f t="shared" si="168"/>
        <v>0</v>
      </c>
      <c r="P136" s="196">
        <f t="shared" si="169"/>
        <v>0</v>
      </c>
      <c r="Q136" s="196">
        <f t="shared" si="170"/>
        <v>0</v>
      </c>
      <c r="R136" s="196">
        <f t="shared" si="171"/>
        <v>0</v>
      </c>
      <c r="S136" s="196">
        <f t="shared" si="172"/>
        <v>0</v>
      </c>
      <c r="T136" s="196">
        <f t="shared" si="173"/>
        <v>0</v>
      </c>
      <c r="U136" s="185">
        <f>(C136&gt;0)*(C136&lt;$E$5)*VLOOKUP(MPP,ASUMSI!$BN$77:$CR$108,B136+1)*(1+$V$4)</f>
        <v>0</v>
      </c>
      <c r="V136" s="196">
        <f t="shared" si="174"/>
        <v>0</v>
      </c>
      <c r="W136" s="196">
        <f t="shared" si="175"/>
        <v>0</v>
      </c>
      <c r="X136" s="196">
        <f t="shared" si="176"/>
        <v>0</v>
      </c>
      <c r="Y136" s="196">
        <f t="shared" si="177"/>
        <v>0</v>
      </c>
      <c r="Z136" s="196">
        <f t="shared" si="178"/>
        <v>0</v>
      </c>
      <c r="AA136" s="185">
        <f t="shared" si="179"/>
        <v>0</v>
      </c>
      <c r="AB136" s="196">
        <f t="shared" si="180"/>
        <v>0</v>
      </c>
      <c r="AC136" s="196">
        <f t="shared" si="181"/>
        <v>0</v>
      </c>
      <c r="AD136" s="196">
        <f t="shared" si="182"/>
        <v>0</v>
      </c>
      <c r="AE136" s="196">
        <f t="shared" si="183"/>
        <v>0</v>
      </c>
      <c r="AF136" s="196">
        <f t="shared" si="184"/>
        <v>0</v>
      </c>
      <c r="AG136" s="196">
        <f t="shared" si="185"/>
        <v>0</v>
      </c>
      <c r="AH136" s="196">
        <f t="shared" si="186"/>
        <v>0</v>
      </c>
      <c r="AI136" s="266">
        <f>'DATA INPUT - DETAIL'!R127</f>
        <v>0</v>
      </c>
      <c r="AJ136" s="266">
        <f>'DATA INPUT - DETAIL'!S127</f>
        <v>0</v>
      </c>
      <c r="AK136" s="266">
        <f>'DATA INPUT - DETAIL'!T127</f>
        <v>0</v>
      </c>
      <c r="AL136" s="266">
        <f>'DATA INPUT - DETAIL'!U127</f>
        <v>0</v>
      </c>
      <c r="AM136" s="266">
        <f>'DATA INPUT - DETAIL'!V127</f>
        <v>0</v>
      </c>
      <c r="AN136" s="266">
        <f>'DATA INPUT - DETAIL'!W127</f>
        <v>0</v>
      </c>
      <c r="AO136" s="198">
        <f t="shared" si="187"/>
        <v>0</v>
      </c>
      <c r="AP136" s="266">
        <f>'DATA INPUT - DETAIL'!X127</f>
        <v>0</v>
      </c>
      <c r="AQ136" s="266">
        <f>'DATA INPUT - DETAIL'!Y127</f>
        <v>0</v>
      </c>
      <c r="AR136" s="266">
        <f>'DATA INPUT - DETAIL'!Z127</f>
        <v>0</v>
      </c>
      <c r="AS136" s="266">
        <f>'DATA INPUT - DETAIL'!AD127</f>
        <v>0</v>
      </c>
      <c r="AT136" s="266">
        <f t="shared" si="188"/>
        <v>0</v>
      </c>
      <c r="AU136" s="206">
        <f>'DATA INPUT - DETAIL'!AA127</f>
        <v>0</v>
      </c>
      <c r="AV136" s="206">
        <f>'DATA INPUT - DETAIL'!AB127</f>
        <v>0</v>
      </c>
      <c r="AW136" s="206">
        <f>'DATA INPUT - DETAIL'!AC127</f>
        <v>0</v>
      </c>
      <c r="AX136" s="206">
        <f t="shared" si="189"/>
        <v>0</v>
      </c>
      <c r="AY136" s="206">
        <f t="shared" si="190"/>
        <v>0</v>
      </c>
      <c r="AZ136" s="206">
        <f t="shared" si="191"/>
        <v>0</v>
      </c>
      <c r="BA136" s="206">
        <f t="shared" si="192"/>
        <v>0</v>
      </c>
      <c r="BB136" s="206">
        <f t="shared" si="193"/>
        <v>0</v>
      </c>
      <c r="BC136" s="206">
        <f t="shared" si="194"/>
        <v>0</v>
      </c>
      <c r="BD136" s="206">
        <f t="shared" si="195"/>
        <v>0</v>
      </c>
      <c r="BE136" s="206">
        <f t="shared" si="196"/>
        <v>0</v>
      </c>
      <c r="BF136" s="206">
        <f t="shared" si="197"/>
        <v>0</v>
      </c>
      <c r="BG136" s="206">
        <f t="shared" si="198"/>
        <v>0</v>
      </c>
      <c r="BH136" s="206">
        <f t="shared" si="199"/>
        <v>0</v>
      </c>
      <c r="BI136" s="206">
        <f t="shared" si="200"/>
        <v>0</v>
      </c>
      <c r="BJ136" s="266">
        <f t="shared" si="201"/>
        <v>0</v>
      </c>
      <c r="BK136" s="266">
        <f t="shared" si="202"/>
        <v>0</v>
      </c>
      <c r="BL136" s="192">
        <f t="shared" si="203"/>
        <v>0</v>
      </c>
      <c r="BM136" s="192">
        <f t="shared" si="204"/>
        <v>0</v>
      </c>
      <c r="BN136" s="192">
        <f t="shared" si="205"/>
        <v>0</v>
      </c>
      <c r="BO136" s="192">
        <f t="shared" si="206"/>
        <v>0</v>
      </c>
      <c r="BP136" s="192">
        <f t="shared" si="207"/>
        <v>0</v>
      </c>
      <c r="BQ136" s="193">
        <f t="shared" si="208"/>
        <v>0</v>
      </c>
      <c r="BR136" s="193">
        <f t="shared" si="209"/>
        <v>0</v>
      </c>
      <c r="BS136" s="265">
        <f t="shared" si="210"/>
        <v>0</v>
      </c>
      <c r="BT136" s="265">
        <f t="shared" si="211"/>
        <v>0</v>
      </c>
      <c r="BU136" s="265">
        <f t="shared" si="212"/>
        <v>0</v>
      </c>
      <c r="BV136" s="265">
        <f t="shared" si="213"/>
        <v>0</v>
      </c>
      <c r="BW136" s="265">
        <f t="shared" si="214"/>
        <v>0</v>
      </c>
      <c r="BX136" s="265">
        <f t="shared" si="215"/>
        <v>0</v>
      </c>
      <c r="BY136" s="265">
        <f t="shared" si="216"/>
        <v>0</v>
      </c>
      <c r="BZ136" s="265">
        <f t="shared" si="217"/>
        <v>0</v>
      </c>
      <c r="CA136" s="265">
        <f t="shared" si="218"/>
        <v>0</v>
      </c>
      <c r="CB136" s="269">
        <f t="shared" si="219"/>
        <v>0</v>
      </c>
      <c r="CC136" s="266">
        <f t="shared" si="220"/>
        <v>0</v>
      </c>
      <c r="CD136" s="241"/>
      <c r="CE136" s="198">
        <f t="shared" si="221"/>
        <v>1.2246089620476244E-10</v>
      </c>
      <c r="CF136" s="198">
        <f t="shared" si="156"/>
        <v>0</v>
      </c>
      <c r="CG136" s="198">
        <f t="shared" si="157"/>
        <v>0</v>
      </c>
      <c r="CH136" s="198">
        <f t="shared" si="158"/>
        <v>0</v>
      </c>
      <c r="CI136" s="198">
        <f t="shared" si="159"/>
        <v>0</v>
      </c>
      <c r="CJ136" s="198">
        <f t="shared" si="160"/>
        <v>0</v>
      </c>
      <c r="CK136" s="198">
        <f t="shared" si="161"/>
        <v>0</v>
      </c>
      <c r="CL136" s="198">
        <f t="shared" si="162"/>
        <v>5.3496991254085753E-13</v>
      </c>
      <c r="CM136" s="271">
        <f t="shared" si="163"/>
        <v>0</v>
      </c>
      <c r="CN136" s="198">
        <f t="shared" si="164"/>
        <v>1.229958661173033E-10</v>
      </c>
      <c r="CO136" s="209">
        <f t="shared" si="222"/>
        <v>1.2246089620476244E-10</v>
      </c>
    </row>
    <row r="137" spans="2:93" x14ac:dyDescent="0.2">
      <c r="B137" s="221">
        <f>'DATA INPUT - DETAIL'!D128</f>
        <v>0</v>
      </c>
      <c r="C137" s="211">
        <f>'DATA INPUT - DETAIL'!E128</f>
        <v>0</v>
      </c>
      <c r="D137" s="257">
        <f>'DATA INPUT - DETAIL'!I128</f>
        <v>0</v>
      </c>
      <c r="E137" s="258">
        <f>'DATA INPUT - DETAIL'!K128</f>
        <v>0</v>
      </c>
      <c r="F137" s="258">
        <f>'DATA INPUT - DETAIL'!L128</f>
        <v>0</v>
      </c>
      <c r="G137" s="179">
        <f>'DATA INPUT - DETAIL'!M128*(1+$V$5)</f>
        <v>0</v>
      </c>
      <c r="H137" s="179">
        <f>'DATA INPUT - DETAIL'!N128*(1+$V$5)</f>
        <v>0</v>
      </c>
      <c r="I137" s="258">
        <f t="shared" si="166"/>
        <v>0</v>
      </c>
      <c r="J137" s="258">
        <f>'DATA INPUT - DETAIL'!O128</f>
        <v>0</v>
      </c>
      <c r="K137" s="258">
        <f>'DATA INPUT - DETAIL'!P128</f>
        <v>0</v>
      </c>
      <c r="L137" s="267">
        <f>ROUNDDOWN('DATA INPUT - DETAIL'!G128,0)</f>
        <v>0</v>
      </c>
      <c r="M137" s="196">
        <f t="shared" si="165"/>
        <v>0</v>
      </c>
      <c r="N137" s="196">
        <f t="shared" si="167"/>
        <v>0</v>
      </c>
      <c r="O137" s="196">
        <f t="shared" si="168"/>
        <v>0</v>
      </c>
      <c r="P137" s="196">
        <f t="shared" si="169"/>
        <v>0</v>
      </c>
      <c r="Q137" s="196">
        <f t="shared" si="170"/>
        <v>0</v>
      </c>
      <c r="R137" s="196">
        <f t="shared" si="171"/>
        <v>0</v>
      </c>
      <c r="S137" s="196">
        <f t="shared" si="172"/>
        <v>0</v>
      </c>
      <c r="T137" s="196">
        <f t="shared" si="173"/>
        <v>0</v>
      </c>
      <c r="U137" s="185">
        <f>(C137&gt;0)*(C137&lt;$E$5)*VLOOKUP(MPP,ASUMSI!$BN$77:$CR$108,B137+1)*(1+$V$4)</f>
        <v>0</v>
      </c>
      <c r="V137" s="196">
        <f t="shared" si="174"/>
        <v>0</v>
      </c>
      <c r="W137" s="196">
        <f t="shared" si="175"/>
        <v>0</v>
      </c>
      <c r="X137" s="196">
        <f t="shared" si="176"/>
        <v>0</v>
      </c>
      <c r="Y137" s="196">
        <f t="shared" si="177"/>
        <v>0</v>
      </c>
      <c r="Z137" s="196">
        <f t="shared" si="178"/>
        <v>0</v>
      </c>
      <c r="AA137" s="185">
        <f t="shared" si="179"/>
        <v>0</v>
      </c>
      <c r="AB137" s="196">
        <f t="shared" si="180"/>
        <v>0</v>
      </c>
      <c r="AC137" s="196">
        <f t="shared" si="181"/>
        <v>0</v>
      </c>
      <c r="AD137" s="196">
        <f t="shared" si="182"/>
        <v>0</v>
      </c>
      <c r="AE137" s="196">
        <f t="shared" si="183"/>
        <v>0</v>
      </c>
      <c r="AF137" s="196">
        <f t="shared" si="184"/>
        <v>0</v>
      </c>
      <c r="AG137" s="196">
        <f t="shared" si="185"/>
        <v>0</v>
      </c>
      <c r="AH137" s="196">
        <f t="shared" si="186"/>
        <v>0</v>
      </c>
      <c r="AI137" s="266">
        <f>'DATA INPUT - DETAIL'!R128</f>
        <v>0</v>
      </c>
      <c r="AJ137" s="266">
        <f>'DATA INPUT - DETAIL'!S128</f>
        <v>0</v>
      </c>
      <c r="AK137" s="266">
        <f>'DATA INPUT - DETAIL'!T128</f>
        <v>0</v>
      </c>
      <c r="AL137" s="266">
        <f>'DATA INPUT - DETAIL'!U128</f>
        <v>0</v>
      </c>
      <c r="AM137" s="266">
        <f>'DATA INPUT - DETAIL'!V128</f>
        <v>0</v>
      </c>
      <c r="AN137" s="266">
        <f>'DATA INPUT - DETAIL'!W128</f>
        <v>0</v>
      </c>
      <c r="AO137" s="198">
        <f t="shared" si="187"/>
        <v>0</v>
      </c>
      <c r="AP137" s="266">
        <f>'DATA INPUT - DETAIL'!X128</f>
        <v>0</v>
      </c>
      <c r="AQ137" s="266">
        <f>'DATA INPUT - DETAIL'!Y128</f>
        <v>0</v>
      </c>
      <c r="AR137" s="266">
        <f>'DATA INPUT - DETAIL'!Z128</f>
        <v>0</v>
      </c>
      <c r="AS137" s="266">
        <f>'DATA INPUT - DETAIL'!AD128</f>
        <v>0</v>
      </c>
      <c r="AT137" s="266">
        <f t="shared" si="188"/>
        <v>0</v>
      </c>
      <c r="AU137" s="206">
        <f>'DATA INPUT - DETAIL'!AA128</f>
        <v>0</v>
      </c>
      <c r="AV137" s="206">
        <f>'DATA INPUT - DETAIL'!AB128</f>
        <v>0</v>
      </c>
      <c r="AW137" s="206">
        <f>'DATA INPUT - DETAIL'!AC128</f>
        <v>0</v>
      </c>
      <c r="AX137" s="206">
        <f t="shared" si="189"/>
        <v>0</v>
      </c>
      <c r="AY137" s="206">
        <f t="shared" si="190"/>
        <v>0</v>
      </c>
      <c r="AZ137" s="206">
        <f t="shared" si="191"/>
        <v>0</v>
      </c>
      <c r="BA137" s="206">
        <f t="shared" si="192"/>
        <v>0</v>
      </c>
      <c r="BB137" s="206">
        <f t="shared" si="193"/>
        <v>0</v>
      </c>
      <c r="BC137" s="206">
        <f t="shared" si="194"/>
        <v>0</v>
      </c>
      <c r="BD137" s="206">
        <f t="shared" si="195"/>
        <v>0</v>
      </c>
      <c r="BE137" s="206">
        <f t="shared" si="196"/>
        <v>0</v>
      </c>
      <c r="BF137" s="206">
        <f t="shared" si="197"/>
        <v>0</v>
      </c>
      <c r="BG137" s="206">
        <f t="shared" si="198"/>
        <v>0</v>
      </c>
      <c r="BH137" s="206">
        <f t="shared" si="199"/>
        <v>0</v>
      </c>
      <c r="BI137" s="206">
        <f t="shared" si="200"/>
        <v>0</v>
      </c>
      <c r="BJ137" s="266">
        <f t="shared" si="201"/>
        <v>0</v>
      </c>
      <c r="BK137" s="266">
        <f t="shared" si="202"/>
        <v>0</v>
      </c>
      <c r="BL137" s="192">
        <f t="shared" si="203"/>
        <v>0</v>
      </c>
      <c r="BM137" s="192">
        <f t="shared" si="204"/>
        <v>0</v>
      </c>
      <c r="BN137" s="192">
        <f t="shared" si="205"/>
        <v>0</v>
      </c>
      <c r="BO137" s="192">
        <f t="shared" si="206"/>
        <v>0</v>
      </c>
      <c r="BP137" s="192">
        <f t="shared" si="207"/>
        <v>0</v>
      </c>
      <c r="BQ137" s="193">
        <f t="shared" si="208"/>
        <v>0</v>
      </c>
      <c r="BR137" s="193">
        <f t="shared" si="209"/>
        <v>0</v>
      </c>
      <c r="BS137" s="265">
        <f t="shared" si="210"/>
        <v>0</v>
      </c>
      <c r="BT137" s="265">
        <f t="shared" si="211"/>
        <v>0</v>
      </c>
      <c r="BU137" s="265">
        <f t="shared" si="212"/>
        <v>0</v>
      </c>
      <c r="BV137" s="265">
        <f t="shared" si="213"/>
        <v>0</v>
      </c>
      <c r="BW137" s="265">
        <f t="shared" si="214"/>
        <v>0</v>
      </c>
      <c r="BX137" s="265">
        <f t="shared" si="215"/>
        <v>0</v>
      </c>
      <c r="BY137" s="265">
        <f t="shared" si="216"/>
        <v>0</v>
      </c>
      <c r="BZ137" s="265">
        <f t="shared" si="217"/>
        <v>0</v>
      </c>
      <c r="CA137" s="265">
        <f t="shared" si="218"/>
        <v>0</v>
      </c>
      <c r="CB137" s="269">
        <f t="shared" si="219"/>
        <v>0</v>
      </c>
      <c r="CC137" s="266">
        <f t="shared" si="220"/>
        <v>0</v>
      </c>
      <c r="CD137" s="241"/>
      <c r="CE137" s="198">
        <f t="shared" si="221"/>
        <v>1.229958661173033E-10</v>
      </c>
      <c r="CF137" s="198">
        <f t="shared" si="156"/>
        <v>0</v>
      </c>
      <c r="CG137" s="198">
        <f t="shared" si="157"/>
        <v>0</v>
      </c>
      <c r="CH137" s="198">
        <f t="shared" si="158"/>
        <v>0</v>
      </c>
      <c r="CI137" s="198">
        <f t="shared" si="159"/>
        <v>0</v>
      </c>
      <c r="CJ137" s="198">
        <f t="shared" si="160"/>
        <v>0</v>
      </c>
      <c r="CK137" s="198">
        <f t="shared" si="161"/>
        <v>0</v>
      </c>
      <c r="CL137" s="198">
        <f t="shared" si="162"/>
        <v>5.3730692636480863E-13</v>
      </c>
      <c r="CM137" s="271">
        <f t="shared" si="163"/>
        <v>0</v>
      </c>
      <c r="CN137" s="198">
        <f t="shared" si="164"/>
        <v>1.2353317304366811E-10</v>
      </c>
      <c r="CO137" s="209">
        <f t="shared" si="222"/>
        <v>1.229958661173033E-10</v>
      </c>
    </row>
    <row r="138" spans="2:93" x14ac:dyDescent="0.2">
      <c r="B138" s="221">
        <f>'DATA INPUT - DETAIL'!D129</f>
        <v>0</v>
      </c>
      <c r="C138" s="211">
        <f>'DATA INPUT - DETAIL'!E129</f>
        <v>0</v>
      </c>
      <c r="D138" s="257">
        <f>'DATA INPUT - DETAIL'!I129</f>
        <v>0</v>
      </c>
      <c r="E138" s="258">
        <f>'DATA INPUT - DETAIL'!K129</f>
        <v>0</v>
      </c>
      <c r="F138" s="258">
        <f>'DATA INPUT - DETAIL'!L129</f>
        <v>0</v>
      </c>
      <c r="G138" s="179">
        <f>'DATA INPUT - DETAIL'!M129*(1+$V$5)</f>
        <v>0</v>
      </c>
      <c r="H138" s="179">
        <f>'DATA INPUT - DETAIL'!N129*(1+$V$5)</f>
        <v>0</v>
      </c>
      <c r="I138" s="258">
        <f t="shared" si="166"/>
        <v>0</v>
      </c>
      <c r="J138" s="258">
        <f>'DATA INPUT - DETAIL'!O129</f>
        <v>0</v>
      </c>
      <c r="K138" s="258">
        <f>'DATA INPUT - DETAIL'!P129</f>
        <v>0</v>
      </c>
      <c r="L138" s="267">
        <f>ROUNDDOWN('DATA INPUT - DETAIL'!G129,0)</f>
        <v>0</v>
      </c>
      <c r="M138" s="196">
        <f t="shared" si="165"/>
        <v>0</v>
      </c>
      <c r="N138" s="196">
        <f t="shared" si="167"/>
        <v>0</v>
      </c>
      <c r="O138" s="196">
        <f t="shared" si="168"/>
        <v>0</v>
      </c>
      <c r="P138" s="196">
        <f t="shared" si="169"/>
        <v>0</v>
      </c>
      <c r="Q138" s="196">
        <f t="shared" si="170"/>
        <v>0</v>
      </c>
      <c r="R138" s="196">
        <f t="shared" si="171"/>
        <v>0</v>
      </c>
      <c r="S138" s="196">
        <f t="shared" si="172"/>
        <v>0</v>
      </c>
      <c r="T138" s="196">
        <f t="shared" si="173"/>
        <v>0</v>
      </c>
      <c r="U138" s="185">
        <f>(C138&gt;0)*(C138&lt;$E$5)*VLOOKUP(MPP,ASUMSI!$BN$77:$CR$108,B138+1)*(1+$V$4)</f>
        <v>0</v>
      </c>
      <c r="V138" s="196">
        <f t="shared" si="174"/>
        <v>0</v>
      </c>
      <c r="W138" s="196">
        <f t="shared" si="175"/>
        <v>0</v>
      </c>
      <c r="X138" s="196">
        <f t="shared" si="176"/>
        <v>0</v>
      </c>
      <c r="Y138" s="196">
        <f t="shared" si="177"/>
        <v>0</v>
      </c>
      <c r="Z138" s="196">
        <f t="shared" si="178"/>
        <v>0</v>
      </c>
      <c r="AA138" s="185">
        <f t="shared" si="179"/>
        <v>0</v>
      </c>
      <c r="AB138" s="196">
        <f t="shared" si="180"/>
        <v>0</v>
      </c>
      <c r="AC138" s="196">
        <f t="shared" si="181"/>
        <v>0</v>
      </c>
      <c r="AD138" s="196">
        <f t="shared" si="182"/>
        <v>0</v>
      </c>
      <c r="AE138" s="196">
        <f t="shared" si="183"/>
        <v>0</v>
      </c>
      <c r="AF138" s="196">
        <f t="shared" si="184"/>
        <v>0</v>
      </c>
      <c r="AG138" s="196">
        <f t="shared" si="185"/>
        <v>0</v>
      </c>
      <c r="AH138" s="196">
        <f t="shared" si="186"/>
        <v>0</v>
      </c>
      <c r="AI138" s="266">
        <f>'DATA INPUT - DETAIL'!R129</f>
        <v>0</v>
      </c>
      <c r="AJ138" s="266">
        <f>'DATA INPUT - DETAIL'!S129</f>
        <v>0</v>
      </c>
      <c r="AK138" s="266">
        <f>'DATA INPUT - DETAIL'!T129</f>
        <v>0</v>
      </c>
      <c r="AL138" s="266">
        <f>'DATA INPUT - DETAIL'!U129</f>
        <v>0</v>
      </c>
      <c r="AM138" s="266">
        <f>'DATA INPUT - DETAIL'!V129</f>
        <v>0</v>
      </c>
      <c r="AN138" s="266">
        <f>'DATA INPUT - DETAIL'!W129</f>
        <v>0</v>
      </c>
      <c r="AO138" s="198">
        <f t="shared" si="187"/>
        <v>0</v>
      </c>
      <c r="AP138" s="266">
        <f>'DATA INPUT - DETAIL'!X129</f>
        <v>0</v>
      </c>
      <c r="AQ138" s="266">
        <f>'DATA INPUT - DETAIL'!Y129</f>
        <v>0</v>
      </c>
      <c r="AR138" s="266">
        <f>'DATA INPUT - DETAIL'!Z129</f>
        <v>0</v>
      </c>
      <c r="AS138" s="266">
        <f>'DATA INPUT - DETAIL'!AD129</f>
        <v>0</v>
      </c>
      <c r="AT138" s="266">
        <f t="shared" si="188"/>
        <v>0</v>
      </c>
      <c r="AU138" s="206">
        <f>'DATA INPUT - DETAIL'!AA129</f>
        <v>0</v>
      </c>
      <c r="AV138" s="206">
        <f>'DATA INPUT - DETAIL'!AB129</f>
        <v>0</v>
      </c>
      <c r="AW138" s="206">
        <f>'DATA INPUT - DETAIL'!AC129</f>
        <v>0</v>
      </c>
      <c r="AX138" s="206">
        <f t="shared" si="189"/>
        <v>0</v>
      </c>
      <c r="AY138" s="206">
        <f t="shared" si="190"/>
        <v>0</v>
      </c>
      <c r="AZ138" s="206">
        <f t="shared" si="191"/>
        <v>0</v>
      </c>
      <c r="BA138" s="206">
        <f t="shared" si="192"/>
        <v>0</v>
      </c>
      <c r="BB138" s="206">
        <f t="shared" si="193"/>
        <v>0</v>
      </c>
      <c r="BC138" s="206">
        <f t="shared" si="194"/>
        <v>0</v>
      </c>
      <c r="BD138" s="206">
        <f t="shared" si="195"/>
        <v>0</v>
      </c>
      <c r="BE138" s="206">
        <f t="shared" si="196"/>
        <v>0</v>
      </c>
      <c r="BF138" s="206">
        <f t="shared" si="197"/>
        <v>0</v>
      </c>
      <c r="BG138" s="206">
        <f t="shared" si="198"/>
        <v>0</v>
      </c>
      <c r="BH138" s="206">
        <f t="shared" si="199"/>
        <v>0</v>
      </c>
      <c r="BI138" s="206">
        <f t="shared" si="200"/>
        <v>0</v>
      </c>
      <c r="BJ138" s="266">
        <f t="shared" si="201"/>
        <v>0</v>
      </c>
      <c r="BK138" s="266">
        <f t="shared" si="202"/>
        <v>0</v>
      </c>
      <c r="BL138" s="192">
        <f t="shared" si="203"/>
        <v>0</v>
      </c>
      <c r="BM138" s="192">
        <f t="shared" si="204"/>
        <v>0</v>
      </c>
      <c r="BN138" s="192">
        <f t="shared" si="205"/>
        <v>0</v>
      </c>
      <c r="BO138" s="192">
        <f t="shared" si="206"/>
        <v>0</v>
      </c>
      <c r="BP138" s="192">
        <f t="shared" si="207"/>
        <v>0</v>
      </c>
      <c r="BQ138" s="193">
        <f t="shared" si="208"/>
        <v>0</v>
      </c>
      <c r="BR138" s="193">
        <f t="shared" si="209"/>
        <v>0</v>
      </c>
      <c r="BS138" s="265">
        <f t="shared" si="210"/>
        <v>0</v>
      </c>
      <c r="BT138" s="265">
        <f t="shared" si="211"/>
        <v>0</v>
      </c>
      <c r="BU138" s="265">
        <f t="shared" si="212"/>
        <v>0</v>
      </c>
      <c r="BV138" s="265">
        <f t="shared" si="213"/>
        <v>0</v>
      </c>
      <c r="BW138" s="265">
        <f t="shared" si="214"/>
        <v>0</v>
      </c>
      <c r="BX138" s="265">
        <f t="shared" si="215"/>
        <v>0</v>
      </c>
      <c r="BY138" s="265">
        <f t="shared" si="216"/>
        <v>0</v>
      </c>
      <c r="BZ138" s="265">
        <f t="shared" si="217"/>
        <v>0</v>
      </c>
      <c r="CA138" s="265">
        <f t="shared" si="218"/>
        <v>0</v>
      </c>
      <c r="CB138" s="269">
        <f t="shared" si="219"/>
        <v>0</v>
      </c>
      <c r="CC138" s="266">
        <f t="shared" si="220"/>
        <v>0</v>
      </c>
      <c r="CD138" s="241"/>
      <c r="CE138" s="198">
        <f t="shared" si="221"/>
        <v>1.2353317304366811E-10</v>
      </c>
      <c r="CF138" s="198">
        <f t="shared" si="156"/>
        <v>0</v>
      </c>
      <c r="CG138" s="198">
        <f t="shared" si="157"/>
        <v>0</v>
      </c>
      <c r="CH138" s="198">
        <f t="shared" si="158"/>
        <v>0</v>
      </c>
      <c r="CI138" s="198">
        <f t="shared" si="159"/>
        <v>0</v>
      </c>
      <c r="CJ138" s="198">
        <f t="shared" si="160"/>
        <v>0</v>
      </c>
      <c r="CK138" s="198">
        <f t="shared" si="161"/>
        <v>0</v>
      </c>
      <c r="CL138" s="198">
        <f t="shared" si="162"/>
        <v>5.396541494238686E-13</v>
      </c>
      <c r="CM138" s="271">
        <f t="shared" si="163"/>
        <v>0</v>
      </c>
      <c r="CN138" s="198">
        <f t="shared" si="164"/>
        <v>1.2407282719309198E-10</v>
      </c>
      <c r="CO138" s="209">
        <f t="shared" si="222"/>
        <v>1.2353317304366811E-10</v>
      </c>
    </row>
    <row r="139" spans="2:93" x14ac:dyDescent="0.2">
      <c r="B139" s="221">
        <f>'DATA INPUT - DETAIL'!D130</f>
        <v>0</v>
      </c>
      <c r="C139" s="211">
        <f>'DATA INPUT - DETAIL'!E130</f>
        <v>0</v>
      </c>
      <c r="D139" s="257">
        <f>'DATA INPUT - DETAIL'!I130</f>
        <v>0</v>
      </c>
      <c r="E139" s="258">
        <f>'DATA INPUT - DETAIL'!K130</f>
        <v>0</v>
      </c>
      <c r="F139" s="258">
        <f>'DATA INPUT - DETAIL'!L130</f>
        <v>0</v>
      </c>
      <c r="G139" s="179">
        <f>'DATA INPUT - DETAIL'!M130*(1+$V$5)</f>
        <v>0</v>
      </c>
      <c r="H139" s="179">
        <f>'DATA INPUT - DETAIL'!N130*(1+$V$5)</f>
        <v>0</v>
      </c>
      <c r="I139" s="258">
        <f t="shared" si="166"/>
        <v>0</v>
      </c>
      <c r="J139" s="258">
        <f>'DATA INPUT - DETAIL'!O130</f>
        <v>0</v>
      </c>
      <c r="K139" s="258">
        <f>'DATA INPUT - DETAIL'!P130</f>
        <v>0</v>
      </c>
      <c r="L139" s="267">
        <f>ROUNDDOWN('DATA INPUT - DETAIL'!G130,0)</f>
        <v>0</v>
      </c>
      <c r="M139" s="196">
        <f t="shared" si="165"/>
        <v>0</v>
      </c>
      <c r="N139" s="196">
        <f t="shared" si="167"/>
        <v>0</v>
      </c>
      <c r="O139" s="196">
        <f t="shared" si="168"/>
        <v>0</v>
      </c>
      <c r="P139" s="196">
        <f t="shared" si="169"/>
        <v>0</v>
      </c>
      <c r="Q139" s="196">
        <f t="shared" si="170"/>
        <v>0</v>
      </c>
      <c r="R139" s="196">
        <f t="shared" si="171"/>
        <v>0</v>
      </c>
      <c r="S139" s="196">
        <f t="shared" si="172"/>
        <v>0</v>
      </c>
      <c r="T139" s="196">
        <f t="shared" si="173"/>
        <v>0</v>
      </c>
      <c r="U139" s="185">
        <f>(C139&gt;0)*(C139&lt;$E$5)*VLOOKUP(MPP,ASUMSI!$BN$77:$CR$108,B139+1)*(1+$V$4)</f>
        <v>0</v>
      </c>
      <c r="V139" s="196">
        <f t="shared" si="174"/>
        <v>0</v>
      </c>
      <c r="W139" s="196">
        <f t="shared" si="175"/>
        <v>0</v>
      </c>
      <c r="X139" s="196">
        <f t="shared" si="176"/>
        <v>0</v>
      </c>
      <c r="Y139" s="196">
        <f t="shared" si="177"/>
        <v>0</v>
      </c>
      <c r="Z139" s="196">
        <f t="shared" si="178"/>
        <v>0</v>
      </c>
      <c r="AA139" s="185">
        <f t="shared" si="179"/>
        <v>0</v>
      </c>
      <c r="AB139" s="196">
        <f t="shared" si="180"/>
        <v>0</v>
      </c>
      <c r="AC139" s="196">
        <f t="shared" si="181"/>
        <v>0</v>
      </c>
      <c r="AD139" s="196">
        <f t="shared" si="182"/>
        <v>0</v>
      </c>
      <c r="AE139" s="196">
        <f t="shared" si="183"/>
        <v>0</v>
      </c>
      <c r="AF139" s="196">
        <f t="shared" si="184"/>
        <v>0</v>
      </c>
      <c r="AG139" s="196">
        <f t="shared" si="185"/>
        <v>0</v>
      </c>
      <c r="AH139" s="196">
        <f t="shared" si="186"/>
        <v>0</v>
      </c>
      <c r="AI139" s="266">
        <f>'DATA INPUT - DETAIL'!R130</f>
        <v>0</v>
      </c>
      <c r="AJ139" s="266">
        <f>'DATA INPUT - DETAIL'!S130</f>
        <v>0</v>
      </c>
      <c r="AK139" s="266">
        <f>'DATA INPUT - DETAIL'!T130</f>
        <v>0</v>
      </c>
      <c r="AL139" s="266">
        <f>'DATA INPUT - DETAIL'!U130</f>
        <v>0</v>
      </c>
      <c r="AM139" s="266">
        <f>'DATA INPUT - DETAIL'!V130</f>
        <v>0</v>
      </c>
      <c r="AN139" s="266">
        <f>'DATA INPUT - DETAIL'!W130</f>
        <v>0</v>
      </c>
      <c r="AO139" s="198">
        <f t="shared" si="187"/>
        <v>0</v>
      </c>
      <c r="AP139" s="266">
        <f>'DATA INPUT - DETAIL'!X130</f>
        <v>0</v>
      </c>
      <c r="AQ139" s="266">
        <f>'DATA INPUT - DETAIL'!Y130</f>
        <v>0</v>
      </c>
      <c r="AR139" s="266">
        <f>'DATA INPUT - DETAIL'!Z130</f>
        <v>0</v>
      </c>
      <c r="AS139" s="266">
        <f>'DATA INPUT - DETAIL'!AD130</f>
        <v>0</v>
      </c>
      <c r="AT139" s="266">
        <f t="shared" si="188"/>
        <v>0</v>
      </c>
      <c r="AU139" s="206">
        <f>'DATA INPUT - DETAIL'!AA130</f>
        <v>0</v>
      </c>
      <c r="AV139" s="206">
        <f>'DATA INPUT - DETAIL'!AB130</f>
        <v>0</v>
      </c>
      <c r="AW139" s="206">
        <f>'DATA INPUT - DETAIL'!AC130</f>
        <v>0</v>
      </c>
      <c r="AX139" s="206">
        <f t="shared" si="189"/>
        <v>0</v>
      </c>
      <c r="AY139" s="206">
        <f t="shared" si="190"/>
        <v>0</v>
      </c>
      <c r="AZ139" s="206">
        <f t="shared" si="191"/>
        <v>0</v>
      </c>
      <c r="BA139" s="206">
        <f t="shared" si="192"/>
        <v>0</v>
      </c>
      <c r="BB139" s="206">
        <f t="shared" si="193"/>
        <v>0</v>
      </c>
      <c r="BC139" s="206">
        <f t="shared" si="194"/>
        <v>0</v>
      </c>
      <c r="BD139" s="206">
        <f t="shared" si="195"/>
        <v>0</v>
      </c>
      <c r="BE139" s="206">
        <f t="shared" si="196"/>
        <v>0</v>
      </c>
      <c r="BF139" s="206">
        <f t="shared" si="197"/>
        <v>0</v>
      </c>
      <c r="BG139" s="206">
        <f t="shared" si="198"/>
        <v>0</v>
      </c>
      <c r="BH139" s="206">
        <f t="shared" si="199"/>
        <v>0</v>
      </c>
      <c r="BI139" s="206">
        <f t="shared" si="200"/>
        <v>0</v>
      </c>
      <c r="BJ139" s="266">
        <f t="shared" si="201"/>
        <v>0</v>
      </c>
      <c r="BK139" s="266">
        <f t="shared" si="202"/>
        <v>0</v>
      </c>
      <c r="BL139" s="192">
        <f t="shared" si="203"/>
        <v>0</v>
      </c>
      <c r="BM139" s="192">
        <f t="shared" si="204"/>
        <v>0</v>
      </c>
      <c r="BN139" s="192">
        <f t="shared" si="205"/>
        <v>0</v>
      </c>
      <c r="BO139" s="192">
        <f t="shared" si="206"/>
        <v>0</v>
      </c>
      <c r="BP139" s="192">
        <f t="shared" si="207"/>
        <v>0</v>
      </c>
      <c r="BQ139" s="193">
        <f t="shared" si="208"/>
        <v>0</v>
      </c>
      <c r="BR139" s="193">
        <f t="shared" si="209"/>
        <v>0</v>
      </c>
      <c r="BS139" s="265">
        <f t="shared" si="210"/>
        <v>0</v>
      </c>
      <c r="BT139" s="265">
        <f t="shared" si="211"/>
        <v>0</v>
      </c>
      <c r="BU139" s="265">
        <f t="shared" si="212"/>
        <v>0</v>
      </c>
      <c r="BV139" s="265">
        <f t="shared" si="213"/>
        <v>0</v>
      </c>
      <c r="BW139" s="265">
        <f t="shared" si="214"/>
        <v>0</v>
      </c>
      <c r="BX139" s="265">
        <f t="shared" si="215"/>
        <v>0</v>
      </c>
      <c r="BY139" s="265">
        <f t="shared" si="216"/>
        <v>0</v>
      </c>
      <c r="BZ139" s="265">
        <f t="shared" si="217"/>
        <v>0</v>
      </c>
      <c r="CA139" s="265">
        <f t="shared" si="218"/>
        <v>0</v>
      </c>
      <c r="CB139" s="269">
        <f t="shared" si="219"/>
        <v>0</v>
      </c>
      <c r="CC139" s="266">
        <f t="shared" si="220"/>
        <v>0</v>
      </c>
      <c r="CD139" s="241"/>
      <c r="CE139" s="198">
        <f t="shared" si="221"/>
        <v>1.2407282719309198E-10</v>
      </c>
      <c r="CF139" s="198">
        <f t="shared" si="156"/>
        <v>0</v>
      </c>
      <c r="CG139" s="198">
        <f t="shared" si="157"/>
        <v>0</v>
      </c>
      <c r="CH139" s="198">
        <f t="shared" si="158"/>
        <v>0</v>
      </c>
      <c r="CI139" s="198">
        <f t="shared" si="159"/>
        <v>0</v>
      </c>
      <c r="CJ139" s="198">
        <f t="shared" si="160"/>
        <v>0</v>
      </c>
      <c r="CK139" s="198">
        <f t="shared" si="161"/>
        <v>0</v>
      </c>
      <c r="CL139" s="198">
        <f t="shared" si="162"/>
        <v>5.420116263170385E-13</v>
      </c>
      <c r="CM139" s="271">
        <f t="shared" si="163"/>
        <v>0</v>
      </c>
      <c r="CN139" s="198">
        <f t="shared" si="164"/>
        <v>1.24614838819409E-10</v>
      </c>
      <c r="CO139" s="209">
        <f t="shared" si="222"/>
        <v>1.2407282719309198E-10</v>
      </c>
    </row>
    <row r="140" spans="2:93" x14ac:dyDescent="0.2">
      <c r="B140" s="221">
        <f>'DATA INPUT - DETAIL'!D131</f>
        <v>0</v>
      </c>
      <c r="C140" s="211">
        <f>'DATA INPUT - DETAIL'!E131</f>
        <v>0</v>
      </c>
      <c r="D140" s="257">
        <f>'DATA INPUT - DETAIL'!I131</f>
        <v>0</v>
      </c>
      <c r="E140" s="258">
        <f>'DATA INPUT - DETAIL'!K131</f>
        <v>0</v>
      </c>
      <c r="F140" s="258">
        <f>'DATA INPUT - DETAIL'!L131</f>
        <v>0</v>
      </c>
      <c r="G140" s="179">
        <f>'DATA INPUT - DETAIL'!M131*(1+$V$5)</f>
        <v>0</v>
      </c>
      <c r="H140" s="179">
        <f>'DATA INPUT - DETAIL'!N131*(1+$V$5)</f>
        <v>0</v>
      </c>
      <c r="I140" s="258">
        <f t="shared" si="166"/>
        <v>0</v>
      </c>
      <c r="J140" s="258">
        <f>'DATA INPUT - DETAIL'!O131</f>
        <v>0</v>
      </c>
      <c r="K140" s="258">
        <f>'DATA INPUT - DETAIL'!P131</f>
        <v>0</v>
      </c>
      <c r="L140" s="267">
        <f>ROUNDDOWN('DATA INPUT - DETAIL'!G131,0)</f>
        <v>0</v>
      </c>
      <c r="M140" s="196">
        <f t="shared" si="165"/>
        <v>0</v>
      </c>
      <c r="N140" s="196">
        <f t="shared" si="167"/>
        <v>0</v>
      </c>
      <c r="O140" s="196">
        <f t="shared" si="168"/>
        <v>0</v>
      </c>
      <c r="P140" s="196">
        <f t="shared" si="169"/>
        <v>0</v>
      </c>
      <c r="Q140" s="196">
        <f t="shared" si="170"/>
        <v>0</v>
      </c>
      <c r="R140" s="196">
        <f t="shared" si="171"/>
        <v>0</v>
      </c>
      <c r="S140" s="196">
        <f t="shared" si="172"/>
        <v>0</v>
      </c>
      <c r="T140" s="196">
        <f t="shared" si="173"/>
        <v>0</v>
      </c>
      <c r="U140" s="185">
        <f>(C140&gt;0)*(C140&lt;$E$5)*VLOOKUP(MPP,ASUMSI!$BN$77:$CR$108,B140+1)*(1+$V$4)</f>
        <v>0</v>
      </c>
      <c r="V140" s="196">
        <f t="shared" si="174"/>
        <v>0</v>
      </c>
      <c r="W140" s="196">
        <f t="shared" si="175"/>
        <v>0</v>
      </c>
      <c r="X140" s="196">
        <f t="shared" si="176"/>
        <v>0</v>
      </c>
      <c r="Y140" s="196">
        <f t="shared" si="177"/>
        <v>0</v>
      </c>
      <c r="Z140" s="196">
        <f t="shared" si="178"/>
        <v>0</v>
      </c>
      <c r="AA140" s="185">
        <f t="shared" si="179"/>
        <v>0</v>
      </c>
      <c r="AB140" s="196">
        <f t="shared" si="180"/>
        <v>0</v>
      </c>
      <c r="AC140" s="196">
        <f t="shared" si="181"/>
        <v>0</v>
      </c>
      <c r="AD140" s="196">
        <f t="shared" si="182"/>
        <v>0</v>
      </c>
      <c r="AE140" s="196">
        <f t="shared" si="183"/>
        <v>0</v>
      </c>
      <c r="AF140" s="196">
        <f t="shared" si="184"/>
        <v>0</v>
      </c>
      <c r="AG140" s="196">
        <f t="shared" si="185"/>
        <v>0</v>
      </c>
      <c r="AH140" s="196">
        <f t="shared" si="186"/>
        <v>0</v>
      </c>
      <c r="AI140" s="266">
        <f>'DATA INPUT - DETAIL'!R131</f>
        <v>0</v>
      </c>
      <c r="AJ140" s="266">
        <f>'DATA INPUT - DETAIL'!S131</f>
        <v>0</v>
      </c>
      <c r="AK140" s="266">
        <f>'DATA INPUT - DETAIL'!T131</f>
        <v>0</v>
      </c>
      <c r="AL140" s="266">
        <f>'DATA INPUT - DETAIL'!U131</f>
        <v>0</v>
      </c>
      <c r="AM140" s="266">
        <f>'DATA INPUT - DETAIL'!V131</f>
        <v>0</v>
      </c>
      <c r="AN140" s="266">
        <f>'DATA INPUT - DETAIL'!W131</f>
        <v>0</v>
      </c>
      <c r="AO140" s="198">
        <f t="shared" si="187"/>
        <v>0</v>
      </c>
      <c r="AP140" s="266">
        <f>'DATA INPUT - DETAIL'!X131</f>
        <v>0</v>
      </c>
      <c r="AQ140" s="266">
        <f>'DATA INPUT - DETAIL'!Y131</f>
        <v>0</v>
      </c>
      <c r="AR140" s="266">
        <f>'DATA INPUT - DETAIL'!Z131</f>
        <v>0</v>
      </c>
      <c r="AS140" s="266">
        <f>'DATA INPUT - DETAIL'!AD131</f>
        <v>0</v>
      </c>
      <c r="AT140" s="266">
        <f t="shared" si="188"/>
        <v>0</v>
      </c>
      <c r="AU140" s="206">
        <f>'DATA INPUT - DETAIL'!AA131</f>
        <v>0</v>
      </c>
      <c r="AV140" s="206">
        <f>'DATA INPUT - DETAIL'!AB131</f>
        <v>0</v>
      </c>
      <c r="AW140" s="206">
        <f>'DATA INPUT - DETAIL'!AC131</f>
        <v>0</v>
      </c>
      <c r="AX140" s="206">
        <f t="shared" si="189"/>
        <v>0</v>
      </c>
      <c r="AY140" s="206">
        <f t="shared" si="190"/>
        <v>0</v>
      </c>
      <c r="AZ140" s="206">
        <f t="shared" si="191"/>
        <v>0</v>
      </c>
      <c r="BA140" s="206">
        <f t="shared" si="192"/>
        <v>0</v>
      </c>
      <c r="BB140" s="206">
        <f t="shared" si="193"/>
        <v>0</v>
      </c>
      <c r="BC140" s="206">
        <f t="shared" si="194"/>
        <v>0</v>
      </c>
      <c r="BD140" s="206">
        <f t="shared" si="195"/>
        <v>0</v>
      </c>
      <c r="BE140" s="206">
        <f t="shared" si="196"/>
        <v>0</v>
      </c>
      <c r="BF140" s="206">
        <f t="shared" si="197"/>
        <v>0</v>
      </c>
      <c r="BG140" s="206">
        <f t="shared" si="198"/>
        <v>0</v>
      </c>
      <c r="BH140" s="206">
        <f t="shared" si="199"/>
        <v>0</v>
      </c>
      <c r="BI140" s="206">
        <f t="shared" si="200"/>
        <v>0</v>
      </c>
      <c r="BJ140" s="266">
        <f t="shared" si="201"/>
        <v>0</v>
      </c>
      <c r="BK140" s="266">
        <f t="shared" si="202"/>
        <v>0</v>
      </c>
      <c r="BL140" s="192">
        <f t="shared" si="203"/>
        <v>0</v>
      </c>
      <c r="BM140" s="192">
        <f t="shared" si="204"/>
        <v>0</v>
      </c>
      <c r="BN140" s="192">
        <f t="shared" si="205"/>
        <v>0</v>
      </c>
      <c r="BO140" s="192">
        <f t="shared" si="206"/>
        <v>0</v>
      </c>
      <c r="BP140" s="192">
        <f t="shared" si="207"/>
        <v>0</v>
      </c>
      <c r="BQ140" s="193">
        <f t="shared" si="208"/>
        <v>0</v>
      </c>
      <c r="BR140" s="193">
        <f t="shared" si="209"/>
        <v>0</v>
      </c>
      <c r="BS140" s="265">
        <f t="shared" si="210"/>
        <v>0</v>
      </c>
      <c r="BT140" s="265">
        <f t="shared" si="211"/>
        <v>0</v>
      </c>
      <c r="BU140" s="265">
        <f t="shared" si="212"/>
        <v>0</v>
      </c>
      <c r="BV140" s="265">
        <f t="shared" si="213"/>
        <v>0</v>
      </c>
      <c r="BW140" s="265">
        <f t="shared" si="214"/>
        <v>0</v>
      </c>
      <c r="BX140" s="265">
        <f t="shared" si="215"/>
        <v>0</v>
      </c>
      <c r="BY140" s="265">
        <f t="shared" si="216"/>
        <v>0</v>
      </c>
      <c r="BZ140" s="265">
        <f t="shared" si="217"/>
        <v>0</v>
      </c>
      <c r="CA140" s="265">
        <f t="shared" si="218"/>
        <v>0</v>
      </c>
      <c r="CB140" s="269">
        <f t="shared" si="219"/>
        <v>0</v>
      </c>
      <c r="CC140" s="266">
        <f t="shared" si="220"/>
        <v>0</v>
      </c>
      <c r="CD140" s="241"/>
      <c r="CE140" s="198">
        <f t="shared" si="221"/>
        <v>1.24614838819409E-10</v>
      </c>
      <c r="CF140" s="198">
        <f t="shared" si="156"/>
        <v>0</v>
      </c>
      <c r="CG140" s="198">
        <f t="shared" si="157"/>
        <v>0</v>
      </c>
      <c r="CH140" s="198">
        <f t="shared" si="158"/>
        <v>0</v>
      </c>
      <c r="CI140" s="198">
        <f t="shared" si="159"/>
        <v>0</v>
      </c>
      <c r="CJ140" s="198">
        <f t="shared" si="160"/>
        <v>0</v>
      </c>
      <c r="CK140" s="198">
        <f t="shared" si="161"/>
        <v>0</v>
      </c>
      <c r="CL140" s="198">
        <f t="shared" si="162"/>
        <v>5.4437940183814951E-13</v>
      </c>
      <c r="CM140" s="271">
        <f t="shared" si="163"/>
        <v>0</v>
      </c>
      <c r="CN140" s="198">
        <f t="shared" si="164"/>
        <v>1.2515921822124715E-10</v>
      </c>
      <c r="CO140" s="209">
        <f t="shared" si="222"/>
        <v>1.24614838819409E-10</v>
      </c>
    </row>
    <row r="141" spans="2:93" x14ac:dyDescent="0.2">
      <c r="B141" s="221">
        <f>'DATA INPUT - DETAIL'!D132</f>
        <v>0</v>
      </c>
      <c r="C141" s="211">
        <f>'DATA INPUT - DETAIL'!E132</f>
        <v>0</v>
      </c>
      <c r="D141" s="257">
        <f>'DATA INPUT - DETAIL'!I132</f>
        <v>0</v>
      </c>
      <c r="E141" s="258">
        <f>'DATA INPUT - DETAIL'!K132</f>
        <v>0</v>
      </c>
      <c r="F141" s="258">
        <f>'DATA INPUT - DETAIL'!L132</f>
        <v>0</v>
      </c>
      <c r="G141" s="179">
        <f>'DATA INPUT - DETAIL'!M132*(1+$V$5)</f>
        <v>0</v>
      </c>
      <c r="H141" s="179">
        <f>'DATA INPUT - DETAIL'!N132*(1+$V$5)</f>
        <v>0</v>
      </c>
      <c r="I141" s="258">
        <f t="shared" si="166"/>
        <v>0</v>
      </c>
      <c r="J141" s="258">
        <f>'DATA INPUT - DETAIL'!O132</f>
        <v>0</v>
      </c>
      <c r="K141" s="258">
        <f>'DATA INPUT - DETAIL'!P132</f>
        <v>0</v>
      </c>
      <c r="L141" s="267">
        <f>ROUNDDOWN('DATA INPUT - DETAIL'!G132,0)</f>
        <v>0</v>
      </c>
      <c r="M141" s="196">
        <f t="shared" ref="M141:M172" si="223">IF(AND(C141&lt;=$E$5-1,C141&lt;&gt;0),VLOOKUP(L141,Mortality,5,FALSE)*(1+$V$3),0)</f>
        <v>0</v>
      </c>
      <c r="N141" s="196">
        <f t="shared" si="167"/>
        <v>0</v>
      </c>
      <c r="O141" s="196">
        <f t="shared" si="168"/>
        <v>0</v>
      </c>
      <c r="P141" s="196">
        <f t="shared" si="169"/>
        <v>0</v>
      </c>
      <c r="Q141" s="196">
        <f t="shared" si="170"/>
        <v>0</v>
      </c>
      <c r="R141" s="196">
        <f t="shared" si="171"/>
        <v>0</v>
      </c>
      <c r="S141" s="196">
        <f t="shared" si="172"/>
        <v>0</v>
      </c>
      <c r="T141" s="196">
        <f t="shared" si="173"/>
        <v>0</v>
      </c>
      <c r="U141" s="185">
        <f>(C141&gt;0)*(C141&lt;$E$5)*VLOOKUP(MPP,ASUMSI!$BN$77:$CR$108,B141+1)*(1+$V$4)</f>
        <v>0</v>
      </c>
      <c r="V141" s="196">
        <f t="shared" si="174"/>
        <v>0</v>
      </c>
      <c r="W141" s="196">
        <f t="shared" si="175"/>
        <v>0</v>
      </c>
      <c r="X141" s="196">
        <f t="shared" si="176"/>
        <v>0</v>
      </c>
      <c r="Y141" s="196">
        <f t="shared" si="177"/>
        <v>0</v>
      </c>
      <c r="Z141" s="196">
        <f t="shared" si="178"/>
        <v>0</v>
      </c>
      <c r="AA141" s="185">
        <f t="shared" si="179"/>
        <v>0</v>
      </c>
      <c r="AB141" s="196">
        <f t="shared" si="180"/>
        <v>0</v>
      </c>
      <c r="AC141" s="196">
        <f t="shared" si="181"/>
        <v>0</v>
      </c>
      <c r="AD141" s="196">
        <f t="shared" si="182"/>
        <v>0</v>
      </c>
      <c r="AE141" s="196">
        <f t="shared" si="183"/>
        <v>0</v>
      </c>
      <c r="AF141" s="196">
        <f t="shared" si="184"/>
        <v>0</v>
      </c>
      <c r="AG141" s="196">
        <f t="shared" si="185"/>
        <v>0</v>
      </c>
      <c r="AH141" s="196">
        <f t="shared" si="186"/>
        <v>0</v>
      </c>
      <c r="AI141" s="266">
        <f>'DATA INPUT - DETAIL'!R132</f>
        <v>0</v>
      </c>
      <c r="AJ141" s="266">
        <f>'DATA INPUT - DETAIL'!S132</f>
        <v>0</v>
      </c>
      <c r="AK141" s="266">
        <f>'DATA INPUT - DETAIL'!T132</f>
        <v>0</v>
      </c>
      <c r="AL141" s="266">
        <f>'DATA INPUT - DETAIL'!U132</f>
        <v>0</v>
      </c>
      <c r="AM141" s="266">
        <f>'DATA INPUT - DETAIL'!V132</f>
        <v>0</v>
      </c>
      <c r="AN141" s="266">
        <f>'DATA INPUT - DETAIL'!W132</f>
        <v>0</v>
      </c>
      <c r="AO141" s="198">
        <f t="shared" si="187"/>
        <v>0</v>
      </c>
      <c r="AP141" s="266">
        <f>'DATA INPUT - DETAIL'!X132</f>
        <v>0</v>
      </c>
      <c r="AQ141" s="266">
        <f>'DATA INPUT - DETAIL'!Y132</f>
        <v>0</v>
      </c>
      <c r="AR141" s="266">
        <f>'DATA INPUT - DETAIL'!Z132</f>
        <v>0</v>
      </c>
      <c r="AS141" s="266">
        <f>'DATA INPUT - DETAIL'!AD132</f>
        <v>0</v>
      </c>
      <c r="AT141" s="266">
        <f t="shared" si="188"/>
        <v>0</v>
      </c>
      <c r="AU141" s="206">
        <f>'DATA INPUT - DETAIL'!AA132</f>
        <v>0</v>
      </c>
      <c r="AV141" s="206">
        <f>'DATA INPUT - DETAIL'!AB132</f>
        <v>0</v>
      </c>
      <c r="AW141" s="206">
        <f>'DATA INPUT - DETAIL'!AC132</f>
        <v>0</v>
      </c>
      <c r="AX141" s="206">
        <f t="shared" si="189"/>
        <v>0</v>
      </c>
      <c r="AY141" s="206">
        <f t="shared" si="190"/>
        <v>0</v>
      </c>
      <c r="AZ141" s="206">
        <f t="shared" si="191"/>
        <v>0</v>
      </c>
      <c r="BA141" s="206">
        <f t="shared" si="192"/>
        <v>0</v>
      </c>
      <c r="BB141" s="206">
        <f t="shared" si="193"/>
        <v>0</v>
      </c>
      <c r="BC141" s="206">
        <f t="shared" si="194"/>
        <v>0</v>
      </c>
      <c r="BD141" s="206">
        <f t="shared" si="195"/>
        <v>0</v>
      </c>
      <c r="BE141" s="206">
        <f t="shared" si="196"/>
        <v>0</v>
      </c>
      <c r="BF141" s="206">
        <f t="shared" si="197"/>
        <v>0</v>
      </c>
      <c r="BG141" s="206">
        <f t="shared" si="198"/>
        <v>0</v>
      </c>
      <c r="BH141" s="206">
        <f t="shared" si="199"/>
        <v>0</v>
      </c>
      <c r="BI141" s="206">
        <f t="shared" si="200"/>
        <v>0</v>
      </c>
      <c r="BJ141" s="266">
        <f t="shared" si="201"/>
        <v>0</v>
      </c>
      <c r="BK141" s="266">
        <f t="shared" si="202"/>
        <v>0</v>
      </c>
      <c r="BL141" s="192">
        <f t="shared" si="203"/>
        <v>0</v>
      </c>
      <c r="BM141" s="192">
        <f t="shared" si="204"/>
        <v>0</v>
      </c>
      <c r="BN141" s="192">
        <f t="shared" si="205"/>
        <v>0</v>
      </c>
      <c r="BO141" s="192">
        <f t="shared" si="206"/>
        <v>0</v>
      </c>
      <c r="BP141" s="192">
        <f t="shared" si="207"/>
        <v>0</v>
      </c>
      <c r="BQ141" s="193">
        <f t="shared" si="208"/>
        <v>0</v>
      </c>
      <c r="BR141" s="193">
        <f t="shared" si="209"/>
        <v>0</v>
      </c>
      <c r="BS141" s="265">
        <f t="shared" si="210"/>
        <v>0</v>
      </c>
      <c r="BT141" s="265">
        <f t="shared" si="211"/>
        <v>0</v>
      </c>
      <c r="BU141" s="265">
        <f t="shared" si="212"/>
        <v>0</v>
      </c>
      <c r="BV141" s="265">
        <f t="shared" si="213"/>
        <v>0</v>
      </c>
      <c r="BW141" s="265">
        <f t="shared" si="214"/>
        <v>0</v>
      </c>
      <c r="BX141" s="265">
        <f t="shared" si="215"/>
        <v>0</v>
      </c>
      <c r="BY141" s="265">
        <f t="shared" si="216"/>
        <v>0</v>
      </c>
      <c r="BZ141" s="265">
        <f t="shared" si="217"/>
        <v>0</v>
      </c>
      <c r="CA141" s="265">
        <f t="shared" si="218"/>
        <v>0</v>
      </c>
      <c r="CB141" s="269">
        <f t="shared" si="219"/>
        <v>0</v>
      </c>
      <c r="CC141" s="266">
        <f t="shared" si="220"/>
        <v>0</v>
      </c>
      <c r="CD141" s="241"/>
      <c r="CE141" s="198">
        <f t="shared" si="221"/>
        <v>1.2515921822124715E-10</v>
      </c>
      <c r="CF141" s="198">
        <f t="shared" si="156"/>
        <v>0</v>
      </c>
      <c r="CG141" s="198">
        <f t="shared" si="157"/>
        <v>0</v>
      </c>
      <c r="CH141" s="198">
        <f t="shared" si="158"/>
        <v>0</v>
      </c>
      <c r="CI141" s="198">
        <f t="shared" si="159"/>
        <v>0</v>
      </c>
      <c r="CJ141" s="198">
        <f t="shared" si="160"/>
        <v>0</v>
      </c>
      <c r="CK141" s="198">
        <f t="shared" si="161"/>
        <v>0</v>
      </c>
      <c r="CL141" s="198">
        <f t="shared" si="162"/>
        <v>5.4675752097671474E-13</v>
      </c>
      <c r="CM141" s="271">
        <f t="shared" si="163"/>
        <v>0</v>
      </c>
      <c r="CN141" s="198">
        <f t="shared" si="164"/>
        <v>1.2570597574222387E-10</v>
      </c>
      <c r="CO141" s="209">
        <f t="shared" si="222"/>
        <v>1.2515921822124715E-10</v>
      </c>
    </row>
    <row r="142" spans="2:93" x14ac:dyDescent="0.2">
      <c r="B142" s="221">
        <f>'DATA INPUT - DETAIL'!D133</f>
        <v>0</v>
      </c>
      <c r="C142" s="211">
        <f>'DATA INPUT - DETAIL'!E133</f>
        <v>0</v>
      </c>
      <c r="D142" s="257">
        <f>'DATA INPUT - DETAIL'!I133</f>
        <v>0</v>
      </c>
      <c r="E142" s="258">
        <f>'DATA INPUT - DETAIL'!K133</f>
        <v>0</v>
      </c>
      <c r="F142" s="258">
        <f>'DATA INPUT - DETAIL'!L133</f>
        <v>0</v>
      </c>
      <c r="G142" s="179">
        <f>'DATA INPUT - DETAIL'!M133*(1+$V$5)</f>
        <v>0</v>
      </c>
      <c r="H142" s="179">
        <f>'DATA INPUT - DETAIL'!N133*(1+$V$5)</f>
        <v>0</v>
      </c>
      <c r="I142" s="258">
        <f t="shared" si="166"/>
        <v>0</v>
      </c>
      <c r="J142" s="258">
        <f>'DATA INPUT - DETAIL'!O133</f>
        <v>0</v>
      </c>
      <c r="K142" s="258">
        <f>'DATA INPUT - DETAIL'!P133</f>
        <v>0</v>
      </c>
      <c r="L142" s="267">
        <f>ROUNDDOWN('DATA INPUT - DETAIL'!G133,0)</f>
        <v>0</v>
      </c>
      <c r="M142" s="196">
        <f t="shared" si="223"/>
        <v>0</v>
      </c>
      <c r="N142" s="196">
        <f t="shared" si="167"/>
        <v>0</v>
      </c>
      <c r="O142" s="196">
        <f t="shared" si="168"/>
        <v>0</v>
      </c>
      <c r="P142" s="196">
        <f t="shared" si="169"/>
        <v>0</v>
      </c>
      <c r="Q142" s="196">
        <f t="shared" si="170"/>
        <v>0</v>
      </c>
      <c r="R142" s="196">
        <f t="shared" si="171"/>
        <v>0</v>
      </c>
      <c r="S142" s="196">
        <f t="shared" si="172"/>
        <v>0</v>
      </c>
      <c r="T142" s="196">
        <f t="shared" si="173"/>
        <v>0</v>
      </c>
      <c r="U142" s="185">
        <f>(C142&gt;0)*(C142&lt;$E$5)*VLOOKUP(MPP,ASUMSI!$BN$77:$CR$108,B142+1)*(1+$V$4)</f>
        <v>0</v>
      </c>
      <c r="V142" s="196">
        <f t="shared" si="174"/>
        <v>0</v>
      </c>
      <c r="W142" s="196">
        <f t="shared" si="175"/>
        <v>0</v>
      </c>
      <c r="X142" s="196">
        <f t="shared" si="176"/>
        <v>0</v>
      </c>
      <c r="Y142" s="196">
        <f t="shared" si="177"/>
        <v>0</v>
      </c>
      <c r="Z142" s="196">
        <f t="shared" si="178"/>
        <v>0</v>
      </c>
      <c r="AA142" s="185">
        <f t="shared" si="179"/>
        <v>0</v>
      </c>
      <c r="AB142" s="196">
        <f t="shared" si="180"/>
        <v>0</v>
      </c>
      <c r="AC142" s="196">
        <f t="shared" si="181"/>
        <v>0</v>
      </c>
      <c r="AD142" s="196">
        <f t="shared" si="182"/>
        <v>0</v>
      </c>
      <c r="AE142" s="196">
        <f t="shared" si="183"/>
        <v>0</v>
      </c>
      <c r="AF142" s="196">
        <f t="shared" si="184"/>
        <v>0</v>
      </c>
      <c r="AG142" s="196">
        <f t="shared" si="185"/>
        <v>0</v>
      </c>
      <c r="AH142" s="196">
        <f t="shared" si="186"/>
        <v>0</v>
      </c>
      <c r="AI142" s="266">
        <f>'DATA INPUT - DETAIL'!R133</f>
        <v>0</v>
      </c>
      <c r="AJ142" s="266">
        <f>'DATA INPUT - DETAIL'!S133</f>
        <v>0</v>
      </c>
      <c r="AK142" s="266">
        <f>'DATA INPUT - DETAIL'!T133</f>
        <v>0</v>
      </c>
      <c r="AL142" s="266">
        <f>'DATA INPUT - DETAIL'!U133</f>
        <v>0</v>
      </c>
      <c r="AM142" s="266">
        <f>'DATA INPUT - DETAIL'!V133</f>
        <v>0</v>
      </c>
      <c r="AN142" s="266">
        <f>'DATA INPUT - DETAIL'!W133</f>
        <v>0</v>
      </c>
      <c r="AO142" s="198">
        <f t="shared" si="187"/>
        <v>0</v>
      </c>
      <c r="AP142" s="266">
        <f>'DATA INPUT - DETAIL'!X133</f>
        <v>0</v>
      </c>
      <c r="AQ142" s="266">
        <f>'DATA INPUT - DETAIL'!Y133</f>
        <v>0</v>
      </c>
      <c r="AR142" s="266">
        <f>'DATA INPUT - DETAIL'!Z133</f>
        <v>0</v>
      </c>
      <c r="AS142" s="266">
        <f>'DATA INPUT - DETAIL'!AD133</f>
        <v>0</v>
      </c>
      <c r="AT142" s="266">
        <f t="shared" si="188"/>
        <v>0</v>
      </c>
      <c r="AU142" s="206">
        <f>'DATA INPUT - DETAIL'!AA133</f>
        <v>0</v>
      </c>
      <c r="AV142" s="206">
        <f>'DATA INPUT - DETAIL'!AB133</f>
        <v>0</v>
      </c>
      <c r="AW142" s="206">
        <f>'DATA INPUT - DETAIL'!AC133</f>
        <v>0</v>
      </c>
      <c r="AX142" s="206">
        <f t="shared" si="189"/>
        <v>0</v>
      </c>
      <c r="AY142" s="206">
        <f t="shared" si="190"/>
        <v>0</v>
      </c>
      <c r="AZ142" s="206">
        <f t="shared" si="191"/>
        <v>0</v>
      </c>
      <c r="BA142" s="206">
        <f t="shared" si="192"/>
        <v>0</v>
      </c>
      <c r="BB142" s="206">
        <f t="shared" si="193"/>
        <v>0</v>
      </c>
      <c r="BC142" s="206">
        <f t="shared" si="194"/>
        <v>0</v>
      </c>
      <c r="BD142" s="206">
        <f t="shared" si="195"/>
        <v>0</v>
      </c>
      <c r="BE142" s="206">
        <f t="shared" si="196"/>
        <v>0</v>
      </c>
      <c r="BF142" s="206">
        <f t="shared" si="197"/>
        <v>0</v>
      </c>
      <c r="BG142" s="206">
        <f t="shared" si="198"/>
        <v>0</v>
      </c>
      <c r="BH142" s="206">
        <f t="shared" si="199"/>
        <v>0</v>
      </c>
      <c r="BI142" s="206">
        <f t="shared" si="200"/>
        <v>0</v>
      </c>
      <c r="BJ142" s="266">
        <f t="shared" si="201"/>
        <v>0</v>
      </c>
      <c r="BK142" s="266">
        <f t="shared" si="202"/>
        <v>0</v>
      </c>
      <c r="BL142" s="192">
        <f t="shared" si="203"/>
        <v>0</v>
      </c>
      <c r="BM142" s="192">
        <f t="shared" si="204"/>
        <v>0</v>
      </c>
      <c r="BN142" s="192">
        <f t="shared" si="205"/>
        <v>0</v>
      </c>
      <c r="BO142" s="192">
        <f t="shared" si="206"/>
        <v>0</v>
      </c>
      <c r="BP142" s="192">
        <f t="shared" si="207"/>
        <v>0</v>
      </c>
      <c r="BQ142" s="193">
        <f t="shared" si="208"/>
        <v>0</v>
      </c>
      <c r="BR142" s="193">
        <f t="shared" si="209"/>
        <v>0</v>
      </c>
      <c r="BS142" s="265">
        <f t="shared" si="210"/>
        <v>0</v>
      </c>
      <c r="BT142" s="265">
        <f t="shared" si="211"/>
        <v>0</v>
      </c>
      <c r="BU142" s="265">
        <f t="shared" si="212"/>
        <v>0</v>
      </c>
      <c r="BV142" s="265">
        <f t="shared" si="213"/>
        <v>0</v>
      </c>
      <c r="BW142" s="265">
        <f t="shared" si="214"/>
        <v>0</v>
      </c>
      <c r="BX142" s="265">
        <f t="shared" si="215"/>
        <v>0</v>
      </c>
      <c r="BY142" s="265">
        <f t="shared" si="216"/>
        <v>0</v>
      </c>
      <c r="BZ142" s="265">
        <f t="shared" si="217"/>
        <v>0</v>
      </c>
      <c r="CA142" s="265">
        <f t="shared" si="218"/>
        <v>0</v>
      </c>
      <c r="CB142" s="269">
        <f t="shared" si="219"/>
        <v>0</v>
      </c>
      <c r="CC142" s="266">
        <f t="shared" si="220"/>
        <v>0</v>
      </c>
      <c r="CD142" s="241"/>
      <c r="CE142" s="198">
        <f t="shared" si="221"/>
        <v>1.2570597574222387E-10</v>
      </c>
      <c r="CF142" s="198">
        <f t="shared" ref="CF142:CF192" si="224">IFERROR(BR142/W142,0)</f>
        <v>0</v>
      </c>
      <c r="CG142" s="198">
        <f t="shared" ref="CG142:CG192" si="225">IFERROR(-BL142/W142,0)</f>
        <v>0</v>
      </c>
      <c r="CH142" s="198">
        <f t="shared" ref="CH142:CH192" si="226">IFERROR(-BP142/W142,0)</f>
        <v>0</v>
      </c>
      <c r="CI142" s="198">
        <f t="shared" ref="CI142:CI192" si="227">IFERROR(-BM142/W142,0)</f>
        <v>0</v>
      </c>
      <c r="CJ142" s="198">
        <f t="shared" ref="CJ142:CJ192" si="228">IFERROR(-BJ142/W142,0)</f>
        <v>0</v>
      </c>
      <c r="CK142" s="198">
        <f t="shared" ref="CK142:CK192" si="229">IFERROR(-BK142/W142,0)</f>
        <v>0</v>
      </c>
      <c r="CL142" s="198">
        <f t="shared" ref="CL142:CL192" si="230">SUM(CE142:CI142)*$CL$8</f>
        <v>5.4914602891878377E-13</v>
      </c>
      <c r="CM142" s="271">
        <f t="shared" ref="CM142:CM192" si="231">IF(CB143=0,0,CB143*(1/AA142-1/W142))</f>
        <v>0</v>
      </c>
      <c r="CN142" s="198">
        <f t="shared" ref="CN142:CN192" si="232">SUM(CE142:CM142)</f>
        <v>1.2625512177114265E-10</v>
      </c>
      <c r="CO142" s="209">
        <f t="shared" si="222"/>
        <v>1.2570597574222387E-10</v>
      </c>
    </row>
    <row r="143" spans="2:93" x14ac:dyDescent="0.2">
      <c r="B143" s="221">
        <f>'DATA INPUT - DETAIL'!D134</f>
        <v>0</v>
      </c>
      <c r="C143" s="211">
        <f>'DATA INPUT - DETAIL'!E134</f>
        <v>0</v>
      </c>
      <c r="D143" s="257">
        <f>'DATA INPUT - DETAIL'!I134</f>
        <v>0</v>
      </c>
      <c r="E143" s="258">
        <f>'DATA INPUT - DETAIL'!K134</f>
        <v>0</v>
      </c>
      <c r="F143" s="258">
        <f>'DATA INPUT - DETAIL'!L134</f>
        <v>0</v>
      </c>
      <c r="G143" s="179">
        <f>'DATA INPUT - DETAIL'!M134*(1+$V$5)</f>
        <v>0</v>
      </c>
      <c r="H143" s="179">
        <f>'DATA INPUT - DETAIL'!N134*(1+$V$5)</f>
        <v>0</v>
      </c>
      <c r="I143" s="258">
        <f t="shared" si="166"/>
        <v>0</v>
      </c>
      <c r="J143" s="258">
        <f>'DATA INPUT - DETAIL'!O134</f>
        <v>0</v>
      </c>
      <c r="K143" s="258">
        <f>'DATA INPUT - DETAIL'!P134</f>
        <v>0</v>
      </c>
      <c r="L143" s="267">
        <f>ROUNDDOWN('DATA INPUT - DETAIL'!G134,0)</f>
        <v>0</v>
      </c>
      <c r="M143" s="196">
        <f t="shared" si="223"/>
        <v>0</v>
      </c>
      <c r="N143" s="196">
        <f t="shared" si="167"/>
        <v>0</v>
      </c>
      <c r="O143" s="196">
        <f t="shared" si="168"/>
        <v>0</v>
      </c>
      <c r="P143" s="196">
        <f t="shared" si="169"/>
        <v>0</v>
      </c>
      <c r="Q143" s="196">
        <f t="shared" si="170"/>
        <v>0</v>
      </c>
      <c r="R143" s="196">
        <f t="shared" si="171"/>
        <v>0</v>
      </c>
      <c r="S143" s="196">
        <f t="shared" si="172"/>
        <v>0</v>
      </c>
      <c r="T143" s="196">
        <f t="shared" si="173"/>
        <v>0</v>
      </c>
      <c r="U143" s="185">
        <f>(C143&gt;0)*(C143&lt;$E$5)*VLOOKUP(MPP,ASUMSI!$BN$77:$CR$108,B143+1)*(1+$V$4)</f>
        <v>0</v>
      </c>
      <c r="V143" s="196">
        <f t="shared" si="174"/>
        <v>0</v>
      </c>
      <c r="W143" s="196">
        <f t="shared" si="175"/>
        <v>0</v>
      </c>
      <c r="X143" s="196">
        <f t="shared" si="176"/>
        <v>0</v>
      </c>
      <c r="Y143" s="196">
        <f t="shared" si="177"/>
        <v>0</v>
      </c>
      <c r="Z143" s="196">
        <f t="shared" si="178"/>
        <v>0</v>
      </c>
      <c r="AA143" s="185">
        <f t="shared" si="179"/>
        <v>0</v>
      </c>
      <c r="AB143" s="196">
        <f t="shared" si="180"/>
        <v>0</v>
      </c>
      <c r="AC143" s="196">
        <f t="shared" si="181"/>
        <v>0</v>
      </c>
      <c r="AD143" s="196">
        <f t="shared" si="182"/>
        <v>0</v>
      </c>
      <c r="AE143" s="196">
        <f t="shared" si="183"/>
        <v>0</v>
      </c>
      <c r="AF143" s="196">
        <f t="shared" si="184"/>
        <v>0</v>
      </c>
      <c r="AG143" s="196">
        <f t="shared" si="185"/>
        <v>0</v>
      </c>
      <c r="AH143" s="196">
        <f t="shared" si="186"/>
        <v>0</v>
      </c>
      <c r="AI143" s="266">
        <f>'DATA INPUT - DETAIL'!R134</f>
        <v>0</v>
      </c>
      <c r="AJ143" s="266">
        <f>'DATA INPUT - DETAIL'!S134</f>
        <v>0</v>
      </c>
      <c r="AK143" s="266">
        <f>'DATA INPUT - DETAIL'!T134</f>
        <v>0</v>
      </c>
      <c r="AL143" s="266">
        <f>'DATA INPUT - DETAIL'!U134</f>
        <v>0</v>
      </c>
      <c r="AM143" s="266">
        <f>'DATA INPUT - DETAIL'!V134</f>
        <v>0</v>
      </c>
      <c r="AN143" s="266">
        <f>'DATA INPUT - DETAIL'!W134</f>
        <v>0</v>
      </c>
      <c r="AO143" s="198">
        <f t="shared" si="187"/>
        <v>0</v>
      </c>
      <c r="AP143" s="266">
        <f>'DATA INPUT - DETAIL'!X134</f>
        <v>0</v>
      </c>
      <c r="AQ143" s="266">
        <f>'DATA INPUT - DETAIL'!Y134</f>
        <v>0</v>
      </c>
      <c r="AR143" s="266">
        <f>'DATA INPUT - DETAIL'!Z134</f>
        <v>0</v>
      </c>
      <c r="AS143" s="266">
        <f>'DATA INPUT - DETAIL'!AD134</f>
        <v>0</v>
      </c>
      <c r="AT143" s="266">
        <f t="shared" si="188"/>
        <v>0</v>
      </c>
      <c r="AU143" s="206">
        <f>'DATA INPUT - DETAIL'!AA134</f>
        <v>0</v>
      </c>
      <c r="AV143" s="206">
        <f>'DATA INPUT - DETAIL'!AB134</f>
        <v>0</v>
      </c>
      <c r="AW143" s="206">
        <f>'DATA INPUT - DETAIL'!AC134</f>
        <v>0</v>
      </c>
      <c r="AX143" s="206">
        <f t="shared" si="189"/>
        <v>0</v>
      </c>
      <c r="AY143" s="206">
        <f t="shared" si="190"/>
        <v>0</v>
      </c>
      <c r="AZ143" s="206">
        <f t="shared" si="191"/>
        <v>0</v>
      </c>
      <c r="BA143" s="206">
        <f t="shared" si="192"/>
        <v>0</v>
      </c>
      <c r="BB143" s="206">
        <f t="shared" si="193"/>
        <v>0</v>
      </c>
      <c r="BC143" s="206">
        <f t="shared" si="194"/>
        <v>0</v>
      </c>
      <c r="BD143" s="206">
        <f t="shared" si="195"/>
        <v>0</v>
      </c>
      <c r="BE143" s="206">
        <f t="shared" si="196"/>
        <v>0</v>
      </c>
      <c r="BF143" s="206">
        <f t="shared" si="197"/>
        <v>0</v>
      </c>
      <c r="BG143" s="206">
        <f t="shared" si="198"/>
        <v>0</v>
      </c>
      <c r="BH143" s="206">
        <f t="shared" si="199"/>
        <v>0</v>
      </c>
      <c r="BI143" s="206">
        <f t="shared" si="200"/>
        <v>0</v>
      </c>
      <c r="BJ143" s="266">
        <f t="shared" si="201"/>
        <v>0</v>
      </c>
      <c r="BK143" s="266">
        <f t="shared" si="202"/>
        <v>0</v>
      </c>
      <c r="BL143" s="192">
        <f t="shared" si="203"/>
        <v>0</v>
      </c>
      <c r="BM143" s="192">
        <f t="shared" si="204"/>
        <v>0</v>
      </c>
      <c r="BN143" s="192">
        <f t="shared" si="205"/>
        <v>0</v>
      </c>
      <c r="BO143" s="192">
        <f t="shared" si="206"/>
        <v>0</v>
      </c>
      <c r="BP143" s="192">
        <f t="shared" si="207"/>
        <v>0</v>
      </c>
      <c r="BQ143" s="193">
        <f t="shared" si="208"/>
        <v>0</v>
      </c>
      <c r="BR143" s="193">
        <f t="shared" si="209"/>
        <v>0</v>
      </c>
      <c r="BS143" s="265">
        <f t="shared" si="210"/>
        <v>0</v>
      </c>
      <c r="BT143" s="265">
        <f t="shared" si="211"/>
        <v>0</v>
      </c>
      <c r="BU143" s="265">
        <f t="shared" si="212"/>
        <v>0</v>
      </c>
      <c r="BV143" s="265">
        <f t="shared" si="213"/>
        <v>0</v>
      </c>
      <c r="BW143" s="265">
        <f t="shared" si="214"/>
        <v>0</v>
      </c>
      <c r="BX143" s="265">
        <f t="shared" si="215"/>
        <v>0</v>
      </c>
      <c r="BY143" s="265">
        <f t="shared" si="216"/>
        <v>0</v>
      </c>
      <c r="BZ143" s="265">
        <f t="shared" si="217"/>
        <v>0</v>
      </c>
      <c r="CA143" s="265">
        <f t="shared" si="218"/>
        <v>0</v>
      </c>
      <c r="CB143" s="269">
        <f t="shared" si="219"/>
        <v>0</v>
      </c>
      <c r="CC143" s="266">
        <f t="shared" si="220"/>
        <v>0</v>
      </c>
      <c r="CD143" s="241"/>
      <c r="CE143" s="198">
        <f t="shared" si="221"/>
        <v>1.2625512177114265E-10</v>
      </c>
      <c r="CF143" s="198">
        <f t="shared" si="224"/>
        <v>0</v>
      </c>
      <c r="CG143" s="198">
        <f t="shared" si="225"/>
        <v>0</v>
      </c>
      <c r="CH143" s="198">
        <f t="shared" si="226"/>
        <v>0</v>
      </c>
      <c r="CI143" s="198">
        <f t="shared" si="227"/>
        <v>0</v>
      </c>
      <c r="CJ143" s="198">
        <f t="shared" si="228"/>
        <v>0</v>
      </c>
      <c r="CK143" s="198">
        <f t="shared" si="229"/>
        <v>0</v>
      </c>
      <c r="CL143" s="198">
        <f t="shared" si="230"/>
        <v>5.5154497104780125E-13</v>
      </c>
      <c r="CM143" s="271">
        <f t="shared" si="231"/>
        <v>0</v>
      </c>
      <c r="CN143" s="198">
        <f t="shared" si="232"/>
        <v>1.2680666674219044E-10</v>
      </c>
      <c r="CO143" s="209">
        <f t="shared" si="222"/>
        <v>1.2625512177114265E-10</v>
      </c>
    </row>
    <row r="144" spans="2:93" x14ac:dyDescent="0.2">
      <c r="B144" s="221">
        <f>'DATA INPUT - DETAIL'!D135</f>
        <v>0</v>
      </c>
      <c r="C144" s="211">
        <f>'DATA INPUT - DETAIL'!E135</f>
        <v>0</v>
      </c>
      <c r="D144" s="257">
        <f>'DATA INPUT - DETAIL'!I135</f>
        <v>0</v>
      </c>
      <c r="E144" s="258">
        <f>'DATA INPUT - DETAIL'!K135</f>
        <v>0</v>
      </c>
      <c r="F144" s="258">
        <f>'DATA INPUT - DETAIL'!L135</f>
        <v>0</v>
      </c>
      <c r="G144" s="179">
        <f>'DATA INPUT - DETAIL'!M135*(1+$V$5)</f>
        <v>0</v>
      </c>
      <c r="H144" s="179">
        <f>'DATA INPUT - DETAIL'!N135*(1+$V$5)</f>
        <v>0</v>
      </c>
      <c r="I144" s="258">
        <f t="shared" si="166"/>
        <v>0</v>
      </c>
      <c r="J144" s="258">
        <f>'DATA INPUT - DETAIL'!O135</f>
        <v>0</v>
      </c>
      <c r="K144" s="258">
        <f>'DATA INPUT - DETAIL'!P135</f>
        <v>0</v>
      </c>
      <c r="L144" s="267">
        <f>ROUNDDOWN('DATA INPUT - DETAIL'!G135,0)</f>
        <v>0</v>
      </c>
      <c r="M144" s="196">
        <f t="shared" si="223"/>
        <v>0</v>
      </c>
      <c r="N144" s="196">
        <f t="shared" si="167"/>
        <v>0</v>
      </c>
      <c r="O144" s="196">
        <f t="shared" si="168"/>
        <v>0</v>
      </c>
      <c r="P144" s="196">
        <f t="shared" si="169"/>
        <v>0</v>
      </c>
      <c r="Q144" s="196">
        <f t="shared" si="170"/>
        <v>0</v>
      </c>
      <c r="R144" s="196">
        <f t="shared" si="171"/>
        <v>0</v>
      </c>
      <c r="S144" s="196">
        <f t="shared" si="172"/>
        <v>0</v>
      </c>
      <c r="T144" s="196">
        <f t="shared" si="173"/>
        <v>0</v>
      </c>
      <c r="U144" s="185">
        <f>(C144&gt;0)*(C144&lt;$E$5)*VLOOKUP(MPP,ASUMSI!$BN$77:$CR$108,B144+1)*(1+$V$4)</f>
        <v>0</v>
      </c>
      <c r="V144" s="196">
        <f t="shared" si="174"/>
        <v>0</v>
      </c>
      <c r="W144" s="196">
        <f t="shared" si="175"/>
        <v>0</v>
      </c>
      <c r="X144" s="196">
        <f t="shared" si="176"/>
        <v>0</v>
      </c>
      <c r="Y144" s="196">
        <f t="shared" si="177"/>
        <v>0</v>
      </c>
      <c r="Z144" s="196">
        <f t="shared" si="178"/>
        <v>0</v>
      </c>
      <c r="AA144" s="185">
        <f t="shared" si="179"/>
        <v>0</v>
      </c>
      <c r="AB144" s="196">
        <f t="shared" si="180"/>
        <v>0</v>
      </c>
      <c r="AC144" s="196">
        <f t="shared" si="181"/>
        <v>0</v>
      </c>
      <c r="AD144" s="196">
        <f t="shared" si="182"/>
        <v>0</v>
      </c>
      <c r="AE144" s="196">
        <f t="shared" si="183"/>
        <v>0</v>
      </c>
      <c r="AF144" s="196">
        <f t="shared" si="184"/>
        <v>0</v>
      </c>
      <c r="AG144" s="196">
        <f t="shared" si="185"/>
        <v>0</v>
      </c>
      <c r="AH144" s="196">
        <f t="shared" si="186"/>
        <v>0</v>
      </c>
      <c r="AI144" s="266">
        <f>'DATA INPUT - DETAIL'!R135</f>
        <v>0</v>
      </c>
      <c r="AJ144" s="266">
        <f>'DATA INPUT - DETAIL'!S135</f>
        <v>0</v>
      </c>
      <c r="AK144" s="266">
        <f>'DATA INPUT - DETAIL'!T135</f>
        <v>0</v>
      </c>
      <c r="AL144" s="266">
        <f>'DATA INPUT - DETAIL'!U135</f>
        <v>0</v>
      </c>
      <c r="AM144" s="266">
        <f>'DATA INPUT - DETAIL'!V135</f>
        <v>0</v>
      </c>
      <c r="AN144" s="266">
        <f>'DATA INPUT - DETAIL'!W135</f>
        <v>0</v>
      </c>
      <c r="AO144" s="198">
        <f t="shared" si="187"/>
        <v>0</v>
      </c>
      <c r="AP144" s="266">
        <f>'DATA INPUT - DETAIL'!X135</f>
        <v>0</v>
      </c>
      <c r="AQ144" s="266">
        <f>'DATA INPUT - DETAIL'!Y135</f>
        <v>0</v>
      </c>
      <c r="AR144" s="266">
        <f>'DATA INPUT - DETAIL'!Z135</f>
        <v>0</v>
      </c>
      <c r="AS144" s="266">
        <f>'DATA INPUT - DETAIL'!AD135</f>
        <v>0</v>
      </c>
      <c r="AT144" s="266">
        <f t="shared" si="188"/>
        <v>0</v>
      </c>
      <c r="AU144" s="206">
        <f>'DATA INPUT - DETAIL'!AA135</f>
        <v>0</v>
      </c>
      <c r="AV144" s="206">
        <f>'DATA INPUT - DETAIL'!AB135</f>
        <v>0</v>
      </c>
      <c r="AW144" s="206">
        <f>'DATA INPUT - DETAIL'!AC135</f>
        <v>0</v>
      </c>
      <c r="AX144" s="206">
        <f t="shared" si="189"/>
        <v>0</v>
      </c>
      <c r="AY144" s="206">
        <f t="shared" si="190"/>
        <v>0</v>
      </c>
      <c r="AZ144" s="206">
        <f t="shared" si="191"/>
        <v>0</v>
      </c>
      <c r="BA144" s="206">
        <f t="shared" si="192"/>
        <v>0</v>
      </c>
      <c r="BB144" s="206">
        <f t="shared" si="193"/>
        <v>0</v>
      </c>
      <c r="BC144" s="206">
        <f t="shared" si="194"/>
        <v>0</v>
      </c>
      <c r="BD144" s="206">
        <f t="shared" si="195"/>
        <v>0</v>
      </c>
      <c r="BE144" s="206">
        <f t="shared" si="196"/>
        <v>0</v>
      </c>
      <c r="BF144" s="206">
        <f t="shared" si="197"/>
        <v>0</v>
      </c>
      <c r="BG144" s="206">
        <f t="shared" si="198"/>
        <v>0</v>
      </c>
      <c r="BH144" s="206">
        <f t="shared" si="199"/>
        <v>0</v>
      </c>
      <c r="BI144" s="206">
        <f t="shared" si="200"/>
        <v>0</v>
      </c>
      <c r="BJ144" s="266">
        <f t="shared" si="201"/>
        <v>0</v>
      </c>
      <c r="BK144" s="266">
        <f t="shared" si="202"/>
        <v>0</v>
      </c>
      <c r="BL144" s="192">
        <f t="shared" si="203"/>
        <v>0</v>
      </c>
      <c r="BM144" s="192">
        <f t="shared" si="204"/>
        <v>0</v>
      </c>
      <c r="BN144" s="192">
        <f t="shared" si="205"/>
        <v>0</v>
      </c>
      <c r="BO144" s="192">
        <f t="shared" si="206"/>
        <v>0</v>
      </c>
      <c r="BP144" s="192">
        <f t="shared" si="207"/>
        <v>0</v>
      </c>
      <c r="BQ144" s="193">
        <f t="shared" si="208"/>
        <v>0</v>
      </c>
      <c r="BR144" s="193">
        <f t="shared" si="209"/>
        <v>0</v>
      </c>
      <c r="BS144" s="265">
        <f t="shared" si="210"/>
        <v>0</v>
      </c>
      <c r="BT144" s="265">
        <f t="shared" si="211"/>
        <v>0</v>
      </c>
      <c r="BU144" s="265">
        <f t="shared" si="212"/>
        <v>0</v>
      </c>
      <c r="BV144" s="265">
        <f t="shared" si="213"/>
        <v>0</v>
      </c>
      <c r="BW144" s="265">
        <f t="shared" si="214"/>
        <v>0</v>
      </c>
      <c r="BX144" s="265">
        <f t="shared" si="215"/>
        <v>0</v>
      </c>
      <c r="BY144" s="265">
        <f t="shared" si="216"/>
        <v>0</v>
      </c>
      <c r="BZ144" s="265">
        <f t="shared" si="217"/>
        <v>0</v>
      </c>
      <c r="CA144" s="265">
        <f t="shared" si="218"/>
        <v>0</v>
      </c>
      <c r="CB144" s="269">
        <f t="shared" si="219"/>
        <v>0</v>
      </c>
      <c r="CC144" s="266">
        <f t="shared" si="220"/>
        <v>0</v>
      </c>
      <c r="CD144" s="241"/>
      <c r="CE144" s="198">
        <f t="shared" si="221"/>
        <v>1.2680666674219044E-10</v>
      </c>
      <c r="CF144" s="198">
        <f t="shared" si="224"/>
        <v>0</v>
      </c>
      <c r="CG144" s="198">
        <f t="shared" si="225"/>
        <v>0</v>
      </c>
      <c r="CH144" s="198">
        <f t="shared" si="226"/>
        <v>0</v>
      </c>
      <c r="CI144" s="198">
        <f t="shared" si="227"/>
        <v>0</v>
      </c>
      <c r="CJ144" s="198">
        <f t="shared" si="228"/>
        <v>0</v>
      </c>
      <c r="CK144" s="198">
        <f t="shared" si="229"/>
        <v>0</v>
      </c>
      <c r="CL144" s="198">
        <f t="shared" si="230"/>
        <v>5.539543929454691E-13</v>
      </c>
      <c r="CM144" s="271">
        <f t="shared" si="231"/>
        <v>0</v>
      </c>
      <c r="CN144" s="198">
        <f t="shared" si="232"/>
        <v>1.2736062113513591E-10</v>
      </c>
      <c r="CO144" s="209">
        <f t="shared" si="222"/>
        <v>1.2680666674219044E-10</v>
      </c>
    </row>
    <row r="145" spans="2:93" x14ac:dyDescent="0.2">
      <c r="B145" s="221">
        <f>'DATA INPUT - DETAIL'!D136</f>
        <v>0</v>
      </c>
      <c r="C145" s="211">
        <f>'DATA INPUT - DETAIL'!E136</f>
        <v>0</v>
      </c>
      <c r="D145" s="257">
        <f>'DATA INPUT - DETAIL'!I136</f>
        <v>0</v>
      </c>
      <c r="E145" s="258">
        <f>'DATA INPUT - DETAIL'!K136</f>
        <v>0</v>
      </c>
      <c r="F145" s="258">
        <f>'DATA INPUT - DETAIL'!L136</f>
        <v>0</v>
      </c>
      <c r="G145" s="179">
        <f>'DATA INPUT - DETAIL'!M136*(1+$V$5)</f>
        <v>0</v>
      </c>
      <c r="H145" s="179">
        <f>'DATA INPUT - DETAIL'!N136*(1+$V$5)</f>
        <v>0</v>
      </c>
      <c r="I145" s="258">
        <f t="shared" si="166"/>
        <v>0</v>
      </c>
      <c r="J145" s="258">
        <f>'DATA INPUT - DETAIL'!O136</f>
        <v>0</v>
      </c>
      <c r="K145" s="258">
        <f>'DATA INPUT - DETAIL'!P136</f>
        <v>0</v>
      </c>
      <c r="L145" s="267">
        <f>ROUNDDOWN('DATA INPUT - DETAIL'!G136,0)</f>
        <v>0</v>
      </c>
      <c r="M145" s="196">
        <f t="shared" si="223"/>
        <v>0</v>
      </c>
      <c r="N145" s="196">
        <f t="shared" si="167"/>
        <v>0</v>
      </c>
      <c r="O145" s="196">
        <f t="shared" si="168"/>
        <v>0</v>
      </c>
      <c r="P145" s="196">
        <f t="shared" si="169"/>
        <v>0</v>
      </c>
      <c r="Q145" s="196">
        <f t="shared" si="170"/>
        <v>0</v>
      </c>
      <c r="R145" s="196">
        <f t="shared" si="171"/>
        <v>0</v>
      </c>
      <c r="S145" s="196">
        <f t="shared" si="172"/>
        <v>0</v>
      </c>
      <c r="T145" s="196">
        <f t="shared" si="173"/>
        <v>0</v>
      </c>
      <c r="U145" s="185">
        <f>(C145&gt;0)*(C145&lt;$E$5)*VLOOKUP(MPP,ASUMSI!$BN$77:$CR$108,B145+1)*(1+$V$4)</f>
        <v>0</v>
      </c>
      <c r="V145" s="196">
        <f t="shared" si="174"/>
        <v>0</v>
      </c>
      <c r="W145" s="196">
        <f t="shared" si="175"/>
        <v>0</v>
      </c>
      <c r="X145" s="196">
        <f t="shared" si="176"/>
        <v>0</v>
      </c>
      <c r="Y145" s="196">
        <f t="shared" si="177"/>
        <v>0</v>
      </c>
      <c r="Z145" s="196">
        <f t="shared" si="178"/>
        <v>0</v>
      </c>
      <c r="AA145" s="185">
        <f t="shared" si="179"/>
        <v>0</v>
      </c>
      <c r="AB145" s="196">
        <f t="shared" si="180"/>
        <v>0</v>
      </c>
      <c r="AC145" s="196">
        <f t="shared" si="181"/>
        <v>0</v>
      </c>
      <c r="AD145" s="196">
        <f t="shared" si="182"/>
        <v>0</v>
      </c>
      <c r="AE145" s="196">
        <f t="shared" si="183"/>
        <v>0</v>
      </c>
      <c r="AF145" s="196">
        <f t="shared" si="184"/>
        <v>0</v>
      </c>
      <c r="AG145" s="196">
        <f t="shared" si="185"/>
        <v>0</v>
      </c>
      <c r="AH145" s="196">
        <f t="shared" si="186"/>
        <v>0</v>
      </c>
      <c r="AI145" s="266">
        <f>'DATA INPUT - DETAIL'!R136</f>
        <v>0</v>
      </c>
      <c r="AJ145" s="266">
        <f>'DATA INPUT - DETAIL'!S136</f>
        <v>0</v>
      </c>
      <c r="AK145" s="266">
        <f>'DATA INPUT - DETAIL'!T136</f>
        <v>0</v>
      </c>
      <c r="AL145" s="266">
        <f>'DATA INPUT - DETAIL'!U136</f>
        <v>0</v>
      </c>
      <c r="AM145" s="266">
        <f>'DATA INPUT - DETAIL'!V136</f>
        <v>0</v>
      </c>
      <c r="AN145" s="266">
        <f>'DATA INPUT - DETAIL'!W136</f>
        <v>0</v>
      </c>
      <c r="AO145" s="198">
        <f t="shared" si="187"/>
        <v>0</v>
      </c>
      <c r="AP145" s="266">
        <f>'DATA INPUT - DETAIL'!X136</f>
        <v>0</v>
      </c>
      <c r="AQ145" s="266">
        <f>'DATA INPUT - DETAIL'!Y136</f>
        <v>0</v>
      </c>
      <c r="AR145" s="266">
        <f>'DATA INPUT - DETAIL'!Z136</f>
        <v>0</v>
      </c>
      <c r="AS145" s="266">
        <f>'DATA INPUT - DETAIL'!AD136</f>
        <v>0</v>
      </c>
      <c r="AT145" s="266">
        <f t="shared" si="188"/>
        <v>0</v>
      </c>
      <c r="AU145" s="206">
        <f>'DATA INPUT - DETAIL'!AA136</f>
        <v>0</v>
      </c>
      <c r="AV145" s="206">
        <f>'DATA INPUT - DETAIL'!AB136</f>
        <v>0</v>
      </c>
      <c r="AW145" s="206">
        <f>'DATA INPUT - DETAIL'!AC136</f>
        <v>0</v>
      </c>
      <c r="AX145" s="206">
        <f t="shared" si="189"/>
        <v>0</v>
      </c>
      <c r="AY145" s="206">
        <f t="shared" si="190"/>
        <v>0</v>
      </c>
      <c r="AZ145" s="206">
        <f t="shared" si="191"/>
        <v>0</v>
      </c>
      <c r="BA145" s="206">
        <f t="shared" si="192"/>
        <v>0</v>
      </c>
      <c r="BB145" s="206">
        <f t="shared" si="193"/>
        <v>0</v>
      </c>
      <c r="BC145" s="206">
        <f t="shared" si="194"/>
        <v>0</v>
      </c>
      <c r="BD145" s="206">
        <f t="shared" si="195"/>
        <v>0</v>
      </c>
      <c r="BE145" s="206">
        <f t="shared" si="196"/>
        <v>0</v>
      </c>
      <c r="BF145" s="206">
        <f t="shared" si="197"/>
        <v>0</v>
      </c>
      <c r="BG145" s="206">
        <f t="shared" si="198"/>
        <v>0</v>
      </c>
      <c r="BH145" s="206">
        <f t="shared" si="199"/>
        <v>0</v>
      </c>
      <c r="BI145" s="206">
        <f t="shared" si="200"/>
        <v>0</v>
      </c>
      <c r="BJ145" s="266">
        <f t="shared" si="201"/>
        <v>0</v>
      </c>
      <c r="BK145" s="266">
        <f t="shared" si="202"/>
        <v>0</v>
      </c>
      <c r="BL145" s="192">
        <f t="shared" si="203"/>
        <v>0</v>
      </c>
      <c r="BM145" s="192">
        <f t="shared" si="204"/>
        <v>0</v>
      </c>
      <c r="BN145" s="192">
        <f t="shared" si="205"/>
        <v>0</v>
      </c>
      <c r="BO145" s="192">
        <f t="shared" si="206"/>
        <v>0</v>
      </c>
      <c r="BP145" s="192">
        <f t="shared" si="207"/>
        <v>0</v>
      </c>
      <c r="BQ145" s="193">
        <f t="shared" si="208"/>
        <v>0</v>
      </c>
      <c r="BR145" s="193">
        <f t="shared" si="209"/>
        <v>0</v>
      </c>
      <c r="BS145" s="265">
        <f t="shared" si="210"/>
        <v>0</v>
      </c>
      <c r="BT145" s="265">
        <f t="shared" si="211"/>
        <v>0</v>
      </c>
      <c r="BU145" s="265">
        <f t="shared" si="212"/>
        <v>0</v>
      </c>
      <c r="BV145" s="265">
        <f t="shared" si="213"/>
        <v>0</v>
      </c>
      <c r="BW145" s="265">
        <f t="shared" si="214"/>
        <v>0</v>
      </c>
      <c r="BX145" s="265">
        <f t="shared" si="215"/>
        <v>0</v>
      </c>
      <c r="BY145" s="265">
        <f t="shared" si="216"/>
        <v>0</v>
      </c>
      <c r="BZ145" s="265">
        <f t="shared" si="217"/>
        <v>0</v>
      </c>
      <c r="CA145" s="265">
        <f t="shared" si="218"/>
        <v>0</v>
      </c>
      <c r="CB145" s="269">
        <f t="shared" si="219"/>
        <v>0</v>
      </c>
      <c r="CC145" s="266">
        <f t="shared" si="220"/>
        <v>0</v>
      </c>
      <c r="CD145" s="241"/>
      <c r="CE145" s="198">
        <f t="shared" si="221"/>
        <v>1.2736062113513591E-10</v>
      </c>
      <c r="CF145" s="198">
        <f t="shared" si="224"/>
        <v>0</v>
      </c>
      <c r="CG145" s="198">
        <f t="shared" si="225"/>
        <v>0</v>
      </c>
      <c r="CH145" s="198">
        <f t="shared" si="226"/>
        <v>0</v>
      </c>
      <c r="CI145" s="198">
        <f t="shared" si="227"/>
        <v>0</v>
      </c>
      <c r="CJ145" s="198">
        <f t="shared" si="228"/>
        <v>0</v>
      </c>
      <c r="CK145" s="198">
        <f t="shared" si="229"/>
        <v>0</v>
      </c>
      <c r="CL145" s="198">
        <f t="shared" si="230"/>
        <v>5.563743403926129E-13</v>
      </c>
      <c r="CM145" s="271">
        <f t="shared" si="231"/>
        <v>0</v>
      </c>
      <c r="CN145" s="198">
        <f t="shared" si="232"/>
        <v>1.2791699547552852E-10</v>
      </c>
      <c r="CO145" s="209">
        <f t="shared" si="222"/>
        <v>1.2736062113513591E-10</v>
      </c>
    </row>
    <row r="146" spans="2:93" x14ac:dyDescent="0.2">
      <c r="B146" s="221">
        <f>'DATA INPUT - DETAIL'!D137</f>
        <v>0</v>
      </c>
      <c r="C146" s="211">
        <f>'DATA INPUT - DETAIL'!E137</f>
        <v>0</v>
      </c>
      <c r="D146" s="257">
        <f>'DATA INPUT - DETAIL'!I137</f>
        <v>0</v>
      </c>
      <c r="E146" s="258">
        <f>'DATA INPUT - DETAIL'!K137</f>
        <v>0</v>
      </c>
      <c r="F146" s="258">
        <f>'DATA INPUT - DETAIL'!L137</f>
        <v>0</v>
      </c>
      <c r="G146" s="179">
        <f>'DATA INPUT - DETAIL'!M137*(1+$V$5)</f>
        <v>0</v>
      </c>
      <c r="H146" s="179">
        <f>'DATA INPUT - DETAIL'!N137*(1+$V$5)</f>
        <v>0</v>
      </c>
      <c r="I146" s="258">
        <f t="shared" si="166"/>
        <v>0</v>
      </c>
      <c r="J146" s="258">
        <f>'DATA INPUT - DETAIL'!O137</f>
        <v>0</v>
      </c>
      <c r="K146" s="258">
        <f>'DATA INPUT - DETAIL'!P137</f>
        <v>0</v>
      </c>
      <c r="L146" s="267">
        <f>ROUNDDOWN('DATA INPUT - DETAIL'!G137,0)</f>
        <v>0</v>
      </c>
      <c r="M146" s="196">
        <f t="shared" si="223"/>
        <v>0</v>
      </c>
      <c r="N146" s="196">
        <f t="shared" si="167"/>
        <v>0</v>
      </c>
      <c r="O146" s="196">
        <f t="shared" si="168"/>
        <v>0</v>
      </c>
      <c r="P146" s="196">
        <f t="shared" si="169"/>
        <v>0</v>
      </c>
      <c r="Q146" s="196">
        <f t="shared" si="170"/>
        <v>0</v>
      </c>
      <c r="R146" s="196">
        <f t="shared" si="171"/>
        <v>0</v>
      </c>
      <c r="S146" s="196">
        <f t="shared" si="172"/>
        <v>0</v>
      </c>
      <c r="T146" s="196">
        <f t="shared" si="173"/>
        <v>0</v>
      </c>
      <c r="U146" s="185">
        <f>(C146&gt;0)*(C146&lt;$E$5)*VLOOKUP(MPP,ASUMSI!$BN$77:$CR$108,B146+1)*(1+$V$4)</f>
        <v>0</v>
      </c>
      <c r="V146" s="196">
        <f t="shared" si="174"/>
        <v>0</v>
      </c>
      <c r="W146" s="196">
        <f t="shared" si="175"/>
        <v>0</v>
      </c>
      <c r="X146" s="196">
        <f t="shared" si="176"/>
        <v>0</v>
      </c>
      <c r="Y146" s="196">
        <f t="shared" si="177"/>
        <v>0</v>
      </c>
      <c r="Z146" s="196">
        <f t="shared" si="178"/>
        <v>0</v>
      </c>
      <c r="AA146" s="185">
        <f t="shared" si="179"/>
        <v>0</v>
      </c>
      <c r="AB146" s="196">
        <f t="shared" si="180"/>
        <v>0</v>
      </c>
      <c r="AC146" s="196">
        <f t="shared" si="181"/>
        <v>0</v>
      </c>
      <c r="AD146" s="196">
        <f t="shared" si="182"/>
        <v>0</v>
      </c>
      <c r="AE146" s="196">
        <f t="shared" si="183"/>
        <v>0</v>
      </c>
      <c r="AF146" s="196">
        <f t="shared" si="184"/>
        <v>0</v>
      </c>
      <c r="AG146" s="196">
        <f t="shared" si="185"/>
        <v>0</v>
      </c>
      <c r="AH146" s="196">
        <f t="shared" si="186"/>
        <v>0</v>
      </c>
      <c r="AI146" s="266">
        <f>'DATA INPUT - DETAIL'!R137</f>
        <v>0</v>
      </c>
      <c r="AJ146" s="266">
        <f>'DATA INPUT - DETAIL'!S137</f>
        <v>0</v>
      </c>
      <c r="AK146" s="266">
        <f>'DATA INPUT - DETAIL'!T137</f>
        <v>0</v>
      </c>
      <c r="AL146" s="266">
        <f>'DATA INPUT - DETAIL'!U137</f>
        <v>0</v>
      </c>
      <c r="AM146" s="266">
        <f>'DATA INPUT - DETAIL'!V137</f>
        <v>0</v>
      </c>
      <c r="AN146" s="266">
        <f>'DATA INPUT - DETAIL'!W137</f>
        <v>0</v>
      </c>
      <c r="AO146" s="198">
        <f t="shared" si="187"/>
        <v>0</v>
      </c>
      <c r="AP146" s="266">
        <f>'DATA INPUT - DETAIL'!X137</f>
        <v>0</v>
      </c>
      <c r="AQ146" s="266">
        <f>'DATA INPUT - DETAIL'!Y137</f>
        <v>0</v>
      </c>
      <c r="AR146" s="266">
        <f>'DATA INPUT - DETAIL'!Z137</f>
        <v>0</v>
      </c>
      <c r="AS146" s="266">
        <f>'DATA INPUT - DETAIL'!AD137</f>
        <v>0</v>
      </c>
      <c r="AT146" s="266">
        <f t="shared" si="188"/>
        <v>0</v>
      </c>
      <c r="AU146" s="206">
        <f>'DATA INPUT - DETAIL'!AA137</f>
        <v>0</v>
      </c>
      <c r="AV146" s="206">
        <f>'DATA INPUT - DETAIL'!AB137</f>
        <v>0</v>
      </c>
      <c r="AW146" s="206">
        <f>'DATA INPUT - DETAIL'!AC137</f>
        <v>0</v>
      </c>
      <c r="AX146" s="206">
        <f t="shared" si="189"/>
        <v>0</v>
      </c>
      <c r="AY146" s="206">
        <f t="shared" si="190"/>
        <v>0</v>
      </c>
      <c r="AZ146" s="206">
        <f t="shared" si="191"/>
        <v>0</v>
      </c>
      <c r="BA146" s="206">
        <f t="shared" si="192"/>
        <v>0</v>
      </c>
      <c r="BB146" s="206">
        <f t="shared" si="193"/>
        <v>0</v>
      </c>
      <c r="BC146" s="206">
        <f t="shared" si="194"/>
        <v>0</v>
      </c>
      <c r="BD146" s="206">
        <f t="shared" si="195"/>
        <v>0</v>
      </c>
      <c r="BE146" s="206">
        <f t="shared" si="196"/>
        <v>0</v>
      </c>
      <c r="BF146" s="206">
        <f t="shared" si="197"/>
        <v>0</v>
      </c>
      <c r="BG146" s="206">
        <f t="shared" si="198"/>
        <v>0</v>
      </c>
      <c r="BH146" s="206">
        <f t="shared" si="199"/>
        <v>0</v>
      </c>
      <c r="BI146" s="206">
        <f t="shared" si="200"/>
        <v>0</v>
      </c>
      <c r="BJ146" s="266">
        <f t="shared" si="201"/>
        <v>0</v>
      </c>
      <c r="BK146" s="266">
        <f t="shared" si="202"/>
        <v>0</v>
      </c>
      <c r="BL146" s="192">
        <f t="shared" si="203"/>
        <v>0</v>
      </c>
      <c r="BM146" s="192">
        <f t="shared" si="204"/>
        <v>0</v>
      </c>
      <c r="BN146" s="192">
        <f t="shared" si="205"/>
        <v>0</v>
      </c>
      <c r="BO146" s="192">
        <f t="shared" si="206"/>
        <v>0</v>
      </c>
      <c r="BP146" s="192">
        <f t="shared" si="207"/>
        <v>0</v>
      </c>
      <c r="BQ146" s="193">
        <f t="shared" si="208"/>
        <v>0</v>
      </c>
      <c r="BR146" s="193">
        <f t="shared" si="209"/>
        <v>0</v>
      </c>
      <c r="BS146" s="265">
        <f t="shared" si="210"/>
        <v>0</v>
      </c>
      <c r="BT146" s="265">
        <f t="shared" si="211"/>
        <v>0</v>
      </c>
      <c r="BU146" s="265">
        <f t="shared" si="212"/>
        <v>0</v>
      </c>
      <c r="BV146" s="265">
        <f t="shared" si="213"/>
        <v>0</v>
      </c>
      <c r="BW146" s="265">
        <f t="shared" si="214"/>
        <v>0</v>
      </c>
      <c r="BX146" s="265">
        <f t="shared" si="215"/>
        <v>0</v>
      </c>
      <c r="BY146" s="265">
        <f t="shared" si="216"/>
        <v>0</v>
      </c>
      <c r="BZ146" s="265">
        <f t="shared" si="217"/>
        <v>0</v>
      </c>
      <c r="CA146" s="265">
        <f t="shared" si="218"/>
        <v>0</v>
      </c>
      <c r="CB146" s="269">
        <f t="shared" si="219"/>
        <v>0</v>
      </c>
      <c r="CC146" s="266">
        <f t="shared" si="220"/>
        <v>0</v>
      </c>
      <c r="CD146" s="241"/>
      <c r="CE146" s="198">
        <f t="shared" si="221"/>
        <v>1.2791699547552852E-10</v>
      </c>
      <c r="CF146" s="198">
        <f t="shared" si="224"/>
        <v>0</v>
      </c>
      <c r="CG146" s="198">
        <f t="shared" si="225"/>
        <v>0</v>
      </c>
      <c r="CH146" s="198">
        <f t="shared" si="226"/>
        <v>0</v>
      </c>
      <c r="CI146" s="198">
        <f t="shared" si="227"/>
        <v>0</v>
      </c>
      <c r="CJ146" s="198">
        <f t="shared" si="228"/>
        <v>0</v>
      </c>
      <c r="CK146" s="198">
        <f t="shared" si="229"/>
        <v>0</v>
      </c>
      <c r="CL146" s="198">
        <f t="shared" si="230"/>
        <v>5.5880485937005154E-13</v>
      </c>
      <c r="CM146" s="271">
        <f t="shared" si="231"/>
        <v>0</v>
      </c>
      <c r="CN146" s="198">
        <f t="shared" si="232"/>
        <v>1.2847580033489856E-10</v>
      </c>
      <c r="CO146" s="209">
        <f t="shared" si="222"/>
        <v>1.2791699547552852E-10</v>
      </c>
    </row>
    <row r="147" spans="2:93" x14ac:dyDescent="0.2">
      <c r="B147" s="221">
        <f>'DATA INPUT - DETAIL'!D138</f>
        <v>0</v>
      </c>
      <c r="C147" s="211">
        <f>'DATA INPUT - DETAIL'!E138</f>
        <v>0</v>
      </c>
      <c r="D147" s="257">
        <f>'DATA INPUT - DETAIL'!I138</f>
        <v>0</v>
      </c>
      <c r="E147" s="258">
        <f>'DATA INPUT - DETAIL'!K138</f>
        <v>0</v>
      </c>
      <c r="F147" s="258">
        <f>'DATA INPUT - DETAIL'!L138</f>
        <v>0</v>
      </c>
      <c r="G147" s="179">
        <f>'DATA INPUT - DETAIL'!M138*(1+$V$5)</f>
        <v>0</v>
      </c>
      <c r="H147" s="179">
        <f>'DATA INPUT - DETAIL'!N138*(1+$V$5)</f>
        <v>0</v>
      </c>
      <c r="I147" s="258">
        <f t="shared" si="166"/>
        <v>0</v>
      </c>
      <c r="J147" s="258">
        <f>'DATA INPUT - DETAIL'!O138</f>
        <v>0</v>
      </c>
      <c r="K147" s="258">
        <f>'DATA INPUT - DETAIL'!P138</f>
        <v>0</v>
      </c>
      <c r="L147" s="267">
        <f>ROUNDDOWN('DATA INPUT - DETAIL'!G138,0)</f>
        <v>0</v>
      </c>
      <c r="M147" s="196">
        <f t="shared" si="223"/>
        <v>0</v>
      </c>
      <c r="N147" s="196">
        <f t="shared" si="167"/>
        <v>0</v>
      </c>
      <c r="O147" s="196">
        <f t="shared" si="168"/>
        <v>0</v>
      </c>
      <c r="P147" s="196">
        <f t="shared" si="169"/>
        <v>0</v>
      </c>
      <c r="Q147" s="196">
        <f t="shared" si="170"/>
        <v>0</v>
      </c>
      <c r="R147" s="196">
        <f t="shared" si="171"/>
        <v>0</v>
      </c>
      <c r="S147" s="196">
        <f t="shared" si="172"/>
        <v>0</v>
      </c>
      <c r="T147" s="196">
        <f t="shared" si="173"/>
        <v>0</v>
      </c>
      <c r="U147" s="185">
        <f>(C147&gt;0)*(C147&lt;$E$5)*VLOOKUP(MPP,ASUMSI!$BN$77:$CR$108,B147+1)*(1+$V$4)</f>
        <v>0</v>
      </c>
      <c r="V147" s="196">
        <f t="shared" si="174"/>
        <v>0</v>
      </c>
      <c r="W147" s="196">
        <f t="shared" si="175"/>
        <v>0</v>
      </c>
      <c r="X147" s="196">
        <f t="shared" si="176"/>
        <v>0</v>
      </c>
      <c r="Y147" s="196">
        <f t="shared" si="177"/>
        <v>0</v>
      </c>
      <c r="Z147" s="196">
        <f t="shared" si="178"/>
        <v>0</v>
      </c>
      <c r="AA147" s="185">
        <f t="shared" si="179"/>
        <v>0</v>
      </c>
      <c r="AB147" s="196">
        <f t="shared" si="180"/>
        <v>0</v>
      </c>
      <c r="AC147" s="196">
        <f t="shared" si="181"/>
        <v>0</v>
      </c>
      <c r="AD147" s="196">
        <f t="shared" si="182"/>
        <v>0</v>
      </c>
      <c r="AE147" s="196">
        <f t="shared" si="183"/>
        <v>0</v>
      </c>
      <c r="AF147" s="196">
        <f t="shared" si="184"/>
        <v>0</v>
      </c>
      <c r="AG147" s="196">
        <f t="shared" si="185"/>
        <v>0</v>
      </c>
      <c r="AH147" s="196">
        <f t="shared" si="186"/>
        <v>0</v>
      </c>
      <c r="AI147" s="266">
        <f>'DATA INPUT - DETAIL'!R138</f>
        <v>0</v>
      </c>
      <c r="AJ147" s="266">
        <f>'DATA INPUT - DETAIL'!S138</f>
        <v>0</v>
      </c>
      <c r="AK147" s="266">
        <f>'DATA INPUT - DETAIL'!T138</f>
        <v>0</v>
      </c>
      <c r="AL147" s="266">
        <f>'DATA INPUT - DETAIL'!U138</f>
        <v>0</v>
      </c>
      <c r="AM147" s="266">
        <f>'DATA INPUT - DETAIL'!V138</f>
        <v>0</v>
      </c>
      <c r="AN147" s="266">
        <f>'DATA INPUT - DETAIL'!W138</f>
        <v>0</v>
      </c>
      <c r="AO147" s="198">
        <f t="shared" si="187"/>
        <v>0</v>
      </c>
      <c r="AP147" s="266">
        <f>'DATA INPUT - DETAIL'!X138</f>
        <v>0</v>
      </c>
      <c r="AQ147" s="266">
        <f>'DATA INPUT - DETAIL'!Y138</f>
        <v>0</v>
      </c>
      <c r="AR147" s="266">
        <f>'DATA INPUT - DETAIL'!Z138</f>
        <v>0</v>
      </c>
      <c r="AS147" s="266">
        <f>'DATA INPUT - DETAIL'!AD138</f>
        <v>0</v>
      </c>
      <c r="AT147" s="266">
        <f t="shared" si="188"/>
        <v>0</v>
      </c>
      <c r="AU147" s="206">
        <f>'DATA INPUT - DETAIL'!AA138</f>
        <v>0</v>
      </c>
      <c r="AV147" s="206">
        <f>'DATA INPUT - DETAIL'!AB138</f>
        <v>0</v>
      </c>
      <c r="AW147" s="206">
        <f>'DATA INPUT - DETAIL'!AC138</f>
        <v>0</v>
      </c>
      <c r="AX147" s="206">
        <f t="shared" si="189"/>
        <v>0</v>
      </c>
      <c r="AY147" s="206">
        <f t="shared" si="190"/>
        <v>0</v>
      </c>
      <c r="AZ147" s="206">
        <f t="shared" si="191"/>
        <v>0</v>
      </c>
      <c r="BA147" s="206">
        <f t="shared" si="192"/>
        <v>0</v>
      </c>
      <c r="BB147" s="206">
        <f t="shared" si="193"/>
        <v>0</v>
      </c>
      <c r="BC147" s="206">
        <f t="shared" si="194"/>
        <v>0</v>
      </c>
      <c r="BD147" s="206">
        <f t="shared" si="195"/>
        <v>0</v>
      </c>
      <c r="BE147" s="206">
        <f t="shared" si="196"/>
        <v>0</v>
      </c>
      <c r="BF147" s="206">
        <f t="shared" si="197"/>
        <v>0</v>
      </c>
      <c r="BG147" s="206">
        <f t="shared" si="198"/>
        <v>0</v>
      </c>
      <c r="BH147" s="206">
        <f t="shared" si="199"/>
        <v>0</v>
      </c>
      <c r="BI147" s="206">
        <f t="shared" si="200"/>
        <v>0</v>
      </c>
      <c r="BJ147" s="266">
        <f t="shared" si="201"/>
        <v>0</v>
      </c>
      <c r="BK147" s="266">
        <f t="shared" si="202"/>
        <v>0</v>
      </c>
      <c r="BL147" s="192">
        <f t="shared" si="203"/>
        <v>0</v>
      </c>
      <c r="BM147" s="192">
        <f t="shared" si="204"/>
        <v>0</v>
      </c>
      <c r="BN147" s="192">
        <f t="shared" si="205"/>
        <v>0</v>
      </c>
      <c r="BO147" s="192">
        <f t="shared" si="206"/>
        <v>0</v>
      </c>
      <c r="BP147" s="192">
        <f t="shared" si="207"/>
        <v>0</v>
      </c>
      <c r="BQ147" s="193">
        <f t="shared" si="208"/>
        <v>0</v>
      </c>
      <c r="BR147" s="193">
        <f t="shared" si="209"/>
        <v>0</v>
      </c>
      <c r="BS147" s="265">
        <f t="shared" si="210"/>
        <v>0</v>
      </c>
      <c r="BT147" s="265">
        <f t="shared" si="211"/>
        <v>0</v>
      </c>
      <c r="BU147" s="265">
        <f t="shared" si="212"/>
        <v>0</v>
      </c>
      <c r="BV147" s="265">
        <f t="shared" si="213"/>
        <v>0</v>
      </c>
      <c r="BW147" s="265">
        <f t="shared" si="214"/>
        <v>0</v>
      </c>
      <c r="BX147" s="265">
        <f t="shared" si="215"/>
        <v>0</v>
      </c>
      <c r="BY147" s="265">
        <f t="shared" si="216"/>
        <v>0</v>
      </c>
      <c r="BZ147" s="265">
        <f t="shared" si="217"/>
        <v>0</v>
      </c>
      <c r="CA147" s="265">
        <f t="shared" si="218"/>
        <v>0</v>
      </c>
      <c r="CB147" s="269">
        <f t="shared" si="219"/>
        <v>0</v>
      </c>
      <c r="CC147" s="266">
        <f t="shared" si="220"/>
        <v>0</v>
      </c>
      <c r="CD147" s="241"/>
      <c r="CE147" s="198">
        <f t="shared" si="221"/>
        <v>1.2847580033489856E-10</v>
      </c>
      <c r="CF147" s="198">
        <f t="shared" si="224"/>
        <v>0</v>
      </c>
      <c r="CG147" s="198">
        <f t="shared" si="225"/>
        <v>0</v>
      </c>
      <c r="CH147" s="198">
        <f t="shared" si="226"/>
        <v>0</v>
      </c>
      <c r="CI147" s="198">
        <f t="shared" si="227"/>
        <v>0</v>
      </c>
      <c r="CJ147" s="198">
        <f t="shared" si="228"/>
        <v>0</v>
      </c>
      <c r="CK147" s="198">
        <f t="shared" si="229"/>
        <v>0</v>
      </c>
      <c r="CL147" s="198">
        <f t="shared" si="230"/>
        <v>5.6124599605947067E-13</v>
      </c>
      <c r="CM147" s="271">
        <f t="shared" si="231"/>
        <v>0</v>
      </c>
      <c r="CN147" s="198">
        <f t="shared" si="232"/>
        <v>1.2903704633095803E-10</v>
      </c>
      <c r="CO147" s="209">
        <f t="shared" si="222"/>
        <v>1.2847580033489856E-10</v>
      </c>
    </row>
    <row r="148" spans="2:93" x14ac:dyDescent="0.2">
      <c r="B148" s="221">
        <f>'DATA INPUT - DETAIL'!D139</f>
        <v>0</v>
      </c>
      <c r="C148" s="211">
        <f>'DATA INPUT - DETAIL'!E139</f>
        <v>0</v>
      </c>
      <c r="D148" s="257">
        <f>'DATA INPUT - DETAIL'!I139</f>
        <v>0</v>
      </c>
      <c r="E148" s="258">
        <f>'DATA INPUT - DETAIL'!K139</f>
        <v>0</v>
      </c>
      <c r="F148" s="258">
        <f>'DATA INPUT - DETAIL'!L139</f>
        <v>0</v>
      </c>
      <c r="G148" s="179">
        <f>'DATA INPUT - DETAIL'!M139*(1+$V$5)</f>
        <v>0</v>
      </c>
      <c r="H148" s="179">
        <f>'DATA INPUT - DETAIL'!N139*(1+$V$5)</f>
        <v>0</v>
      </c>
      <c r="I148" s="258">
        <f t="shared" si="166"/>
        <v>0</v>
      </c>
      <c r="J148" s="258">
        <f>'DATA INPUT - DETAIL'!O139</f>
        <v>0</v>
      </c>
      <c r="K148" s="258">
        <f>'DATA INPUT - DETAIL'!P139</f>
        <v>0</v>
      </c>
      <c r="L148" s="267">
        <f>ROUNDDOWN('DATA INPUT - DETAIL'!G139,0)</f>
        <v>0</v>
      </c>
      <c r="M148" s="196">
        <f t="shared" si="223"/>
        <v>0</v>
      </c>
      <c r="N148" s="196">
        <f t="shared" si="167"/>
        <v>0</v>
      </c>
      <c r="O148" s="196">
        <f t="shared" si="168"/>
        <v>0</v>
      </c>
      <c r="P148" s="196">
        <f t="shared" si="169"/>
        <v>0</v>
      </c>
      <c r="Q148" s="196">
        <f t="shared" si="170"/>
        <v>0</v>
      </c>
      <c r="R148" s="196">
        <f t="shared" si="171"/>
        <v>0</v>
      </c>
      <c r="S148" s="196">
        <f t="shared" si="172"/>
        <v>0</v>
      </c>
      <c r="T148" s="196">
        <f t="shared" si="173"/>
        <v>0</v>
      </c>
      <c r="U148" s="185">
        <f>(C148&gt;0)*(C148&lt;$E$5)*VLOOKUP(MPP,ASUMSI!$BN$77:$CR$108,B148+1)*(1+$V$4)</f>
        <v>0</v>
      </c>
      <c r="V148" s="196">
        <f t="shared" si="174"/>
        <v>0</v>
      </c>
      <c r="W148" s="196">
        <f t="shared" si="175"/>
        <v>0</v>
      </c>
      <c r="X148" s="196">
        <f t="shared" si="176"/>
        <v>0</v>
      </c>
      <c r="Y148" s="196">
        <f t="shared" si="177"/>
        <v>0</v>
      </c>
      <c r="Z148" s="196">
        <f t="shared" si="178"/>
        <v>0</v>
      </c>
      <c r="AA148" s="185">
        <f t="shared" si="179"/>
        <v>0</v>
      </c>
      <c r="AB148" s="196">
        <f t="shared" si="180"/>
        <v>0</v>
      </c>
      <c r="AC148" s="196">
        <f t="shared" si="181"/>
        <v>0</v>
      </c>
      <c r="AD148" s="196">
        <f t="shared" si="182"/>
        <v>0</v>
      </c>
      <c r="AE148" s="196">
        <f t="shared" si="183"/>
        <v>0</v>
      </c>
      <c r="AF148" s="196">
        <f t="shared" si="184"/>
        <v>0</v>
      </c>
      <c r="AG148" s="196">
        <f t="shared" si="185"/>
        <v>0</v>
      </c>
      <c r="AH148" s="196">
        <f t="shared" si="186"/>
        <v>0</v>
      </c>
      <c r="AI148" s="266">
        <f>'DATA INPUT - DETAIL'!R139</f>
        <v>0</v>
      </c>
      <c r="AJ148" s="266">
        <f>'DATA INPUT - DETAIL'!S139</f>
        <v>0</v>
      </c>
      <c r="AK148" s="266">
        <f>'DATA INPUT - DETAIL'!T139</f>
        <v>0</v>
      </c>
      <c r="AL148" s="266">
        <f>'DATA INPUT - DETAIL'!U139</f>
        <v>0</v>
      </c>
      <c r="AM148" s="266">
        <f>'DATA INPUT - DETAIL'!V139</f>
        <v>0</v>
      </c>
      <c r="AN148" s="266">
        <f>'DATA INPUT - DETAIL'!W139</f>
        <v>0</v>
      </c>
      <c r="AO148" s="198">
        <f t="shared" si="187"/>
        <v>0</v>
      </c>
      <c r="AP148" s="266">
        <f>'DATA INPUT - DETAIL'!X139</f>
        <v>0</v>
      </c>
      <c r="AQ148" s="266">
        <f>'DATA INPUT - DETAIL'!Y139</f>
        <v>0</v>
      </c>
      <c r="AR148" s="266">
        <f>'DATA INPUT - DETAIL'!Z139</f>
        <v>0</v>
      </c>
      <c r="AS148" s="266">
        <f>'DATA INPUT - DETAIL'!AD139</f>
        <v>0</v>
      </c>
      <c r="AT148" s="266">
        <f t="shared" si="188"/>
        <v>0</v>
      </c>
      <c r="AU148" s="206">
        <f>'DATA INPUT - DETAIL'!AA139</f>
        <v>0</v>
      </c>
      <c r="AV148" s="206">
        <f>'DATA INPUT - DETAIL'!AB139</f>
        <v>0</v>
      </c>
      <c r="AW148" s="206">
        <f>'DATA INPUT - DETAIL'!AC139</f>
        <v>0</v>
      </c>
      <c r="AX148" s="206">
        <f t="shared" si="189"/>
        <v>0</v>
      </c>
      <c r="AY148" s="206">
        <f t="shared" si="190"/>
        <v>0</v>
      </c>
      <c r="AZ148" s="206">
        <f t="shared" si="191"/>
        <v>0</v>
      </c>
      <c r="BA148" s="206">
        <f t="shared" si="192"/>
        <v>0</v>
      </c>
      <c r="BB148" s="206">
        <f t="shared" si="193"/>
        <v>0</v>
      </c>
      <c r="BC148" s="206">
        <f t="shared" si="194"/>
        <v>0</v>
      </c>
      <c r="BD148" s="206">
        <f t="shared" si="195"/>
        <v>0</v>
      </c>
      <c r="BE148" s="206">
        <f t="shared" si="196"/>
        <v>0</v>
      </c>
      <c r="BF148" s="206">
        <f t="shared" si="197"/>
        <v>0</v>
      </c>
      <c r="BG148" s="206">
        <f t="shared" si="198"/>
        <v>0</v>
      </c>
      <c r="BH148" s="206">
        <f t="shared" si="199"/>
        <v>0</v>
      </c>
      <c r="BI148" s="206">
        <f t="shared" si="200"/>
        <v>0</v>
      </c>
      <c r="BJ148" s="266">
        <f t="shared" si="201"/>
        <v>0</v>
      </c>
      <c r="BK148" s="266">
        <f t="shared" si="202"/>
        <v>0</v>
      </c>
      <c r="BL148" s="192">
        <f t="shared" si="203"/>
        <v>0</v>
      </c>
      <c r="BM148" s="192">
        <f t="shared" si="204"/>
        <v>0</v>
      </c>
      <c r="BN148" s="192">
        <f t="shared" si="205"/>
        <v>0</v>
      </c>
      <c r="BO148" s="192">
        <f t="shared" si="206"/>
        <v>0</v>
      </c>
      <c r="BP148" s="192">
        <f t="shared" si="207"/>
        <v>0</v>
      </c>
      <c r="BQ148" s="193">
        <f t="shared" si="208"/>
        <v>0</v>
      </c>
      <c r="BR148" s="193">
        <f t="shared" si="209"/>
        <v>0</v>
      </c>
      <c r="BS148" s="265">
        <f t="shared" si="210"/>
        <v>0</v>
      </c>
      <c r="BT148" s="265">
        <f t="shared" si="211"/>
        <v>0</v>
      </c>
      <c r="BU148" s="265">
        <f t="shared" si="212"/>
        <v>0</v>
      </c>
      <c r="BV148" s="265">
        <f t="shared" si="213"/>
        <v>0</v>
      </c>
      <c r="BW148" s="265">
        <f t="shared" si="214"/>
        <v>0</v>
      </c>
      <c r="BX148" s="265">
        <f t="shared" si="215"/>
        <v>0</v>
      </c>
      <c r="BY148" s="265">
        <f t="shared" si="216"/>
        <v>0</v>
      </c>
      <c r="BZ148" s="265">
        <f t="shared" si="217"/>
        <v>0</v>
      </c>
      <c r="CA148" s="265">
        <f t="shared" si="218"/>
        <v>0</v>
      </c>
      <c r="CB148" s="269">
        <f t="shared" si="219"/>
        <v>0</v>
      </c>
      <c r="CC148" s="266">
        <f t="shared" si="220"/>
        <v>0</v>
      </c>
      <c r="CD148" s="241"/>
      <c r="CE148" s="198">
        <f t="shared" si="221"/>
        <v>1.2903704633095803E-10</v>
      </c>
      <c r="CF148" s="198">
        <f t="shared" si="224"/>
        <v>0</v>
      </c>
      <c r="CG148" s="198">
        <f t="shared" si="225"/>
        <v>0</v>
      </c>
      <c r="CH148" s="198">
        <f t="shared" si="226"/>
        <v>0</v>
      </c>
      <c r="CI148" s="198">
        <f t="shared" si="227"/>
        <v>0</v>
      </c>
      <c r="CJ148" s="198">
        <f t="shared" si="228"/>
        <v>0</v>
      </c>
      <c r="CK148" s="198">
        <f t="shared" si="229"/>
        <v>0</v>
      </c>
      <c r="CL148" s="198">
        <f t="shared" si="230"/>
        <v>5.6369779684430087E-13</v>
      </c>
      <c r="CM148" s="271">
        <f t="shared" si="231"/>
        <v>0</v>
      </c>
      <c r="CN148" s="198">
        <f t="shared" si="232"/>
        <v>1.2960074412780234E-10</v>
      </c>
      <c r="CO148" s="209">
        <f t="shared" si="222"/>
        <v>1.2903704633095803E-10</v>
      </c>
    </row>
    <row r="149" spans="2:93" x14ac:dyDescent="0.2">
      <c r="B149" s="221">
        <f>'DATA INPUT - DETAIL'!D140</f>
        <v>0</v>
      </c>
      <c r="C149" s="211">
        <f>'DATA INPUT - DETAIL'!E140</f>
        <v>0</v>
      </c>
      <c r="D149" s="257">
        <f>'DATA INPUT - DETAIL'!I140</f>
        <v>0</v>
      </c>
      <c r="E149" s="258">
        <f>'DATA INPUT - DETAIL'!K140</f>
        <v>0</v>
      </c>
      <c r="F149" s="258">
        <f>'DATA INPUT - DETAIL'!L140</f>
        <v>0</v>
      </c>
      <c r="G149" s="179">
        <f>'DATA INPUT - DETAIL'!M140*(1+$V$5)</f>
        <v>0</v>
      </c>
      <c r="H149" s="179">
        <f>'DATA INPUT - DETAIL'!N140*(1+$V$5)</f>
        <v>0</v>
      </c>
      <c r="I149" s="258">
        <f t="shared" si="166"/>
        <v>0</v>
      </c>
      <c r="J149" s="258">
        <f>'DATA INPUT - DETAIL'!O140</f>
        <v>0</v>
      </c>
      <c r="K149" s="258">
        <f>'DATA INPUT - DETAIL'!P140</f>
        <v>0</v>
      </c>
      <c r="L149" s="267">
        <f>ROUNDDOWN('DATA INPUT - DETAIL'!G140,0)</f>
        <v>0</v>
      </c>
      <c r="M149" s="196">
        <f t="shared" si="223"/>
        <v>0</v>
      </c>
      <c r="N149" s="196">
        <f t="shared" si="167"/>
        <v>0</v>
      </c>
      <c r="O149" s="196">
        <f t="shared" si="168"/>
        <v>0</v>
      </c>
      <c r="P149" s="196">
        <f t="shared" si="169"/>
        <v>0</v>
      </c>
      <c r="Q149" s="196">
        <f t="shared" si="170"/>
        <v>0</v>
      </c>
      <c r="R149" s="196">
        <f t="shared" si="171"/>
        <v>0</v>
      </c>
      <c r="S149" s="196">
        <f t="shared" si="172"/>
        <v>0</v>
      </c>
      <c r="T149" s="196">
        <f t="shared" si="173"/>
        <v>0</v>
      </c>
      <c r="U149" s="185">
        <f>(C149&gt;0)*(C149&lt;$E$5)*VLOOKUP(MPP,ASUMSI!$BN$77:$CR$108,B149+1)*(1+$V$4)</f>
        <v>0</v>
      </c>
      <c r="V149" s="196">
        <f t="shared" si="174"/>
        <v>0</v>
      </c>
      <c r="W149" s="196">
        <f t="shared" si="175"/>
        <v>0</v>
      </c>
      <c r="X149" s="196">
        <f t="shared" si="176"/>
        <v>0</v>
      </c>
      <c r="Y149" s="196">
        <f t="shared" si="177"/>
        <v>0</v>
      </c>
      <c r="Z149" s="196">
        <f t="shared" si="178"/>
        <v>0</v>
      </c>
      <c r="AA149" s="185">
        <f t="shared" si="179"/>
        <v>0</v>
      </c>
      <c r="AB149" s="196">
        <f t="shared" si="180"/>
        <v>0</v>
      </c>
      <c r="AC149" s="196">
        <f t="shared" si="181"/>
        <v>0</v>
      </c>
      <c r="AD149" s="196">
        <f t="shared" si="182"/>
        <v>0</v>
      </c>
      <c r="AE149" s="196">
        <f t="shared" si="183"/>
        <v>0</v>
      </c>
      <c r="AF149" s="196">
        <f t="shared" si="184"/>
        <v>0</v>
      </c>
      <c r="AG149" s="196">
        <f t="shared" si="185"/>
        <v>0</v>
      </c>
      <c r="AH149" s="196">
        <f t="shared" si="186"/>
        <v>0</v>
      </c>
      <c r="AI149" s="266">
        <f>'DATA INPUT - DETAIL'!R140</f>
        <v>0</v>
      </c>
      <c r="AJ149" s="266">
        <f>'DATA INPUT - DETAIL'!S140</f>
        <v>0</v>
      </c>
      <c r="AK149" s="266">
        <f>'DATA INPUT - DETAIL'!T140</f>
        <v>0</v>
      </c>
      <c r="AL149" s="266">
        <f>'DATA INPUT - DETAIL'!U140</f>
        <v>0</v>
      </c>
      <c r="AM149" s="266">
        <f>'DATA INPUT - DETAIL'!V140</f>
        <v>0</v>
      </c>
      <c r="AN149" s="266">
        <f>'DATA INPUT - DETAIL'!W140</f>
        <v>0</v>
      </c>
      <c r="AO149" s="198">
        <f t="shared" si="187"/>
        <v>0</v>
      </c>
      <c r="AP149" s="266">
        <f>'DATA INPUT - DETAIL'!X140</f>
        <v>0</v>
      </c>
      <c r="AQ149" s="266">
        <f>'DATA INPUT - DETAIL'!Y140</f>
        <v>0</v>
      </c>
      <c r="AR149" s="266">
        <f>'DATA INPUT - DETAIL'!Z140</f>
        <v>0</v>
      </c>
      <c r="AS149" s="266">
        <f>'DATA INPUT - DETAIL'!AD140</f>
        <v>0</v>
      </c>
      <c r="AT149" s="266">
        <f t="shared" si="188"/>
        <v>0</v>
      </c>
      <c r="AU149" s="206">
        <f>'DATA INPUT - DETAIL'!AA140</f>
        <v>0</v>
      </c>
      <c r="AV149" s="206">
        <f>'DATA INPUT - DETAIL'!AB140</f>
        <v>0</v>
      </c>
      <c r="AW149" s="206">
        <f>'DATA INPUT - DETAIL'!AC140</f>
        <v>0</v>
      </c>
      <c r="AX149" s="206">
        <f t="shared" si="189"/>
        <v>0</v>
      </c>
      <c r="AY149" s="206">
        <f t="shared" si="190"/>
        <v>0</v>
      </c>
      <c r="AZ149" s="206">
        <f t="shared" si="191"/>
        <v>0</v>
      </c>
      <c r="BA149" s="206">
        <f t="shared" si="192"/>
        <v>0</v>
      </c>
      <c r="BB149" s="206">
        <f t="shared" si="193"/>
        <v>0</v>
      </c>
      <c r="BC149" s="206">
        <f t="shared" si="194"/>
        <v>0</v>
      </c>
      <c r="BD149" s="206">
        <f t="shared" si="195"/>
        <v>0</v>
      </c>
      <c r="BE149" s="206">
        <f t="shared" si="196"/>
        <v>0</v>
      </c>
      <c r="BF149" s="206">
        <f t="shared" si="197"/>
        <v>0</v>
      </c>
      <c r="BG149" s="206">
        <f t="shared" si="198"/>
        <v>0</v>
      </c>
      <c r="BH149" s="206">
        <f t="shared" si="199"/>
        <v>0</v>
      </c>
      <c r="BI149" s="206">
        <f t="shared" si="200"/>
        <v>0</v>
      </c>
      <c r="BJ149" s="266">
        <f t="shared" si="201"/>
        <v>0</v>
      </c>
      <c r="BK149" s="266">
        <f t="shared" si="202"/>
        <v>0</v>
      </c>
      <c r="BL149" s="192">
        <f t="shared" si="203"/>
        <v>0</v>
      </c>
      <c r="BM149" s="192">
        <f t="shared" si="204"/>
        <v>0</v>
      </c>
      <c r="BN149" s="192">
        <f t="shared" si="205"/>
        <v>0</v>
      </c>
      <c r="BO149" s="192">
        <f t="shared" si="206"/>
        <v>0</v>
      </c>
      <c r="BP149" s="192">
        <f t="shared" si="207"/>
        <v>0</v>
      </c>
      <c r="BQ149" s="193">
        <f t="shared" si="208"/>
        <v>0</v>
      </c>
      <c r="BR149" s="193">
        <f t="shared" si="209"/>
        <v>0</v>
      </c>
      <c r="BS149" s="265">
        <f t="shared" si="210"/>
        <v>0</v>
      </c>
      <c r="BT149" s="265">
        <f t="shared" si="211"/>
        <v>0</v>
      </c>
      <c r="BU149" s="265">
        <f t="shared" si="212"/>
        <v>0</v>
      </c>
      <c r="BV149" s="265">
        <f t="shared" si="213"/>
        <v>0</v>
      </c>
      <c r="BW149" s="265">
        <f t="shared" si="214"/>
        <v>0</v>
      </c>
      <c r="BX149" s="265">
        <f t="shared" si="215"/>
        <v>0</v>
      </c>
      <c r="BY149" s="265">
        <f t="shared" si="216"/>
        <v>0</v>
      </c>
      <c r="BZ149" s="265">
        <f t="shared" si="217"/>
        <v>0</v>
      </c>
      <c r="CA149" s="265">
        <f t="shared" si="218"/>
        <v>0</v>
      </c>
      <c r="CB149" s="269">
        <f t="shared" si="219"/>
        <v>0</v>
      </c>
      <c r="CC149" s="266">
        <f t="shared" si="220"/>
        <v>0</v>
      </c>
      <c r="CD149" s="241"/>
      <c r="CE149" s="198">
        <f t="shared" si="221"/>
        <v>1.2960074412780234E-10</v>
      </c>
      <c r="CF149" s="198">
        <f t="shared" si="224"/>
        <v>0</v>
      </c>
      <c r="CG149" s="198">
        <f t="shared" si="225"/>
        <v>0</v>
      </c>
      <c r="CH149" s="198">
        <f t="shared" si="226"/>
        <v>0</v>
      </c>
      <c r="CI149" s="198">
        <f t="shared" si="227"/>
        <v>0</v>
      </c>
      <c r="CJ149" s="198">
        <f t="shared" si="228"/>
        <v>0</v>
      </c>
      <c r="CK149" s="198">
        <f t="shared" si="229"/>
        <v>0</v>
      </c>
      <c r="CL149" s="198">
        <f t="shared" si="230"/>
        <v>5.6616030831059814E-13</v>
      </c>
      <c r="CM149" s="271">
        <f t="shared" si="231"/>
        <v>0</v>
      </c>
      <c r="CN149" s="198">
        <f t="shared" si="232"/>
        <v>1.3016690443611293E-10</v>
      </c>
      <c r="CO149" s="209">
        <f t="shared" si="222"/>
        <v>1.2960074412780234E-10</v>
      </c>
    </row>
    <row r="150" spans="2:93" x14ac:dyDescent="0.2">
      <c r="B150" s="221">
        <f>'DATA INPUT - DETAIL'!D141</f>
        <v>0</v>
      </c>
      <c r="C150" s="211">
        <f>'DATA INPUT - DETAIL'!E141</f>
        <v>0</v>
      </c>
      <c r="D150" s="257">
        <f>'DATA INPUT - DETAIL'!I141</f>
        <v>0</v>
      </c>
      <c r="E150" s="258">
        <f>'DATA INPUT - DETAIL'!K141</f>
        <v>0</v>
      </c>
      <c r="F150" s="258">
        <f>'DATA INPUT - DETAIL'!L141</f>
        <v>0</v>
      </c>
      <c r="G150" s="179">
        <f>'DATA INPUT - DETAIL'!M141*(1+$V$5)</f>
        <v>0</v>
      </c>
      <c r="H150" s="179">
        <f>'DATA INPUT - DETAIL'!N141*(1+$V$5)</f>
        <v>0</v>
      </c>
      <c r="I150" s="258">
        <f t="shared" si="166"/>
        <v>0</v>
      </c>
      <c r="J150" s="258">
        <f>'DATA INPUT - DETAIL'!O141</f>
        <v>0</v>
      </c>
      <c r="K150" s="258">
        <f>'DATA INPUT - DETAIL'!P141</f>
        <v>0</v>
      </c>
      <c r="L150" s="267">
        <f>ROUNDDOWN('DATA INPUT - DETAIL'!G141,0)</f>
        <v>0</v>
      </c>
      <c r="M150" s="196">
        <f t="shared" si="223"/>
        <v>0</v>
      </c>
      <c r="N150" s="196">
        <f t="shared" si="167"/>
        <v>0</v>
      </c>
      <c r="O150" s="196">
        <f t="shared" si="168"/>
        <v>0</v>
      </c>
      <c r="P150" s="196">
        <f t="shared" si="169"/>
        <v>0</v>
      </c>
      <c r="Q150" s="196">
        <f t="shared" si="170"/>
        <v>0</v>
      </c>
      <c r="R150" s="196">
        <f t="shared" si="171"/>
        <v>0</v>
      </c>
      <c r="S150" s="196">
        <f t="shared" si="172"/>
        <v>0</v>
      </c>
      <c r="T150" s="196">
        <f t="shared" si="173"/>
        <v>0</v>
      </c>
      <c r="U150" s="185">
        <f>(C150&gt;0)*(C150&lt;$E$5)*VLOOKUP(MPP,ASUMSI!$BN$77:$CR$108,B150+1)*(1+$V$4)</f>
        <v>0</v>
      </c>
      <c r="V150" s="196">
        <f t="shared" si="174"/>
        <v>0</v>
      </c>
      <c r="W150" s="196">
        <f t="shared" si="175"/>
        <v>0</v>
      </c>
      <c r="X150" s="196">
        <f t="shared" si="176"/>
        <v>0</v>
      </c>
      <c r="Y150" s="196">
        <f t="shared" si="177"/>
        <v>0</v>
      </c>
      <c r="Z150" s="196">
        <f t="shared" si="178"/>
        <v>0</v>
      </c>
      <c r="AA150" s="185">
        <f t="shared" si="179"/>
        <v>0</v>
      </c>
      <c r="AB150" s="196">
        <f t="shared" si="180"/>
        <v>0</v>
      </c>
      <c r="AC150" s="196">
        <f t="shared" si="181"/>
        <v>0</v>
      </c>
      <c r="AD150" s="196">
        <f t="shared" si="182"/>
        <v>0</v>
      </c>
      <c r="AE150" s="196">
        <f t="shared" si="183"/>
        <v>0</v>
      </c>
      <c r="AF150" s="196">
        <f t="shared" si="184"/>
        <v>0</v>
      </c>
      <c r="AG150" s="196">
        <f t="shared" si="185"/>
        <v>0</v>
      </c>
      <c r="AH150" s="196">
        <f t="shared" si="186"/>
        <v>0</v>
      </c>
      <c r="AI150" s="266">
        <f>'DATA INPUT - DETAIL'!R141</f>
        <v>0</v>
      </c>
      <c r="AJ150" s="266">
        <f>'DATA INPUT - DETAIL'!S141</f>
        <v>0</v>
      </c>
      <c r="AK150" s="266">
        <f>'DATA INPUT - DETAIL'!T141</f>
        <v>0</v>
      </c>
      <c r="AL150" s="266">
        <f>'DATA INPUT - DETAIL'!U141</f>
        <v>0</v>
      </c>
      <c r="AM150" s="266">
        <f>'DATA INPUT - DETAIL'!V141</f>
        <v>0</v>
      </c>
      <c r="AN150" s="266">
        <f>'DATA INPUT - DETAIL'!W141</f>
        <v>0</v>
      </c>
      <c r="AO150" s="198">
        <f t="shared" si="187"/>
        <v>0</v>
      </c>
      <c r="AP150" s="266">
        <f>'DATA INPUT - DETAIL'!X141</f>
        <v>0</v>
      </c>
      <c r="AQ150" s="266">
        <f>'DATA INPUT - DETAIL'!Y141</f>
        <v>0</v>
      </c>
      <c r="AR150" s="266">
        <f>'DATA INPUT - DETAIL'!Z141</f>
        <v>0</v>
      </c>
      <c r="AS150" s="266">
        <f>'DATA INPUT - DETAIL'!AD141</f>
        <v>0</v>
      </c>
      <c r="AT150" s="266">
        <f t="shared" si="188"/>
        <v>0</v>
      </c>
      <c r="AU150" s="206">
        <f>'DATA INPUT - DETAIL'!AA141</f>
        <v>0</v>
      </c>
      <c r="AV150" s="206">
        <f>'DATA INPUT - DETAIL'!AB141</f>
        <v>0</v>
      </c>
      <c r="AW150" s="206">
        <f>'DATA INPUT - DETAIL'!AC141</f>
        <v>0</v>
      </c>
      <c r="AX150" s="206">
        <f t="shared" si="189"/>
        <v>0</v>
      </c>
      <c r="AY150" s="206">
        <f t="shared" si="190"/>
        <v>0</v>
      </c>
      <c r="AZ150" s="206">
        <f t="shared" si="191"/>
        <v>0</v>
      </c>
      <c r="BA150" s="206">
        <f t="shared" si="192"/>
        <v>0</v>
      </c>
      <c r="BB150" s="206">
        <f t="shared" si="193"/>
        <v>0</v>
      </c>
      <c r="BC150" s="206">
        <f t="shared" si="194"/>
        <v>0</v>
      </c>
      <c r="BD150" s="206">
        <f t="shared" si="195"/>
        <v>0</v>
      </c>
      <c r="BE150" s="206">
        <f t="shared" si="196"/>
        <v>0</v>
      </c>
      <c r="BF150" s="206">
        <f t="shared" si="197"/>
        <v>0</v>
      </c>
      <c r="BG150" s="206">
        <f t="shared" si="198"/>
        <v>0</v>
      </c>
      <c r="BH150" s="206">
        <f t="shared" si="199"/>
        <v>0</v>
      </c>
      <c r="BI150" s="206">
        <f t="shared" si="200"/>
        <v>0</v>
      </c>
      <c r="BJ150" s="266">
        <f t="shared" si="201"/>
        <v>0</v>
      </c>
      <c r="BK150" s="266">
        <f t="shared" si="202"/>
        <v>0</v>
      </c>
      <c r="BL150" s="192">
        <f t="shared" si="203"/>
        <v>0</v>
      </c>
      <c r="BM150" s="192">
        <f t="shared" si="204"/>
        <v>0</v>
      </c>
      <c r="BN150" s="192">
        <f t="shared" si="205"/>
        <v>0</v>
      </c>
      <c r="BO150" s="192">
        <f t="shared" si="206"/>
        <v>0</v>
      </c>
      <c r="BP150" s="192">
        <f t="shared" si="207"/>
        <v>0</v>
      </c>
      <c r="BQ150" s="193">
        <f t="shared" si="208"/>
        <v>0</v>
      </c>
      <c r="BR150" s="193">
        <f t="shared" si="209"/>
        <v>0</v>
      </c>
      <c r="BS150" s="265">
        <f t="shared" si="210"/>
        <v>0</v>
      </c>
      <c r="BT150" s="265">
        <f t="shared" si="211"/>
        <v>0</v>
      </c>
      <c r="BU150" s="265">
        <f t="shared" si="212"/>
        <v>0</v>
      </c>
      <c r="BV150" s="265">
        <f t="shared" si="213"/>
        <v>0</v>
      </c>
      <c r="BW150" s="265">
        <f t="shared" si="214"/>
        <v>0</v>
      </c>
      <c r="BX150" s="265">
        <f t="shared" si="215"/>
        <v>0</v>
      </c>
      <c r="BY150" s="265">
        <f t="shared" si="216"/>
        <v>0</v>
      </c>
      <c r="BZ150" s="265">
        <f t="shared" si="217"/>
        <v>0</v>
      </c>
      <c r="CA150" s="265">
        <f t="shared" si="218"/>
        <v>0</v>
      </c>
      <c r="CB150" s="269">
        <f t="shared" si="219"/>
        <v>0</v>
      </c>
      <c r="CC150" s="266">
        <f t="shared" si="220"/>
        <v>0</v>
      </c>
      <c r="CD150" s="241"/>
      <c r="CE150" s="198">
        <f t="shared" si="221"/>
        <v>1.3016690443611293E-10</v>
      </c>
      <c r="CF150" s="198">
        <f t="shared" si="224"/>
        <v>0</v>
      </c>
      <c r="CG150" s="198">
        <f t="shared" si="225"/>
        <v>0</v>
      </c>
      <c r="CH150" s="198">
        <f t="shared" si="226"/>
        <v>0</v>
      </c>
      <c r="CI150" s="198">
        <f t="shared" si="227"/>
        <v>0</v>
      </c>
      <c r="CJ150" s="198">
        <f t="shared" si="228"/>
        <v>0</v>
      </c>
      <c r="CK150" s="198">
        <f t="shared" si="229"/>
        <v>0</v>
      </c>
      <c r="CL150" s="198">
        <f t="shared" si="230"/>
        <v>5.6863357724792977E-13</v>
      </c>
      <c r="CM150" s="271">
        <f t="shared" si="231"/>
        <v>0</v>
      </c>
      <c r="CN150" s="198">
        <f t="shared" si="232"/>
        <v>1.3073553801336086E-10</v>
      </c>
      <c r="CO150" s="209">
        <f t="shared" si="222"/>
        <v>1.3016690443611293E-10</v>
      </c>
    </row>
    <row r="151" spans="2:93" x14ac:dyDescent="0.2">
      <c r="B151" s="221">
        <f>'DATA INPUT - DETAIL'!D142</f>
        <v>0</v>
      </c>
      <c r="C151" s="211">
        <f>'DATA INPUT - DETAIL'!E142</f>
        <v>0</v>
      </c>
      <c r="D151" s="257">
        <f>'DATA INPUT - DETAIL'!I142</f>
        <v>0</v>
      </c>
      <c r="E151" s="258">
        <f>'DATA INPUT - DETAIL'!K142</f>
        <v>0</v>
      </c>
      <c r="F151" s="258">
        <f>'DATA INPUT - DETAIL'!L142</f>
        <v>0</v>
      </c>
      <c r="G151" s="179">
        <f>'DATA INPUT - DETAIL'!M142*(1+$V$5)</f>
        <v>0</v>
      </c>
      <c r="H151" s="179">
        <f>'DATA INPUT - DETAIL'!N142*(1+$V$5)</f>
        <v>0</v>
      </c>
      <c r="I151" s="258">
        <f t="shared" si="166"/>
        <v>0</v>
      </c>
      <c r="J151" s="258">
        <f>'DATA INPUT - DETAIL'!O142</f>
        <v>0</v>
      </c>
      <c r="K151" s="258">
        <f>'DATA INPUT - DETAIL'!P142</f>
        <v>0</v>
      </c>
      <c r="L151" s="267">
        <f>ROUNDDOWN('DATA INPUT - DETAIL'!G142,0)</f>
        <v>0</v>
      </c>
      <c r="M151" s="196">
        <f t="shared" si="223"/>
        <v>0</v>
      </c>
      <c r="N151" s="196">
        <f t="shared" si="167"/>
        <v>0</v>
      </c>
      <c r="O151" s="196">
        <f t="shared" si="168"/>
        <v>0</v>
      </c>
      <c r="P151" s="196">
        <f t="shared" si="169"/>
        <v>0</v>
      </c>
      <c r="Q151" s="196">
        <f t="shared" si="170"/>
        <v>0</v>
      </c>
      <c r="R151" s="196">
        <f t="shared" si="171"/>
        <v>0</v>
      </c>
      <c r="S151" s="196">
        <f t="shared" si="172"/>
        <v>0</v>
      </c>
      <c r="T151" s="196">
        <f t="shared" si="173"/>
        <v>0</v>
      </c>
      <c r="U151" s="185">
        <f>(C151&gt;0)*(C151&lt;$E$5)*VLOOKUP(MPP,ASUMSI!$BN$77:$CR$108,B151+1)*(1+$V$4)</f>
        <v>0</v>
      </c>
      <c r="V151" s="196">
        <f t="shared" si="174"/>
        <v>0</v>
      </c>
      <c r="W151" s="196">
        <f t="shared" si="175"/>
        <v>0</v>
      </c>
      <c r="X151" s="196">
        <f t="shared" si="176"/>
        <v>0</v>
      </c>
      <c r="Y151" s="196">
        <f t="shared" si="177"/>
        <v>0</v>
      </c>
      <c r="Z151" s="196">
        <f t="shared" si="178"/>
        <v>0</v>
      </c>
      <c r="AA151" s="185">
        <f t="shared" si="179"/>
        <v>0</v>
      </c>
      <c r="AB151" s="196">
        <f t="shared" si="180"/>
        <v>0</v>
      </c>
      <c r="AC151" s="196">
        <f t="shared" si="181"/>
        <v>0</v>
      </c>
      <c r="AD151" s="196">
        <f t="shared" si="182"/>
        <v>0</v>
      </c>
      <c r="AE151" s="196">
        <f t="shared" si="183"/>
        <v>0</v>
      </c>
      <c r="AF151" s="196">
        <f t="shared" si="184"/>
        <v>0</v>
      </c>
      <c r="AG151" s="196">
        <f t="shared" si="185"/>
        <v>0</v>
      </c>
      <c r="AH151" s="196">
        <f t="shared" si="186"/>
        <v>0</v>
      </c>
      <c r="AI151" s="266">
        <f>'DATA INPUT - DETAIL'!R142</f>
        <v>0</v>
      </c>
      <c r="AJ151" s="266">
        <f>'DATA INPUT - DETAIL'!S142</f>
        <v>0</v>
      </c>
      <c r="AK151" s="266">
        <f>'DATA INPUT - DETAIL'!T142</f>
        <v>0</v>
      </c>
      <c r="AL151" s="266">
        <f>'DATA INPUT - DETAIL'!U142</f>
        <v>0</v>
      </c>
      <c r="AM151" s="266">
        <f>'DATA INPUT - DETAIL'!V142</f>
        <v>0</v>
      </c>
      <c r="AN151" s="266">
        <f>'DATA INPUT - DETAIL'!W142</f>
        <v>0</v>
      </c>
      <c r="AO151" s="198">
        <f t="shared" si="187"/>
        <v>0</v>
      </c>
      <c r="AP151" s="266">
        <f>'DATA INPUT - DETAIL'!X142</f>
        <v>0</v>
      </c>
      <c r="AQ151" s="266">
        <f>'DATA INPUT - DETAIL'!Y142</f>
        <v>0</v>
      </c>
      <c r="AR151" s="266">
        <f>'DATA INPUT - DETAIL'!Z142</f>
        <v>0</v>
      </c>
      <c r="AS151" s="266">
        <f>'DATA INPUT - DETAIL'!AD142</f>
        <v>0</v>
      </c>
      <c r="AT151" s="266">
        <f t="shared" si="188"/>
        <v>0</v>
      </c>
      <c r="AU151" s="206">
        <f>'DATA INPUT - DETAIL'!AA142</f>
        <v>0</v>
      </c>
      <c r="AV151" s="206">
        <f>'DATA INPUT - DETAIL'!AB142</f>
        <v>0</v>
      </c>
      <c r="AW151" s="206">
        <f>'DATA INPUT - DETAIL'!AC142</f>
        <v>0</v>
      </c>
      <c r="AX151" s="206">
        <f t="shared" si="189"/>
        <v>0</v>
      </c>
      <c r="AY151" s="206">
        <f t="shared" si="190"/>
        <v>0</v>
      </c>
      <c r="AZ151" s="206">
        <f t="shared" si="191"/>
        <v>0</v>
      </c>
      <c r="BA151" s="206">
        <f t="shared" si="192"/>
        <v>0</v>
      </c>
      <c r="BB151" s="206">
        <f t="shared" si="193"/>
        <v>0</v>
      </c>
      <c r="BC151" s="206">
        <f t="shared" si="194"/>
        <v>0</v>
      </c>
      <c r="BD151" s="206">
        <f t="shared" si="195"/>
        <v>0</v>
      </c>
      <c r="BE151" s="206">
        <f t="shared" si="196"/>
        <v>0</v>
      </c>
      <c r="BF151" s="206">
        <f t="shared" si="197"/>
        <v>0</v>
      </c>
      <c r="BG151" s="206">
        <f t="shared" si="198"/>
        <v>0</v>
      </c>
      <c r="BH151" s="206">
        <f t="shared" si="199"/>
        <v>0</v>
      </c>
      <c r="BI151" s="206">
        <f t="shared" si="200"/>
        <v>0</v>
      </c>
      <c r="BJ151" s="266">
        <f t="shared" si="201"/>
        <v>0</v>
      </c>
      <c r="BK151" s="266">
        <f t="shared" si="202"/>
        <v>0</v>
      </c>
      <c r="BL151" s="192">
        <f t="shared" si="203"/>
        <v>0</v>
      </c>
      <c r="BM151" s="192">
        <f t="shared" si="204"/>
        <v>0</v>
      </c>
      <c r="BN151" s="192">
        <f t="shared" si="205"/>
        <v>0</v>
      </c>
      <c r="BO151" s="192">
        <f t="shared" si="206"/>
        <v>0</v>
      </c>
      <c r="BP151" s="192">
        <f t="shared" si="207"/>
        <v>0</v>
      </c>
      <c r="BQ151" s="193">
        <f t="shared" si="208"/>
        <v>0</v>
      </c>
      <c r="BR151" s="193">
        <f t="shared" si="209"/>
        <v>0</v>
      </c>
      <c r="BS151" s="265">
        <f t="shared" si="210"/>
        <v>0</v>
      </c>
      <c r="BT151" s="265">
        <f t="shared" si="211"/>
        <v>0</v>
      </c>
      <c r="BU151" s="265">
        <f t="shared" si="212"/>
        <v>0</v>
      </c>
      <c r="BV151" s="265">
        <f t="shared" si="213"/>
        <v>0</v>
      </c>
      <c r="BW151" s="265">
        <f t="shared" si="214"/>
        <v>0</v>
      </c>
      <c r="BX151" s="265">
        <f t="shared" si="215"/>
        <v>0</v>
      </c>
      <c r="BY151" s="265">
        <f t="shared" si="216"/>
        <v>0</v>
      </c>
      <c r="BZ151" s="265">
        <f t="shared" si="217"/>
        <v>0</v>
      </c>
      <c r="CA151" s="265">
        <f t="shared" si="218"/>
        <v>0</v>
      </c>
      <c r="CB151" s="269">
        <f t="shared" si="219"/>
        <v>0</v>
      </c>
      <c r="CC151" s="266">
        <f t="shared" si="220"/>
        <v>0</v>
      </c>
      <c r="CD151" s="241"/>
      <c r="CE151" s="198">
        <f t="shared" si="221"/>
        <v>1.3073553801336086E-10</v>
      </c>
      <c r="CF151" s="198">
        <f t="shared" si="224"/>
        <v>0</v>
      </c>
      <c r="CG151" s="198">
        <f t="shared" si="225"/>
        <v>0</v>
      </c>
      <c r="CH151" s="198">
        <f t="shared" si="226"/>
        <v>0</v>
      </c>
      <c r="CI151" s="198">
        <f t="shared" si="227"/>
        <v>0</v>
      </c>
      <c r="CJ151" s="198">
        <f t="shared" si="228"/>
        <v>0</v>
      </c>
      <c r="CK151" s="198">
        <f t="shared" si="229"/>
        <v>0</v>
      </c>
      <c r="CL151" s="198">
        <f t="shared" si="230"/>
        <v>5.7111765065026277E-13</v>
      </c>
      <c r="CM151" s="271">
        <f t="shared" si="231"/>
        <v>0</v>
      </c>
      <c r="CN151" s="198">
        <f t="shared" si="232"/>
        <v>1.3130665566401112E-10</v>
      </c>
      <c r="CO151" s="209">
        <f t="shared" si="222"/>
        <v>1.3073553801336086E-10</v>
      </c>
    </row>
    <row r="152" spans="2:93" x14ac:dyDescent="0.2">
      <c r="B152" s="221">
        <f>'DATA INPUT - DETAIL'!D143</f>
        <v>0</v>
      </c>
      <c r="C152" s="211">
        <f>'DATA INPUT - DETAIL'!E143</f>
        <v>0</v>
      </c>
      <c r="D152" s="257">
        <f>'DATA INPUT - DETAIL'!I143</f>
        <v>0</v>
      </c>
      <c r="E152" s="258">
        <f>'DATA INPUT - DETAIL'!K143</f>
        <v>0</v>
      </c>
      <c r="F152" s="258">
        <f>'DATA INPUT - DETAIL'!L143</f>
        <v>0</v>
      </c>
      <c r="G152" s="179">
        <f>'DATA INPUT - DETAIL'!M143*(1+$V$5)</f>
        <v>0</v>
      </c>
      <c r="H152" s="179">
        <f>'DATA INPUT - DETAIL'!N143*(1+$V$5)</f>
        <v>0</v>
      </c>
      <c r="I152" s="258">
        <f t="shared" si="166"/>
        <v>0</v>
      </c>
      <c r="J152" s="258">
        <f>'DATA INPUT - DETAIL'!O143</f>
        <v>0</v>
      </c>
      <c r="K152" s="258">
        <f>'DATA INPUT - DETAIL'!P143</f>
        <v>0</v>
      </c>
      <c r="L152" s="267">
        <f>ROUNDDOWN('DATA INPUT - DETAIL'!G143,0)</f>
        <v>0</v>
      </c>
      <c r="M152" s="196">
        <f t="shared" si="223"/>
        <v>0</v>
      </c>
      <c r="N152" s="196">
        <f t="shared" si="167"/>
        <v>0</v>
      </c>
      <c r="O152" s="196">
        <f t="shared" si="168"/>
        <v>0</v>
      </c>
      <c r="P152" s="196">
        <f t="shared" si="169"/>
        <v>0</v>
      </c>
      <c r="Q152" s="196">
        <f t="shared" si="170"/>
        <v>0</v>
      </c>
      <c r="R152" s="196">
        <f t="shared" si="171"/>
        <v>0</v>
      </c>
      <c r="S152" s="196">
        <f t="shared" si="172"/>
        <v>0</v>
      </c>
      <c r="T152" s="196">
        <f t="shared" si="173"/>
        <v>0</v>
      </c>
      <c r="U152" s="185">
        <f>(C152&gt;0)*(C152&lt;$E$5)*VLOOKUP(MPP,ASUMSI!$BN$77:$CR$108,B152+1)*(1+$V$4)</f>
        <v>0</v>
      </c>
      <c r="V152" s="196">
        <f t="shared" si="174"/>
        <v>0</v>
      </c>
      <c r="W152" s="196">
        <f t="shared" si="175"/>
        <v>0</v>
      </c>
      <c r="X152" s="196">
        <f t="shared" si="176"/>
        <v>0</v>
      </c>
      <c r="Y152" s="196">
        <f t="shared" si="177"/>
        <v>0</v>
      </c>
      <c r="Z152" s="196">
        <f t="shared" si="178"/>
        <v>0</v>
      </c>
      <c r="AA152" s="185">
        <f t="shared" si="179"/>
        <v>0</v>
      </c>
      <c r="AB152" s="196">
        <f t="shared" si="180"/>
        <v>0</v>
      </c>
      <c r="AC152" s="196">
        <f t="shared" si="181"/>
        <v>0</v>
      </c>
      <c r="AD152" s="196">
        <f t="shared" si="182"/>
        <v>0</v>
      </c>
      <c r="AE152" s="196">
        <f t="shared" si="183"/>
        <v>0</v>
      </c>
      <c r="AF152" s="196">
        <f t="shared" si="184"/>
        <v>0</v>
      </c>
      <c r="AG152" s="196">
        <f t="shared" si="185"/>
        <v>0</v>
      </c>
      <c r="AH152" s="196">
        <f t="shared" si="186"/>
        <v>0</v>
      </c>
      <c r="AI152" s="266">
        <f>'DATA INPUT - DETAIL'!R143</f>
        <v>0</v>
      </c>
      <c r="AJ152" s="266">
        <f>'DATA INPUT - DETAIL'!S143</f>
        <v>0</v>
      </c>
      <c r="AK152" s="266">
        <f>'DATA INPUT - DETAIL'!T143</f>
        <v>0</v>
      </c>
      <c r="AL152" s="266">
        <f>'DATA INPUT - DETAIL'!U143</f>
        <v>0</v>
      </c>
      <c r="AM152" s="266">
        <f>'DATA INPUT - DETAIL'!V143</f>
        <v>0</v>
      </c>
      <c r="AN152" s="266">
        <f>'DATA INPUT - DETAIL'!W143</f>
        <v>0</v>
      </c>
      <c r="AO152" s="198">
        <f t="shared" si="187"/>
        <v>0</v>
      </c>
      <c r="AP152" s="266">
        <f>'DATA INPUT - DETAIL'!X143</f>
        <v>0</v>
      </c>
      <c r="AQ152" s="266">
        <f>'DATA INPUT - DETAIL'!Y143</f>
        <v>0</v>
      </c>
      <c r="AR152" s="266">
        <f>'DATA INPUT - DETAIL'!Z143</f>
        <v>0</v>
      </c>
      <c r="AS152" s="266">
        <f>'DATA INPUT - DETAIL'!AD143</f>
        <v>0</v>
      </c>
      <c r="AT152" s="266">
        <f t="shared" si="188"/>
        <v>0</v>
      </c>
      <c r="AU152" s="206">
        <f>'DATA INPUT - DETAIL'!AA143</f>
        <v>0</v>
      </c>
      <c r="AV152" s="206">
        <f>'DATA INPUT - DETAIL'!AB143</f>
        <v>0</v>
      </c>
      <c r="AW152" s="206">
        <f>'DATA INPUT - DETAIL'!AC143</f>
        <v>0</v>
      </c>
      <c r="AX152" s="206">
        <f t="shared" si="189"/>
        <v>0</v>
      </c>
      <c r="AY152" s="206">
        <f t="shared" si="190"/>
        <v>0</v>
      </c>
      <c r="AZ152" s="206">
        <f t="shared" si="191"/>
        <v>0</v>
      </c>
      <c r="BA152" s="206">
        <f t="shared" si="192"/>
        <v>0</v>
      </c>
      <c r="BB152" s="206">
        <f t="shared" si="193"/>
        <v>0</v>
      </c>
      <c r="BC152" s="206">
        <f t="shared" si="194"/>
        <v>0</v>
      </c>
      <c r="BD152" s="206">
        <f t="shared" si="195"/>
        <v>0</v>
      </c>
      <c r="BE152" s="206">
        <f t="shared" si="196"/>
        <v>0</v>
      </c>
      <c r="BF152" s="206">
        <f t="shared" si="197"/>
        <v>0</v>
      </c>
      <c r="BG152" s="206">
        <f t="shared" si="198"/>
        <v>0</v>
      </c>
      <c r="BH152" s="206">
        <f t="shared" si="199"/>
        <v>0</v>
      </c>
      <c r="BI152" s="206">
        <f t="shared" si="200"/>
        <v>0</v>
      </c>
      <c r="BJ152" s="266">
        <f t="shared" si="201"/>
        <v>0</v>
      </c>
      <c r="BK152" s="266">
        <f t="shared" si="202"/>
        <v>0</v>
      </c>
      <c r="BL152" s="192">
        <f t="shared" si="203"/>
        <v>0</v>
      </c>
      <c r="BM152" s="192">
        <f t="shared" si="204"/>
        <v>0</v>
      </c>
      <c r="BN152" s="192">
        <f t="shared" si="205"/>
        <v>0</v>
      </c>
      <c r="BO152" s="192">
        <f t="shared" si="206"/>
        <v>0</v>
      </c>
      <c r="BP152" s="192">
        <f t="shared" si="207"/>
        <v>0</v>
      </c>
      <c r="BQ152" s="193">
        <f t="shared" si="208"/>
        <v>0</v>
      </c>
      <c r="BR152" s="193">
        <f t="shared" si="209"/>
        <v>0</v>
      </c>
      <c r="BS152" s="265">
        <f t="shared" si="210"/>
        <v>0</v>
      </c>
      <c r="BT152" s="265">
        <f t="shared" si="211"/>
        <v>0</v>
      </c>
      <c r="BU152" s="265">
        <f t="shared" si="212"/>
        <v>0</v>
      </c>
      <c r="BV152" s="265">
        <f t="shared" si="213"/>
        <v>0</v>
      </c>
      <c r="BW152" s="265">
        <f t="shared" si="214"/>
        <v>0</v>
      </c>
      <c r="BX152" s="265">
        <f t="shared" si="215"/>
        <v>0</v>
      </c>
      <c r="BY152" s="265">
        <f t="shared" si="216"/>
        <v>0</v>
      </c>
      <c r="BZ152" s="265">
        <f t="shared" si="217"/>
        <v>0</v>
      </c>
      <c r="CA152" s="265">
        <f t="shared" si="218"/>
        <v>0</v>
      </c>
      <c r="CB152" s="269">
        <f t="shared" si="219"/>
        <v>0</v>
      </c>
      <c r="CC152" s="266">
        <f t="shared" si="220"/>
        <v>0</v>
      </c>
      <c r="CD152" s="241"/>
      <c r="CE152" s="198">
        <f t="shared" si="221"/>
        <v>1.3130665566401112E-10</v>
      </c>
      <c r="CF152" s="198">
        <f t="shared" si="224"/>
        <v>0</v>
      </c>
      <c r="CG152" s="198">
        <f t="shared" si="225"/>
        <v>0</v>
      </c>
      <c r="CH152" s="198">
        <f t="shared" si="226"/>
        <v>0</v>
      </c>
      <c r="CI152" s="198">
        <f t="shared" si="227"/>
        <v>0</v>
      </c>
      <c r="CJ152" s="198">
        <f t="shared" si="228"/>
        <v>0</v>
      </c>
      <c r="CK152" s="198">
        <f t="shared" si="229"/>
        <v>0</v>
      </c>
      <c r="CL152" s="198">
        <f t="shared" si="230"/>
        <v>5.7361257571685741E-13</v>
      </c>
      <c r="CM152" s="271">
        <f t="shared" si="231"/>
        <v>0</v>
      </c>
      <c r="CN152" s="198">
        <f t="shared" si="232"/>
        <v>1.3188026823972797E-10</v>
      </c>
      <c r="CO152" s="209">
        <f t="shared" si="222"/>
        <v>1.3130665566401112E-10</v>
      </c>
    </row>
    <row r="153" spans="2:93" x14ac:dyDescent="0.2">
      <c r="B153" s="221">
        <f>'DATA INPUT - DETAIL'!D144</f>
        <v>0</v>
      </c>
      <c r="C153" s="211">
        <f>'DATA INPUT - DETAIL'!E144</f>
        <v>0</v>
      </c>
      <c r="D153" s="257">
        <f>'DATA INPUT - DETAIL'!I144</f>
        <v>0</v>
      </c>
      <c r="E153" s="258">
        <f>'DATA INPUT - DETAIL'!K144</f>
        <v>0</v>
      </c>
      <c r="F153" s="258">
        <f>'DATA INPUT - DETAIL'!L144</f>
        <v>0</v>
      </c>
      <c r="G153" s="179">
        <f>'DATA INPUT - DETAIL'!M144*(1+$V$5)</f>
        <v>0</v>
      </c>
      <c r="H153" s="179">
        <f>'DATA INPUT - DETAIL'!N144*(1+$V$5)</f>
        <v>0</v>
      </c>
      <c r="I153" s="258">
        <f t="shared" si="166"/>
        <v>0</v>
      </c>
      <c r="J153" s="258">
        <f>'DATA INPUT - DETAIL'!O144</f>
        <v>0</v>
      </c>
      <c r="K153" s="258">
        <f>'DATA INPUT - DETAIL'!P144</f>
        <v>0</v>
      </c>
      <c r="L153" s="267">
        <f>ROUNDDOWN('DATA INPUT - DETAIL'!G144,0)</f>
        <v>0</v>
      </c>
      <c r="M153" s="196">
        <f t="shared" si="223"/>
        <v>0</v>
      </c>
      <c r="N153" s="196">
        <f t="shared" si="167"/>
        <v>0</v>
      </c>
      <c r="O153" s="196">
        <f t="shared" si="168"/>
        <v>0</v>
      </c>
      <c r="P153" s="196">
        <f t="shared" si="169"/>
        <v>0</v>
      </c>
      <c r="Q153" s="196">
        <f t="shared" si="170"/>
        <v>0</v>
      </c>
      <c r="R153" s="196">
        <f t="shared" si="171"/>
        <v>0</v>
      </c>
      <c r="S153" s="196">
        <f t="shared" si="172"/>
        <v>0</v>
      </c>
      <c r="T153" s="196">
        <f t="shared" si="173"/>
        <v>0</v>
      </c>
      <c r="U153" s="185">
        <f>(C153&gt;0)*(C153&lt;$E$5)*VLOOKUP(MPP,ASUMSI!$BN$77:$CR$108,B153+1)*(1+$V$4)</f>
        <v>0</v>
      </c>
      <c r="V153" s="196">
        <f t="shared" si="174"/>
        <v>0</v>
      </c>
      <c r="W153" s="196">
        <f t="shared" si="175"/>
        <v>0</v>
      </c>
      <c r="X153" s="196">
        <f t="shared" si="176"/>
        <v>0</v>
      </c>
      <c r="Y153" s="196">
        <f t="shared" si="177"/>
        <v>0</v>
      </c>
      <c r="Z153" s="196">
        <f t="shared" si="178"/>
        <v>0</v>
      </c>
      <c r="AA153" s="185">
        <f t="shared" si="179"/>
        <v>0</v>
      </c>
      <c r="AB153" s="196">
        <f t="shared" si="180"/>
        <v>0</v>
      </c>
      <c r="AC153" s="196">
        <f t="shared" si="181"/>
        <v>0</v>
      </c>
      <c r="AD153" s="196">
        <f t="shared" si="182"/>
        <v>0</v>
      </c>
      <c r="AE153" s="196">
        <f t="shared" si="183"/>
        <v>0</v>
      </c>
      <c r="AF153" s="196">
        <f t="shared" si="184"/>
        <v>0</v>
      </c>
      <c r="AG153" s="196">
        <f t="shared" si="185"/>
        <v>0</v>
      </c>
      <c r="AH153" s="196">
        <f t="shared" si="186"/>
        <v>0</v>
      </c>
      <c r="AI153" s="266">
        <f>'DATA INPUT - DETAIL'!R144</f>
        <v>0</v>
      </c>
      <c r="AJ153" s="266">
        <f>'DATA INPUT - DETAIL'!S144</f>
        <v>0</v>
      </c>
      <c r="AK153" s="266">
        <f>'DATA INPUT - DETAIL'!T144</f>
        <v>0</v>
      </c>
      <c r="AL153" s="266">
        <f>'DATA INPUT - DETAIL'!U144</f>
        <v>0</v>
      </c>
      <c r="AM153" s="266">
        <f>'DATA INPUT - DETAIL'!V144</f>
        <v>0</v>
      </c>
      <c r="AN153" s="266">
        <f>'DATA INPUT - DETAIL'!W144</f>
        <v>0</v>
      </c>
      <c r="AO153" s="198">
        <f t="shared" si="187"/>
        <v>0</v>
      </c>
      <c r="AP153" s="266">
        <f>'DATA INPUT - DETAIL'!X144</f>
        <v>0</v>
      </c>
      <c r="AQ153" s="266">
        <f>'DATA INPUT - DETAIL'!Y144</f>
        <v>0</v>
      </c>
      <c r="AR153" s="266">
        <f>'DATA INPUT - DETAIL'!Z144</f>
        <v>0</v>
      </c>
      <c r="AS153" s="266">
        <f>'DATA INPUT - DETAIL'!AD144</f>
        <v>0</v>
      </c>
      <c r="AT153" s="266">
        <f t="shared" si="188"/>
        <v>0</v>
      </c>
      <c r="AU153" s="206">
        <f>'DATA INPUT - DETAIL'!AA144</f>
        <v>0</v>
      </c>
      <c r="AV153" s="206">
        <f>'DATA INPUT - DETAIL'!AB144</f>
        <v>0</v>
      </c>
      <c r="AW153" s="206">
        <f>'DATA INPUT - DETAIL'!AC144</f>
        <v>0</v>
      </c>
      <c r="AX153" s="206">
        <f t="shared" si="189"/>
        <v>0</v>
      </c>
      <c r="AY153" s="206">
        <f t="shared" si="190"/>
        <v>0</v>
      </c>
      <c r="AZ153" s="206">
        <f t="shared" si="191"/>
        <v>0</v>
      </c>
      <c r="BA153" s="206">
        <f t="shared" si="192"/>
        <v>0</v>
      </c>
      <c r="BB153" s="206">
        <f t="shared" si="193"/>
        <v>0</v>
      </c>
      <c r="BC153" s="206">
        <f t="shared" si="194"/>
        <v>0</v>
      </c>
      <c r="BD153" s="206">
        <f t="shared" si="195"/>
        <v>0</v>
      </c>
      <c r="BE153" s="206">
        <f t="shared" si="196"/>
        <v>0</v>
      </c>
      <c r="BF153" s="206">
        <f t="shared" si="197"/>
        <v>0</v>
      </c>
      <c r="BG153" s="206">
        <f t="shared" si="198"/>
        <v>0</v>
      </c>
      <c r="BH153" s="206">
        <f t="shared" si="199"/>
        <v>0</v>
      </c>
      <c r="BI153" s="206">
        <f t="shared" si="200"/>
        <v>0</v>
      </c>
      <c r="BJ153" s="266">
        <f t="shared" si="201"/>
        <v>0</v>
      </c>
      <c r="BK153" s="266">
        <f t="shared" si="202"/>
        <v>0</v>
      </c>
      <c r="BL153" s="192">
        <f t="shared" si="203"/>
        <v>0</v>
      </c>
      <c r="BM153" s="192">
        <f t="shared" si="204"/>
        <v>0</v>
      </c>
      <c r="BN153" s="192">
        <f t="shared" si="205"/>
        <v>0</v>
      </c>
      <c r="BO153" s="192">
        <f t="shared" si="206"/>
        <v>0</v>
      </c>
      <c r="BP153" s="192">
        <f t="shared" si="207"/>
        <v>0</v>
      </c>
      <c r="BQ153" s="193">
        <f t="shared" si="208"/>
        <v>0</v>
      </c>
      <c r="BR153" s="193">
        <f t="shared" si="209"/>
        <v>0</v>
      </c>
      <c r="BS153" s="265">
        <f t="shared" si="210"/>
        <v>0</v>
      </c>
      <c r="BT153" s="265">
        <f t="shared" si="211"/>
        <v>0</v>
      </c>
      <c r="BU153" s="265">
        <f t="shared" si="212"/>
        <v>0</v>
      </c>
      <c r="BV153" s="265">
        <f t="shared" si="213"/>
        <v>0</v>
      </c>
      <c r="BW153" s="265">
        <f t="shared" si="214"/>
        <v>0</v>
      </c>
      <c r="BX153" s="265">
        <f t="shared" si="215"/>
        <v>0</v>
      </c>
      <c r="BY153" s="265">
        <f t="shared" si="216"/>
        <v>0</v>
      </c>
      <c r="BZ153" s="265">
        <f t="shared" si="217"/>
        <v>0</v>
      </c>
      <c r="CA153" s="265">
        <f t="shared" si="218"/>
        <v>0</v>
      </c>
      <c r="CB153" s="269">
        <f t="shared" si="219"/>
        <v>0</v>
      </c>
      <c r="CC153" s="266">
        <f t="shared" si="220"/>
        <v>0</v>
      </c>
      <c r="CD153" s="241"/>
      <c r="CE153" s="198">
        <f t="shared" si="221"/>
        <v>1.3188026823972797E-10</v>
      </c>
      <c r="CF153" s="198">
        <f t="shared" si="224"/>
        <v>0</v>
      </c>
      <c r="CG153" s="198">
        <f t="shared" si="225"/>
        <v>0</v>
      </c>
      <c r="CH153" s="198">
        <f t="shared" si="226"/>
        <v>0</v>
      </c>
      <c r="CI153" s="198">
        <f t="shared" si="227"/>
        <v>0</v>
      </c>
      <c r="CJ153" s="198">
        <f t="shared" si="228"/>
        <v>0</v>
      </c>
      <c r="CK153" s="198">
        <f t="shared" si="229"/>
        <v>0</v>
      </c>
      <c r="CL153" s="198">
        <f t="shared" si="230"/>
        <v>5.7611839985316358E-13</v>
      </c>
      <c r="CM153" s="271">
        <f t="shared" si="231"/>
        <v>0</v>
      </c>
      <c r="CN153" s="198">
        <f t="shared" si="232"/>
        <v>1.3245638663958114E-10</v>
      </c>
      <c r="CO153" s="209">
        <f t="shared" si="222"/>
        <v>1.3188026823972797E-10</v>
      </c>
    </row>
    <row r="154" spans="2:93" x14ac:dyDescent="0.2">
      <c r="B154" s="221">
        <f>'DATA INPUT - DETAIL'!D145</f>
        <v>0</v>
      </c>
      <c r="C154" s="211">
        <f>'DATA INPUT - DETAIL'!E145</f>
        <v>0</v>
      </c>
      <c r="D154" s="257">
        <f>'DATA INPUT - DETAIL'!I145</f>
        <v>0</v>
      </c>
      <c r="E154" s="258">
        <f>'DATA INPUT - DETAIL'!K145</f>
        <v>0</v>
      </c>
      <c r="F154" s="258">
        <f>'DATA INPUT - DETAIL'!L145</f>
        <v>0</v>
      </c>
      <c r="G154" s="179">
        <f>'DATA INPUT - DETAIL'!M145*(1+$V$5)</f>
        <v>0</v>
      </c>
      <c r="H154" s="179">
        <f>'DATA INPUT - DETAIL'!N145*(1+$V$5)</f>
        <v>0</v>
      </c>
      <c r="I154" s="258">
        <f t="shared" si="166"/>
        <v>0</v>
      </c>
      <c r="J154" s="258">
        <f>'DATA INPUT - DETAIL'!O145</f>
        <v>0</v>
      </c>
      <c r="K154" s="258">
        <f>'DATA INPUT - DETAIL'!P145</f>
        <v>0</v>
      </c>
      <c r="L154" s="267">
        <f>ROUNDDOWN('DATA INPUT - DETAIL'!G145,0)</f>
        <v>0</v>
      </c>
      <c r="M154" s="196">
        <f t="shared" si="223"/>
        <v>0</v>
      </c>
      <c r="N154" s="196">
        <f t="shared" si="167"/>
        <v>0</v>
      </c>
      <c r="O154" s="196">
        <f t="shared" si="168"/>
        <v>0</v>
      </c>
      <c r="P154" s="196">
        <f t="shared" si="169"/>
        <v>0</v>
      </c>
      <c r="Q154" s="196">
        <f t="shared" si="170"/>
        <v>0</v>
      </c>
      <c r="R154" s="196">
        <f t="shared" si="171"/>
        <v>0</v>
      </c>
      <c r="S154" s="196">
        <f t="shared" si="172"/>
        <v>0</v>
      </c>
      <c r="T154" s="196">
        <f t="shared" si="173"/>
        <v>0</v>
      </c>
      <c r="U154" s="185">
        <f>(C154&gt;0)*(C154&lt;$E$5)*VLOOKUP(MPP,ASUMSI!$BN$77:$CR$108,B154+1)*(1+$V$4)</f>
        <v>0</v>
      </c>
      <c r="V154" s="196">
        <f t="shared" si="174"/>
        <v>0</v>
      </c>
      <c r="W154" s="196">
        <f t="shared" si="175"/>
        <v>0</v>
      </c>
      <c r="X154" s="196">
        <f t="shared" si="176"/>
        <v>0</v>
      </c>
      <c r="Y154" s="196">
        <f t="shared" si="177"/>
        <v>0</v>
      </c>
      <c r="Z154" s="196">
        <f t="shared" si="178"/>
        <v>0</v>
      </c>
      <c r="AA154" s="185">
        <f t="shared" si="179"/>
        <v>0</v>
      </c>
      <c r="AB154" s="196">
        <f t="shared" si="180"/>
        <v>0</v>
      </c>
      <c r="AC154" s="196">
        <f t="shared" si="181"/>
        <v>0</v>
      </c>
      <c r="AD154" s="196">
        <f t="shared" si="182"/>
        <v>0</v>
      </c>
      <c r="AE154" s="196">
        <f t="shared" si="183"/>
        <v>0</v>
      </c>
      <c r="AF154" s="196">
        <f t="shared" si="184"/>
        <v>0</v>
      </c>
      <c r="AG154" s="196">
        <f t="shared" si="185"/>
        <v>0</v>
      </c>
      <c r="AH154" s="196">
        <f t="shared" si="186"/>
        <v>0</v>
      </c>
      <c r="AI154" s="266">
        <f>'DATA INPUT - DETAIL'!R145</f>
        <v>0</v>
      </c>
      <c r="AJ154" s="266">
        <f>'DATA INPUT - DETAIL'!S145</f>
        <v>0</v>
      </c>
      <c r="AK154" s="266">
        <f>'DATA INPUT - DETAIL'!T145</f>
        <v>0</v>
      </c>
      <c r="AL154" s="266">
        <f>'DATA INPUT - DETAIL'!U145</f>
        <v>0</v>
      </c>
      <c r="AM154" s="266">
        <f>'DATA INPUT - DETAIL'!V145</f>
        <v>0</v>
      </c>
      <c r="AN154" s="266">
        <f>'DATA INPUT - DETAIL'!W145</f>
        <v>0</v>
      </c>
      <c r="AO154" s="198">
        <f t="shared" si="187"/>
        <v>0</v>
      </c>
      <c r="AP154" s="266">
        <f>'DATA INPUT - DETAIL'!X145</f>
        <v>0</v>
      </c>
      <c r="AQ154" s="266">
        <f>'DATA INPUT - DETAIL'!Y145</f>
        <v>0</v>
      </c>
      <c r="AR154" s="266">
        <f>'DATA INPUT - DETAIL'!Z145</f>
        <v>0</v>
      </c>
      <c r="AS154" s="266">
        <f>'DATA INPUT - DETAIL'!AD145</f>
        <v>0</v>
      </c>
      <c r="AT154" s="266">
        <f t="shared" si="188"/>
        <v>0</v>
      </c>
      <c r="AU154" s="206">
        <f>'DATA INPUT - DETAIL'!AA145</f>
        <v>0</v>
      </c>
      <c r="AV154" s="206">
        <f>'DATA INPUT - DETAIL'!AB145</f>
        <v>0</v>
      </c>
      <c r="AW154" s="206">
        <f>'DATA INPUT - DETAIL'!AC145</f>
        <v>0</v>
      </c>
      <c r="AX154" s="206">
        <f t="shared" si="189"/>
        <v>0</v>
      </c>
      <c r="AY154" s="206">
        <f t="shared" si="190"/>
        <v>0</v>
      </c>
      <c r="AZ154" s="206">
        <f t="shared" si="191"/>
        <v>0</v>
      </c>
      <c r="BA154" s="206">
        <f t="shared" si="192"/>
        <v>0</v>
      </c>
      <c r="BB154" s="206">
        <f t="shared" si="193"/>
        <v>0</v>
      </c>
      <c r="BC154" s="206">
        <f t="shared" si="194"/>
        <v>0</v>
      </c>
      <c r="BD154" s="206">
        <f t="shared" si="195"/>
        <v>0</v>
      </c>
      <c r="BE154" s="206">
        <f t="shared" si="196"/>
        <v>0</v>
      </c>
      <c r="BF154" s="206">
        <f t="shared" si="197"/>
        <v>0</v>
      </c>
      <c r="BG154" s="206">
        <f t="shared" si="198"/>
        <v>0</v>
      </c>
      <c r="BH154" s="206">
        <f t="shared" si="199"/>
        <v>0</v>
      </c>
      <c r="BI154" s="206">
        <f t="shared" si="200"/>
        <v>0</v>
      </c>
      <c r="BJ154" s="266">
        <f t="shared" si="201"/>
        <v>0</v>
      </c>
      <c r="BK154" s="266">
        <f t="shared" si="202"/>
        <v>0</v>
      </c>
      <c r="BL154" s="192">
        <f t="shared" si="203"/>
        <v>0</v>
      </c>
      <c r="BM154" s="192">
        <f t="shared" si="204"/>
        <v>0</v>
      </c>
      <c r="BN154" s="192">
        <f t="shared" si="205"/>
        <v>0</v>
      </c>
      <c r="BO154" s="192">
        <f t="shared" si="206"/>
        <v>0</v>
      </c>
      <c r="BP154" s="192">
        <f t="shared" si="207"/>
        <v>0</v>
      </c>
      <c r="BQ154" s="193">
        <f t="shared" si="208"/>
        <v>0</v>
      </c>
      <c r="BR154" s="193">
        <f t="shared" si="209"/>
        <v>0</v>
      </c>
      <c r="BS154" s="265">
        <f t="shared" si="210"/>
        <v>0</v>
      </c>
      <c r="BT154" s="265">
        <f t="shared" si="211"/>
        <v>0</v>
      </c>
      <c r="BU154" s="265">
        <f t="shared" si="212"/>
        <v>0</v>
      </c>
      <c r="BV154" s="265">
        <f t="shared" si="213"/>
        <v>0</v>
      </c>
      <c r="BW154" s="265">
        <f t="shared" si="214"/>
        <v>0</v>
      </c>
      <c r="BX154" s="265">
        <f t="shared" si="215"/>
        <v>0</v>
      </c>
      <c r="BY154" s="265">
        <f t="shared" si="216"/>
        <v>0</v>
      </c>
      <c r="BZ154" s="265">
        <f t="shared" si="217"/>
        <v>0</v>
      </c>
      <c r="CA154" s="265">
        <f t="shared" si="218"/>
        <v>0</v>
      </c>
      <c r="CB154" s="269">
        <f t="shared" si="219"/>
        <v>0</v>
      </c>
      <c r="CC154" s="266">
        <f t="shared" si="220"/>
        <v>0</v>
      </c>
      <c r="CD154" s="241"/>
      <c r="CE154" s="198">
        <f t="shared" si="221"/>
        <v>1.3245638663958114E-10</v>
      </c>
      <c r="CF154" s="198">
        <f t="shared" si="224"/>
        <v>0</v>
      </c>
      <c r="CG154" s="198">
        <f t="shared" si="225"/>
        <v>0</v>
      </c>
      <c r="CH154" s="198">
        <f t="shared" si="226"/>
        <v>0</v>
      </c>
      <c r="CI154" s="198">
        <f t="shared" si="227"/>
        <v>0</v>
      </c>
      <c r="CJ154" s="198">
        <f t="shared" si="228"/>
        <v>0</v>
      </c>
      <c r="CK154" s="198">
        <f t="shared" si="229"/>
        <v>0</v>
      </c>
      <c r="CL154" s="198">
        <f t="shared" si="230"/>
        <v>5.786351706717218E-13</v>
      </c>
      <c r="CM154" s="271">
        <f t="shared" si="231"/>
        <v>0</v>
      </c>
      <c r="CN154" s="198">
        <f t="shared" si="232"/>
        <v>1.3303502181025285E-10</v>
      </c>
      <c r="CO154" s="209">
        <f t="shared" si="222"/>
        <v>1.3245638663958114E-10</v>
      </c>
    </row>
    <row r="155" spans="2:93" x14ac:dyDescent="0.2">
      <c r="B155" s="221">
        <f>'DATA INPUT - DETAIL'!D146</f>
        <v>0</v>
      </c>
      <c r="C155" s="211">
        <f>'DATA INPUT - DETAIL'!E146</f>
        <v>0</v>
      </c>
      <c r="D155" s="257">
        <f>'DATA INPUT - DETAIL'!I146</f>
        <v>0</v>
      </c>
      <c r="E155" s="258">
        <f>'DATA INPUT - DETAIL'!K146</f>
        <v>0</v>
      </c>
      <c r="F155" s="258">
        <f>'DATA INPUT - DETAIL'!L146</f>
        <v>0</v>
      </c>
      <c r="G155" s="179">
        <f>'DATA INPUT - DETAIL'!M146*(1+$V$5)</f>
        <v>0</v>
      </c>
      <c r="H155" s="179">
        <f>'DATA INPUT - DETAIL'!N146*(1+$V$5)</f>
        <v>0</v>
      </c>
      <c r="I155" s="258">
        <f t="shared" si="166"/>
        <v>0</v>
      </c>
      <c r="J155" s="258">
        <f>'DATA INPUT - DETAIL'!O146</f>
        <v>0</v>
      </c>
      <c r="K155" s="258">
        <f>'DATA INPUT - DETAIL'!P146</f>
        <v>0</v>
      </c>
      <c r="L155" s="267">
        <f>ROUNDDOWN('DATA INPUT - DETAIL'!G146,0)</f>
        <v>0</v>
      </c>
      <c r="M155" s="196">
        <f t="shared" si="223"/>
        <v>0</v>
      </c>
      <c r="N155" s="196">
        <f t="shared" si="167"/>
        <v>0</v>
      </c>
      <c r="O155" s="196">
        <f t="shared" si="168"/>
        <v>0</v>
      </c>
      <c r="P155" s="196">
        <f t="shared" si="169"/>
        <v>0</v>
      </c>
      <c r="Q155" s="196">
        <f t="shared" si="170"/>
        <v>0</v>
      </c>
      <c r="R155" s="196">
        <f t="shared" si="171"/>
        <v>0</v>
      </c>
      <c r="S155" s="196">
        <f t="shared" si="172"/>
        <v>0</v>
      </c>
      <c r="T155" s="196">
        <f t="shared" si="173"/>
        <v>0</v>
      </c>
      <c r="U155" s="185">
        <f>(C155&gt;0)*(C155&lt;$E$5)*VLOOKUP(MPP,ASUMSI!$BN$77:$CR$108,B155+1)*(1+$V$4)</f>
        <v>0</v>
      </c>
      <c r="V155" s="196">
        <f t="shared" si="174"/>
        <v>0</v>
      </c>
      <c r="W155" s="196">
        <f t="shared" si="175"/>
        <v>0</v>
      </c>
      <c r="X155" s="196">
        <f t="shared" si="176"/>
        <v>0</v>
      </c>
      <c r="Y155" s="196">
        <f t="shared" si="177"/>
        <v>0</v>
      </c>
      <c r="Z155" s="196">
        <f t="shared" si="178"/>
        <v>0</v>
      </c>
      <c r="AA155" s="185">
        <f t="shared" si="179"/>
        <v>0</v>
      </c>
      <c r="AB155" s="196">
        <f t="shared" si="180"/>
        <v>0</v>
      </c>
      <c r="AC155" s="196">
        <f t="shared" si="181"/>
        <v>0</v>
      </c>
      <c r="AD155" s="196">
        <f t="shared" si="182"/>
        <v>0</v>
      </c>
      <c r="AE155" s="196">
        <f t="shared" si="183"/>
        <v>0</v>
      </c>
      <c r="AF155" s="196">
        <f t="shared" si="184"/>
        <v>0</v>
      </c>
      <c r="AG155" s="196">
        <f t="shared" si="185"/>
        <v>0</v>
      </c>
      <c r="AH155" s="196">
        <f t="shared" si="186"/>
        <v>0</v>
      </c>
      <c r="AI155" s="266">
        <f>'DATA INPUT - DETAIL'!R146</f>
        <v>0</v>
      </c>
      <c r="AJ155" s="266">
        <f>'DATA INPUT - DETAIL'!S146</f>
        <v>0</v>
      </c>
      <c r="AK155" s="266">
        <f>'DATA INPUT - DETAIL'!T146</f>
        <v>0</v>
      </c>
      <c r="AL155" s="266">
        <f>'DATA INPUT - DETAIL'!U146</f>
        <v>0</v>
      </c>
      <c r="AM155" s="266">
        <f>'DATA INPUT - DETAIL'!V146</f>
        <v>0</v>
      </c>
      <c r="AN155" s="266">
        <f>'DATA INPUT - DETAIL'!W146</f>
        <v>0</v>
      </c>
      <c r="AO155" s="198">
        <f t="shared" si="187"/>
        <v>0</v>
      </c>
      <c r="AP155" s="266">
        <f>'DATA INPUT - DETAIL'!X146</f>
        <v>0</v>
      </c>
      <c r="AQ155" s="266">
        <f>'DATA INPUT - DETAIL'!Y146</f>
        <v>0</v>
      </c>
      <c r="AR155" s="266">
        <f>'DATA INPUT - DETAIL'!Z146</f>
        <v>0</v>
      </c>
      <c r="AS155" s="266">
        <f>'DATA INPUT - DETAIL'!AD146</f>
        <v>0</v>
      </c>
      <c r="AT155" s="266">
        <f t="shared" si="188"/>
        <v>0</v>
      </c>
      <c r="AU155" s="206">
        <f>'DATA INPUT - DETAIL'!AA146</f>
        <v>0</v>
      </c>
      <c r="AV155" s="206">
        <f>'DATA INPUT - DETAIL'!AB146</f>
        <v>0</v>
      </c>
      <c r="AW155" s="206">
        <f>'DATA INPUT - DETAIL'!AC146</f>
        <v>0</v>
      </c>
      <c r="AX155" s="206">
        <f t="shared" si="189"/>
        <v>0</v>
      </c>
      <c r="AY155" s="206">
        <f t="shared" si="190"/>
        <v>0</v>
      </c>
      <c r="AZ155" s="206">
        <f t="shared" si="191"/>
        <v>0</v>
      </c>
      <c r="BA155" s="206">
        <f t="shared" si="192"/>
        <v>0</v>
      </c>
      <c r="BB155" s="206">
        <f t="shared" si="193"/>
        <v>0</v>
      </c>
      <c r="BC155" s="206">
        <f t="shared" si="194"/>
        <v>0</v>
      </c>
      <c r="BD155" s="206">
        <f t="shared" si="195"/>
        <v>0</v>
      </c>
      <c r="BE155" s="206">
        <f t="shared" si="196"/>
        <v>0</v>
      </c>
      <c r="BF155" s="206">
        <f t="shared" si="197"/>
        <v>0</v>
      </c>
      <c r="BG155" s="206">
        <f t="shared" si="198"/>
        <v>0</v>
      </c>
      <c r="BH155" s="206">
        <f t="shared" si="199"/>
        <v>0</v>
      </c>
      <c r="BI155" s="206">
        <f t="shared" si="200"/>
        <v>0</v>
      </c>
      <c r="BJ155" s="266">
        <f t="shared" si="201"/>
        <v>0</v>
      </c>
      <c r="BK155" s="266">
        <f t="shared" si="202"/>
        <v>0</v>
      </c>
      <c r="BL155" s="192">
        <f t="shared" si="203"/>
        <v>0</v>
      </c>
      <c r="BM155" s="192">
        <f t="shared" si="204"/>
        <v>0</v>
      </c>
      <c r="BN155" s="192">
        <f t="shared" si="205"/>
        <v>0</v>
      </c>
      <c r="BO155" s="192">
        <f t="shared" si="206"/>
        <v>0</v>
      </c>
      <c r="BP155" s="192">
        <f t="shared" si="207"/>
        <v>0</v>
      </c>
      <c r="BQ155" s="193">
        <f t="shared" si="208"/>
        <v>0</v>
      </c>
      <c r="BR155" s="193">
        <f t="shared" si="209"/>
        <v>0</v>
      </c>
      <c r="BS155" s="265">
        <f t="shared" si="210"/>
        <v>0</v>
      </c>
      <c r="BT155" s="265">
        <f t="shared" si="211"/>
        <v>0</v>
      </c>
      <c r="BU155" s="265">
        <f t="shared" si="212"/>
        <v>0</v>
      </c>
      <c r="BV155" s="265">
        <f t="shared" si="213"/>
        <v>0</v>
      </c>
      <c r="BW155" s="265">
        <f t="shared" si="214"/>
        <v>0</v>
      </c>
      <c r="BX155" s="265">
        <f t="shared" si="215"/>
        <v>0</v>
      </c>
      <c r="BY155" s="265">
        <f t="shared" si="216"/>
        <v>0</v>
      </c>
      <c r="BZ155" s="265">
        <f t="shared" si="217"/>
        <v>0</v>
      </c>
      <c r="CA155" s="265">
        <f t="shared" si="218"/>
        <v>0</v>
      </c>
      <c r="CB155" s="269">
        <f t="shared" si="219"/>
        <v>0</v>
      </c>
      <c r="CC155" s="266">
        <f t="shared" si="220"/>
        <v>0</v>
      </c>
      <c r="CD155" s="241"/>
      <c r="CE155" s="198">
        <f t="shared" si="221"/>
        <v>1.3303502181025285E-10</v>
      </c>
      <c r="CF155" s="198">
        <f t="shared" si="224"/>
        <v>0</v>
      </c>
      <c r="CG155" s="198">
        <f t="shared" si="225"/>
        <v>0</v>
      </c>
      <c r="CH155" s="198">
        <f t="shared" si="226"/>
        <v>0</v>
      </c>
      <c r="CI155" s="198">
        <f t="shared" si="227"/>
        <v>0</v>
      </c>
      <c r="CJ155" s="198">
        <f t="shared" si="228"/>
        <v>0</v>
      </c>
      <c r="CK155" s="198">
        <f t="shared" si="229"/>
        <v>0</v>
      </c>
      <c r="CL155" s="198">
        <f t="shared" si="230"/>
        <v>5.8116293599306746E-13</v>
      </c>
      <c r="CM155" s="271">
        <f t="shared" si="231"/>
        <v>0</v>
      </c>
      <c r="CN155" s="198">
        <f t="shared" si="232"/>
        <v>1.3361618474624592E-10</v>
      </c>
      <c r="CO155" s="209">
        <f t="shared" si="222"/>
        <v>1.3303502181025285E-10</v>
      </c>
    </row>
    <row r="156" spans="2:93" x14ac:dyDescent="0.2">
      <c r="B156" s="221">
        <f>'DATA INPUT - DETAIL'!D147</f>
        <v>0</v>
      </c>
      <c r="C156" s="211">
        <f>'DATA INPUT - DETAIL'!E147</f>
        <v>0</v>
      </c>
      <c r="D156" s="257">
        <f>'DATA INPUT - DETAIL'!I147</f>
        <v>0</v>
      </c>
      <c r="E156" s="258">
        <f>'DATA INPUT - DETAIL'!K147</f>
        <v>0</v>
      </c>
      <c r="F156" s="258">
        <f>'DATA INPUT - DETAIL'!L147</f>
        <v>0</v>
      </c>
      <c r="G156" s="179">
        <f>'DATA INPUT - DETAIL'!M147*(1+$V$5)</f>
        <v>0</v>
      </c>
      <c r="H156" s="179">
        <f>'DATA INPUT - DETAIL'!N147*(1+$V$5)</f>
        <v>0</v>
      </c>
      <c r="I156" s="258">
        <f t="shared" si="166"/>
        <v>0</v>
      </c>
      <c r="J156" s="258">
        <f>'DATA INPUT - DETAIL'!O147</f>
        <v>0</v>
      </c>
      <c r="K156" s="258">
        <f>'DATA INPUT - DETAIL'!P147</f>
        <v>0</v>
      </c>
      <c r="L156" s="267">
        <f>ROUNDDOWN('DATA INPUT - DETAIL'!G147,0)</f>
        <v>0</v>
      </c>
      <c r="M156" s="196">
        <f t="shared" si="223"/>
        <v>0</v>
      </c>
      <c r="N156" s="196">
        <f t="shared" si="167"/>
        <v>0</v>
      </c>
      <c r="O156" s="196">
        <f t="shared" si="168"/>
        <v>0</v>
      </c>
      <c r="P156" s="196">
        <f t="shared" si="169"/>
        <v>0</v>
      </c>
      <c r="Q156" s="196">
        <f t="shared" si="170"/>
        <v>0</v>
      </c>
      <c r="R156" s="196">
        <f t="shared" si="171"/>
        <v>0</v>
      </c>
      <c r="S156" s="196">
        <f t="shared" si="172"/>
        <v>0</v>
      </c>
      <c r="T156" s="196">
        <f t="shared" si="173"/>
        <v>0</v>
      </c>
      <c r="U156" s="185">
        <f>(C156&gt;0)*(C156&lt;$E$5)*VLOOKUP(MPP,ASUMSI!$BN$77:$CR$108,B156+1)*(1+$V$4)</f>
        <v>0</v>
      </c>
      <c r="V156" s="196">
        <f t="shared" si="174"/>
        <v>0</v>
      </c>
      <c r="W156" s="196">
        <f t="shared" si="175"/>
        <v>0</v>
      </c>
      <c r="X156" s="196">
        <f t="shared" si="176"/>
        <v>0</v>
      </c>
      <c r="Y156" s="196">
        <f t="shared" si="177"/>
        <v>0</v>
      </c>
      <c r="Z156" s="196">
        <f t="shared" si="178"/>
        <v>0</v>
      </c>
      <c r="AA156" s="185">
        <f t="shared" si="179"/>
        <v>0</v>
      </c>
      <c r="AB156" s="196">
        <f t="shared" si="180"/>
        <v>0</v>
      </c>
      <c r="AC156" s="196">
        <f t="shared" si="181"/>
        <v>0</v>
      </c>
      <c r="AD156" s="196">
        <f t="shared" si="182"/>
        <v>0</v>
      </c>
      <c r="AE156" s="196">
        <f t="shared" si="183"/>
        <v>0</v>
      </c>
      <c r="AF156" s="196">
        <f t="shared" si="184"/>
        <v>0</v>
      </c>
      <c r="AG156" s="196">
        <f t="shared" si="185"/>
        <v>0</v>
      </c>
      <c r="AH156" s="196">
        <f t="shared" si="186"/>
        <v>0</v>
      </c>
      <c r="AI156" s="266">
        <f>'DATA INPUT - DETAIL'!R147</f>
        <v>0</v>
      </c>
      <c r="AJ156" s="266">
        <f>'DATA INPUT - DETAIL'!S147</f>
        <v>0</v>
      </c>
      <c r="AK156" s="266">
        <f>'DATA INPUT - DETAIL'!T147</f>
        <v>0</v>
      </c>
      <c r="AL156" s="266">
        <f>'DATA INPUT - DETAIL'!U147</f>
        <v>0</v>
      </c>
      <c r="AM156" s="266">
        <f>'DATA INPUT - DETAIL'!V147</f>
        <v>0</v>
      </c>
      <c r="AN156" s="266">
        <f>'DATA INPUT - DETAIL'!W147</f>
        <v>0</v>
      </c>
      <c r="AO156" s="198">
        <f t="shared" si="187"/>
        <v>0</v>
      </c>
      <c r="AP156" s="266">
        <f>'DATA INPUT - DETAIL'!X147</f>
        <v>0</v>
      </c>
      <c r="AQ156" s="266">
        <f>'DATA INPUT - DETAIL'!Y147</f>
        <v>0</v>
      </c>
      <c r="AR156" s="266">
        <f>'DATA INPUT - DETAIL'!Z147</f>
        <v>0</v>
      </c>
      <c r="AS156" s="266">
        <f>'DATA INPUT - DETAIL'!AD147</f>
        <v>0</v>
      </c>
      <c r="AT156" s="266">
        <f t="shared" si="188"/>
        <v>0</v>
      </c>
      <c r="AU156" s="206">
        <f>'DATA INPUT - DETAIL'!AA147</f>
        <v>0</v>
      </c>
      <c r="AV156" s="206">
        <f>'DATA INPUT - DETAIL'!AB147</f>
        <v>0</v>
      </c>
      <c r="AW156" s="206">
        <f>'DATA INPUT - DETAIL'!AC147</f>
        <v>0</v>
      </c>
      <c r="AX156" s="206">
        <f t="shared" si="189"/>
        <v>0</v>
      </c>
      <c r="AY156" s="206">
        <f t="shared" si="190"/>
        <v>0</v>
      </c>
      <c r="AZ156" s="206">
        <f t="shared" si="191"/>
        <v>0</v>
      </c>
      <c r="BA156" s="206">
        <f t="shared" si="192"/>
        <v>0</v>
      </c>
      <c r="BB156" s="206">
        <f t="shared" si="193"/>
        <v>0</v>
      </c>
      <c r="BC156" s="206">
        <f t="shared" si="194"/>
        <v>0</v>
      </c>
      <c r="BD156" s="206">
        <f t="shared" si="195"/>
        <v>0</v>
      </c>
      <c r="BE156" s="206">
        <f t="shared" si="196"/>
        <v>0</v>
      </c>
      <c r="BF156" s="206">
        <f t="shared" si="197"/>
        <v>0</v>
      </c>
      <c r="BG156" s="206">
        <f t="shared" si="198"/>
        <v>0</v>
      </c>
      <c r="BH156" s="206">
        <f t="shared" si="199"/>
        <v>0</v>
      </c>
      <c r="BI156" s="206">
        <f t="shared" si="200"/>
        <v>0</v>
      </c>
      <c r="BJ156" s="266">
        <f t="shared" si="201"/>
        <v>0</v>
      </c>
      <c r="BK156" s="266">
        <f t="shared" si="202"/>
        <v>0</v>
      </c>
      <c r="BL156" s="192">
        <f t="shared" si="203"/>
        <v>0</v>
      </c>
      <c r="BM156" s="192">
        <f t="shared" si="204"/>
        <v>0</v>
      </c>
      <c r="BN156" s="192">
        <f t="shared" si="205"/>
        <v>0</v>
      </c>
      <c r="BO156" s="192">
        <f t="shared" si="206"/>
        <v>0</v>
      </c>
      <c r="BP156" s="192">
        <f t="shared" si="207"/>
        <v>0</v>
      </c>
      <c r="BQ156" s="193">
        <f t="shared" si="208"/>
        <v>0</v>
      </c>
      <c r="BR156" s="193">
        <f t="shared" si="209"/>
        <v>0</v>
      </c>
      <c r="BS156" s="265">
        <f t="shared" si="210"/>
        <v>0</v>
      </c>
      <c r="BT156" s="265">
        <f t="shared" si="211"/>
        <v>0</v>
      </c>
      <c r="BU156" s="265">
        <f t="shared" si="212"/>
        <v>0</v>
      </c>
      <c r="BV156" s="265">
        <f t="shared" si="213"/>
        <v>0</v>
      </c>
      <c r="BW156" s="265">
        <f t="shared" si="214"/>
        <v>0</v>
      </c>
      <c r="BX156" s="265">
        <f t="shared" si="215"/>
        <v>0</v>
      </c>
      <c r="BY156" s="265">
        <f t="shared" si="216"/>
        <v>0</v>
      </c>
      <c r="BZ156" s="265">
        <f t="shared" si="217"/>
        <v>0</v>
      </c>
      <c r="CA156" s="265">
        <f t="shared" si="218"/>
        <v>0</v>
      </c>
      <c r="CB156" s="269">
        <f t="shared" si="219"/>
        <v>0</v>
      </c>
      <c r="CC156" s="266">
        <f t="shared" si="220"/>
        <v>0</v>
      </c>
      <c r="CD156" s="241"/>
      <c r="CE156" s="198">
        <f t="shared" si="221"/>
        <v>1.3361618474624592E-10</v>
      </c>
      <c r="CF156" s="198">
        <f t="shared" si="224"/>
        <v>0</v>
      </c>
      <c r="CG156" s="198">
        <f t="shared" si="225"/>
        <v>0</v>
      </c>
      <c r="CH156" s="198">
        <f t="shared" si="226"/>
        <v>0</v>
      </c>
      <c r="CI156" s="198">
        <f t="shared" si="227"/>
        <v>0</v>
      </c>
      <c r="CJ156" s="198">
        <f t="shared" si="228"/>
        <v>0</v>
      </c>
      <c r="CK156" s="198">
        <f t="shared" si="229"/>
        <v>0</v>
      </c>
      <c r="CL156" s="198">
        <f t="shared" si="230"/>
        <v>5.8370174384664021E-13</v>
      </c>
      <c r="CM156" s="271">
        <f t="shared" si="231"/>
        <v>0</v>
      </c>
      <c r="CN156" s="198">
        <f t="shared" si="232"/>
        <v>1.3419988649009256E-10</v>
      </c>
      <c r="CO156" s="209">
        <f t="shared" si="222"/>
        <v>1.3361618474624592E-10</v>
      </c>
    </row>
    <row r="157" spans="2:93" x14ac:dyDescent="0.2">
      <c r="B157" s="221">
        <f>'DATA INPUT - DETAIL'!D148</f>
        <v>0</v>
      </c>
      <c r="C157" s="211">
        <f>'DATA INPUT - DETAIL'!E148</f>
        <v>0</v>
      </c>
      <c r="D157" s="257">
        <f>'DATA INPUT - DETAIL'!I148</f>
        <v>0</v>
      </c>
      <c r="E157" s="258">
        <f>'DATA INPUT - DETAIL'!K148</f>
        <v>0</v>
      </c>
      <c r="F157" s="258">
        <f>'DATA INPUT - DETAIL'!L148</f>
        <v>0</v>
      </c>
      <c r="G157" s="179">
        <f>'DATA INPUT - DETAIL'!M148*(1+$V$5)</f>
        <v>0</v>
      </c>
      <c r="H157" s="179">
        <f>'DATA INPUT - DETAIL'!N148*(1+$V$5)</f>
        <v>0</v>
      </c>
      <c r="I157" s="258">
        <f t="shared" si="166"/>
        <v>0</v>
      </c>
      <c r="J157" s="258">
        <f>'DATA INPUT - DETAIL'!O148</f>
        <v>0</v>
      </c>
      <c r="K157" s="258">
        <f>'DATA INPUT - DETAIL'!P148</f>
        <v>0</v>
      </c>
      <c r="L157" s="267">
        <f>ROUNDDOWN('DATA INPUT - DETAIL'!G148,0)</f>
        <v>0</v>
      </c>
      <c r="M157" s="196">
        <f t="shared" si="223"/>
        <v>0</v>
      </c>
      <c r="N157" s="196">
        <f t="shared" si="167"/>
        <v>0</v>
      </c>
      <c r="O157" s="196">
        <f t="shared" si="168"/>
        <v>0</v>
      </c>
      <c r="P157" s="196">
        <f t="shared" si="169"/>
        <v>0</v>
      </c>
      <c r="Q157" s="196">
        <f t="shared" si="170"/>
        <v>0</v>
      </c>
      <c r="R157" s="196">
        <f t="shared" si="171"/>
        <v>0</v>
      </c>
      <c r="S157" s="196">
        <f t="shared" si="172"/>
        <v>0</v>
      </c>
      <c r="T157" s="196">
        <f t="shared" si="173"/>
        <v>0</v>
      </c>
      <c r="U157" s="185">
        <f>(C157&gt;0)*(C157&lt;$E$5)*VLOOKUP(MPP,ASUMSI!$BN$77:$CR$108,B157+1)*(1+$V$4)</f>
        <v>0</v>
      </c>
      <c r="V157" s="196">
        <f t="shared" si="174"/>
        <v>0</v>
      </c>
      <c r="W157" s="196">
        <f t="shared" si="175"/>
        <v>0</v>
      </c>
      <c r="X157" s="196">
        <f t="shared" si="176"/>
        <v>0</v>
      </c>
      <c r="Y157" s="196">
        <f t="shared" si="177"/>
        <v>0</v>
      </c>
      <c r="Z157" s="196">
        <f t="shared" si="178"/>
        <v>0</v>
      </c>
      <c r="AA157" s="185">
        <f t="shared" si="179"/>
        <v>0</v>
      </c>
      <c r="AB157" s="196">
        <f t="shared" si="180"/>
        <v>0</v>
      </c>
      <c r="AC157" s="196">
        <f t="shared" si="181"/>
        <v>0</v>
      </c>
      <c r="AD157" s="196">
        <f t="shared" si="182"/>
        <v>0</v>
      </c>
      <c r="AE157" s="196">
        <f t="shared" si="183"/>
        <v>0</v>
      </c>
      <c r="AF157" s="196">
        <f t="shared" si="184"/>
        <v>0</v>
      </c>
      <c r="AG157" s="196">
        <f t="shared" si="185"/>
        <v>0</v>
      </c>
      <c r="AH157" s="196">
        <f t="shared" si="186"/>
        <v>0</v>
      </c>
      <c r="AI157" s="266">
        <f>'DATA INPUT - DETAIL'!R148</f>
        <v>0</v>
      </c>
      <c r="AJ157" s="266">
        <f>'DATA INPUT - DETAIL'!S148</f>
        <v>0</v>
      </c>
      <c r="AK157" s="266">
        <f>'DATA INPUT - DETAIL'!T148</f>
        <v>0</v>
      </c>
      <c r="AL157" s="266">
        <f>'DATA INPUT - DETAIL'!U148</f>
        <v>0</v>
      </c>
      <c r="AM157" s="266">
        <f>'DATA INPUT - DETAIL'!V148</f>
        <v>0</v>
      </c>
      <c r="AN157" s="266">
        <f>'DATA INPUT - DETAIL'!W148</f>
        <v>0</v>
      </c>
      <c r="AO157" s="198">
        <f t="shared" si="187"/>
        <v>0</v>
      </c>
      <c r="AP157" s="266">
        <f>'DATA INPUT - DETAIL'!X148</f>
        <v>0</v>
      </c>
      <c r="AQ157" s="266">
        <f>'DATA INPUT - DETAIL'!Y148</f>
        <v>0</v>
      </c>
      <c r="AR157" s="266">
        <f>'DATA INPUT - DETAIL'!Z148</f>
        <v>0</v>
      </c>
      <c r="AS157" s="266">
        <f>'DATA INPUT - DETAIL'!AD148</f>
        <v>0</v>
      </c>
      <c r="AT157" s="266">
        <f t="shared" si="188"/>
        <v>0</v>
      </c>
      <c r="AU157" s="206">
        <f>'DATA INPUT - DETAIL'!AA148</f>
        <v>0</v>
      </c>
      <c r="AV157" s="206">
        <f>'DATA INPUT - DETAIL'!AB148</f>
        <v>0</v>
      </c>
      <c r="AW157" s="206">
        <f>'DATA INPUT - DETAIL'!AC148</f>
        <v>0</v>
      </c>
      <c r="AX157" s="206">
        <f t="shared" si="189"/>
        <v>0</v>
      </c>
      <c r="AY157" s="206">
        <f t="shared" si="190"/>
        <v>0</v>
      </c>
      <c r="AZ157" s="206">
        <f t="shared" si="191"/>
        <v>0</v>
      </c>
      <c r="BA157" s="206">
        <f t="shared" si="192"/>
        <v>0</v>
      </c>
      <c r="BB157" s="206">
        <f t="shared" si="193"/>
        <v>0</v>
      </c>
      <c r="BC157" s="206">
        <f t="shared" si="194"/>
        <v>0</v>
      </c>
      <c r="BD157" s="206">
        <f t="shared" si="195"/>
        <v>0</v>
      </c>
      <c r="BE157" s="206">
        <f t="shared" si="196"/>
        <v>0</v>
      </c>
      <c r="BF157" s="206">
        <f t="shared" si="197"/>
        <v>0</v>
      </c>
      <c r="BG157" s="206">
        <f t="shared" si="198"/>
        <v>0</v>
      </c>
      <c r="BH157" s="206">
        <f t="shared" si="199"/>
        <v>0</v>
      </c>
      <c r="BI157" s="206">
        <f t="shared" si="200"/>
        <v>0</v>
      </c>
      <c r="BJ157" s="266">
        <f t="shared" si="201"/>
        <v>0</v>
      </c>
      <c r="BK157" s="266">
        <f t="shared" si="202"/>
        <v>0</v>
      </c>
      <c r="BL157" s="192">
        <f t="shared" si="203"/>
        <v>0</v>
      </c>
      <c r="BM157" s="192">
        <f t="shared" si="204"/>
        <v>0</v>
      </c>
      <c r="BN157" s="192">
        <f t="shared" si="205"/>
        <v>0</v>
      </c>
      <c r="BO157" s="192">
        <f t="shared" si="206"/>
        <v>0</v>
      </c>
      <c r="BP157" s="192">
        <f t="shared" si="207"/>
        <v>0</v>
      </c>
      <c r="BQ157" s="193">
        <f t="shared" si="208"/>
        <v>0</v>
      </c>
      <c r="BR157" s="193">
        <f t="shared" si="209"/>
        <v>0</v>
      </c>
      <c r="BS157" s="265">
        <f t="shared" si="210"/>
        <v>0</v>
      </c>
      <c r="BT157" s="265">
        <f t="shared" si="211"/>
        <v>0</v>
      </c>
      <c r="BU157" s="265">
        <f t="shared" si="212"/>
        <v>0</v>
      </c>
      <c r="BV157" s="265">
        <f t="shared" si="213"/>
        <v>0</v>
      </c>
      <c r="BW157" s="265">
        <f t="shared" si="214"/>
        <v>0</v>
      </c>
      <c r="BX157" s="265">
        <f t="shared" si="215"/>
        <v>0</v>
      </c>
      <c r="BY157" s="265">
        <f t="shared" si="216"/>
        <v>0</v>
      </c>
      <c r="BZ157" s="265">
        <f t="shared" si="217"/>
        <v>0</v>
      </c>
      <c r="CA157" s="265">
        <f t="shared" si="218"/>
        <v>0</v>
      </c>
      <c r="CB157" s="269">
        <f t="shared" si="219"/>
        <v>0</v>
      </c>
      <c r="CC157" s="266">
        <f t="shared" si="220"/>
        <v>0</v>
      </c>
      <c r="CD157" s="241"/>
      <c r="CE157" s="198">
        <f t="shared" si="221"/>
        <v>1.3419988649009256E-10</v>
      </c>
      <c r="CF157" s="198">
        <f t="shared" si="224"/>
        <v>0</v>
      </c>
      <c r="CG157" s="198">
        <f t="shared" si="225"/>
        <v>0</v>
      </c>
      <c r="CH157" s="198">
        <f t="shared" si="226"/>
        <v>0</v>
      </c>
      <c r="CI157" s="198">
        <f t="shared" si="227"/>
        <v>0</v>
      </c>
      <c r="CJ157" s="198">
        <f t="shared" si="228"/>
        <v>0</v>
      </c>
      <c r="CK157" s="198">
        <f t="shared" si="229"/>
        <v>0</v>
      </c>
      <c r="CL157" s="198">
        <f t="shared" si="230"/>
        <v>5.8625164247169565E-13</v>
      </c>
      <c r="CM157" s="271">
        <f t="shared" si="231"/>
        <v>0</v>
      </c>
      <c r="CN157" s="198">
        <f t="shared" si="232"/>
        <v>1.3478613813256426E-10</v>
      </c>
      <c r="CO157" s="209">
        <f t="shared" si="222"/>
        <v>1.3419988649009256E-10</v>
      </c>
    </row>
    <row r="158" spans="2:93" x14ac:dyDescent="0.2">
      <c r="B158" s="221">
        <f>'DATA INPUT - DETAIL'!D149</f>
        <v>0</v>
      </c>
      <c r="C158" s="211">
        <f>'DATA INPUT - DETAIL'!E149</f>
        <v>0</v>
      </c>
      <c r="D158" s="257">
        <f>'DATA INPUT - DETAIL'!I149</f>
        <v>0</v>
      </c>
      <c r="E158" s="258">
        <f>'DATA INPUT - DETAIL'!K149</f>
        <v>0</v>
      </c>
      <c r="F158" s="258">
        <f>'DATA INPUT - DETAIL'!L149</f>
        <v>0</v>
      </c>
      <c r="G158" s="179">
        <f>'DATA INPUT - DETAIL'!M149*(1+$V$5)</f>
        <v>0</v>
      </c>
      <c r="H158" s="179">
        <f>'DATA INPUT - DETAIL'!N149*(1+$V$5)</f>
        <v>0</v>
      </c>
      <c r="I158" s="258">
        <f t="shared" si="166"/>
        <v>0</v>
      </c>
      <c r="J158" s="258">
        <f>'DATA INPUT - DETAIL'!O149</f>
        <v>0</v>
      </c>
      <c r="K158" s="258">
        <f>'DATA INPUT - DETAIL'!P149</f>
        <v>0</v>
      </c>
      <c r="L158" s="267">
        <f>ROUNDDOWN('DATA INPUT - DETAIL'!G149,0)</f>
        <v>0</v>
      </c>
      <c r="M158" s="196">
        <f t="shared" si="223"/>
        <v>0</v>
      </c>
      <c r="N158" s="196">
        <f t="shared" si="167"/>
        <v>0</v>
      </c>
      <c r="O158" s="196">
        <f t="shared" si="168"/>
        <v>0</v>
      </c>
      <c r="P158" s="196">
        <f t="shared" si="169"/>
        <v>0</v>
      </c>
      <c r="Q158" s="196">
        <f t="shared" si="170"/>
        <v>0</v>
      </c>
      <c r="R158" s="196">
        <f t="shared" si="171"/>
        <v>0</v>
      </c>
      <c r="S158" s="196">
        <f t="shared" si="172"/>
        <v>0</v>
      </c>
      <c r="T158" s="196">
        <f t="shared" si="173"/>
        <v>0</v>
      </c>
      <c r="U158" s="185">
        <f>(C158&gt;0)*(C158&lt;$E$5)*VLOOKUP(MPP,ASUMSI!$BN$77:$CR$108,B158+1)*(1+$V$4)</f>
        <v>0</v>
      </c>
      <c r="V158" s="196">
        <f t="shared" si="174"/>
        <v>0</v>
      </c>
      <c r="W158" s="196">
        <f t="shared" si="175"/>
        <v>0</v>
      </c>
      <c r="X158" s="196">
        <f t="shared" si="176"/>
        <v>0</v>
      </c>
      <c r="Y158" s="196">
        <f t="shared" si="177"/>
        <v>0</v>
      </c>
      <c r="Z158" s="196">
        <f t="shared" si="178"/>
        <v>0</v>
      </c>
      <c r="AA158" s="185">
        <f t="shared" si="179"/>
        <v>0</v>
      </c>
      <c r="AB158" s="196">
        <f t="shared" si="180"/>
        <v>0</v>
      </c>
      <c r="AC158" s="196">
        <f t="shared" si="181"/>
        <v>0</v>
      </c>
      <c r="AD158" s="196">
        <f t="shared" si="182"/>
        <v>0</v>
      </c>
      <c r="AE158" s="196">
        <f t="shared" si="183"/>
        <v>0</v>
      </c>
      <c r="AF158" s="196">
        <f t="shared" si="184"/>
        <v>0</v>
      </c>
      <c r="AG158" s="196">
        <f t="shared" si="185"/>
        <v>0</v>
      </c>
      <c r="AH158" s="196">
        <f t="shared" si="186"/>
        <v>0</v>
      </c>
      <c r="AI158" s="266">
        <f>'DATA INPUT - DETAIL'!R149</f>
        <v>0</v>
      </c>
      <c r="AJ158" s="266">
        <f>'DATA INPUT - DETAIL'!S149</f>
        <v>0</v>
      </c>
      <c r="AK158" s="266">
        <f>'DATA INPUT - DETAIL'!T149</f>
        <v>0</v>
      </c>
      <c r="AL158" s="266">
        <f>'DATA INPUT - DETAIL'!U149</f>
        <v>0</v>
      </c>
      <c r="AM158" s="266">
        <f>'DATA INPUT - DETAIL'!V149</f>
        <v>0</v>
      </c>
      <c r="AN158" s="266">
        <f>'DATA INPUT - DETAIL'!W149</f>
        <v>0</v>
      </c>
      <c r="AO158" s="198">
        <f t="shared" si="187"/>
        <v>0</v>
      </c>
      <c r="AP158" s="266">
        <f>'DATA INPUT - DETAIL'!X149</f>
        <v>0</v>
      </c>
      <c r="AQ158" s="266">
        <f>'DATA INPUT - DETAIL'!Y149</f>
        <v>0</v>
      </c>
      <c r="AR158" s="266">
        <f>'DATA INPUT - DETAIL'!Z149</f>
        <v>0</v>
      </c>
      <c r="AS158" s="266">
        <f>'DATA INPUT - DETAIL'!AD149</f>
        <v>0</v>
      </c>
      <c r="AT158" s="266">
        <f t="shared" si="188"/>
        <v>0</v>
      </c>
      <c r="AU158" s="206">
        <f>'DATA INPUT - DETAIL'!AA149</f>
        <v>0</v>
      </c>
      <c r="AV158" s="206">
        <f>'DATA INPUT - DETAIL'!AB149</f>
        <v>0</v>
      </c>
      <c r="AW158" s="206">
        <f>'DATA INPUT - DETAIL'!AC149</f>
        <v>0</v>
      </c>
      <c r="AX158" s="206">
        <f t="shared" si="189"/>
        <v>0</v>
      </c>
      <c r="AY158" s="206">
        <f t="shared" si="190"/>
        <v>0</v>
      </c>
      <c r="AZ158" s="206">
        <f t="shared" si="191"/>
        <v>0</v>
      </c>
      <c r="BA158" s="206">
        <f t="shared" si="192"/>
        <v>0</v>
      </c>
      <c r="BB158" s="206">
        <f t="shared" si="193"/>
        <v>0</v>
      </c>
      <c r="BC158" s="206">
        <f t="shared" si="194"/>
        <v>0</v>
      </c>
      <c r="BD158" s="206">
        <f t="shared" si="195"/>
        <v>0</v>
      </c>
      <c r="BE158" s="206">
        <f t="shared" si="196"/>
        <v>0</v>
      </c>
      <c r="BF158" s="206">
        <f t="shared" si="197"/>
        <v>0</v>
      </c>
      <c r="BG158" s="206">
        <f t="shared" si="198"/>
        <v>0</v>
      </c>
      <c r="BH158" s="206">
        <f t="shared" si="199"/>
        <v>0</v>
      </c>
      <c r="BI158" s="206">
        <f t="shared" si="200"/>
        <v>0</v>
      </c>
      <c r="BJ158" s="266">
        <f t="shared" si="201"/>
        <v>0</v>
      </c>
      <c r="BK158" s="266">
        <f t="shared" si="202"/>
        <v>0</v>
      </c>
      <c r="BL158" s="192">
        <f t="shared" si="203"/>
        <v>0</v>
      </c>
      <c r="BM158" s="192">
        <f t="shared" si="204"/>
        <v>0</v>
      </c>
      <c r="BN158" s="192">
        <f t="shared" si="205"/>
        <v>0</v>
      </c>
      <c r="BO158" s="192">
        <f t="shared" si="206"/>
        <v>0</v>
      </c>
      <c r="BP158" s="192">
        <f t="shared" si="207"/>
        <v>0</v>
      </c>
      <c r="BQ158" s="193">
        <f t="shared" si="208"/>
        <v>0</v>
      </c>
      <c r="BR158" s="193">
        <f t="shared" si="209"/>
        <v>0</v>
      </c>
      <c r="BS158" s="265">
        <f t="shared" si="210"/>
        <v>0</v>
      </c>
      <c r="BT158" s="265">
        <f t="shared" si="211"/>
        <v>0</v>
      </c>
      <c r="BU158" s="265">
        <f t="shared" si="212"/>
        <v>0</v>
      </c>
      <c r="BV158" s="265">
        <f t="shared" si="213"/>
        <v>0</v>
      </c>
      <c r="BW158" s="265">
        <f t="shared" si="214"/>
        <v>0</v>
      </c>
      <c r="BX158" s="265">
        <f t="shared" si="215"/>
        <v>0</v>
      </c>
      <c r="BY158" s="265">
        <f t="shared" si="216"/>
        <v>0</v>
      </c>
      <c r="BZ158" s="265">
        <f t="shared" si="217"/>
        <v>0</v>
      </c>
      <c r="CA158" s="265">
        <f t="shared" si="218"/>
        <v>0</v>
      </c>
      <c r="CB158" s="269">
        <f t="shared" si="219"/>
        <v>0</v>
      </c>
      <c r="CC158" s="266">
        <f t="shared" si="220"/>
        <v>0</v>
      </c>
      <c r="CD158" s="241"/>
      <c r="CE158" s="198">
        <f t="shared" si="221"/>
        <v>1.3478613813256426E-10</v>
      </c>
      <c r="CF158" s="198">
        <f t="shared" si="224"/>
        <v>0</v>
      </c>
      <c r="CG158" s="198">
        <f t="shared" si="225"/>
        <v>0</v>
      </c>
      <c r="CH158" s="198">
        <f t="shared" si="226"/>
        <v>0</v>
      </c>
      <c r="CI158" s="198">
        <f t="shared" si="227"/>
        <v>0</v>
      </c>
      <c r="CJ158" s="198">
        <f t="shared" si="228"/>
        <v>0</v>
      </c>
      <c r="CK158" s="198">
        <f t="shared" si="229"/>
        <v>0</v>
      </c>
      <c r="CL158" s="198">
        <f t="shared" si="230"/>
        <v>5.8881268031822267E-13</v>
      </c>
      <c r="CM158" s="271">
        <f t="shared" si="231"/>
        <v>0</v>
      </c>
      <c r="CN158" s="198">
        <f t="shared" si="232"/>
        <v>1.3537495081288248E-10</v>
      </c>
      <c r="CO158" s="209">
        <f t="shared" si="222"/>
        <v>1.3478613813256426E-10</v>
      </c>
    </row>
    <row r="159" spans="2:93" x14ac:dyDescent="0.2">
      <c r="B159" s="221">
        <f>'DATA INPUT - DETAIL'!D150</f>
        <v>0</v>
      </c>
      <c r="C159" s="211">
        <f>'DATA INPUT - DETAIL'!E150</f>
        <v>0</v>
      </c>
      <c r="D159" s="257">
        <f>'DATA INPUT - DETAIL'!I150</f>
        <v>0</v>
      </c>
      <c r="E159" s="258">
        <f>'DATA INPUT - DETAIL'!K150</f>
        <v>0</v>
      </c>
      <c r="F159" s="258">
        <f>'DATA INPUT - DETAIL'!L150</f>
        <v>0</v>
      </c>
      <c r="G159" s="179">
        <f>'DATA INPUT - DETAIL'!M150*(1+$V$5)</f>
        <v>0</v>
      </c>
      <c r="H159" s="179">
        <f>'DATA INPUT - DETAIL'!N150*(1+$V$5)</f>
        <v>0</v>
      </c>
      <c r="I159" s="258">
        <f t="shared" si="166"/>
        <v>0</v>
      </c>
      <c r="J159" s="258">
        <f>'DATA INPUT - DETAIL'!O150</f>
        <v>0</v>
      </c>
      <c r="K159" s="258">
        <f>'DATA INPUT - DETAIL'!P150</f>
        <v>0</v>
      </c>
      <c r="L159" s="267">
        <f>ROUNDDOWN('DATA INPUT - DETAIL'!G150,0)</f>
        <v>0</v>
      </c>
      <c r="M159" s="196">
        <f t="shared" si="223"/>
        <v>0</v>
      </c>
      <c r="N159" s="196">
        <f t="shared" si="167"/>
        <v>0</v>
      </c>
      <c r="O159" s="196">
        <f t="shared" si="168"/>
        <v>0</v>
      </c>
      <c r="P159" s="196">
        <f t="shared" si="169"/>
        <v>0</v>
      </c>
      <c r="Q159" s="196">
        <f t="shared" si="170"/>
        <v>0</v>
      </c>
      <c r="R159" s="196">
        <f t="shared" si="171"/>
        <v>0</v>
      </c>
      <c r="S159" s="196">
        <f t="shared" si="172"/>
        <v>0</v>
      </c>
      <c r="T159" s="196">
        <f t="shared" si="173"/>
        <v>0</v>
      </c>
      <c r="U159" s="185">
        <f>(C159&gt;0)*(C159&lt;$E$5)*VLOOKUP(MPP,ASUMSI!$BN$77:$CR$108,B159+1)*(1+$V$4)</f>
        <v>0</v>
      </c>
      <c r="V159" s="196">
        <f t="shared" si="174"/>
        <v>0</v>
      </c>
      <c r="W159" s="196">
        <f t="shared" si="175"/>
        <v>0</v>
      </c>
      <c r="X159" s="196">
        <f t="shared" si="176"/>
        <v>0</v>
      </c>
      <c r="Y159" s="196">
        <f t="shared" si="177"/>
        <v>0</v>
      </c>
      <c r="Z159" s="196">
        <f t="shared" si="178"/>
        <v>0</v>
      </c>
      <c r="AA159" s="185">
        <f t="shared" si="179"/>
        <v>0</v>
      </c>
      <c r="AB159" s="196">
        <f t="shared" si="180"/>
        <v>0</v>
      </c>
      <c r="AC159" s="196">
        <f t="shared" si="181"/>
        <v>0</v>
      </c>
      <c r="AD159" s="196">
        <f t="shared" si="182"/>
        <v>0</v>
      </c>
      <c r="AE159" s="196">
        <f t="shared" si="183"/>
        <v>0</v>
      </c>
      <c r="AF159" s="196">
        <f t="shared" si="184"/>
        <v>0</v>
      </c>
      <c r="AG159" s="196">
        <f t="shared" si="185"/>
        <v>0</v>
      </c>
      <c r="AH159" s="196">
        <f t="shared" si="186"/>
        <v>0</v>
      </c>
      <c r="AI159" s="266">
        <f>'DATA INPUT - DETAIL'!R150</f>
        <v>0</v>
      </c>
      <c r="AJ159" s="266">
        <f>'DATA INPUT - DETAIL'!S150</f>
        <v>0</v>
      </c>
      <c r="AK159" s="266">
        <f>'DATA INPUT - DETAIL'!T150</f>
        <v>0</v>
      </c>
      <c r="AL159" s="266">
        <f>'DATA INPUT - DETAIL'!U150</f>
        <v>0</v>
      </c>
      <c r="AM159" s="266">
        <f>'DATA INPUT - DETAIL'!V150</f>
        <v>0</v>
      </c>
      <c r="AN159" s="266">
        <f>'DATA INPUT - DETAIL'!W150</f>
        <v>0</v>
      </c>
      <c r="AO159" s="198">
        <f t="shared" si="187"/>
        <v>0</v>
      </c>
      <c r="AP159" s="266">
        <f>'DATA INPUT - DETAIL'!X150</f>
        <v>0</v>
      </c>
      <c r="AQ159" s="266">
        <f>'DATA INPUT - DETAIL'!Y150</f>
        <v>0</v>
      </c>
      <c r="AR159" s="266">
        <f>'DATA INPUT - DETAIL'!Z150</f>
        <v>0</v>
      </c>
      <c r="AS159" s="266">
        <f>'DATA INPUT - DETAIL'!AD150</f>
        <v>0</v>
      </c>
      <c r="AT159" s="266">
        <f t="shared" si="188"/>
        <v>0</v>
      </c>
      <c r="AU159" s="206">
        <f>'DATA INPUT - DETAIL'!AA150</f>
        <v>0</v>
      </c>
      <c r="AV159" s="206">
        <f>'DATA INPUT - DETAIL'!AB150</f>
        <v>0</v>
      </c>
      <c r="AW159" s="206">
        <f>'DATA INPUT - DETAIL'!AC150</f>
        <v>0</v>
      </c>
      <c r="AX159" s="206">
        <f t="shared" si="189"/>
        <v>0</v>
      </c>
      <c r="AY159" s="206">
        <f t="shared" si="190"/>
        <v>0</v>
      </c>
      <c r="AZ159" s="206">
        <f t="shared" si="191"/>
        <v>0</v>
      </c>
      <c r="BA159" s="206">
        <f t="shared" si="192"/>
        <v>0</v>
      </c>
      <c r="BB159" s="206">
        <f t="shared" si="193"/>
        <v>0</v>
      </c>
      <c r="BC159" s="206">
        <f t="shared" si="194"/>
        <v>0</v>
      </c>
      <c r="BD159" s="206">
        <f t="shared" si="195"/>
        <v>0</v>
      </c>
      <c r="BE159" s="206">
        <f t="shared" si="196"/>
        <v>0</v>
      </c>
      <c r="BF159" s="206">
        <f t="shared" si="197"/>
        <v>0</v>
      </c>
      <c r="BG159" s="206">
        <f t="shared" si="198"/>
        <v>0</v>
      </c>
      <c r="BH159" s="206">
        <f t="shared" si="199"/>
        <v>0</v>
      </c>
      <c r="BI159" s="206">
        <f t="shared" si="200"/>
        <v>0</v>
      </c>
      <c r="BJ159" s="266">
        <f t="shared" si="201"/>
        <v>0</v>
      </c>
      <c r="BK159" s="266">
        <f t="shared" si="202"/>
        <v>0</v>
      </c>
      <c r="BL159" s="192">
        <f t="shared" si="203"/>
        <v>0</v>
      </c>
      <c r="BM159" s="192">
        <f t="shared" si="204"/>
        <v>0</v>
      </c>
      <c r="BN159" s="192">
        <f t="shared" si="205"/>
        <v>0</v>
      </c>
      <c r="BO159" s="192">
        <f t="shared" si="206"/>
        <v>0</v>
      </c>
      <c r="BP159" s="192">
        <f t="shared" si="207"/>
        <v>0</v>
      </c>
      <c r="BQ159" s="193">
        <f t="shared" si="208"/>
        <v>0</v>
      </c>
      <c r="BR159" s="193">
        <f t="shared" si="209"/>
        <v>0</v>
      </c>
      <c r="BS159" s="265">
        <f t="shared" si="210"/>
        <v>0</v>
      </c>
      <c r="BT159" s="265">
        <f t="shared" si="211"/>
        <v>0</v>
      </c>
      <c r="BU159" s="265">
        <f t="shared" si="212"/>
        <v>0</v>
      </c>
      <c r="BV159" s="265">
        <f t="shared" si="213"/>
        <v>0</v>
      </c>
      <c r="BW159" s="265">
        <f t="shared" si="214"/>
        <v>0</v>
      </c>
      <c r="BX159" s="265">
        <f t="shared" si="215"/>
        <v>0</v>
      </c>
      <c r="BY159" s="265">
        <f t="shared" si="216"/>
        <v>0</v>
      </c>
      <c r="BZ159" s="265">
        <f t="shared" si="217"/>
        <v>0</v>
      </c>
      <c r="CA159" s="265">
        <f t="shared" si="218"/>
        <v>0</v>
      </c>
      <c r="CB159" s="269">
        <f t="shared" si="219"/>
        <v>0</v>
      </c>
      <c r="CC159" s="266">
        <f t="shared" si="220"/>
        <v>0</v>
      </c>
      <c r="CD159" s="241"/>
      <c r="CE159" s="198">
        <f t="shared" si="221"/>
        <v>1.3537495081288248E-10</v>
      </c>
      <c r="CF159" s="198">
        <f t="shared" si="224"/>
        <v>0</v>
      </c>
      <c r="CG159" s="198">
        <f t="shared" si="225"/>
        <v>0</v>
      </c>
      <c r="CH159" s="198">
        <f t="shared" si="226"/>
        <v>0</v>
      </c>
      <c r="CI159" s="198">
        <f t="shared" si="227"/>
        <v>0</v>
      </c>
      <c r="CJ159" s="198">
        <f t="shared" si="228"/>
        <v>0</v>
      </c>
      <c r="CK159" s="198">
        <f t="shared" si="229"/>
        <v>0</v>
      </c>
      <c r="CL159" s="198">
        <f t="shared" si="230"/>
        <v>5.9138490604786365E-13</v>
      </c>
      <c r="CM159" s="271">
        <f t="shared" si="231"/>
        <v>0</v>
      </c>
      <c r="CN159" s="198">
        <f t="shared" si="232"/>
        <v>1.3596633571893034E-10</v>
      </c>
      <c r="CO159" s="209">
        <f t="shared" si="222"/>
        <v>1.3537495081288248E-10</v>
      </c>
    </row>
    <row r="160" spans="2:93" x14ac:dyDescent="0.2">
      <c r="B160" s="221">
        <f>'DATA INPUT - DETAIL'!D151</f>
        <v>0</v>
      </c>
      <c r="C160" s="211">
        <f>'DATA INPUT - DETAIL'!E151</f>
        <v>0</v>
      </c>
      <c r="D160" s="257">
        <f>'DATA INPUT - DETAIL'!I151</f>
        <v>0</v>
      </c>
      <c r="E160" s="258">
        <f>'DATA INPUT - DETAIL'!K151</f>
        <v>0</v>
      </c>
      <c r="F160" s="258">
        <f>'DATA INPUT - DETAIL'!L151</f>
        <v>0</v>
      </c>
      <c r="G160" s="179">
        <f>'DATA INPUT - DETAIL'!M151*(1+$V$5)</f>
        <v>0</v>
      </c>
      <c r="H160" s="179">
        <f>'DATA INPUT - DETAIL'!N151*(1+$V$5)</f>
        <v>0</v>
      </c>
      <c r="I160" s="258">
        <f t="shared" si="166"/>
        <v>0</v>
      </c>
      <c r="J160" s="258">
        <f>'DATA INPUT - DETAIL'!O151</f>
        <v>0</v>
      </c>
      <c r="K160" s="258">
        <f>'DATA INPUT - DETAIL'!P151</f>
        <v>0</v>
      </c>
      <c r="L160" s="267">
        <f>ROUNDDOWN('DATA INPUT - DETAIL'!G151,0)</f>
        <v>0</v>
      </c>
      <c r="M160" s="196">
        <f t="shared" si="223"/>
        <v>0</v>
      </c>
      <c r="N160" s="196">
        <f t="shared" si="167"/>
        <v>0</v>
      </c>
      <c r="O160" s="196">
        <f t="shared" si="168"/>
        <v>0</v>
      </c>
      <c r="P160" s="196">
        <f t="shared" si="169"/>
        <v>0</v>
      </c>
      <c r="Q160" s="196">
        <f t="shared" si="170"/>
        <v>0</v>
      </c>
      <c r="R160" s="196">
        <f t="shared" si="171"/>
        <v>0</v>
      </c>
      <c r="S160" s="196">
        <f t="shared" si="172"/>
        <v>0</v>
      </c>
      <c r="T160" s="196">
        <f t="shared" si="173"/>
        <v>0</v>
      </c>
      <c r="U160" s="185">
        <f>(C160&gt;0)*(C160&lt;$E$5)*VLOOKUP(MPP,ASUMSI!$BN$77:$CR$108,B160+1)*(1+$V$4)</f>
        <v>0</v>
      </c>
      <c r="V160" s="196">
        <f t="shared" si="174"/>
        <v>0</v>
      </c>
      <c r="W160" s="196">
        <f t="shared" si="175"/>
        <v>0</v>
      </c>
      <c r="X160" s="196">
        <f t="shared" si="176"/>
        <v>0</v>
      </c>
      <c r="Y160" s="196">
        <f t="shared" si="177"/>
        <v>0</v>
      </c>
      <c r="Z160" s="196">
        <f t="shared" si="178"/>
        <v>0</v>
      </c>
      <c r="AA160" s="185">
        <f t="shared" si="179"/>
        <v>0</v>
      </c>
      <c r="AB160" s="196">
        <f t="shared" si="180"/>
        <v>0</v>
      </c>
      <c r="AC160" s="196">
        <f t="shared" si="181"/>
        <v>0</v>
      </c>
      <c r="AD160" s="196">
        <f t="shared" si="182"/>
        <v>0</v>
      </c>
      <c r="AE160" s="196">
        <f t="shared" si="183"/>
        <v>0</v>
      </c>
      <c r="AF160" s="196">
        <f t="shared" si="184"/>
        <v>0</v>
      </c>
      <c r="AG160" s="196">
        <f t="shared" si="185"/>
        <v>0</v>
      </c>
      <c r="AH160" s="196">
        <f t="shared" si="186"/>
        <v>0</v>
      </c>
      <c r="AI160" s="266">
        <f>'DATA INPUT - DETAIL'!R151</f>
        <v>0</v>
      </c>
      <c r="AJ160" s="266">
        <f>'DATA INPUT - DETAIL'!S151</f>
        <v>0</v>
      </c>
      <c r="AK160" s="266">
        <f>'DATA INPUT - DETAIL'!T151</f>
        <v>0</v>
      </c>
      <c r="AL160" s="266">
        <f>'DATA INPUT - DETAIL'!U151</f>
        <v>0</v>
      </c>
      <c r="AM160" s="266">
        <f>'DATA INPUT - DETAIL'!V151</f>
        <v>0</v>
      </c>
      <c r="AN160" s="266">
        <f>'DATA INPUT - DETAIL'!W151</f>
        <v>0</v>
      </c>
      <c r="AO160" s="198">
        <f t="shared" si="187"/>
        <v>0</v>
      </c>
      <c r="AP160" s="266">
        <f>'DATA INPUT - DETAIL'!X151</f>
        <v>0</v>
      </c>
      <c r="AQ160" s="266">
        <f>'DATA INPUT - DETAIL'!Y151</f>
        <v>0</v>
      </c>
      <c r="AR160" s="266">
        <f>'DATA INPUT - DETAIL'!Z151</f>
        <v>0</v>
      </c>
      <c r="AS160" s="266">
        <f>'DATA INPUT - DETAIL'!AD151</f>
        <v>0</v>
      </c>
      <c r="AT160" s="266">
        <f t="shared" si="188"/>
        <v>0</v>
      </c>
      <c r="AU160" s="206">
        <f>'DATA INPUT - DETAIL'!AA151</f>
        <v>0</v>
      </c>
      <c r="AV160" s="206">
        <f>'DATA INPUT - DETAIL'!AB151</f>
        <v>0</v>
      </c>
      <c r="AW160" s="206">
        <f>'DATA INPUT - DETAIL'!AC151</f>
        <v>0</v>
      </c>
      <c r="AX160" s="206">
        <f t="shared" si="189"/>
        <v>0</v>
      </c>
      <c r="AY160" s="206">
        <f t="shared" si="190"/>
        <v>0</v>
      </c>
      <c r="AZ160" s="206">
        <f t="shared" si="191"/>
        <v>0</v>
      </c>
      <c r="BA160" s="206">
        <f t="shared" si="192"/>
        <v>0</v>
      </c>
      <c r="BB160" s="206">
        <f t="shared" si="193"/>
        <v>0</v>
      </c>
      <c r="BC160" s="206">
        <f t="shared" si="194"/>
        <v>0</v>
      </c>
      <c r="BD160" s="206">
        <f t="shared" si="195"/>
        <v>0</v>
      </c>
      <c r="BE160" s="206">
        <f t="shared" si="196"/>
        <v>0</v>
      </c>
      <c r="BF160" s="206">
        <f t="shared" si="197"/>
        <v>0</v>
      </c>
      <c r="BG160" s="206">
        <f t="shared" si="198"/>
        <v>0</v>
      </c>
      <c r="BH160" s="206">
        <f t="shared" si="199"/>
        <v>0</v>
      </c>
      <c r="BI160" s="206">
        <f t="shared" si="200"/>
        <v>0</v>
      </c>
      <c r="BJ160" s="266">
        <f t="shared" si="201"/>
        <v>0</v>
      </c>
      <c r="BK160" s="266">
        <f t="shared" si="202"/>
        <v>0</v>
      </c>
      <c r="BL160" s="192">
        <f t="shared" si="203"/>
        <v>0</v>
      </c>
      <c r="BM160" s="192">
        <f t="shared" si="204"/>
        <v>0</v>
      </c>
      <c r="BN160" s="192">
        <f t="shared" si="205"/>
        <v>0</v>
      </c>
      <c r="BO160" s="192">
        <f t="shared" si="206"/>
        <v>0</v>
      </c>
      <c r="BP160" s="192">
        <f t="shared" si="207"/>
        <v>0</v>
      </c>
      <c r="BQ160" s="193">
        <f t="shared" si="208"/>
        <v>0</v>
      </c>
      <c r="BR160" s="193">
        <f t="shared" si="209"/>
        <v>0</v>
      </c>
      <c r="BS160" s="265">
        <f t="shared" si="210"/>
        <v>0</v>
      </c>
      <c r="BT160" s="265">
        <f t="shared" si="211"/>
        <v>0</v>
      </c>
      <c r="BU160" s="265">
        <f t="shared" si="212"/>
        <v>0</v>
      </c>
      <c r="BV160" s="265">
        <f t="shared" si="213"/>
        <v>0</v>
      </c>
      <c r="BW160" s="265">
        <f t="shared" si="214"/>
        <v>0</v>
      </c>
      <c r="BX160" s="265">
        <f t="shared" si="215"/>
        <v>0</v>
      </c>
      <c r="BY160" s="265">
        <f t="shared" si="216"/>
        <v>0</v>
      </c>
      <c r="BZ160" s="265">
        <f t="shared" si="217"/>
        <v>0</v>
      </c>
      <c r="CA160" s="265">
        <f t="shared" si="218"/>
        <v>0</v>
      </c>
      <c r="CB160" s="269">
        <f t="shared" si="219"/>
        <v>0</v>
      </c>
      <c r="CC160" s="266">
        <f t="shared" si="220"/>
        <v>0</v>
      </c>
      <c r="CD160" s="241"/>
      <c r="CE160" s="198">
        <f t="shared" si="221"/>
        <v>1.3596633571893034E-10</v>
      </c>
      <c r="CF160" s="198">
        <f t="shared" si="224"/>
        <v>0</v>
      </c>
      <c r="CG160" s="198">
        <f t="shared" si="225"/>
        <v>0</v>
      </c>
      <c r="CH160" s="198">
        <f t="shared" si="226"/>
        <v>0</v>
      </c>
      <c r="CI160" s="198">
        <f t="shared" si="227"/>
        <v>0</v>
      </c>
      <c r="CJ160" s="198">
        <f t="shared" si="228"/>
        <v>0</v>
      </c>
      <c r="CK160" s="198">
        <f t="shared" si="229"/>
        <v>0</v>
      </c>
      <c r="CL160" s="198">
        <f t="shared" si="230"/>
        <v>5.9396836853483925E-13</v>
      </c>
      <c r="CM160" s="271">
        <f t="shared" si="231"/>
        <v>0</v>
      </c>
      <c r="CN160" s="198">
        <f t="shared" si="232"/>
        <v>1.3656030408746519E-10</v>
      </c>
      <c r="CO160" s="209">
        <f t="shared" si="222"/>
        <v>1.3596633571893034E-10</v>
      </c>
    </row>
    <row r="161" spans="2:93" x14ac:dyDescent="0.2">
      <c r="B161" s="221">
        <f>'DATA INPUT - DETAIL'!D152</f>
        <v>0</v>
      </c>
      <c r="C161" s="211">
        <f>'DATA INPUT - DETAIL'!E152</f>
        <v>0</v>
      </c>
      <c r="D161" s="257">
        <f>'DATA INPUT - DETAIL'!I152</f>
        <v>0</v>
      </c>
      <c r="E161" s="258">
        <f>'DATA INPUT - DETAIL'!K152</f>
        <v>0</v>
      </c>
      <c r="F161" s="258">
        <f>'DATA INPUT - DETAIL'!L152</f>
        <v>0</v>
      </c>
      <c r="G161" s="179">
        <f>'DATA INPUT - DETAIL'!M152*(1+$V$5)</f>
        <v>0</v>
      </c>
      <c r="H161" s="179">
        <f>'DATA INPUT - DETAIL'!N152*(1+$V$5)</f>
        <v>0</v>
      </c>
      <c r="I161" s="258">
        <f t="shared" si="166"/>
        <v>0</v>
      </c>
      <c r="J161" s="258">
        <f>'DATA INPUT - DETAIL'!O152</f>
        <v>0</v>
      </c>
      <c r="K161" s="258">
        <f>'DATA INPUT - DETAIL'!P152</f>
        <v>0</v>
      </c>
      <c r="L161" s="267">
        <f>ROUNDDOWN('DATA INPUT - DETAIL'!G152,0)</f>
        <v>0</v>
      </c>
      <c r="M161" s="196">
        <f t="shared" si="223"/>
        <v>0</v>
      </c>
      <c r="N161" s="196">
        <f t="shared" si="167"/>
        <v>0</v>
      </c>
      <c r="O161" s="196">
        <f t="shared" si="168"/>
        <v>0</v>
      </c>
      <c r="P161" s="196">
        <f t="shared" si="169"/>
        <v>0</v>
      </c>
      <c r="Q161" s="196">
        <f t="shared" si="170"/>
        <v>0</v>
      </c>
      <c r="R161" s="196">
        <f t="shared" si="171"/>
        <v>0</v>
      </c>
      <c r="S161" s="196">
        <f t="shared" si="172"/>
        <v>0</v>
      </c>
      <c r="T161" s="196">
        <f t="shared" si="173"/>
        <v>0</v>
      </c>
      <c r="U161" s="185">
        <f>(C161&gt;0)*(C161&lt;$E$5)*VLOOKUP(MPP,ASUMSI!$BN$77:$CR$108,B161+1)*(1+$V$4)</f>
        <v>0</v>
      </c>
      <c r="V161" s="196">
        <f t="shared" si="174"/>
        <v>0</v>
      </c>
      <c r="W161" s="196">
        <f t="shared" si="175"/>
        <v>0</v>
      </c>
      <c r="X161" s="196">
        <f t="shared" si="176"/>
        <v>0</v>
      </c>
      <c r="Y161" s="196">
        <f t="shared" si="177"/>
        <v>0</v>
      </c>
      <c r="Z161" s="196">
        <f t="shared" si="178"/>
        <v>0</v>
      </c>
      <c r="AA161" s="185">
        <f t="shared" si="179"/>
        <v>0</v>
      </c>
      <c r="AB161" s="196">
        <f t="shared" si="180"/>
        <v>0</v>
      </c>
      <c r="AC161" s="196">
        <f t="shared" si="181"/>
        <v>0</v>
      </c>
      <c r="AD161" s="196">
        <f t="shared" si="182"/>
        <v>0</v>
      </c>
      <c r="AE161" s="196">
        <f t="shared" si="183"/>
        <v>0</v>
      </c>
      <c r="AF161" s="196">
        <f t="shared" si="184"/>
        <v>0</v>
      </c>
      <c r="AG161" s="196">
        <f t="shared" si="185"/>
        <v>0</v>
      </c>
      <c r="AH161" s="196">
        <f t="shared" si="186"/>
        <v>0</v>
      </c>
      <c r="AI161" s="266">
        <f>'DATA INPUT - DETAIL'!R152</f>
        <v>0</v>
      </c>
      <c r="AJ161" s="266">
        <f>'DATA INPUT - DETAIL'!S152</f>
        <v>0</v>
      </c>
      <c r="AK161" s="266">
        <f>'DATA INPUT - DETAIL'!T152</f>
        <v>0</v>
      </c>
      <c r="AL161" s="266">
        <f>'DATA INPUT - DETAIL'!U152</f>
        <v>0</v>
      </c>
      <c r="AM161" s="266">
        <f>'DATA INPUT - DETAIL'!V152</f>
        <v>0</v>
      </c>
      <c r="AN161" s="266">
        <f>'DATA INPUT - DETAIL'!W152</f>
        <v>0</v>
      </c>
      <c r="AO161" s="198">
        <f t="shared" si="187"/>
        <v>0</v>
      </c>
      <c r="AP161" s="266">
        <f>'DATA INPUT - DETAIL'!X152</f>
        <v>0</v>
      </c>
      <c r="AQ161" s="266">
        <f>'DATA INPUT - DETAIL'!Y152</f>
        <v>0</v>
      </c>
      <c r="AR161" s="266">
        <f>'DATA INPUT - DETAIL'!Z152</f>
        <v>0</v>
      </c>
      <c r="AS161" s="266">
        <f>'DATA INPUT - DETAIL'!AD152</f>
        <v>0</v>
      </c>
      <c r="AT161" s="266">
        <f t="shared" si="188"/>
        <v>0</v>
      </c>
      <c r="AU161" s="206">
        <f>'DATA INPUT - DETAIL'!AA152</f>
        <v>0</v>
      </c>
      <c r="AV161" s="206">
        <f>'DATA INPUT - DETAIL'!AB152</f>
        <v>0</v>
      </c>
      <c r="AW161" s="206">
        <f>'DATA INPUT - DETAIL'!AC152</f>
        <v>0</v>
      </c>
      <c r="AX161" s="206">
        <f t="shared" si="189"/>
        <v>0</v>
      </c>
      <c r="AY161" s="206">
        <f t="shared" si="190"/>
        <v>0</v>
      </c>
      <c r="AZ161" s="206">
        <f t="shared" si="191"/>
        <v>0</v>
      </c>
      <c r="BA161" s="206">
        <f t="shared" si="192"/>
        <v>0</v>
      </c>
      <c r="BB161" s="206">
        <f t="shared" si="193"/>
        <v>0</v>
      </c>
      <c r="BC161" s="206">
        <f t="shared" si="194"/>
        <v>0</v>
      </c>
      <c r="BD161" s="206">
        <f t="shared" si="195"/>
        <v>0</v>
      </c>
      <c r="BE161" s="206">
        <f t="shared" si="196"/>
        <v>0</v>
      </c>
      <c r="BF161" s="206">
        <f t="shared" si="197"/>
        <v>0</v>
      </c>
      <c r="BG161" s="206">
        <f t="shared" si="198"/>
        <v>0</v>
      </c>
      <c r="BH161" s="206">
        <f t="shared" si="199"/>
        <v>0</v>
      </c>
      <c r="BI161" s="206">
        <f t="shared" si="200"/>
        <v>0</v>
      </c>
      <c r="BJ161" s="266">
        <f t="shared" si="201"/>
        <v>0</v>
      </c>
      <c r="BK161" s="266">
        <f t="shared" si="202"/>
        <v>0</v>
      </c>
      <c r="BL161" s="192">
        <f t="shared" si="203"/>
        <v>0</v>
      </c>
      <c r="BM161" s="192">
        <f t="shared" si="204"/>
        <v>0</v>
      </c>
      <c r="BN161" s="192">
        <f t="shared" si="205"/>
        <v>0</v>
      </c>
      <c r="BO161" s="192">
        <f t="shared" si="206"/>
        <v>0</v>
      </c>
      <c r="BP161" s="192">
        <f t="shared" si="207"/>
        <v>0</v>
      </c>
      <c r="BQ161" s="193">
        <f t="shared" si="208"/>
        <v>0</v>
      </c>
      <c r="BR161" s="193">
        <f t="shared" si="209"/>
        <v>0</v>
      </c>
      <c r="BS161" s="265">
        <f t="shared" si="210"/>
        <v>0</v>
      </c>
      <c r="BT161" s="265">
        <f t="shared" si="211"/>
        <v>0</v>
      </c>
      <c r="BU161" s="265">
        <f t="shared" si="212"/>
        <v>0</v>
      </c>
      <c r="BV161" s="265">
        <f t="shared" si="213"/>
        <v>0</v>
      </c>
      <c r="BW161" s="265">
        <f t="shared" si="214"/>
        <v>0</v>
      </c>
      <c r="BX161" s="265">
        <f t="shared" si="215"/>
        <v>0</v>
      </c>
      <c r="BY161" s="265">
        <f t="shared" si="216"/>
        <v>0</v>
      </c>
      <c r="BZ161" s="265">
        <f t="shared" si="217"/>
        <v>0</v>
      </c>
      <c r="CA161" s="265">
        <f t="shared" si="218"/>
        <v>0</v>
      </c>
      <c r="CB161" s="269">
        <f t="shared" si="219"/>
        <v>0</v>
      </c>
      <c r="CC161" s="266">
        <f t="shared" si="220"/>
        <v>0</v>
      </c>
      <c r="CD161" s="241"/>
      <c r="CE161" s="198">
        <f t="shared" si="221"/>
        <v>1.3656030408746519E-10</v>
      </c>
      <c r="CF161" s="198">
        <f t="shared" si="224"/>
        <v>0</v>
      </c>
      <c r="CG161" s="198">
        <f t="shared" si="225"/>
        <v>0</v>
      </c>
      <c r="CH161" s="198">
        <f t="shared" si="226"/>
        <v>0</v>
      </c>
      <c r="CI161" s="198">
        <f t="shared" si="227"/>
        <v>0</v>
      </c>
      <c r="CJ161" s="198">
        <f t="shared" si="228"/>
        <v>0</v>
      </c>
      <c r="CK161" s="198">
        <f t="shared" si="229"/>
        <v>0</v>
      </c>
      <c r="CL161" s="198">
        <f t="shared" si="230"/>
        <v>5.965631168668767E-13</v>
      </c>
      <c r="CM161" s="271">
        <f t="shared" si="231"/>
        <v>0</v>
      </c>
      <c r="CN161" s="198">
        <f t="shared" si="232"/>
        <v>1.3715686720433207E-10</v>
      </c>
      <c r="CO161" s="209">
        <f t="shared" si="222"/>
        <v>1.3656030408746519E-10</v>
      </c>
    </row>
    <row r="162" spans="2:93" x14ac:dyDescent="0.2">
      <c r="B162" s="221">
        <f>'DATA INPUT - DETAIL'!D153</f>
        <v>0</v>
      </c>
      <c r="C162" s="211">
        <f>'DATA INPUT - DETAIL'!E153</f>
        <v>0</v>
      </c>
      <c r="D162" s="257">
        <f>'DATA INPUT - DETAIL'!I153</f>
        <v>0</v>
      </c>
      <c r="E162" s="258">
        <f>'DATA INPUT - DETAIL'!K153</f>
        <v>0</v>
      </c>
      <c r="F162" s="258">
        <f>'DATA INPUT - DETAIL'!L153</f>
        <v>0</v>
      </c>
      <c r="G162" s="179">
        <f>'DATA INPUT - DETAIL'!M153*(1+$V$5)</f>
        <v>0</v>
      </c>
      <c r="H162" s="179">
        <f>'DATA INPUT - DETAIL'!N153*(1+$V$5)</f>
        <v>0</v>
      </c>
      <c r="I162" s="258">
        <f t="shared" si="166"/>
        <v>0</v>
      </c>
      <c r="J162" s="258">
        <f>'DATA INPUT - DETAIL'!O153</f>
        <v>0</v>
      </c>
      <c r="K162" s="258">
        <f>'DATA INPUT - DETAIL'!P153</f>
        <v>0</v>
      </c>
      <c r="L162" s="267">
        <f>ROUNDDOWN('DATA INPUT - DETAIL'!G153,0)</f>
        <v>0</v>
      </c>
      <c r="M162" s="196">
        <f t="shared" si="223"/>
        <v>0</v>
      </c>
      <c r="N162" s="196">
        <f t="shared" si="167"/>
        <v>0</v>
      </c>
      <c r="O162" s="196">
        <f t="shared" si="168"/>
        <v>0</v>
      </c>
      <c r="P162" s="196">
        <f t="shared" si="169"/>
        <v>0</v>
      </c>
      <c r="Q162" s="196">
        <f t="shared" si="170"/>
        <v>0</v>
      </c>
      <c r="R162" s="196">
        <f t="shared" si="171"/>
        <v>0</v>
      </c>
      <c r="S162" s="196">
        <f t="shared" si="172"/>
        <v>0</v>
      </c>
      <c r="T162" s="196">
        <f t="shared" si="173"/>
        <v>0</v>
      </c>
      <c r="U162" s="185">
        <f>(C162&gt;0)*(C162&lt;$E$5)*VLOOKUP(MPP,ASUMSI!$BN$77:$CR$108,B162+1)*(1+$V$4)</f>
        <v>0</v>
      </c>
      <c r="V162" s="196">
        <f t="shared" si="174"/>
        <v>0</v>
      </c>
      <c r="W162" s="196">
        <f t="shared" si="175"/>
        <v>0</v>
      </c>
      <c r="X162" s="196">
        <f t="shared" si="176"/>
        <v>0</v>
      </c>
      <c r="Y162" s="196">
        <f t="shared" si="177"/>
        <v>0</v>
      </c>
      <c r="Z162" s="196">
        <f t="shared" si="178"/>
        <v>0</v>
      </c>
      <c r="AA162" s="185">
        <f t="shared" si="179"/>
        <v>0</v>
      </c>
      <c r="AB162" s="196">
        <f t="shared" si="180"/>
        <v>0</v>
      </c>
      <c r="AC162" s="196">
        <f t="shared" si="181"/>
        <v>0</v>
      </c>
      <c r="AD162" s="196">
        <f t="shared" si="182"/>
        <v>0</v>
      </c>
      <c r="AE162" s="196">
        <f t="shared" si="183"/>
        <v>0</v>
      </c>
      <c r="AF162" s="196">
        <f t="shared" si="184"/>
        <v>0</v>
      </c>
      <c r="AG162" s="196">
        <f t="shared" si="185"/>
        <v>0</v>
      </c>
      <c r="AH162" s="196">
        <f t="shared" si="186"/>
        <v>0</v>
      </c>
      <c r="AI162" s="266">
        <f>'DATA INPUT - DETAIL'!R153</f>
        <v>0</v>
      </c>
      <c r="AJ162" s="266">
        <f>'DATA INPUT - DETAIL'!S153</f>
        <v>0</v>
      </c>
      <c r="AK162" s="266">
        <f>'DATA INPUT - DETAIL'!T153</f>
        <v>0</v>
      </c>
      <c r="AL162" s="266">
        <f>'DATA INPUT - DETAIL'!U153</f>
        <v>0</v>
      </c>
      <c r="AM162" s="266">
        <f>'DATA INPUT - DETAIL'!V153</f>
        <v>0</v>
      </c>
      <c r="AN162" s="266">
        <f>'DATA INPUT - DETAIL'!W153</f>
        <v>0</v>
      </c>
      <c r="AO162" s="198">
        <f t="shared" si="187"/>
        <v>0</v>
      </c>
      <c r="AP162" s="266">
        <f>'DATA INPUT - DETAIL'!X153</f>
        <v>0</v>
      </c>
      <c r="AQ162" s="266">
        <f>'DATA INPUT - DETAIL'!Y153</f>
        <v>0</v>
      </c>
      <c r="AR162" s="266">
        <f>'DATA INPUT - DETAIL'!Z153</f>
        <v>0</v>
      </c>
      <c r="AS162" s="266">
        <f>'DATA INPUT - DETAIL'!AD153</f>
        <v>0</v>
      </c>
      <c r="AT162" s="266">
        <f t="shared" si="188"/>
        <v>0</v>
      </c>
      <c r="AU162" s="206">
        <f>'DATA INPUT - DETAIL'!AA153</f>
        <v>0</v>
      </c>
      <c r="AV162" s="206">
        <f>'DATA INPUT - DETAIL'!AB153</f>
        <v>0</v>
      </c>
      <c r="AW162" s="206">
        <f>'DATA INPUT - DETAIL'!AC153</f>
        <v>0</v>
      </c>
      <c r="AX162" s="206">
        <f t="shared" si="189"/>
        <v>0</v>
      </c>
      <c r="AY162" s="206">
        <f t="shared" si="190"/>
        <v>0</v>
      </c>
      <c r="AZ162" s="206">
        <f t="shared" si="191"/>
        <v>0</v>
      </c>
      <c r="BA162" s="206">
        <f t="shared" si="192"/>
        <v>0</v>
      </c>
      <c r="BB162" s="206">
        <f t="shared" si="193"/>
        <v>0</v>
      </c>
      <c r="BC162" s="206">
        <f t="shared" si="194"/>
        <v>0</v>
      </c>
      <c r="BD162" s="206">
        <f t="shared" si="195"/>
        <v>0</v>
      </c>
      <c r="BE162" s="206">
        <f t="shared" si="196"/>
        <v>0</v>
      </c>
      <c r="BF162" s="206">
        <f t="shared" si="197"/>
        <v>0</v>
      </c>
      <c r="BG162" s="206">
        <f t="shared" si="198"/>
        <v>0</v>
      </c>
      <c r="BH162" s="206">
        <f t="shared" si="199"/>
        <v>0</v>
      </c>
      <c r="BI162" s="206">
        <f t="shared" si="200"/>
        <v>0</v>
      </c>
      <c r="BJ162" s="266">
        <f t="shared" si="201"/>
        <v>0</v>
      </c>
      <c r="BK162" s="266">
        <f t="shared" si="202"/>
        <v>0</v>
      </c>
      <c r="BL162" s="192">
        <f t="shared" si="203"/>
        <v>0</v>
      </c>
      <c r="BM162" s="192">
        <f t="shared" si="204"/>
        <v>0</v>
      </c>
      <c r="BN162" s="192">
        <f t="shared" si="205"/>
        <v>0</v>
      </c>
      <c r="BO162" s="192">
        <f t="shared" si="206"/>
        <v>0</v>
      </c>
      <c r="BP162" s="192">
        <f t="shared" si="207"/>
        <v>0</v>
      </c>
      <c r="BQ162" s="193">
        <f t="shared" si="208"/>
        <v>0</v>
      </c>
      <c r="BR162" s="193">
        <f t="shared" si="209"/>
        <v>0</v>
      </c>
      <c r="BS162" s="265">
        <f t="shared" si="210"/>
        <v>0</v>
      </c>
      <c r="BT162" s="265">
        <f t="shared" si="211"/>
        <v>0</v>
      </c>
      <c r="BU162" s="265">
        <f t="shared" si="212"/>
        <v>0</v>
      </c>
      <c r="BV162" s="265">
        <f t="shared" si="213"/>
        <v>0</v>
      </c>
      <c r="BW162" s="265">
        <f t="shared" si="214"/>
        <v>0</v>
      </c>
      <c r="BX162" s="265">
        <f t="shared" si="215"/>
        <v>0</v>
      </c>
      <c r="BY162" s="265">
        <f t="shared" si="216"/>
        <v>0</v>
      </c>
      <c r="BZ162" s="265">
        <f t="shared" si="217"/>
        <v>0</v>
      </c>
      <c r="CA162" s="265">
        <f t="shared" si="218"/>
        <v>0</v>
      </c>
      <c r="CB162" s="269">
        <f t="shared" si="219"/>
        <v>0</v>
      </c>
      <c r="CC162" s="266">
        <f t="shared" si="220"/>
        <v>0</v>
      </c>
      <c r="CD162" s="241"/>
      <c r="CE162" s="198">
        <f t="shared" si="221"/>
        <v>1.3715686720433207E-10</v>
      </c>
      <c r="CF162" s="198">
        <f t="shared" si="224"/>
        <v>0</v>
      </c>
      <c r="CG162" s="198">
        <f t="shared" si="225"/>
        <v>0</v>
      </c>
      <c r="CH162" s="198">
        <f t="shared" si="226"/>
        <v>0</v>
      </c>
      <c r="CI162" s="198">
        <f t="shared" si="227"/>
        <v>0</v>
      </c>
      <c r="CJ162" s="198">
        <f t="shared" si="228"/>
        <v>0</v>
      </c>
      <c r="CK162" s="198">
        <f t="shared" si="229"/>
        <v>0</v>
      </c>
      <c r="CL162" s="198">
        <f t="shared" si="230"/>
        <v>5.9916920034614298E-13</v>
      </c>
      <c r="CM162" s="271">
        <f t="shared" si="231"/>
        <v>0</v>
      </c>
      <c r="CN162" s="198">
        <f t="shared" si="232"/>
        <v>1.3775603640467822E-10</v>
      </c>
      <c r="CO162" s="209">
        <f t="shared" si="222"/>
        <v>1.3715686720433207E-10</v>
      </c>
    </row>
    <row r="163" spans="2:93" x14ac:dyDescent="0.2">
      <c r="B163" s="221">
        <f>'DATA INPUT - DETAIL'!D154</f>
        <v>0</v>
      </c>
      <c r="C163" s="211">
        <f>'DATA INPUT - DETAIL'!E154</f>
        <v>0</v>
      </c>
      <c r="D163" s="257">
        <f>'DATA INPUT - DETAIL'!I154</f>
        <v>0</v>
      </c>
      <c r="E163" s="258">
        <f>'DATA INPUT - DETAIL'!K154</f>
        <v>0</v>
      </c>
      <c r="F163" s="258">
        <f>'DATA INPUT - DETAIL'!L154</f>
        <v>0</v>
      </c>
      <c r="G163" s="179">
        <f>'DATA INPUT - DETAIL'!M154*(1+$V$5)</f>
        <v>0</v>
      </c>
      <c r="H163" s="179">
        <f>'DATA INPUT - DETAIL'!N154*(1+$V$5)</f>
        <v>0</v>
      </c>
      <c r="I163" s="258">
        <f t="shared" si="166"/>
        <v>0</v>
      </c>
      <c r="J163" s="258">
        <f>'DATA INPUT - DETAIL'!O154</f>
        <v>0</v>
      </c>
      <c r="K163" s="258">
        <f>'DATA INPUT - DETAIL'!P154</f>
        <v>0</v>
      </c>
      <c r="L163" s="267">
        <f>ROUNDDOWN('DATA INPUT - DETAIL'!G154,0)</f>
        <v>0</v>
      </c>
      <c r="M163" s="196">
        <f t="shared" si="223"/>
        <v>0</v>
      </c>
      <c r="N163" s="196">
        <f t="shared" si="167"/>
        <v>0</v>
      </c>
      <c r="O163" s="196">
        <f t="shared" si="168"/>
        <v>0</v>
      </c>
      <c r="P163" s="196">
        <f t="shared" si="169"/>
        <v>0</v>
      </c>
      <c r="Q163" s="196">
        <f t="shared" si="170"/>
        <v>0</v>
      </c>
      <c r="R163" s="196">
        <f t="shared" si="171"/>
        <v>0</v>
      </c>
      <c r="S163" s="196">
        <f t="shared" si="172"/>
        <v>0</v>
      </c>
      <c r="T163" s="196">
        <f t="shared" si="173"/>
        <v>0</v>
      </c>
      <c r="U163" s="185">
        <f>(C163&gt;0)*(C163&lt;$E$5)*VLOOKUP(MPP,ASUMSI!$BN$77:$CR$108,B163+1)*(1+$V$4)</f>
        <v>0</v>
      </c>
      <c r="V163" s="196">
        <f t="shared" si="174"/>
        <v>0</v>
      </c>
      <c r="W163" s="196">
        <f t="shared" si="175"/>
        <v>0</v>
      </c>
      <c r="X163" s="196">
        <f t="shared" si="176"/>
        <v>0</v>
      </c>
      <c r="Y163" s="196">
        <f t="shared" si="177"/>
        <v>0</v>
      </c>
      <c r="Z163" s="196">
        <f t="shared" si="178"/>
        <v>0</v>
      </c>
      <c r="AA163" s="185">
        <f t="shared" si="179"/>
        <v>0</v>
      </c>
      <c r="AB163" s="196">
        <f t="shared" si="180"/>
        <v>0</v>
      </c>
      <c r="AC163" s="196">
        <f t="shared" si="181"/>
        <v>0</v>
      </c>
      <c r="AD163" s="196">
        <f t="shared" si="182"/>
        <v>0</v>
      </c>
      <c r="AE163" s="196">
        <f t="shared" si="183"/>
        <v>0</v>
      </c>
      <c r="AF163" s="196">
        <f t="shared" si="184"/>
        <v>0</v>
      </c>
      <c r="AG163" s="196">
        <f t="shared" si="185"/>
        <v>0</v>
      </c>
      <c r="AH163" s="196">
        <f t="shared" si="186"/>
        <v>0</v>
      </c>
      <c r="AI163" s="266">
        <f>'DATA INPUT - DETAIL'!R154</f>
        <v>0</v>
      </c>
      <c r="AJ163" s="266">
        <f>'DATA INPUT - DETAIL'!S154</f>
        <v>0</v>
      </c>
      <c r="AK163" s="266">
        <f>'DATA INPUT - DETAIL'!T154</f>
        <v>0</v>
      </c>
      <c r="AL163" s="266">
        <f>'DATA INPUT - DETAIL'!U154</f>
        <v>0</v>
      </c>
      <c r="AM163" s="266">
        <f>'DATA INPUT - DETAIL'!V154</f>
        <v>0</v>
      </c>
      <c r="AN163" s="266">
        <f>'DATA INPUT - DETAIL'!W154</f>
        <v>0</v>
      </c>
      <c r="AO163" s="198">
        <f t="shared" si="187"/>
        <v>0</v>
      </c>
      <c r="AP163" s="266">
        <f>'DATA INPUT - DETAIL'!X154</f>
        <v>0</v>
      </c>
      <c r="AQ163" s="266">
        <f>'DATA INPUT - DETAIL'!Y154</f>
        <v>0</v>
      </c>
      <c r="AR163" s="266">
        <f>'DATA INPUT - DETAIL'!Z154</f>
        <v>0</v>
      </c>
      <c r="AS163" s="266">
        <f>'DATA INPUT - DETAIL'!AD154</f>
        <v>0</v>
      </c>
      <c r="AT163" s="266">
        <f t="shared" si="188"/>
        <v>0</v>
      </c>
      <c r="AU163" s="206">
        <f>'DATA INPUT - DETAIL'!AA154</f>
        <v>0</v>
      </c>
      <c r="AV163" s="206">
        <f>'DATA INPUT - DETAIL'!AB154</f>
        <v>0</v>
      </c>
      <c r="AW163" s="206">
        <f>'DATA INPUT - DETAIL'!AC154</f>
        <v>0</v>
      </c>
      <c r="AX163" s="206">
        <f t="shared" si="189"/>
        <v>0</v>
      </c>
      <c r="AY163" s="206">
        <f t="shared" si="190"/>
        <v>0</v>
      </c>
      <c r="AZ163" s="206">
        <f t="shared" si="191"/>
        <v>0</v>
      </c>
      <c r="BA163" s="206">
        <f t="shared" si="192"/>
        <v>0</v>
      </c>
      <c r="BB163" s="206">
        <f t="shared" si="193"/>
        <v>0</v>
      </c>
      <c r="BC163" s="206">
        <f t="shared" si="194"/>
        <v>0</v>
      </c>
      <c r="BD163" s="206">
        <f t="shared" si="195"/>
        <v>0</v>
      </c>
      <c r="BE163" s="206">
        <f t="shared" si="196"/>
        <v>0</v>
      </c>
      <c r="BF163" s="206">
        <f t="shared" si="197"/>
        <v>0</v>
      </c>
      <c r="BG163" s="206">
        <f t="shared" si="198"/>
        <v>0</v>
      </c>
      <c r="BH163" s="206">
        <f t="shared" si="199"/>
        <v>0</v>
      </c>
      <c r="BI163" s="206">
        <f t="shared" si="200"/>
        <v>0</v>
      </c>
      <c r="BJ163" s="266">
        <f t="shared" si="201"/>
        <v>0</v>
      </c>
      <c r="BK163" s="266">
        <f t="shared" si="202"/>
        <v>0</v>
      </c>
      <c r="BL163" s="192">
        <f t="shared" si="203"/>
        <v>0</v>
      </c>
      <c r="BM163" s="192">
        <f t="shared" si="204"/>
        <v>0</v>
      </c>
      <c r="BN163" s="192">
        <f t="shared" si="205"/>
        <v>0</v>
      </c>
      <c r="BO163" s="192">
        <f t="shared" si="206"/>
        <v>0</v>
      </c>
      <c r="BP163" s="192">
        <f t="shared" si="207"/>
        <v>0</v>
      </c>
      <c r="BQ163" s="193">
        <f t="shared" si="208"/>
        <v>0</v>
      </c>
      <c r="BR163" s="193">
        <f t="shared" si="209"/>
        <v>0</v>
      </c>
      <c r="BS163" s="265">
        <f t="shared" si="210"/>
        <v>0</v>
      </c>
      <c r="BT163" s="265">
        <f t="shared" si="211"/>
        <v>0</v>
      </c>
      <c r="BU163" s="265">
        <f t="shared" si="212"/>
        <v>0</v>
      </c>
      <c r="BV163" s="265">
        <f t="shared" si="213"/>
        <v>0</v>
      </c>
      <c r="BW163" s="265">
        <f t="shared" si="214"/>
        <v>0</v>
      </c>
      <c r="BX163" s="265">
        <f t="shared" si="215"/>
        <v>0</v>
      </c>
      <c r="BY163" s="265">
        <f t="shared" si="216"/>
        <v>0</v>
      </c>
      <c r="BZ163" s="265">
        <f t="shared" si="217"/>
        <v>0</v>
      </c>
      <c r="CA163" s="265">
        <f t="shared" si="218"/>
        <v>0</v>
      </c>
      <c r="CB163" s="269">
        <f t="shared" si="219"/>
        <v>0</v>
      </c>
      <c r="CC163" s="266">
        <f t="shared" si="220"/>
        <v>0</v>
      </c>
      <c r="CD163" s="241"/>
      <c r="CE163" s="198">
        <f t="shared" si="221"/>
        <v>1.3775603640467822E-10</v>
      </c>
      <c r="CF163" s="198">
        <f t="shared" si="224"/>
        <v>0</v>
      </c>
      <c r="CG163" s="198">
        <f t="shared" si="225"/>
        <v>0</v>
      </c>
      <c r="CH163" s="198">
        <f t="shared" si="226"/>
        <v>0</v>
      </c>
      <c r="CI163" s="198">
        <f t="shared" si="227"/>
        <v>0</v>
      </c>
      <c r="CJ163" s="198">
        <f t="shared" si="228"/>
        <v>0</v>
      </c>
      <c r="CK163" s="198">
        <f t="shared" si="229"/>
        <v>0</v>
      </c>
      <c r="CL163" s="198">
        <f t="shared" si="230"/>
        <v>6.0178666849018138E-13</v>
      </c>
      <c r="CM163" s="271">
        <f t="shared" si="231"/>
        <v>0</v>
      </c>
      <c r="CN163" s="198">
        <f t="shared" si="232"/>
        <v>1.3835782307316841E-10</v>
      </c>
      <c r="CO163" s="209">
        <f t="shared" si="222"/>
        <v>1.3775603640467822E-10</v>
      </c>
    </row>
    <row r="164" spans="2:93" x14ac:dyDescent="0.2">
      <c r="B164" s="221">
        <f>'DATA INPUT - DETAIL'!D155</f>
        <v>0</v>
      </c>
      <c r="C164" s="211">
        <f>'DATA INPUT - DETAIL'!E155</f>
        <v>0</v>
      </c>
      <c r="D164" s="257">
        <f>'DATA INPUT - DETAIL'!I155</f>
        <v>0</v>
      </c>
      <c r="E164" s="258">
        <f>'DATA INPUT - DETAIL'!K155</f>
        <v>0</v>
      </c>
      <c r="F164" s="258">
        <f>'DATA INPUT - DETAIL'!L155</f>
        <v>0</v>
      </c>
      <c r="G164" s="179">
        <f>'DATA INPUT - DETAIL'!M155*(1+$V$5)</f>
        <v>0</v>
      </c>
      <c r="H164" s="179">
        <f>'DATA INPUT - DETAIL'!N155*(1+$V$5)</f>
        <v>0</v>
      </c>
      <c r="I164" s="258">
        <f t="shared" si="166"/>
        <v>0</v>
      </c>
      <c r="J164" s="258">
        <f>'DATA INPUT - DETAIL'!O155</f>
        <v>0</v>
      </c>
      <c r="K164" s="258">
        <f>'DATA INPUT - DETAIL'!P155</f>
        <v>0</v>
      </c>
      <c r="L164" s="267">
        <f>ROUNDDOWN('DATA INPUT - DETAIL'!G155,0)</f>
        <v>0</v>
      </c>
      <c r="M164" s="196">
        <f t="shared" si="223"/>
        <v>0</v>
      </c>
      <c r="N164" s="196">
        <f t="shared" si="167"/>
        <v>0</v>
      </c>
      <c r="O164" s="196">
        <f t="shared" si="168"/>
        <v>0</v>
      </c>
      <c r="P164" s="196">
        <f t="shared" si="169"/>
        <v>0</v>
      </c>
      <c r="Q164" s="196">
        <f t="shared" si="170"/>
        <v>0</v>
      </c>
      <c r="R164" s="196">
        <f t="shared" si="171"/>
        <v>0</v>
      </c>
      <c r="S164" s="196">
        <f t="shared" si="172"/>
        <v>0</v>
      </c>
      <c r="T164" s="196">
        <f t="shared" si="173"/>
        <v>0</v>
      </c>
      <c r="U164" s="185">
        <f>(C164&gt;0)*(C164&lt;$E$5)*VLOOKUP(MPP,ASUMSI!$BN$77:$CR$108,B164+1)*(1+$V$4)</f>
        <v>0</v>
      </c>
      <c r="V164" s="196">
        <f t="shared" si="174"/>
        <v>0</v>
      </c>
      <c r="W164" s="196">
        <f t="shared" si="175"/>
        <v>0</v>
      </c>
      <c r="X164" s="196">
        <f t="shared" si="176"/>
        <v>0</v>
      </c>
      <c r="Y164" s="196">
        <f t="shared" si="177"/>
        <v>0</v>
      </c>
      <c r="Z164" s="196">
        <f t="shared" si="178"/>
        <v>0</v>
      </c>
      <c r="AA164" s="185">
        <f t="shared" si="179"/>
        <v>0</v>
      </c>
      <c r="AB164" s="196">
        <f t="shared" si="180"/>
        <v>0</v>
      </c>
      <c r="AC164" s="196">
        <f t="shared" si="181"/>
        <v>0</v>
      </c>
      <c r="AD164" s="196">
        <f t="shared" si="182"/>
        <v>0</v>
      </c>
      <c r="AE164" s="196">
        <f t="shared" si="183"/>
        <v>0</v>
      </c>
      <c r="AF164" s="196">
        <f t="shared" si="184"/>
        <v>0</v>
      </c>
      <c r="AG164" s="196">
        <f t="shared" si="185"/>
        <v>0</v>
      </c>
      <c r="AH164" s="196">
        <f t="shared" si="186"/>
        <v>0</v>
      </c>
      <c r="AI164" s="266">
        <f>'DATA INPUT - DETAIL'!R155</f>
        <v>0</v>
      </c>
      <c r="AJ164" s="266">
        <f>'DATA INPUT - DETAIL'!S155</f>
        <v>0</v>
      </c>
      <c r="AK164" s="266">
        <f>'DATA INPUT - DETAIL'!T155</f>
        <v>0</v>
      </c>
      <c r="AL164" s="266">
        <f>'DATA INPUT - DETAIL'!U155</f>
        <v>0</v>
      </c>
      <c r="AM164" s="266">
        <f>'DATA INPUT - DETAIL'!V155</f>
        <v>0</v>
      </c>
      <c r="AN164" s="266">
        <f>'DATA INPUT - DETAIL'!W155</f>
        <v>0</v>
      </c>
      <c r="AO164" s="198">
        <f t="shared" si="187"/>
        <v>0</v>
      </c>
      <c r="AP164" s="266">
        <f>'DATA INPUT - DETAIL'!X155</f>
        <v>0</v>
      </c>
      <c r="AQ164" s="266">
        <f>'DATA INPUT - DETAIL'!Y155</f>
        <v>0</v>
      </c>
      <c r="AR164" s="266">
        <f>'DATA INPUT - DETAIL'!Z155</f>
        <v>0</v>
      </c>
      <c r="AS164" s="266">
        <f>'DATA INPUT - DETAIL'!AD155</f>
        <v>0</v>
      </c>
      <c r="AT164" s="266">
        <f t="shared" si="188"/>
        <v>0</v>
      </c>
      <c r="AU164" s="206">
        <f>'DATA INPUT - DETAIL'!AA155</f>
        <v>0</v>
      </c>
      <c r="AV164" s="206">
        <f>'DATA INPUT - DETAIL'!AB155</f>
        <v>0</v>
      </c>
      <c r="AW164" s="206">
        <f>'DATA INPUT - DETAIL'!AC155</f>
        <v>0</v>
      </c>
      <c r="AX164" s="206">
        <f t="shared" si="189"/>
        <v>0</v>
      </c>
      <c r="AY164" s="206">
        <f t="shared" si="190"/>
        <v>0</v>
      </c>
      <c r="AZ164" s="206">
        <f t="shared" si="191"/>
        <v>0</v>
      </c>
      <c r="BA164" s="206">
        <f t="shared" si="192"/>
        <v>0</v>
      </c>
      <c r="BB164" s="206">
        <f t="shared" si="193"/>
        <v>0</v>
      </c>
      <c r="BC164" s="206">
        <f t="shared" si="194"/>
        <v>0</v>
      </c>
      <c r="BD164" s="206">
        <f t="shared" si="195"/>
        <v>0</v>
      </c>
      <c r="BE164" s="206">
        <f t="shared" si="196"/>
        <v>0</v>
      </c>
      <c r="BF164" s="206">
        <f t="shared" si="197"/>
        <v>0</v>
      </c>
      <c r="BG164" s="206">
        <f t="shared" si="198"/>
        <v>0</v>
      </c>
      <c r="BH164" s="206">
        <f t="shared" si="199"/>
        <v>0</v>
      </c>
      <c r="BI164" s="206">
        <f t="shared" si="200"/>
        <v>0</v>
      </c>
      <c r="BJ164" s="266">
        <f t="shared" si="201"/>
        <v>0</v>
      </c>
      <c r="BK164" s="266">
        <f t="shared" si="202"/>
        <v>0</v>
      </c>
      <c r="BL164" s="192">
        <f t="shared" si="203"/>
        <v>0</v>
      </c>
      <c r="BM164" s="192">
        <f t="shared" si="204"/>
        <v>0</v>
      </c>
      <c r="BN164" s="192">
        <f t="shared" si="205"/>
        <v>0</v>
      </c>
      <c r="BO164" s="192">
        <f t="shared" si="206"/>
        <v>0</v>
      </c>
      <c r="BP164" s="192">
        <f t="shared" si="207"/>
        <v>0</v>
      </c>
      <c r="BQ164" s="193">
        <f t="shared" si="208"/>
        <v>0</v>
      </c>
      <c r="BR164" s="193">
        <f t="shared" si="209"/>
        <v>0</v>
      </c>
      <c r="BS164" s="265">
        <f t="shared" si="210"/>
        <v>0</v>
      </c>
      <c r="BT164" s="265">
        <f t="shared" si="211"/>
        <v>0</v>
      </c>
      <c r="BU164" s="265">
        <f t="shared" si="212"/>
        <v>0</v>
      </c>
      <c r="BV164" s="265">
        <f t="shared" si="213"/>
        <v>0</v>
      </c>
      <c r="BW164" s="265">
        <f t="shared" si="214"/>
        <v>0</v>
      </c>
      <c r="BX164" s="265">
        <f t="shared" si="215"/>
        <v>0</v>
      </c>
      <c r="BY164" s="265">
        <f t="shared" si="216"/>
        <v>0</v>
      </c>
      <c r="BZ164" s="265">
        <f t="shared" si="217"/>
        <v>0</v>
      </c>
      <c r="CA164" s="265">
        <f t="shared" si="218"/>
        <v>0</v>
      </c>
      <c r="CB164" s="269">
        <f t="shared" si="219"/>
        <v>0</v>
      </c>
      <c r="CC164" s="266">
        <f t="shared" si="220"/>
        <v>0</v>
      </c>
      <c r="CD164" s="241"/>
      <c r="CE164" s="198">
        <f t="shared" si="221"/>
        <v>1.3835782307316841E-10</v>
      </c>
      <c r="CF164" s="198">
        <f t="shared" si="224"/>
        <v>0</v>
      </c>
      <c r="CG164" s="198">
        <f t="shared" si="225"/>
        <v>0</v>
      </c>
      <c r="CH164" s="198">
        <f t="shared" si="226"/>
        <v>0</v>
      </c>
      <c r="CI164" s="198">
        <f t="shared" si="227"/>
        <v>0</v>
      </c>
      <c r="CJ164" s="198">
        <f t="shared" si="228"/>
        <v>0</v>
      </c>
      <c r="CK164" s="198">
        <f t="shared" si="229"/>
        <v>0</v>
      </c>
      <c r="CL164" s="198">
        <f t="shared" si="230"/>
        <v>6.0441557103285222E-13</v>
      </c>
      <c r="CM164" s="271">
        <f t="shared" si="231"/>
        <v>0</v>
      </c>
      <c r="CN164" s="198">
        <f t="shared" si="232"/>
        <v>1.3896223864420127E-10</v>
      </c>
      <c r="CO164" s="209">
        <f t="shared" si="222"/>
        <v>1.3835782307316841E-10</v>
      </c>
    </row>
    <row r="165" spans="2:93" x14ac:dyDescent="0.2">
      <c r="B165" s="221">
        <f>'DATA INPUT - DETAIL'!D156</f>
        <v>0</v>
      </c>
      <c r="C165" s="211">
        <f>'DATA INPUT - DETAIL'!E156</f>
        <v>0</v>
      </c>
      <c r="D165" s="257">
        <f>'DATA INPUT - DETAIL'!I156</f>
        <v>0</v>
      </c>
      <c r="E165" s="258">
        <f>'DATA INPUT - DETAIL'!K156</f>
        <v>0</v>
      </c>
      <c r="F165" s="258">
        <f>'DATA INPUT - DETAIL'!L156</f>
        <v>0</v>
      </c>
      <c r="G165" s="179">
        <f>'DATA INPUT - DETAIL'!M156*(1+$V$5)</f>
        <v>0</v>
      </c>
      <c r="H165" s="179">
        <f>'DATA INPUT - DETAIL'!N156*(1+$V$5)</f>
        <v>0</v>
      </c>
      <c r="I165" s="258">
        <f t="shared" si="166"/>
        <v>0</v>
      </c>
      <c r="J165" s="258">
        <f>'DATA INPUT - DETAIL'!O156</f>
        <v>0</v>
      </c>
      <c r="K165" s="258">
        <f>'DATA INPUT - DETAIL'!P156</f>
        <v>0</v>
      </c>
      <c r="L165" s="267">
        <f>ROUNDDOWN('DATA INPUT - DETAIL'!G156,0)</f>
        <v>0</v>
      </c>
      <c r="M165" s="196">
        <f t="shared" si="223"/>
        <v>0</v>
      </c>
      <c r="N165" s="196">
        <f t="shared" si="167"/>
        <v>0</v>
      </c>
      <c r="O165" s="196">
        <f t="shared" si="168"/>
        <v>0</v>
      </c>
      <c r="P165" s="196">
        <f t="shared" si="169"/>
        <v>0</v>
      </c>
      <c r="Q165" s="196">
        <f t="shared" si="170"/>
        <v>0</v>
      </c>
      <c r="R165" s="196">
        <f t="shared" si="171"/>
        <v>0</v>
      </c>
      <c r="S165" s="196">
        <f t="shared" si="172"/>
        <v>0</v>
      </c>
      <c r="T165" s="196">
        <f t="shared" si="173"/>
        <v>0</v>
      </c>
      <c r="U165" s="185">
        <f>(C165&gt;0)*(C165&lt;$E$5)*VLOOKUP(MPP,ASUMSI!$BN$77:$CR$108,B165+1)*(1+$V$4)</f>
        <v>0</v>
      </c>
      <c r="V165" s="196">
        <f t="shared" si="174"/>
        <v>0</v>
      </c>
      <c r="W165" s="196">
        <f t="shared" si="175"/>
        <v>0</v>
      </c>
      <c r="X165" s="196">
        <f t="shared" si="176"/>
        <v>0</v>
      </c>
      <c r="Y165" s="196">
        <f t="shared" si="177"/>
        <v>0</v>
      </c>
      <c r="Z165" s="196">
        <f t="shared" si="178"/>
        <v>0</v>
      </c>
      <c r="AA165" s="185">
        <f t="shared" si="179"/>
        <v>0</v>
      </c>
      <c r="AB165" s="196">
        <f t="shared" si="180"/>
        <v>0</v>
      </c>
      <c r="AC165" s="196">
        <f t="shared" si="181"/>
        <v>0</v>
      </c>
      <c r="AD165" s="196">
        <f t="shared" si="182"/>
        <v>0</v>
      </c>
      <c r="AE165" s="196">
        <f t="shared" si="183"/>
        <v>0</v>
      </c>
      <c r="AF165" s="196">
        <f t="shared" si="184"/>
        <v>0</v>
      </c>
      <c r="AG165" s="196">
        <f t="shared" si="185"/>
        <v>0</v>
      </c>
      <c r="AH165" s="196">
        <f t="shared" si="186"/>
        <v>0</v>
      </c>
      <c r="AI165" s="266">
        <f>'DATA INPUT - DETAIL'!R156</f>
        <v>0</v>
      </c>
      <c r="AJ165" s="266">
        <f>'DATA INPUT - DETAIL'!S156</f>
        <v>0</v>
      </c>
      <c r="AK165" s="266">
        <f>'DATA INPUT - DETAIL'!T156</f>
        <v>0</v>
      </c>
      <c r="AL165" s="266">
        <f>'DATA INPUT - DETAIL'!U156</f>
        <v>0</v>
      </c>
      <c r="AM165" s="266">
        <f>'DATA INPUT - DETAIL'!V156</f>
        <v>0</v>
      </c>
      <c r="AN165" s="266">
        <f>'DATA INPUT - DETAIL'!W156</f>
        <v>0</v>
      </c>
      <c r="AO165" s="198">
        <f t="shared" si="187"/>
        <v>0</v>
      </c>
      <c r="AP165" s="266">
        <f>'DATA INPUT - DETAIL'!X156</f>
        <v>0</v>
      </c>
      <c r="AQ165" s="266">
        <f>'DATA INPUT - DETAIL'!Y156</f>
        <v>0</v>
      </c>
      <c r="AR165" s="266">
        <f>'DATA INPUT - DETAIL'!Z156</f>
        <v>0</v>
      </c>
      <c r="AS165" s="266">
        <f>'DATA INPUT - DETAIL'!AD156</f>
        <v>0</v>
      </c>
      <c r="AT165" s="266">
        <f t="shared" si="188"/>
        <v>0</v>
      </c>
      <c r="AU165" s="206">
        <f>'DATA INPUT - DETAIL'!AA156</f>
        <v>0</v>
      </c>
      <c r="AV165" s="206">
        <f>'DATA INPUT - DETAIL'!AB156</f>
        <v>0</v>
      </c>
      <c r="AW165" s="206">
        <f>'DATA INPUT - DETAIL'!AC156</f>
        <v>0</v>
      </c>
      <c r="AX165" s="206">
        <f t="shared" si="189"/>
        <v>0</v>
      </c>
      <c r="AY165" s="206">
        <f t="shared" si="190"/>
        <v>0</v>
      </c>
      <c r="AZ165" s="206">
        <f t="shared" si="191"/>
        <v>0</v>
      </c>
      <c r="BA165" s="206">
        <f t="shared" si="192"/>
        <v>0</v>
      </c>
      <c r="BB165" s="206">
        <f t="shared" si="193"/>
        <v>0</v>
      </c>
      <c r="BC165" s="206">
        <f t="shared" si="194"/>
        <v>0</v>
      </c>
      <c r="BD165" s="206">
        <f t="shared" si="195"/>
        <v>0</v>
      </c>
      <c r="BE165" s="206">
        <f t="shared" si="196"/>
        <v>0</v>
      </c>
      <c r="BF165" s="206">
        <f t="shared" si="197"/>
        <v>0</v>
      </c>
      <c r="BG165" s="206">
        <f t="shared" si="198"/>
        <v>0</v>
      </c>
      <c r="BH165" s="206">
        <f t="shared" si="199"/>
        <v>0</v>
      </c>
      <c r="BI165" s="206">
        <f t="shared" si="200"/>
        <v>0</v>
      </c>
      <c r="BJ165" s="266">
        <f t="shared" si="201"/>
        <v>0</v>
      </c>
      <c r="BK165" s="266">
        <f t="shared" si="202"/>
        <v>0</v>
      </c>
      <c r="BL165" s="192">
        <f t="shared" si="203"/>
        <v>0</v>
      </c>
      <c r="BM165" s="192">
        <f t="shared" si="204"/>
        <v>0</v>
      </c>
      <c r="BN165" s="192">
        <f t="shared" si="205"/>
        <v>0</v>
      </c>
      <c r="BO165" s="192">
        <f t="shared" si="206"/>
        <v>0</v>
      </c>
      <c r="BP165" s="192">
        <f t="shared" si="207"/>
        <v>0</v>
      </c>
      <c r="BQ165" s="193">
        <f t="shared" si="208"/>
        <v>0</v>
      </c>
      <c r="BR165" s="193">
        <f t="shared" si="209"/>
        <v>0</v>
      </c>
      <c r="BS165" s="265">
        <f t="shared" si="210"/>
        <v>0</v>
      </c>
      <c r="BT165" s="265">
        <f t="shared" si="211"/>
        <v>0</v>
      </c>
      <c r="BU165" s="265">
        <f t="shared" si="212"/>
        <v>0</v>
      </c>
      <c r="BV165" s="265">
        <f t="shared" si="213"/>
        <v>0</v>
      </c>
      <c r="BW165" s="265">
        <f t="shared" si="214"/>
        <v>0</v>
      </c>
      <c r="BX165" s="265">
        <f t="shared" si="215"/>
        <v>0</v>
      </c>
      <c r="BY165" s="265">
        <f t="shared" si="216"/>
        <v>0</v>
      </c>
      <c r="BZ165" s="265">
        <f t="shared" si="217"/>
        <v>0</v>
      </c>
      <c r="CA165" s="265">
        <f t="shared" si="218"/>
        <v>0</v>
      </c>
      <c r="CB165" s="269">
        <f t="shared" si="219"/>
        <v>0</v>
      </c>
      <c r="CC165" s="266">
        <f t="shared" si="220"/>
        <v>0</v>
      </c>
      <c r="CD165" s="241"/>
      <c r="CE165" s="198">
        <f t="shared" si="221"/>
        <v>1.3896223864420127E-10</v>
      </c>
      <c r="CF165" s="198">
        <f t="shared" si="224"/>
        <v>0</v>
      </c>
      <c r="CG165" s="198">
        <f t="shared" si="225"/>
        <v>0</v>
      </c>
      <c r="CH165" s="198">
        <f t="shared" si="226"/>
        <v>0</v>
      </c>
      <c r="CI165" s="198">
        <f t="shared" si="227"/>
        <v>0</v>
      </c>
      <c r="CJ165" s="198">
        <f t="shared" si="228"/>
        <v>0</v>
      </c>
      <c r="CK165" s="198">
        <f t="shared" si="229"/>
        <v>0</v>
      </c>
      <c r="CL165" s="198">
        <f t="shared" si="230"/>
        <v>6.0705595792527816E-13</v>
      </c>
      <c r="CM165" s="271">
        <f t="shared" si="231"/>
        <v>0</v>
      </c>
      <c r="CN165" s="198">
        <f t="shared" si="232"/>
        <v>1.3956929460212654E-10</v>
      </c>
      <c r="CO165" s="209">
        <f t="shared" si="222"/>
        <v>1.3896223864420127E-10</v>
      </c>
    </row>
    <row r="166" spans="2:93" x14ac:dyDescent="0.2">
      <c r="B166" s="221">
        <f>'DATA INPUT - DETAIL'!D157</f>
        <v>0</v>
      </c>
      <c r="C166" s="211">
        <f>'DATA INPUT - DETAIL'!E157</f>
        <v>0</v>
      </c>
      <c r="D166" s="257">
        <f>'DATA INPUT - DETAIL'!I157</f>
        <v>0</v>
      </c>
      <c r="E166" s="258">
        <f>'DATA INPUT - DETAIL'!K157</f>
        <v>0</v>
      </c>
      <c r="F166" s="258">
        <f>'DATA INPUT - DETAIL'!L157</f>
        <v>0</v>
      </c>
      <c r="G166" s="179">
        <f>'DATA INPUT - DETAIL'!M157*(1+$V$5)</f>
        <v>0</v>
      </c>
      <c r="H166" s="179">
        <f>'DATA INPUT - DETAIL'!N157*(1+$V$5)</f>
        <v>0</v>
      </c>
      <c r="I166" s="258">
        <f t="shared" si="166"/>
        <v>0</v>
      </c>
      <c r="J166" s="258">
        <f>'DATA INPUT - DETAIL'!O157</f>
        <v>0</v>
      </c>
      <c r="K166" s="258">
        <f>'DATA INPUT - DETAIL'!P157</f>
        <v>0</v>
      </c>
      <c r="L166" s="267">
        <f>ROUNDDOWN('DATA INPUT - DETAIL'!G157,0)</f>
        <v>0</v>
      </c>
      <c r="M166" s="196">
        <f t="shared" si="223"/>
        <v>0</v>
      </c>
      <c r="N166" s="196">
        <f t="shared" si="167"/>
        <v>0</v>
      </c>
      <c r="O166" s="196">
        <f t="shared" si="168"/>
        <v>0</v>
      </c>
      <c r="P166" s="196">
        <f t="shared" si="169"/>
        <v>0</v>
      </c>
      <c r="Q166" s="196">
        <f t="shared" si="170"/>
        <v>0</v>
      </c>
      <c r="R166" s="196">
        <f t="shared" si="171"/>
        <v>0</v>
      </c>
      <c r="S166" s="196">
        <f t="shared" si="172"/>
        <v>0</v>
      </c>
      <c r="T166" s="196">
        <f t="shared" si="173"/>
        <v>0</v>
      </c>
      <c r="U166" s="185">
        <f>(C166&gt;0)*(C166&lt;$E$5)*VLOOKUP(MPP,ASUMSI!$BN$77:$CR$108,B166+1)*(1+$V$4)</f>
        <v>0</v>
      </c>
      <c r="V166" s="196">
        <f t="shared" si="174"/>
        <v>0</v>
      </c>
      <c r="W166" s="196">
        <f t="shared" si="175"/>
        <v>0</v>
      </c>
      <c r="X166" s="196">
        <f t="shared" si="176"/>
        <v>0</v>
      </c>
      <c r="Y166" s="196">
        <f t="shared" si="177"/>
        <v>0</v>
      </c>
      <c r="Z166" s="196">
        <f t="shared" si="178"/>
        <v>0</v>
      </c>
      <c r="AA166" s="185">
        <f t="shared" si="179"/>
        <v>0</v>
      </c>
      <c r="AB166" s="196">
        <f t="shared" si="180"/>
        <v>0</v>
      </c>
      <c r="AC166" s="196">
        <f t="shared" si="181"/>
        <v>0</v>
      </c>
      <c r="AD166" s="196">
        <f t="shared" si="182"/>
        <v>0</v>
      </c>
      <c r="AE166" s="196">
        <f t="shared" si="183"/>
        <v>0</v>
      </c>
      <c r="AF166" s="196">
        <f t="shared" si="184"/>
        <v>0</v>
      </c>
      <c r="AG166" s="196">
        <f t="shared" si="185"/>
        <v>0</v>
      </c>
      <c r="AH166" s="196">
        <f t="shared" si="186"/>
        <v>0</v>
      </c>
      <c r="AI166" s="266">
        <f>'DATA INPUT - DETAIL'!R157</f>
        <v>0</v>
      </c>
      <c r="AJ166" s="266">
        <f>'DATA INPUT - DETAIL'!S157</f>
        <v>0</v>
      </c>
      <c r="AK166" s="266">
        <f>'DATA INPUT - DETAIL'!T157</f>
        <v>0</v>
      </c>
      <c r="AL166" s="266">
        <f>'DATA INPUT - DETAIL'!U157</f>
        <v>0</v>
      </c>
      <c r="AM166" s="266">
        <f>'DATA INPUT - DETAIL'!V157</f>
        <v>0</v>
      </c>
      <c r="AN166" s="266">
        <f>'DATA INPUT - DETAIL'!W157</f>
        <v>0</v>
      </c>
      <c r="AO166" s="198">
        <f t="shared" si="187"/>
        <v>0</v>
      </c>
      <c r="AP166" s="266">
        <f>'DATA INPUT - DETAIL'!X157</f>
        <v>0</v>
      </c>
      <c r="AQ166" s="266">
        <f>'DATA INPUT - DETAIL'!Y157</f>
        <v>0</v>
      </c>
      <c r="AR166" s="266">
        <f>'DATA INPUT - DETAIL'!Z157</f>
        <v>0</v>
      </c>
      <c r="AS166" s="266">
        <f>'DATA INPUT - DETAIL'!AD157</f>
        <v>0</v>
      </c>
      <c r="AT166" s="266">
        <f t="shared" si="188"/>
        <v>0</v>
      </c>
      <c r="AU166" s="206">
        <f>'DATA INPUT - DETAIL'!AA157</f>
        <v>0</v>
      </c>
      <c r="AV166" s="206">
        <f>'DATA INPUT - DETAIL'!AB157</f>
        <v>0</v>
      </c>
      <c r="AW166" s="206">
        <f>'DATA INPUT - DETAIL'!AC157</f>
        <v>0</v>
      </c>
      <c r="AX166" s="206">
        <f t="shared" si="189"/>
        <v>0</v>
      </c>
      <c r="AY166" s="206">
        <f t="shared" si="190"/>
        <v>0</v>
      </c>
      <c r="AZ166" s="206">
        <f t="shared" si="191"/>
        <v>0</v>
      </c>
      <c r="BA166" s="206">
        <f t="shared" si="192"/>
        <v>0</v>
      </c>
      <c r="BB166" s="206">
        <f t="shared" si="193"/>
        <v>0</v>
      </c>
      <c r="BC166" s="206">
        <f t="shared" si="194"/>
        <v>0</v>
      </c>
      <c r="BD166" s="206">
        <f t="shared" si="195"/>
        <v>0</v>
      </c>
      <c r="BE166" s="206">
        <f t="shared" si="196"/>
        <v>0</v>
      </c>
      <c r="BF166" s="206">
        <f t="shared" si="197"/>
        <v>0</v>
      </c>
      <c r="BG166" s="206">
        <f t="shared" si="198"/>
        <v>0</v>
      </c>
      <c r="BH166" s="206">
        <f t="shared" si="199"/>
        <v>0</v>
      </c>
      <c r="BI166" s="206">
        <f t="shared" si="200"/>
        <v>0</v>
      </c>
      <c r="BJ166" s="266">
        <f t="shared" si="201"/>
        <v>0</v>
      </c>
      <c r="BK166" s="266">
        <f t="shared" si="202"/>
        <v>0</v>
      </c>
      <c r="BL166" s="192">
        <f t="shared" si="203"/>
        <v>0</v>
      </c>
      <c r="BM166" s="192">
        <f t="shared" si="204"/>
        <v>0</v>
      </c>
      <c r="BN166" s="192">
        <f t="shared" si="205"/>
        <v>0</v>
      </c>
      <c r="BO166" s="192">
        <f t="shared" si="206"/>
        <v>0</v>
      </c>
      <c r="BP166" s="192">
        <f t="shared" si="207"/>
        <v>0</v>
      </c>
      <c r="BQ166" s="193">
        <f t="shared" si="208"/>
        <v>0</v>
      </c>
      <c r="BR166" s="193">
        <f t="shared" si="209"/>
        <v>0</v>
      </c>
      <c r="BS166" s="265">
        <f t="shared" si="210"/>
        <v>0</v>
      </c>
      <c r="BT166" s="265">
        <f t="shared" si="211"/>
        <v>0</v>
      </c>
      <c r="BU166" s="265">
        <f t="shared" si="212"/>
        <v>0</v>
      </c>
      <c r="BV166" s="265">
        <f t="shared" si="213"/>
        <v>0</v>
      </c>
      <c r="BW166" s="265">
        <f t="shared" si="214"/>
        <v>0</v>
      </c>
      <c r="BX166" s="265">
        <f t="shared" si="215"/>
        <v>0</v>
      </c>
      <c r="BY166" s="265">
        <f t="shared" si="216"/>
        <v>0</v>
      </c>
      <c r="BZ166" s="265">
        <f t="shared" si="217"/>
        <v>0</v>
      </c>
      <c r="CA166" s="265">
        <f t="shared" si="218"/>
        <v>0</v>
      </c>
      <c r="CB166" s="269">
        <f t="shared" si="219"/>
        <v>0</v>
      </c>
      <c r="CC166" s="266">
        <f t="shared" si="220"/>
        <v>0</v>
      </c>
      <c r="CD166" s="241"/>
      <c r="CE166" s="198">
        <f t="shared" si="221"/>
        <v>1.3956929460212654E-10</v>
      </c>
      <c r="CF166" s="198">
        <f t="shared" si="224"/>
        <v>0</v>
      </c>
      <c r="CG166" s="198">
        <f t="shared" si="225"/>
        <v>0</v>
      </c>
      <c r="CH166" s="198">
        <f t="shared" si="226"/>
        <v>0</v>
      </c>
      <c r="CI166" s="198">
        <f t="shared" si="227"/>
        <v>0</v>
      </c>
      <c r="CJ166" s="198">
        <f t="shared" si="228"/>
        <v>0</v>
      </c>
      <c r="CK166" s="198">
        <f t="shared" si="229"/>
        <v>0</v>
      </c>
      <c r="CL166" s="198">
        <f t="shared" si="230"/>
        <v>6.0970787933679286E-13</v>
      </c>
      <c r="CM166" s="271">
        <f t="shared" si="231"/>
        <v>0</v>
      </c>
      <c r="CN166" s="198">
        <f t="shared" si="232"/>
        <v>1.4017900248146333E-10</v>
      </c>
      <c r="CO166" s="209">
        <f t="shared" si="222"/>
        <v>1.3956929460212654E-10</v>
      </c>
    </row>
    <row r="167" spans="2:93" x14ac:dyDescent="0.2">
      <c r="B167" s="221">
        <f>'DATA INPUT - DETAIL'!D158</f>
        <v>0</v>
      </c>
      <c r="C167" s="211">
        <f>'DATA INPUT - DETAIL'!E158</f>
        <v>0</v>
      </c>
      <c r="D167" s="257">
        <f>'DATA INPUT - DETAIL'!I158</f>
        <v>0</v>
      </c>
      <c r="E167" s="258">
        <f>'DATA INPUT - DETAIL'!K158</f>
        <v>0</v>
      </c>
      <c r="F167" s="258">
        <f>'DATA INPUT - DETAIL'!L158</f>
        <v>0</v>
      </c>
      <c r="G167" s="179">
        <f>'DATA INPUT - DETAIL'!M158*(1+$V$5)</f>
        <v>0</v>
      </c>
      <c r="H167" s="179">
        <f>'DATA INPUT - DETAIL'!N158*(1+$V$5)</f>
        <v>0</v>
      </c>
      <c r="I167" s="258">
        <f t="shared" si="166"/>
        <v>0</v>
      </c>
      <c r="J167" s="258">
        <f>'DATA INPUT - DETAIL'!O158</f>
        <v>0</v>
      </c>
      <c r="K167" s="258">
        <f>'DATA INPUT - DETAIL'!P158</f>
        <v>0</v>
      </c>
      <c r="L167" s="267">
        <f>ROUNDDOWN('DATA INPUT - DETAIL'!G158,0)</f>
        <v>0</v>
      </c>
      <c r="M167" s="196">
        <f t="shared" si="223"/>
        <v>0</v>
      </c>
      <c r="N167" s="196">
        <f t="shared" si="167"/>
        <v>0</v>
      </c>
      <c r="O167" s="196">
        <f t="shared" si="168"/>
        <v>0</v>
      </c>
      <c r="P167" s="196">
        <f t="shared" si="169"/>
        <v>0</v>
      </c>
      <c r="Q167" s="196">
        <f t="shared" si="170"/>
        <v>0</v>
      </c>
      <c r="R167" s="196">
        <f t="shared" si="171"/>
        <v>0</v>
      </c>
      <c r="S167" s="196">
        <f t="shared" si="172"/>
        <v>0</v>
      </c>
      <c r="T167" s="196">
        <f t="shared" si="173"/>
        <v>0</v>
      </c>
      <c r="U167" s="185">
        <f>(C167&gt;0)*(C167&lt;$E$5)*VLOOKUP(MPP,ASUMSI!$BN$77:$CR$108,B167+1)*(1+$V$4)</f>
        <v>0</v>
      </c>
      <c r="V167" s="196">
        <f t="shared" si="174"/>
        <v>0</v>
      </c>
      <c r="W167" s="196">
        <f t="shared" si="175"/>
        <v>0</v>
      </c>
      <c r="X167" s="196">
        <f t="shared" si="176"/>
        <v>0</v>
      </c>
      <c r="Y167" s="196">
        <f t="shared" si="177"/>
        <v>0</v>
      </c>
      <c r="Z167" s="196">
        <f t="shared" si="178"/>
        <v>0</v>
      </c>
      <c r="AA167" s="185">
        <f t="shared" si="179"/>
        <v>0</v>
      </c>
      <c r="AB167" s="196">
        <f t="shared" si="180"/>
        <v>0</v>
      </c>
      <c r="AC167" s="196">
        <f t="shared" si="181"/>
        <v>0</v>
      </c>
      <c r="AD167" s="196">
        <f t="shared" si="182"/>
        <v>0</v>
      </c>
      <c r="AE167" s="196">
        <f t="shared" si="183"/>
        <v>0</v>
      </c>
      <c r="AF167" s="196">
        <f t="shared" si="184"/>
        <v>0</v>
      </c>
      <c r="AG167" s="196">
        <f t="shared" si="185"/>
        <v>0</v>
      </c>
      <c r="AH167" s="196">
        <f t="shared" si="186"/>
        <v>0</v>
      </c>
      <c r="AI167" s="266">
        <f>'DATA INPUT - DETAIL'!R158</f>
        <v>0</v>
      </c>
      <c r="AJ167" s="266">
        <f>'DATA INPUT - DETAIL'!S158</f>
        <v>0</v>
      </c>
      <c r="AK167" s="266">
        <f>'DATA INPUT - DETAIL'!T158</f>
        <v>0</v>
      </c>
      <c r="AL167" s="266">
        <f>'DATA INPUT - DETAIL'!U158</f>
        <v>0</v>
      </c>
      <c r="AM167" s="266">
        <f>'DATA INPUT - DETAIL'!V158</f>
        <v>0</v>
      </c>
      <c r="AN167" s="266">
        <f>'DATA INPUT - DETAIL'!W158</f>
        <v>0</v>
      </c>
      <c r="AO167" s="198">
        <f t="shared" si="187"/>
        <v>0</v>
      </c>
      <c r="AP167" s="266">
        <f>'DATA INPUT - DETAIL'!X158</f>
        <v>0</v>
      </c>
      <c r="AQ167" s="266">
        <f>'DATA INPUT - DETAIL'!Y158</f>
        <v>0</v>
      </c>
      <c r="AR167" s="266">
        <f>'DATA INPUT - DETAIL'!Z158</f>
        <v>0</v>
      </c>
      <c r="AS167" s="266">
        <f>'DATA INPUT - DETAIL'!AD158</f>
        <v>0</v>
      </c>
      <c r="AT167" s="266">
        <f t="shared" si="188"/>
        <v>0</v>
      </c>
      <c r="AU167" s="206">
        <f>'DATA INPUT - DETAIL'!AA158</f>
        <v>0</v>
      </c>
      <c r="AV167" s="206">
        <f>'DATA INPUT - DETAIL'!AB158</f>
        <v>0</v>
      </c>
      <c r="AW167" s="206">
        <f>'DATA INPUT - DETAIL'!AC158</f>
        <v>0</v>
      </c>
      <c r="AX167" s="206">
        <f t="shared" si="189"/>
        <v>0</v>
      </c>
      <c r="AY167" s="206">
        <f t="shared" si="190"/>
        <v>0</v>
      </c>
      <c r="AZ167" s="206">
        <f t="shared" si="191"/>
        <v>0</v>
      </c>
      <c r="BA167" s="206">
        <f t="shared" si="192"/>
        <v>0</v>
      </c>
      <c r="BB167" s="206">
        <f t="shared" si="193"/>
        <v>0</v>
      </c>
      <c r="BC167" s="206">
        <f t="shared" si="194"/>
        <v>0</v>
      </c>
      <c r="BD167" s="206">
        <f t="shared" si="195"/>
        <v>0</v>
      </c>
      <c r="BE167" s="206">
        <f t="shared" si="196"/>
        <v>0</v>
      </c>
      <c r="BF167" s="206">
        <f t="shared" si="197"/>
        <v>0</v>
      </c>
      <c r="BG167" s="206">
        <f t="shared" si="198"/>
        <v>0</v>
      </c>
      <c r="BH167" s="206">
        <f t="shared" si="199"/>
        <v>0</v>
      </c>
      <c r="BI167" s="206">
        <f t="shared" si="200"/>
        <v>0</v>
      </c>
      <c r="BJ167" s="266">
        <f t="shared" si="201"/>
        <v>0</v>
      </c>
      <c r="BK167" s="266">
        <f t="shared" si="202"/>
        <v>0</v>
      </c>
      <c r="BL167" s="192">
        <f t="shared" si="203"/>
        <v>0</v>
      </c>
      <c r="BM167" s="192">
        <f t="shared" si="204"/>
        <v>0</v>
      </c>
      <c r="BN167" s="192">
        <f t="shared" si="205"/>
        <v>0</v>
      </c>
      <c r="BO167" s="192">
        <f t="shared" si="206"/>
        <v>0</v>
      </c>
      <c r="BP167" s="192">
        <f t="shared" si="207"/>
        <v>0</v>
      </c>
      <c r="BQ167" s="193">
        <f t="shared" si="208"/>
        <v>0</v>
      </c>
      <c r="BR167" s="193">
        <f t="shared" si="209"/>
        <v>0</v>
      </c>
      <c r="BS167" s="265">
        <f t="shared" si="210"/>
        <v>0</v>
      </c>
      <c r="BT167" s="265">
        <f t="shared" si="211"/>
        <v>0</v>
      </c>
      <c r="BU167" s="265">
        <f t="shared" si="212"/>
        <v>0</v>
      </c>
      <c r="BV167" s="265">
        <f t="shared" si="213"/>
        <v>0</v>
      </c>
      <c r="BW167" s="265">
        <f t="shared" si="214"/>
        <v>0</v>
      </c>
      <c r="BX167" s="265">
        <f t="shared" si="215"/>
        <v>0</v>
      </c>
      <c r="BY167" s="265">
        <f t="shared" si="216"/>
        <v>0</v>
      </c>
      <c r="BZ167" s="265">
        <f t="shared" si="217"/>
        <v>0</v>
      </c>
      <c r="CA167" s="265">
        <f t="shared" si="218"/>
        <v>0</v>
      </c>
      <c r="CB167" s="269">
        <f t="shared" si="219"/>
        <v>0</v>
      </c>
      <c r="CC167" s="266">
        <f t="shared" si="220"/>
        <v>0</v>
      </c>
      <c r="CD167" s="241"/>
      <c r="CE167" s="198">
        <f t="shared" si="221"/>
        <v>1.4017900248146333E-10</v>
      </c>
      <c r="CF167" s="198">
        <f t="shared" si="224"/>
        <v>0</v>
      </c>
      <c r="CG167" s="198">
        <f t="shared" si="225"/>
        <v>0</v>
      </c>
      <c r="CH167" s="198">
        <f t="shared" si="226"/>
        <v>0</v>
      </c>
      <c r="CI167" s="198">
        <f t="shared" si="227"/>
        <v>0</v>
      </c>
      <c r="CJ167" s="198">
        <f t="shared" si="228"/>
        <v>0</v>
      </c>
      <c r="CK167" s="198">
        <f t="shared" si="229"/>
        <v>0</v>
      </c>
      <c r="CL167" s="198">
        <f t="shared" si="230"/>
        <v>6.1237138565589477E-13</v>
      </c>
      <c r="CM167" s="271">
        <f t="shared" si="231"/>
        <v>0</v>
      </c>
      <c r="CN167" s="198">
        <f t="shared" si="232"/>
        <v>1.4079137386711922E-10</v>
      </c>
      <c r="CO167" s="209">
        <f t="shared" si="222"/>
        <v>1.4017900248146333E-10</v>
      </c>
    </row>
    <row r="168" spans="2:93" x14ac:dyDescent="0.2">
      <c r="B168" s="221">
        <f>'DATA INPUT - DETAIL'!D159</f>
        <v>0</v>
      </c>
      <c r="C168" s="211">
        <f>'DATA INPUT - DETAIL'!E159</f>
        <v>0</v>
      </c>
      <c r="D168" s="257">
        <f>'DATA INPUT - DETAIL'!I159</f>
        <v>0</v>
      </c>
      <c r="E168" s="258">
        <f>'DATA INPUT - DETAIL'!K159</f>
        <v>0</v>
      </c>
      <c r="F168" s="258">
        <f>'DATA INPUT - DETAIL'!L159</f>
        <v>0</v>
      </c>
      <c r="G168" s="179">
        <f>'DATA INPUT - DETAIL'!M159*(1+$V$5)</f>
        <v>0</v>
      </c>
      <c r="H168" s="179">
        <f>'DATA INPUT - DETAIL'!N159*(1+$V$5)</f>
        <v>0</v>
      </c>
      <c r="I168" s="258">
        <f t="shared" si="166"/>
        <v>0</v>
      </c>
      <c r="J168" s="258">
        <f>'DATA INPUT - DETAIL'!O159</f>
        <v>0</v>
      </c>
      <c r="K168" s="258">
        <f>'DATA INPUT - DETAIL'!P159</f>
        <v>0</v>
      </c>
      <c r="L168" s="267">
        <f>ROUNDDOWN('DATA INPUT - DETAIL'!G159,0)</f>
        <v>0</v>
      </c>
      <c r="M168" s="196">
        <f t="shared" si="223"/>
        <v>0</v>
      </c>
      <c r="N168" s="196">
        <f t="shared" si="167"/>
        <v>0</v>
      </c>
      <c r="O168" s="196">
        <f t="shared" si="168"/>
        <v>0</v>
      </c>
      <c r="P168" s="196">
        <f t="shared" si="169"/>
        <v>0</v>
      </c>
      <c r="Q168" s="196">
        <f t="shared" si="170"/>
        <v>0</v>
      </c>
      <c r="R168" s="196">
        <f t="shared" si="171"/>
        <v>0</v>
      </c>
      <c r="S168" s="196">
        <f t="shared" si="172"/>
        <v>0</v>
      </c>
      <c r="T168" s="196">
        <f t="shared" si="173"/>
        <v>0</v>
      </c>
      <c r="U168" s="185">
        <f>(C168&gt;0)*(C168&lt;$E$5)*VLOOKUP(MPP,ASUMSI!$BN$77:$CR$108,B168+1)*(1+$V$4)</f>
        <v>0</v>
      </c>
      <c r="V168" s="196">
        <f t="shared" si="174"/>
        <v>0</v>
      </c>
      <c r="W168" s="196">
        <f t="shared" si="175"/>
        <v>0</v>
      </c>
      <c r="X168" s="196">
        <f t="shared" si="176"/>
        <v>0</v>
      </c>
      <c r="Y168" s="196">
        <f t="shared" si="177"/>
        <v>0</v>
      </c>
      <c r="Z168" s="196">
        <f t="shared" si="178"/>
        <v>0</v>
      </c>
      <c r="AA168" s="185">
        <f t="shared" si="179"/>
        <v>0</v>
      </c>
      <c r="AB168" s="196">
        <f t="shared" si="180"/>
        <v>0</v>
      </c>
      <c r="AC168" s="196">
        <f t="shared" si="181"/>
        <v>0</v>
      </c>
      <c r="AD168" s="196">
        <f t="shared" si="182"/>
        <v>0</v>
      </c>
      <c r="AE168" s="196">
        <f t="shared" si="183"/>
        <v>0</v>
      </c>
      <c r="AF168" s="196">
        <f t="shared" si="184"/>
        <v>0</v>
      </c>
      <c r="AG168" s="196">
        <f t="shared" si="185"/>
        <v>0</v>
      </c>
      <c r="AH168" s="196">
        <f t="shared" si="186"/>
        <v>0</v>
      </c>
      <c r="AI168" s="266">
        <f>'DATA INPUT - DETAIL'!R159</f>
        <v>0</v>
      </c>
      <c r="AJ168" s="266">
        <f>'DATA INPUT - DETAIL'!S159</f>
        <v>0</v>
      </c>
      <c r="AK168" s="266">
        <f>'DATA INPUT - DETAIL'!T159</f>
        <v>0</v>
      </c>
      <c r="AL168" s="266">
        <f>'DATA INPUT - DETAIL'!U159</f>
        <v>0</v>
      </c>
      <c r="AM168" s="266">
        <f>'DATA INPUT - DETAIL'!V159</f>
        <v>0</v>
      </c>
      <c r="AN168" s="266">
        <f>'DATA INPUT - DETAIL'!W159</f>
        <v>0</v>
      </c>
      <c r="AO168" s="198">
        <f t="shared" si="187"/>
        <v>0</v>
      </c>
      <c r="AP168" s="266">
        <f>'DATA INPUT - DETAIL'!X159</f>
        <v>0</v>
      </c>
      <c r="AQ168" s="266">
        <f>'DATA INPUT - DETAIL'!Y159</f>
        <v>0</v>
      </c>
      <c r="AR168" s="266">
        <f>'DATA INPUT - DETAIL'!Z159</f>
        <v>0</v>
      </c>
      <c r="AS168" s="266">
        <f>'DATA INPUT - DETAIL'!AD159</f>
        <v>0</v>
      </c>
      <c r="AT168" s="266">
        <f t="shared" si="188"/>
        <v>0</v>
      </c>
      <c r="AU168" s="206">
        <f>'DATA INPUT - DETAIL'!AA159</f>
        <v>0</v>
      </c>
      <c r="AV168" s="206">
        <f>'DATA INPUT - DETAIL'!AB159</f>
        <v>0</v>
      </c>
      <c r="AW168" s="206">
        <f>'DATA INPUT - DETAIL'!AC159</f>
        <v>0</v>
      </c>
      <c r="AX168" s="206">
        <f t="shared" si="189"/>
        <v>0</v>
      </c>
      <c r="AY168" s="206">
        <f t="shared" si="190"/>
        <v>0</v>
      </c>
      <c r="AZ168" s="206">
        <f t="shared" si="191"/>
        <v>0</v>
      </c>
      <c r="BA168" s="206">
        <f t="shared" si="192"/>
        <v>0</v>
      </c>
      <c r="BB168" s="206">
        <f t="shared" si="193"/>
        <v>0</v>
      </c>
      <c r="BC168" s="206">
        <f t="shared" si="194"/>
        <v>0</v>
      </c>
      <c r="BD168" s="206">
        <f t="shared" si="195"/>
        <v>0</v>
      </c>
      <c r="BE168" s="206">
        <f t="shared" si="196"/>
        <v>0</v>
      </c>
      <c r="BF168" s="206">
        <f t="shared" si="197"/>
        <v>0</v>
      </c>
      <c r="BG168" s="206">
        <f t="shared" si="198"/>
        <v>0</v>
      </c>
      <c r="BH168" s="206">
        <f t="shared" si="199"/>
        <v>0</v>
      </c>
      <c r="BI168" s="206">
        <f t="shared" si="200"/>
        <v>0</v>
      </c>
      <c r="BJ168" s="266">
        <f t="shared" si="201"/>
        <v>0</v>
      </c>
      <c r="BK168" s="266">
        <f t="shared" si="202"/>
        <v>0</v>
      </c>
      <c r="BL168" s="192">
        <f t="shared" si="203"/>
        <v>0</v>
      </c>
      <c r="BM168" s="192">
        <f t="shared" si="204"/>
        <v>0</v>
      </c>
      <c r="BN168" s="192">
        <f t="shared" si="205"/>
        <v>0</v>
      </c>
      <c r="BO168" s="192">
        <f t="shared" si="206"/>
        <v>0</v>
      </c>
      <c r="BP168" s="192">
        <f t="shared" si="207"/>
        <v>0</v>
      </c>
      <c r="BQ168" s="193">
        <f t="shared" si="208"/>
        <v>0</v>
      </c>
      <c r="BR168" s="193">
        <f t="shared" si="209"/>
        <v>0</v>
      </c>
      <c r="BS168" s="265">
        <f t="shared" si="210"/>
        <v>0</v>
      </c>
      <c r="BT168" s="265">
        <f t="shared" si="211"/>
        <v>0</v>
      </c>
      <c r="BU168" s="265">
        <f t="shared" si="212"/>
        <v>0</v>
      </c>
      <c r="BV168" s="265">
        <f t="shared" si="213"/>
        <v>0</v>
      </c>
      <c r="BW168" s="265">
        <f t="shared" si="214"/>
        <v>0</v>
      </c>
      <c r="BX168" s="265">
        <f t="shared" si="215"/>
        <v>0</v>
      </c>
      <c r="BY168" s="265">
        <f t="shared" si="216"/>
        <v>0</v>
      </c>
      <c r="BZ168" s="265">
        <f t="shared" si="217"/>
        <v>0</v>
      </c>
      <c r="CA168" s="265">
        <f t="shared" si="218"/>
        <v>0</v>
      </c>
      <c r="CB168" s="269">
        <f t="shared" si="219"/>
        <v>0</v>
      </c>
      <c r="CC168" s="266">
        <f t="shared" si="220"/>
        <v>0</v>
      </c>
      <c r="CD168" s="241"/>
      <c r="CE168" s="198">
        <f t="shared" si="221"/>
        <v>1.4079137386711922E-10</v>
      </c>
      <c r="CF168" s="198">
        <f t="shared" si="224"/>
        <v>0</v>
      </c>
      <c r="CG168" s="198">
        <f t="shared" si="225"/>
        <v>0</v>
      </c>
      <c r="CH168" s="198">
        <f t="shared" si="226"/>
        <v>0</v>
      </c>
      <c r="CI168" s="198">
        <f t="shared" si="227"/>
        <v>0</v>
      </c>
      <c r="CJ168" s="198">
        <f t="shared" si="228"/>
        <v>0</v>
      </c>
      <c r="CK168" s="198">
        <f t="shared" si="229"/>
        <v>0</v>
      </c>
      <c r="CL168" s="198">
        <f t="shared" si="230"/>
        <v>6.1504652749120426E-13</v>
      </c>
      <c r="CM168" s="271">
        <f t="shared" si="231"/>
        <v>0</v>
      </c>
      <c r="CN168" s="198">
        <f t="shared" si="232"/>
        <v>1.4140642039461042E-10</v>
      </c>
      <c r="CO168" s="209">
        <f t="shared" si="222"/>
        <v>1.4079137386711922E-10</v>
      </c>
    </row>
    <row r="169" spans="2:93" x14ac:dyDescent="0.2">
      <c r="B169" s="221">
        <f>'DATA INPUT - DETAIL'!D160</f>
        <v>0</v>
      </c>
      <c r="C169" s="211">
        <f>'DATA INPUT - DETAIL'!E160</f>
        <v>0</v>
      </c>
      <c r="D169" s="257">
        <f>'DATA INPUT - DETAIL'!I160</f>
        <v>0</v>
      </c>
      <c r="E169" s="258">
        <f>'DATA INPUT - DETAIL'!K160</f>
        <v>0</v>
      </c>
      <c r="F169" s="258">
        <f>'DATA INPUT - DETAIL'!L160</f>
        <v>0</v>
      </c>
      <c r="G169" s="179">
        <f>'DATA INPUT - DETAIL'!M160*(1+$V$5)</f>
        <v>0</v>
      </c>
      <c r="H169" s="179">
        <f>'DATA INPUT - DETAIL'!N160*(1+$V$5)</f>
        <v>0</v>
      </c>
      <c r="I169" s="258">
        <f t="shared" si="166"/>
        <v>0</v>
      </c>
      <c r="J169" s="258">
        <f>'DATA INPUT - DETAIL'!O160</f>
        <v>0</v>
      </c>
      <c r="K169" s="258">
        <f>'DATA INPUT - DETAIL'!P160</f>
        <v>0</v>
      </c>
      <c r="L169" s="267">
        <f>ROUNDDOWN('DATA INPUT - DETAIL'!G160,0)</f>
        <v>0</v>
      </c>
      <c r="M169" s="196">
        <f t="shared" si="223"/>
        <v>0</v>
      </c>
      <c r="N169" s="196">
        <f t="shared" si="167"/>
        <v>0</v>
      </c>
      <c r="O169" s="196">
        <f t="shared" si="168"/>
        <v>0</v>
      </c>
      <c r="P169" s="196">
        <f t="shared" si="169"/>
        <v>0</v>
      </c>
      <c r="Q169" s="196">
        <f t="shared" si="170"/>
        <v>0</v>
      </c>
      <c r="R169" s="196">
        <f t="shared" si="171"/>
        <v>0</v>
      </c>
      <c r="S169" s="196">
        <f t="shared" si="172"/>
        <v>0</v>
      </c>
      <c r="T169" s="196">
        <f t="shared" si="173"/>
        <v>0</v>
      </c>
      <c r="U169" s="185">
        <f>(C169&gt;0)*(C169&lt;$E$5)*VLOOKUP(MPP,ASUMSI!$BN$77:$CR$108,B169+1)*(1+$V$4)</f>
        <v>0</v>
      </c>
      <c r="V169" s="196">
        <f t="shared" si="174"/>
        <v>0</v>
      </c>
      <c r="W169" s="196">
        <f t="shared" si="175"/>
        <v>0</v>
      </c>
      <c r="X169" s="196">
        <f t="shared" si="176"/>
        <v>0</v>
      </c>
      <c r="Y169" s="196">
        <f t="shared" si="177"/>
        <v>0</v>
      </c>
      <c r="Z169" s="196">
        <f t="shared" si="178"/>
        <v>0</v>
      </c>
      <c r="AA169" s="185">
        <f t="shared" si="179"/>
        <v>0</v>
      </c>
      <c r="AB169" s="196">
        <f t="shared" si="180"/>
        <v>0</v>
      </c>
      <c r="AC169" s="196">
        <f t="shared" si="181"/>
        <v>0</v>
      </c>
      <c r="AD169" s="196">
        <f t="shared" si="182"/>
        <v>0</v>
      </c>
      <c r="AE169" s="196">
        <f t="shared" si="183"/>
        <v>0</v>
      </c>
      <c r="AF169" s="196">
        <f t="shared" si="184"/>
        <v>0</v>
      </c>
      <c r="AG169" s="196">
        <f t="shared" si="185"/>
        <v>0</v>
      </c>
      <c r="AH169" s="196">
        <f t="shared" si="186"/>
        <v>0</v>
      </c>
      <c r="AI169" s="266">
        <f>'DATA INPUT - DETAIL'!R160</f>
        <v>0</v>
      </c>
      <c r="AJ169" s="266">
        <f>'DATA INPUT - DETAIL'!S160</f>
        <v>0</v>
      </c>
      <c r="AK169" s="266">
        <f>'DATA INPUT - DETAIL'!T160</f>
        <v>0</v>
      </c>
      <c r="AL169" s="266">
        <f>'DATA INPUT - DETAIL'!U160</f>
        <v>0</v>
      </c>
      <c r="AM169" s="266">
        <f>'DATA INPUT - DETAIL'!V160</f>
        <v>0</v>
      </c>
      <c r="AN169" s="266">
        <f>'DATA INPUT - DETAIL'!W160</f>
        <v>0</v>
      </c>
      <c r="AO169" s="198">
        <f t="shared" si="187"/>
        <v>0</v>
      </c>
      <c r="AP169" s="266">
        <f>'DATA INPUT - DETAIL'!X160</f>
        <v>0</v>
      </c>
      <c r="AQ169" s="266">
        <f>'DATA INPUT - DETAIL'!Y160</f>
        <v>0</v>
      </c>
      <c r="AR169" s="266">
        <f>'DATA INPUT - DETAIL'!Z160</f>
        <v>0</v>
      </c>
      <c r="AS169" s="266">
        <f>'DATA INPUT - DETAIL'!AD160</f>
        <v>0</v>
      </c>
      <c r="AT169" s="266">
        <f t="shared" si="188"/>
        <v>0</v>
      </c>
      <c r="AU169" s="206">
        <f>'DATA INPUT - DETAIL'!AA160</f>
        <v>0</v>
      </c>
      <c r="AV169" s="206">
        <f>'DATA INPUT - DETAIL'!AB160</f>
        <v>0</v>
      </c>
      <c r="AW169" s="206">
        <f>'DATA INPUT - DETAIL'!AC160</f>
        <v>0</v>
      </c>
      <c r="AX169" s="206">
        <f t="shared" si="189"/>
        <v>0</v>
      </c>
      <c r="AY169" s="206">
        <f t="shared" si="190"/>
        <v>0</v>
      </c>
      <c r="AZ169" s="206">
        <f t="shared" si="191"/>
        <v>0</v>
      </c>
      <c r="BA169" s="206">
        <f t="shared" si="192"/>
        <v>0</v>
      </c>
      <c r="BB169" s="206">
        <f t="shared" si="193"/>
        <v>0</v>
      </c>
      <c r="BC169" s="206">
        <f t="shared" si="194"/>
        <v>0</v>
      </c>
      <c r="BD169" s="206">
        <f t="shared" si="195"/>
        <v>0</v>
      </c>
      <c r="BE169" s="206">
        <f t="shared" si="196"/>
        <v>0</v>
      </c>
      <c r="BF169" s="206">
        <f t="shared" si="197"/>
        <v>0</v>
      </c>
      <c r="BG169" s="206">
        <f t="shared" si="198"/>
        <v>0</v>
      </c>
      <c r="BH169" s="206">
        <f t="shared" si="199"/>
        <v>0</v>
      </c>
      <c r="BI169" s="206">
        <f t="shared" si="200"/>
        <v>0</v>
      </c>
      <c r="BJ169" s="266">
        <f t="shared" si="201"/>
        <v>0</v>
      </c>
      <c r="BK169" s="266">
        <f t="shared" si="202"/>
        <v>0</v>
      </c>
      <c r="BL169" s="192">
        <f t="shared" si="203"/>
        <v>0</v>
      </c>
      <c r="BM169" s="192">
        <f t="shared" si="204"/>
        <v>0</v>
      </c>
      <c r="BN169" s="192">
        <f t="shared" si="205"/>
        <v>0</v>
      </c>
      <c r="BO169" s="192">
        <f t="shared" si="206"/>
        <v>0</v>
      </c>
      <c r="BP169" s="192">
        <f t="shared" si="207"/>
        <v>0</v>
      </c>
      <c r="BQ169" s="193">
        <f t="shared" si="208"/>
        <v>0</v>
      </c>
      <c r="BR169" s="193">
        <f t="shared" si="209"/>
        <v>0</v>
      </c>
      <c r="BS169" s="265">
        <f t="shared" si="210"/>
        <v>0</v>
      </c>
      <c r="BT169" s="265">
        <f t="shared" si="211"/>
        <v>0</v>
      </c>
      <c r="BU169" s="265">
        <f t="shared" si="212"/>
        <v>0</v>
      </c>
      <c r="BV169" s="265">
        <f t="shared" si="213"/>
        <v>0</v>
      </c>
      <c r="BW169" s="265">
        <f t="shared" si="214"/>
        <v>0</v>
      </c>
      <c r="BX169" s="265">
        <f t="shared" si="215"/>
        <v>0</v>
      </c>
      <c r="BY169" s="265">
        <f t="shared" si="216"/>
        <v>0</v>
      </c>
      <c r="BZ169" s="265">
        <f t="shared" si="217"/>
        <v>0</v>
      </c>
      <c r="CA169" s="265">
        <f t="shared" si="218"/>
        <v>0</v>
      </c>
      <c r="CB169" s="269">
        <f t="shared" si="219"/>
        <v>0</v>
      </c>
      <c r="CC169" s="266">
        <f t="shared" si="220"/>
        <v>0</v>
      </c>
      <c r="CD169" s="241"/>
      <c r="CE169" s="198">
        <f t="shared" si="221"/>
        <v>1.4140642039461042E-10</v>
      </c>
      <c r="CF169" s="198">
        <f t="shared" si="224"/>
        <v>0</v>
      </c>
      <c r="CG169" s="198">
        <f t="shared" si="225"/>
        <v>0</v>
      </c>
      <c r="CH169" s="198">
        <f t="shared" si="226"/>
        <v>0</v>
      </c>
      <c r="CI169" s="198">
        <f t="shared" si="227"/>
        <v>0</v>
      </c>
      <c r="CJ169" s="198">
        <f t="shared" si="228"/>
        <v>0</v>
      </c>
      <c r="CK169" s="198">
        <f t="shared" si="229"/>
        <v>0</v>
      </c>
      <c r="CL169" s="198">
        <f t="shared" si="230"/>
        <v>6.1773335567242523E-13</v>
      </c>
      <c r="CM169" s="271">
        <f t="shared" si="231"/>
        <v>0</v>
      </c>
      <c r="CN169" s="198">
        <f t="shared" si="232"/>
        <v>1.4202415375028286E-10</v>
      </c>
      <c r="CO169" s="209">
        <f t="shared" si="222"/>
        <v>1.4140642039461042E-10</v>
      </c>
    </row>
    <row r="170" spans="2:93" x14ac:dyDescent="0.2">
      <c r="B170" s="221">
        <f>'DATA INPUT - DETAIL'!D161</f>
        <v>0</v>
      </c>
      <c r="C170" s="211">
        <f>'DATA INPUT - DETAIL'!E161</f>
        <v>0</v>
      </c>
      <c r="D170" s="257">
        <f>'DATA INPUT - DETAIL'!I161</f>
        <v>0</v>
      </c>
      <c r="E170" s="258">
        <f>'DATA INPUT - DETAIL'!K161</f>
        <v>0</v>
      </c>
      <c r="F170" s="258">
        <f>'DATA INPUT - DETAIL'!L161</f>
        <v>0</v>
      </c>
      <c r="G170" s="179">
        <f>'DATA INPUT - DETAIL'!M161*(1+$V$5)</f>
        <v>0</v>
      </c>
      <c r="H170" s="179">
        <f>'DATA INPUT - DETAIL'!N161*(1+$V$5)</f>
        <v>0</v>
      </c>
      <c r="I170" s="258">
        <f t="shared" si="166"/>
        <v>0</v>
      </c>
      <c r="J170" s="258">
        <f>'DATA INPUT - DETAIL'!O161</f>
        <v>0</v>
      </c>
      <c r="K170" s="258">
        <f>'DATA INPUT - DETAIL'!P161</f>
        <v>0</v>
      </c>
      <c r="L170" s="267">
        <f>ROUNDDOWN('DATA INPUT - DETAIL'!G161,0)</f>
        <v>0</v>
      </c>
      <c r="M170" s="196">
        <f t="shared" si="223"/>
        <v>0</v>
      </c>
      <c r="N170" s="196">
        <f t="shared" si="167"/>
        <v>0</v>
      </c>
      <c r="O170" s="196">
        <f t="shared" si="168"/>
        <v>0</v>
      </c>
      <c r="P170" s="196">
        <f t="shared" si="169"/>
        <v>0</v>
      </c>
      <c r="Q170" s="196">
        <f t="shared" si="170"/>
        <v>0</v>
      </c>
      <c r="R170" s="196">
        <f t="shared" si="171"/>
        <v>0</v>
      </c>
      <c r="S170" s="196">
        <f t="shared" si="172"/>
        <v>0</v>
      </c>
      <c r="T170" s="196">
        <f t="shared" si="173"/>
        <v>0</v>
      </c>
      <c r="U170" s="185">
        <f>(C170&gt;0)*(C170&lt;$E$5)*VLOOKUP(MPP,ASUMSI!$BN$77:$CR$108,B170+1)*(1+$V$4)</f>
        <v>0</v>
      </c>
      <c r="V170" s="196">
        <f t="shared" si="174"/>
        <v>0</v>
      </c>
      <c r="W170" s="196">
        <f t="shared" si="175"/>
        <v>0</v>
      </c>
      <c r="X170" s="196">
        <f t="shared" si="176"/>
        <v>0</v>
      </c>
      <c r="Y170" s="196">
        <f t="shared" si="177"/>
        <v>0</v>
      </c>
      <c r="Z170" s="196">
        <f t="shared" si="178"/>
        <v>0</v>
      </c>
      <c r="AA170" s="185">
        <f t="shared" si="179"/>
        <v>0</v>
      </c>
      <c r="AB170" s="196">
        <f t="shared" si="180"/>
        <v>0</v>
      </c>
      <c r="AC170" s="196">
        <f t="shared" si="181"/>
        <v>0</v>
      </c>
      <c r="AD170" s="196">
        <f t="shared" si="182"/>
        <v>0</v>
      </c>
      <c r="AE170" s="196">
        <f t="shared" si="183"/>
        <v>0</v>
      </c>
      <c r="AF170" s="196">
        <f t="shared" si="184"/>
        <v>0</v>
      </c>
      <c r="AG170" s="196">
        <f t="shared" si="185"/>
        <v>0</v>
      </c>
      <c r="AH170" s="196">
        <f t="shared" si="186"/>
        <v>0</v>
      </c>
      <c r="AI170" s="266">
        <f>'DATA INPUT - DETAIL'!R161</f>
        <v>0</v>
      </c>
      <c r="AJ170" s="266">
        <f>'DATA INPUT - DETAIL'!S161</f>
        <v>0</v>
      </c>
      <c r="AK170" s="266">
        <f>'DATA INPUT - DETAIL'!T161</f>
        <v>0</v>
      </c>
      <c r="AL170" s="266">
        <f>'DATA INPUT - DETAIL'!U161</f>
        <v>0</v>
      </c>
      <c r="AM170" s="266">
        <f>'DATA INPUT - DETAIL'!V161</f>
        <v>0</v>
      </c>
      <c r="AN170" s="266">
        <f>'DATA INPUT - DETAIL'!W161</f>
        <v>0</v>
      </c>
      <c r="AO170" s="198">
        <f t="shared" si="187"/>
        <v>0</v>
      </c>
      <c r="AP170" s="266">
        <f>'DATA INPUT - DETAIL'!X161</f>
        <v>0</v>
      </c>
      <c r="AQ170" s="266">
        <f>'DATA INPUT - DETAIL'!Y161</f>
        <v>0</v>
      </c>
      <c r="AR170" s="266">
        <f>'DATA INPUT - DETAIL'!Z161</f>
        <v>0</v>
      </c>
      <c r="AS170" s="266">
        <f>'DATA INPUT - DETAIL'!AD161</f>
        <v>0</v>
      </c>
      <c r="AT170" s="266">
        <f t="shared" si="188"/>
        <v>0</v>
      </c>
      <c r="AU170" s="206">
        <f>'DATA INPUT - DETAIL'!AA161</f>
        <v>0</v>
      </c>
      <c r="AV170" s="206">
        <f>'DATA INPUT - DETAIL'!AB161</f>
        <v>0</v>
      </c>
      <c r="AW170" s="206">
        <f>'DATA INPUT - DETAIL'!AC161</f>
        <v>0</v>
      </c>
      <c r="AX170" s="206">
        <f t="shared" si="189"/>
        <v>0</v>
      </c>
      <c r="AY170" s="206">
        <f t="shared" si="190"/>
        <v>0</v>
      </c>
      <c r="AZ170" s="206">
        <f t="shared" si="191"/>
        <v>0</v>
      </c>
      <c r="BA170" s="206">
        <f t="shared" si="192"/>
        <v>0</v>
      </c>
      <c r="BB170" s="206">
        <f t="shared" si="193"/>
        <v>0</v>
      </c>
      <c r="BC170" s="206">
        <f t="shared" si="194"/>
        <v>0</v>
      </c>
      <c r="BD170" s="206">
        <f t="shared" si="195"/>
        <v>0</v>
      </c>
      <c r="BE170" s="206">
        <f t="shared" si="196"/>
        <v>0</v>
      </c>
      <c r="BF170" s="206">
        <f t="shared" si="197"/>
        <v>0</v>
      </c>
      <c r="BG170" s="206">
        <f t="shared" si="198"/>
        <v>0</v>
      </c>
      <c r="BH170" s="206">
        <f t="shared" si="199"/>
        <v>0</v>
      </c>
      <c r="BI170" s="206">
        <f t="shared" si="200"/>
        <v>0</v>
      </c>
      <c r="BJ170" s="266">
        <f t="shared" si="201"/>
        <v>0</v>
      </c>
      <c r="BK170" s="266">
        <f t="shared" si="202"/>
        <v>0</v>
      </c>
      <c r="BL170" s="192">
        <f t="shared" si="203"/>
        <v>0</v>
      </c>
      <c r="BM170" s="192">
        <f t="shared" si="204"/>
        <v>0</v>
      </c>
      <c r="BN170" s="192">
        <f t="shared" si="205"/>
        <v>0</v>
      </c>
      <c r="BO170" s="192">
        <f t="shared" si="206"/>
        <v>0</v>
      </c>
      <c r="BP170" s="192">
        <f t="shared" si="207"/>
        <v>0</v>
      </c>
      <c r="BQ170" s="193">
        <f t="shared" si="208"/>
        <v>0</v>
      </c>
      <c r="BR170" s="193">
        <f t="shared" si="209"/>
        <v>0</v>
      </c>
      <c r="BS170" s="265">
        <f t="shared" si="210"/>
        <v>0</v>
      </c>
      <c r="BT170" s="265">
        <f t="shared" si="211"/>
        <v>0</v>
      </c>
      <c r="BU170" s="265">
        <f t="shared" si="212"/>
        <v>0</v>
      </c>
      <c r="BV170" s="265">
        <f t="shared" si="213"/>
        <v>0</v>
      </c>
      <c r="BW170" s="265">
        <f t="shared" si="214"/>
        <v>0</v>
      </c>
      <c r="BX170" s="265">
        <f t="shared" si="215"/>
        <v>0</v>
      </c>
      <c r="BY170" s="265">
        <f t="shared" si="216"/>
        <v>0</v>
      </c>
      <c r="BZ170" s="265">
        <f t="shared" si="217"/>
        <v>0</v>
      </c>
      <c r="CA170" s="265">
        <f t="shared" si="218"/>
        <v>0</v>
      </c>
      <c r="CB170" s="269">
        <f t="shared" si="219"/>
        <v>0</v>
      </c>
      <c r="CC170" s="266">
        <f t="shared" si="220"/>
        <v>0</v>
      </c>
      <c r="CD170" s="241"/>
      <c r="CE170" s="198">
        <f t="shared" si="221"/>
        <v>1.4202415375028286E-10</v>
      </c>
      <c r="CF170" s="198">
        <f t="shared" si="224"/>
        <v>0</v>
      </c>
      <c r="CG170" s="198">
        <f t="shared" si="225"/>
        <v>0</v>
      </c>
      <c r="CH170" s="198">
        <f t="shared" si="226"/>
        <v>0</v>
      </c>
      <c r="CI170" s="198">
        <f t="shared" si="227"/>
        <v>0</v>
      </c>
      <c r="CJ170" s="198">
        <f t="shared" si="228"/>
        <v>0</v>
      </c>
      <c r="CK170" s="198">
        <f t="shared" si="229"/>
        <v>0</v>
      </c>
      <c r="CL170" s="198">
        <f t="shared" si="230"/>
        <v>6.2043192125131078E-13</v>
      </c>
      <c r="CM170" s="271">
        <f t="shared" si="231"/>
        <v>0</v>
      </c>
      <c r="CN170" s="198">
        <f t="shared" si="232"/>
        <v>1.4264458567153416E-10</v>
      </c>
      <c r="CO170" s="209">
        <f t="shared" si="222"/>
        <v>1.4202415375028286E-10</v>
      </c>
    </row>
    <row r="171" spans="2:93" x14ac:dyDescent="0.2">
      <c r="B171" s="221">
        <f>'DATA INPUT - DETAIL'!D162</f>
        <v>0</v>
      </c>
      <c r="C171" s="211">
        <f>'DATA INPUT - DETAIL'!E162</f>
        <v>0</v>
      </c>
      <c r="D171" s="257">
        <f>'DATA INPUT - DETAIL'!I162</f>
        <v>0</v>
      </c>
      <c r="E171" s="258">
        <f>'DATA INPUT - DETAIL'!K162</f>
        <v>0</v>
      </c>
      <c r="F171" s="258">
        <f>'DATA INPUT - DETAIL'!L162</f>
        <v>0</v>
      </c>
      <c r="G171" s="179">
        <f>'DATA INPUT - DETAIL'!M162*(1+$V$5)</f>
        <v>0</v>
      </c>
      <c r="H171" s="179">
        <f>'DATA INPUT - DETAIL'!N162*(1+$V$5)</f>
        <v>0</v>
      </c>
      <c r="I171" s="258">
        <f t="shared" si="166"/>
        <v>0</v>
      </c>
      <c r="J171" s="258">
        <f>'DATA INPUT - DETAIL'!O162</f>
        <v>0</v>
      </c>
      <c r="K171" s="258">
        <f>'DATA INPUT - DETAIL'!P162</f>
        <v>0</v>
      </c>
      <c r="L171" s="267">
        <f>ROUNDDOWN('DATA INPUT - DETAIL'!G162,0)</f>
        <v>0</v>
      </c>
      <c r="M171" s="196">
        <f t="shared" si="223"/>
        <v>0</v>
      </c>
      <c r="N171" s="196">
        <f t="shared" si="167"/>
        <v>0</v>
      </c>
      <c r="O171" s="196">
        <f t="shared" si="168"/>
        <v>0</v>
      </c>
      <c r="P171" s="196">
        <f t="shared" si="169"/>
        <v>0</v>
      </c>
      <c r="Q171" s="196">
        <f t="shared" si="170"/>
        <v>0</v>
      </c>
      <c r="R171" s="196">
        <f t="shared" si="171"/>
        <v>0</v>
      </c>
      <c r="S171" s="196">
        <f t="shared" si="172"/>
        <v>0</v>
      </c>
      <c r="T171" s="196">
        <f t="shared" si="173"/>
        <v>0</v>
      </c>
      <c r="U171" s="185">
        <f>(C171&gt;0)*(C171&lt;$E$5)*VLOOKUP(MPP,ASUMSI!$BN$77:$CR$108,B171+1)*(1+$V$4)</f>
        <v>0</v>
      </c>
      <c r="V171" s="196">
        <f t="shared" si="174"/>
        <v>0</v>
      </c>
      <c r="W171" s="196">
        <f t="shared" si="175"/>
        <v>0</v>
      </c>
      <c r="X171" s="196">
        <f t="shared" si="176"/>
        <v>0</v>
      </c>
      <c r="Y171" s="196">
        <f t="shared" si="177"/>
        <v>0</v>
      </c>
      <c r="Z171" s="196">
        <f t="shared" si="178"/>
        <v>0</v>
      </c>
      <c r="AA171" s="185">
        <f t="shared" si="179"/>
        <v>0</v>
      </c>
      <c r="AB171" s="196">
        <f t="shared" si="180"/>
        <v>0</v>
      </c>
      <c r="AC171" s="196">
        <f t="shared" si="181"/>
        <v>0</v>
      </c>
      <c r="AD171" s="196">
        <f t="shared" si="182"/>
        <v>0</v>
      </c>
      <c r="AE171" s="196">
        <f t="shared" si="183"/>
        <v>0</v>
      </c>
      <c r="AF171" s="196">
        <f t="shared" si="184"/>
        <v>0</v>
      </c>
      <c r="AG171" s="196">
        <f t="shared" si="185"/>
        <v>0</v>
      </c>
      <c r="AH171" s="196">
        <f t="shared" si="186"/>
        <v>0</v>
      </c>
      <c r="AI171" s="266">
        <f>'DATA INPUT - DETAIL'!R162</f>
        <v>0</v>
      </c>
      <c r="AJ171" s="266">
        <f>'DATA INPUT - DETAIL'!S162</f>
        <v>0</v>
      </c>
      <c r="AK171" s="266">
        <f>'DATA INPUT - DETAIL'!T162</f>
        <v>0</v>
      </c>
      <c r="AL171" s="266">
        <f>'DATA INPUT - DETAIL'!U162</f>
        <v>0</v>
      </c>
      <c r="AM171" s="266">
        <f>'DATA INPUT - DETAIL'!V162</f>
        <v>0</v>
      </c>
      <c r="AN171" s="266">
        <f>'DATA INPUT - DETAIL'!W162</f>
        <v>0</v>
      </c>
      <c r="AO171" s="198">
        <f t="shared" si="187"/>
        <v>0</v>
      </c>
      <c r="AP171" s="266">
        <f>'DATA INPUT - DETAIL'!X162</f>
        <v>0</v>
      </c>
      <c r="AQ171" s="266">
        <f>'DATA INPUT - DETAIL'!Y162</f>
        <v>0</v>
      </c>
      <c r="AR171" s="266">
        <f>'DATA INPUT - DETAIL'!Z162</f>
        <v>0</v>
      </c>
      <c r="AS171" s="266">
        <f>'DATA INPUT - DETAIL'!AD162</f>
        <v>0</v>
      </c>
      <c r="AT171" s="266">
        <f t="shared" si="188"/>
        <v>0</v>
      </c>
      <c r="AU171" s="206">
        <f>'DATA INPUT - DETAIL'!AA162</f>
        <v>0</v>
      </c>
      <c r="AV171" s="206">
        <f>'DATA INPUT - DETAIL'!AB162</f>
        <v>0</v>
      </c>
      <c r="AW171" s="206">
        <f>'DATA INPUT - DETAIL'!AC162</f>
        <v>0</v>
      </c>
      <c r="AX171" s="206">
        <f t="shared" si="189"/>
        <v>0</v>
      </c>
      <c r="AY171" s="206">
        <f t="shared" si="190"/>
        <v>0</v>
      </c>
      <c r="AZ171" s="206">
        <f t="shared" si="191"/>
        <v>0</v>
      </c>
      <c r="BA171" s="206">
        <f t="shared" si="192"/>
        <v>0</v>
      </c>
      <c r="BB171" s="206">
        <f t="shared" si="193"/>
        <v>0</v>
      </c>
      <c r="BC171" s="206">
        <f t="shared" si="194"/>
        <v>0</v>
      </c>
      <c r="BD171" s="206">
        <f t="shared" si="195"/>
        <v>0</v>
      </c>
      <c r="BE171" s="206">
        <f t="shared" si="196"/>
        <v>0</v>
      </c>
      <c r="BF171" s="206">
        <f t="shared" si="197"/>
        <v>0</v>
      </c>
      <c r="BG171" s="206">
        <f t="shared" si="198"/>
        <v>0</v>
      </c>
      <c r="BH171" s="206">
        <f t="shared" si="199"/>
        <v>0</v>
      </c>
      <c r="BI171" s="206">
        <f t="shared" si="200"/>
        <v>0</v>
      </c>
      <c r="BJ171" s="266">
        <f t="shared" si="201"/>
        <v>0</v>
      </c>
      <c r="BK171" s="266">
        <f t="shared" si="202"/>
        <v>0</v>
      </c>
      <c r="BL171" s="192">
        <f t="shared" si="203"/>
        <v>0</v>
      </c>
      <c r="BM171" s="192">
        <f t="shared" si="204"/>
        <v>0</v>
      </c>
      <c r="BN171" s="192">
        <f t="shared" si="205"/>
        <v>0</v>
      </c>
      <c r="BO171" s="192">
        <f t="shared" si="206"/>
        <v>0</v>
      </c>
      <c r="BP171" s="192">
        <f t="shared" si="207"/>
        <v>0</v>
      </c>
      <c r="BQ171" s="193">
        <f t="shared" si="208"/>
        <v>0</v>
      </c>
      <c r="BR171" s="193">
        <f t="shared" si="209"/>
        <v>0</v>
      </c>
      <c r="BS171" s="265">
        <f t="shared" si="210"/>
        <v>0</v>
      </c>
      <c r="BT171" s="265">
        <f t="shared" si="211"/>
        <v>0</v>
      </c>
      <c r="BU171" s="265">
        <f t="shared" si="212"/>
        <v>0</v>
      </c>
      <c r="BV171" s="265">
        <f t="shared" si="213"/>
        <v>0</v>
      </c>
      <c r="BW171" s="265">
        <f t="shared" si="214"/>
        <v>0</v>
      </c>
      <c r="BX171" s="265">
        <f t="shared" si="215"/>
        <v>0</v>
      </c>
      <c r="BY171" s="265">
        <f t="shared" si="216"/>
        <v>0</v>
      </c>
      <c r="BZ171" s="265">
        <f t="shared" si="217"/>
        <v>0</v>
      </c>
      <c r="CA171" s="265">
        <f t="shared" si="218"/>
        <v>0</v>
      </c>
      <c r="CB171" s="269">
        <f t="shared" si="219"/>
        <v>0</v>
      </c>
      <c r="CC171" s="266">
        <f t="shared" si="220"/>
        <v>0</v>
      </c>
      <c r="CD171" s="241"/>
      <c r="CE171" s="198">
        <f t="shared" si="221"/>
        <v>1.4264458567153416E-10</v>
      </c>
      <c r="CF171" s="198">
        <f t="shared" si="224"/>
        <v>0</v>
      </c>
      <c r="CG171" s="198">
        <f t="shared" si="225"/>
        <v>0</v>
      </c>
      <c r="CH171" s="198">
        <f t="shared" si="226"/>
        <v>0</v>
      </c>
      <c r="CI171" s="198">
        <f t="shared" si="227"/>
        <v>0</v>
      </c>
      <c r="CJ171" s="198">
        <f t="shared" si="228"/>
        <v>0</v>
      </c>
      <c r="CK171" s="198">
        <f t="shared" si="229"/>
        <v>0</v>
      </c>
      <c r="CL171" s="198">
        <f t="shared" si="230"/>
        <v>6.231422755026335E-13</v>
      </c>
      <c r="CM171" s="271">
        <f t="shared" si="231"/>
        <v>0</v>
      </c>
      <c r="CN171" s="198">
        <f t="shared" si="232"/>
        <v>1.4326772794703678E-10</v>
      </c>
      <c r="CO171" s="209">
        <f t="shared" si="222"/>
        <v>1.4264458567153416E-10</v>
      </c>
    </row>
    <row r="172" spans="2:93" x14ac:dyDescent="0.2">
      <c r="B172" s="221">
        <f>'DATA INPUT - DETAIL'!D163</f>
        <v>0</v>
      </c>
      <c r="C172" s="211">
        <f>'DATA INPUT - DETAIL'!E163</f>
        <v>0</v>
      </c>
      <c r="D172" s="257">
        <f>'DATA INPUT - DETAIL'!I163</f>
        <v>0</v>
      </c>
      <c r="E172" s="258">
        <f>'DATA INPUT - DETAIL'!K163</f>
        <v>0</v>
      </c>
      <c r="F172" s="258">
        <f>'DATA INPUT - DETAIL'!L163</f>
        <v>0</v>
      </c>
      <c r="G172" s="179">
        <f>'DATA INPUT - DETAIL'!M163*(1+$V$5)</f>
        <v>0</v>
      </c>
      <c r="H172" s="179">
        <f>'DATA INPUT - DETAIL'!N163*(1+$V$5)</f>
        <v>0</v>
      </c>
      <c r="I172" s="258">
        <f t="shared" si="166"/>
        <v>0</v>
      </c>
      <c r="J172" s="258">
        <f>'DATA INPUT - DETAIL'!O163</f>
        <v>0</v>
      </c>
      <c r="K172" s="258">
        <f>'DATA INPUT - DETAIL'!P163</f>
        <v>0</v>
      </c>
      <c r="L172" s="267">
        <f>ROUNDDOWN('DATA INPUT - DETAIL'!G163,0)</f>
        <v>0</v>
      </c>
      <c r="M172" s="196">
        <f t="shared" si="223"/>
        <v>0</v>
      </c>
      <c r="N172" s="196">
        <f t="shared" si="167"/>
        <v>0</v>
      </c>
      <c r="O172" s="196">
        <f t="shared" si="168"/>
        <v>0</v>
      </c>
      <c r="P172" s="196">
        <f t="shared" si="169"/>
        <v>0</v>
      </c>
      <c r="Q172" s="196">
        <f t="shared" si="170"/>
        <v>0</v>
      </c>
      <c r="R172" s="196">
        <f t="shared" si="171"/>
        <v>0</v>
      </c>
      <c r="S172" s="196">
        <f t="shared" si="172"/>
        <v>0</v>
      </c>
      <c r="T172" s="196">
        <f t="shared" si="173"/>
        <v>0</v>
      </c>
      <c r="U172" s="185">
        <f>(C172&gt;0)*(C172&lt;$E$5)*VLOOKUP(MPP,ASUMSI!$BN$77:$CR$108,B172+1)*(1+$V$4)</f>
        <v>0</v>
      </c>
      <c r="V172" s="196">
        <f t="shared" si="174"/>
        <v>0</v>
      </c>
      <c r="W172" s="196">
        <f t="shared" si="175"/>
        <v>0</v>
      </c>
      <c r="X172" s="196">
        <f t="shared" si="176"/>
        <v>0</v>
      </c>
      <c r="Y172" s="196">
        <f t="shared" si="177"/>
        <v>0</v>
      </c>
      <c r="Z172" s="196">
        <f t="shared" si="178"/>
        <v>0</v>
      </c>
      <c r="AA172" s="185">
        <f t="shared" si="179"/>
        <v>0</v>
      </c>
      <c r="AB172" s="196">
        <f t="shared" si="180"/>
        <v>0</v>
      </c>
      <c r="AC172" s="196">
        <f t="shared" si="181"/>
        <v>0</v>
      </c>
      <c r="AD172" s="196">
        <f t="shared" si="182"/>
        <v>0</v>
      </c>
      <c r="AE172" s="196">
        <f t="shared" si="183"/>
        <v>0</v>
      </c>
      <c r="AF172" s="196">
        <f t="shared" si="184"/>
        <v>0</v>
      </c>
      <c r="AG172" s="196">
        <f t="shared" si="185"/>
        <v>0</v>
      </c>
      <c r="AH172" s="196">
        <f t="shared" si="186"/>
        <v>0</v>
      </c>
      <c r="AI172" s="266">
        <f>'DATA INPUT - DETAIL'!R163</f>
        <v>0</v>
      </c>
      <c r="AJ172" s="266">
        <f>'DATA INPUT - DETAIL'!S163</f>
        <v>0</v>
      </c>
      <c r="AK172" s="266">
        <f>'DATA INPUT - DETAIL'!T163</f>
        <v>0</v>
      </c>
      <c r="AL172" s="266">
        <f>'DATA INPUT - DETAIL'!U163</f>
        <v>0</v>
      </c>
      <c r="AM172" s="266">
        <f>'DATA INPUT - DETAIL'!V163</f>
        <v>0</v>
      </c>
      <c r="AN172" s="266">
        <f>'DATA INPUT - DETAIL'!W163</f>
        <v>0</v>
      </c>
      <c r="AO172" s="198">
        <f t="shared" si="187"/>
        <v>0</v>
      </c>
      <c r="AP172" s="266">
        <f>'DATA INPUT - DETAIL'!X163</f>
        <v>0</v>
      </c>
      <c r="AQ172" s="266">
        <f>'DATA INPUT - DETAIL'!Y163</f>
        <v>0</v>
      </c>
      <c r="AR172" s="266">
        <f>'DATA INPUT - DETAIL'!Z163</f>
        <v>0</v>
      </c>
      <c r="AS172" s="266">
        <f>'DATA INPUT - DETAIL'!AD163</f>
        <v>0</v>
      </c>
      <c r="AT172" s="266">
        <f t="shared" si="188"/>
        <v>0</v>
      </c>
      <c r="AU172" s="206">
        <f>'DATA INPUT - DETAIL'!AA163</f>
        <v>0</v>
      </c>
      <c r="AV172" s="206">
        <f>'DATA INPUT - DETAIL'!AB163</f>
        <v>0</v>
      </c>
      <c r="AW172" s="206">
        <f>'DATA INPUT - DETAIL'!AC163</f>
        <v>0</v>
      </c>
      <c r="AX172" s="206">
        <f t="shared" si="189"/>
        <v>0</v>
      </c>
      <c r="AY172" s="206">
        <f t="shared" si="190"/>
        <v>0</v>
      </c>
      <c r="AZ172" s="206">
        <f t="shared" si="191"/>
        <v>0</v>
      </c>
      <c r="BA172" s="206">
        <f t="shared" si="192"/>
        <v>0</v>
      </c>
      <c r="BB172" s="206">
        <f t="shared" si="193"/>
        <v>0</v>
      </c>
      <c r="BC172" s="206">
        <f t="shared" si="194"/>
        <v>0</v>
      </c>
      <c r="BD172" s="206">
        <f t="shared" si="195"/>
        <v>0</v>
      </c>
      <c r="BE172" s="206">
        <f t="shared" si="196"/>
        <v>0</v>
      </c>
      <c r="BF172" s="206">
        <f t="shared" si="197"/>
        <v>0</v>
      </c>
      <c r="BG172" s="206">
        <f t="shared" si="198"/>
        <v>0</v>
      </c>
      <c r="BH172" s="206">
        <f t="shared" si="199"/>
        <v>0</v>
      </c>
      <c r="BI172" s="206">
        <f t="shared" si="200"/>
        <v>0</v>
      </c>
      <c r="BJ172" s="266">
        <f t="shared" si="201"/>
        <v>0</v>
      </c>
      <c r="BK172" s="266">
        <f t="shared" si="202"/>
        <v>0</v>
      </c>
      <c r="BL172" s="192">
        <f t="shared" si="203"/>
        <v>0</v>
      </c>
      <c r="BM172" s="192">
        <f t="shared" si="204"/>
        <v>0</v>
      </c>
      <c r="BN172" s="192">
        <f t="shared" si="205"/>
        <v>0</v>
      </c>
      <c r="BO172" s="192">
        <f t="shared" si="206"/>
        <v>0</v>
      </c>
      <c r="BP172" s="192">
        <f t="shared" si="207"/>
        <v>0</v>
      </c>
      <c r="BQ172" s="193">
        <f t="shared" si="208"/>
        <v>0</v>
      </c>
      <c r="BR172" s="193">
        <f t="shared" si="209"/>
        <v>0</v>
      </c>
      <c r="BS172" s="265">
        <f t="shared" si="210"/>
        <v>0</v>
      </c>
      <c r="BT172" s="265">
        <f t="shared" si="211"/>
        <v>0</v>
      </c>
      <c r="BU172" s="265">
        <f t="shared" si="212"/>
        <v>0</v>
      </c>
      <c r="BV172" s="265">
        <f t="shared" si="213"/>
        <v>0</v>
      </c>
      <c r="BW172" s="265">
        <f t="shared" si="214"/>
        <v>0</v>
      </c>
      <c r="BX172" s="265">
        <f t="shared" si="215"/>
        <v>0</v>
      </c>
      <c r="BY172" s="265">
        <f t="shared" si="216"/>
        <v>0</v>
      </c>
      <c r="BZ172" s="265">
        <f t="shared" si="217"/>
        <v>0</v>
      </c>
      <c r="CA172" s="265">
        <f t="shared" si="218"/>
        <v>0</v>
      </c>
      <c r="CB172" s="269">
        <f t="shared" si="219"/>
        <v>0</v>
      </c>
      <c r="CC172" s="266">
        <f t="shared" si="220"/>
        <v>0</v>
      </c>
      <c r="CD172" s="241"/>
      <c r="CE172" s="198">
        <f t="shared" si="221"/>
        <v>1.4326772794703678E-10</v>
      </c>
      <c r="CF172" s="198">
        <f t="shared" si="224"/>
        <v>0</v>
      </c>
      <c r="CG172" s="198">
        <f t="shared" si="225"/>
        <v>0</v>
      </c>
      <c r="CH172" s="198">
        <f t="shared" si="226"/>
        <v>0</v>
      </c>
      <c r="CI172" s="198">
        <f t="shared" si="227"/>
        <v>0</v>
      </c>
      <c r="CJ172" s="198">
        <f t="shared" si="228"/>
        <v>0</v>
      </c>
      <c r="CK172" s="198">
        <f t="shared" si="229"/>
        <v>0</v>
      </c>
      <c r="CL172" s="198">
        <f t="shared" si="230"/>
        <v>6.2586446992515958E-13</v>
      </c>
      <c r="CM172" s="271">
        <f t="shared" si="231"/>
        <v>0</v>
      </c>
      <c r="CN172" s="198">
        <f t="shared" si="232"/>
        <v>1.4389359241696193E-10</v>
      </c>
      <c r="CO172" s="209">
        <f t="shared" si="222"/>
        <v>1.4326772794703678E-10</v>
      </c>
    </row>
    <row r="173" spans="2:93" x14ac:dyDescent="0.2">
      <c r="B173" s="221">
        <f>'DATA INPUT - DETAIL'!D164</f>
        <v>0</v>
      </c>
      <c r="C173" s="211">
        <f>'DATA INPUT - DETAIL'!E164</f>
        <v>0</v>
      </c>
      <c r="D173" s="257">
        <f>'DATA INPUT - DETAIL'!I164</f>
        <v>0</v>
      </c>
      <c r="E173" s="258">
        <f>'DATA INPUT - DETAIL'!K164</f>
        <v>0</v>
      </c>
      <c r="F173" s="258">
        <f>'DATA INPUT - DETAIL'!L164</f>
        <v>0</v>
      </c>
      <c r="G173" s="179">
        <f>'DATA INPUT - DETAIL'!M164*(1+$V$5)</f>
        <v>0</v>
      </c>
      <c r="H173" s="179">
        <f>'DATA INPUT - DETAIL'!N164*(1+$V$5)</f>
        <v>0</v>
      </c>
      <c r="I173" s="258">
        <f t="shared" si="166"/>
        <v>0</v>
      </c>
      <c r="J173" s="258">
        <f>'DATA INPUT - DETAIL'!O164</f>
        <v>0</v>
      </c>
      <c r="K173" s="258">
        <f>'DATA INPUT - DETAIL'!P164</f>
        <v>0</v>
      </c>
      <c r="L173" s="267">
        <f>ROUNDDOWN('DATA INPUT - DETAIL'!G164,0)</f>
        <v>0</v>
      </c>
      <c r="M173" s="196">
        <f t="shared" ref="M173:M192" si="233">IF(AND(C173&lt;=$E$5-1,C173&lt;&gt;0),VLOOKUP(L173,Mortality,5,FALSE)*(1+$V$3),0)</f>
        <v>0</v>
      </c>
      <c r="N173" s="196">
        <f t="shared" si="167"/>
        <v>0</v>
      </c>
      <c r="O173" s="196">
        <f t="shared" si="168"/>
        <v>0</v>
      </c>
      <c r="P173" s="196">
        <f t="shared" si="169"/>
        <v>0</v>
      </c>
      <c r="Q173" s="196">
        <f t="shared" si="170"/>
        <v>0</v>
      </c>
      <c r="R173" s="196">
        <f t="shared" si="171"/>
        <v>0</v>
      </c>
      <c r="S173" s="196">
        <f t="shared" si="172"/>
        <v>0</v>
      </c>
      <c r="T173" s="196">
        <f t="shared" si="173"/>
        <v>0</v>
      </c>
      <c r="U173" s="185">
        <f>(C173&gt;0)*(C173&lt;$E$5)*VLOOKUP(MPP,ASUMSI!$BN$77:$CR$108,B173+1)*(1+$V$4)</f>
        <v>0</v>
      </c>
      <c r="V173" s="196">
        <f t="shared" si="174"/>
        <v>0</v>
      </c>
      <c r="W173" s="196">
        <f t="shared" si="175"/>
        <v>0</v>
      </c>
      <c r="X173" s="196">
        <f t="shared" si="176"/>
        <v>0</v>
      </c>
      <c r="Y173" s="196">
        <f t="shared" si="177"/>
        <v>0</v>
      </c>
      <c r="Z173" s="196">
        <f t="shared" si="178"/>
        <v>0</v>
      </c>
      <c r="AA173" s="185">
        <f t="shared" si="179"/>
        <v>0</v>
      </c>
      <c r="AB173" s="196">
        <f t="shared" si="180"/>
        <v>0</v>
      </c>
      <c r="AC173" s="196">
        <f t="shared" si="181"/>
        <v>0</v>
      </c>
      <c r="AD173" s="196">
        <f t="shared" si="182"/>
        <v>0</v>
      </c>
      <c r="AE173" s="196">
        <f t="shared" si="183"/>
        <v>0</v>
      </c>
      <c r="AF173" s="196">
        <f t="shared" si="184"/>
        <v>0</v>
      </c>
      <c r="AG173" s="196">
        <f t="shared" si="185"/>
        <v>0</v>
      </c>
      <c r="AH173" s="196">
        <f t="shared" si="186"/>
        <v>0</v>
      </c>
      <c r="AI173" s="266">
        <f>'DATA INPUT - DETAIL'!R164</f>
        <v>0</v>
      </c>
      <c r="AJ173" s="266">
        <f>'DATA INPUT - DETAIL'!S164</f>
        <v>0</v>
      </c>
      <c r="AK173" s="266">
        <f>'DATA INPUT - DETAIL'!T164</f>
        <v>0</v>
      </c>
      <c r="AL173" s="266">
        <f>'DATA INPUT - DETAIL'!U164</f>
        <v>0</v>
      </c>
      <c r="AM173" s="266">
        <f>'DATA INPUT - DETAIL'!V164</f>
        <v>0</v>
      </c>
      <c r="AN173" s="266">
        <f>'DATA INPUT - DETAIL'!W164</f>
        <v>0</v>
      </c>
      <c r="AO173" s="198">
        <f t="shared" si="187"/>
        <v>0</v>
      </c>
      <c r="AP173" s="266">
        <f>'DATA INPUT - DETAIL'!X164</f>
        <v>0</v>
      </c>
      <c r="AQ173" s="266">
        <f>'DATA INPUT - DETAIL'!Y164</f>
        <v>0</v>
      </c>
      <c r="AR173" s="266">
        <f>'DATA INPUT - DETAIL'!Z164</f>
        <v>0</v>
      </c>
      <c r="AS173" s="266">
        <f>'DATA INPUT - DETAIL'!AD164</f>
        <v>0</v>
      </c>
      <c r="AT173" s="266">
        <f t="shared" si="188"/>
        <v>0</v>
      </c>
      <c r="AU173" s="206">
        <f>'DATA INPUT - DETAIL'!AA164</f>
        <v>0</v>
      </c>
      <c r="AV173" s="206">
        <f>'DATA INPUT - DETAIL'!AB164</f>
        <v>0</v>
      </c>
      <c r="AW173" s="206">
        <f>'DATA INPUT - DETAIL'!AC164</f>
        <v>0</v>
      </c>
      <c r="AX173" s="206">
        <f t="shared" si="189"/>
        <v>0</v>
      </c>
      <c r="AY173" s="206">
        <f t="shared" si="190"/>
        <v>0</v>
      </c>
      <c r="AZ173" s="206">
        <f t="shared" si="191"/>
        <v>0</v>
      </c>
      <c r="BA173" s="206">
        <f t="shared" si="192"/>
        <v>0</v>
      </c>
      <c r="BB173" s="206">
        <f t="shared" si="193"/>
        <v>0</v>
      </c>
      <c r="BC173" s="206">
        <f t="shared" si="194"/>
        <v>0</v>
      </c>
      <c r="BD173" s="206">
        <f t="shared" si="195"/>
        <v>0</v>
      </c>
      <c r="BE173" s="206">
        <f t="shared" si="196"/>
        <v>0</v>
      </c>
      <c r="BF173" s="206">
        <f t="shared" si="197"/>
        <v>0</v>
      </c>
      <c r="BG173" s="206">
        <f t="shared" si="198"/>
        <v>0</v>
      </c>
      <c r="BH173" s="206">
        <f t="shared" si="199"/>
        <v>0</v>
      </c>
      <c r="BI173" s="206">
        <f t="shared" si="200"/>
        <v>0</v>
      </c>
      <c r="BJ173" s="266">
        <f t="shared" si="201"/>
        <v>0</v>
      </c>
      <c r="BK173" s="266">
        <f t="shared" si="202"/>
        <v>0</v>
      </c>
      <c r="BL173" s="192">
        <f t="shared" si="203"/>
        <v>0</v>
      </c>
      <c r="BM173" s="192">
        <f t="shared" si="204"/>
        <v>0</v>
      </c>
      <c r="BN173" s="192">
        <f t="shared" si="205"/>
        <v>0</v>
      </c>
      <c r="BO173" s="192">
        <f t="shared" si="206"/>
        <v>0</v>
      </c>
      <c r="BP173" s="192">
        <f t="shared" si="207"/>
        <v>0</v>
      </c>
      <c r="BQ173" s="193">
        <f t="shared" si="208"/>
        <v>0</v>
      </c>
      <c r="BR173" s="193">
        <f t="shared" si="209"/>
        <v>0</v>
      </c>
      <c r="BS173" s="265">
        <f t="shared" si="210"/>
        <v>0</v>
      </c>
      <c r="BT173" s="265">
        <f t="shared" si="211"/>
        <v>0</v>
      </c>
      <c r="BU173" s="265">
        <f t="shared" si="212"/>
        <v>0</v>
      </c>
      <c r="BV173" s="265">
        <f t="shared" si="213"/>
        <v>0</v>
      </c>
      <c r="BW173" s="265">
        <f t="shared" si="214"/>
        <v>0</v>
      </c>
      <c r="BX173" s="265">
        <f t="shared" si="215"/>
        <v>0</v>
      </c>
      <c r="BY173" s="265">
        <f t="shared" si="216"/>
        <v>0</v>
      </c>
      <c r="BZ173" s="265">
        <f t="shared" si="217"/>
        <v>0</v>
      </c>
      <c r="CA173" s="265">
        <f t="shared" si="218"/>
        <v>0</v>
      </c>
      <c r="CB173" s="269">
        <f t="shared" si="219"/>
        <v>0</v>
      </c>
      <c r="CC173" s="266">
        <f t="shared" si="220"/>
        <v>0</v>
      </c>
      <c r="CD173" s="241"/>
      <c r="CE173" s="198">
        <f t="shared" si="221"/>
        <v>1.4389359241696193E-10</v>
      </c>
      <c r="CF173" s="198">
        <f t="shared" si="224"/>
        <v>0</v>
      </c>
      <c r="CG173" s="198">
        <f t="shared" si="225"/>
        <v>0</v>
      </c>
      <c r="CH173" s="198">
        <f t="shared" si="226"/>
        <v>0</v>
      </c>
      <c r="CI173" s="198">
        <f t="shared" si="227"/>
        <v>0</v>
      </c>
      <c r="CJ173" s="198">
        <f t="shared" si="228"/>
        <v>0</v>
      </c>
      <c r="CK173" s="198">
        <f t="shared" si="229"/>
        <v>0</v>
      </c>
      <c r="CL173" s="198">
        <f t="shared" si="230"/>
        <v>6.2859855624262741E-13</v>
      </c>
      <c r="CM173" s="271">
        <f t="shared" si="231"/>
        <v>0</v>
      </c>
      <c r="CN173" s="198">
        <f t="shared" si="232"/>
        <v>1.4452219097320456E-10</v>
      </c>
      <c r="CO173" s="209">
        <f t="shared" si="222"/>
        <v>1.4389359241696193E-10</v>
      </c>
    </row>
    <row r="174" spans="2:93" x14ac:dyDescent="0.2">
      <c r="B174" s="221">
        <f>'DATA INPUT - DETAIL'!D165</f>
        <v>0</v>
      </c>
      <c r="C174" s="211">
        <f>'DATA INPUT - DETAIL'!E165</f>
        <v>0</v>
      </c>
      <c r="D174" s="257">
        <f>'DATA INPUT - DETAIL'!I165</f>
        <v>0</v>
      </c>
      <c r="E174" s="258">
        <f>'DATA INPUT - DETAIL'!K165</f>
        <v>0</v>
      </c>
      <c r="F174" s="258">
        <f>'DATA INPUT - DETAIL'!L165</f>
        <v>0</v>
      </c>
      <c r="G174" s="179">
        <f>'DATA INPUT - DETAIL'!M165*(1+$V$5)</f>
        <v>0</v>
      </c>
      <c r="H174" s="179">
        <f>'DATA INPUT - DETAIL'!N165*(1+$V$5)</f>
        <v>0</v>
      </c>
      <c r="I174" s="258">
        <f t="shared" si="166"/>
        <v>0</v>
      </c>
      <c r="J174" s="258">
        <f>'DATA INPUT - DETAIL'!O165</f>
        <v>0</v>
      </c>
      <c r="K174" s="258">
        <f>'DATA INPUT - DETAIL'!P165</f>
        <v>0</v>
      </c>
      <c r="L174" s="267">
        <f>ROUNDDOWN('DATA INPUT - DETAIL'!G165,0)</f>
        <v>0</v>
      </c>
      <c r="M174" s="196">
        <f t="shared" si="233"/>
        <v>0</v>
      </c>
      <c r="N174" s="196">
        <f t="shared" si="167"/>
        <v>0</v>
      </c>
      <c r="O174" s="196">
        <f t="shared" si="168"/>
        <v>0</v>
      </c>
      <c r="P174" s="196">
        <f t="shared" si="169"/>
        <v>0</v>
      </c>
      <c r="Q174" s="196">
        <f t="shared" si="170"/>
        <v>0</v>
      </c>
      <c r="R174" s="196">
        <f t="shared" si="171"/>
        <v>0</v>
      </c>
      <c r="S174" s="196">
        <f t="shared" si="172"/>
        <v>0</v>
      </c>
      <c r="T174" s="196">
        <f t="shared" si="173"/>
        <v>0</v>
      </c>
      <c r="U174" s="185">
        <f>(C174&gt;0)*(C174&lt;$E$5)*VLOOKUP(MPP,ASUMSI!$BN$77:$CR$108,B174+1)*(1+$V$4)</f>
        <v>0</v>
      </c>
      <c r="V174" s="196">
        <f t="shared" si="174"/>
        <v>0</v>
      </c>
      <c r="W174" s="196">
        <f t="shared" si="175"/>
        <v>0</v>
      </c>
      <c r="X174" s="196">
        <f t="shared" si="176"/>
        <v>0</v>
      </c>
      <c r="Y174" s="196">
        <f t="shared" si="177"/>
        <v>0</v>
      </c>
      <c r="Z174" s="196">
        <f t="shared" si="178"/>
        <v>0</v>
      </c>
      <c r="AA174" s="185">
        <f t="shared" si="179"/>
        <v>0</v>
      </c>
      <c r="AB174" s="196">
        <f t="shared" si="180"/>
        <v>0</v>
      </c>
      <c r="AC174" s="196">
        <f t="shared" si="181"/>
        <v>0</v>
      </c>
      <c r="AD174" s="196">
        <f t="shared" si="182"/>
        <v>0</v>
      </c>
      <c r="AE174" s="196">
        <f t="shared" si="183"/>
        <v>0</v>
      </c>
      <c r="AF174" s="196">
        <f t="shared" si="184"/>
        <v>0</v>
      </c>
      <c r="AG174" s="196">
        <f t="shared" si="185"/>
        <v>0</v>
      </c>
      <c r="AH174" s="196">
        <f t="shared" si="186"/>
        <v>0</v>
      </c>
      <c r="AI174" s="266">
        <f>'DATA INPUT - DETAIL'!R165</f>
        <v>0</v>
      </c>
      <c r="AJ174" s="266">
        <f>'DATA INPUT - DETAIL'!S165</f>
        <v>0</v>
      </c>
      <c r="AK174" s="266">
        <f>'DATA INPUT - DETAIL'!T165</f>
        <v>0</v>
      </c>
      <c r="AL174" s="266">
        <f>'DATA INPUT - DETAIL'!U165</f>
        <v>0</v>
      </c>
      <c r="AM174" s="266">
        <f>'DATA INPUT - DETAIL'!V165</f>
        <v>0</v>
      </c>
      <c r="AN174" s="266">
        <f>'DATA INPUT - DETAIL'!W165</f>
        <v>0</v>
      </c>
      <c r="AO174" s="198">
        <f t="shared" si="187"/>
        <v>0</v>
      </c>
      <c r="AP174" s="266">
        <f>'DATA INPUT - DETAIL'!X165</f>
        <v>0</v>
      </c>
      <c r="AQ174" s="266">
        <f>'DATA INPUT - DETAIL'!Y165</f>
        <v>0</v>
      </c>
      <c r="AR174" s="266">
        <f>'DATA INPUT - DETAIL'!Z165</f>
        <v>0</v>
      </c>
      <c r="AS174" s="266">
        <f>'DATA INPUT - DETAIL'!AD165</f>
        <v>0</v>
      </c>
      <c r="AT174" s="266">
        <f t="shared" si="188"/>
        <v>0</v>
      </c>
      <c r="AU174" s="206">
        <f>'DATA INPUT - DETAIL'!AA165</f>
        <v>0</v>
      </c>
      <c r="AV174" s="206">
        <f>'DATA INPUT - DETAIL'!AB165</f>
        <v>0</v>
      </c>
      <c r="AW174" s="206">
        <f>'DATA INPUT - DETAIL'!AC165</f>
        <v>0</v>
      </c>
      <c r="AX174" s="206">
        <f t="shared" si="189"/>
        <v>0</v>
      </c>
      <c r="AY174" s="206">
        <f t="shared" si="190"/>
        <v>0</v>
      </c>
      <c r="AZ174" s="206">
        <f t="shared" si="191"/>
        <v>0</v>
      </c>
      <c r="BA174" s="206">
        <f t="shared" si="192"/>
        <v>0</v>
      </c>
      <c r="BB174" s="206">
        <f t="shared" si="193"/>
        <v>0</v>
      </c>
      <c r="BC174" s="206">
        <f t="shared" si="194"/>
        <v>0</v>
      </c>
      <c r="BD174" s="206">
        <f t="shared" si="195"/>
        <v>0</v>
      </c>
      <c r="BE174" s="206">
        <f t="shared" si="196"/>
        <v>0</v>
      </c>
      <c r="BF174" s="206">
        <f t="shared" si="197"/>
        <v>0</v>
      </c>
      <c r="BG174" s="206">
        <f t="shared" si="198"/>
        <v>0</v>
      </c>
      <c r="BH174" s="206">
        <f t="shared" si="199"/>
        <v>0</v>
      </c>
      <c r="BI174" s="206">
        <f t="shared" si="200"/>
        <v>0</v>
      </c>
      <c r="BJ174" s="266">
        <f t="shared" si="201"/>
        <v>0</v>
      </c>
      <c r="BK174" s="266">
        <f t="shared" si="202"/>
        <v>0</v>
      </c>
      <c r="BL174" s="192">
        <f t="shared" si="203"/>
        <v>0</v>
      </c>
      <c r="BM174" s="192">
        <f t="shared" si="204"/>
        <v>0</v>
      </c>
      <c r="BN174" s="192">
        <f t="shared" si="205"/>
        <v>0</v>
      </c>
      <c r="BO174" s="192">
        <f t="shared" si="206"/>
        <v>0</v>
      </c>
      <c r="BP174" s="192">
        <f t="shared" si="207"/>
        <v>0</v>
      </c>
      <c r="BQ174" s="193">
        <f t="shared" si="208"/>
        <v>0</v>
      </c>
      <c r="BR174" s="193">
        <f t="shared" si="209"/>
        <v>0</v>
      </c>
      <c r="BS174" s="265">
        <f t="shared" si="210"/>
        <v>0</v>
      </c>
      <c r="BT174" s="265">
        <f t="shared" si="211"/>
        <v>0</v>
      </c>
      <c r="BU174" s="265">
        <f t="shared" si="212"/>
        <v>0</v>
      </c>
      <c r="BV174" s="265">
        <f t="shared" si="213"/>
        <v>0</v>
      </c>
      <c r="BW174" s="265">
        <f t="shared" si="214"/>
        <v>0</v>
      </c>
      <c r="BX174" s="265">
        <f t="shared" si="215"/>
        <v>0</v>
      </c>
      <c r="BY174" s="265">
        <f t="shared" si="216"/>
        <v>0</v>
      </c>
      <c r="BZ174" s="265">
        <f t="shared" si="217"/>
        <v>0</v>
      </c>
      <c r="CA174" s="265">
        <f t="shared" si="218"/>
        <v>0</v>
      </c>
      <c r="CB174" s="269">
        <f t="shared" si="219"/>
        <v>0</v>
      </c>
      <c r="CC174" s="266">
        <f t="shared" si="220"/>
        <v>0</v>
      </c>
      <c r="CD174" s="241"/>
      <c r="CE174" s="198">
        <f t="shared" si="221"/>
        <v>1.4452219097320456E-10</v>
      </c>
      <c r="CF174" s="198">
        <f t="shared" si="224"/>
        <v>0</v>
      </c>
      <c r="CG174" s="198">
        <f t="shared" si="225"/>
        <v>0</v>
      </c>
      <c r="CH174" s="198">
        <f t="shared" si="226"/>
        <v>0</v>
      </c>
      <c r="CI174" s="198">
        <f t="shared" si="227"/>
        <v>0</v>
      </c>
      <c r="CJ174" s="198">
        <f t="shared" si="228"/>
        <v>0</v>
      </c>
      <c r="CK174" s="198">
        <f t="shared" si="229"/>
        <v>0</v>
      </c>
      <c r="CL174" s="198">
        <f t="shared" si="230"/>
        <v>6.3134458640473021E-13</v>
      </c>
      <c r="CM174" s="271">
        <f t="shared" si="231"/>
        <v>0</v>
      </c>
      <c r="CN174" s="198">
        <f t="shared" si="232"/>
        <v>1.4515353555960928E-10</v>
      </c>
      <c r="CO174" s="209">
        <f t="shared" si="222"/>
        <v>1.4452219097320456E-10</v>
      </c>
    </row>
    <row r="175" spans="2:93" x14ac:dyDescent="0.2">
      <c r="B175" s="221">
        <f>'DATA INPUT - DETAIL'!D166</f>
        <v>0</v>
      </c>
      <c r="C175" s="211">
        <f>'DATA INPUT - DETAIL'!E166</f>
        <v>0</v>
      </c>
      <c r="D175" s="257">
        <f>'DATA INPUT - DETAIL'!I166</f>
        <v>0</v>
      </c>
      <c r="E175" s="258">
        <f>'DATA INPUT - DETAIL'!K166</f>
        <v>0</v>
      </c>
      <c r="F175" s="258">
        <f>'DATA INPUT - DETAIL'!L166</f>
        <v>0</v>
      </c>
      <c r="G175" s="179">
        <f>'DATA INPUT - DETAIL'!M166*(1+$V$5)</f>
        <v>0</v>
      </c>
      <c r="H175" s="179">
        <f>'DATA INPUT - DETAIL'!N166*(1+$V$5)</f>
        <v>0</v>
      </c>
      <c r="I175" s="258">
        <f t="shared" si="166"/>
        <v>0</v>
      </c>
      <c r="J175" s="258">
        <f>'DATA INPUT - DETAIL'!O166</f>
        <v>0</v>
      </c>
      <c r="K175" s="258">
        <f>'DATA INPUT - DETAIL'!P166</f>
        <v>0</v>
      </c>
      <c r="L175" s="267">
        <f>ROUNDDOWN('DATA INPUT - DETAIL'!G166,0)</f>
        <v>0</v>
      </c>
      <c r="M175" s="196">
        <f t="shared" si="233"/>
        <v>0</v>
      </c>
      <c r="N175" s="196">
        <f t="shared" si="167"/>
        <v>0</v>
      </c>
      <c r="O175" s="196">
        <f t="shared" si="168"/>
        <v>0</v>
      </c>
      <c r="P175" s="196">
        <f t="shared" si="169"/>
        <v>0</v>
      </c>
      <c r="Q175" s="196">
        <f t="shared" si="170"/>
        <v>0</v>
      </c>
      <c r="R175" s="196">
        <f t="shared" si="171"/>
        <v>0</v>
      </c>
      <c r="S175" s="196">
        <f t="shared" si="172"/>
        <v>0</v>
      </c>
      <c r="T175" s="196">
        <f t="shared" si="173"/>
        <v>0</v>
      </c>
      <c r="U175" s="185">
        <f>(C175&gt;0)*(C175&lt;$E$5)*VLOOKUP(MPP,ASUMSI!$BN$77:$CR$108,B175+1)*(1+$V$4)</f>
        <v>0</v>
      </c>
      <c r="V175" s="196">
        <f t="shared" si="174"/>
        <v>0</v>
      </c>
      <c r="W175" s="196">
        <f t="shared" si="175"/>
        <v>0</v>
      </c>
      <c r="X175" s="196">
        <f t="shared" si="176"/>
        <v>0</v>
      </c>
      <c r="Y175" s="196">
        <f t="shared" si="177"/>
        <v>0</v>
      </c>
      <c r="Z175" s="196">
        <f t="shared" si="178"/>
        <v>0</v>
      </c>
      <c r="AA175" s="185">
        <f t="shared" si="179"/>
        <v>0</v>
      </c>
      <c r="AB175" s="196">
        <f t="shared" si="180"/>
        <v>0</v>
      </c>
      <c r="AC175" s="196">
        <f t="shared" si="181"/>
        <v>0</v>
      </c>
      <c r="AD175" s="196">
        <f t="shared" si="182"/>
        <v>0</v>
      </c>
      <c r="AE175" s="196">
        <f t="shared" si="183"/>
        <v>0</v>
      </c>
      <c r="AF175" s="196">
        <f t="shared" si="184"/>
        <v>0</v>
      </c>
      <c r="AG175" s="196">
        <f t="shared" si="185"/>
        <v>0</v>
      </c>
      <c r="AH175" s="196">
        <f t="shared" si="186"/>
        <v>0</v>
      </c>
      <c r="AI175" s="266">
        <f>'DATA INPUT - DETAIL'!R166</f>
        <v>0</v>
      </c>
      <c r="AJ175" s="266">
        <f>'DATA INPUT - DETAIL'!S166</f>
        <v>0</v>
      </c>
      <c r="AK175" s="266">
        <f>'DATA INPUT - DETAIL'!T166</f>
        <v>0</v>
      </c>
      <c r="AL175" s="266">
        <f>'DATA INPUT - DETAIL'!U166</f>
        <v>0</v>
      </c>
      <c r="AM175" s="266">
        <f>'DATA INPUT - DETAIL'!V166</f>
        <v>0</v>
      </c>
      <c r="AN175" s="266">
        <f>'DATA INPUT - DETAIL'!W166</f>
        <v>0</v>
      </c>
      <c r="AO175" s="198">
        <f t="shared" si="187"/>
        <v>0</v>
      </c>
      <c r="AP175" s="266">
        <f>'DATA INPUT - DETAIL'!X166</f>
        <v>0</v>
      </c>
      <c r="AQ175" s="266">
        <f>'DATA INPUT - DETAIL'!Y166</f>
        <v>0</v>
      </c>
      <c r="AR175" s="266">
        <f>'DATA INPUT - DETAIL'!Z166</f>
        <v>0</v>
      </c>
      <c r="AS175" s="266">
        <f>'DATA INPUT - DETAIL'!AD166</f>
        <v>0</v>
      </c>
      <c r="AT175" s="266">
        <f t="shared" si="188"/>
        <v>0</v>
      </c>
      <c r="AU175" s="206">
        <f>'DATA INPUT - DETAIL'!AA166</f>
        <v>0</v>
      </c>
      <c r="AV175" s="206">
        <f>'DATA INPUT - DETAIL'!AB166</f>
        <v>0</v>
      </c>
      <c r="AW175" s="206">
        <f>'DATA INPUT - DETAIL'!AC166</f>
        <v>0</v>
      </c>
      <c r="AX175" s="206">
        <f t="shared" si="189"/>
        <v>0</v>
      </c>
      <c r="AY175" s="206">
        <f t="shared" si="190"/>
        <v>0</v>
      </c>
      <c r="AZ175" s="206">
        <f t="shared" si="191"/>
        <v>0</v>
      </c>
      <c r="BA175" s="206">
        <f t="shared" si="192"/>
        <v>0</v>
      </c>
      <c r="BB175" s="206">
        <f t="shared" si="193"/>
        <v>0</v>
      </c>
      <c r="BC175" s="206">
        <f t="shared" si="194"/>
        <v>0</v>
      </c>
      <c r="BD175" s="206">
        <f t="shared" si="195"/>
        <v>0</v>
      </c>
      <c r="BE175" s="206">
        <f t="shared" si="196"/>
        <v>0</v>
      </c>
      <c r="BF175" s="206">
        <f t="shared" si="197"/>
        <v>0</v>
      </c>
      <c r="BG175" s="206">
        <f t="shared" si="198"/>
        <v>0</v>
      </c>
      <c r="BH175" s="206">
        <f t="shared" si="199"/>
        <v>0</v>
      </c>
      <c r="BI175" s="206">
        <f t="shared" si="200"/>
        <v>0</v>
      </c>
      <c r="BJ175" s="266">
        <f t="shared" si="201"/>
        <v>0</v>
      </c>
      <c r="BK175" s="266">
        <f t="shared" si="202"/>
        <v>0</v>
      </c>
      <c r="BL175" s="192">
        <f t="shared" si="203"/>
        <v>0</v>
      </c>
      <c r="BM175" s="192">
        <f t="shared" si="204"/>
        <v>0</v>
      </c>
      <c r="BN175" s="192">
        <f t="shared" si="205"/>
        <v>0</v>
      </c>
      <c r="BO175" s="192">
        <f t="shared" si="206"/>
        <v>0</v>
      </c>
      <c r="BP175" s="192">
        <f t="shared" si="207"/>
        <v>0</v>
      </c>
      <c r="BQ175" s="193">
        <f t="shared" si="208"/>
        <v>0</v>
      </c>
      <c r="BR175" s="193">
        <f t="shared" si="209"/>
        <v>0</v>
      </c>
      <c r="BS175" s="265">
        <f t="shared" si="210"/>
        <v>0</v>
      </c>
      <c r="BT175" s="265">
        <f t="shared" si="211"/>
        <v>0</v>
      </c>
      <c r="BU175" s="265">
        <f t="shared" si="212"/>
        <v>0</v>
      </c>
      <c r="BV175" s="265">
        <f t="shared" si="213"/>
        <v>0</v>
      </c>
      <c r="BW175" s="265">
        <f t="shared" si="214"/>
        <v>0</v>
      </c>
      <c r="BX175" s="265">
        <f t="shared" si="215"/>
        <v>0</v>
      </c>
      <c r="BY175" s="265">
        <f t="shared" si="216"/>
        <v>0</v>
      </c>
      <c r="BZ175" s="265">
        <f t="shared" si="217"/>
        <v>0</v>
      </c>
      <c r="CA175" s="265">
        <f t="shared" si="218"/>
        <v>0</v>
      </c>
      <c r="CB175" s="269">
        <f t="shared" si="219"/>
        <v>0</v>
      </c>
      <c r="CC175" s="266">
        <f t="shared" si="220"/>
        <v>0</v>
      </c>
      <c r="CD175" s="241"/>
      <c r="CE175" s="198">
        <f t="shared" si="221"/>
        <v>1.4515353555960928E-10</v>
      </c>
      <c r="CF175" s="198">
        <f t="shared" si="224"/>
        <v>0</v>
      </c>
      <c r="CG175" s="198">
        <f t="shared" si="225"/>
        <v>0</v>
      </c>
      <c r="CH175" s="198">
        <f t="shared" si="226"/>
        <v>0</v>
      </c>
      <c r="CI175" s="198">
        <f t="shared" si="227"/>
        <v>0</v>
      </c>
      <c r="CJ175" s="198">
        <f t="shared" si="228"/>
        <v>0</v>
      </c>
      <c r="CK175" s="198">
        <f t="shared" si="229"/>
        <v>0</v>
      </c>
      <c r="CL175" s="198">
        <f t="shared" si="230"/>
        <v>6.3410261258810341E-13</v>
      </c>
      <c r="CM175" s="271">
        <f t="shared" si="231"/>
        <v>0</v>
      </c>
      <c r="CN175" s="198">
        <f t="shared" si="232"/>
        <v>1.4578763817219738E-10</v>
      </c>
      <c r="CO175" s="209">
        <f t="shared" si="222"/>
        <v>1.4515353555960928E-10</v>
      </c>
    </row>
    <row r="176" spans="2:93" x14ac:dyDescent="0.2">
      <c r="B176" s="221">
        <f>'DATA INPUT - DETAIL'!D167</f>
        <v>0</v>
      </c>
      <c r="C176" s="211">
        <f>'DATA INPUT - DETAIL'!E167</f>
        <v>0</v>
      </c>
      <c r="D176" s="257">
        <f>'DATA INPUT - DETAIL'!I167</f>
        <v>0</v>
      </c>
      <c r="E176" s="258">
        <f>'DATA INPUT - DETAIL'!K167</f>
        <v>0</v>
      </c>
      <c r="F176" s="258">
        <f>'DATA INPUT - DETAIL'!L167</f>
        <v>0</v>
      </c>
      <c r="G176" s="179">
        <f>'DATA INPUT - DETAIL'!M167*(1+$V$5)</f>
        <v>0</v>
      </c>
      <c r="H176" s="179">
        <f>'DATA INPUT - DETAIL'!N167*(1+$V$5)</f>
        <v>0</v>
      </c>
      <c r="I176" s="258">
        <f t="shared" si="166"/>
        <v>0</v>
      </c>
      <c r="J176" s="258">
        <f>'DATA INPUT - DETAIL'!O167</f>
        <v>0</v>
      </c>
      <c r="K176" s="258">
        <f>'DATA INPUT - DETAIL'!P167</f>
        <v>0</v>
      </c>
      <c r="L176" s="267">
        <f>ROUNDDOWN('DATA INPUT - DETAIL'!G167,0)</f>
        <v>0</v>
      </c>
      <c r="M176" s="196">
        <f t="shared" si="233"/>
        <v>0</v>
      </c>
      <c r="N176" s="196">
        <f t="shared" si="167"/>
        <v>0</v>
      </c>
      <c r="O176" s="196">
        <f t="shared" si="168"/>
        <v>0</v>
      </c>
      <c r="P176" s="196">
        <f t="shared" si="169"/>
        <v>0</v>
      </c>
      <c r="Q176" s="196">
        <f t="shared" si="170"/>
        <v>0</v>
      </c>
      <c r="R176" s="196">
        <f t="shared" si="171"/>
        <v>0</v>
      </c>
      <c r="S176" s="196">
        <f t="shared" si="172"/>
        <v>0</v>
      </c>
      <c r="T176" s="196">
        <f t="shared" si="173"/>
        <v>0</v>
      </c>
      <c r="U176" s="185">
        <f>(C176&gt;0)*(C176&lt;$E$5)*VLOOKUP(MPP,ASUMSI!$BN$77:$CR$108,B176+1)*(1+$V$4)</f>
        <v>0</v>
      </c>
      <c r="V176" s="196">
        <f t="shared" si="174"/>
        <v>0</v>
      </c>
      <c r="W176" s="196">
        <f t="shared" si="175"/>
        <v>0</v>
      </c>
      <c r="X176" s="196">
        <f t="shared" si="176"/>
        <v>0</v>
      </c>
      <c r="Y176" s="196">
        <f t="shared" si="177"/>
        <v>0</v>
      </c>
      <c r="Z176" s="196">
        <f t="shared" si="178"/>
        <v>0</v>
      </c>
      <c r="AA176" s="185">
        <f t="shared" si="179"/>
        <v>0</v>
      </c>
      <c r="AB176" s="196">
        <f t="shared" si="180"/>
        <v>0</v>
      </c>
      <c r="AC176" s="196">
        <f t="shared" si="181"/>
        <v>0</v>
      </c>
      <c r="AD176" s="196">
        <f t="shared" si="182"/>
        <v>0</v>
      </c>
      <c r="AE176" s="196">
        <f t="shared" si="183"/>
        <v>0</v>
      </c>
      <c r="AF176" s="196">
        <f t="shared" si="184"/>
        <v>0</v>
      </c>
      <c r="AG176" s="196">
        <f t="shared" si="185"/>
        <v>0</v>
      </c>
      <c r="AH176" s="196">
        <f t="shared" si="186"/>
        <v>0</v>
      </c>
      <c r="AI176" s="266">
        <f>'DATA INPUT - DETAIL'!R167</f>
        <v>0</v>
      </c>
      <c r="AJ176" s="266">
        <f>'DATA INPUT - DETAIL'!S167</f>
        <v>0</v>
      </c>
      <c r="AK176" s="266">
        <f>'DATA INPUT - DETAIL'!T167</f>
        <v>0</v>
      </c>
      <c r="AL176" s="266">
        <f>'DATA INPUT - DETAIL'!U167</f>
        <v>0</v>
      </c>
      <c r="AM176" s="266">
        <f>'DATA INPUT - DETAIL'!V167</f>
        <v>0</v>
      </c>
      <c r="AN176" s="266">
        <f>'DATA INPUT - DETAIL'!W167</f>
        <v>0</v>
      </c>
      <c r="AO176" s="198">
        <f t="shared" si="187"/>
        <v>0</v>
      </c>
      <c r="AP176" s="266">
        <f>'DATA INPUT - DETAIL'!X167</f>
        <v>0</v>
      </c>
      <c r="AQ176" s="266">
        <f>'DATA INPUT - DETAIL'!Y167</f>
        <v>0</v>
      </c>
      <c r="AR176" s="266">
        <f>'DATA INPUT - DETAIL'!Z167</f>
        <v>0</v>
      </c>
      <c r="AS176" s="266">
        <f>'DATA INPUT - DETAIL'!AD167</f>
        <v>0</v>
      </c>
      <c r="AT176" s="266">
        <f t="shared" si="188"/>
        <v>0</v>
      </c>
      <c r="AU176" s="206">
        <f>'DATA INPUT - DETAIL'!AA167</f>
        <v>0</v>
      </c>
      <c r="AV176" s="206">
        <f>'DATA INPUT - DETAIL'!AB167</f>
        <v>0</v>
      </c>
      <c r="AW176" s="206">
        <f>'DATA INPUT - DETAIL'!AC167</f>
        <v>0</v>
      </c>
      <c r="AX176" s="206">
        <f t="shared" si="189"/>
        <v>0</v>
      </c>
      <c r="AY176" s="206">
        <f t="shared" si="190"/>
        <v>0</v>
      </c>
      <c r="AZ176" s="206">
        <f t="shared" si="191"/>
        <v>0</v>
      </c>
      <c r="BA176" s="206">
        <f t="shared" si="192"/>
        <v>0</v>
      </c>
      <c r="BB176" s="206">
        <f t="shared" si="193"/>
        <v>0</v>
      </c>
      <c r="BC176" s="206">
        <f t="shared" si="194"/>
        <v>0</v>
      </c>
      <c r="BD176" s="206">
        <f t="shared" si="195"/>
        <v>0</v>
      </c>
      <c r="BE176" s="206">
        <f t="shared" si="196"/>
        <v>0</v>
      </c>
      <c r="BF176" s="206">
        <f t="shared" si="197"/>
        <v>0</v>
      </c>
      <c r="BG176" s="206">
        <f t="shared" si="198"/>
        <v>0</v>
      </c>
      <c r="BH176" s="206">
        <f t="shared" si="199"/>
        <v>0</v>
      </c>
      <c r="BI176" s="206">
        <f t="shared" si="200"/>
        <v>0</v>
      </c>
      <c r="BJ176" s="266">
        <f t="shared" si="201"/>
        <v>0</v>
      </c>
      <c r="BK176" s="266">
        <f t="shared" si="202"/>
        <v>0</v>
      </c>
      <c r="BL176" s="192">
        <f t="shared" si="203"/>
        <v>0</v>
      </c>
      <c r="BM176" s="192">
        <f t="shared" si="204"/>
        <v>0</v>
      </c>
      <c r="BN176" s="192">
        <f t="shared" si="205"/>
        <v>0</v>
      </c>
      <c r="BO176" s="192">
        <f t="shared" si="206"/>
        <v>0</v>
      </c>
      <c r="BP176" s="192">
        <f t="shared" si="207"/>
        <v>0</v>
      </c>
      <c r="BQ176" s="193">
        <f t="shared" si="208"/>
        <v>0</v>
      </c>
      <c r="BR176" s="193">
        <f t="shared" si="209"/>
        <v>0</v>
      </c>
      <c r="BS176" s="265">
        <f t="shared" si="210"/>
        <v>0</v>
      </c>
      <c r="BT176" s="265">
        <f t="shared" si="211"/>
        <v>0</v>
      </c>
      <c r="BU176" s="265">
        <f t="shared" si="212"/>
        <v>0</v>
      </c>
      <c r="BV176" s="265">
        <f t="shared" si="213"/>
        <v>0</v>
      </c>
      <c r="BW176" s="265">
        <f t="shared" si="214"/>
        <v>0</v>
      </c>
      <c r="BX176" s="265">
        <f t="shared" si="215"/>
        <v>0</v>
      </c>
      <c r="BY176" s="265">
        <f t="shared" si="216"/>
        <v>0</v>
      </c>
      <c r="BZ176" s="265">
        <f t="shared" si="217"/>
        <v>0</v>
      </c>
      <c r="CA176" s="265">
        <f t="shared" si="218"/>
        <v>0</v>
      </c>
      <c r="CB176" s="269">
        <f t="shared" si="219"/>
        <v>0</v>
      </c>
      <c r="CC176" s="266">
        <f t="shared" si="220"/>
        <v>0</v>
      </c>
      <c r="CD176" s="241"/>
      <c r="CE176" s="198">
        <f t="shared" si="221"/>
        <v>1.4578763817219738E-10</v>
      </c>
      <c r="CF176" s="198">
        <f t="shared" si="224"/>
        <v>0</v>
      </c>
      <c r="CG176" s="198">
        <f t="shared" si="225"/>
        <v>0</v>
      </c>
      <c r="CH176" s="198">
        <f t="shared" si="226"/>
        <v>0</v>
      </c>
      <c r="CI176" s="198">
        <f t="shared" si="227"/>
        <v>0</v>
      </c>
      <c r="CJ176" s="198">
        <f t="shared" si="228"/>
        <v>0</v>
      </c>
      <c r="CK176" s="198">
        <f t="shared" si="229"/>
        <v>0</v>
      </c>
      <c r="CL176" s="198">
        <f t="shared" si="230"/>
        <v>6.3687268719731564E-13</v>
      </c>
      <c r="CM176" s="271">
        <f t="shared" si="231"/>
        <v>0</v>
      </c>
      <c r="CN176" s="198">
        <f t="shared" si="232"/>
        <v>1.464245108593947E-10</v>
      </c>
      <c r="CO176" s="209">
        <f t="shared" si="222"/>
        <v>1.4578763817219738E-10</v>
      </c>
    </row>
    <row r="177" spans="1:93" x14ac:dyDescent="0.2">
      <c r="B177" s="221">
        <f>'DATA INPUT - DETAIL'!D168</f>
        <v>0</v>
      </c>
      <c r="C177" s="211">
        <f>'DATA INPUT - DETAIL'!E168</f>
        <v>0</v>
      </c>
      <c r="D177" s="257">
        <f>'DATA INPUT - DETAIL'!I168</f>
        <v>0</v>
      </c>
      <c r="E177" s="258">
        <f>'DATA INPUT - DETAIL'!K168</f>
        <v>0</v>
      </c>
      <c r="F177" s="258">
        <f>'DATA INPUT - DETAIL'!L168</f>
        <v>0</v>
      </c>
      <c r="G177" s="179">
        <f>'DATA INPUT - DETAIL'!M168*(1+$V$5)</f>
        <v>0</v>
      </c>
      <c r="H177" s="179">
        <f>'DATA INPUT - DETAIL'!N168*(1+$V$5)</f>
        <v>0</v>
      </c>
      <c r="I177" s="258">
        <f t="shared" si="166"/>
        <v>0</v>
      </c>
      <c r="J177" s="258">
        <f>'DATA INPUT - DETAIL'!O168</f>
        <v>0</v>
      </c>
      <c r="K177" s="258">
        <f>'DATA INPUT - DETAIL'!P168</f>
        <v>0</v>
      </c>
      <c r="L177" s="267">
        <f>ROUNDDOWN('DATA INPUT - DETAIL'!G168,0)</f>
        <v>0</v>
      </c>
      <c r="M177" s="196">
        <f t="shared" si="233"/>
        <v>0</v>
      </c>
      <c r="N177" s="196">
        <f t="shared" si="167"/>
        <v>0</v>
      </c>
      <c r="O177" s="196">
        <f t="shared" si="168"/>
        <v>0</v>
      </c>
      <c r="P177" s="196">
        <f t="shared" si="169"/>
        <v>0</v>
      </c>
      <c r="Q177" s="196">
        <f t="shared" si="170"/>
        <v>0</v>
      </c>
      <c r="R177" s="196">
        <f t="shared" si="171"/>
        <v>0</v>
      </c>
      <c r="S177" s="196">
        <f t="shared" si="172"/>
        <v>0</v>
      </c>
      <c r="T177" s="196">
        <f t="shared" si="173"/>
        <v>0</v>
      </c>
      <c r="U177" s="185">
        <f>(C177&gt;0)*(C177&lt;$E$5)*VLOOKUP(MPP,ASUMSI!$BN$77:$CR$108,B177+1)*(1+$V$4)</f>
        <v>0</v>
      </c>
      <c r="V177" s="196">
        <f t="shared" si="174"/>
        <v>0</v>
      </c>
      <c r="W177" s="196">
        <f t="shared" si="175"/>
        <v>0</v>
      </c>
      <c r="X177" s="196">
        <f t="shared" si="176"/>
        <v>0</v>
      </c>
      <c r="Y177" s="196">
        <f t="shared" si="177"/>
        <v>0</v>
      </c>
      <c r="Z177" s="196">
        <f t="shared" si="178"/>
        <v>0</v>
      </c>
      <c r="AA177" s="185">
        <f t="shared" si="179"/>
        <v>0</v>
      </c>
      <c r="AB177" s="196">
        <f t="shared" si="180"/>
        <v>0</v>
      </c>
      <c r="AC177" s="196">
        <f t="shared" si="181"/>
        <v>0</v>
      </c>
      <c r="AD177" s="196">
        <f t="shared" si="182"/>
        <v>0</v>
      </c>
      <c r="AE177" s="196">
        <f t="shared" si="183"/>
        <v>0</v>
      </c>
      <c r="AF177" s="196">
        <f t="shared" si="184"/>
        <v>0</v>
      </c>
      <c r="AG177" s="196">
        <f t="shared" si="185"/>
        <v>0</v>
      </c>
      <c r="AH177" s="196">
        <f t="shared" si="186"/>
        <v>0</v>
      </c>
      <c r="AI177" s="266">
        <f>'DATA INPUT - DETAIL'!R168</f>
        <v>0</v>
      </c>
      <c r="AJ177" s="266">
        <f>'DATA INPUT - DETAIL'!S168</f>
        <v>0</v>
      </c>
      <c r="AK177" s="266">
        <f>'DATA INPUT - DETAIL'!T168</f>
        <v>0</v>
      </c>
      <c r="AL177" s="266">
        <f>'DATA INPUT - DETAIL'!U168</f>
        <v>0</v>
      </c>
      <c r="AM177" s="266">
        <f>'DATA INPUT - DETAIL'!V168</f>
        <v>0</v>
      </c>
      <c r="AN177" s="266">
        <f>'DATA INPUT - DETAIL'!W168</f>
        <v>0</v>
      </c>
      <c r="AO177" s="198">
        <f t="shared" si="187"/>
        <v>0</v>
      </c>
      <c r="AP177" s="266">
        <f>'DATA INPUT - DETAIL'!X168</f>
        <v>0</v>
      </c>
      <c r="AQ177" s="266">
        <f>'DATA INPUT - DETAIL'!Y168</f>
        <v>0</v>
      </c>
      <c r="AR177" s="266">
        <f>'DATA INPUT - DETAIL'!Z168</f>
        <v>0</v>
      </c>
      <c r="AS177" s="266">
        <f>'DATA INPUT - DETAIL'!AD168</f>
        <v>0</v>
      </c>
      <c r="AT177" s="266">
        <f t="shared" si="188"/>
        <v>0</v>
      </c>
      <c r="AU177" s="206">
        <f>'DATA INPUT - DETAIL'!AA168</f>
        <v>0</v>
      </c>
      <c r="AV177" s="206">
        <f>'DATA INPUT - DETAIL'!AB168</f>
        <v>0</v>
      </c>
      <c r="AW177" s="206">
        <f>'DATA INPUT - DETAIL'!AC168</f>
        <v>0</v>
      </c>
      <c r="AX177" s="206">
        <f t="shared" si="189"/>
        <v>0</v>
      </c>
      <c r="AY177" s="206">
        <f t="shared" si="190"/>
        <v>0</v>
      </c>
      <c r="AZ177" s="206">
        <f t="shared" si="191"/>
        <v>0</v>
      </c>
      <c r="BA177" s="206">
        <f t="shared" si="192"/>
        <v>0</v>
      </c>
      <c r="BB177" s="206">
        <f t="shared" si="193"/>
        <v>0</v>
      </c>
      <c r="BC177" s="206">
        <f t="shared" si="194"/>
        <v>0</v>
      </c>
      <c r="BD177" s="206">
        <f t="shared" si="195"/>
        <v>0</v>
      </c>
      <c r="BE177" s="206">
        <f t="shared" si="196"/>
        <v>0</v>
      </c>
      <c r="BF177" s="206">
        <f t="shared" si="197"/>
        <v>0</v>
      </c>
      <c r="BG177" s="206">
        <f t="shared" si="198"/>
        <v>0</v>
      </c>
      <c r="BH177" s="206">
        <f t="shared" si="199"/>
        <v>0</v>
      </c>
      <c r="BI177" s="206">
        <f t="shared" si="200"/>
        <v>0</v>
      </c>
      <c r="BJ177" s="266">
        <f t="shared" si="201"/>
        <v>0</v>
      </c>
      <c r="BK177" s="266">
        <f t="shared" si="202"/>
        <v>0</v>
      </c>
      <c r="BL177" s="192">
        <f t="shared" si="203"/>
        <v>0</v>
      </c>
      <c r="BM177" s="192">
        <f t="shared" si="204"/>
        <v>0</v>
      </c>
      <c r="BN177" s="192">
        <f t="shared" si="205"/>
        <v>0</v>
      </c>
      <c r="BO177" s="192">
        <f t="shared" si="206"/>
        <v>0</v>
      </c>
      <c r="BP177" s="192">
        <f t="shared" si="207"/>
        <v>0</v>
      </c>
      <c r="BQ177" s="193">
        <f t="shared" si="208"/>
        <v>0</v>
      </c>
      <c r="BR177" s="193">
        <f t="shared" si="209"/>
        <v>0</v>
      </c>
      <c r="BS177" s="265">
        <f t="shared" si="210"/>
        <v>0</v>
      </c>
      <c r="BT177" s="265">
        <f t="shared" si="211"/>
        <v>0</v>
      </c>
      <c r="BU177" s="265">
        <f t="shared" si="212"/>
        <v>0</v>
      </c>
      <c r="BV177" s="265">
        <f t="shared" si="213"/>
        <v>0</v>
      </c>
      <c r="BW177" s="265">
        <f t="shared" si="214"/>
        <v>0</v>
      </c>
      <c r="BX177" s="265">
        <f t="shared" si="215"/>
        <v>0</v>
      </c>
      <c r="BY177" s="265">
        <f t="shared" si="216"/>
        <v>0</v>
      </c>
      <c r="BZ177" s="265">
        <f t="shared" si="217"/>
        <v>0</v>
      </c>
      <c r="CA177" s="265">
        <f t="shared" si="218"/>
        <v>0</v>
      </c>
      <c r="CB177" s="269">
        <f t="shared" si="219"/>
        <v>0</v>
      </c>
      <c r="CC177" s="266">
        <f t="shared" si="220"/>
        <v>0</v>
      </c>
      <c r="CD177" s="241"/>
      <c r="CE177" s="198">
        <f t="shared" si="221"/>
        <v>1.464245108593947E-10</v>
      </c>
      <c r="CF177" s="198">
        <f t="shared" si="224"/>
        <v>0</v>
      </c>
      <c r="CG177" s="198">
        <f t="shared" si="225"/>
        <v>0</v>
      </c>
      <c r="CH177" s="198">
        <f t="shared" si="226"/>
        <v>0</v>
      </c>
      <c r="CI177" s="198">
        <f t="shared" si="227"/>
        <v>0</v>
      </c>
      <c r="CJ177" s="198">
        <f t="shared" si="228"/>
        <v>0</v>
      </c>
      <c r="CK177" s="198">
        <f t="shared" si="229"/>
        <v>0</v>
      </c>
      <c r="CL177" s="198">
        <f t="shared" si="230"/>
        <v>6.3965486286586474E-13</v>
      </c>
      <c r="CM177" s="271">
        <f t="shared" si="231"/>
        <v>0</v>
      </c>
      <c r="CN177" s="198">
        <f t="shared" si="232"/>
        <v>1.4706416572226056E-10</v>
      </c>
      <c r="CO177" s="209">
        <f t="shared" si="222"/>
        <v>1.464245108593947E-10</v>
      </c>
    </row>
    <row r="178" spans="1:93" x14ac:dyDescent="0.2">
      <c r="B178" s="221">
        <f>'DATA INPUT - DETAIL'!D169</f>
        <v>0</v>
      </c>
      <c r="C178" s="211">
        <f>'DATA INPUT - DETAIL'!E169</f>
        <v>0</v>
      </c>
      <c r="D178" s="257">
        <f>'DATA INPUT - DETAIL'!I169</f>
        <v>0</v>
      </c>
      <c r="E178" s="258">
        <f>'DATA INPUT - DETAIL'!K169</f>
        <v>0</v>
      </c>
      <c r="F178" s="258">
        <f>'DATA INPUT - DETAIL'!L169</f>
        <v>0</v>
      </c>
      <c r="G178" s="179">
        <f>'DATA INPUT - DETAIL'!M169*(1+$V$5)</f>
        <v>0</v>
      </c>
      <c r="H178" s="179">
        <f>'DATA INPUT - DETAIL'!N169*(1+$V$5)</f>
        <v>0</v>
      </c>
      <c r="I178" s="258">
        <f t="shared" si="166"/>
        <v>0</v>
      </c>
      <c r="J178" s="258">
        <f>'DATA INPUT - DETAIL'!O169</f>
        <v>0</v>
      </c>
      <c r="K178" s="258">
        <f>'DATA INPUT - DETAIL'!P169</f>
        <v>0</v>
      </c>
      <c r="L178" s="267">
        <f>ROUNDDOWN('DATA INPUT - DETAIL'!G169,0)</f>
        <v>0</v>
      </c>
      <c r="M178" s="196">
        <f t="shared" si="233"/>
        <v>0</v>
      </c>
      <c r="N178" s="196">
        <f t="shared" si="167"/>
        <v>0</v>
      </c>
      <c r="O178" s="196">
        <f t="shared" si="168"/>
        <v>0</v>
      </c>
      <c r="P178" s="196">
        <f t="shared" si="169"/>
        <v>0</v>
      </c>
      <c r="Q178" s="196">
        <f t="shared" si="170"/>
        <v>0</v>
      </c>
      <c r="R178" s="196">
        <f t="shared" si="171"/>
        <v>0</v>
      </c>
      <c r="S178" s="196">
        <f t="shared" si="172"/>
        <v>0</v>
      </c>
      <c r="T178" s="196">
        <f t="shared" si="173"/>
        <v>0</v>
      </c>
      <c r="U178" s="185">
        <f>(C178&gt;0)*(C178&lt;$E$5)*VLOOKUP(MPP,ASUMSI!$BN$77:$CR$108,B178+1)*(1+$V$4)</f>
        <v>0</v>
      </c>
      <c r="V178" s="196">
        <f t="shared" si="174"/>
        <v>0</v>
      </c>
      <c r="W178" s="196">
        <f t="shared" si="175"/>
        <v>0</v>
      </c>
      <c r="X178" s="196">
        <f t="shared" si="176"/>
        <v>0</v>
      </c>
      <c r="Y178" s="196">
        <f t="shared" si="177"/>
        <v>0</v>
      </c>
      <c r="Z178" s="196">
        <f t="shared" si="178"/>
        <v>0</v>
      </c>
      <c r="AA178" s="185">
        <f t="shared" si="179"/>
        <v>0</v>
      </c>
      <c r="AB178" s="196">
        <f t="shared" si="180"/>
        <v>0</v>
      </c>
      <c r="AC178" s="196">
        <f t="shared" si="181"/>
        <v>0</v>
      </c>
      <c r="AD178" s="196">
        <f t="shared" si="182"/>
        <v>0</v>
      </c>
      <c r="AE178" s="196">
        <f t="shared" si="183"/>
        <v>0</v>
      </c>
      <c r="AF178" s="196">
        <f t="shared" si="184"/>
        <v>0</v>
      </c>
      <c r="AG178" s="196">
        <f t="shared" si="185"/>
        <v>0</v>
      </c>
      <c r="AH178" s="196">
        <f t="shared" si="186"/>
        <v>0</v>
      </c>
      <c r="AI178" s="266">
        <f>'DATA INPUT - DETAIL'!R169</f>
        <v>0</v>
      </c>
      <c r="AJ178" s="266">
        <f>'DATA INPUT - DETAIL'!S169</f>
        <v>0</v>
      </c>
      <c r="AK178" s="266">
        <f>'DATA INPUT - DETAIL'!T169</f>
        <v>0</v>
      </c>
      <c r="AL178" s="266">
        <f>'DATA INPUT - DETAIL'!U169</f>
        <v>0</v>
      </c>
      <c r="AM178" s="266">
        <f>'DATA INPUT - DETAIL'!V169</f>
        <v>0</v>
      </c>
      <c r="AN178" s="266">
        <f>'DATA INPUT - DETAIL'!W169</f>
        <v>0</v>
      </c>
      <c r="AO178" s="198">
        <f t="shared" si="187"/>
        <v>0</v>
      </c>
      <c r="AP178" s="266">
        <f>'DATA INPUT - DETAIL'!X169</f>
        <v>0</v>
      </c>
      <c r="AQ178" s="266">
        <f>'DATA INPUT - DETAIL'!Y169</f>
        <v>0</v>
      </c>
      <c r="AR178" s="266">
        <f>'DATA INPUT - DETAIL'!Z169</f>
        <v>0</v>
      </c>
      <c r="AS178" s="266">
        <f>'DATA INPUT - DETAIL'!AD169</f>
        <v>0</v>
      </c>
      <c r="AT178" s="266">
        <f t="shared" si="188"/>
        <v>0</v>
      </c>
      <c r="AU178" s="206">
        <f>'DATA INPUT - DETAIL'!AA169</f>
        <v>0</v>
      </c>
      <c r="AV178" s="206">
        <f>'DATA INPUT - DETAIL'!AB169</f>
        <v>0</v>
      </c>
      <c r="AW178" s="206">
        <f>'DATA INPUT - DETAIL'!AC169</f>
        <v>0</v>
      </c>
      <c r="AX178" s="206">
        <f t="shared" si="189"/>
        <v>0</v>
      </c>
      <c r="AY178" s="206">
        <f t="shared" si="190"/>
        <v>0</v>
      </c>
      <c r="AZ178" s="206">
        <f t="shared" si="191"/>
        <v>0</v>
      </c>
      <c r="BA178" s="206">
        <f t="shared" si="192"/>
        <v>0</v>
      </c>
      <c r="BB178" s="206">
        <f t="shared" si="193"/>
        <v>0</v>
      </c>
      <c r="BC178" s="206">
        <f t="shared" si="194"/>
        <v>0</v>
      </c>
      <c r="BD178" s="206">
        <f t="shared" si="195"/>
        <v>0</v>
      </c>
      <c r="BE178" s="206">
        <f t="shared" si="196"/>
        <v>0</v>
      </c>
      <c r="BF178" s="206">
        <f t="shared" si="197"/>
        <v>0</v>
      </c>
      <c r="BG178" s="206">
        <f t="shared" si="198"/>
        <v>0</v>
      </c>
      <c r="BH178" s="206">
        <f t="shared" si="199"/>
        <v>0</v>
      </c>
      <c r="BI178" s="206">
        <f t="shared" si="200"/>
        <v>0</v>
      </c>
      <c r="BJ178" s="266">
        <f t="shared" si="201"/>
        <v>0</v>
      </c>
      <c r="BK178" s="266">
        <f t="shared" si="202"/>
        <v>0</v>
      </c>
      <c r="BL178" s="192">
        <f t="shared" si="203"/>
        <v>0</v>
      </c>
      <c r="BM178" s="192">
        <f t="shared" si="204"/>
        <v>0</v>
      </c>
      <c r="BN178" s="192">
        <f t="shared" si="205"/>
        <v>0</v>
      </c>
      <c r="BO178" s="192">
        <f t="shared" si="206"/>
        <v>0</v>
      </c>
      <c r="BP178" s="192">
        <f t="shared" si="207"/>
        <v>0</v>
      </c>
      <c r="BQ178" s="193">
        <f t="shared" si="208"/>
        <v>0</v>
      </c>
      <c r="BR178" s="193">
        <f t="shared" si="209"/>
        <v>0</v>
      </c>
      <c r="BS178" s="265">
        <f t="shared" si="210"/>
        <v>0</v>
      </c>
      <c r="BT178" s="265">
        <f t="shared" si="211"/>
        <v>0</v>
      </c>
      <c r="BU178" s="265">
        <f t="shared" si="212"/>
        <v>0</v>
      </c>
      <c r="BV178" s="265">
        <f t="shared" si="213"/>
        <v>0</v>
      </c>
      <c r="BW178" s="265">
        <f t="shared" si="214"/>
        <v>0</v>
      </c>
      <c r="BX178" s="265">
        <f t="shared" si="215"/>
        <v>0</v>
      </c>
      <c r="BY178" s="265">
        <f t="shared" si="216"/>
        <v>0</v>
      </c>
      <c r="BZ178" s="265">
        <f t="shared" si="217"/>
        <v>0</v>
      </c>
      <c r="CA178" s="265">
        <f t="shared" si="218"/>
        <v>0</v>
      </c>
      <c r="CB178" s="269">
        <f t="shared" si="219"/>
        <v>0</v>
      </c>
      <c r="CC178" s="266">
        <f t="shared" si="220"/>
        <v>0</v>
      </c>
      <c r="CD178" s="241"/>
      <c r="CE178" s="198">
        <f t="shared" si="221"/>
        <v>1.4706416572226056E-10</v>
      </c>
      <c r="CF178" s="198">
        <f t="shared" si="224"/>
        <v>0</v>
      </c>
      <c r="CG178" s="198">
        <f t="shared" si="225"/>
        <v>0</v>
      </c>
      <c r="CH178" s="198">
        <f t="shared" si="226"/>
        <v>0</v>
      </c>
      <c r="CI178" s="198">
        <f t="shared" si="227"/>
        <v>0</v>
      </c>
      <c r="CJ178" s="198">
        <f t="shared" si="228"/>
        <v>0</v>
      </c>
      <c r="CK178" s="198">
        <f t="shared" si="229"/>
        <v>0</v>
      </c>
      <c r="CL178" s="198">
        <f t="shared" si="230"/>
        <v>6.4244919245717778E-13</v>
      </c>
      <c r="CM178" s="271">
        <f t="shared" si="231"/>
        <v>0</v>
      </c>
      <c r="CN178" s="198">
        <f t="shared" si="232"/>
        <v>1.4770661491471775E-10</v>
      </c>
      <c r="CO178" s="209">
        <f t="shared" si="222"/>
        <v>1.4706416572226056E-10</v>
      </c>
    </row>
    <row r="179" spans="1:93" x14ac:dyDescent="0.2">
      <c r="B179" s="221">
        <f>'DATA INPUT - DETAIL'!D170</f>
        <v>0</v>
      </c>
      <c r="C179" s="211">
        <f>'DATA INPUT - DETAIL'!E170</f>
        <v>0</v>
      </c>
      <c r="D179" s="257">
        <f>'DATA INPUT - DETAIL'!I170</f>
        <v>0</v>
      </c>
      <c r="E179" s="258">
        <f>'DATA INPUT - DETAIL'!K170</f>
        <v>0</v>
      </c>
      <c r="F179" s="258">
        <f>'DATA INPUT - DETAIL'!L170</f>
        <v>0</v>
      </c>
      <c r="G179" s="179">
        <f>'DATA INPUT - DETAIL'!M170*(1+$V$5)</f>
        <v>0</v>
      </c>
      <c r="H179" s="179">
        <f>'DATA INPUT - DETAIL'!N170*(1+$V$5)</f>
        <v>0</v>
      </c>
      <c r="I179" s="258">
        <f t="shared" si="166"/>
        <v>0</v>
      </c>
      <c r="J179" s="258">
        <f>'DATA INPUT - DETAIL'!O170</f>
        <v>0</v>
      </c>
      <c r="K179" s="258">
        <f>'DATA INPUT - DETAIL'!P170</f>
        <v>0</v>
      </c>
      <c r="L179" s="267">
        <f>ROUNDDOWN('DATA INPUT - DETAIL'!G170,0)</f>
        <v>0</v>
      </c>
      <c r="M179" s="196">
        <f t="shared" si="233"/>
        <v>0</v>
      </c>
      <c r="N179" s="196">
        <f t="shared" si="167"/>
        <v>0</v>
      </c>
      <c r="O179" s="196">
        <f t="shared" si="168"/>
        <v>0</v>
      </c>
      <c r="P179" s="196">
        <f t="shared" si="169"/>
        <v>0</v>
      </c>
      <c r="Q179" s="196">
        <f t="shared" si="170"/>
        <v>0</v>
      </c>
      <c r="R179" s="196">
        <f t="shared" si="171"/>
        <v>0</v>
      </c>
      <c r="S179" s="196">
        <f t="shared" si="172"/>
        <v>0</v>
      </c>
      <c r="T179" s="196">
        <f t="shared" si="173"/>
        <v>0</v>
      </c>
      <c r="U179" s="185">
        <f>(C179&gt;0)*(C179&lt;$E$5)*VLOOKUP(MPP,ASUMSI!$BN$77:$CR$108,B179+1)*(1+$V$4)</f>
        <v>0</v>
      </c>
      <c r="V179" s="196">
        <f t="shared" si="174"/>
        <v>0</v>
      </c>
      <c r="W179" s="196">
        <f t="shared" si="175"/>
        <v>0</v>
      </c>
      <c r="X179" s="196">
        <f t="shared" si="176"/>
        <v>0</v>
      </c>
      <c r="Y179" s="196">
        <f t="shared" si="177"/>
        <v>0</v>
      </c>
      <c r="Z179" s="196">
        <f t="shared" si="178"/>
        <v>0</v>
      </c>
      <c r="AA179" s="185">
        <f t="shared" si="179"/>
        <v>0</v>
      </c>
      <c r="AB179" s="196">
        <f t="shared" si="180"/>
        <v>0</v>
      </c>
      <c r="AC179" s="196">
        <f t="shared" si="181"/>
        <v>0</v>
      </c>
      <c r="AD179" s="196">
        <f t="shared" si="182"/>
        <v>0</v>
      </c>
      <c r="AE179" s="196">
        <f t="shared" si="183"/>
        <v>0</v>
      </c>
      <c r="AF179" s="196">
        <f t="shared" si="184"/>
        <v>0</v>
      </c>
      <c r="AG179" s="196">
        <f t="shared" si="185"/>
        <v>0</v>
      </c>
      <c r="AH179" s="196">
        <f t="shared" si="186"/>
        <v>0</v>
      </c>
      <c r="AI179" s="266">
        <f>'DATA INPUT - DETAIL'!R170</f>
        <v>0</v>
      </c>
      <c r="AJ179" s="266">
        <f>'DATA INPUT - DETAIL'!S170</f>
        <v>0</v>
      </c>
      <c r="AK179" s="266">
        <f>'DATA INPUT - DETAIL'!T170</f>
        <v>0</v>
      </c>
      <c r="AL179" s="266">
        <f>'DATA INPUT - DETAIL'!U170</f>
        <v>0</v>
      </c>
      <c r="AM179" s="266">
        <f>'DATA INPUT - DETAIL'!V170</f>
        <v>0</v>
      </c>
      <c r="AN179" s="266">
        <f>'DATA INPUT - DETAIL'!W170</f>
        <v>0</v>
      </c>
      <c r="AO179" s="198">
        <f t="shared" si="187"/>
        <v>0</v>
      </c>
      <c r="AP179" s="266">
        <f>'DATA INPUT - DETAIL'!X170</f>
        <v>0</v>
      </c>
      <c r="AQ179" s="266">
        <f>'DATA INPUT - DETAIL'!Y170</f>
        <v>0</v>
      </c>
      <c r="AR179" s="266">
        <f>'DATA INPUT - DETAIL'!Z170</f>
        <v>0</v>
      </c>
      <c r="AS179" s="266">
        <f>'DATA INPUT - DETAIL'!AD170</f>
        <v>0</v>
      </c>
      <c r="AT179" s="266">
        <f t="shared" si="188"/>
        <v>0</v>
      </c>
      <c r="AU179" s="206">
        <f>'DATA INPUT - DETAIL'!AA170</f>
        <v>0</v>
      </c>
      <c r="AV179" s="206">
        <f>'DATA INPUT - DETAIL'!AB170</f>
        <v>0</v>
      </c>
      <c r="AW179" s="206">
        <f>'DATA INPUT - DETAIL'!AC170</f>
        <v>0</v>
      </c>
      <c r="AX179" s="206">
        <f t="shared" si="189"/>
        <v>0</v>
      </c>
      <c r="AY179" s="206">
        <f t="shared" si="190"/>
        <v>0</v>
      </c>
      <c r="AZ179" s="206">
        <f t="shared" si="191"/>
        <v>0</v>
      </c>
      <c r="BA179" s="206">
        <f t="shared" si="192"/>
        <v>0</v>
      </c>
      <c r="BB179" s="206">
        <f t="shared" si="193"/>
        <v>0</v>
      </c>
      <c r="BC179" s="206">
        <f t="shared" si="194"/>
        <v>0</v>
      </c>
      <c r="BD179" s="206">
        <f t="shared" si="195"/>
        <v>0</v>
      </c>
      <c r="BE179" s="206">
        <f t="shared" si="196"/>
        <v>0</v>
      </c>
      <c r="BF179" s="206">
        <f t="shared" si="197"/>
        <v>0</v>
      </c>
      <c r="BG179" s="206">
        <f t="shared" si="198"/>
        <v>0</v>
      </c>
      <c r="BH179" s="206">
        <f t="shared" si="199"/>
        <v>0</v>
      </c>
      <c r="BI179" s="206">
        <f t="shared" si="200"/>
        <v>0</v>
      </c>
      <c r="BJ179" s="266">
        <f t="shared" si="201"/>
        <v>0</v>
      </c>
      <c r="BK179" s="266">
        <f t="shared" si="202"/>
        <v>0</v>
      </c>
      <c r="BL179" s="192">
        <f t="shared" si="203"/>
        <v>0</v>
      </c>
      <c r="BM179" s="192">
        <f t="shared" si="204"/>
        <v>0</v>
      </c>
      <c r="BN179" s="192">
        <f t="shared" si="205"/>
        <v>0</v>
      </c>
      <c r="BO179" s="192">
        <f t="shared" si="206"/>
        <v>0</v>
      </c>
      <c r="BP179" s="192">
        <f t="shared" si="207"/>
        <v>0</v>
      </c>
      <c r="BQ179" s="193">
        <f t="shared" si="208"/>
        <v>0</v>
      </c>
      <c r="BR179" s="193">
        <f t="shared" si="209"/>
        <v>0</v>
      </c>
      <c r="BS179" s="265">
        <f t="shared" si="210"/>
        <v>0</v>
      </c>
      <c r="BT179" s="265">
        <f t="shared" si="211"/>
        <v>0</v>
      </c>
      <c r="BU179" s="265">
        <f t="shared" si="212"/>
        <v>0</v>
      </c>
      <c r="BV179" s="265">
        <f t="shared" si="213"/>
        <v>0</v>
      </c>
      <c r="BW179" s="265">
        <f t="shared" si="214"/>
        <v>0</v>
      </c>
      <c r="BX179" s="265">
        <f t="shared" si="215"/>
        <v>0</v>
      </c>
      <c r="BY179" s="265">
        <f t="shared" si="216"/>
        <v>0</v>
      </c>
      <c r="BZ179" s="265">
        <f t="shared" si="217"/>
        <v>0</v>
      </c>
      <c r="CA179" s="265">
        <f t="shared" si="218"/>
        <v>0</v>
      </c>
      <c r="CB179" s="269">
        <f t="shared" si="219"/>
        <v>0</v>
      </c>
      <c r="CC179" s="266">
        <f t="shared" si="220"/>
        <v>0</v>
      </c>
      <c r="CD179" s="241"/>
      <c r="CE179" s="198">
        <f t="shared" si="221"/>
        <v>1.4770661491471775E-10</v>
      </c>
      <c r="CF179" s="198">
        <f t="shared" si="224"/>
        <v>0</v>
      </c>
      <c r="CG179" s="198">
        <f t="shared" si="225"/>
        <v>0</v>
      </c>
      <c r="CH179" s="198">
        <f t="shared" si="226"/>
        <v>0</v>
      </c>
      <c r="CI179" s="198">
        <f t="shared" si="227"/>
        <v>0</v>
      </c>
      <c r="CJ179" s="198">
        <f t="shared" si="228"/>
        <v>0</v>
      </c>
      <c r="CK179" s="198">
        <f t="shared" si="229"/>
        <v>0</v>
      </c>
      <c r="CL179" s="198">
        <f t="shared" si="230"/>
        <v>6.4525572906561561E-13</v>
      </c>
      <c r="CM179" s="271">
        <f t="shared" si="231"/>
        <v>0</v>
      </c>
      <c r="CN179" s="198">
        <f t="shared" si="232"/>
        <v>1.4835187064378337E-10</v>
      </c>
      <c r="CO179" s="209">
        <f t="shared" si="222"/>
        <v>1.4770661491471775E-10</v>
      </c>
    </row>
    <row r="180" spans="1:93" x14ac:dyDescent="0.2">
      <c r="B180" s="221">
        <f>'DATA INPUT - DETAIL'!D171</f>
        <v>0</v>
      </c>
      <c r="C180" s="211">
        <f>'DATA INPUT - DETAIL'!E171</f>
        <v>0</v>
      </c>
      <c r="D180" s="257">
        <f>'DATA INPUT - DETAIL'!I171</f>
        <v>0</v>
      </c>
      <c r="E180" s="258">
        <f>'DATA INPUT - DETAIL'!K171</f>
        <v>0</v>
      </c>
      <c r="F180" s="258">
        <f>'DATA INPUT - DETAIL'!L171</f>
        <v>0</v>
      </c>
      <c r="G180" s="179">
        <f>'DATA INPUT - DETAIL'!M171*(1+$V$5)</f>
        <v>0</v>
      </c>
      <c r="H180" s="179">
        <f>'DATA INPUT - DETAIL'!N171*(1+$V$5)</f>
        <v>0</v>
      </c>
      <c r="I180" s="258">
        <f t="shared" si="166"/>
        <v>0</v>
      </c>
      <c r="J180" s="258">
        <f>'DATA INPUT - DETAIL'!O171</f>
        <v>0</v>
      </c>
      <c r="K180" s="258">
        <f>'DATA INPUT - DETAIL'!P171</f>
        <v>0</v>
      </c>
      <c r="L180" s="267">
        <f>ROUNDDOWN('DATA INPUT - DETAIL'!G171,0)</f>
        <v>0</v>
      </c>
      <c r="M180" s="196">
        <f t="shared" si="233"/>
        <v>0</v>
      </c>
      <c r="N180" s="196">
        <f t="shared" si="167"/>
        <v>0</v>
      </c>
      <c r="O180" s="196">
        <f t="shared" si="168"/>
        <v>0</v>
      </c>
      <c r="P180" s="196">
        <f t="shared" si="169"/>
        <v>0</v>
      </c>
      <c r="Q180" s="196">
        <f t="shared" si="170"/>
        <v>0</v>
      </c>
      <c r="R180" s="196">
        <f t="shared" si="171"/>
        <v>0</v>
      </c>
      <c r="S180" s="196">
        <f t="shared" si="172"/>
        <v>0</v>
      </c>
      <c r="T180" s="196">
        <f t="shared" si="173"/>
        <v>0</v>
      </c>
      <c r="U180" s="185">
        <f>(C180&gt;0)*(C180&lt;$E$5)*VLOOKUP(MPP,ASUMSI!$BN$77:$CR$108,B180+1)*(1+$V$4)</f>
        <v>0</v>
      </c>
      <c r="V180" s="196">
        <f t="shared" si="174"/>
        <v>0</v>
      </c>
      <c r="W180" s="196">
        <f t="shared" si="175"/>
        <v>0</v>
      </c>
      <c r="X180" s="196">
        <f t="shared" si="176"/>
        <v>0</v>
      </c>
      <c r="Y180" s="196">
        <f t="shared" si="177"/>
        <v>0</v>
      </c>
      <c r="Z180" s="196">
        <f t="shared" si="178"/>
        <v>0</v>
      </c>
      <c r="AA180" s="185">
        <f t="shared" si="179"/>
        <v>0</v>
      </c>
      <c r="AB180" s="196">
        <f t="shared" si="180"/>
        <v>0</v>
      </c>
      <c r="AC180" s="196">
        <f t="shared" si="181"/>
        <v>0</v>
      </c>
      <c r="AD180" s="196">
        <f t="shared" si="182"/>
        <v>0</v>
      </c>
      <c r="AE180" s="196">
        <f t="shared" si="183"/>
        <v>0</v>
      </c>
      <c r="AF180" s="196">
        <f t="shared" si="184"/>
        <v>0</v>
      </c>
      <c r="AG180" s="196">
        <f t="shared" si="185"/>
        <v>0</v>
      </c>
      <c r="AH180" s="196">
        <f t="shared" si="186"/>
        <v>0</v>
      </c>
      <c r="AI180" s="266">
        <f>'DATA INPUT - DETAIL'!R171</f>
        <v>0</v>
      </c>
      <c r="AJ180" s="266">
        <f>'DATA INPUT - DETAIL'!S171</f>
        <v>0</v>
      </c>
      <c r="AK180" s="266">
        <f>'DATA INPUT - DETAIL'!T171</f>
        <v>0</v>
      </c>
      <c r="AL180" s="266">
        <f>'DATA INPUT - DETAIL'!U171</f>
        <v>0</v>
      </c>
      <c r="AM180" s="266">
        <f>'DATA INPUT - DETAIL'!V171</f>
        <v>0</v>
      </c>
      <c r="AN180" s="266">
        <f>'DATA INPUT - DETAIL'!W171</f>
        <v>0</v>
      </c>
      <c r="AO180" s="198">
        <f t="shared" si="187"/>
        <v>0</v>
      </c>
      <c r="AP180" s="266">
        <f>'DATA INPUT - DETAIL'!X171</f>
        <v>0</v>
      </c>
      <c r="AQ180" s="266">
        <f>'DATA INPUT - DETAIL'!Y171</f>
        <v>0</v>
      </c>
      <c r="AR180" s="266">
        <f>'DATA INPUT - DETAIL'!Z171</f>
        <v>0</v>
      </c>
      <c r="AS180" s="266">
        <f>'DATA INPUT - DETAIL'!AD171</f>
        <v>0</v>
      </c>
      <c r="AT180" s="266">
        <f t="shared" si="188"/>
        <v>0</v>
      </c>
      <c r="AU180" s="206">
        <f>'DATA INPUT - DETAIL'!AA171</f>
        <v>0</v>
      </c>
      <c r="AV180" s="206">
        <f>'DATA INPUT - DETAIL'!AB171</f>
        <v>0</v>
      </c>
      <c r="AW180" s="206">
        <f>'DATA INPUT - DETAIL'!AC171</f>
        <v>0</v>
      </c>
      <c r="AX180" s="206">
        <f t="shared" si="189"/>
        <v>0</v>
      </c>
      <c r="AY180" s="206">
        <f t="shared" si="190"/>
        <v>0</v>
      </c>
      <c r="AZ180" s="206">
        <f t="shared" si="191"/>
        <v>0</v>
      </c>
      <c r="BA180" s="206">
        <f t="shared" si="192"/>
        <v>0</v>
      </c>
      <c r="BB180" s="206">
        <f t="shared" si="193"/>
        <v>0</v>
      </c>
      <c r="BC180" s="206">
        <f t="shared" si="194"/>
        <v>0</v>
      </c>
      <c r="BD180" s="206">
        <f t="shared" si="195"/>
        <v>0</v>
      </c>
      <c r="BE180" s="206">
        <f t="shared" si="196"/>
        <v>0</v>
      </c>
      <c r="BF180" s="206">
        <f t="shared" si="197"/>
        <v>0</v>
      </c>
      <c r="BG180" s="206">
        <f t="shared" si="198"/>
        <v>0</v>
      </c>
      <c r="BH180" s="206">
        <f t="shared" si="199"/>
        <v>0</v>
      </c>
      <c r="BI180" s="206">
        <f t="shared" si="200"/>
        <v>0</v>
      </c>
      <c r="BJ180" s="266">
        <f t="shared" si="201"/>
        <v>0</v>
      </c>
      <c r="BK180" s="266">
        <f t="shared" si="202"/>
        <v>0</v>
      </c>
      <c r="BL180" s="192">
        <f t="shared" si="203"/>
        <v>0</v>
      </c>
      <c r="BM180" s="192">
        <f t="shared" si="204"/>
        <v>0</v>
      </c>
      <c r="BN180" s="192">
        <f t="shared" si="205"/>
        <v>0</v>
      </c>
      <c r="BO180" s="192">
        <f t="shared" si="206"/>
        <v>0</v>
      </c>
      <c r="BP180" s="192">
        <f t="shared" si="207"/>
        <v>0</v>
      </c>
      <c r="BQ180" s="193">
        <f t="shared" si="208"/>
        <v>0</v>
      </c>
      <c r="BR180" s="193">
        <f t="shared" si="209"/>
        <v>0</v>
      </c>
      <c r="BS180" s="265">
        <f t="shared" si="210"/>
        <v>0</v>
      </c>
      <c r="BT180" s="265">
        <f t="shared" si="211"/>
        <v>0</v>
      </c>
      <c r="BU180" s="265">
        <f t="shared" si="212"/>
        <v>0</v>
      </c>
      <c r="BV180" s="265">
        <f t="shared" si="213"/>
        <v>0</v>
      </c>
      <c r="BW180" s="265">
        <f t="shared" si="214"/>
        <v>0</v>
      </c>
      <c r="BX180" s="265">
        <f t="shared" si="215"/>
        <v>0</v>
      </c>
      <c r="BY180" s="265">
        <f t="shared" si="216"/>
        <v>0</v>
      </c>
      <c r="BZ180" s="265">
        <f t="shared" si="217"/>
        <v>0</v>
      </c>
      <c r="CA180" s="265">
        <f t="shared" si="218"/>
        <v>0</v>
      </c>
      <c r="CB180" s="269">
        <f t="shared" si="219"/>
        <v>0</v>
      </c>
      <c r="CC180" s="266">
        <f t="shared" si="220"/>
        <v>0</v>
      </c>
      <c r="CD180" s="241"/>
      <c r="CE180" s="198">
        <f t="shared" si="221"/>
        <v>1.4835187064378337E-10</v>
      </c>
      <c r="CF180" s="198">
        <f t="shared" si="224"/>
        <v>0</v>
      </c>
      <c r="CG180" s="198">
        <f t="shared" si="225"/>
        <v>0</v>
      </c>
      <c r="CH180" s="198">
        <f t="shared" si="226"/>
        <v>0</v>
      </c>
      <c r="CI180" s="198">
        <f t="shared" si="227"/>
        <v>0</v>
      </c>
      <c r="CJ180" s="198">
        <f t="shared" si="228"/>
        <v>0</v>
      </c>
      <c r="CK180" s="198">
        <f t="shared" si="229"/>
        <v>0</v>
      </c>
      <c r="CL180" s="198">
        <f t="shared" si="230"/>
        <v>6.480745260174813E-13</v>
      </c>
      <c r="CM180" s="271">
        <f t="shared" si="231"/>
        <v>0</v>
      </c>
      <c r="CN180" s="198">
        <f t="shared" si="232"/>
        <v>1.4899994516980083E-10</v>
      </c>
      <c r="CO180" s="209">
        <f t="shared" si="222"/>
        <v>1.4835187064378337E-10</v>
      </c>
    </row>
    <row r="181" spans="1:93" x14ac:dyDescent="0.2">
      <c r="B181" s="221">
        <f>'DATA INPUT - DETAIL'!D172</f>
        <v>0</v>
      </c>
      <c r="C181" s="211">
        <f>'DATA INPUT - DETAIL'!E172</f>
        <v>0</v>
      </c>
      <c r="D181" s="257">
        <f>'DATA INPUT - DETAIL'!I172</f>
        <v>0</v>
      </c>
      <c r="E181" s="258">
        <f>'DATA INPUT - DETAIL'!K172</f>
        <v>0</v>
      </c>
      <c r="F181" s="258">
        <f>'DATA INPUT - DETAIL'!L172</f>
        <v>0</v>
      </c>
      <c r="G181" s="179">
        <f>'DATA INPUT - DETAIL'!M172*(1+$V$5)</f>
        <v>0</v>
      </c>
      <c r="H181" s="179">
        <f>'DATA INPUT - DETAIL'!N172*(1+$V$5)</f>
        <v>0</v>
      </c>
      <c r="I181" s="258">
        <f t="shared" si="166"/>
        <v>0</v>
      </c>
      <c r="J181" s="258">
        <f>'DATA INPUT - DETAIL'!O172</f>
        <v>0</v>
      </c>
      <c r="K181" s="258">
        <f>'DATA INPUT - DETAIL'!P172</f>
        <v>0</v>
      </c>
      <c r="L181" s="267">
        <f>ROUNDDOWN('DATA INPUT - DETAIL'!G172,0)</f>
        <v>0</v>
      </c>
      <c r="M181" s="196">
        <f t="shared" si="233"/>
        <v>0</v>
      </c>
      <c r="N181" s="196">
        <f t="shared" si="167"/>
        <v>0</v>
      </c>
      <c r="O181" s="196">
        <f t="shared" si="168"/>
        <v>0</v>
      </c>
      <c r="P181" s="196">
        <f t="shared" si="169"/>
        <v>0</v>
      </c>
      <c r="Q181" s="196">
        <f t="shared" si="170"/>
        <v>0</v>
      </c>
      <c r="R181" s="196">
        <f t="shared" si="171"/>
        <v>0</v>
      </c>
      <c r="S181" s="196">
        <f t="shared" si="172"/>
        <v>0</v>
      </c>
      <c r="T181" s="196">
        <f t="shared" si="173"/>
        <v>0</v>
      </c>
      <c r="U181" s="185">
        <f>(C181&gt;0)*(C181&lt;$E$5)*VLOOKUP(MPP,ASUMSI!$BN$77:$CR$108,B181+1)*(1+$V$4)</f>
        <v>0</v>
      </c>
      <c r="V181" s="196">
        <f t="shared" si="174"/>
        <v>0</v>
      </c>
      <c r="W181" s="196">
        <f t="shared" si="175"/>
        <v>0</v>
      </c>
      <c r="X181" s="196">
        <f t="shared" si="176"/>
        <v>0</v>
      </c>
      <c r="Y181" s="196">
        <f t="shared" si="177"/>
        <v>0</v>
      </c>
      <c r="Z181" s="196">
        <f t="shared" si="178"/>
        <v>0</v>
      </c>
      <c r="AA181" s="185">
        <f t="shared" si="179"/>
        <v>0</v>
      </c>
      <c r="AB181" s="196">
        <f t="shared" si="180"/>
        <v>0</v>
      </c>
      <c r="AC181" s="196">
        <f t="shared" si="181"/>
        <v>0</v>
      </c>
      <c r="AD181" s="196">
        <f t="shared" si="182"/>
        <v>0</v>
      </c>
      <c r="AE181" s="196">
        <f t="shared" si="183"/>
        <v>0</v>
      </c>
      <c r="AF181" s="196">
        <f t="shared" si="184"/>
        <v>0</v>
      </c>
      <c r="AG181" s="196">
        <f t="shared" si="185"/>
        <v>0</v>
      </c>
      <c r="AH181" s="196">
        <f t="shared" si="186"/>
        <v>0</v>
      </c>
      <c r="AI181" s="266">
        <f>'DATA INPUT - DETAIL'!R172</f>
        <v>0</v>
      </c>
      <c r="AJ181" s="266">
        <f>'DATA INPUT - DETAIL'!S172</f>
        <v>0</v>
      </c>
      <c r="AK181" s="266">
        <f>'DATA INPUT - DETAIL'!T172</f>
        <v>0</v>
      </c>
      <c r="AL181" s="266">
        <f>'DATA INPUT - DETAIL'!U172</f>
        <v>0</v>
      </c>
      <c r="AM181" s="266">
        <f>'DATA INPUT - DETAIL'!V172</f>
        <v>0</v>
      </c>
      <c r="AN181" s="266">
        <f>'DATA INPUT - DETAIL'!W172</f>
        <v>0</v>
      </c>
      <c r="AO181" s="198">
        <f t="shared" si="187"/>
        <v>0</v>
      </c>
      <c r="AP181" s="266">
        <f>'DATA INPUT - DETAIL'!X172</f>
        <v>0</v>
      </c>
      <c r="AQ181" s="266">
        <f>'DATA INPUT - DETAIL'!Y172</f>
        <v>0</v>
      </c>
      <c r="AR181" s="266">
        <f>'DATA INPUT - DETAIL'!Z172</f>
        <v>0</v>
      </c>
      <c r="AS181" s="266">
        <f>'DATA INPUT - DETAIL'!AD172</f>
        <v>0</v>
      </c>
      <c r="AT181" s="266">
        <f t="shared" si="188"/>
        <v>0</v>
      </c>
      <c r="AU181" s="206">
        <f>'DATA INPUT - DETAIL'!AA172</f>
        <v>0</v>
      </c>
      <c r="AV181" s="206">
        <f>'DATA INPUT - DETAIL'!AB172</f>
        <v>0</v>
      </c>
      <c r="AW181" s="206">
        <f>'DATA INPUT - DETAIL'!AC172</f>
        <v>0</v>
      </c>
      <c r="AX181" s="206">
        <f t="shared" si="189"/>
        <v>0</v>
      </c>
      <c r="AY181" s="206">
        <f t="shared" si="190"/>
        <v>0</v>
      </c>
      <c r="AZ181" s="206">
        <f t="shared" si="191"/>
        <v>0</v>
      </c>
      <c r="BA181" s="206">
        <f t="shared" si="192"/>
        <v>0</v>
      </c>
      <c r="BB181" s="206">
        <f t="shared" si="193"/>
        <v>0</v>
      </c>
      <c r="BC181" s="206">
        <f t="shared" si="194"/>
        <v>0</v>
      </c>
      <c r="BD181" s="206">
        <f t="shared" si="195"/>
        <v>0</v>
      </c>
      <c r="BE181" s="206">
        <f t="shared" si="196"/>
        <v>0</v>
      </c>
      <c r="BF181" s="206">
        <f t="shared" si="197"/>
        <v>0</v>
      </c>
      <c r="BG181" s="206">
        <f t="shared" si="198"/>
        <v>0</v>
      </c>
      <c r="BH181" s="206">
        <f t="shared" si="199"/>
        <v>0</v>
      </c>
      <c r="BI181" s="206">
        <f t="shared" si="200"/>
        <v>0</v>
      </c>
      <c r="BJ181" s="266">
        <f t="shared" si="201"/>
        <v>0</v>
      </c>
      <c r="BK181" s="266">
        <f t="shared" si="202"/>
        <v>0</v>
      </c>
      <c r="BL181" s="192">
        <f t="shared" si="203"/>
        <v>0</v>
      </c>
      <c r="BM181" s="192">
        <f t="shared" si="204"/>
        <v>0</v>
      </c>
      <c r="BN181" s="192">
        <f t="shared" si="205"/>
        <v>0</v>
      </c>
      <c r="BO181" s="192">
        <f t="shared" si="206"/>
        <v>0</v>
      </c>
      <c r="BP181" s="192">
        <f t="shared" si="207"/>
        <v>0</v>
      </c>
      <c r="BQ181" s="193">
        <f t="shared" si="208"/>
        <v>0</v>
      </c>
      <c r="BR181" s="193">
        <f t="shared" si="209"/>
        <v>0</v>
      </c>
      <c r="BS181" s="265">
        <f t="shared" si="210"/>
        <v>0</v>
      </c>
      <c r="BT181" s="265">
        <f t="shared" si="211"/>
        <v>0</v>
      </c>
      <c r="BU181" s="265">
        <f t="shared" si="212"/>
        <v>0</v>
      </c>
      <c r="BV181" s="265">
        <f t="shared" si="213"/>
        <v>0</v>
      </c>
      <c r="BW181" s="265">
        <f t="shared" si="214"/>
        <v>0</v>
      </c>
      <c r="BX181" s="265">
        <f t="shared" si="215"/>
        <v>0</v>
      </c>
      <c r="BY181" s="265">
        <f t="shared" si="216"/>
        <v>0</v>
      </c>
      <c r="BZ181" s="265">
        <f t="shared" si="217"/>
        <v>0</v>
      </c>
      <c r="CA181" s="265">
        <f t="shared" si="218"/>
        <v>0</v>
      </c>
      <c r="CB181" s="269">
        <f t="shared" si="219"/>
        <v>0</v>
      </c>
      <c r="CC181" s="266">
        <f t="shared" si="220"/>
        <v>0</v>
      </c>
      <c r="CD181" s="241"/>
      <c r="CE181" s="198">
        <f t="shared" si="221"/>
        <v>1.4899994516980083E-10</v>
      </c>
      <c r="CF181" s="198">
        <f t="shared" si="224"/>
        <v>0</v>
      </c>
      <c r="CG181" s="198">
        <f t="shared" si="225"/>
        <v>0</v>
      </c>
      <c r="CH181" s="198">
        <f t="shared" si="226"/>
        <v>0</v>
      </c>
      <c r="CI181" s="198">
        <f t="shared" si="227"/>
        <v>0</v>
      </c>
      <c r="CJ181" s="198">
        <f t="shared" si="228"/>
        <v>0</v>
      </c>
      <c r="CK181" s="198">
        <f t="shared" si="229"/>
        <v>0</v>
      </c>
      <c r="CL181" s="198">
        <f t="shared" si="230"/>
        <v>6.5090563687203371E-13</v>
      </c>
      <c r="CM181" s="271">
        <f t="shared" si="231"/>
        <v>0</v>
      </c>
      <c r="CN181" s="198">
        <f t="shared" si="232"/>
        <v>1.4965085080667287E-10</v>
      </c>
      <c r="CO181" s="209">
        <f t="shared" si="222"/>
        <v>1.4899994516980083E-10</v>
      </c>
    </row>
    <row r="182" spans="1:93" x14ac:dyDescent="0.2">
      <c r="B182" s="221">
        <f>'DATA INPUT - DETAIL'!D173</f>
        <v>0</v>
      </c>
      <c r="C182" s="211">
        <f>'DATA INPUT - DETAIL'!E173</f>
        <v>0</v>
      </c>
      <c r="D182" s="257">
        <f>'DATA INPUT - DETAIL'!I173</f>
        <v>0</v>
      </c>
      <c r="E182" s="258">
        <f>'DATA INPUT - DETAIL'!K173</f>
        <v>0</v>
      </c>
      <c r="F182" s="258">
        <f>'DATA INPUT - DETAIL'!L173</f>
        <v>0</v>
      </c>
      <c r="G182" s="179">
        <f>'DATA INPUT - DETAIL'!M173*(1+$V$5)</f>
        <v>0</v>
      </c>
      <c r="H182" s="179">
        <f>'DATA INPUT - DETAIL'!N173*(1+$V$5)</f>
        <v>0</v>
      </c>
      <c r="I182" s="258">
        <f t="shared" si="166"/>
        <v>0</v>
      </c>
      <c r="J182" s="258">
        <f>'DATA INPUT - DETAIL'!O173</f>
        <v>0</v>
      </c>
      <c r="K182" s="258">
        <f>'DATA INPUT - DETAIL'!P173</f>
        <v>0</v>
      </c>
      <c r="L182" s="267">
        <f>ROUNDDOWN('DATA INPUT - DETAIL'!G173,0)</f>
        <v>0</v>
      </c>
      <c r="M182" s="196">
        <f t="shared" si="233"/>
        <v>0</v>
      </c>
      <c r="N182" s="196">
        <f t="shared" si="167"/>
        <v>0</v>
      </c>
      <c r="O182" s="196">
        <f t="shared" si="168"/>
        <v>0</v>
      </c>
      <c r="P182" s="196">
        <f t="shared" si="169"/>
        <v>0</v>
      </c>
      <c r="Q182" s="196">
        <f t="shared" si="170"/>
        <v>0</v>
      </c>
      <c r="R182" s="196">
        <f t="shared" si="171"/>
        <v>0</v>
      </c>
      <c r="S182" s="196">
        <f t="shared" si="172"/>
        <v>0</v>
      </c>
      <c r="T182" s="196">
        <f t="shared" si="173"/>
        <v>0</v>
      </c>
      <c r="U182" s="185">
        <f>(C182&gt;0)*(C182&lt;$E$5)*VLOOKUP(MPP,ASUMSI!$BN$77:$CR$108,B182+1)*(1+$V$4)</f>
        <v>0</v>
      </c>
      <c r="V182" s="196">
        <f t="shared" si="174"/>
        <v>0</v>
      </c>
      <c r="W182" s="196">
        <f t="shared" si="175"/>
        <v>0</v>
      </c>
      <c r="X182" s="196">
        <f t="shared" si="176"/>
        <v>0</v>
      </c>
      <c r="Y182" s="196">
        <f t="shared" si="177"/>
        <v>0</v>
      </c>
      <c r="Z182" s="196">
        <f t="shared" si="178"/>
        <v>0</v>
      </c>
      <c r="AA182" s="185">
        <f t="shared" si="179"/>
        <v>0</v>
      </c>
      <c r="AB182" s="196">
        <f t="shared" si="180"/>
        <v>0</v>
      </c>
      <c r="AC182" s="196">
        <f t="shared" si="181"/>
        <v>0</v>
      </c>
      <c r="AD182" s="196">
        <f t="shared" si="182"/>
        <v>0</v>
      </c>
      <c r="AE182" s="196">
        <f t="shared" si="183"/>
        <v>0</v>
      </c>
      <c r="AF182" s="196">
        <f t="shared" si="184"/>
        <v>0</v>
      </c>
      <c r="AG182" s="196">
        <f t="shared" si="185"/>
        <v>0</v>
      </c>
      <c r="AH182" s="196">
        <f t="shared" si="186"/>
        <v>0</v>
      </c>
      <c r="AI182" s="266">
        <f>'DATA INPUT - DETAIL'!R173</f>
        <v>0</v>
      </c>
      <c r="AJ182" s="266">
        <f>'DATA INPUT - DETAIL'!S173</f>
        <v>0</v>
      </c>
      <c r="AK182" s="266">
        <f>'DATA INPUT - DETAIL'!T173</f>
        <v>0</v>
      </c>
      <c r="AL182" s="266">
        <f>'DATA INPUT - DETAIL'!U173</f>
        <v>0</v>
      </c>
      <c r="AM182" s="266">
        <f>'DATA INPUT - DETAIL'!V173</f>
        <v>0</v>
      </c>
      <c r="AN182" s="266">
        <f>'DATA INPUT - DETAIL'!W173</f>
        <v>0</v>
      </c>
      <c r="AO182" s="198">
        <f t="shared" si="187"/>
        <v>0</v>
      </c>
      <c r="AP182" s="266">
        <f>'DATA INPUT - DETAIL'!X173</f>
        <v>0</v>
      </c>
      <c r="AQ182" s="266">
        <f>'DATA INPUT - DETAIL'!Y173</f>
        <v>0</v>
      </c>
      <c r="AR182" s="266">
        <f>'DATA INPUT - DETAIL'!Z173</f>
        <v>0</v>
      </c>
      <c r="AS182" s="266">
        <f>'DATA INPUT - DETAIL'!AD173</f>
        <v>0</v>
      </c>
      <c r="AT182" s="266">
        <f t="shared" si="188"/>
        <v>0</v>
      </c>
      <c r="AU182" s="206">
        <f>'DATA INPUT - DETAIL'!AA173</f>
        <v>0</v>
      </c>
      <c r="AV182" s="206">
        <f>'DATA INPUT - DETAIL'!AB173</f>
        <v>0</v>
      </c>
      <c r="AW182" s="206">
        <f>'DATA INPUT - DETAIL'!AC173</f>
        <v>0</v>
      </c>
      <c r="AX182" s="206">
        <f t="shared" si="189"/>
        <v>0</v>
      </c>
      <c r="AY182" s="206">
        <f t="shared" si="190"/>
        <v>0</v>
      </c>
      <c r="AZ182" s="206">
        <f t="shared" si="191"/>
        <v>0</v>
      </c>
      <c r="BA182" s="206">
        <f t="shared" si="192"/>
        <v>0</v>
      </c>
      <c r="BB182" s="206">
        <f t="shared" si="193"/>
        <v>0</v>
      </c>
      <c r="BC182" s="206">
        <f t="shared" si="194"/>
        <v>0</v>
      </c>
      <c r="BD182" s="206">
        <f t="shared" si="195"/>
        <v>0</v>
      </c>
      <c r="BE182" s="206">
        <f t="shared" si="196"/>
        <v>0</v>
      </c>
      <c r="BF182" s="206">
        <f t="shared" si="197"/>
        <v>0</v>
      </c>
      <c r="BG182" s="206">
        <f t="shared" si="198"/>
        <v>0</v>
      </c>
      <c r="BH182" s="206">
        <f t="shared" si="199"/>
        <v>0</v>
      </c>
      <c r="BI182" s="206">
        <f t="shared" si="200"/>
        <v>0</v>
      </c>
      <c r="BJ182" s="266">
        <f t="shared" si="201"/>
        <v>0</v>
      </c>
      <c r="BK182" s="266">
        <f t="shared" si="202"/>
        <v>0</v>
      </c>
      <c r="BL182" s="192">
        <f t="shared" si="203"/>
        <v>0</v>
      </c>
      <c r="BM182" s="192">
        <f t="shared" si="204"/>
        <v>0</v>
      </c>
      <c r="BN182" s="192">
        <f t="shared" si="205"/>
        <v>0</v>
      </c>
      <c r="BO182" s="192">
        <f t="shared" si="206"/>
        <v>0</v>
      </c>
      <c r="BP182" s="192">
        <f t="shared" si="207"/>
        <v>0</v>
      </c>
      <c r="BQ182" s="193">
        <f t="shared" si="208"/>
        <v>0</v>
      </c>
      <c r="BR182" s="193">
        <f t="shared" si="209"/>
        <v>0</v>
      </c>
      <c r="BS182" s="265">
        <f t="shared" si="210"/>
        <v>0</v>
      </c>
      <c r="BT182" s="265">
        <f t="shared" si="211"/>
        <v>0</v>
      </c>
      <c r="BU182" s="265">
        <f t="shared" si="212"/>
        <v>0</v>
      </c>
      <c r="BV182" s="265">
        <f t="shared" si="213"/>
        <v>0</v>
      </c>
      <c r="BW182" s="265">
        <f t="shared" si="214"/>
        <v>0</v>
      </c>
      <c r="BX182" s="265">
        <f t="shared" si="215"/>
        <v>0</v>
      </c>
      <c r="BY182" s="265">
        <f t="shared" si="216"/>
        <v>0</v>
      </c>
      <c r="BZ182" s="265">
        <f t="shared" si="217"/>
        <v>0</v>
      </c>
      <c r="CA182" s="265">
        <f t="shared" si="218"/>
        <v>0</v>
      </c>
      <c r="CB182" s="269">
        <f t="shared" si="219"/>
        <v>0</v>
      </c>
      <c r="CC182" s="266">
        <f t="shared" si="220"/>
        <v>0</v>
      </c>
      <c r="CD182" s="241"/>
      <c r="CE182" s="198">
        <f t="shared" si="221"/>
        <v>1.4965085080667287E-10</v>
      </c>
      <c r="CF182" s="198">
        <f t="shared" si="224"/>
        <v>0</v>
      </c>
      <c r="CG182" s="198">
        <f t="shared" si="225"/>
        <v>0</v>
      </c>
      <c r="CH182" s="198">
        <f t="shared" si="226"/>
        <v>0</v>
      </c>
      <c r="CI182" s="198">
        <f t="shared" si="227"/>
        <v>0</v>
      </c>
      <c r="CJ182" s="198">
        <f t="shared" si="228"/>
        <v>0</v>
      </c>
      <c r="CK182" s="198">
        <f t="shared" si="229"/>
        <v>0</v>
      </c>
      <c r="CL182" s="198">
        <f t="shared" si="230"/>
        <v>6.5374911542250545E-13</v>
      </c>
      <c r="CM182" s="271">
        <f t="shared" si="231"/>
        <v>0</v>
      </c>
      <c r="CN182" s="198">
        <f t="shared" si="232"/>
        <v>1.5030459992209539E-10</v>
      </c>
      <c r="CO182" s="209">
        <f t="shared" si="222"/>
        <v>1.4965085080667287E-10</v>
      </c>
    </row>
    <row r="183" spans="1:93" x14ac:dyDescent="0.2">
      <c r="B183" s="221">
        <f>'DATA INPUT - DETAIL'!D174</f>
        <v>0</v>
      </c>
      <c r="C183" s="211">
        <f>'DATA INPUT - DETAIL'!E174</f>
        <v>0</v>
      </c>
      <c r="D183" s="257">
        <f>'DATA INPUT - DETAIL'!I174</f>
        <v>0</v>
      </c>
      <c r="E183" s="258">
        <f>'DATA INPUT - DETAIL'!K174</f>
        <v>0</v>
      </c>
      <c r="F183" s="258">
        <f>'DATA INPUT - DETAIL'!L174</f>
        <v>0</v>
      </c>
      <c r="G183" s="179">
        <f>'DATA INPUT - DETAIL'!M174*(1+$V$5)</f>
        <v>0</v>
      </c>
      <c r="H183" s="179">
        <f>'DATA INPUT - DETAIL'!N174*(1+$V$5)</f>
        <v>0</v>
      </c>
      <c r="I183" s="258">
        <f t="shared" si="166"/>
        <v>0</v>
      </c>
      <c r="J183" s="258">
        <f>'DATA INPUT - DETAIL'!O174</f>
        <v>0</v>
      </c>
      <c r="K183" s="258">
        <f>'DATA INPUT - DETAIL'!P174</f>
        <v>0</v>
      </c>
      <c r="L183" s="267">
        <f>ROUNDDOWN('DATA INPUT - DETAIL'!G174,0)</f>
        <v>0</v>
      </c>
      <c r="M183" s="196">
        <f t="shared" si="233"/>
        <v>0</v>
      </c>
      <c r="N183" s="196">
        <f t="shared" si="167"/>
        <v>0</v>
      </c>
      <c r="O183" s="196">
        <f t="shared" si="168"/>
        <v>0</v>
      </c>
      <c r="P183" s="196">
        <f t="shared" si="169"/>
        <v>0</v>
      </c>
      <c r="Q183" s="196">
        <f t="shared" si="170"/>
        <v>0</v>
      </c>
      <c r="R183" s="196">
        <f t="shared" si="171"/>
        <v>0</v>
      </c>
      <c r="S183" s="196">
        <f t="shared" si="172"/>
        <v>0</v>
      </c>
      <c r="T183" s="196">
        <f t="shared" si="173"/>
        <v>0</v>
      </c>
      <c r="U183" s="185">
        <f>(C183&gt;0)*(C183&lt;$E$5)*VLOOKUP(MPP,ASUMSI!$BN$77:$CR$108,B183+1)*(1+$V$4)</f>
        <v>0</v>
      </c>
      <c r="V183" s="196">
        <f t="shared" si="174"/>
        <v>0</v>
      </c>
      <c r="W183" s="196">
        <f t="shared" si="175"/>
        <v>0</v>
      </c>
      <c r="X183" s="196">
        <f t="shared" si="176"/>
        <v>0</v>
      </c>
      <c r="Y183" s="196">
        <f t="shared" si="177"/>
        <v>0</v>
      </c>
      <c r="Z183" s="196">
        <f t="shared" si="178"/>
        <v>0</v>
      </c>
      <c r="AA183" s="185">
        <f t="shared" si="179"/>
        <v>0</v>
      </c>
      <c r="AB183" s="196">
        <f t="shared" si="180"/>
        <v>0</v>
      </c>
      <c r="AC183" s="196">
        <f t="shared" si="181"/>
        <v>0</v>
      </c>
      <c r="AD183" s="196">
        <f t="shared" si="182"/>
        <v>0</v>
      </c>
      <c r="AE183" s="196">
        <f t="shared" si="183"/>
        <v>0</v>
      </c>
      <c r="AF183" s="196">
        <f t="shared" si="184"/>
        <v>0</v>
      </c>
      <c r="AG183" s="196">
        <f t="shared" si="185"/>
        <v>0</v>
      </c>
      <c r="AH183" s="196">
        <f t="shared" si="186"/>
        <v>0</v>
      </c>
      <c r="AI183" s="266">
        <f>'DATA INPUT - DETAIL'!R174</f>
        <v>0</v>
      </c>
      <c r="AJ183" s="266">
        <f>'DATA INPUT - DETAIL'!S174</f>
        <v>0</v>
      </c>
      <c r="AK183" s="266">
        <f>'DATA INPUT - DETAIL'!T174</f>
        <v>0</v>
      </c>
      <c r="AL183" s="266">
        <f>'DATA INPUT - DETAIL'!U174</f>
        <v>0</v>
      </c>
      <c r="AM183" s="266">
        <f>'DATA INPUT - DETAIL'!V174</f>
        <v>0</v>
      </c>
      <c r="AN183" s="266">
        <f>'DATA INPUT - DETAIL'!W174</f>
        <v>0</v>
      </c>
      <c r="AO183" s="198">
        <f t="shared" si="187"/>
        <v>0</v>
      </c>
      <c r="AP183" s="266">
        <f>'DATA INPUT - DETAIL'!X174</f>
        <v>0</v>
      </c>
      <c r="AQ183" s="266">
        <f>'DATA INPUT - DETAIL'!Y174</f>
        <v>0</v>
      </c>
      <c r="AR183" s="266">
        <f>'DATA INPUT - DETAIL'!Z174</f>
        <v>0</v>
      </c>
      <c r="AS183" s="266">
        <f>'DATA INPUT - DETAIL'!AD174</f>
        <v>0</v>
      </c>
      <c r="AT183" s="266">
        <f t="shared" si="188"/>
        <v>0</v>
      </c>
      <c r="AU183" s="206">
        <f>'DATA INPUT - DETAIL'!AA174</f>
        <v>0</v>
      </c>
      <c r="AV183" s="206">
        <f>'DATA INPUT - DETAIL'!AB174</f>
        <v>0</v>
      </c>
      <c r="AW183" s="206">
        <f>'DATA INPUT - DETAIL'!AC174</f>
        <v>0</v>
      </c>
      <c r="AX183" s="206">
        <f t="shared" si="189"/>
        <v>0</v>
      </c>
      <c r="AY183" s="206">
        <f t="shared" si="190"/>
        <v>0</v>
      </c>
      <c r="AZ183" s="206">
        <f t="shared" si="191"/>
        <v>0</v>
      </c>
      <c r="BA183" s="206">
        <f t="shared" si="192"/>
        <v>0</v>
      </c>
      <c r="BB183" s="206">
        <f t="shared" si="193"/>
        <v>0</v>
      </c>
      <c r="BC183" s="206">
        <f t="shared" si="194"/>
        <v>0</v>
      </c>
      <c r="BD183" s="206">
        <f t="shared" si="195"/>
        <v>0</v>
      </c>
      <c r="BE183" s="206">
        <f t="shared" si="196"/>
        <v>0</v>
      </c>
      <c r="BF183" s="206">
        <f t="shared" si="197"/>
        <v>0</v>
      </c>
      <c r="BG183" s="206">
        <f t="shared" si="198"/>
        <v>0</v>
      </c>
      <c r="BH183" s="206">
        <f t="shared" si="199"/>
        <v>0</v>
      </c>
      <c r="BI183" s="206">
        <f t="shared" si="200"/>
        <v>0</v>
      </c>
      <c r="BJ183" s="266">
        <f t="shared" si="201"/>
        <v>0</v>
      </c>
      <c r="BK183" s="266">
        <f t="shared" si="202"/>
        <v>0</v>
      </c>
      <c r="BL183" s="192">
        <f t="shared" si="203"/>
        <v>0</v>
      </c>
      <c r="BM183" s="192">
        <f t="shared" si="204"/>
        <v>0</v>
      </c>
      <c r="BN183" s="192">
        <f t="shared" si="205"/>
        <v>0</v>
      </c>
      <c r="BO183" s="192">
        <f t="shared" si="206"/>
        <v>0</v>
      </c>
      <c r="BP183" s="192">
        <f t="shared" si="207"/>
        <v>0</v>
      </c>
      <c r="BQ183" s="193">
        <f t="shared" si="208"/>
        <v>0</v>
      </c>
      <c r="BR183" s="193">
        <f t="shared" si="209"/>
        <v>0</v>
      </c>
      <c r="BS183" s="265">
        <f t="shared" si="210"/>
        <v>0</v>
      </c>
      <c r="BT183" s="265">
        <f t="shared" si="211"/>
        <v>0</v>
      </c>
      <c r="BU183" s="265">
        <f t="shared" si="212"/>
        <v>0</v>
      </c>
      <c r="BV183" s="265">
        <f t="shared" si="213"/>
        <v>0</v>
      </c>
      <c r="BW183" s="265">
        <f t="shared" si="214"/>
        <v>0</v>
      </c>
      <c r="BX183" s="265">
        <f t="shared" si="215"/>
        <v>0</v>
      </c>
      <c r="BY183" s="265">
        <f t="shared" si="216"/>
        <v>0</v>
      </c>
      <c r="BZ183" s="265">
        <f t="shared" si="217"/>
        <v>0</v>
      </c>
      <c r="CA183" s="265">
        <f t="shared" si="218"/>
        <v>0</v>
      </c>
      <c r="CB183" s="269">
        <f t="shared" si="219"/>
        <v>0</v>
      </c>
      <c r="CC183" s="266">
        <f t="shared" si="220"/>
        <v>0</v>
      </c>
      <c r="CD183" s="241"/>
      <c r="CE183" s="198">
        <f t="shared" si="221"/>
        <v>1.5030459992209539E-10</v>
      </c>
      <c r="CF183" s="198">
        <f t="shared" si="224"/>
        <v>0</v>
      </c>
      <c r="CG183" s="198">
        <f t="shared" si="225"/>
        <v>0</v>
      </c>
      <c r="CH183" s="198">
        <f t="shared" si="226"/>
        <v>0</v>
      </c>
      <c r="CI183" s="198">
        <f t="shared" si="227"/>
        <v>0</v>
      </c>
      <c r="CJ183" s="198">
        <f t="shared" si="228"/>
        <v>0</v>
      </c>
      <c r="CK183" s="198">
        <f t="shared" si="229"/>
        <v>0</v>
      </c>
      <c r="CL183" s="198">
        <f t="shared" si="230"/>
        <v>6.5660501569712427E-13</v>
      </c>
      <c r="CM183" s="271">
        <f t="shared" si="231"/>
        <v>0</v>
      </c>
      <c r="CN183" s="198">
        <f t="shared" si="232"/>
        <v>1.5096120493779251E-10</v>
      </c>
      <c r="CO183" s="209">
        <f t="shared" si="222"/>
        <v>1.5030459992209539E-10</v>
      </c>
    </row>
    <row r="184" spans="1:93" x14ac:dyDescent="0.2">
      <c r="B184" s="221">
        <f>'DATA INPUT - DETAIL'!D175</f>
        <v>0</v>
      </c>
      <c r="C184" s="211">
        <f>'DATA INPUT - DETAIL'!E175</f>
        <v>0</v>
      </c>
      <c r="D184" s="257">
        <f>'DATA INPUT - DETAIL'!I175</f>
        <v>0</v>
      </c>
      <c r="E184" s="258">
        <f>'DATA INPUT - DETAIL'!K175</f>
        <v>0</v>
      </c>
      <c r="F184" s="258">
        <f>'DATA INPUT - DETAIL'!L175</f>
        <v>0</v>
      </c>
      <c r="G184" s="179">
        <f>'DATA INPUT - DETAIL'!M175*(1+$V$5)</f>
        <v>0</v>
      </c>
      <c r="H184" s="179">
        <f>'DATA INPUT - DETAIL'!N175*(1+$V$5)</f>
        <v>0</v>
      </c>
      <c r="I184" s="258">
        <f t="shared" si="166"/>
        <v>0</v>
      </c>
      <c r="J184" s="258">
        <f>'DATA INPUT - DETAIL'!O175</f>
        <v>0</v>
      </c>
      <c r="K184" s="258">
        <f>'DATA INPUT - DETAIL'!P175</f>
        <v>0</v>
      </c>
      <c r="L184" s="267">
        <f>ROUNDDOWN('DATA INPUT - DETAIL'!G175,0)</f>
        <v>0</v>
      </c>
      <c r="M184" s="196">
        <f t="shared" si="233"/>
        <v>0</v>
      </c>
      <c r="N184" s="196">
        <f t="shared" si="167"/>
        <v>0</v>
      </c>
      <c r="O184" s="196">
        <f t="shared" si="168"/>
        <v>0</v>
      </c>
      <c r="P184" s="196">
        <f t="shared" si="169"/>
        <v>0</v>
      </c>
      <c r="Q184" s="196">
        <f t="shared" si="170"/>
        <v>0</v>
      </c>
      <c r="R184" s="196">
        <f t="shared" si="171"/>
        <v>0</v>
      </c>
      <c r="S184" s="196">
        <f t="shared" si="172"/>
        <v>0</v>
      </c>
      <c r="T184" s="196">
        <f t="shared" si="173"/>
        <v>0</v>
      </c>
      <c r="U184" s="185">
        <f>(C184&gt;0)*(C184&lt;$E$5)*VLOOKUP(MPP,ASUMSI!$BN$77:$CR$108,B184+1)*(1+$V$4)</f>
        <v>0</v>
      </c>
      <c r="V184" s="196">
        <f t="shared" si="174"/>
        <v>0</v>
      </c>
      <c r="W184" s="196">
        <f t="shared" si="175"/>
        <v>0</v>
      </c>
      <c r="X184" s="196">
        <f t="shared" si="176"/>
        <v>0</v>
      </c>
      <c r="Y184" s="196">
        <f t="shared" si="177"/>
        <v>0</v>
      </c>
      <c r="Z184" s="196">
        <f t="shared" si="178"/>
        <v>0</v>
      </c>
      <c r="AA184" s="185">
        <f t="shared" si="179"/>
        <v>0</v>
      </c>
      <c r="AB184" s="196">
        <f t="shared" si="180"/>
        <v>0</v>
      </c>
      <c r="AC184" s="196">
        <f t="shared" si="181"/>
        <v>0</v>
      </c>
      <c r="AD184" s="196">
        <f t="shared" si="182"/>
        <v>0</v>
      </c>
      <c r="AE184" s="196">
        <f t="shared" si="183"/>
        <v>0</v>
      </c>
      <c r="AF184" s="196">
        <f t="shared" si="184"/>
        <v>0</v>
      </c>
      <c r="AG184" s="196">
        <f t="shared" si="185"/>
        <v>0</v>
      </c>
      <c r="AH184" s="196">
        <f t="shared" si="186"/>
        <v>0</v>
      </c>
      <c r="AI184" s="266">
        <f>'DATA INPUT - DETAIL'!R175</f>
        <v>0</v>
      </c>
      <c r="AJ184" s="266">
        <f>'DATA INPUT - DETAIL'!S175</f>
        <v>0</v>
      </c>
      <c r="AK184" s="266">
        <f>'DATA INPUT - DETAIL'!T175</f>
        <v>0</v>
      </c>
      <c r="AL184" s="266">
        <f>'DATA INPUT - DETAIL'!U175</f>
        <v>0</v>
      </c>
      <c r="AM184" s="266">
        <f>'DATA INPUT - DETAIL'!V175</f>
        <v>0</v>
      </c>
      <c r="AN184" s="266">
        <f>'DATA INPUT - DETAIL'!W175</f>
        <v>0</v>
      </c>
      <c r="AO184" s="198">
        <f t="shared" si="187"/>
        <v>0</v>
      </c>
      <c r="AP184" s="266">
        <f>'DATA INPUT - DETAIL'!X175</f>
        <v>0</v>
      </c>
      <c r="AQ184" s="266">
        <f>'DATA INPUT - DETAIL'!Y175</f>
        <v>0</v>
      </c>
      <c r="AR184" s="266">
        <f>'DATA INPUT - DETAIL'!Z175</f>
        <v>0</v>
      </c>
      <c r="AS184" s="266">
        <f>'DATA INPUT - DETAIL'!AD175</f>
        <v>0</v>
      </c>
      <c r="AT184" s="266">
        <f t="shared" si="188"/>
        <v>0</v>
      </c>
      <c r="AU184" s="206">
        <f>'DATA INPUT - DETAIL'!AA175</f>
        <v>0</v>
      </c>
      <c r="AV184" s="206">
        <f>'DATA INPUT - DETAIL'!AB175</f>
        <v>0</v>
      </c>
      <c r="AW184" s="206">
        <f>'DATA INPUT - DETAIL'!AC175</f>
        <v>0</v>
      </c>
      <c r="AX184" s="206">
        <f t="shared" si="189"/>
        <v>0</v>
      </c>
      <c r="AY184" s="206">
        <f t="shared" si="190"/>
        <v>0</v>
      </c>
      <c r="AZ184" s="206">
        <f t="shared" si="191"/>
        <v>0</v>
      </c>
      <c r="BA184" s="206">
        <f t="shared" si="192"/>
        <v>0</v>
      </c>
      <c r="BB184" s="206">
        <f t="shared" si="193"/>
        <v>0</v>
      </c>
      <c r="BC184" s="206">
        <f t="shared" si="194"/>
        <v>0</v>
      </c>
      <c r="BD184" s="206">
        <f t="shared" si="195"/>
        <v>0</v>
      </c>
      <c r="BE184" s="206">
        <f t="shared" si="196"/>
        <v>0</v>
      </c>
      <c r="BF184" s="206">
        <f t="shared" si="197"/>
        <v>0</v>
      </c>
      <c r="BG184" s="206">
        <f t="shared" si="198"/>
        <v>0</v>
      </c>
      <c r="BH184" s="206">
        <f t="shared" si="199"/>
        <v>0</v>
      </c>
      <c r="BI184" s="206">
        <f t="shared" si="200"/>
        <v>0</v>
      </c>
      <c r="BJ184" s="266">
        <f t="shared" si="201"/>
        <v>0</v>
      </c>
      <c r="BK184" s="266">
        <f t="shared" si="202"/>
        <v>0</v>
      </c>
      <c r="BL184" s="192">
        <f t="shared" si="203"/>
        <v>0</v>
      </c>
      <c r="BM184" s="192">
        <f t="shared" si="204"/>
        <v>0</v>
      </c>
      <c r="BN184" s="192">
        <f t="shared" si="205"/>
        <v>0</v>
      </c>
      <c r="BO184" s="192">
        <f t="shared" si="206"/>
        <v>0</v>
      </c>
      <c r="BP184" s="192">
        <f t="shared" si="207"/>
        <v>0</v>
      </c>
      <c r="BQ184" s="193">
        <f t="shared" si="208"/>
        <v>0</v>
      </c>
      <c r="BR184" s="193">
        <f t="shared" si="209"/>
        <v>0</v>
      </c>
      <c r="BS184" s="265">
        <f t="shared" si="210"/>
        <v>0</v>
      </c>
      <c r="BT184" s="265">
        <f t="shared" si="211"/>
        <v>0</v>
      </c>
      <c r="BU184" s="265">
        <f t="shared" si="212"/>
        <v>0</v>
      </c>
      <c r="BV184" s="265">
        <f t="shared" si="213"/>
        <v>0</v>
      </c>
      <c r="BW184" s="265">
        <f t="shared" si="214"/>
        <v>0</v>
      </c>
      <c r="BX184" s="265">
        <f t="shared" si="215"/>
        <v>0</v>
      </c>
      <c r="BY184" s="265">
        <f t="shared" si="216"/>
        <v>0</v>
      </c>
      <c r="BZ184" s="265">
        <f t="shared" si="217"/>
        <v>0</v>
      </c>
      <c r="CA184" s="265">
        <f t="shared" si="218"/>
        <v>0</v>
      </c>
      <c r="CB184" s="269">
        <f t="shared" si="219"/>
        <v>0</v>
      </c>
      <c r="CC184" s="266">
        <f t="shared" si="220"/>
        <v>0</v>
      </c>
      <c r="CD184" s="241"/>
      <c r="CE184" s="198">
        <f t="shared" si="221"/>
        <v>1.5096120493779251E-10</v>
      </c>
      <c r="CF184" s="198">
        <f t="shared" si="224"/>
        <v>0</v>
      </c>
      <c r="CG184" s="198">
        <f t="shared" si="225"/>
        <v>0</v>
      </c>
      <c r="CH184" s="198">
        <f t="shared" si="226"/>
        <v>0</v>
      </c>
      <c r="CI184" s="198">
        <f t="shared" si="227"/>
        <v>0</v>
      </c>
      <c r="CJ184" s="198">
        <f t="shared" si="228"/>
        <v>0</v>
      </c>
      <c r="CK184" s="198">
        <f t="shared" si="229"/>
        <v>0</v>
      </c>
      <c r="CL184" s="198">
        <f t="shared" si="230"/>
        <v>6.5947339196013994E-13</v>
      </c>
      <c r="CM184" s="271">
        <f t="shared" si="231"/>
        <v>0</v>
      </c>
      <c r="CN184" s="198">
        <f t="shared" si="232"/>
        <v>1.5162067832975264E-10</v>
      </c>
      <c r="CO184" s="209">
        <f t="shared" si="222"/>
        <v>1.5096120493779251E-10</v>
      </c>
    </row>
    <row r="185" spans="1:93" x14ac:dyDescent="0.2">
      <c r="B185" s="221">
        <f>'DATA INPUT - DETAIL'!D176</f>
        <v>0</v>
      </c>
      <c r="C185" s="211">
        <f>'DATA INPUT - DETAIL'!E176</f>
        <v>0</v>
      </c>
      <c r="D185" s="257">
        <f>'DATA INPUT - DETAIL'!I176</f>
        <v>0</v>
      </c>
      <c r="E185" s="258">
        <f>'DATA INPUT - DETAIL'!K176</f>
        <v>0</v>
      </c>
      <c r="F185" s="258">
        <f>'DATA INPUT - DETAIL'!L176</f>
        <v>0</v>
      </c>
      <c r="G185" s="179">
        <f>'DATA INPUT - DETAIL'!M176*(1+$V$5)</f>
        <v>0</v>
      </c>
      <c r="H185" s="179">
        <f>'DATA INPUT - DETAIL'!N176*(1+$V$5)</f>
        <v>0</v>
      </c>
      <c r="I185" s="258">
        <f t="shared" si="166"/>
        <v>0</v>
      </c>
      <c r="J185" s="258">
        <f>'DATA INPUT - DETAIL'!O176</f>
        <v>0</v>
      </c>
      <c r="K185" s="258">
        <f>'DATA INPUT - DETAIL'!P176</f>
        <v>0</v>
      </c>
      <c r="L185" s="267">
        <f>ROUNDDOWN('DATA INPUT - DETAIL'!G176,0)</f>
        <v>0</v>
      </c>
      <c r="M185" s="196">
        <f t="shared" si="233"/>
        <v>0</v>
      </c>
      <c r="N185" s="196">
        <f t="shared" si="167"/>
        <v>0</v>
      </c>
      <c r="O185" s="196">
        <f t="shared" si="168"/>
        <v>0</v>
      </c>
      <c r="P185" s="196">
        <f t="shared" si="169"/>
        <v>0</v>
      </c>
      <c r="Q185" s="196">
        <f t="shared" si="170"/>
        <v>0</v>
      </c>
      <c r="R185" s="196">
        <f t="shared" si="171"/>
        <v>0</v>
      </c>
      <c r="S185" s="196">
        <f t="shared" si="172"/>
        <v>0</v>
      </c>
      <c r="T185" s="196">
        <f t="shared" si="173"/>
        <v>0</v>
      </c>
      <c r="U185" s="185">
        <f>(C185&gt;0)*(C185&lt;$E$5)*VLOOKUP(MPP,ASUMSI!$BN$77:$CR$108,B185+1)*(1+$V$4)</f>
        <v>0</v>
      </c>
      <c r="V185" s="196">
        <f t="shared" si="174"/>
        <v>0</v>
      </c>
      <c r="W185" s="196">
        <f t="shared" si="175"/>
        <v>0</v>
      </c>
      <c r="X185" s="196">
        <f t="shared" si="176"/>
        <v>0</v>
      </c>
      <c r="Y185" s="196">
        <f t="shared" si="177"/>
        <v>0</v>
      </c>
      <c r="Z185" s="196">
        <f t="shared" si="178"/>
        <v>0</v>
      </c>
      <c r="AA185" s="185">
        <f t="shared" si="179"/>
        <v>0</v>
      </c>
      <c r="AB185" s="196">
        <f t="shared" si="180"/>
        <v>0</v>
      </c>
      <c r="AC185" s="196">
        <f t="shared" si="181"/>
        <v>0</v>
      </c>
      <c r="AD185" s="196">
        <f t="shared" si="182"/>
        <v>0</v>
      </c>
      <c r="AE185" s="196">
        <f t="shared" si="183"/>
        <v>0</v>
      </c>
      <c r="AF185" s="196">
        <f t="shared" si="184"/>
        <v>0</v>
      </c>
      <c r="AG185" s="196">
        <f t="shared" si="185"/>
        <v>0</v>
      </c>
      <c r="AH185" s="196">
        <f t="shared" si="186"/>
        <v>0</v>
      </c>
      <c r="AI185" s="266">
        <f>'DATA INPUT - DETAIL'!R176</f>
        <v>0</v>
      </c>
      <c r="AJ185" s="266">
        <f>'DATA INPUT - DETAIL'!S176</f>
        <v>0</v>
      </c>
      <c r="AK185" s="266">
        <f>'DATA INPUT - DETAIL'!T176</f>
        <v>0</v>
      </c>
      <c r="AL185" s="266">
        <f>'DATA INPUT - DETAIL'!U176</f>
        <v>0</v>
      </c>
      <c r="AM185" s="266">
        <f>'DATA INPUT - DETAIL'!V176</f>
        <v>0</v>
      </c>
      <c r="AN185" s="266">
        <f>'DATA INPUT - DETAIL'!W176</f>
        <v>0</v>
      </c>
      <c r="AO185" s="198">
        <f t="shared" si="187"/>
        <v>0</v>
      </c>
      <c r="AP185" s="266">
        <f>'DATA INPUT - DETAIL'!X176</f>
        <v>0</v>
      </c>
      <c r="AQ185" s="266">
        <f>'DATA INPUT - DETAIL'!Y176</f>
        <v>0</v>
      </c>
      <c r="AR185" s="266">
        <f>'DATA INPUT - DETAIL'!Z176</f>
        <v>0</v>
      </c>
      <c r="AS185" s="266">
        <f>'DATA INPUT - DETAIL'!AD176</f>
        <v>0</v>
      </c>
      <c r="AT185" s="266">
        <f t="shared" si="188"/>
        <v>0</v>
      </c>
      <c r="AU185" s="206">
        <f>'DATA INPUT - DETAIL'!AA176</f>
        <v>0</v>
      </c>
      <c r="AV185" s="206">
        <f>'DATA INPUT - DETAIL'!AB176</f>
        <v>0</v>
      </c>
      <c r="AW185" s="206">
        <f>'DATA INPUT - DETAIL'!AC176</f>
        <v>0</v>
      </c>
      <c r="AX185" s="206">
        <f t="shared" si="189"/>
        <v>0</v>
      </c>
      <c r="AY185" s="206">
        <f t="shared" si="190"/>
        <v>0</v>
      </c>
      <c r="AZ185" s="206">
        <f t="shared" si="191"/>
        <v>0</v>
      </c>
      <c r="BA185" s="206">
        <f t="shared" si="192"/>
        <v>0</v>
      </c>
      <c r="BB185" s="206">
        <f t="shared" si="193"/>
        <v>0</v>
      </c>
      <c r="BC185" s="206">
        <f t="shared" si="194"/>
        <v>0</v>
      </c>
      <c r="BD185" s="206">
        <f t="shared" si="195"/>
        <v>0</v>
      </c>
      <c r="BE185" s="206">
        <f t="shared" si="196"/>
        <v>0</v>
      </c>
      <c r="BF185" s="206">
        <f t="shared" si="197"/>
        <v>0</v>
      </c>
      <c r="BG185" s="206">
        <f t="shared" si="198"/>
        <v>0</v>
      </c>
      <c r="BH185" s="206">
        <f t="shared" si="199"/>
        <v>0</v>
      </c>
      <c r="BI185" s="206">
        <f t="shared" si="200"/>
        <v>0</v>
      </c>
      <c r="BJ185" s="266">
        <f t="shared" si="201"/>
        <v>0</v>
      </c>
      <c r="BK185" s="266">
        <f t="shared" si="202"/>
        <v>0</v>
      </c>
      <c r="BL185" s="192">
        <f t="shared" si="203"/>
        <v>0</v>
      </c>
      <c r="BM185" s="192">
        <f t="shared" si="204"/>
        <v>0</v>
      </c>
      <c r="BN185" s="192">
        <f t="shared" si="205"/>
        <v>0</v>
      </c>
      <c r="BO185" s="192">
        <f t="shared" si="206"/>
        <v>0</v>
      </c>
      <c r="BP185" s="192">
        <f t="shared" si="207"/>
        <v>0</v>
      </c>
      <c r="BQ185" s="193">
        <f t="shared" si="208"/>
        <v>0</v>
      </c>
      <c r="BR185" s="193">
        <f t="shared" si="209"/>
        <v>0</v>
      </c>
      <c r="BS185" s="265">
        <f t="shared" si="210"/>
        <v>0</v>
      </c>
      <c r="BT185" s="265">
        <f t="shared" si="211"/>
        <v>0</v>
      </c>
      <c r="BU185" s="265">
        <f t="shared" si="212"/>
        <v>0</v>
      </c>
      <c r="BV185" s="265">
        <f t="shared" si="213"/>
        <v>0</v>
      </c>
      <c r="BW185" s="265">
        <f t="shared" si="214"/>
        <v>0</v>
      </c>
      <c r="BX185" s="265">
        <f t="shared" si="215"/>
        <v>0</v>
      </c>
      <c r="BY185" s="265">
        <f t="shared" si="216"/>
        <v>0</v>
      </c>
      <c r="BZ185" s="265">
        <f t="shared" si="217"/>
        <v>0</v>
      </c>
      <c r="CA185" s="265">
        <f t="shared" si="218"/>
        <v>0</v>
      </c>
      <c r="CB185" s="269">
        <f t="shared" si="219"/>
        <v>0</v>
      </c>
      <c r="CC185" s="266">
        <f t="shared" si="220"/>
        <v>0</v>
      </c>
      <c r="CD185" s="241"/>
      <c r="CE185" s="198">
        <f t="shared" si="221"/>
        <v>1.5162067832975264E-10</v>
      </c>
      <c r="CF185" s="198">
        <f t="shared" si="224"/>
        <v>0</v>
      </c>
      <c r="CG185" s="198">
        <f t="shared" si="225"/>
        <v>0</v>
      </c>
      <c r="CH185" s="198">
        <f t="shared" si="226"/>
        <v>0</v>
      </c>
      <c r="CI185" s="198">
        <f t="shared" si="227"/>
        <v>0</v>
      </c>
      <c r="CJ185" s="198">
        <f t="shared" si="228"/>
        <v>0</v>
      </c>
      <c r="CK185" s="198">
        <f t="shared" si="229"/>
        <v>0</v>
      </c>
      <c r="CL185" s="198">
        <f t="shared" si="230"/>
        <v>6.6235429871285583E-13</v>
      </c>
      <c r="CM185" s="271">
        <f t="shared" si="231"/>
        <v>0</v>
      </c>
      <c r="CN185" s="198">
        <f t="shared" si="232"/>
        <v>1.522830326284655E-10</v>
      </c>
      <c r="CO185" s="209">
        <f t="shared" si="222"/>
        <v>1.5162067832975264E-10</v>
      </c>
    </row>
    <row r="186" spans="1:93" x14ac:dyDescent="0.2">
      <c r="B186" s="221">
        <f>'DATA INPUT - DETAIL'!D177</f>
        <v>0</v>
      </c>
      <c r="C186" s="211">
        <f>'DATA INPUT - DETAIL'!E177</f>
        <v>0</v>
      </c>
      <c r="D186" s="257">
        <f>'DATA INPUT - DETAIL'!I177</f>
        <v>0</v>
      </c>
      <c r="E186" s="258">
        <f>'DATA INPUT - DETAIL'!K177</f>
        <v>0</v>
      </c>
      <c r="F186" s="258">
        <f>'DATA INPUT - DETAIL'!L177</f>
        <v>0</v>
      </c>
      <c r="G186" s="179">
        <f>'DATA INPUT - DETAIL'!M177*(1+$V$5)</f>
        <v>0</v>
      </c>
      <c r="H186" s="179">
        <f>'DATA INPUT - DETAIL'!N177*(1+$V$5)</f>
        <v>0</v>
      </c>
      <c r="I186" s="258">
        <f t="shared" si="166"/>
        <v>0</v>
      </c>
      <c r="J186" s="258">
        <f>'DATA INPUT - DETAIL'!O177</f>
        <v>0</v>
      </c>
      <c r="K186" s="258">
        <f>'DATA INPUT - DETAIL'!P177</f>
        <v>0</v>
      </c>
      <c r="L186" s="267">
        <f>ROUNDDOWN('DATA INPUT - DETAIL'!G177,0)</f>
        <v>0</v>
      </c>
      <c r="M186" s="196">
        <f t="shared" si="233"/>
        <v>0</v>
      </c>
      <c r="N186" s="196">
        <f t="shared" si="167"/>
        <v>0</v>
      </c>
      <c r="O186" s="196">
        <f t="shared" si="168"/>
        <v>0</v>
      </c>
      <c r="P186" s="196">
        <f t="shared" si="169"/>
        <v>0</v>
      </c>
      <c r="Q186" s="196">
        <f t="shared" si="170"/>
        <v>0</v>
      </c>
      <c r="R186" s="196">
        <f t="shared" si="171"/>
        <v>0</v>
      </c>
      <c r="S186" s="196">
        <f t="shared" si="172"/>
        <v>0</v>
      </c>
      <c r="T186" s="196">
        <f t="shared" si="173"/>
        <v>0</v>
      </c>
      <c r="U186" s="185">
        <f>(C186&gt;0)*(C186&lt;$E$5)*VLOOKUP(MPP,ASUMSI!$BN$77:$CR$108,B186+1)*(1+$V$4)</f>
        <v>0</v>
      </c>
      <c r="V186" s="196">
        <f t="shared" si="174"/>
        <v>0</v>
      </c>
      <c r="W186" s="196">
        <f t="shared" si="175"/>
        <v>0</v>
      </c>
      <c r="X186" s="196">
        <f t="shared" si="176"/>
        <v>0</v>
      </c>
      <c r="Y186" s="196">
        <f t="shared" si="177"/>
        <v>0</v>
      </c>
      <c r="Z186" s="196">
        <f t="shared" si="178"/>
        <v>0</v>
      </c>
      <c r="AA186" s="185">
        <f t="shared" si="179"/>
        <v>0</v>
      </c>
      <c r="AB186" s="196">
        <f t="shared" si="180"/>
        <v>0</v>
      </c>
      <c r="AC186" s="196">
        <f t="shared" si="181"/>
        <v>0</v>
      </c>
      <c r="AD186" s="196">
        <f t="shared" si="182"/>
        <v>0</v>
      </c>
      <c r="AE186" s="196">
        <f t="shared" si="183"/>
        <v>0</v>
      </c>
      <c r="AF186" s="196">
        <f t="shared" si="184"/>
        <v>0</v>
      </c>
      <c r="AG186" s="196">
        <f t="shared" si="185"/>
        <v>0</v>
      </c>
      <c r="AH186" s="196">
        <f t="shared" si="186"/>
        <v>0</v>
      </c>
      <c r="AI186" s="266">
        <f>'DATA INPUT - DETAIL'!R177</f>
        <v>0</v>
      </c>
      <c r="AJ186" s="266">
        <f>'DATA INPUT - DETAIL'!S177</f>
        <v>0</v>
      </c>
      <c r="AK186" s="266">
        <f>'DATA INPUT - DETAIL'!T177</f>
        <v>0</v>
      </c>
      <c r="AL186" s="266">
        <f>'DATA INPUT - DETAIL'!U177</f>
        <v>0</v>
      </c>
      <c r="AM186" s="266">
        <f>'DATA INPUT - DETAIL'!V177</f>
        <v>0</v>
      </c>
      <c r="AN186" s="266">
        <f>'DATA INPUT - DETAIL'!W177</f>
        <v>0</v>
      </c>
      <c r="AO186" s="198">
        <f t="shared" si="187"/>
        <v>0</v>
      </c>
      <c r="AP186" s="266">
        <f>'DATA INPUT - DETAIL'!X177</f>
        <v>0</v>
      </c>
      <c r="AQ186" s="266">
        <f>'DATA INPUT - DETAIL'!Y177</f>
        <v>0</v>
      </c>
      <c r="AR186" s="266">
        <f>'DATA INPUT - DETAIL'!Z177</f>
        <v>0</v>
      </c>
      <c r="AS186" s="266">
        <f>'DATA INPUT - DETAIL'!AD177</f>
        <v>0</v>
      </c>
      <c r="AT186" s="266">
        <f t="shared" si="188"/>
        <v>0</v>
      </c>
      <c r="AU186" s="206">
        <f>'DATA INPUT - DETAIL'!AA177</f>
        <v>0</v>
      </c>
      <c r="AV186" s="206">
        <f>'DATA INPUT - DETAIL'!AB177</f>
        <v>0</v>
      </c>
      <c r="AW186" s="206">
        <f>'DATA INPUT - DETAIL'!AC177</f>
        <v>0</v>
      </c>
      <c r="AX186" s="206">
        <f t="shared" si="189"/>
        <v>0</v>
      </c>
      <c r="AY186" s="206">
        <f t="shared" si="190"/>
        <v>0</v>
      </c>
      <c r="AZ186" s="206">
        <f t="shared" si="191"/>
        <v>0</v>
      </c>
      <c r="BA186" s="206">
        <f t="shared" si="192"/>
        <v>0</v>
      </c>
      <c r="BB186" s="206">
        <f t="shared" si="193"/>
        <v>0</v>
      </c>
      <c r="BC186" s="206">
        <f t="shared" si="194"/>
        <v>0</v>
      </c>
      <c r="BD186" s="206">
        <f t="shared" si="195"/>
        <v>0</v>
      </c>
      <c r="BE186" s="206">
        <f t="shared" si="196"/>
        <v>0</v>
      </c>
      <c r="BF186" s="206">
        <f t="shared" si="197"/>
        <v>0</v>
      </c>
      <c r="BG186" s="206">
        <f t="shared" si="198"/>
        <v>0</v>
      </c>
      <c r="BH186" s="206">
        <f t="shared" si="199"/>
        <v>0</v>
      </c>
      <c r="BI186" s="206">
        <f t="shared" si="200"/>
        <v>0</v>
      </c>
      <c r="BJ186" s="266">
        <f t="shared" si="201"/>
        <v>0</v>
      </c>
      <c r="BK186" s="266">
        <f t="shared" si="202"/>
        <v>0</v>
      </c>
      <c r="BL186" s="192">
        <f t="shared" si="203"/>
        <v>0</v>
      </c>
      <c r="BM186" s="192">
        <f t="shared" si="204"/>
        <v>0</v>
      </c>
      <c r="BN186" s="192">
        <f t="shared" si="205"/>
        <v>0</v>
      </c>
      <c r="BO186" s="192">
        <f t="shared" si="206"/>
        <v>0</v>
      </c>
      <c r="BP186" s="192">
        <f t="shared" si="207"/>
        <v>0</v>
      </c>
      <c r="BQ186" s="193">
        <f t="shared" si="208"/>
        <v>0</v>
      </c>
      <c r="BR186" s="193">
        <f t="shared" si="209"/>
        <v>0</v>
      </c>
      <c r="BS186" s="265">
        <f t="shared" si="210"/>
        <v>0</v>
      </c>
      <c r="BT186" s="265">
        <f t="shared" si="211"/>
        <v>0</v>
      </c>
      <c r="BU186" s="265">
        <f t="shared" si="212"/>
        <v>0</v>
      </c>
      <c r="BV186" s="265">
        <f t="shared" si="213"/>
        <v>0</v>
      </c>
      <c r="BW186" s="265">
        <f t="shared" si="214"/>
        <v>0</v>
      </c>
      <c r="BX186" s="265">
        <f t="shared" si="215"/>
        <v>0</v>
      </c>
      <c r="BY186" s="265">
        <f t="shared" si="216"/>
        <v>0</v>
      </c>
      <c r="BZ186" s="265">
        <f t="shared" si="217"/>
        <v>0</v>
      </c>
      <c r="CA186" s="265">
        <f t="shared" si="218"/>
        <v>0</v>
      </c>
      <c r="CB186" s="269">
        <f t="shared" si="219"/>
        <v>0</v>
      </c>
      <c r="CC186" s="266">
        <f t="shared" si="220"/>
        <v>0</v>
      </c>
      <c r="CD186" s="241"/>
      <c r="CE186" s="198">
        <f t="shared" si="221"/>
        <v>1.522830326284655E-10</v>
      </c>
      <c r="CF186" s="198">
        <f t="shared" si="224"/>
        <v>0</v>
      </c>
      <c r="CG186" s="198">
        <f t="shared" si="225"/>
        <v>0</v>
      </c>
      <c r="CH186" s="198">
        <f t="shared" si="226"/>
        <v>0</v>
      </c>
      <c r="CI186" s="198">
        <f t="shared" si="227"/>
        <v>0</v>
      </c>
      <c r="CJ186" s="198">
        <f t="shared" si="228"/>
        <v>0</v>
      </c>
      <c r="CK186" s="198">
        <f t="shared" si="229"/>
        <v>0</v>
      </c>
      <c r="CL186" s="198">
        <f t="shared" si="230"/>
        <v>6.6524779069466367E-13</v>
      </c>
      <c r="CM186" s="271">
        <f t="shared" si="231"/>
        <v>0</v>
      </c>
      <c r="CN186" s="198">
        <f t="shared" si="232"/>
        <v>1.5294828041916017E-10</v>
      </c>
      <c r="CO186" s="209">
        <f t="shared" si="222"/>
        <v>1.522830326284655E-10</v>
      </c>
    </row>
    <row r="187" spans="1:93" x14ac:dyDescent="0.2">
      <c r="B187" s="221">
        <f>'DATA INPUT - DETAIL'!D178</f>
        <v>0</v>
      </c>
      <c r="C187" s="211">
        <f>'DATA INPUT - DETAIL'!E178</f>
        <v>0</v>
      </c>
      <c r="D187" s="257">
        <f>'DATA INPUT - DETAIL'!I178</f>
        <v>0</v>
      </c>
      <c r="E187" s="258">
        <f>'DATA INPUT - DETAIL'!K178</f>
        <v>0</v>
      </c>
      <c r="F187" s="258">
        <f>'DATA INPUT - DETAIL'!L178</f>
        <v>0</v>
      </c>
      <c r="G187" s="179">
        <f>'DATA INPUT - DETAIL'!M178*(1+$V$5)</f>
        <v>0</v>
      </c>
      <c r="H187" s="179">
        <f>'DATA INPUT - DETAIL'!N178*(1+$V$5)</f>
        <v>0</v>
      </c>
      <c r="I187" s="258">
        <f t="shared" si="166"/>
        <v>0</v>
      </c>
      <c r="J187" s="258">
        <f>'DATA INPUT - DETAIL'!O178</f>
        <v>0</v>
      </c>
      <c r="K187" s="258">
        <f>'DATA INPUT - DETAIL'!P178</f>
        <v>0</v>
      </c>
      <c r="L187" s="267">
        <f>ROUNDDOWN('DATA INPUT - DETAIL'!G178,0)</f>
        <v>0</v>
      </c>
      <c r="M187" s="196">
        <f t="shared" si="233"/>
        <v>0</v>
      </c>
      <c r="N187" s="196">
        <f t="shared" si="167"/>
        <v>0</v>
      </c>
      <c r="O187" s="196">
        <f t="shared" si="168"/>
        <v>0</v>
      </c>
      <c r="P187" s="196">
        <f t="shared" si="169"/>
        <v>0</v>
      </c>
      <c r="Q187" s="196">
        <f t="shared" si="170"/>
        <v>0</v>
      </c>
      <c r="R187" s="196">
        <f t="shared" si="171"/>
        <v>0</v>
      </c>
      <c r="S187" s="196">
        <f t="shared" si="172"/>
        <v>0</v>
      </c>
      <c r="T187" s="196">
        <f t="shared" si="173"/>
        <v>0</v>
      </c>
      <c r="U187" s="185">
        <f>(C187&gt;0)*(C187&lt;$E$5)*VLOOKUP(MPP,ASUMSI!$BN$77:$CR$108,B187+1)*(1+$V$4)</f>
        <v>0</v>
      </c>
      <c r="V187" s="196">
        <f t="shared" si="174"/>
        <v>0</v>
      </c>
      <c r="W187" s="196">
        <f t="shared" si="175"/>
        <v>0</v>
      </c>
      <c r="X187" s="196">
        <f t="shared" si="176"/>
        <v>0</v>
      </c>
      <c r="Y187" s="196">
        <f t="shared" si="177"/>
        <v>0</v>
      </c>
      <c r="Z187" s="196">
        <f t="shared" si="178"/>
        <v>0</v>
      </c>
      <c r="AA187" s="185">
        <f t="shared" si="179"/>
        <v>0</v>
      </c>
      <c r="AB187" s="196">
        <f t="shared" si="180"/>
        <v>0</v>
      </c>
      <c r="AC187" s="196">
        <f t="shared" si="181"/>
        <v>0</v>
      </c>
      <c r="AD187" s="196">
        <f t="shared" si="182"/>
        <v>0</v>
      </c>
      <c r="AE187" s="196">
        <f t="shared" si="183"/>
        <v>0</v>
      </c>
      <c r="AF187" s="196">
        <f t="shared" si="184"/>
        <v>0</v>
      </c>
      <c r="AG187" s="196">
        <f t="shared" si="185"/>
        <v>0</v>
      </c>
      <c r="AH187" s="196">
        <f t="shared" si="186"/>
        <v>0</v>
      </c>
      <c r="AI187" s="266">
        <f>'DATA INPUT - DETAIL'!R178</f>
        <v>0</v>
      </c>
      <c r="AJ187" s="266">
        <f>'DATA INPUT - DETAIL'!S178</f>
        <v>0</v>
      </c>
      <c r="AK187" s="266">
        <f>'DATA INPUT - DETAIL'!T178</f>
        <v>0</v>
      </c>
      <c r="AL187" s="266">
        <f>'DATA INPUT - DETAIL'!U178</f>
        <v>0</v>
      </c>
      <c r="AM187" s="266">
        <f>'DATA INPUT - DETAIL'!V178</f>
        <v>0</v>
      </c>
      <c r="AN187" s="266">
        <f>'DATA INPUT - DETAIL'!W178</f>
        <v>0</v>
      </c>
      <c r="AO187" s="198">
        <f t="shared" si="187"/>
        <v>0</v>
      </c>
      <c r="AP187" s="266">
        <f>'DATA INPUT - DETAIL'!X178</f>
        <v>0</v>
      </c>
      <c r="AQ187" s="266">
        <f>'DATA INPUT - DETAIL'!Y178</f>
        <v>0</v>
      </c>
      <c r="AR187" s="266">
        <f>'DATA INPUT - DETAIL'!Z178</f>
        <v>0</v>
      </c>
      <c r="AS187" s="266">
        <f>'DATA INPUT - DETAIL'!AD178</f>
        <v>0</v>
      </c>
      <c r="AT187" s="266">
        <f t="shared" si="188"/>
        <v>0</v>
      </c>
      <c r="AU187" s="206">
        <f>'DATA INPUT - DETAIL'!AA178</f>
        <v>0</v>
      </c>
      <c r="AV187" s="206">
        <f>'DATA INPUT - DETAIL'!AB178</f>
        <v>0</v>
      </c>
      <c r="AW187" s="206">
        <f>'DATA INPUT - DETAIL'!AC178</f>
        <v>0</v>
      </c>
      <c r="AX187" s="206">
        <f t="shared" si="189"/>
        <v>0</v>
      </c>
      <c r="AY187" s="206">
        <f t="shared" si="190"/>
        <v>0</v>
      </c>
      <c r="AZ187" s="206">
        <f t="shared" si="191"/>
        <v>0</v>
      </c>
      <c r="BA187" s="206">
        <f t="shared" si="192"/>
        <v>0</v>
      </c>
      <c r="BB187" s="206">
        <f t="shared" si="193"/>
        <v>0</v>
      </c>
      <c r="BC187" s="206">
        <f t="shared" si="194"/>
        <v>0</v>
      </c>
      <c r="BD187" s="206">
        <f t="shared" si="195"/>
        <v>0</v>
      </c>
      <c r="BE187" s="206">
        <f t="shared" si="196"/>
        <v>0</v>
      </c>
      <c r="BF187" s="206">
        <f t="shared" si="197"/>
        <v>0</v>
      </c>
      <c r="BG187" s="206">
        <f t="shared" si="198"/>
        <v>0</v>
      </c>
      <c r="BH187" s="206">
        <f t="shared" si="199"/>
        <v>0</v>
      </c>
      <c r="BI187" s="206">
        <f t="shared" si="200"/>
        <v>0</v>
      </c>
      <c r="BJ187" s="266">
        <f t="shared" si="201"/>
        <v>0</v>
      </c>
      <c r="BK187" s="266">
        <f t="shared" si="202"/>
        <v>0</v>
      </c>
      <c r="BL187" s="192">
        <f t="shared" si="203"/>
        <v>0</v>
      </c>
      <c r="BM187" s="192">
        <f t="shared" si="204"/>
        <v>0</v>
      </c>
      <c r="BN187" s="192">
        <f t="shared" si="205"/>
        <v>0</v>
      </c>
      <c r="BO187" s="192">
        <f t="shared" si="206"/>
        <v>0</v>
      </c>
      <c r="BP187" s="192">
        <f t="shared" si="207"/>
        <v>0</v>
      </c>
      <c r="BQ187" s="193">
        <f t="shared" si="208"/>
        <v>0</v>
      </c>
      <c r="BR187" s="193">
        <f t="shared" si="209"/>
        <v>0</v>
      </c>
      <c r="BS187" s="265">
        <f t="shared" si="210"/>
        <v>0</v>
      </c>
      <c r="BT187" s="265">
        <f t="shared" si="211"/>
        <v>0</v>
      </c>
      <c r="BU187" s="265">
        <f t="shared" si="212"/>
        <v>0</v>
      </c>
      <c r="BV187" s="265">
        <f t="shared" si="213"/>
        <v>0</v>
      </c>
      <c r="BW187" s="265">
        <f t="shared" si="214"/>
        <v>0</v>
      </c>
      <c r="BX187" s="265">
        <f t="shared" si="215"/>
        <v>0</v>
      </c>
      <c r="BY187" s="265">
        <f t="shared" si="216"/>
        <v>0</v>
      </c>
      <c r="BZ187" s="265">
        <f t="shared" si="217"/>
        <v>0</v>
      </c>
      <c r="CA187" s="265">
        <f t="shared" si="218"/>
        <v>0</v>
      </c>
      <c r="CB187" s="269">
        <f t="shared" si="219"/>
        <v>0</v>
      </c>
      <c r="CC187" s="266">
        <f t="shared" si="220"/>
        <v>0</v>
      </c>
      <c r="CD187" s="241"/>
      <c r="CE187" s="198">
        <f t="shared" si="221"/>
        <v>1.5294828041916017E-10</v>
      </c>
      <c r="CF187" s="198">
        <f t="shared" si="224"/>
        <v>0</v>
      </c>
      <c r="CG187" s="198">
        <f t="shared" si="225"/>
        <v>0</v>
      </c>
      <c r="CH187" s="198">
        <f t="shared" si="226"/>
        <v>0</v>
      </c>
      <c r="CI187" s="198">
        <f t="shared" si="227"/>
        <v>0</v>
      </c>
      <c r="CJ187" s="198">
        <f t="shared" si="228"/>
        <v>0</v>
      </c>
      <c r="CK187" s="198">
        <f t="shared" si="229"/>
        <v>0</v>
      </c>
      <c r="CL187" s="198">
        <f t="shared" si="230"/>
        <v>6.6815392288408399E-13</v>
      </c>
      <c r="CM187" s="271">
        <f t="shared" si="231"/>
        <v>0</v>
      </c>
      <c r="CN187" s="198">
        <f t="shared" si="232"/>
        <v>1.5361643434204425E-10</v>
      </c>
      <c r="CO187" s="209">
        <f t="shared" si="222"/>
        <v>1.5294828041916017E-10</v>
      </c>
    </row>
    <row r="188" spans="1:93" x14ac:dyDescent="0.2">
      <c r="B188" s="221">
        <f>'DATA INPUT - DETAIL'!D179</f>
        <v>0</v>
      </c>
      <c r="C188" s="211">
        <f>'DATA INPUT - DETAIL'!E179</f>
        <v>0</v>
      </c>
      <c r="D188" s="257">
        <f>'DATA INPUT - DETAIL'!I179</f>
        <v>0</v>
      </c>
      <c r="E188" s="258">
        <f>'DATA INPUT - DETAIL'!K179</f>
        <v>0</v>
      </c>
      <c r="F188" s="258">
        <f>'DATA INPUT - DETAIL'!L179</f>
        <v>0</v>
      </c>
      <c r="G188" s="179">
        <f>'DATA INPUT - DETAIL'!M179*(1+$V$5)</f>
        <v>0</v>
      </c>
      <c r="H188" s="179">
        <f>'DATA INPUT - DETAIL'!N179*(1+$V$5)</f>
        <v>0</v>
      </c>
      <c r="I188" s="258">
        <f t="shared" si="166"/>
        <v>0</v>
      </c>
      <c r="J188" s="258">
        <f>'DATA INPUT - DETAIL'!O179</f>
        <v>0</v>
      </c>
      <c r="K188" s="258">
        <f>'DATA INPUT - DETAIL'!P179</f>
        <v>0</v>
      </c>
      <c r="L188" s="267">
        <f>ROUNDDOWN('DATA INPUT - DETAIL'!G179,0)</f>
        <v>0</v>
      </c>
      <c r="M188" s="196">
        <f t="shared" si="233"/>
        <v>0</v>
      </c>
      <c r="N188" s="196">
        <f t="shared" si="167"/>
        <v>0</v>
      </c>
      <c r="O188" s="196">
        <f t="shared" si="168"/>
        <v>0</v>
      </c>
      <c r="P188" s="196">
        <f t="shared" si="169"/>
        <v>0</v>
      </c>
      <c r="Q188" s="196">
        <f t="shared" si="170"/>
        <v>0</v>
      </c>
      <c r="R188" s="196">
        <f t="shared" si="171"/>
        <v>0</v>
      </c>
      <c r="S188" s="196">
        <f t="shared" si="172"/>
        <v>0</v>
      </c>
      <c r="T188" s="196">
        <f t="shared" si="173"/>
        <v>0</v>
      </c>
      <c r="U188" s="185">
        <f>(C188&gt;0)*(C188&lt;$E$5)*VLOOKUP(MPP,ASUMSI!$BN$77:$CR$108,B188+1)*(1+$V$4)</f>
        <v>0</v>
      </c>
      <c r="V188" s="196">
        <f t="shared" si="174"/>
        <v>0</v>
      </c>
      <c r="W188" s="196">
        <f t="shared" si="175"/>
        <v>0</v>
      </c>
      <c r="X188" s="196">
        <f t="shared" si="176"/>
        <v>0</v>
      </c>
      <c r="Y188" s="196">
        <f t="shared" si="177"/>
        <v>0</v>
      </c>
      <c r="Z188" s="196">
        <f t="shared" si="178"/>
        <v>0</v>
      </c>
      <c r="AA188" s="185">
        <f t="shared" si="179"/>
        <v>0</v>
      </c>
      <c r="AB188" s="196">
        <f t="shared" si="180"/>
        <v>0</v>
      </c>
      <c r="AC188" s="196">
        <f t="shared" si="181"/>
        <v>0</v>
      </c>
      <c r="AD188" s="196">
        <f t="shared" si="182"/>
        <v>0</v>
      </c>
      <c r="AE188" s="196">
        <f t="shared" si="183"/>
        <v>0</v>
      </c>
      <c r="AF188" s="196">
        <f t="shared" si="184"/>
        <v>0</v>
      </c>
      <c r="AG188" s="196">
        <f t="shared" si="185"/>
        <v>0</v>
      </c>
      <c r="AH188" s="196">
        <f t="shared" si="186"/>
        <v>0</v>
      </c>
      <c r="AI188" s="266">
        <f>'DATA INPUT - DETAIL'!R179</f>
        <v>0</v>
      </c>
      <c r="AJ188" s="266">
        <f>'DATA INPUT - DETAIL'!S179</f>
        <v>0</v>
      </c>
      <c r="AK188" s="266">
        <f>'DATA INPUT - DETAIL'!T179</f>
        <v>0</v>
      </c>
      <c r="AL188" s="266">
        <f>'DATA INPUT - DETAIL'!U179</f>
        <v>0</v>
      </c>
      <c r="AM188" s="266">
        <f>'DATA INPUT - DETAIL'!V179</f>
        <v>0</v>
      </c>
      <c r="AN188" s="266">
        <f>'DATA INPUT - DETAIL'!W179</f>
        <v>0</v>
      </c>
      <c r="AO188" s="198">
        <f t="shared" si="187"/>
        <v>0</v>
      </c>
      <c r="AP188" s="266">
        <f>'DATA INPUT - DETAIL'!X179</f>
        <v>0</v>
      </c>
      <c r="AQ188" s="266">
        <f>'DATA INPUT - DETAIL'!Y179</f>
        <v>0</v>
      </c>
      <c r="AR188" s="266">
        <f>'DATA INPUT - DETAIL'!Z179</f>
        <v>0</v>
      </c>
      <c r="AS188" s="266">
        <f>'DATA INPUT - DETAIL'!AD179</f>
        <v>0</v>
      </c>
      <c r="AT188" s="266">
        <f t="shared" si="188"/>
        <v>0</v>
      </c>
      <c r="AU188" s="206">
        <f>'DATA INPUT - DETAIL'!AA179</f>
        <v>0</v>
      </c>
      <c r="AV188" s="206">
        <f>'DATA INPUT - DETAIL'!AB179</f>
        <v>0</v>
      </c>
      <c r="AW188" s="206">
        <f>'DATA INPUT - DETAIL'!AC179</f>
        <v>0</v>
      </c>
      <c r="AX188" s="206">
        <f t="shared" si="189"/>
        <v>0</v>
      </c>
      <c r="AY188" s="206">
        <f t="shared" si="190"/>
        <v>0</v>
      </c>
      <c r="AZ188" s="206">
        <f t="shared" si="191"/>
        <v>0</v>
      </c>
      <c r="BA188" s="206">
        <f t="shared" si="192"/>
        <v>0</v>
      </c>
      <c r="BB188" s="206">
        <f t="shared" si="193"/>
        <v>0</v>
      </c>
      <c r="BC188" s="206">
        <f t="shared" si="194"/>
        <v>0</v>
      </c>
      <c r="BD188" s="206">
        <f t="shared" si="195"/>
        <v>0</v>
      </c>
      <c r="BE188" s="206">
        <f t="shared" si="196"/>
        <v>0</v>
      </c>
      <c r="BF188" s="206">
        <f t="shared" si="197"/>
        <v>0</v>
      </c>
      <c r="BG188" s="206">
        <f t="shared" si="198"/>
        <v>0</v>
      </c>
      <c r="BH188" s="206">
        <f t="shared" si="199"/>
        <v>0</v>
      </c>
      <c r="BI188" s="206">
        <f t="shared" si="200"/>
        <v>0</v>
      </c>
      <c r="BJ188" s="266">
        <f t="shared" si="201"/>
        <v>0</v>
      </c>
      <c r="BK188" s="266">
        <f t="shared" si="202"/>
        <v>0</v>
      </c>
      <c r="BL188" s="192">
        <f t="shared" si="203"/>
        <v>0</v>
      </c>
      <c r="BM188" s="192">
        <f t="shared" si="204"/>
        <v>0</v>
      </c>
      <c r="BN188" s="192">
        <f t="shared" si="205"/>
        <v>0</v>
      </c>
      <c r="BO188" s="192">
        <f t="shared" si="206"/>
        <v>0</v>
      </c>
      <c r="BP188" s="192">
        <f t="shared" si="207"/>
        <v>0</v>
      </c>
      <c r="BQ188" s="193">
        <f t="shared" si="208"/>
        <v>0</v>
      </c>
      <c r="BR188" s="193">
        <f t="shared" si="209"/>
        <v>0</v>
      </c>
      <c r="BS188" s="265">
        <f t="shared" si="210"/>
        <v>0</v>
      </c>
      <c r="BT188" s="265">
        <f t="shared" si="211"/>
        <v>0</v>
      </c>
      <c r="BU188" s="265">
        <f t="shared" si="212"/>
        <v>0</v>
      </c>
      <c r="BV188" s="265">
        <f t="shared" si="213"/>
        <v>0</v>
      </c>
      <c r="BW188" s="265">
        <f t="shared" si="214"/>
        <v>0</v>
      </c>
      <c r="BX188" s="265">
        <f t="shared" si="215"/>
        <v>0</v>
      </c>
      <c r="BY188" s="265">
        <f t="shared" si="216"/>
        <v>0</v>
      </c>
      <c r="BZ188" s="265">
        <f t="shared" si="217"/>
        <v>0</v>
      </c>
      <c r="CA188" s="265">
        <f t="shared" si="218"/>
        <v>0</v>
      </c>
      <c r="CB188" s="269">
        <f t="shared" si="219"/>
        <v>0</v>
      </c>
      <c r="CC188" s="266">
        <f t="shared" si="220"/>
        <v>0</v>
      </c>
      <c r="CD188" s="241"/>
      <c r="CE188" s="198">
        <f t="shared" si="221"/>
        <v>1.5361643434204425E-10</v>
      </c>
      <c r="CF188" s="198">
        <f t="shared" si="224"/>
        <v>0</v>
      </c>
      <c r="CG188" s="198">
        <f t="shared" si="225"/>
        <v>0</v>
      </c>
      <c r="CH188" s="198">
        <f t="shared" si="226"/>
        <v>0</v>
      </c>
      <c r="CI188" s="198">
        <f t="shared" si="227"/>
        <v>0</v>
      </c>
      <c r="CJ188" s="198">
        <f t="shared" si="228"/>
        <v>0</v>
      </c>
      <c r="CK188" s="198">
        <f t="shared" si="229"/>
        <v>0</v>
      </c>
      <c r="CL188" s="198">
        <f t="shared" si="230"/>
        <v>6.7107275049981092E-13</v>
      </c>
      <c r="CM188" s="271">
        <f t="shared" si="231"/>
        <v>0</v>
      </c>
      <c r="CN188" s="198">
        <f t="shared" si="232"/>
        <v>1.5428750709254407E-10</v>
      </c>
      <c r="CO188" s="209">
        <f t="shared" si="222"/>
        <v>1.5361643434204425E-10</v>
      </c>
    </row>
    <row r="189" spans="1:93" x14ac:dyDescent="0.2">
      <c r="B189" s="221">
        <f>'DATA INPUT - DETAIL'!D180</f>
        <v>0</v>
      </c>
      <c r="C189" s="211">
        <f>'DATA INPUT - DETAIL'!E180</f>
        <v>0</v>
      </c>
      <c r="D189" s="257">
        <f>'DATA INPUT - DETAIL'!I180</f>
        <v>0</v>
      </c>
      <c r="E189" s="258">
        <f>'DATA INPUT - DETAIL'!K180</f>
        <v>0</v>
      </c>
      <c r="F189" s="258">
        <f>'DATA INPUT - DETAIL'!L180</f>
        <v>0</v>
      </c>
      <c r="G189" s="179">
        <f>'DATA INPUT - DETAIL'!M180*(1+$V$5)</f>
        <v>0</v>
      </c>
      <c r="H189" s="179">
        <f>'DATA INPUT - DETAIL'!N180*(1+$V$5)</f>
        <v>0</v>
      </c>
      <c r="I189" s="258">
        <f t="shared" si="166"/>
        <v>0</v>
      </c>
      <c r="J189" s="258">
        <f>'DATA INPUT - DETAIL'!O180</f>
        <v>0</v>
      </c>
      <c r="K189" s="258">
        <f>'DATA INPUT - DETAIL'!P180</f>
        <v>0</v>
      </c>
      <c r="L189" s="267">
        <f>ROUNDDOWN('DATA INPUT - DETAIL'!G180,0)</f>
        <v>0</v>
      </c>
      <c r="M189" s="196">
        <f t="shared" si="233"/>
        <v>0</v>
      </c>
      <c r="N189" s="196">
        <f t="shared" si="167"/>
        <v>0</v>
      </c>
      <c r="O189" s="196">
        <f t="shared" si="168"/>
        <v>0</v>
      </c>
      <c r="P189" s="196">
        <f t="shared" si="169"/>
        <v>0</v>
      </c>
      <c r="Q189" s="196">
        <f t="shared" si="170"/>
        <v>0</v>
      </c>
      <c r="R189" s="196">
        <f t="shared" si="171"/>
        <v>0</v>
      </c>
      <c r="S189" s="196">
        <f t="shared" si="172"/>
        <v>0</v>
      </c>
      <c r="T189" s="196">
        <f t="shared" si="173"/>
        <v>0</v>
      </c>
      <c r="U189" s="185">
        <f>(C189&gt;0)*(C189&lt;$E$5)*VLOOKUP(MPP,ASUMSI!$BN$77:$CR$108,B189+1)*(1+$V$4)</f>
        <v>0</v>
      </c>
      <c r="V189" s="196">
        <f t="shared" si="174"/>
        <v>0</v>
      </c>
      <c r="W189" s="196">
        <f t="shared" si="175"/>
        <v>0</v>
      </c>
      <c r="X189" s="196">
        <f t="shared" si="176"/>
        <v>0</v>
      </c>
      <c r="Y189" s="196">
        <f t="shared" si="177"/>
        <v>0</v>
      </c>
      <c r="Z189" s="196">
        <f t="shared" si="178"/>
        <v>0</v>
      </c>
      <c r="AA189" s="185">
        <f t="shared" si="179"/>
        <v>0</v>
      </c>
      <c r="AB189" s="196">
        <f t="shared" si="180"/>
        <v>0</v>
      </c>
      <c r="AC189" s="196">
        <f t="shared" si="181"/>
        <v>0</v>
      </c>
      <c r="AD189" s="196">
        <f t="shared" si="182"/>
        <v>0</v>
      </c>
      <c r="AE189" s="196">
        <f t="shared" si="183"/>
        <v>0</v>
      </c>
      <c r="AF189" s="196">
        <f t="shared" si="184"/>
        <v>0</v>
      </c>
      <c r="AG189" s="196">
        <f t="shared" si="185"/>
        <v>0</v>
      </c>
      <c r="AH189" s="196">
        <f t="shared" si="186"/>
        <v>0</v>
      </c>
      <c r="AI189" s="266">
        <f>'DATA INPUT - DETAIL'!R180</f>
        <v>0</v>
      </c>
      <c r="AJ189" s="266">
        <f>'DATA INPUT - DETAIL'!S180</f>
        <v>0</v>
      </c>
      <c r="AK189" s="266">
        <f>'DATA INPUT - DETAIL'!T180</f>
        <v>0</v>
      </c>
      <c r="AL189" s="266">
        <f>'DATA INPUT - DETAIL'!U180</f>
        <v>0</v>
      </c>
      <c r="AM189" s="266">
        <f>'DATA INPUT - DETAIL'!V180</f>
        <v>0</v>
      </c>
      <c r="AN189" s="266">
        <f>'DATA INPUT - DETAIL'!W180</f>
        <v>0</v>
      </c>
      <c r="AO189" s="198">
        <f t="shared" si="187"/>
        <v>0</v>
      </c>
      <c r="AP189" s="266">
        <f>'DATA INPUT - DETAIL'!X180</f>
        <v>0</v>
      </c>
      <c r="AQ189" s="266">
        <f>'DATA INPUT - DETAIL'!Y180</f>
        <v>0</v>
      </c>
      <c r="AR189" s="266">
        <f>'DATA INPUT - DETAIL'!Z180</f>
        <v>0</v>
      </c>
      <c r="AS189" s="266">
        <f>'DATA INPUT - DETAIL'!AD180</f>
        <v>0</v>
      </c>
      <c r="AT189" s="266">
        <f t="shared" si="188"/>
        <v>0</v>
      </c>
      <c r="AU189" s="206">
        <f>'DATA INPUT - DETAIL'!AA180</f>
        <v>0</v>
      </c>
      <c r="AV189" s="206">
        <f>'DATA INPUT - DETAIL'!AB180</f>
        <v>0</v>
      </c>
      <c r="AW189" s="206">
        <f>'DATA INPUT - DETAIL'!AC180</f>
        <v>0</v>
      </c>
      <c r="AX189" s="206">
        <f t="shared" si="189"/>
        <v>0</v>
      </c>
      <c r="AY189" s="206">
        <f t="shared" si="190"/>
        <v>0</v>
      </c>
      <c r="AZ189" s="206">
        <f t="shared" si="191"/>
        <v>0</v>
      </c>
      <c r="BA189" s="206">
        <f t="shared" si="192"/>
        <v>0</v>
      </c>
      <c r="BB189" s="206">
        <f t="shared" si="193"/>
        <v>0</v>
      </c>
      <c r="BC189" s="206">
        <f t="shared" si="194"/>
        <v>0</v>
      </c>
      <c r="BD189" s="206">
        <f t="shared" si="195"/>
        <v>0</v>
      </c>
      <c r="BE189" s="206">
        <f t="shared" si="196"/>
        <v>0</v>
      </c>
      <c r="BF189" s="206">
        <f t="shared" si="197"/>
        <v>0</v>
      </c>
      <c r="BG189" s="206">
        <f t="shared" si="198"/>
        <v>0</v>
      </c>
      <c r="BH189" s="206">
        <f t="shared" si="199"/>
        <v>0</v>
      </c>
      <c r="BI189" s="206">
        <f t="shared" si="200"/>
        <v>0</v>
      </c>
      <c r="BJ189" s="266">
        <f t="shared" si="201"/>
        <v>0</v>
      </c>
      <c r="BK189" s="266">
        <f t="shared" si="202"/>
        <v>0</v>
      </c>
      <c r="BL189" s="192">
        <f t="shared" si="203"/>
        <v>0</v>
      </c>
      <c r="BM189" s="192">
        <f t="shared" si="204"/>
        <v>0</v>
      </c>
      <c r="BN189" s="192">
        <f t="shared" si="205"/>
        <v>0</v>
      </c>
      <c r="BO189" s="192">
        <f t="shared" si="206"/>
        <v>0</v>
      </c>
      <c r="BP189" s="192">
        <f t="shared" si="207"/>
        <v>0</v>
      </c>
      <c r="BQ189" s="193">
        <f t="shared" si="208"/>
        <v>0</v>
      </c>
      <c r="BR189" s="193">
        <f t="shared" si="209"/>
        <v>0</v>
      </c>
      <c r="BS189" s="265">
        <f t="shared" si="210"/>
        <v>0</v>
      </c>
      <c r="BT189" s="265">
        <f t="shared" si="211"/>
        <v>0</v>
      </c>
      <c r="BU189" s="265">
        <f t="shared" si="212"/>
        <v>0</v>
      </c>
      <c r="BV189" s="265">
        <f t="shared" si="213"/>
        <v>0</v>
      </c>
      <c r="BW189" s="265">
        <f t="shared" si="214"/>
        <v>0</v>
      </c>
      <c r="BX189" s="265">
        <f t="shared" si="215"/>
        <v>0</v>
      </c>
      <c r="BY189" s="265">
        <f t="shared" si="216"/>
        <v>0</v>
      </c>
      <c r="BZ189" s="265">
        <f t="shared" si="217"/>
        <v>0</v>
      </c>
      <c r="CA189" s="265">
        <f t="shared" si="218"/>
        <v>0</v>
      </c>
      <c r="CB189" s="269">
        <f t="shared" si="219"/>
        <v>0</v>
      </c>
      <c r="CC189" s="266">
        <f t="shared" si="220"/>
        <v>0</v>
      </c>
      <c r="CD189" s="241"/>
      <c r="CE189" s="198">
        <f t="shared" si="221"/>
        <v>1.5428750709254407E-10</v>
      </c>
      <c r="CF189" s="198">
        <f t="shared" si="224"/>
        <v>0</v>
      </c>
      <c r="CG189" s="198">
        <f t="shared" si="225"/>
        <v>0</v>
      </c>
      <c r="CH189" s="198">
        <f t="shared" si="226"/>
        <v>0</v>
      </c>
      <c r="CI189" s="198">
        <f t="shared" si="227"/>
        <v>0</v>
      </c>
      <c r="CJ189" s="198">
        <f t="shared" si="228"/>
        <v>0</v>
      </c>
      <c r="CK189" s="198">
        <f t="shared" si="229"/>
        <v>0</v>
      </c>
      <c r="CL189" s="198">
        <f t="shared" si="230"/>
        <v>6.7400432900176119E-13</v>
      </c>
      <c r="CM189" s="271">
        <f t="shared" si="231"/>
        <v>0</v>
      </c>
      <c r="CN189" s="198">
        <f t="shared" si="232"/>
        <v>1.5496151142154582E-10</v>
      </c>
      <c r="CO189" s="209">
        <f t="shared" si="222"/>
        <v>1.5428750709254407E-10</v>
      </c>
    </row>
    <row r="190" spans="1:93" x14ac:dyDescent="0.2">
      <c r="B190" s="221">
        <f>'DATA INPUT - DETAIL'!D181</f>
        <v>0</v>
      </c>
      <c r="C190" s="211">
        <f>'DATA INPUT - DETAIL'!E181</f>
        <v>0</v>
      </c>
      <c r="D190" s="257">
        <f>'DATA INPUT - DETAIL'!I181</f>
        <v>0</v>
      </c>
      <c r="E190" s="258">
        <f>'DATA INPUT - DETAIL'!K181</f>
        <v>0</v>
      </c>
      <c r="F190" s="258">
        <f>'DATA INPUT - DETAIL'!L181</f>
        <v>0</v>
      </c>
      <c r="G190" s="179">
        <f>'DATA INPUT - DETAIL'!M181*(1+$V$5)</f>
        <v>0</v>
      </c>
      <c r="H190" s="179">
        <f>'DATA INPUT - DETAIL'!N181*(1+$V$5)</f>
        <v>0</v>
      </c>
      <c r="I190" s="258">
        <f t="shared" si="166"/>
        <v>0</v>
      </c>
      <c r="J190" s="258">
        <f>'DATA INPUT - DETAIL'!O181</f>
        <v>0</v>
      </c>
      <c r="K190" s="258">
        <f>'DATA INPUT - DETAIL'!P181</f>
        <v>0</v>
      </c>
      <c r="L190" s="267">
        <f>ROUNDDOWN('DATA INPUT - DETAIL'!G181,0)</f>
        <v>0</v>
      </c>
      <c r="M190" s="196">
        <f t="shared" si="233"/>
        <v>0</v>
      </c>
      <c r="N190" s="196">
        <f t="shared" si="167"/>
        <v>0</v>
      </c>
      <c r="O190" s="196">
        <f t="shared" si="168"/>
        <v>0</v>
      </c>
      <c r="P190" s="196">
        <f t="shared" si="169"/>
        <v>0</v>
      </c>
      <c r="Q190" s="196">
        <f t="shared" si="170"/>
        <v>0</v>
      </c>
      <c r="R190" s="196">
        <f t="shared" si="171"/>
        <v>0</v>
      </c>
      <c r="S190" s="196">
        <f t="shared" si="172"/>
        <v>0</v>
      </c>
      <c r="T190" s="196">
        <f t="shared" si="173"/>
        <v>0</v>
      </c>
      <c r="U190" s="185">
        <f>(C190&gt;0)*(C190&lt;$E$5)*VLOOKUP(MPP,ASUMSI!$BN$77:$CR$108,B190+1)*(1+$V$4)</f>
        <v>0</v>
      </c>
      <c r="V190" s="196">
        <f t="shared" si="174"/>
        <v>0</v>
      </c>
      <c r="W190" s="196">
        <f t="shared" si="175"/>
        <v>0</v>
      </c>
      <c r="X190" s="196">
        <f t="shared" si="176"/>
        <v>0</v>
      </c>
      <c r="Y190" s="196">
        <f t="shared" si="177"/>
        <v>0</v>
      </c>
      <c r="Z190" s="196">
        <f t="shared" si="178"/>
        <v>0</v>
      </c>
      <c r="AA190" s="185">
        <f t="shared" si="179"/>
        <v>0</v>
      </c>
      <c r="AB190" s="196">
        <f t="shared" si="180"/>
        <v>0</v>
      </c>
      <c r="AC190" s="196">
        <f t="shared" si="181"/>
        <v>0</v>
      </c>
      <c r="AD190" s="196">
        <f t="shared" si="182"/>
        <v>0</v>
      </c>
      <c r="AE190" s="196">
        <f t="shared" si="183"/>
        <v>0</v>
      </c>
      <c r="AF190" s="196">
        <f t="shared" si="184"/>
        <v>0</v>
      </c>
      <c r="AG190" s="196">
        <f t="shared" si="185"/>
        <v>0</v>
      </c>
      <c r="AH190" s="196">
        <f t="shared" si="186"/>
        <v>0</v>
      </c>
      <c r="AI190" s="266">
        <f>'DATA INPUT - DETAIL'!R181</f>
        <v>0</v>
      </c>
      <c r="AJ190" s="266">
        <f>'DATA INPUT - DETAIL'!S181</f>
        <v>0</v>
      </c>
      <c r="AK190" s="266">
        <f>'DATA INPUT - DETAIL'!T181</f>
        <v>0</v>
      </c>
      <c r="AL190" s="266">
        <f>'DATA INPUT - DETAIL'!U181</f>
        <v>0</v>
      </c>
      <c r="AM190" s="266">
        <f>'DATA INPUT - DETAIL'!V181</f>
        <v>0</v>
      </c>
      <c r="AN190" s="266">
        <f>'DATA INPUT - DETAIL'!W181</f>
        <v>0</v>
      </c>
      <c r="AO190" s="198">
        <f t="shared" si="187"/>
        <v>0</v>
      </c>
      <c r="AP190" s="266">
        <f>'DATA INPUT - DETAIL'!X181</f>
        <v>0</v>
      </c>
      <c r="AQ190" s="266">
        <f>'DATA INPUT - DETAIL'!Y181</f>
        <v>0</v>
      </c>
      <c r="AR190" s="266">
        <f>'DATA INPUT - DETAIL'!Z181</f>
        <v>0</v>
      </c>
      <c r="AS190" s="266">
        <f>'DATA INPUT - DETAIL'!AD181</f>
        <v>0</v>
      </c>
      <c r="AT190" s="266">
        <f t="shared" si="188"/>
        <v>0</v>
      </c>
      <c r="AU190" s="206">
        <f>'DATA INPUT - DETAIL'!AA181</f>
        <v>0</v>
      </c>
      <c r="AV190" s="206">
        <f>'DATA INPUT - DETAIL'!AB181</f>
        <v>0</v>
      </c>
      <c r="AW190" s="206">
        <f>'DATA INPUT - DETAIL'!AC181</f>
        <v>0</v>
      </c>
      <c r="AX190" s="206">
        <f t="shared" si="189"/>
        <v>0</v>
      </c>
      <c r="AY190" s="206">
        <f t="shared" si="190"/>
        <v>0</v>
      </c>
      <c r="AZ190" s="206">
        <f t="shared" si="191"/>
        <v>0</v>
      </c>
      <c r="BA190" s="206">
        <f t="shared" si="192"/>
        <v>0</v>
      </c>
      <c r="BB190" s="206">
        <f t="shared" si="193"/>
        <v>0</v>
      </c>
      <c r="BC190" s="206">
        <f t="shared" si="194"/>
        <v>0</v>
      </c>
      <c r="BD190" s="206">
        <f t="shared" si="195"/>
        <v>0</v>
      </c>
      <c r="BE190" s="206">
        <f t="shared" si="196"/>
        <v>0</v>
      </c>
      <c r="BF190" s="206">
        <f t="shared" si="197"/>
        <v>0</v>
      </c>
      <c r="BG190" s="206">
        <f t="shared" si="198"/>
        <v>0</v>
      </c>
      <c r="BH190" s="206">
        <f t="shared" si="199"/>
        <v>0</v>
      </c>
      <c r="BI190" s="206">
        <f t="shared" si="200"/>
        <v>0</v>
      </c>
      <c r="BJ190" s="266">
        <f t="shared" si="201"/>
        <v>0</v>
      </c>
      <c r="BK190" s="266">
        <f t="shared" si="202"/>
        <v>0</v>
      </c>
      <c r="BL190" s="192">
        <f t="shared" si="203"/>
        <v>0</v>
      </c>
      <c r="BM190" s="192">
        <f t="shared" si="204"/>
        <v>0</v>
      </c>
      <c r="BN190" s="192">
        <f t="shared" si="205"/>
        <v>0</v>
      </c>
      <c r="BO190" s="192">
        <f t="shared" si="206"/>
        <v>0</v>
      </c>
      <c r="BP190" s="192">
        <f t="shared" si="207"/>
        <v>0</v>
      </c>
      <c r="BQ190" s="193">
        <f t="shared" si="208"/>
        <v>0</v>
      </c>
      <c r="BR190" s="193">
        <f t="shared" si="209"/>
        <v>0</v>
      </c>
      <c r="BS190" s="265">
        <f t="shared" si="210"/>
        <v>0</v>
      </c>
      <c r="BT190" s="265">
        <f t="shared" si="211"/>
        <v>0</v>
      </c>
      <c r="BU190" s="265">
        <f t="shared" si="212"/>
        <v>0</v>
      </c>
      <c r="BV190" s="265">
        <f t="shared" si="213"/>
        <v>0</v>
      </c>
      <c r="BW190" s="265">
        <f t="shared" si="214"/>
        <v>0</v>
      </c>
      <c r="BX190" s="265">
        <f t="shared" si="215"/>
        <v>0</v>
      </c>
      <c r="BY190" s="265">
        <f t="shared" si="216"/>
        <v>0</v>
      </c>
      <c r="BZ190" s="265">
        <f t="shared" si="217"/>
        <v>0</v>
      </c>
      <c r="CA190" s="265">
        <f t="shared" si="218"/>
        <v>0</v>
      </c>
      <c r="CB190" s="269">
        <f t="shared" si="219"/>
        <v>0</v>
      </c>
      <c r="CC190" s="266">
        <f t="shared" si="220"/>
        <v>0</v>
      </c>
      <c r="CD190" s="241"/>
      <c r="CE190" s="198">
        <f t="shared" si="221"/>
        <v>1.5496151142154582E-10</v>
      </c>
      <c r="CF190" s="198">
        <f t="shared" si="224"/>
        <v>0</v>
      </c>
      <c r="CG190" s="198">
        <f t="shared" si="225"/>
        <v>0</v>
      </c>
      <c r="CH190" s="198">
        <f t="shared" si="226"/>
        <v>0</v>
      </c>
      <c r="CI190" s="198">
        <f t="shared" si="227"/>
        <v>0</v>
      </c>
      <c r="CJ190" s="198">
        <f t="shared" si="228"/>
        <v>0</v>
      </c>
      <c r="CK190" s="198">
        <f t="shared" si="229"/>
        <v>0</v>
      </c>
      <c r="CL190" s="198">
        <f t="shared" si="230"/>
        <v>6.7694871409212772E-13</v>
      </c>
      <c r="CM190" s="271">
        <f t="shared" si="231"/>
        <v>0</v>
      </c>
      <c r="CN190" s="198">
        <f t="shared" si="232"/>
        <v>1.5563846013563796E-10</v>
      </c>
      <c r="CO190" s="209">
        <f t="shared" si="222"/>
        <v>1.5496151142154582E-10</v>
      </c>
    </row>
    <row r="191" spans="1:93" x14ac:dyDescent="0.2">
      <c r="B191" s="221">
        <f>'DATA INPUT - DETAIL'!D182</f>
        <v>0</v>
      </c>
      <c r="C191" s="211">
        <f>'DATA INPUT - DETAIL'!E182</f>
        <v>0</v>
      </c>
      <c r="D191" s="257">
        <f>'DATA INPUT - DETAIL'!I182</f>
        <v>0</v>
      </c>
      <c r="E191" s="258">
        <f>'DATA INPUT - DETAIL'!K182</f>
        <v>0</v>
      </c>
      <c r="F191" s="258">
        <f>'DATA INPUT - DETAIL'!L182</f>
        <v>0</v>
      </c>
      <c r="G191" s="179">
        <f>'DATA INPUT - DETAIL'!M182*(1+$V$5)</f>
        <v>0</v>
      </c>
      <c r="H191" s="179">
        <f>'DATA INPUT - DETAIL'!N182*(1+$V$5)</f>
        <v>0</v>
      </c>
      <c r="I191" s="258">
        <f t="shared" si="166"/>
        <v>0</v>
      </c>
      <c r="J191" s="258">
        <f>'DATA INPUT - DETAIL'!O182</f>
        <v>0</v>
      </c>
      <c r="K191" s="258">
        <f>'DATA INPUT - DETAIL'!P182</f>
        <v>0</v>
      </c>
      <c r="L191" s="267">
        <f>ROUNDDOWN('DATA INPUT - DETAIL'!G182,0)</f>
        <v>0</v>
      </c>
      <c r="M191" s="196">
        <f t="shared" si="233"/>
        <v>0</v>
      </c>
      <c r="N191" s="196">
        <f t="shared" si="167"/>
        <v>0</v>
      </c>
      <c r="O191" s="196">
        <f t="shared" si="168"/>
        <v>0</v>
      </c>
      <c r="P191" s="196">
        <f t="shared" si="169"/>
        <v>0</v>
      </c>
      <c r="Q191" s="196">
        <f t="shared" si="170"/>
        <v>0</v>
      </c>
      <c r="R191" s="196">
        <f t="shared" si="171"/>
        <v>0</v>
      </c>
      <c r="S191" s="196">
        <f t="shared" si="172"/>
        <v>0</v>
      </c>
      <c r="T191" s="196">
        <f t="shared" si="173"/>
        <v>0</v>
      </c>
      <c r="U191" s="185">
        <f>(C191&gt;0)*(C191&lt;$E$5)*VLOOKUP(MPP,ASUMSI!$BN$77:$CR$108,B191+1)*(1+$V$4)</f>
        <v>0</v>
      </c>
      <c r="V191" s="196">
        <f t="shared" si="174"/>
        <v>0</v>
      </c>
      <c r="W191" s="196">
        <f t="shared" si="175"/>
        <v>0</v>
      </c>
      <c r="X191" s="196">
        <f t="shared" si="176"/>
        <v>0</v>
      </c>
      <c r="Y191" s="196">
        <f t="shared" si="177"/>
        <v>0</v>
      </c>
      <c r="Z191" s="196">
        <f t="shared" si="178"/>
        <v>0</v>
      </c>
      <c r="AA191" s="185">
        <f t="shared" si="179"/>
        <v>0</v>
      </c>
      <c r="AB191" s="196">
        <f t="shared" si="180"/>
        <v>0</v>
      </c>
      <c r="AC191" s="196">
        <f t="shared" si="181"/>
        <v>0</v>
      </c>
      <c r="AD191" s="196">
        <f t="shared" si="182"/>
        <v>0</v>
      </c>
      <c r="AE191" s="196">
        <f t="shared" si="183"/>
        <v>0</v>
      </c>
      <c r="AF191" s="196">
        <f t="shared" si="184"/>
        <v>0</v>
      </c>
      <c r="AG191" s="196">
        <f t="shared" si="185"/>
        <v>0</v>
      </c>
      <c r="AH191" s="196">
        <f t="shared" si="186"/>
        <v>0</v>
      </c>
      <c r="AI191" s="266">
        <f>'DATA INPUT - DETAIL'!R182</f>
        <v>0</v>
      </c>
      <c r="AJ191" s="266">
        <f>'DATA INPUT - DETAIL'!S182</f>
        <v>0</v>
      </c>
      <c r="AK191" s="266">
        <f>'DATA INPUT - DETAIL'!T182</f>
        <v>0</v>
      </c>
      <c r="AL191" s="266">
        <f>'DATA INPUT - DETAIL'!U182</f>
        <v>0</v>
      </c>
      <c r="AM191" s="266">
        <f>'DATA INPUT - DETAIL'!V182</f>
        <v>0</v>
      </c>
      <c r="AN191" s="266">
        <f>'DATA INPUT - DETAIL'!W182</f>
        <v>0</v>
      </c>
      <c r="AO191" s="198">
        <f t="shared" si="187"/>
        <v>0</v>
      </c>
      <c r="AP191" s="266">
        <f>'DATA INPUT - DETAIL'!X182</f>
        <v>0</v>
      </c>
      <c r="AQ191" s="266">
        <f>'DATA INPUT - DETAIL'!Y182</f>
        <v>0</v>
      </c>
      <c r="AR191" s="266">
        <f>'DATA INPUT - DETAIL'!Z182</f>
        <v>0</v>
      </c>
      <c r="AS191" s="266">
        <f>'DATA INPUT - DETAIL'!AD182</f>
        <v>0</v>
      </c>
      <c r="AT191" s="266">
        <f t="shared" si="188"/>
        <v>0</v>
      </c>
      <c r="AU191" s="206">
        <f>'DATA INPUT - DETAIL'!AA182</f>
        <v>0</v>
      </c>
      <c r="AV191" s="206">
        <f>'DATA INPUT - DETAIL'!AB182</f>
        <v>0</v>
      </c>
      <c r="AW191" s="206">
        <f>'DATA INPUT - DETAIL'!AC182</f>
        <v>0</v>
      </c>
      <c r="AX191" s="206">
        <f t="shared" si="189"/>
        <v>0</v>
      </c>
      <c r="AY191" s="206">
        <f t="shared" si="190"/>
        <v>0</v>
      </c>
      <c r="AZ191" s="206">
        <f t="shared" si="191"/>
        <v>0</v>
      </c>
      <c r="BA191" s="206">
        <f t="shared" si="192"/>
        <v>0</v>
      </c>
      <c r="BB191" s="206">
        <f t="shared" si="193"/>
        <v>0</v>
      </c>
      <c r="BC191" s="206">
        <f t="shared" si="194"/>
        <v>0</v>
      </c>
      <c r="BD191" s="206">
        <f t="shared" si="195"/>
        <v>0</v>
      </c>
      <c r="BE191" s="206">
        <f t="shared" si="196"/>
        <v>0</v>
      </c>
      <c r="BF191" s="206">
        <f t="shared" si="197"/>
        <v>0</v>
      </c>
      <c r="BG191" s="206">
        <f t="shared" si="198"/>
        <v>0</v>
      </c>
      <c r="BH191" s="206">
        <f t="shared" si="199"/>
        <v>0</v>
      </c>
      <c r="BI191" s="206">
        <f t="shared" si="200"/>
        <v>0</v>
      </c>
      <c r="BJ191" s="266">
        <f t="shared" si="201"/>
        <v>0</v>
      </c>
      <c r="BK191" s="266">
        <f t="shared" si="202"/>
        <v>0</v>
      </c>
      <c r="BL191" s="192">
        <f t="shared" si="203"/>
        <v>0</v>
      </c>
      <c r="BM191" s="192">
        <f t="shared" si="204"/>
        <v>0</v>
      </c>
      <c r="BN191" s="192">
        <f t="shared" si="205"/>
        <v>0</v>
      </c>
      <c r="BO191" s="192">
        <f t="shared" si="206"/>
        <v>0</v>
      </c>
      <c r="BP191" s="192">
        <f t="shared" si="207"/>
        <v>0</v>
      </c>
      <c r="BQ191" s="193">
        <f t="shared" si="208"/>
        <v>0</v>
      </c>
      <c r="BR191" s="193">
        <f t="shared" si="209"/>
        <v>0</v>
      </c>
      <c r="BS191" s="265">
        <f t="shared" si="210"/>
        <v>0</v>
      </c>
      <c r="BT191" s="265">
        <f t="shared" si="211"/>
        <v>0</v>
      </c>
      <c r="BU191" s="265">
        <f t="shared" si="212"/>
        <v>0</v>
      </c>
      <c r="BV191" s="265">
        <f t="shared" si="213"/>
        <v>0</v>
      </c>
      <c r="BW191" s="265">
        <f t="shared" si="214"/>
        <v>0</v>
      </c>
      <c r="BX191" s="265">
        <f t="shared" si="215"/>
        <v>0</v>
      </c>
      <c r="BY191" s="265">
        <f t="shared" si="216"/>
        <v>0</v>
      </c>
      <c r="BZ191" s="265">
        <f t="shared" si="217"/>
        <v>0</v>
      </c>
      <c r="CA191" s="265">
        <f t="shared" si="218"/>
        <v>0</v>
      </c>
      <c r="CB191" s="269">
        <f t="shared" si="219"/>
        <v>0</v>
      </c>
      <c r="CC191" s="266">
        <f t="shared" si="220"/>
        <v>0</v>
      </c>
      <c r="CD191" s="241"/>
      <c r="CE191" s="198">
        <f t="shared" si="221"/>
        <v>1.5563846013563796E-10</v>
      </c>
      <c r="CF191" s="198">
        <f t="shared" si="224"/>
        <v>0</v>
      </c>
      <c r="CG191" s="198">
        <f t="shared" si="225"/>
        <v>0</v>
      </c>
      <c r="CH191" s="198">
        <f t="shared" si="226"/>
        <v>0</v>
      </c>
      <c r="CI191" s="198">
        <f t="shared" si="227"/>
        <v>0</v>
      </c>
      <c r="CJ191" s="198">
        <f t="shared" si="228"/>
        <v>0</v>
      </c>
      <c r="CK191" s="198">
        <f t="shared" si="229"/>
        <v>0</v>
      </c>
      <c r="CL191" s="198">
        <f t="shared" si="230"/>
        <v>6.7990596171643859E-13</v>
      </c>
      <c r="CM191" s="271">
        <f t="shared" si="231"/>
        <v>0</v>
      </c>
      <c r="CN191" s="198">
        <f t="shared" si="232"/>
        <v>1.5631836609735439E-10</v>
      </c>
      <c r="CO191" s="209">
        <f t="shared" si="222"/>
        <v>1.5563846013563796E-10</v>
      </c>
    </row>
    <row r="192" spans="1:93" x14ac:dyDescent="0.2">
      <c r="A192" s="208">
        <v>1</v>
      </c>
      <c r="B192" s="221">
        <f>'DATA INPUT - DETAIL'!D183</f>
        <v>0</v>
      </c>
      <c r="C192" s="211">
        <f>'DATA INPUT - DETAIL'!E183</f>
        <v>0</v>
      </c>
      <c r="D192" s="257">
        <f>'DATA INPUT - DETAIL'!I183</f>
        <v>0</v>
      </c>
      <c r="E192" s="258">
        <f>'DATA INPUT - DETAIL'!K183</f>
        <v>0</v>
      </c>
      <c r="F192" s="258">
        <f>'DATA INPUT - DETAIL'!L183</f>
        <v>0</v>
      </c>
      <c r="G192" s="179">
        <f>'DATA INPUT - DETAIL'!M183*(1+$V$5)</f>
        <v>0</v>
      </c>
      <c r="H192" s="179">
        <f>'DATA INPUT - DETAIL'!N183*(1+$V$5)</f>
        <v>0</v>
      </c>
      <c r="I192" s="258">
        <f t="shared" ref="I192" si="234">H192*(1+$M$5)^C192</f>
        <v>0</v>
      </c>
      <c r="J192" s="258">
        <f>'DATA INPUT - DETAIL'!O183</f>
        <v>0</v>
      </c>
      <c r="K192" s="258">
        <f>'DATA INPUT - DETAIL'!P183</f>
        <v>0</v>
      </c>
      <c r="L192" s="267">
        <f>ROUNDDOWN('DATA INPUT - DETAIL'!G183,0)</f>
        <v>0</v>
      </c>
      <c r="M192" s="196">
        <f t="shared" si="233"/>
        <v>0</v>
      </c>
      <c r="N192" s="196">
        <f t="shared" ref="N192" si="235">IF($AJ$7=0,0,IF(AND(C192&lt;=$E$5-1,C192&lt;&gt;0), VLOOKUP(L192,Mortality,7,FALSE)*(1+$V$3), 0))</f>
        <v>0</v>
      </c>
      <c r="O192" s="196">
        <f t="shared" ref="O192" si="236">IF($AK$7=0,0,IF(AND(C192&lt;=$E$5-1,C192&lt;&gt;0), VLOOKUP(L192,Mortality,9,FALSE)*(1+$V$3), 0))</f>
        <v>0</v>
      </c>
      <c r="P192" s="196">
        <f t="shared" ref="P192" si="237">IF($AL$7=0,0,IF(AND(C192&lt;=$E$5-1,C192&lt;&gt;0), VLOOKUP(L192,Mortality,11,FALSE)*(1+$V$3), 0))</f>
        <v>0</v>
      </c>
      <c r="Q192" s="196">
        <f t="shared" ref="Q192" si="238">IF($AM$7=0,0,IF(AND(C192&lt;=$E$5-1,C192&lt;&gt;0), VLOOKUP(L192,Mortality,13,FALSE)*(1+$V$3), 0))</f>
        <v>0</v>
      </c>
      <c r="R192" s="196">
        <f t="shared" ref="R192" si="239">IF($AP$7=0,0,IF(AND(C192&lt;=$E$5-1,C192&lt;&gt;0), VLOOKUP(L192,Mortality,15,FALSE)*(1+$V$3), 0))</f>
        <v>0</v>
      </c>
      <c r="S192" s="196">
        <f t="shared" ref="S192" si="240">IF($AQ$7=0,0,IF(AND(C192&lt;=$E$5-1,C192&lt;&gt;0), VLOOKUP(L192,Mortality,17,FALSE)*(1+$V$3), 0))</f>
        <v>0</v>
      </c>
      <c r="T192" s="196">
        <f t="shared" ref="T192" si="241">IF($AR$7=0,0,IF(AND(C192&lt;=$E$5-1,C192&lt;&gt;0), VLOOKUP(L192,Mortality,19,FALSE)*(1+$V$3), 0))</f>
        <v>0</v>
      </c>
      <c r="U192" s="185">
        <f>(C192&gt;0)*(C192&lt;$E$5)*VLOOKUP(MPP,ASUMSI!$BN$77:$CR$108,B192+1)*(1+$V$4)</f>
        <v>0</v>
      </c>
      <c r="V192" s="196">
        <f t="shared" ref="V192" si="242">IF(C192=$E$5,1,0)</f>
        <v>0</v>
      </c>
      <c r="W192" s="196">
        <f t="shared" ref="W192" si="243">AA191</f>
        <v>0</v>
      </c>
      <c r="X192" s="196">
        <f t="shared" ref="X192" si="244">M192*$AA191</f>
        <v>0</v>
      </c>
      <c r="Y192" s="196">
        <f t="shared" ref="Y192" si="245">U192*AA191</f>
        <v>0</v>
      </c>
      <c r="Z192" s="196">
        <f t="shared" ref="Z192" si="246">V192*AA191</f>
        <v>0</v>
      </c>
      <c r="AA192" s="185">
        <f t="shared" ref="AA192" si="247">IF(C192=0,0,W192-SUM(X192:Z192))</f>
        <v>0</v>
      </c>
      <c r="AB192" s="196">
        <f t="shared" ref="AB192" si="248">N192*$AA191</f>
        <v>0</v>
      </c>
      <c r="AC192" s="196">
        <f t="shared" ref="AC192" si="249">O192*$AA191</f>
        <v>0</v>
      </c>
      <c r="AD192" s="196">
        <f t="shared" ref="AD192" si="250">P192*$AA191</f>
        <v>0</v>
      </c>
      <c r="AE192" s="196">
        <f t="shared" ref="AE192" si="251">Q192*$AA191</f>
        <v>0</v>
      </c>
      <c r="AF192" s="196">
        <f t="shared" ref="AF192" si="252">R192*$AA191</f>
        <v>0</v>
      </c>
      <c r="AG192" s="196">
        <f t="shared" ref="AG192" si="253">S192*$AA191</f>
        <v>0</v>
      </c>
      <c r="AH192" s="196">
        <f t="shared" ref="AH192" si="254">T192*$AA191</f>
        <v>0</v>
      </c>
      <c r="AI192" s="266">
        <f>'DATA INPUT - DETAIL'!R183</f>
        <v>0</v>
      </c>
      <c r="AJ192" s="266">
        <f>'DATA INPUT - DETAIL'!S183</f>
        <v>0</v>
      </c>
      <c r="AK192" s="266">
        <f>'DATA INPUT - DETAIL'!T183</f>
        <v>0</v>
      </c>
      <c r="AL192" s="266">
        <f>'DATA INPUT - DETAIL'!U183</f>
        <v>0</v>
      </c>
      <c r="AM192" s="266">
        <f>'DATA INPUT - DETAIL'!V183</f>
        <v>0</v>
      </c>
      <c r="AN192" s="266">
        <f>'DATA INPUT - DETAIL'!W183</f>
        <v>0</v>
      </c>
      <c r="AO192" s="198">
        <f t="shared" ref="AO192" si="255">AN192+AO193/(1+$BS$5)</f>
        <v>0</v>
      </c>
      <c r="AP192" s="266">
        <f>'DATA INPUT - DETAIL'!X183</f>
        <v>0</v>
      </c>
      <c r="AQ192" s="266">
        <f>'DATA INPUT - DETAIL'!Y183</f>
        <v>0</v>
      </c>
      <c r="AR192" s="266">
        <f>'DATA INPUT - DETAIL'!Z183</f>
        <v>0</v>
      </c>
      <c r="AS192" s="266">
        <f>'DATA INPUT - DETAIL'!AD183</f>
        <v>0</v>
      </c>
      <c r="AT192" s="266">
        <f t="shared" ref="AT192" si="256">AS192+AT193*(1+$AS$4)</f>
        <v>0</v>
      </c>
      <c r="AU192" s="206">
        <f>'DATA INPUT - DETAIL'!AA183</f>
        <v>0</v>
      </c>
      <c r="AV192" s="206">
        <f>'DATA INPUT - DETAIL'!AB183</f>
        <v>0</v>
      </c>
      <c r="AW192" s="206">
        <f>'DATA INPUT - DETAIL'!AC183</f>
        <v>0</v>
      </c>
      <c r="AX192" s="206">
        <f t="shared" ref="AX192" si="257">IF(AI192=0,0,(AI192+AT192)*X192)</f>
        <v>0</v>
      </c>
      <c r="AY192" s="206">
        <f t="shared" ref="AY192" si="258">IF(AJ192=0,0,AJ192*AB192)</f>
        <v>0</v>
      </c>
      <c r="AZ192" s="206">
        <f t="shared" ref="AZ192" si="259">AK192*AC192</f>
        <v>0</v>
      </c>
      <c r="BA192" s="206">
        <f t="shared" ref="BA192" si="260">AL192*AD192</f>
        <v>0</v>
      </c>
      <c r="BB192" s="206">
        <f t="shared" ref="BB192" si="261">AM192*AE192</f>
        <v>0</v>
      </c>
      <c r="BC192" s="206">
        <f t="shared" ref="BC192" si="262">AO192*X192</f>
        <v>0</v>
      </c>
      <c r="BD192" s="206">
        <f t="shared" ref="BD192" si="263">AP192*AF192</f>
        <v>0</v>
      </c>
      <c r="BE192" s="206">
        <f t="shared" ref="BE192" si="264">AQ192*AG192</f>
        <v>0</v>
      </c>
      <c r="BF192" s="206">
        <f t="shared" ref="BF192" si="265">AR192*AH192</f>
        <v>0</v>
      </c>
      <c r="BG192" s="206">
        <f t="shared" ref="BG192" si="266">(AU192+AT192)*Y192</f>
        <v>0</v>
      </c>
      <c r="BH192" s="206">
        <f t="shared" ref="BH192" si="267">AV192*AA192</f>
        <v>0</v>
      </c>
      <c r="BI192" s="206">
        <f t="shared" ref="BI192" si="268">(AW192+AT192)*Z192</f>
        <v>0</v>
      </c>
      <c r="BJ192" s="266">
        <f t="shared" ref="BJ192" si="269">SUM(AX192:BF192)+SUM(BH192:BI192)</f>
        <v>0</v>
      </c>
      <c r="BK192" s="266">
        <f t="shared" ref="BK192" si="270">BG192</f>
        <v>0</v>
      </c>
      <c r="BL192" s="192">
        <f t="shared" ref="BL192" si="271">E192*$W192</f>
        <v>0</v>
      </c>
      <c r="BM192" s="192">
        <f t="shared" ref="BM192" si="272">F192*$W192</f>
        <v>0</v>
      </c>
      <c r="BN192" s="192">
        <f t="shared" ref="BN192" si="273">G192*$W192</f>
        <v>0</v>
      </c>
      <c r="BO192" s="192">
        <f t="shared" ref="BO192" si="274">I192*$W192</f>
        <v>0</v>
      </c>
      <c r="BP192" s="192">
        <f t="shared" ref="BP192" si="275">SUM(BN192:BO192)</f>
        <v>0</v>
      </c>
      <c r="BQ192" s="193">
        <f t="shared" ref="BQ192" si="276">(SUM(E192:G192)+I192)*W192</f>
        <v>0</v>
      </c>
      <c r="BR192" s="193">
        <f t="shared" ref="BR192" si="277">D192*W192</f>
        <v>0</v>
      </c>
      <c r="BS192" s="265">
        <f t="shared" ref="BS192" si="278">(BJ192+BS193)/(1+$BS$5)</f>
        <v>0</v>
      </c>
      <c r="BT192" s="265">
        <f t="shared" ref="BT192" si="279">(BK192+BT193)/(1+$BS$5)</f>
        <v>0</v>
      </c>
      <c r="BU192" s="265">
        <f t="shared" ref="BU192" si="280">BL192+BU193/(1+$BS$5)</f>
        <v>0</v>
      </c>
      <c r="BV192" s="265">
        <f t="shared" ref="BV192" si="281">BM192+BV193/(1+$BS$5)</f>
        <v>0</v>
      </c>
      <c r="BW192" s="265">
        <f t="shared" ref="BW192" si="282">BN192+BW193/(1+$BS$5)</f>
        <v>0</v>
      </c>
      <c r="BX192" s="265">
        <f t="shared" ref="BX192" si="283">BO192+BX193/(1+$BS$5)</f>
        <v>0</v>
      </c>
      <c r="BY192" s="265">
        <f t="shared" ref="BY192" si="284">BP192+BY193/(1+$BS$5)</f>
        <v>0</v>
      </c>
      <c r="BZ192" s="265">
        <f t="shared" ref="BZ192" si="285">BQ192+BZ193/(1+$BS$5)</f>
        <v>0</v>
      </c>
      <c r="CA192" s="265">
        <f t="shared" ref="CA192" si="286">BR192+CA193/(1+$BS$5)</f>
        <v>0</v>
      </c>
      <c r="CB192" s="269">
        <f t="shared" ref="CB192" si="287">BS192+BT192+BZ192-CA192</f>
        <v>0</v>
      </c>
      <c r="CC192" s="266">
        <f t="shared" ref="CC192" si="288">IF(AND(C192=0,C193=0),0,CB192/W192)</f>
        <v>0</v>
      </c>
      <c r="CD192" s="241"/>
      <c r="CE192" s="198">
        <f t="shared" ref="CE192" si="289">CN191</f>
        <v>1.5631836609735439E-10</v>
      </c>
      <c r="CF192" s="198">
        <f t="shared" si="224"/>
        <v>0</v>
      </c>
      <c r="CG192" s="198">
        <f t="shared" si="225"/>
        <v>0</v>
      </c>
      <c r="CH192" s="198">
        <f t="shared" si="226"/>
        <v>0</v>
      </c>
      <c r="CI192" s="198">
        <f t="shared" si="227"/>
        <v>0</v>
      </c>
      <c r="CJ192" s="198">
        <f t="shared" si="228"/>
        <v>0</v>
      </c>
      <c r="CK192" s="198">
        <f t="shared" si="229"/>
        <v>0</v>
      </c>
      <c r="CL192" s="198">
        <f t="shared" si="230"/>
        <v>6.8287612806461935E-13</v>
      </c>
      <c r="CM192" s="271">
        <f t="shared" si="231"/>
        <v>0</v>
      </c>
      <c r="CN192" s="198">
        <f t="shared" si="232"/>
        <v>1.57001242225419E-10</v>
      </c>
      <c r="CO192" s="209">
        <f t="shared" ref="CO192" si="290">CE192-CC192</f>
        <v>1.5631836609735439E-10</v>
      </c>
    </row>
    <row r="193" spans="10:11" x14ac:dyDescent="0.2">
      <c r="J193" s="208"/>
      <c r="K193" s="208"/>
    </row>
    <row r="194" spans="10:11" x14ac:dyDescent="0.2">
      <c r="J194" s="208"/>
      <c r="K194" s="208"/>
    </row>
    <row r="195" spans="10:11" x14ac:dyDescent="0.2">
      <c r="J195" s="208"/>
      <c r="K195" s="208"/>
    </row>
    <row r="196" spans="10:11" x14ac:dyDescent="0.2">
      <c r="J196" s="208"/>
      <c r="K196" s="208"/>
    </row>
    <row r="197" spans="10:11" x14ac:dyDescent="0.2">
      <c r="J197" s="208"/>
      <c r="K197" s="208"/>
    </row>
    <row r="198" spans="10:11" x14ac:dyDescent="0.2">
      <c r="J198" s="208"/>
      <c r="K198" s="208"/>
    </row>
    <row r="199" spans="10:11" x14ac:dyDescent="0.2">
      <c r="J199" s="208"/>
      <c r="K199" s="208"/>
    </row>
    <row r="200" spans="10:11" x14ac:dyDescent="0.2">
      <c r="J200" s="208"/>
      <c r="K200" s="208"/>
    </row>
    <row r="201" spans="10:11" x14ac:dyDescent="0.2">
      <c r="J201" s="208"/>
      <c r="K201" s="208"/>
    </row>
    <row r="202" spans="10:11" x14ac:dyDescent="0.2">
      <c r="J202" s="208"/>
      <c r="K202" s="208"/>
    </row>
    <row r="203" spans="10:11" x14ac:dyDescent="0.2">
      <c r="J203" s="208"/>
      <c r="K203" s="208"/>
    </row>
    <row r="204" spans="10:11" x14ac:dyDescent="0.2">
      <c r="J204" s="208"/>
      <c r="K204" s="208"/>
    </row>
    <row r="205" spans="10:11" x14ac:dyDescent="0.2">
      <c r="J205" s="208"/>
      <c r="K205" s="208"/>
    </row>
    <row r="206" spans="10:11" x14ac:dyDescent="0.2">
      <c r="J206" s="208"/>
      <c r="K206" s="208"/>
    </row>
    <row r="207" spans="10:11" x14ac:dyDescent="0.2">
      <c r="J207" s="208"/>
      <c r="K207" s="208"/>
    </row>
    <row r="208" spans="10:11" x14ac:dyDescent="0.2">
      <c r="J208" s="208"/>
      <c r="K208" s="208"/>
    </row>
    <row r="209" spans="10:11" x14ac:dyDescent="0.2">
      <c r="J209" s="208"/>
      <c r="K209" s="208"/>
    </row>
    <row r="210" spans="10:11" x14ac:dyDescent="0.2">
      <c r="J210" s="208"/>
      <c r="K210" s="208"/>
    </row>
    <row r="211" spans="10:11" x14ac:dyDescent="0.2">
      <c r="J211" s="208"/>
      <c r="K211" s="208"/>
    </row>
    <row r="212" spans="10:11" x14ac:dyDescent="0.2">
      <c r="J212" s="208"/>
      <c r="K212" s="208"/>
    </row>
    <row r="213" spans="10:11" x14ac:dyDescent="0.2">
      <c r="J213" s="208"/>
      <c r="K213" s="208"/>
    </row>
    <row r="214" spans="10:11" x14ac:dyDescent="0.2">
      <c r="J214" s="208"/>
      <c r="K214" s="208"/>
    </row>
    <row r="215" spans="10:11" x14ac:dyDescent="0.2">
      <c r="J215" s="208"/>
      <c r="K215" s="208"/>
    </row>
    <row r="216" spans="10:11" x14ac:dyDescent="0.2">
      <c r="J216" s="208"/>
      <c r="K216" s="208"/>
    </row>
    <row r="217" spans="10:11" x14ac:dyDescent="0.2">
      <c r="J217" s="208"/>
      <c r="K217" s="208"/>
    </row>
    <row r="218" spans="10:11" x14ac:dyDescent="0.2">
      <c r="J218" s="208"/>
      <c r="K218" s="208"/>
    </row>
    <row r="219" spans="10:11" x14ac:dyDescent="0.2">
      <c r="J219" s="208"/>
      <c r="K219" s="208"/>
    </row>
    <row r="220" spans="10:11" x14ac:dyDescent="0.2">
      <c r="J220" s="208"/>
      <c r="K220" s="208"/>
    </row>
    <row r="221" spans="10:11" x14ac:dyDescent="0.2">
      <c r="J221" s="208"/>
      <c r="K221" s="208"/>
    </row>
    <row r="222" spans="10:11" x14ac:dyDescent="0.2">
      <c r="J222" s="208"/>
      <c r="K222" s="208"/>
    </row>
    <row r="223" spans="10:11" x14ac:dyDescent="0.2">
      <c r="J223" s="208"/>
      <c r="K223" s="208"/>
    </row>
    <row r="224" spans="10:11" x14ac:dyDescent="0.2">
      <c r="J224" s="208"/>
      <c r="K224" s="208"/>
    </row>
    <row r="225" spans="10:11" x14ac:dyDescent="0.2">
      <c r="J225" s="208"/>
      <c r="K225" s="208"/>
    </row>
    <row r="226" spans="10:11" x14ac:dyDescent="0.2">
      <c r="J226" s="208"/>
      <c r="K226" s="208"/>
    </row>
    <row r="227" spans="10:11" x14ac:dyDescent="0.2">
      <c r="J227" s="208"/>
      <c r="K227" s="208"/>
    </row>
    <row r="228" spans="10:11" x14ac:dyDescent="0.2">
      <c r="J228" s="208"/>
      <c r="K228" s="208"/>
    </row>
    <row r="229" spans="10:11" x14ac:dyDescent="0.2">
      <c r="J229" s="208"/>
      <c r="K229" s="208"/>
    </row>
    <row r="230" spans="10:11" x14ac:dyDescent="0.2">
      <c r="J230" s="208"/>
      <c r="K230" s="208"/>
    </row>
    <row r="231" spans="10:11" x14ac:dyDescent="0.2">
      <c r="J231" s="208"/>
      <c r="K231" s="208"/>
    </row>
    <row r="232" spans="10:11" x14ac:dyDescent="0.2">
      <c r="J232" s="208"/>
      <c r="K232" s="208"/>
    </row>
    <row r="233" spans="10:11" x14ac:dyDescent="0.2">
      <c r="J233" s="208"/>
      <c r="K233" s="208"/>
    </row>
    <row r="234" spans="10:11" x14ac:dyDescent="0.2">
      <c r="J234" s="208"/>
      <c r="K234" s="208"/>
    </row>
    <row r="235" spans="10:11" x14ac:dyDescent="0.2">
      <c r="J235" s="208"/>
      <c r="K235" s="208"/>
    </row>
    <row r="236" spans="10:11" x14ac:dyDescent="0.2">
      <c r="J236" s="208"/>
      <c r="K236" s="208"/>
    </row>
    <row r="237" spans="10:11" x14ac:dyDescent="0.2">
      <c r="J237" s="208"/>
      <c r="K237" s="208"/>
    </row>
    <row r="238" spans="10:11" x14ac:dyDescent="0.2">
      <c r="J238" s="208"/>
      <c r="K238" s="208"/>
    </row>
    <row r="239" spans="10:11" x14ac:dyDescent="0.2">
      <c r="J239" s="208"/>
      <c r="K239" s="208"/>
    </row>
    <row r="240" spans="10:11" x14ac:dyDescent="0.2">
      <c r="J240" s="208"/>
      <c r="K240" s="208"/>
    </row>
    <row r="241" spans="10:11" x14ac:dyDescent="0.2">
      <c r="J241" s="208"/>
      <c r="K241" s="208"/>
    </row>
    <row r="242" spans="10:11" x14ac:dyDescent="0.2">
      <c r="J242" s="208"/>
      <c r="K242" s="208"/>
    </row>
    <row r="243" spans="10:11" x14ac:dyDescent="0.2">
      <c r="J243" s="208"/>
      <c r="K243" s="208"/>
    </row>
    <row r="244" spans="10:11" x14ac:dyDescent="0.2">
      <c r="J244" s="208"/>
      <c r="K244" s="208"/>
    </row>
    <row r="245" spans="10:11" x14ac:dyDescent="0.2">
      <c r="J245" s="208"/>
      <c r="K245" s="208"/>
    </row>
    <row r="246" spans="10:11" x14ac:dyDescent="0.2">
      <c r="J246" s="208"/>
      <c r="K246" s="208"/>
    </row>
    <row r="247" spans="10:11" x14ac:dyDescent="0.2">
      <c r="J247" s="208"/>
      <c r="K247" s="208"/>
    </row>
    <row r="248" spans="10:11" x14ac:dyDescent="0.2">
      <c r="J248" s="208"/>
      <c r="K248" s="208"/>
    </row>
    <row r="249" spans="10:11" x14ac:dyDescent="0.2">
      <c r="J249" s="208"/>
      <c r="K249" s="208"/>
    </row>
    <row r="250" spans="10:11" x14ac:dyDescent="0.2">
      <c r="J250" s="208"/>
      <c r="K250" s="208"/>
    </row>
    <row r="251" spans="10:11" x14ac:dyDescent="0.2">
      <c r="J251" s="208"/>
      <c r="K251" s="208"/>
    </row>
    <row r="252" spans="10:11" x14ac:dyDescent="0.2">
      <c r="J252" s="208"/>
      <c r="K252" s="208"/>
    </row>
    <row r="253" spans="10:11" x14ac:dyDescent="0.2">
      <c r="J253" s="208"/>
      <c r="K253" s="208"/>
    </row>
    <row r="254" spans="10:11" x14ac:dyDescent="0.2">
      <c r="J254" s="208"/>
      <c r="K254" s="208"/>
    </row>
    <row r="255" spans="10:11" x14ac:dyDescent="0.2">
      <c r="J255" s="208"/>
      <c r="K255" s="208"/>
    </row>
    <row r="256" spans="10:11" x14ac:dyDescent="0.2">
      <c r="J256" s="208"/>
      <c r="K256" s="208"/>
    </row>
    <row r="257" spans="10:11" x14ac:dyDescent="0.2">
      <c r="J257" s="208"/>
      <c r="K257" s="208"/>
    </row>
    <row r="258" spans="10:11" x14ac:dyDescent="0.2">
      <c r="J258" s="208"/>
      <c r="K258" s="208"/>
    </row>
    <row r="259" spans="10:11" x14ac:dyDescent="0.2">
      <c r="J259" s="208"/>
      <c r="K259" s="208"/>
    </row>
    <row r="260" spans="10:11" x14ac:dyDescent="0.2">
      <c r="J260" s="208"/>
      <c r="K260" s="208"/>
    </row>
    <row r="261" spans="10:11" x14ac:dyDescent="0.2">
      <c r="J261" s="208"/>
      <c r="K261" s="208"/>
    </row>
    <row r="262" spans="10:11" x14ac:dyDescent="0.2">
      <c r="J262" s="208"/>
      <c r="K262" s="208"/>
    </row>
    <row r="263" spans="10:11" x14ac:dyDescent="0.2">
      <c r="J263" s="208"/>
      <c r="K263" s="208"/>
    </row>
    <row r="264" spans="10:11" x14ac:dyDescent="0.2">
      <c r="J264" s="208"/>
      <c r="K264" s="208"/>
    </row>
  </sheetData>
  <mergeCells count="54">
    <mergeCell ref="CG9:CG10"/>
    <mergeCell ref="CI9:CI10"/>
    <mergeCell ref="AG9:AG10"/>
    <mergeCell ref="AD9:AD10"/>
    <mergeCell ref="AH9:AH10"/>
    <mergeCell ref="CE9:CE10"/>
    <mergeCell ref="CF9:CF10"/>
    <mergeCell ref="CH9:CH10"/>
    <mergeCell ref="M7:V7"/>
    <mergeCell ref="Q9:Q10"/>
    <mergeCell ref="M8:V8"/>
    <mergeCell ref="Y9:Y10"/>
    <mergeCell ref="V9:V10"/>
    <mergeCell ref="W8:AA8"/>
    <mergeCell ref="W7:AH7"/>
    <mergeCell ref="Z9:Z10"/>
    <mergeCell ref="AE9:AE10"/>
    <mergeCell ref="N9:N10"/>
    <mergeCell ref="AB9:AB10"/>
    <mergeCell ref="AA9:AA10"/>
    <mergeCell ref="O9:O10"/>
    <mergeCell ref="P9:P10"/>
    <mergeCell ref="AC9:AC10"/>
    <mergeCell ref="S9:S10"/>
    <mergeCell ref="U9:U10"/>
    <mergeCell ref="R9:R10"/>
    <mergeCell ref="W9:W10"/>
    <mergeCell ref="T9:T10"/>
    <mergeCell ref="X9:X10"/>
    <mergeCell ref="C9:C10"/>
    <mergeCell ref="D9:D10"/>
    <mergeCell ref="J9:J10"/>
    <mergeCell ref="M9:M10"/>
    <mergeCell ref="L9:L10"/>
    <mergeCell ref="K9:K10"/>
    <mergeCell ref="E9:E10"/>
    <mergeCell ref="F9:F10"/>
    <mergeCell ref="G9:I9"/>
    <mergeCell ref="BJ8:BR8"/>
    <mergeCell ref="CC9:CC10"/>
    <mergeCell ref="CB9:CB10"/>
    <mergeCell ref="AF9:AF10"/>
    <mergeCell ref="AX9:BF9"/>
    <mergeCell ref="AI8:AV8"/>
    <mergeCell ref="AI9:AT9"/>
    <mergeCell ref="AU9:AW9"/>
    <mergeCell ref="AX8:BI8"/>
    <mergeCell ref="BG9:BI9"/>
    <mergeCell ref="CJ9:CJ10"/>
    <mergeCell ref="CL9:CL10"/>
    <mergeCell ref="CM9:CM10"/>
    <mergeCell ref="CN9:CN10"/>
    <mergeCell ref="CO9:CO10"/>
    <mergeCell ref="CK9:CK10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59999389629810485"/>
  </sheetPr>
  <dimension ref="B1:DA288"/>
  <sheetViews>
    <sheetView showGridLines="0" zoomScale="76" zoomScaleNormal="100" workbookViewId="0">
      <selection activeCell="K3" sqref="K3"/>
    </sheetView>
  </sheetViews>
  <sheetFormatPr defaultColWidth="9.140625" defaultRowHeight="12.75" x14ac:dyDescent="0.2"/>
  <cols>
    <col min="1" max="1" width="9.140625" style="126"/>
    <col min="2" max="2" width="18.140625" style="126" bestFit="1" customWidth="1"/>
    <col min="3" max="3" width="7.7109375" style="126" bestFit="1" customWidth="1"/>
    <col min="4" max="4" width="9.7109375" style="126" bestFit="1" customWidth="1"/>
    <col min="5" max="5" width="22.7109375" style="126" bestFit="1" customWidth="1"/>
    <col min="6" max="6" width="9.5703125" style="126" bestFit="1" customWidth="1"/>
    <col min="7" max="7" width="9.85546875" style="126" bestFit="1" customWidth="1"/>
    <col min="8" max="8" width="20.42578125" style="126" bestFit="1" customWidth="1"/>
    <col min="9" max="9" width="14.85546875" style="126" bestFit="1" customWidth="1"/>
    <col min="10" max="10" width="40" style="158" bestFit="1" customWidth="1"/>
    <col min="11" max="11" width="10.28515625" style="125" bestFit="1" customWidth="1"/>
    <col min="12" max="12" width="20.42578125" style="126" bestFit="1" customWidth="1"/>
    <col min="13" max="13" width="15.7109375" style="126" bestFit="1" customWidth="1"/>
    <col min="14" max="14" width="13.42578125" style="126" bestFit="1" customWidth="1"/>
    <col min="15" max="15" width="19.28515625" style="126" bestFit="1" customWidth="1"/>
    <col min="16" max="16" width="12.7109375" style="126" bestFit="1" customWidth="1"/>
    <col min="17" max="17" width="11.5703125" style="126" bestFit="1" customWidth="1"/>
    <col min="18" max="20" width="12.7109375" style="126" bestFit="1" customWidth="1"/>
    <col min="21" max="21" width="20.42578125" style="126" bestFit="1" customWidth="1"/>
    <col min="22" max="22" width="11.5703125" style="126" bestFit="1" customWidth="1"/>
    <col min="23" max="23" width="12" style="126" bestFit="1" customWidth="1"/>
    <col min="24" max="24" width="11.28515625" style="126" bestFit="1" customWidth="1"/>
    <col min="25" max="26" width="10.85546875" style="126" bestFit="1" customWidth="1"/>
    <col min="27" max="27" width="11.42578125" style="126" bestFit="1" customWidth="1"/>
    <col min="28" max="28" width="4.7109375" style="126" bestFit="1" customWidth="1"/>
    <col min="29" max="29" width="11.28515625" style="126" bestFit="1" customWidth="1"/>
    <col min="30" max="30" width="10.28515625" style="126" bestFit="1" customWidth="1"/>
    <col min="31" max="31" width="4.7109375" style="126" bestFit="1" customWidth="1"/>
    <col min="32" max="32" width="3.7109375" style="126" bestFit="1" customWidth="1"/>
    <col min="33" max="33" width="6" style="126" bestFit="1" customWidth="1"/>
    <col min="34" max="34" width="4.7109375" style="126" bestFit="1" customWidth="1"/>
    <col min="35" max="35" width="18" style="126" bestFit="1" customWidth="1"/>
    <col min="36" max="36" width="5.5703125" style="126" bestFit="1" customWidth="1"/>
    <col min="37" max="37" width="17" style="126" bestFit="1" customWidth="1"/>
    <col min="38" max="38" width="10.28515625" style="126" bestFit="1" customWidth="1"/>
    <col min="39" max="39" width="5.5703125" style="126" bestFit="1" customWidth="1"/>
    <col min="40" max="40" width="24.7109375" style="126" bestFit="1" customWidth="1"/>
    <col min="41" max="41" width="13.28515625" style="126" bestFit="1" customWidth="1"/>
    <col min="42" max="42" width="5.5703125" style="126" bestFit="1" customWidth="1"/>
    <col min="43" max="43" width="6" style="126" bestFit="1" customWidth="1"/>
    <col min="44" max="44" width="23.140625" style="126" bestFit="1" customWidth="1"/>
    <col min="45" max="45" width="8.28515625" style="126" bestFit="1" customWidth="1"/>
    <col min="46" max="46" width="19.5703125" style="126" bestFit="1" customWidth="1"/>
    <col min="47" max="47" width="13.85546875" style="126" bestFit="1" customWidth="1"/>
    <col min="48" max="48" width="10.85546875" style="126" bestFit="1" customWidth="1"/>
    <col min="49" max="49" width="9.85546875" style="126" bestFit="1" customWidth="1"/>
    <col min="50" max="50" width="11.28515625" style="126" bestFit="1" customWidth="1"/>
    <col min="51" max="51" width="5.5703125" style="126" bestFit="1" customWidth="1"/>
    <col min="52" max="52" width="17" style="126" bestFit="1" customWidth="1"/>
    <col min="53" max="53" width="10.28515625" style="126" bestFit="1" customWidth="1"/>
    <col min="54" max="54" width="5.5703125" style="126" bestFit="1" customWidth="1"/>
    <col min="55" max="55" width="11.42578125" style="126" bestFit="1" customWidth="1"/>
    <col min="56" max="56" width="5.5703125" style="126" bestFit="1" customWidth="1"/>
    <col min="57" max="57" width="6" style="126" bestFit="1" customWidth="1"/>
    <col min="58" max="58" width="5.5703125" style="126" bestFit="1" customWidth="1"/>
    <col min="59" max="59" width="12" style="126" bestFit="1" customWidth="1"/>
    <col min="60" max="60" width="10.85546875" style="126" bestFit="1" customWidth="1"/>
    <col min="61" max="61" width="9.85546875" style="126" bestFit="1" customWidth="1"/>
    <col min="62" max="62" width="14.28515625" style="126" bestFit="1" customWidth="1"/>
    <col min="63" max="63" width="12" style="126" bestFit="1" customWidth="1"/>
    <col min="64" max="64" width="32.28515625" style="126" bestFit="1" customWidth="1"/>
    <col min="65" max="65" width="18.5703125" style="126" bestFit="1" customWidth="1"/>
    <col min="66" max="66" width="9.85546875" style="126" bestFit="1" customWidth="1"/>
    <col min="67" max="67" width="14.85546875" style="126" bestFit="1" customWidth="1"/>
    <col min="68" max="69" width="14.28515625" style="126" bestFit="1" customWidth="1"/>
    <col min="70" max="70" width="19.28515625" style="126" bestFit="1" customWidth="1"/>
    <col min="71" max="71" width="12" style="126" bestFit="1" customWidth="1"/>
    <col min="72" max="72" width="15.7109375" style="126" bestFit="1" customWidth="1"/>
    <col min="73" max="73" width="12" style="126" bestFit="1" customWidth="1"/>
    <col min="74" max="74" width="18.5703125" style="126" bestFit="1" customWidth="1"/>
    <col min="75" max="75" width="14.42578125" style="126" bestFit="1" customWidth="1"/>
    <col min="76" max="76" width="12.5703125" style="126" bestFit="1" customWidth="1"/>
    <col min="77" max="77" width="13.85546875" style="126" bestFit="1" customWidth="1"/>
    <col min="78" max="79" width="12" style="126" bestFit="1" customWidth="1"/>
    <col min="80" max="80" width="25" style="126" bestFit="1" customWidth="1"/>
    <col min="81" max="81" width="7.42578125" style="126" bestFit="1" customWidth="1"/>
    <col min="82" max="82" width="13.42578125" style="126" bestFit="1" customWidth="1"/>
    <col min="83" max="83" width="1.5703125" style="126" customWidth="1"/>
    <col min="84" max="84" width="19.28515625" style="126" bestFit="1" customWidth="1"/>
    <col min="85" max="85" width="13.7109375" style="126" bestFit="1" customWidth="1"/>
    <col min="86" max="86" width="16.28515625" style="126" bestFit="1" customWidth="1"/>
    <col min="87" max="87" width="10.140625" style="127" bestFit="1" customWidth="1"/>
    <col min="88" max="88" width="12.85546875" style="128" bestFit="1" customWidth="1"/>
    <col min="89" max="89" width="1.5703125" style="126" customWidth="1"/>
    <col min="90" max="90" width="9.28515625" style="126" bestFit="1" customWidth="1"/>
    <col min="91" max="91" width="9.140625" style="126" bestFit="1" customWidth="1"/>
    <col min="92" max="92" width="18" style="126" bestFit="1" customWidth="1"/>
    <col min="93" max="93" width="16.85546875" style="126" bestFit="1" customWidth="1"/>
    <col min="94" max="94" width="8.5703125" style="126" bestFit="1" customWidth="1"/>
    <col min="95" max="95" width="9.140625" style="126"/>
    <col min="96" max="96" width="6.28515625" style="126" bestFit="1" customWidth="1"/>
    <col min="97" max="97" width="5.7109375" style="126" bestFit="1" customWidth="1"/>
    <col min="98" max="98" width="19.5703125" style="126" bestFit="1" customWidth="1"/>
    <col min="99" max="99" width="10.42578125" style="126" bestFit="1" customWidth="1"/>
    <col min="100" max="100" width="17" style="126" bestFit="1" customWidth="1"/>
    <col min="101" max="101" width="7.28515625" style="126" bestFit="1" customWidth="1"/>
    <col min="102" max="102" width="9.140625" style="126" bestFit="1" customWidth="1"/>
    <col min="103" max="103" width="4.7109375" style="126" bestFit="1" customWidth="1"/>
    <col min="104" max="104" width="9.140625" style="126" bestFit="1" customWidth="1"/>
    <col min="105" max="105" width="5.5703125" style="126" bestFit="1" customWidth="1"/>
    <col min="106" max="16384" width="9.140625" style="126"/>
  </cols>
  <sheetData>
    <row r="1" spans="2:105" x14ac:dyDescent="0.2">
      <c r="B1" s="120" t="s">
        <v>2</v>
      </c>
      <c r="C1" s="121"/>
      <c r="D1" s="122" t="s">
        <v>10</v>
      </c>
      <c r="E1" s="123">
        <f>BEL!E1</f>
        <v>1</v>
      </c>
      <c r="F1" s="121"/>
      <c r="G1" s="121"/>
      <c r="H1" s="121" t="s">
        <v>6</v>
      </c>
      <c r="I1" s="122" t="s">
        <v>10</v>
      </c>
      <c r="J1" s="124" t="str">
        <f>BEL!J1</f>
        <v>SEKALIGUS</v>
      </c>
    </row>
    <row r="2" spans="2:105" x14ac:dyDescent="0.2">
      <c r="B2" s="129" t="s">
        <v>37</v>
      </c>
      <c r="D2" s="130" t="s">
        <v>10</v>
      </c>
      <c r="E2" s="131" t="str">
        <f>BEL!E2</f>
        <v>NUNUNG NURHAENI</v>
      </c>
      <c r="G2" s="132"/>
      <c r="H2" s="132" t="s">
        <v>7</v>
      </c>
      <c r="I2" s="130" t="s">
        <v>10</v>
      </c>
      <c r="J2" s="133">
        <f>BEL!J2</f>
        <v>0</v>
      </c>
      <c r="L2" s="134" t="s">
        <v>19</v>
      </c>
      <c r="M2" s="135">
        <f>BEL!M2</f>
        <v>45291</v>
      </c>
      <c r="N2" s="135"/>
      <c r="O2" s="135"/>
      <c r="P2" s="135"/>
      <c r="Q2" s="135"/>
      <c r="R2" s="135"/>
      <c r="S2" s="135"/>
      <c r="T2" s="135"/>
      <c r="U2" s="125"/>
      <c r="X2" s="136"/>
      <c r="Y2" s="136"/>
      <c r="AB2" s="136"/>
      <c r="AC2" s="136"/>
      <c r="AD2" s="136"/>
      <c r="AE2" s="136"/>
      <c r="AF2" s="136"/>
      <c r="AG2" s="136"/>
      <c r="AH2" s="136"/>
      <c r="AR2" s="134" t="s">
        <v>95</v>
      </c>
      <c r="AS2" s="137">
        <v>0.03</v>
      </c>
    </row>
    <row r="3" spans="2:105" x14ac:dyDescent="0.2">
      <c r="B3" s="129" t="s">
        <v>3</v>
      </c>
      <c r="D3" s="130" t="s">
        <v>10</v>
      </c>
      <c r="E3" s="131">
        <f>BEL!E3</f>
        <v>35</v>
      </c>
      <c r="G3" s="132"/>
      <c r="H3" s="132" t="s">
        <v>5</v>
      </c>
      <c r="I3" s="130" t="s">
        <v>10</v>
      </c>
      <c r="J3" s="133">
        <f>BEL!J3</f>
        <v>50000000</v>
      </c>
      <c r="M3" s="138"/>
      <c r="N3" s="138"/>
      <c r="O3" s="138"/>
      <c r="P3" s="138"/>
      <c r="Q3" s="138"/>
      <c r="R3" s="138"/>
      <c r="S3" s="138"/>
      <c r="T3" s="138"/>
      <c r="U3" s="139" t="s">
        <v>28</v>
      </c>
      <c r="V3" s="137">
        <f>VLOOKUP(MAX(YEAR(J4),2011),ASUMSI!$CS$3:$CV$24,2,0)</f>
        <v>0</v>
      </c>
      <c r="W3" s="137"/>
      <c r="AC3" s="139"/>
      <c r="AD3" s="139"/>
      <c r="AF3" s="139"/>
      <c r="AG3" s="139"/>
      <c r="AH3" s="139"/>
      <c r="CB3" s="134" t="s">
        <v>50</v>
      </c>
      <c r="CC3" s="134"/>
      <c r="CD3" s="140" t="s">
        <v>144</v>
      </c>
      <c r="CE3" s="131"/>
    </row>
    <row r="4" spans="2:105" x14ac:dyDescent="0.2">
      <c r="B4" s="129" t="s">
        <v>4</v>
      </c>
      <c r="D4" s="130" t="s">
        <v>10</v>
      </c>
      <c r="E4" s="131">
        <f>BEL!E4</f>
        <v>3</v>
      </c>
      <c r="F4" s="126" t="s">
        <v>31</v>
      </c>
      <c r="H4" s="126" t="s">
        <v>8</v>
      </c>
      <c r="I4" s="130" t="s">
        <v>10</v>
      </c>
      <c r="J4" s="141">
        <f>BEL!J4</f>
        <v>45267</v>
      </c>
      <c r="L4" s="139" t="s">
        <v>22</v>
      </c>
      <c r="M4" s="142">
        <f>BEL!M4</f>
        <v>2.6000000000000002E-2</v>
      </c>
      <c r="N4" s="142"/>
      <c r="O4" s="142"/>
      <c r="P4" s="142"/>
      <c r="Q4" s="142"/>
      <c r="R4" s="142"/>
      <c r="S4" s="142"/>
      <c r="T4" s="142"/>
      <c r="U4" s="139" t="s">
        <v>27</v>
      </c>
      <c r="V4" s="137">
        <f>VLOOKUP(MAX(YEAR(J4),2011),ASUMSI!$CS$3:$CV$24,3,0)</f>
        <v>-0.15</v>
      </c>
      <c r="W4" s="137"/>
      <c r="AC4" s="139"/>
      <c r="AD4" s="139"/>
      <c r="AF4" s="139"/>
      <c r="AG4" s="139"/>
      <c r="AH4" s="139"/>
      <c r="AR4" s="134" t="s">
        <v>95</v>
      </c>
      <c r="AS4" s="143">
        <f>(1+AS2)^(1/12) - 1</f>
        <v>2.4662697723036864E-3</v>
      </c>
      <c r="AT4" s="144" t="s">
        <v>20</v>
      </c>
      <c r="BR4" s="139" t="s">
        <v>13</v>
      </c>
      <c r="BS4" s="143">
        <f>BEL!BS4</f>
        <v>5.3699999999999998E-2</v>
      </c>
      <c r="BT4" s="143"/>
      <c r="BU4" s="143"/>
      <c r="BV4" s="143"/>
      <c r="BW4" s="143"/>
      <c r="BX4" s="143"/>
      <c r="BY4" s="143"/>
      <c r="CB4" s="134" t="s">
        <v>43</v>
      </c>
      <c r="CC4" s="134"/>
      <c r="CD4" s="145">
        <f>INT(((M2-J4)/365.25)*12)</f>
        <v>0</v>
      </c>
      <c r="CE4" s="146"/>
    </row>
    <row r="5" spans="2:105" x14ac:dyDescent="0.2">
      <c r="B5" s="129" t="s">
        <v>4</v>
      </c>
      <c r="D5" s="130" t="s">
        <v>10</v>
      </c>
      <c r="E5" s="131">
        <f>BEL!E5</f>
        <v>36</v>
      </c>
      <c r="F5" s="126" t="s">
        <v>38</v>
      </c>
      <c r="H5" s="126" t="s">
        <v>9</v>
      </c>
      <c r="I5" s="130" t="s">
        <v>10</v>
      </c>
      <c r="J5" s="141">
        <f>BEL!J5</f>
        <v>46363</v>
      </c>
      <c r="L5" s="139" t="s">
        <v>22</v>
      </c>
      <c r="M5" s="143">
        <f>(1+M4)^(1/12) - 1</f>
        <v>2.1412681429993086E-3</v>
      </c>
      <c r="N5" s="147" t="s">
        <v>20</v>
      </c>
      <c r="O5" s="143"/>
      <c r="P5" s="143"/>
      <c r="R5" s="143"/>
      <c r="S5" s="143"/>
      <c r="T5" s="143"/>
      <c r="U5" s="139" t="s">
        <v>53</v>
      </c>
      <c r="V5" s="137">
        <f>VLOOKUP(MAX(YEAR(J4),2011),ASUMSI!$CS$3:$CV$24,4,0)</f>
        <v>0.05</v>
      </c>
      <c r="W5" s="137"/>
      <c r="AC5" s="139"/>
      <c r="AD5" s="139"/>
      <c r="AF5" s="139"/>
      <c r="AG5" s="139"/>
      <c r="AH5" s="139"/>
      <c r="BR5" s="139" t="s">
        <v>13</v>
      </c>
      <c r="BS5" s="143">
        <f>(1+BS4)^(1/12) - 1</f>
        <v>4.3684958147485187E-3</v>
      </c>
      <c r="BT5" s="144" t="s">
        <v>20</v>
      </c>
      <c r="BV5" s="143"/>
      <c r="BW5" s="143"/>
      <c r="BX5" s="143"/>
      <c r="BY5" s="143"/>
      <c r="CB5" s="134" t="s">
        <v>71</v>
      </c>
      <c r="CC5" s="134"/>
      <c r="CD5" s="148">
        <f>IF(CD3&lt;&gt;"INFORCE",0,VLOOKUP(CD4,RA,66,FALSE))</f>
        <v>0</v>
      </c>
      <c r="CL5" s="132"/>
      <c r="CM5" s="149"/>
      <c r="CN5" s="149"/>
      <c r="CS5" s="132"/>
      <c r="CT5" s="149"/>
      <c r="CU5" s="149"/>
      <c r="CV5" s="149"/>
      <c r="CW5" s="149"/>
      <c r="CX5" s="149"/>
    </row>
    <row r="6" spans="2:105" x14ac:dyDescent="0.2">
      <c r="B6" s="129" t="s">
        <v>49</v>
      </c>
      <c r="D6" s="130" t="s">
        <v>10</v>
      </c>
      <c r="E6" s="131">
        <f>BEL!E6</f>
        <v>368000</v>
      </c>
      <c r="F6" s="131"/>
      <c r="H6" s="126" t="s">
        <v>51</v>
      </c>
      <c r="I6" s="130" t="s">
        <v>10</v>
      </c>
      <c r="J6" s="133">
        <f>BEL!J6</f>
        <v>0</v>
      </c>
      <c r="K6" s="126"/>
    </row>
    <row r="7" spans="2:105" x14ac:dyDescent="0.2">
      <c r="B7" s="150"/>
      <c r="C7" s="151"/>
      <c r="D7" s="152"/>
      <c r="E7" s="153"/>
      <c r="F7" s="154"/>
      <c r="G7" s="151"/>
      <c r="H7" s="151" t="s">
        <v>83</v>
      </c>
      <c r="I7" s="152" t="s">
        <v>10</v>
      </c>
      <c r="J7" s="155" t="str">
        <f>BEL!J7</f>
        <v>Koperasi Sahabat Mitra Sejati UP Menurun</v>
      </c>
      <c r="K7" s="126"/>
      <c r="M7" s="325" t="s">
        <v>92</v>
      </c>
      <c r="N7" s="326"/>
      <c r="O7" s="326"/>
      <c r="P7" s="326"/>
      <c r="Q7" s="326"/>
      <c r="R7" s="326"/>
      <c r="S7" s="326"/>
      <c r="T7" s="326"/>
      <c r="U7" s="326"/>
      <c r="V7" s="327"/>
      <c r="W7" s="325" t="s">
        <v>92</v>
      </c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7"/>
      <c r="AI7" s="156">
        <f t="shared" ref="AI7:AW7" si="0">SUM(AI12:AI1048576)</f>
        <v>1013667002.8520198</v>
      </c>
      <c r="AJ7" s="157">
        <f t="shared" si="0"/>
        <v>0</v>
      </c>
      <c r="AK7" s="157">
        <f t="shared" si="0"/>
        <v>0</v>
      </c>
      <c r="AL7" s="157">
        <f t="shared" si="0"/>
        <v>0</v>
      </c>
      <c r="AM7" s="157">
        <f t="shared" si="0"/>
        <v>0</v>
      </c>
      <c r="AN7" s="157">
        <f t="shared" si="0"/>
        <v>0</v>
      </c>
      <c r="AO7" s="157">
        <f t="shared" si="0"/>
        <v>0</v>
      </c>
      <c r="AP7" s="157">
        <f t="shared" si="0"/>
        <v>0</v>
      </c>
      <c r="AQ7" s="157">
        <f t="shared" si="0"/>
        <v>0</v>
      </c>
      <c r="AR7" s="157">
        <f t="shared" si="0"/>
        <v>0</v>
      </c>
      <c r="AS7" s="157">
        <f t="shared" si="0"/>
        <v>0</v>
      </c>
      <c r="AT7" s="157">
        <f t="shared" si="0"/>
        <v>0</v>
      </c>
      <c r="AU7" s="157">
        <f t="shared" si="0"/>
        <v>2898000</v>
      </c>
      <c r="AV7" s="157">
        <f t="shared" si="0"/>
        <v>0</v>
      </c>
      <c r="AW7" s="157">
        <f t="shared" si="0"/>
        <v>0</v>
      </c>
      <c r="CR7" s="109">
        <v>1</v>
      </c>
      <c r="CS7" s="109">
        <f>CR7+1</f>
        <v>2</v>
      </c>
      <c r="CT7" s="109">
        <f t="shared" ref="CT7:DA7" si="1">CS7+1</f>
        <v>3</v>
      </c>
      <c r="CU7" s="109">
        <f t="shared" si="1"/>
        <v>4</v>
      </c>
      <c r="CV7" s="109">
        <f t="shared" si="1"/>
        <v>5</v>
      </c>
      <c r="CW7" s="109">
        <f t="shared" si="1"/>
        <v>6</v>
      </c>
      <c r="CX7" s="109">
        <f t="shared" si="1"/>
        <v>7</v>
      </c>
      <c r="CY7" s="109">
        <f t="shared" si="1"/>
        <v>8</v>
      </c>
      <c r="CZ7" s="109">
        <f t="shared" si="1"/>
        <v>9</v>
      </c>
      <c r="DA7" s="109">
        <f t="shared" si="1"/>
        <v>10</v>
      </c>
    </row>
    <row r="8" spans="2:105" x14ac:dyDescent="0.2">
      <c r="D8" s="146"/>
      <c r="E8" s="146"/>
      <c r="F8" s="146"/>
      <c r="G8" s="146"/>
      <c r="H8" s="146"/>
      <c r="I8" s="146"/>
      <c r="M8" s="325" t="s">
        <v>55</v>
      </c>
      <c r="N8" s="326"/>
      <c r="O8" s="326"/>
      <c r="P8" s="326"/>
      <c r="Q8" s="326"/>
      <c r="R8" s="326"/>
      <c r="S8" s="326"/>
      <c r="T8" s="326"/>
      <c r="U8" s="326"/>
      <c r="V8" s="327"/>
      <c r="W8" s="320" t="s">
        <v>15</v>
      </c>
      <c r="X8" s="321"/>
      <c r="Y8" s="321"/>
      <c r="Z8" s="321"/>
      <c r="AA8" s="322"/>
      <c r="AB8" s="159"/>
      <c r="AC8" s="159"/>
      <c r="AD8" s="159"/>
      <c r="AE8" s="159"/>
      <c r="AF8" s="159"/>
      <c r="AG8" s="159"/>
      <c r="AH8" s="159"/>
      <c r="AI8" s="325" t="s">
        <v>33</v>
      </c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7"/>
      <c r="AX8" s="325" t="s">
        <v>16</v>
      </c>
      <c r="AY8" s="326"/>
      <c r="AZ8" s="326"/>
      <c r="BA8" s="326"/>
      <c r="BB8" s="326"/>
      <c r="BC8" s="326"/>
      <c r="BD8" s="326"/>
      <c r="BE8" s="326"/>
      <c r="BF8" s="326"/>
      <c r="BG8" s="326"/>
      <c r="BH8" s="326"/>
      <c r="BI8" s="327"/>
      <c r="BJ8" s="325" t="s">
        <v>76</v>
      </c>
      <c r="BK8" s="326"/>
      <c r="BL8" s="326"/>
      <c r="BM8" s="326"/>
      <c r="BN8" s="326"/>
      <c r="BO8" s="326"/>
      <c r="BP8" s="326"/>
      <c r="BQ8" s="326"/>
      <c r="BR8" s="327"/>
      <c r="BS8" s="154"/>
      <c r="BT8" s="131"/>
      <c r="BU8" s="131"/>
      <c r="BV8" s="131"/>
      <c r="BW8" s="131"/>
      <c r="BX8" s="131"/>
      <c r="BY8" s="131"/>
      <c r="CF8" s="131" t="s">
        <v>218</v>
      </c>
      <c r="CG8" s="160">
        <f>BS5</f>
        <v>4.3684958147485187E-3</v>
      </c>
      <c r="CH8" s="131"/>
      <c r="CM8" s="161">
        <f>CG8</f>
        <v>4.3684958147485187E-3</v>
      </c>
      <c r="CN8" s="161"/>
      <c r="CR8" s="325" t="s">
        <v>379</v>
      </c>
      <c r="CS8" s="326"/>
      <c r="CT8" s="326"/>
      <c r="CU8" s="326"/>
      <c r="CV8" s="326"/>
      <c r="CW8" s="326"/>
      <c r="CX8" s="326"/>
      <c r="CY8" s="326"/>
      <c r="CZ8" s="326"/>
      <c r="DA8" s="327"/>
    </row>
    <row r="9" spans="2:105" ht="34.5" customHeight="1" x14ac:dyDescent="0.2">
      <c r="B9" s="162" t="s">
        <v>31</v>
      </c>
      <c r="C9" s="323" t="s">
        <v>21</v>
      </c>
      <c r="D9" s="323" t="s">
        <v>0</v>
      </c>
      <c r="E9" s="323" t="s">
        <v>1</v>
      </c>
      <c r="F9" s="323" t="s">
        <v>46</v>
      </c>
      <c r="G9" s="334" t="s">
        <v>47</v>
      </c>
      <c r="H9" s="335"/>
      <c r="I9" s="336"/>
      <c r="J9" s="330" t="s">
        <v>41</v>
      </c>
      <c r="K9" s="332" t="s">
        <v>42</v>
      </c>
      <c r="L9" s="323" t="s">
        <v>23</v>
      </c>
      <c r="M9" s="323" t="s">
        <v>100</v>
      </c>
      <c r="N9" s="323" t="s">
        <v>101</v>
      </c>
      <c r="O9" s="323" t="s">
        <v>365</v>
      </c>
      <c r="P9" s="323" t="s">
        <v>364</v>
      </c>
      <c r="Q9" s="323" t="s">
        <v>87</v>
      </c>
      <c r="R9" s="323" t="s">
        <v>88</v>
      </c>
      <c r="S9" s="323" t="s">
        <v>96</v>
      </c>
      <c r="T9" s="323" t="s">
        <v>122</v>
      </c>
      <c r="U9" s="323" t="s">
        <v>39</v>
      </c>
      <c r="V9" s="323" t="s">
        <v>40</v>
      </c>
      <c r="W9" s="318" t="s">
        <v>321</v>
      </c>
      <c r="X9" s="318" t="s">
        <v>102</v>
      </c>
      <c r="Y9" s="318" t="s">
        <v>30</v>
      </c>
      <c r="Z9" s="318" t="s">
        <v>32</v>
      </c>
      <c r="AA9" s="318" t="s">
        <v>322</v>
      </c>
      <c r="AB9" s="323" t="s">
        <v>103</v>
      </c>
      <c r="AC9" s="323" t="s">
        <v>123</v>
      </c>
      <c r="AD9" s="323" t="s">
        <v>124</v>
      </c>
      <c r="AE9" s="323" t="s">
        <v>84</v>
      </c>
      <c r="AF9" s="323" t="s">
        <v>85</v>
      </c>
      <c r="AG9" s="323" t="s">
        <v>97</v>
      </c>
      <c r="AH9" s="323" t="s">
        <v>108</v>
      </c>
      <c r="AI9" s="337" t="s">
        <v>111</v>
      </c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9"/>
      <c r="AU9" s="337" t="s">
        <v>34</v>
      </c>
      <c r="AV9" s="338"/>
      <c r="AW9" s="339"/>
      <c r="AX9" s="337" t="s">
        <v>111</v>
      </c>
      <c r="AY9" s="338"/>
      <c r="AZ9" s="338"/>
      <c r="BA9" s="338"/>
      <c r="BB9" s="338"/>
      <c r="BC9" s="338"/>
      <c r="BD9" s="338"/>
      <c r="BE9" s="338"/>
      <c r="BF9" s="339"/>
      <c r="BG9" s="340" t="s">
        <v>34</v>
      </c>
      <c r="BH9" s="341"/>
      <c r="BI9" s="342"/>
      <c r="BJ9" s="163" t="s">
        <v>25</v>
      </c>
      <c r="BK9" s="164" t="s">
        <v>11</v>
      </c>
      <c r="BL9" s="163" t="s">
        <v>1</v>
      </c>
      <c r="BM9" s="163" t="s">
        <v>46</v>
      </c>
      <c r="BN9" s="163" t="s">
        <v>48</v>
      </c>
      <c r="BO9" s="163" t="s">
        <v>110</v>
      </c>
      <c r="BP9" s="163" t="s">
        <v>256</v>
      </c>
      <c r="BQ9" s="163" t="s">
        <v>26</v>
      </c>
      <c r="BR9" s="163" t="s">
        <v>44</v>
      </c>
      <c r="BS9" s="163" t="s">
        <v>17</v>
      </c>
      <c r="BT9" s="164" t="s">
        <v>292</v>
      </c>
      <c r="BU9" s="163" t="s">
        <v>271</v>
      </c>
      <c r="BV9" s="163" t="s">
        <v>257</v>
      </c>
      <c r="BW9" s="163" t="s">
        <v>258</v>
      </c>
      <c r="BX9" s="163" t="s">
        <v>259</v>
      </c>
      <c r="BY9" s="163" t="s">
        <v>261</v>
      </c>
      <c r="BZ9" s="163" t="s">
        <v>18</v>
      </c>
      <c r="CA9" s="163" t="s">
        <v>45</v>
      </c>
      <c r="CB9" s="323" t="s">
        <v>281</v>
      </c>
      <c r="CC9" s="323" t="s">
        <v>69</v>
      </c>
      <c r="CD9" s="323" t="s">
        <v>70</v>
      </c>
      <c r="CF9" s="323" t="s">
        <v>327</v>
      </c>
      <c r="CG9" s="328" t="s">
        <v>220</v>
      </c>
      <c r="CH9" s="328" t="s">
        <v>328</v>
      </c>
      <c r="CI9" s="328" t="s">
        <v>328</v>
      </c>
      <c r="CJ9" s="328" t="s">
        <v>329</v>
      </c>
      <c r="CL9" s="334" t="s">
        <v>72</v>
      </c>
      <c r="CM9" s="335"/>
      <c r="CN9" s="335"/>
      <c r="CO9" s="335"/>
      <c r="CP9" s="336"/>
      <c r="CR9" s="323" t="s">
        <v>38</v>
      </c>
      <c r="CS9" s="323" t="s">
        <v>73</v>
      </c>
      <c r="CT9" s="343" t="s">
        <v>380</v>
      </c>
      <c r="CU9" s="337" t="s">
        <v>381</v>
      </c>
      <c r="CV9" s="338"/>
      <c r="CW9" s="338"/>
      <c r="CX9" s="338"/>
      <c r="CY9" s="338"/>
      <c r="CZ9" s="339"/>
      <c r="DA9" s="343" t="s">
        <v>75</v>
      </c>
    </row>
    <row r="10" spans="2:105" ht="15" customHeight="1" x14ac:dyDescent="0.2">
      <c r="B10" s="165" t="s">
        <v>54</v>
      </c>
      <c r="C10" s="324"/>
      <c r="D10" s="324"/>
      <c r="E10" s="324"/>
      <c r="F10" s="324"/>
      <c r="G10" s="166" t="s">
        <v>48</v>
      </c>
      <c r="H10" s="167" t="s">
        <v>36</v>
      </c>
      <c r="I10" s="168" t="s">
        <v>110</v>
      </c>
      <c r="J10" s="331" t="s">
        <v>14</v>
      </c>
      <c r="K10" s="333" t="s">
        <v>14</v>
      </c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19" t="s">
        <v>14</v>
      </c>
      <c r="X10" s="319"/>
      <c r="Y10" s="319"/>
      <c r="Z10" s="319"/>
      <c r="AA10" s="319" t="s">
        <v>14</v>
      </c>
      <c r="AB10" s="324"/>
      <c r="AC10" s="324"/>
      <c r="AD10" s="324"/>
      <c r="AE10" s="324"/>
      <c r="AF10" s="324"/>
      <c r="AG10" s="324"/>
      <c r="AH10" s="324"/>
      <c r="AI10" s="169" t="s">
        <v>102</v>
      </c>
      <c r="AJ10" s="169" t="s">
        <v>103</v>
      </c>
      <c r="AK10" s="169" t="s">
        <v>104</v>
      </c>
      <c r="AL10" s="169" t="s">
        <v>105</v>
      </c>
      <c r="AM10" s="169" t="s">
        <v>84</v>
      </c>
      <c r="AN10" s="169" t="s">
        <v>106</v>
      </c>
      <c r="AO10" s="170" t="s">
        <v>107</v>
      </c>
      <c r="AP10" s="169" t="s">
        <v>85</v>
      </c>
      <c r="AQ10" s="169" t="s">
        <v>97</v>
      </c>
      <c r="AR10" s="169" t="s">
        <v>108</v>
      </c>
      <c r="AS10" s="169" t="s">
        <v>93</v>
      </c>
      <c r="AT10" s="169" t="s">
        <v>94</v>
      </c>
      <c r="AU10" s="169" t="s">
        <v>11</v>
      </c>
      <c r="AV10" s="169" t="s">
        <v>52</v>
      </c>
      <c r="AW10" s="169" t="s">
        <v>109</v>
      </c>
      <c r="AX10" s="170" t="s">
        <v>102</v>
      </c>
      <c r="AY10" s="169" t="s">
        <v>103</v>
      </c>
      <c r="AZ10" s="169" t="s">
        <v>104</v>
      </c>
      <c r="BA10" s="169" t="s">
        <v>105</v>
      </c>
      <c r="BB10" s="169" t="s">
        <v>84</v>
      </c>
      <c r="BC10" s="169" t="s">
        <v>107</v>
      </c>
      <c r="BD10" s="169" t="s">
        <v>85</v>
      </c>
      <c r="BE10" s="169" t="s">
        <v>97</v>
      </c>
      <c r="BF10" s="169" t="s">
        <v>108</v>
      </c>
      <c r="BG10" s="170" t="s">
        <v>11</v>
      </c>
      <c r="BH10" s="171" t="s">
        <v>52</v>
      </c>
      <c r="BI10" s="170" t="s">
        <v>109</v>
      </c>
      <c r="BJ10" s="166" t="s">
        <v>289</v>
      </c>
      <c r="BK10" s="172" t="s">
        <v>293</v>
      </c>
      <c r="BL10" s="166"/>
      <c r="BM10" s="173" t="s">
        <v>287</v>
      </c>
      <c r="BN10" s="166"/>
      <c r="BO10" s="166"/>
      <c r="BP10" s="166"/>
      <c r="BQ10" s="166"/>
      <c r="BR10" s="166"/>
      <c r="BS10" s="166" t="s">
        <v>289</v>
      </c>
      <c r="BT10" s="172" t="s">
        <v>293</v>
      </c>
      <c r="BU10" s="166"/>
      <c r="BV10" s="173" t="s">
        <v>287</v>
      </c>
      <c r="BW10" s="166"/>
      <c r="BX10" s="166"/>
      <c r="BY10" s="166"/>
      <c r="BZ10" s="166"/>
      <c r="CA10" s="166"/>
      <c r="CB10" s="324" t="s">
        <v>14</v>
      </c>
      <c r="CC10" s="324" t="s">
        <v>14</v>
      </c>
      <c r="CD10" s="324" t="s">
        <v>14</v>
      </c>
      <c r="CF10" s="324" t="s">
        <v>14</v>
      </c>
      <c r="CG10" s="329" t="s">
        <v>14</v>
      </c>
      <c r="CH10" s="329" t="s">
        <v>14</v>
      </c>
      <c r="CI10" s="329" t="s">
        <v>14</v>
      </c>
      <c r="CJ10" s="329" t="s">
        <v>14</v>
      </c>
      <c r="CL10" s="174" t="s">
        <v>73</v>
      </c>
      <c r="CM10" s="175" t="s">
        <v>74</v>
      </c>
      <c r="CN10" s="175" t="s">
        <v>331</v>
      </c>
      <c r="CO10" s="175" t="s">
        <v>126</v>
      </c>
      <c r="CP10" s="175" t="s">
        <v>75</v>
      </c>
      <c r="CR10" s="324"/>
      <c r="CS10" s="324"/>
      <c r="CT10" s="344"/>
      <c r="CU10" s="176" t="s">
        <v>382</v>
      </c>
      <c r="CV10" s="176" t="s">
        <v>384</v>
      </c>
      <c r="CW10" s="176" t="s">
        <v>383</v>
      </c>
      <c r="CX10" s="176" t="s">
        <v>385</v>
      </c>
      <c r="CY10" s="176" t="s">
        <v>69</v>
      </c>
      <c r="CZ10" s="176" t="s">
        <v>74</v>
      </c>
      <c r="DA10" s="344"/>
    </row>
    <row r="11" spans="2:105" x14ac:dyDescent="0.2">
      <c r="B11" s="138"/>
      <c r="C11" s="177"/>
      <c r="D11" s="178"/>
      <c r="E11" s="179"/>
      <c r="F11" s="179"/>
      <c r="G11" s="179"/>
      <c r="H11" s="179"/>
      <c r="I11" s="180" t="s">
        <v>288</v>
      </c>
      <c r="J11" s="181"/>
      <c r="K11" s="182"/>
      <c r="L11" s="178"/>
      <c r="M11" s="183"/>
      <c r="N11" s="183"/>
      <c r="O11" s="183"/>
      <c r="P11" s="183"/>
      <c r="Q11" s="183"/>
      <c r="R11" s="183"/>
      <c r="S11" s="183"/>
      <c r="T11" s="183"/>
      <c r="U11" s="184"/>
      <c r="V11" s="184"/>
      <c r="W11" s="184"/>
      <c r="X11" s="185"/>
      <c r="Y11" s="185"/>
      <c r="Z11" s="185"/>
      <c r="AA11" s="186"/>
      <c r="AB11" s="185"/>
      <c r="AC11" s="185"/>
      <c r="AD11" s="185"/>
      <c r="AE11" s="185"/>
      <c r="AF11" s="185"/>
      <c r="AG11" s="185"/>
      <c r="AH11" s="185"/>
      <c r="AI11" s="187"/>
      <c r="AJ11" s="187"/>
      <c r="AK11" s="187"/>
      <c r="AL11" s="187"/>
      <c r="AM11" s="187"/>
      <c r="AN11" s="187"/>
      <c r="AO11" s="180" t="s">
        <v>288</v>
      </c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4"/>
      <c r="BK11" s="184"/>
      <c r="BL11" s="184"/>
      <c r="BM11" s="184"/>
      <c r="BN11" s="184"/>
      <c r="BO11" s="184"/>
      <c r="BP11" s="184"/>
      <c r="BQ11" s="179"/>
      <c r="BR11" s="179"/>
      <c r="BS11" s="188"/>
      <c r="BT11" s="188"/>
      <c r="BU11" s="188"/>
      <c r="BV11" s="188"/>
      <c r="BW11" s="188"/>
      <c r="BX11" s="188"/>
      <c r="BY11" s="188"/>
      <c r="BZ11" s="188"/>
      <c r="CA11" s="188"/>
      <c r="CB11" s="149"/>
      <c r="CC11" s="149"/>
      <c r="CD11" s="189"/>
      <c r="CL11" s="189"/>
      <c r="CS11" s="189"/>
    </row>
    <row r="12" spans="2:105" x14ac:dyDescent="0.2">
      <c r="B12" s="130"/>
      <c r="C12" s="130"/>
      <c r="D12" s="190"/>
      <c r="E12" s="190"/>
      <c r="F12" s="190"/>
      <c r="G12" s="190"/>
      <c r="H12" s="190"/>
      <c r="I12" s="179"/>
      <c r="J12" s="130"/>
      <c r="K12" s="130"/>
      <c r="L12" s="130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91"/>
      <c r="AB12" s="185"/>
      <c r="AC12" s="185"/>
      <c r="AD12" s="185"/>
      <c r="AE12" s="185"/>
      <c r="AF12" s="185"/>
      <c r="AG12" s="185"/>
      <c r="AH12" s="18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89"/>
      <c r="BK12" s="189"/>
      <c r="BL12" s="192" t="s">
        <v>323</v>
      </c>
      <c r="BM12" s="192"/>
      <c r="BN12" s="192"/>
      <c r="BO12" s="192"/>
      <c r="BP12" s="192"/>
      <c r="BQ12" s="193"/>
      <c r="BR12" s="193"/>
      <c r="BS12" s="188"/>
      <c r="BT12" s="188"/>
      <c r="BU12" s="188"/>
      <c r="BV12" s="188"/>
      <c r="BW12" s="188"/>
      <c r="BX12" s="188"/>
      <c r="BY12" s="188"/>
      <c r="BZ12" s="188"/>
      <c r="CA12" s="188"/>
      <c r="CB12" s="149"/>
      <c r="CC12" s="149"/>
      <c r="CD12" s="189"/>
      <c r="CF12" s="194" t="s">
        <v>330</v>
      </c>
      <c r="CG12" s="195"/>
      <c r="CH12" s="195"/>
      <c r="CL12" s="189"/>
      <c r="CM12" s="149"/>
      <c r="CN12" s="149"/>
      <c r="CO12" s="149"/>
      <c r="CP12" s="149"/>
      <c r="CS12" s="189"/>
      <c r="CT12" s="149"/>
      <c r="CU12" s="149"/>
      <c r="CV12" s="149"/>
      <c r="CW12" s="149"/>
      <c r="CX12" s="149"/>
      <c r="CY12" s="149"/>
      <c r="CZ12" s="149"/>
      <c r="DA12" s="149"/>
    </row>
    <row r="13" spans="2:105" x14ac:dyDescent="0.2">
      <c r="B13" s="130">
        <f>BEL!B13</f>
        <v>1</v>
      </c>
      <c r="C13" s="130">
        <f>BEL!C13</f>
        <v>1</v>
      </c>
      <c r="D13" s="190">
        <f>BEL!D13</f>
        <v>368000</v>
      </c>
      <c r="E13" s="190">
        <f>BEL!E13</f>
        <v>92000</v>
      </c>
      <c r="F13" s="190">
        <f>BEL!F13</f>
        <v>17000</v>
      </c>
      <c r="G13" s="190">
        <f>BEL!G13*(1+$V$5)</f>
        <v>28980</v>
      </c>
      <c r="H13" s="190">
        <f>BEL!H13*(1+$V$5)</f>
        <v>1050</v>
      </c>
      <c r="I13" s="179">
        <f t="shared" ref="I13:I72" si="2">H13*(1+$M$5)^C13</f>
        <v>1052.2483315501493</v>
      </c>
      <c r="J13" s="130">
        <f>BEL!J13</f>
        <v>0</v>
      </c>
      <c r="K13" s="130">
        <f>BEL!K13</f>
        <v>0</v>
      </c>
      <c r="L13" s="130">
        <f>BEL!L13</f>
        <v>35</v>
      </c>
      <c r="M13" s="185">
        <f t="shared" ref="M13:M44" si="3">IF(AND(C13&lt;=$E$5-1,C13&lt;&gt;0),VLOOKUP(L13,Mortality,5,FALSE)*(1+$V$3),0)</f>
        <v>8.921042540299684E-5</v>
      </c>
      <c r="N13" s="185">
        <f t="shared" ref="N13:N44" si="4">IF($AJ$7=0,0,IF(AND(C13&lt;=$E$5-1,C13&lt;&gt;0), VLOOKUP(L13,Mortality,7,FALSE)*(1+$V$3), 0))</f>
        <v>0</v>
      </c>
      <c r="O13" s="185">
        <f t="shared" ref="O13:O44" si="5">IF($AK$7=0,0,IF(AND(C13&lt;=$E$5-1,C13&lt;&gt;0), VLOOKUP(L13,Mortality,9,FALSE)*(1+$V$3), 0))</f>
        <v>0</v>
      </c>
      <c r="P13" s="185">
        <f t="shared" ref="P13:P44" si="6">IF($AL$7=0,0,IF(AND(C13&lt;=$E$5-1,C13&lt;&gt;0), VLOOKUP(L13,Mortality,11,FALSE)*(1+$V$3), 0))</f>
        <v>0</v>
      </c>
      <c r="Q13" s="185">
        <f t="shared" ref="Q13:Q44" si="7">IF($AM$7=0,0,IF(AND(C13&lt;=$E$5-1,C13&lt;&gt;0), VLOOKUP(L13,Mortality,13,FALSE)*(1+$V$3), 0))</f>
        <v>0</v>
      </c>
      <c r="R13" s="185">
        <f t="shared" ref="R13:R44" si="8">IF($AP$7=0,0,IF(AND(C13&lt;=$E$5-1,C13&lt;&gt;0), VLOOKUP(L13,Mortality,15,FALSE)*(1+$V$3), 0))</f>
        <v>0</v>
      </c>
      <c r="S13" s="185">
        <f t="shared" ref="S13:S44" si="9">IF($AQ$7=0,0,IF(AND(C13&lt;=$E$5-1,C13&lt;&gt;0), VLOOKUP(L13,Mortality,17,FALSE)*(1+$V$3), 0))</f>
        <v>0</v>
      </c>
      <c r="T13" s="185">
        <f t="shared" ref="T13:T44" si="10">IF($AR$7=0,0,IF(AND(C13&lt;=$E$5-1,C13&lt;&gt;0), VLOOKUP(L13,Mortality,19,FALSE)*(1+$V$3), 0))</f>
        <v>0</v>
      </c>
      <c r="U13" s="196">
        <f>(C13&gt;0)*(C13&lt;$E$5)*VLOOKUP(MPP,ASUMSI!$BN$77:$CR$108,B13+1)*(1+$V$4)</f>
        <v>7.1160075525250057E-4</v>
      </c>
      <c r="V13" s="185">
        <f t="shared" ref="V13:V72" si="11">IF(C13=$E$5,1,0)</f>
        <v>0</v>
      </c>
      <c r="W13" s="185">
        <v>1</v>
      </c>
      <c r="X13" s="185">
        <f>M13*$W13</f>
        <v>8.921042540299684E-5</v>
      </c>
      <c r="Y13" s="185">
        <f>U13*W13</f>
        <v>7.1160075525250057E-4</v>
      </c>
      <c r="Z13" s="185">
        <f>V13*W13</f>
        <v>0</v>
      </c>
      <c r="AA13" s="197">
        <f>IF(C13=0,0,W13-SUM(X13:Z13))</f>
        <v>0.99919918881934455</v>
      </c>
      <c r="AB13" s="185">
        <f t="shared" ref="AB13:AH13" si="12">N13*$W13</f>
        <v>0</v>
      </c>
      <c r="AC13" s="185">
        <f t="shared" si="12"/>
        <v>0</v>
      </c>
      <c r="AD13" s="185">
        <f t="shared" si="12"/>
        <v>0</v>
      </c>
      <c r="AE13" s="185">
        <f t="shared" si="12"/>
        <v>0</v>
      </c>
      <c r="AF13" s="185">
        <f t="shared" si="12"/>
        <v>0</v>
      </c>
      <c r="AG13" s="185">
        <f t="shared" si="12"/>
        <v>0</v>
      </c>
      <c r="AH13" s="185">
        <f t="shared" si="12"/>
        <v>0</v>
      </c>
      <c r="AI13" s="125">
        <f>BEL!AI13</f>
        <v>50000000</v>
      </c>
      <c r="AJ13" s="125">
        <f>BEL!AJ13</f>
        <v>0</v>
      </c>
      <c r="AK13" s="125">
        <f>BEL!AK13</f>
        <v>0</v>
      </c>
      <c r="AL13" s="125">
        <f>BEL!AL13</f>
        <v>0</v>
      </c>
      <c r="AM13" s="125">
        <f>BEL!AM13</f>
        <v>0</v>
      </c>
      <c r="AN13" s="125">
        <f>BEL!AN13</f>
        <v>0</v>
      </c>
      <c r="AO13" s="198">
        <f t="shared" ref="AO13:AO72" si="13">AN13+AO14/(1+$BS$5)</f>
        <v>0</v>
      </c>
      <c r="AP13" s="125">
        <f>BEL!AP13</f>
        <v>0</v>
      </c>
      <c r="AQ13" s="125">
        <f>BEL!AQ13</f>
        <v>0</v>
      </c>
      <c r="AR13" s="125">
        <f>BEL!AR13</f>
        <v>0</v>
      </c>
      <c r="AS13" s="125">
        <f>BEL!AS13</f>
        <v>0</v>
      </c>
      <c r="AT13" s="125">
        <f>BEL!AT13</f>
        <v>0</v>
      </c>
      <c r="AU13" s="127">
        <f>BEL!AU13</f>
        <v>161000</v>
      </c>
      <c r="AV13" s="127">
        <f>BEL!AV13</f>
        <v>0</v>
      </c>
      <c r="AW13" s="127">
        <f>BEL!AW13</f>
        <v>0</v>
      </c>
      <c r="AX13" s="127">
        <f t="shared" ref="AX13:AX44" si="14">IF(AI13=0,0,(AI13+AT13)*X13)</f>
        <v>4460.5212701498422</v>
      </c>
      <c r="AY13" s="127">
        <f>IF(AJ13=0,0,AJ13*X13)</f>
        <v>0</v>
      </c>
      <c r="AZ13" s="127">
        <f t="shared" ref="AZ13:AZ44" si="15">AK13*AC13</f>
        <v>0</v>
      </c>
      <c r="BA13" s="127">
        <f t="shared" ref="BA13:BA44" si="16">AL13*AD13</f>
        <v>0</v>
      </c>
      <c r="BB13" s="127">
        <f t="shared" ref="BB13:BB44" si="17">AM13*AE13</f>
        <v>0</v>
      </c>
      <c r="BC13" s="127">
        <f t="shared" ref="BC13:BC44" si="18">AO13*X13</f>
        <v>0</v>
      </c>
      <c r="BD13" s="127">
        <f t="shared" ref="BD13:BD44" si="19">AP13*AF13</f>
        <v>0</v>
      </c>
      <c r="BE13" s="127">
        <f t="shared" ref="BE13:BE44" si="20">AQ13*AG13</f>
        <v>0</v>
      </c>
      <c r="BF13" s="127">
        <f t="shared" ref="BF13:BF44" si="21">AR13*AH13</f>
        <v>0</v>
      </c>
      <c r="BG13" s="127">
        <f t="shared" ref="BG13:BG44" si="22">(AU13+AT13)*Y13</f>
        <v>114.56772159565259</v>
      </c>
      <c r="BH13" s="127">
        <f t="shared" ref="BH13:BH44" si="23">AV13*AA13</f>
        <v>0</v>
      </c>
      <c r="BI13" s="127">
        <f>(AW13+AT13)*Z13</f>
        <v>0</v>
      </c>
      <c r="BJ13" s="189">
        <f>SUM(AX13:BF13)+SUM(BH13:BI13)</f>
        <v>4460.5212701498422</v>
      </c>
      <c r="BK13" s="189">
        <f>BG13</f>
        <v>114.56772159565259</v>
      </c>
      <c r="BL13" s="192">
        <f>E13*$W13</f>
        <v>92000</v>
      </c>
      <c r="BM13" s="192">
        <f>F13*$W13</f>
        <v>17000</v>
      </c>
      <c r="BN13" s="192">
        <f>G13*$W13</f>
        <v>28980</v>
      </c>
      <c r="BO13" s="192">
        <f>I13*$W13</f>
        <v>1052.2483315501493</v>
      </c>
      <c r="BP13" s="192">
        <f t="shared" ref="BP13:BP14" si="24">SUM(BN13:BO13)</f>
        <v>30032.248331550149</v>
      </c>
      <c r="BQ13" s="193">
        <f>(SUM(E13:G13)+I13)*$W13</f>
        <v>139032.24833155016</v>
      </c>
      <c r="BR13" s="193">
        <f>D13*W13</f>
        <v>368000</v>
      </c>
      <c r="BS13" s="188">
        <f>(BJ13+BS14)/(1+$BS$5)</f>
        <v>84230.402296285291</v>
      </c>
      <c r="BT13" s="188">
        <f>(BK13+BT14)/(1+$BS$5)</f>
        <v>2938.9285929326288</v>
      </c>
      <c r="BU13" s="188">
        <f t="shared" ref="BU13" si="25">BL13+BU14/(1+$BS$5)</f>
        <v>92000</v>
      </c>
      <c r="BV13" s="188">
        <f t="shared" ref="BV13" si="26">BM13+BV14/(1+$BS$5)</f>
        <v>17000</v>
      </c>
      <c r="BW13" s="188">
        <f t="shared" ref="BW13" si="27">BN13+BW14/(1+$BS$5)</f>
        <v>28980</v>
      </c>
      <c r="BX13" s="188">
        <f t="shared" ref="BX13" si="28">BO13+BX14/(1+$BS$5)</f>
        <v>35711.787123653579</v>
      </c>
      <c r="BY13" s="188">
        <f t="shared" ref="BY13" si="29">BP13+BY14/(1+$BS$5)</f>
        <v>64691.787123653572</v>
      </c>
      <c r="BZ13" s="188">
        <f t="shared" ref="BZ13" si="30">BQ13+BZ14/(1+$BS$5)</f>
        <v>173691.78712365357</v>
      </c>
      <c r="CA13" s="188">
        <f t="shared" ref="CA13" si="31">BR13+CA14/(1+$BS$5)</f>
        <v>368000</v>
      </c>
      <c r="CB13" s="149">
        <f>BS13+BT13+BZ13-CA13</f>
        <v>-107138.88198712852</v>
      </c>
      <c r="CC13" s="149">
        <f>CB13-BEL!CB13</f>
        <v>2849.4615063997917</v>
      </c>
      <c r="CD13" s="189">
        <f>IF(AND(C13=0,C14=0),0,CB13/W13) - BEL!CC13</f>
        <v>2849.4615063997917</v>
      </c>
      <c r="CF13" s="195">
        <f>MAX(CD13:CD1048576)</f>
        <v>2849.4615063997917</v>
      </c>
      <c r="CG13" s="127">
        <f>CF13*$CG$8</f>
        <v>12.447860664994499</v>
      </c>
      <c r="CH13" s="128">
        <f>'DATA INPUT - DETAIL'!AH4</f>
        <v>4.9907923144500002E-2</v>
      </c>
      <c r="CI13" s="125">
        <f>-(CF13+CG13)*CH13</f>
        <v>-142.83195273799399</v>
      </c>
      <c r="CJ13" s="199">
        <f>CF13+CG13+CI13</f>
        <v>2719.0774143267922</v>
      </c>
      <c r="CL13" s="189">
        <f>IF(-BEL!CE13-'RA CSM'!CF13&lt;0,0,-BEL!CE13-'RA CSM'!CF13)</f>
        <v>107138.88198712852</v>
      </c>
      <c r="CM13" s="149">
        <f>CL13*$CM$8</f>
        <v>468.03575755760642</v>
      </c>
      <c r="CN13" s="128">
        <f>'DATA INPUT - DETAIL'!AH4</f>
        <v>4.9907923144500002E-2</v>
      </c>
      <c r="CO13" s="149">
        <f>-(CL13+CM13)*CN13</f>
        <v>-5370.4377806183284</v>
      </c>
      <c r="CP13" s="149">
        <f>CL13+CM13+CO13</f>
        <v>102236.4799640678</v>
      </c>
      <c r="CR13" s="126">
        <v>1</v>
      </c>
      <c r="CS13" s="189">
        <f>IF(-BEL!CE13-'RA CSM'!CF13&lt;0,-(-BEL!CE13-'RA CSM'!CF13),0)</f>
        <v>0</v>
      </c>
      <c r="CT13" s="200">
        <f>CS13/(BEL!CE13+BEL!CA13-BEL!BU13+'RA CSM'!CF13)</f>
        <v>0</v>
      </c>
      <c r="CU13" s="149">
        <f>$CT13*BEL!CH13</f>
        <v>0</v>
      </c>
      <c r="CV13" s="149">
        <f>$CT13*BEL!CI13</f>
        <v>0</v>
      </c>
      <c r="CW13" s="149">
        <f>$CT13*BEL!CJ13</f>
        <v>0</v>
      </c>
      <c r="CX13" s="149">
        <f>$CT13*BEL!CK13</f>
        <v>0</v>
      </c>
      <c r="CY13" s="149">
        <f>$CT13*CF13</f>
        <v>0</v>
      </c>
      <c r="CZ13" s="149">
        <f>$CT13*(BEL!CL13+'RA CSM'!CG13)</f>
        <v>0</v>
      </c>
      <c r="DA13" s="149">
        <f>CS13+SUM(CU13:CZ13)</f>
        <v>0</v>
      </c>
    </row>
    <row r="14" spans="2:105" x14ac:dyDescent="0.2">
      <c r="B14" s="130">
        <f>BEL!B14</f>
        <v>1</v>
      </c>
      <c r="C14" s="130">
        <f>BEL!C14</f>
        <v>2</v>
      </c>
      <c r="D14" s="190">
        <f>BEL!D14</f>
        <v>0</v>
      </c>
      <c r="E14" s="190">
        <f>BEL!E14</f>
        <v>0</v>
      </c>
      <c r="F14" s="190">
        <f>BEL!F14</f>
        <v>0</v>
      </c>
      <c r="G14" s="190">
        <f>BEL!G14*(1+$V$5)</f>
        <v>0</v>
      </c>
      <c r="H14" s="190">
        <f>BEL!H14*(1+$V$5)</f>
        <v>1050</v>
      </c>
      <c r="I14" s="179">
        <f t="shared" si="2"/>
        <v>1054.5014773810219</v>
      </c>
      <c r="J14" s="130">
        <f>BEL!J14</f>
        <v>0</v>
      </c>
      <c r="K14" s="130">
        <f>BEL!K14</f>
        <v>0</v>
      </c>
      <c r="L14" s="130">
        <f>BEL!L14</f>
        <v>35</v>
      </c>
      <c r="M14" s="185">
        <f t="shared" si="3"/>
        <v>8.921042540299684E-5</v>
      </c>
      <c r="N14" s="185">
        <f t="shared" si="4"/>
        <v>0</v>
      </c>
      <c r="O14" s="185">
        <f t="shared" si="5"/>
        <v>0</v>
      </c>
      <c r="P14" s="185">
        <f t="shared" si="6"/>
        <v>0</v>
      </c>
      <c r="Q14" s="185">
        <f t="shared" si="7"/>
        <v>0</v>
      </c>
      <c r="R14" s="185">
        <f t="shared" si="8"/>
        <v>0</v>
      </c>
      <c r="S14" s="185">
        <f t="shared" si="9"/>
        <v>0</v>
      </c>
      <c r="T14" s="185">
        <f t="shared" si="10"/>
        <v>0</v>
      </c>
      <c r="U14" s="196">
        <f>(C14&gt;0)*(C14&lt;$E$5)*VLOOKUP(MPP,ASUMSI!$BN$77:$CR$108,B14+1)*(1+$V$4)</f>
        <v>7.1160075525250057E-4</v>
      </c>
      <c r="V14" s="185">
        <f t="shared" si="11"/>
        <v>0</v>
      </c>
      <c r="W14" s="185">
        <f>AA13</f>
        <v>0.99919918881934455</v>
      </c>
      <c r="X14" s="185">
        <f t="shared" ref="X14:X72" si="32">M14*$W14</f>
        <v>8.9138984696903091E-5</v>
      </c>
      <c r="Y14" s="185">
        <f t="shared" ref="Y14:Y72" si="33">U14*W14</f>
        <v>7.1103089741153156E-4</v>
      </c>
      <c r="Z14" s="185">
        <f t="shared" ref="Z14:Z72" si="34">V14*W14</f>
        <v>0</v>
      </c>
      <c r="AA14" s="197">
        <f t="shared" ref="AA14:AA72" si="35">IF(C14=0,0,W14-SUM(X14:Z14))</f>
        <v>0.99839901893723615</v>
      </c>
      <c r="AB14" s="185">
        <f t="shared" ref="AB14:AD44" si="36">N14*$AA13</f>
        <v>0</v>
      </c>
      <c r="AC14" s="185">
        <f t="shared" si="36"/>
        <v>0</v>
      </c>
      <c r="AD14" s="185">
        <f t="shared" si="36"/>
        <v>0</v>
      </c>
      <c r="AE14" s="185">
        <f t="shared" ref="AE14:AE44" si="37">Q14*$AA13</f>
        <v>0</v>
      </c>
      <c r="AF14" s="185">
        <f t="shared" ref="AF14:AF44" si="38">R14*$AA13</f>
        <v>0</v>
      </c>
      <c r="AG14" s="185">
        <f t="shared" ref="AG14:AG44" si="39">S14*$AA13</f>
        <v>0</v>
      </c>
      <c r="AH14" s="185">
        <f t="shared" ref="AH14:AH44" si="40">T14*$AA13</f>
        <v>0</v>
      </c>
      <c r="AI14" s="125">
        <f>BEL!AI14</f>
        <v>48975154.165299997</v>
      </c>
      <c r="AJ14" s="125">
        <f>BEL!AJ14</f>
        <v>0</v>
      </c>
      <c r="AK14" s="125">
        <f>BEL!AK14</f>
        <v>0</v>
      </c>
      <c r="AL14" s="125">
        <f>BEL!AL14</f>
        <v>0</v>
      </c>
      <c r="AM14" s="125">
        <f>BEL!AM14</f>
        <v>0</v>
      </c>
      <c r="AN14" s="125">
        <f>BEL!AN14</f>
        <v>0</v>
      </c>
      <c r="AO14" s="198">
        <f t="shared" si="13"/>
        <v>0</v>
      </c>
      <c r="AP14" s="125">
        <f>BEL!AP14</f>
        <v>0</v>
      </c>
      <c r="AQ14" s="125">
        <f>BEL!AQ14</f>
        <v>0</v>
      </c>
      <c r="AR14" s="125">
        <f>BEL!AR14</f>
        <v>0</v>
      </c>
      <c r="AS14" s="125">
        <f>BEL!AS14</f>
        <v>0</v>
      </c>
      <c r="AT14" s="125">
        <f>BEL!AT14</f>
        <v>0</v>
      </c>
      <c r="AU14" s="127">
        <f>BEL!AU14</f>
        <v>156400</v>
      </c>
      <c r="AV14" s="127">
        <f>BEL!AV14</f>
        <v>0</v>
      </c>
      <c r="AW14" s="127">
        <f>BEL!AW14</f>
        <v>0</v>
      </c>
      <c r="AX14" s="127">
        <f t="shared" si="14"/>
        <v>4365.5955176691459</v>
      </c>
      <c r="AY14" s="127">
        <f t="shared" ref="AY14:AY72" si="41">IF(AJ14=0,0,AJ14*X14)</f>
        <v>0</v>
      </c>
      <c r="AZ14" s="127">
        <f t="shared" si="15"/>
        <v>0</v>
      </c>
      <c r="BA14" s="127">
        <f t="shared" si="16"/>
        <v>0</v>
      </c>
      <c r="BB14" s="127">
        <f t="shared" si="17"/>
        <v>0</v>
      </c>
      <c r="BC14" s="127">
        <f t="shared" si="18"/>
        <v>0</v>
      </c>
      <c r="BD14" s="127">
        <f t="shared" si="19"/>
        <v>0</v>
      </c>
      <c r="BE14" s="127">
        <f t="shared" si="20"/>
        <v>0</v>
      </c>
      <c r="BF14" s="127">
        <f t="shared" si="21"/>
        <v>0</v>
      </c>
      <c r="BG14" s="127">
        <f t="shared" si="22"/>
        <v>111.20523235516353</v>
      </c>
      <c r="BH14" s="127">
        <f t="shared" si="23"/>
        <v>0</v>
      </c>
      <c r="BI14" s="127">
        <f t="shared" ref="BI14:BI72" si="42">(AW14+AT14)*Z14</f>
        <v>0</v>
      </c>
      <c r="BJ14" s="189">
        <f t="shared" ref="BJ14" si="43">SUM(AX14:BF14)+SUM(BH14:BI14)</f>
        <v>4365.5955176691459</v>
      </c>
      <c r="BK14" s="189">
        <f>BG14</f>
        <v>111.20523235516353</v>
      </c>
      <c r="BL14" s="192">
        <f t="shared" ref="BL14:BN14" si="44">E14*$W14</f>
        <v>0</v>
      </c>
      <c r="BM14" s="192">
        <f t="shared" si="44"/>
        <v>0</v>
      </c>
      <c r="BN14" s="192">
        <f t="shared" si="44"/>
        <v>0</v>
      </c>
      <c r="BO14" s="192">
        <f t="shared" ref="BO14" si="45">I14*$W14</f>
        <v>1053.6570208079174</v>
      </c>
      <c r="BP14" s="192">
        <f t="shared" si="24"/>
        <v>1053.6570208079174</v>
      </c>
      <c r="BQ14" s="193">
        <f t="shared" ref="BQ14:BQ72" si="46">(SUM(E14:G14)+I14)*$W14</f>
        <v>1053.6570208079174</v>
      </c>
      <c r="BR14" s="193">
        <f t="shared" ref="BR14" si="47">D14*W14</f>
        <v>0</v>
      </c>
      <c r="BS14" s="188">
        <f t="shared" ref="BS14:BS77" si="48">(BJ14+BS15)/(1+$BS$5)</f>
        <v>80137.841186041362</v>
      </c>
      <c r="BT14" s="188">
        <f t="shared" ref="BT14:BT77" si="49">(BK14+BT15)/(1+$BS$5)</f>
        <v>2837.1995685950474</v>
      </c>
      <c r="BU14" s="188">
        <f t="shared" ref="BU14:BU77" si="50">BL14+BU15/(1+$BS$5)</f>
        <v>0</v>
      </c>
      <c r="BV14" s="188">
        <f t="shared" ref="BV14:BV77" si="51">BM14+BV15/(1+$BS$5)</f>
        <v>0</v>
      </c>
      <c r="BW14" s="188">
        <f t="shared" ref="BW14:BW77" si="52">BN14+BW15/(1+$BS$5)</f>
        <v>0</v>
      </c>
      <c r="BX14" s="188">
        <f t="shared" ref="BX14:BX77" si="53">BO14+BX15/(1+$BS$5)</f>
        <v>34810.948842257843</v>
      </c>
      <c r="BY14" s="188">
        <f t="shared" ref="BY14:BY77" si="54">BP14+BY15/(1+$BS$5)</f>
        <v>34810.948842257843</v>
      </c>
      <c r="BZ14" s="188">
        <f t="shared" ref="BZ14:BZ77" si="55">BQ14+BZ15/(1+$BS$5)</f>
        <v>34810.948842257843</v>
      </c>
      <c r="CA14" s="188">
        <f t="shared" ref="CA14:CA77" si="56">BR14+CA15/(1+$BS$5)</f>
        <v>0</v>
      </c>
      <c r="CB14" s="149">
        <f t="shared" ref="CB14:CB77" si="57">BS14+BT14+BZ14-CA14</f>
        <v>117785.98959689426</v>
      </c>
      <c r="CC14" s="149">
        <f>CB14-BEL!CB14</f>
        <v>1445.7727201592788</v>
      </c>
      <c r="CD14" s="189">
        <f>IF(AND(C14=0,C15=0),0,CB14/W14) - BEL!CC14</f>
        <v>1432.2965632193373</v>
      </c>
      <c r="CF14" s="195">
        <f>CJ13</f>
        <v>2719.0774143267922</v>
      </c>
      <c r="CG14" s="127">
        <f>CF14*$CG$8</f>
        <v>11.878278304463816</v>
      </c>
      <c r="CH14" s="128">
        <f>'DATA INPUT - DETAIL'!AH5</f>
        <v>5.1403804452800003E-2</v>
      </c>
      <c r="CI14" s="125">
        <f>-(CF14+CG14)*CH14</f>
        <v>-140.38151239327809</v>
      </c>
      <c r="CJ14" s="199">
        <f>CF14+CG14+CI14</f>
        <v>2590.574180237978</v>
      </c>
      <c r="CL14" s="189">
        <f>CP13</f>
        <v>102236.4799640678</v>
      </c>
      <c r="CM14" s="149">
        <f t="shared" ref="CM14:CM72" si="58">CL14*$CM$8</f>
        <v>446.61963483765095</v>
      </c>
      <c r="CN14" s="128">
        <f>'DATA INPUT - DETAIL'!AH5</f>
        <v>5.1403804452800003E-2</v>
      </c>
      <c r="CO14" s="149">
        <f t="shared" ref="CO14:CO72" si="59">-(CL14+CM14)*CN14</f>
        <v>-5278.3019723895222</v>
      </c>
      <c r="CP14" s="149">
        <f t="shared" ref="CP14:CP77" si="60">CL14+CM14+CO14</f>
        <v>97404.797626515923</v>
      </c>
      <c r="CR14" s="126">
        <f>+CR13+1</f>
        <v>2</v>
      </c>
      <c r="CS14" s="189">
        <f>DA13</f>
        <v>0</v>
      </c>
      <c r="CT14" s="200">
        <f>CS14/(BEL!CE14+BEL!CA14-BEL!BU14+'RA CSM'!CF14)</f>
        <v>0</v>
      </c>
      <c r="CU14" s="149">
        <f>$CT14*BEL!CH14</f>
        <v>0</v>
      </c>
      <c r="CV14" s="149">
        <f>$CT14*BEL!CI14</f>
        <v>0</v>
      </c>
      <c r="CW14" s="149">
        <f>$CT14*BEL!CJ14</f>
        <v>0</v>
      </c>
      <c r="CX14" s="149">
        <f>$CT14*BEL!CK14</f>
        <v>0</v>
      </c>
      <c r="CY14" s="149">
        <f t="shared" ref="CY14:CY77" si="61">$CT14*CF14</f>
        <v>0</v>
      </c>
      <c r="CZ14" s="149">
        <f>$CT14*(BEL!CL14+'RA CSM'!CG14)</f>
        <v>0</v>
      </c>
      <c r="DA14" s="149">
        <f t="shared" ref="DA14:DA77" si="62">CS14+SUM(CU14:CZ14)</f>
        <v>0</v>
      </c>
    </row>
    <row r="15" spans="2:105" x14ac:dyDescent="0.2">
      <c r="B15" s="130">
        <f>BEL!B15</f>
        <v>1</v>
      </c>
      <c r="C15" s="130">
        <f>BEL!C15</f>
        <v>3</v>
      </c>
      <c r="D15" s="190">
        <f>BEL!D15</f>
        <v>0</v>
      </c>
      <c r="E15" s="190">
        <f>BEL!E15</f>
        <v>0</v>
      </c>
      <c r="F15" s="190">
        <f>BEL!F15</f>
        <v>0</v>
      </c>
      <c r="G15" s="190">
        <f>BEL!G15*(1+$V$5)</f>
        <v>0</v>
      </c>
      <c r="H15" s="190">
        <f>BEL!H15*(1+$V$5)</f>
        <v>1050</v>
      </c>
      <c r="I15" s="179">
        <f t="shared" si="2"/>
        <v>1056.7594478012836</v>
      </c>
      <c r="J15" s="130">
        <f>BEL!J15</f>
        <v>0</v>
      </c>
      <c r="K15" s="130">
        <f>BEL!K15</f>
        <v>0</v>
      </c>
      <c r="L15" s="130">
        <f>BEL!L15</f>
        <v>35</v>
      </c>
      <c r="M15" s="185">
        <f t="shared" si="3"/>
        <v>8.921042540299684E-5</v>
      </c>
      <c r="N15" s="185">
        <f t="shared" si="4"/>
        <v>0</v>
      </c>
      <c r="O15" s="185">
        <f t="shared" si="5"/>
        <v>0</v>
      </c>
      <c r="P15" s="185">
        <f t="shared" si="6"/>
        <v>0</v>
      </c>
      <c r="Q15" s="185">
        <f t="shared" si="7"/>
        <v>0</v>
      </c>
      <c r="R15" s="185">
        <f t="shared" si="8"/>
        <v>0</v>
      </c>
      <c r="S15" s="185">
        <f t="shared" si="9"/>
        <v>0</v>
      </c>
      <c r="T15" s="185">
        <f t="shared" si="10"/>
        <v>0</v>
      </c>
      <c r="U15" s="196">
        <f>(C15&gt;0)*(C15&lt;$E$5)*VLOOKUP(MPP,ASUMSI!$BN$77:$CR$108,B15+1)*(1+$V$4)</f>
        <v>7.1160075525250057E-4</v>
      </c>
      <c r="V15" s="185">
        <f t="shared" si="11"/>
        <v>0</v>
      </c>
      <c r="W15" s="185">
        <f t="shared" ref="W15:W72" si="63">AA14</f>
        <v>0.99839901893723615</v>
      </c>
      <c r="X15" s="185">
        <f t="shared" si="32"/>
        <v>8.9067601201325532E-5</v>
      </c>
      <c r="Y15" s="185">
        <f t="shared" si="33"/>
        <v>7.1046149591909291E-4</v>
      </c>
      <c r="Z15" s="185">
        <f t="shared" si="34"/>
        <v>0</v>
      </c>
      <c r="AA15" s="197">
        <f t="shared" si="35"/>
        <v>0.99759948984011571</v>
      </c>
      <c r="AB15" s="185">
        <f t="shared" si="36"/>
        <v>0</v>
      </c>
      <c r="AC15" s="185">
        <f t="shared" si="36"/>
        <v>0</v>
      </c>
      <c r="AD15" s="185">
        <f t="shared" si="36"/>
        <v>0</v>
      </c>
      <c r="AE15" s="185">
        <f t="shared" si="37"/>
        <v>0</v>
      </c>
      <c r="AF15" s="185">
        <f t="shared" si="38"/>
        <v>0</v>
      </c>
      <c r="AG15" s="185">
        <f t="shared" si="39"/>
        <v>0</v>
      </c>
      <c r="AH15" s="185">
        <f t="shared" si="40"/>
        <v>0</v>
      </c>
      <c r="AI15" s="125">
        <f>BEL!AI15</f>
        <v>47933227.566799998</v>
      </c>
      <c r="AJ15" s="125">
        <f>BEL!AJ15</f>
        <v>0</v>
      </c>
      <c r="AK15" s="125">
        <f>BEL!AK15</f>
        <v>0</v>
      </c>
      <c r="AL15" s="125">
        <f>BEL!AL15</f>
        <v>0</v>
      </c>
      <c r="AM15" s="125">
        <f>BEL!AM15</f>
        <v>0</v>
      </c>
      <c r="AN15" s="125">
        <f>BEL!AN15</f>
        <v>0</v>
      </c>
      <c r="AO15" s="198">
        <f t="shared" si="13"/>
        <v>0</v>
      </c>
      <c r="AP15" s="125">
        <f>BEL!AP15</f>
        <v>0</v>
      </c>
      <c r="AQ15" s="125">
        <f>BEL!AQ15</f>
        <v>0</v>
      </c>
      <c r="AR15" s="125">
        <f>BEL!AR15</f>
        <v>0</v>
      </c>
      <c r="AS15" s="125">
        <f>BEL!AS15</f>
        <v>0</v>
      </c>
      <c r="AT15" s="125">
        <f>BEL!AT15</f>
        <v>0</v>
      </c>
      <c r="AU15" s="127">
        <f>BEL!AU15</f>
        <v>151800</v>
      </c>
      <c r="AV15" s="127">
        <f>BEL!AV15</f>
        <v>0</v>
      </c>
      <c r="AW15" s="127">
        <f>BEL!AW15</f>
        <v>0</v>
      </c>
      <c r="AX15" s="127">
        <f t="shared" si="14"/>
        <v>4269.2975972121258</v>
      </c>
      <c r="AY15" s="127">
        <f t="shared" si="41"/>
        <v>0</v>
      </c>
      <c r="AZ15" s="127">
        <f t="shared" si="15"/>
        <v>0</v>
      </c>
      <c r="BA15" s="127">
        <f t="shared" si="16"/>
        <v>0</v>
      </c>
      <c r="BB15" s="127">
        <f t="shared" si="17"/>
        <v>0</v>
      </c>
      <c r="BC15" s="127">
        <f t="shared" si="18"/>
        <v>0</v>
      </c>
      <c r="BD15" s="127">
        <f t="shared" si="19"/>
        <v>0</v>
      </c>
      <c r="BE15" s="127">
        <f t="shared" si="20"/>
        <v>0</v>
      </c>
      <c r="BF15" s="127">
        <f t="shared" si="21"/>
        <v>0</v>
      </c>
      <c r="BG15" s="127">
        <f t="shared" si="22"/>
        <v>107.84805508051831</v>
      </c>
      <c r="BH15" s="127">
        <f t="shared" si="23"/>
        <v>0</v>
      </c>
      <c r="BI15" s="127">
        <f t="shared" si="42"/>
        <v>0</v>
      </c>
      <c r="BJ15" s="189">
        <f t="shared" ref="BJ15:BJ72" si="64">SUM(AX15:BF15)+SUM(BH15:BI15)</f>
        <v>4269.2975972121258</v>
      </c>
      <c r="BK15" s="189">
        <f t="shared" ref="BK15:BK72" si="65">BG15</f>
        <v>107.84805508051831</v>
      </c>
      <c r="BL15" s="192">
        <f t="shared" ref="BL15:BL72" si="66">E15*$W15</f>
        <v>0</v>
      </c>
      <c r="BM15" s="192">
        <f t="shared" ref="BM15:BM72" si="67">F15*$W15</f>
        <v>0</v>
      </c>
      <c r="BN15" s="192">
        <f t="shared" ref="BN15:BN72" si="68">G15*$W15</f>
        <v>0</v>
      </c>
      <c r="BO15" s="192">
        <f t="shared" ref="BO15:BO72" si="69">I15*$W15</f>
        <v>1055.0675959374569</v>
      </c>
      <c r="BP15" s="192">
        <f t="shared" ref="BP15:BP72" si="70">SUM(BN15:BO15)</f>
        <v>1055.0675959374569</v>
      </c>
      <c r="BQ15" s="193">
        <f t="shared" si="46"/>
        <v>1055.0675959374569</v>
      </c>
      <c r="BR15" s="193">
        <f t="shared" ref="BR15:BR72" si="71">D15*W15</f>
        <v>0</v>
      </c>
      <c r="BS15" s="188">
        <f t="shared" si="48"/>
        <v>76122.327492196418</v>
      </c>
      <c r="BT15" s="188">
        <f t="shared" si="49"/>
        <v>2738.3886306808977</v>
      </c>
      <c r="BU15" s="188">
        <f t="shared" si="50"/>
        <v>0</v>
      </c>
      <c r="BV15" s="188">
        <f t="shared" si="51"/>
        <v>0</v>
      </c>
      <c r="BW15" s="188">
        <f t="shared" si="52"/>
        <v>0</v>
      </c>
      <c r="BX15" s="188">
        <f t="shared" si="53"/>
        <v>33904.760409489179</v>
      </c>
      <c r="BY15" s="188">
        <f t="shared" si="54"/>
        <v>33904.760409489179</v>
      </c>
      <c r="BZ15" s="188">
        <f t="shared" si="55"/>
        <v>33904.760409489179</v>
      </c>
      <c r="CA15" s="188">
        <f t="shared" si="56"/>
        <v>0</v>
      </c>
      <c r="CB15" s="149">
        <f t="shared" si="57"/>
        <v>112765.47653236651</v>
      </c>
      <c r="CC15" s="149">
        <f>CB15-BEL!CB15</f>
        <v>1420.6279313772538</v>
      </c>
      <c r="CD15" s="189">
        <f>IF(AND(C15=0,C16=0),0,CB15/W15) - BEL!CC15</f>
        <v>1394.8687847873371</v>
      </c>
      <c r="CF15" s="195">
        <f t="shared" ref="CF15:CF72" si="72">CJ14</f>
        <v>2590.574180237978</v>
      </c>
      <c r="CG15" s="127">
        <f t="shared" ref="CG15:CG72" si="73">CF15*$CG$8</f>
        <v>11.316912464165181</v>
      </c>
      <c r="CH15" s="128">
        <f>'DATA INPUT - DETAIL'!AH6</f>
        <v>5.29859192947E-2</v>
      </c>
      <c r="CI15" s="125">
        <f t="shared" ref="CI15:CI72" si="74">-(CF15+CG15)*CH15</f>
        <v>-137.86359145151457</v>
      </c>
      <c r="CJ15" s="199">
        <f t="shared" ref="CJ15:CJ72" si="75">CF15+CG15+CI15</f>
        <v>2464.027501250629</v>
      </c>
      <c r="CL15" s="189">
        <f t="shared" ref="CL15:CL72" si="76">CP14</f>
        <v>97404.797626515923</v>
      </c>
      <c r="CM15" s="149">
        <f t="shared" si="58"/>
        <v>425.51245076786125</v>
      </c>
      <c r="CN15" s="128">
        <f>'DATA INPUT - DETAIL'!AH6</f>
        <v>5.29859192947E-2</v>
      </c>
      <c r="CO15" s="149">
        <f t="shared" si="59"/>
        <v>-5183.6289143304348</v>
      </c>
      <c r="CP15" s="149">
        <f t="shared" si="60"/>
        <v>92646.681162953348</v>
      </c>
      <c r="CR15" s="126">
        <f t="shared" ref="CR15:CR78" si="77">+CR14+1</f>
        <v>3</v>
      </c>
      <c r="CS15" s="189">
        <f t="shared" ref="CS15:CS78" si="78">DA14</f>
        <v>0</v>
      </c>
      <c r="CT15" s="200">
        <f>CS15/(BEL!CE15+BEL!CA15-BEL!BU15+'RA CSM'!CF15)</f>
        <v>0</v>
      </c>
      <c r="CU15" s="149">
        <f>$CT15*BEL!CH15</f>
        <v>0</v>
      </c>
      <c r="CV15" s="149">
        <f>$CT15*BEL!CI15</f>
        <v>0</v>
      </c>
      <c r="CW15" s="149">
        <f>$CT15*BEL!CJ15</f>
        <v>0</v>
      </c>
      <c r="CX15" s="149">
        <f>$CT15*BEL!CK15</f>
        <v>0</v>
      </c>
      <c r="CY15" s="149">
        <f t="shared" si="61"/>
        <v>0</v>
      </c>
      <c r="CZ15" s="149">
        <f>$CT15*(BEL!CL15+'RA CSM'!CG15)</f>
        <v>0</v>
      </c>
      <c r="DA15" s="149">
        <f t="shared" si="62"/>
        <v>0</v>
      </c>
    </row>
    <row r="16" spans="2:105" x14ac:dyDescent="0.2">
      <c r="B16" s="130">
        <f>BEL!B16</f>
        <v>1</v>
      </c>
      <c r="C16" s="130">
        <f>BEL!C16</f>
        <v>4</v>
      </c>
      <c r="D16" s="190">
        <f>BEL!D16</f>
        <v>0</v>
      </c>
      <c r="E16" s="190">
        <f>BEL!E16</f>
        <v>0</v>
      </c>
      <c r="F16" s="190">
        <f>BEL!F16</f>
        <v>0</v>
      </c>
      <c r="G16" s="190">
        <f>BEL!G16*(1+$V$5)</f>
        <v>0</v>
      </c>
      <c r="H16" s="190">
        <f>BEL!H16*(1+$V$5)</f>
        <v>1050</v>
      </c>
      <c r="I16" s="179">
        <f t="shared" si="2"/>
        <v>1059.0222531416739</v>
      </c>
      <c r="J16" s="130">
        <f>BEL!J16</f>
        <v>0</v>
      </c>
      <c r="K16" s="130">
        <f>BEL!K16</f>
        <v>0</v>
      </c>
      <c r="L16" s="130">
        <f>BEL!L16</f>
        <v>35</v>
      </c>
      <c r="M16" s="185">
        <f t="shared" si="3"/>
        <v>8.921042540299684E-5</v>
      </c>
      <c r="N16" s="185">
        <f t="shared" si="4"/>
        <v>0</v>
      </c>
      <c r="O16" s="185">
        <f t="shared" si="5"/>
        <v>0</v>
      </c>
      <c r="P16" s="185">
        <f t="shared" si="6"/>
        <v>0</v>
      </c>
      <c r="Q16" s="185">
        <f t="shared" si="7"/>
        <v>0</v>
      </c>
      <c r="R16" s="185">
        <f t="shared" si="8"/>
        <v>0</v>
      </c>
      <c r="S16" s="185">
        <f t="shared" si="9"/>
        <v>0</v>
      </c>
      <c r="T16" s="185">
        <f t="shared" si="10"/>
        <v>0</v>
      </c>
      <c r="U16" s="196">
        <f>(C16&gt;0)*(C16&lt;$E$5)*VLOOKUP(MPP,ASUMSI!$BN$77:$CR$108,B16+1)*(1+$V$4)</f>
        <v>7.1160075525250057E-4</v>
      </c>
      <c r="V16" s="185">
        <f t="shared" si="11"/>
        <v>0</v>
      </c>
      <c r="W16" s="185">
        <f t="shared" si="63"/>
        <v>0.99759948984011571</v>
      </c>
      <c r="X16" s="185">
        <f t="shared" si="32"/>
        <v>8.8996274870449345E-5</v>
      </c>
      <c r="Y16" s="185">
        <f t="shared" si="33"/>
        <v>7.0989255040973564E-4</v>
      </c>
      <c r="Z16" s="185">
        <f t="shared" si="34"/>
        <v>0</v>
      </c>
      <c r="AA16" s="197">
        <f t="shared" si="35"/>
        <v>0.99680060101483547</v>
      </c>
      <c r="AB16" s="185">
        <f t="shared" si="36"/>
        <v>0</v>
      </c>
      <c r="AC16" s="185">
        <f t="shared" si="36"/>
        <v>0</v>
      </c>
      <c r="AD16" s="185">
        <f t="shared" si="36"/>
        <v>0</v>
      </c>
      <c r="AE16" s="185">
        <f t="shared" si="37"/>
        <v>0</v>
      </c>
      <c r="AF16" s="185">
        <f t="shared" si="38"/>
        <v>0</v>
      </c>
      <c r="AG16" s="185">
        <f t="shared" si="39"/>
        <v>0</v>
      </c>
      <c r="AH16" s="185">
        <f t="shared" si="40"/>
        <v>0</v>
      </c>
      <c r="AI16" s="125">
        <f>BEL!AI16</f>
        <v>46873935.524899997</v>
      </c>
      <c r="AJ16" s="125">
        <f>BEL!AJ16</f>
        <v>0</v>
      </c>
      <c r="AK16" s="125">
        <f>BEL!AK16</f>
        <v>0</v>
      </c>
      <c r="AL16" s="125">
        <f>BEL!AL16</f>
        <v>0</v>
      </c>
      <c r="AM16" s="125">
        <f>BEL!AM16</f>
        <v>0</v>
      </c>
      <c r="AN16" s="125">
        <f>BEL!AN16</f>
        <v>0</v>
      </c>
      <c r="AO16" s="198">
        <f t="shared" si="13"/>
        <v>0</v>
      </c>
      <c r="AP16" s="125">
        <f>BEL!AP16</f>
        <v>0</v>
      </c>
      <c r="AQ16" s="125">
        <f>BEL!AQ16</f>
        <v>0</v>
      </c>
      <c r="AR16" s="125">
        <f>BEL!AR16</f>
        <v>0</v>
      </c>
      <c r="AS16" s="125">
        <f>BEL!AS16</f>
        <v>0</v>
      </c>
      <c r="AT16" s="125">
        <f>BEL!AT16</f>
        <v>0</v>
      </c>
      <c r="AU16" s="127">
        <f>BEL!AU16</f>
        <v>147200</v>
      </c>
      <c r="AV16" s="127">
        <f>BEL!AV16</f>
        <v>0</v>
      </c>
      <c r="AW16" s="127">
        <f>BEL!AW16</f>
        <v>0</v>
      </c>
      <c r="AX16" s="127">
        <f t="shared" si="14"/>
        <v>4171.6056502337206</v>
      </c>
      <c r="AY16" s="127">
        <f t="shared" si="41"/>
        <v>0</v>
      </c>
      <c r="AZ16" s="127">
        <f t="shared" si="15"/>
        <v>0</v>
      </c>
      <c r="BA16" s="127">
        <f t="shared" si="16"/>
        <v>0</v>
      </c>
      <c r="BB16" s="127">
        <f t="shared" si="17"/>
        <v>0</v>
      </c>
      <c r="BC16" s="127">
        <f t="shared" si="18"/>
        <v>0</v>
      </c>
      <c r="BD16" s="127">
        <f t="shared" si="19"/>
        <v>0</v>
      </c>
      <c r="BE16" s="127">
        <f t="shared" si="20"/>
        <v>0</v>
      </c>
      <c r="BF16" s="127">
        <f t="shared" si="21"/>
        <v>0</v>
      </c>
      <c r="BG16" s="127">
        <f t="shared" si="22"/>
        <v>104.49618342031309</v>
      </c>
      <c r="BH16" s="127">
        <f t="shared" si="23"/>
        <v>0</v>
      </c>
      <c r="BI16" s="127">
        <f t="shared" si="42"/>
        <v>0</v>
      </c>
      <c r="BJ16" s="189">
        <f t="shared" si="64"/>
        <v>4171.6056502337206</v>
      </c>
      <c r="BK16" s="189">
        <f t="shared" si="65"/>
        <v>104.49618342031309</v>
      </c>
      <c r="BL16" s="192">
        <f t="shared" si="66"/>
        <v>0</v>
      </c>
      <c r="BM16" s="192">
        <f t="shared" si="67"/>
        <v>0</v>
      </c>
      <c r="BN16" s="192">
        <f t="shared" si="68"/>
        <v>0</v>
      </c>
      <c r="BO16" s="192">
        <f t="shared" si="69"/>
        <v>1056.4800594634637</v>
      </c>
      <c r="BP16" s="192">
        <f t="shared" si="70"/>
        <v>1056.4800594634637</v>
      </c>
      <c r="BQ16" s="193">
        <f t="shared" si="46"/>
        <v>1056.4800594634637</v>
      </c>
      <c r="BR16" s="193">
        <f t="shared" si="71"/>
        <v>0</v>
      </c>
      <c r="BS16" s="188">
        <f t="shared" si="48"/>
        <v>72185.569964042879</v>
      </c>
      <c r="BT16" s="188">
        <f t="shared" si="49"/>
        <v>2642.5032148726636</v>
      </c>
      <c r="BU16" s="188">
        <f t="shared" si="50"/>
        <v>0</v>
      </c>
      <c r="BV16" s="188">
        <f t="shared" si="51"/>
        <v>0</v>
      </c>
      <c r="BW16" s="188">
        <f t="shared" si="52"/>
        <v>0</v>
      </c>
      <c r="BX16" s="188">
        <f t="shared" si="53"/>
        <v>32993.196559123498</v>
      </c>
      <c r="BY16" s="188">
        <f t="shared" si="54"/>
        <v>32993.196559123498</v>
      </c>
      <c r="BZ16" s="188">
        <f t="shared" si="55"/>
        <v>32993.196559123498</v>
      </c>
      <c r="CA16" s="188">
        <f t="shared" si="56"/>
        <v>0</v>
      </c>
      <c r="CB16" s="149">
        <f t="shared" si="57"/>
        <v>107821.26973803903</v>
      </c>
      <c r="CC16" s="149">
        <f>CB16-BEL!CB16</f>
        <v>1394.0465706236719</v>
      </c>
      <c r="CD16" s="189">
        <f>IF(AND(C16=0,C17=0),0,CB16/W16) - BEL!CC16</f>
        <v>1357.1679365331656</v>
      </c>
      <c r="CF16" s="195">
        <f t="shared" si="72"/>
        <v>2464.027501250629</v>
      </c>
      <c r="CG16" s="127">
        <f t="shared" si="73"/>
        <v>10.764093826638623</v>
      </c>
      <c r="CH16" s="128">
        <f>'DATA INPUT - DETAIL'!AH7</f>
        <v>5.4661879976700002E-2</v>
      </c>
      <c r="CI16" s="125">
        <f t="shared" si="74"/>
        <v>-135.27676113745954</v>
      </c>
      <c r="CJ16" s="199">
        <f t="shared" si="75"/>
        <v>2339.5148339398079</v>
      </c>
      <c r="CL16" s="189">
        <f t="shared" si="76"/>
        <v>92646.681162953348</v>
      </c>
      <c r="CM16" s="149">
        <f t="shared" si="58"/>
        <v>404.72663891070215</v>
      </c>
      <c r="CN16" s="128">
        <f>'DATA INPUT - DETAIL'!AH7</f>
        <v>5.4661879976700002E-2</v>
      </c>
      <c r="CO16" s="149">
        <f t="shared" si="59"/>
        <v>-5086.3648849284582</v>
      </c>
      <c r="CP16" s="149">
        <f t="shared" si="60"/>
        <v>87965.042916935578</v>
      </c>
      <c r="CR16" s="126">
        <f t="shared" si="77"/>
        <v>4</v>
      </c>
      <c r="CS16" s="189">
        <f t="shared" si="78"/>
        <v>0</v>
      </c>
      <c r="CT16" s="200">
        <f>CS16/(BEL!CE16+BEL!CA16-BEL!BU16+'RA CSM'!CF16)</f>
        <v>0</v>
      </c>
      <c r="CU16" s="149">
        <f>$CT16*BEL!CH16</f>
        <v>0</v>
      </c>
      <c r="CV16" s="149">
        <f>$CT16*BEL!CI16</f>
        <v>0</v>
      </c>
      <c r="CW16" s="149">
        <f>$CT16*BEL!CJ16</f>
        <v>0</v>
      </c>
      <c r="CX16" s="149">
        <f>$CT16*BEL!CK16</f>
        <v>0</v>
      </c>
      <c r="CY16" s="149">
        <f t="shared" si="61"/>
        <v>0</v>
      </c>
      <c r="CZ16" s="149">
        <f>$CT16*(BEL!CL16+'RA CSM'!CG16)</f>
        <v>0</v>
      </c>
      <c r="DA16" s="149">
        <f t="shared" si="62"/>
        <v>0</v>
      </c>
    </row>
    <row r="17" spans="2:105" x14ac:dyDescent="0.2">
      <c r="B17" s="130">
        <f>BEL!B17</f>
        <v>1</v>
      </c>
      <c r="C17" s="130">
        <f>BEL!C17</f>
        <v>5</v>
      </c>
      <c r="D17" s="190">
        <f>BEL!D17</f>
        <v>0</v>
      </c>
      <c r="E17" s="190">
        <f>BEL!E17</f>
        <v>0</v>
      </c>
      <c r="F17" s="190">
        <f>BEL!F17</f>
        <v>0</v>
      </c>
      <c r="G17" s="190">
        <f>BEL!G17*(1+$V$5)</f>
        <v>0</v>
      </c>
      <c r="H17" s="190">
        <f>BEL!H17*(1+$V$5)</f>
        <v>1050</v>
      </c>
      <c r="I17" s="179">
        <f t="shared" si="2"/>
        <v>1061.2899037550535</v>
      </c>
      <c r="J17" s="130">
        <f>BEL!J17</f>
        <v>0</v>
      </c>
      <c r="K17" s="130">
        <f>BEL!K17</f>
        <v>0</v>
      </c>
      <c r="L17" s="130">
        <f>BEL!L17</f>
        <v>35</v>
      </c>
      <c r="M17" s="185">
        <f t="shared" si="3"/>
        <v>8.921042540299684E-5</v>
      </c>
      <c r="N17" s="185">
        <f t="shared" si="4"/>
        <v>0</v>
      </c>
      <c r="O17" s="185">
        <f t="shared" si="5"/>
        <v>0</v>
      </c>
      <c r="P17" s="185">
        <f t="shared" si="6"/>
        <v>0</v>
      </c>
      <c r="Q17" s="185">
        <f t="shared" si="7"/>
        <v>0</v>
      </c>
      <c r="R17" s="185">
        <f t="shared" si="8"/>
        <v>0</v>
      </c>
      <c r="S17" s="185">
        <f t="shared" si="9"/>
        <v>0</v>
      </c>
      <c r="T17" s="185">
        <f t="shared" si="10"/>
        <v>0</v>
      </c>
      <c r="U17" s="196">
        <f>(C17&gt;0)*(C17&lt;$E$5)*VLOOKUP(MPP,ASUMSI!$BN$77:$CR$108,B17+1)*(1+$V$4)</f>
        <v>7.1160075525250057E-4</v>
      </c>
      <c r="V17" s="185">
        <f t="shared" si="11"/>
        <v>0</v>
      </c>
      <c r="W17" s="185">
        <f t="shared" si="63"/>
        <v>0.99680060101483547</v>
      </c>
      <c r="X17" s="185">
        <f t="shared" si="32"/>
        <v>8.8925005658496397E-5</v>
      </c>
      <c r="Y17" s="185">
        <f t="shared" si="33"/>
        <v>7.0932406051830337E-4</v>
      </c>
      <c r="Z17" s="185">
        <f t="shared" si="34"/>
        <v>0</v>
      </c>
      <c r="AA17" s="197">
        <f t="shared" si="35"/>
        <v>0.99600235194865872</v>
      </c>
      <c r="AB17" s="185">
        <f t="shared" si="36"/>
        <v>0</v>
      </c>
      <c r="AC17" s="185">
        <f t="shared" si="36"/>
        <v>0</v>
      </c>
      <c r="AD17" s="185">
        <f t="shared" si="36"/>
        <v>0</v>
      </c>
      <c r="AE17" s="185">
        <f t="shared" si="37"/>
        <v>0</v>
      </c>
      <c r="AF17" s="185">
        <f t="shared" si="38"/>
        <v>0</v>
      </c>
      <c r="AG17" s="185">
        <f t="shared" si="39"/>
        <v>0</v>
      </c>
      <c r="AH17" s="185">
        <f t="shared" si="40"/>
        <v>0</v>
      </c>
      <c r="AI17" s="125">
        <f>BEL!AI17</f>
        <v>45796988.615699999</v>
      </c>
      <c r="AJ17" s="125">
        <f>BEL!AJ17</f>
        <v>0</v>
      </c>
      <c r="AK17" s="125">
        <f>BEL!AK17</f>
        <v>0</v>
      </c>
      <c r="AL17" s="125">
        <f>BEL!AL17</f>
        <v>0</v>
      </c>
      <c r="AM17" s="125">
        <f>BEL!AM17</f>
        <v>0</v>
      </c>
      <c r="AN17" s="125">
        <f>BEL!AN17</f>
        <v>0</v>
      </c>
      <c r="AO17" s="198">
        <f t="shared" si="13"/>
        <v>0</v>
      </c>
      <c r="AP17" s="125">
        <f>BEL!AP17</f>
        <v>0</v>
      </c>
      <c r="AQ17" s="125">
        <f>BEL!AQ17</f>
        <v>0</v>
      </c>
      <c r="AR17" s="125">
        <f>BEL!AR17</f>
        <v>0</v>
      </c>
      <c r="AS17" s="125">
        <f>BEL!AS17</f>
        <v>0</v>
      </c>
      <c r="AT17" s="125">
        <f>BEL!AT17</f>
        <v>0</v>
      </c>
      <c r="AU17" s="127">
        <f>BEL!AU17</f>
        <v>142600</v>
      </c>
      <c r="AV17" s="127">
        <f>BEL!AV17</f>
        <v>0</v>
      </c>
      <c r="AW17" s="127">
        <f>BEL!AW17</f>
        <v>0</v>
      </c>
      <c r="AX17" s="127">
        <f t="shared" si="14"/>
        <v>4072.4974717932173</v>
      </c>
      <c r="AY17" s="127">
        <f t="shared" si="41"/>
        <v>0</v>
      </c>
      <c r="AZ17" s="127">
        <f t="shared" si="15"/>
        <v>0</v>
      </c>
      <c r="BA17" s="127">
        <f t="shared" si="16"/>
        <v>0</v>
      </c>
      <c r="BB17" s="127">
        <f t="shared" si="17"/>
        <v>0</v>
      </c>
      <c r="BC17" s="127">
        <f t="shared" si="18"/>
        <v>0</v>
      </c>
      <c r="BD17" s="127">
        <f t="shared" si="19"/>
        <v>0</v>
      </c>
      <c r="BE17" s="127">
        <f t="shared" si="20"/>
        <v>0</v>
      </c>
      <c r="BF17" s="127">
        <f t="shared" si="21"/>
        <v>0</v>
      </c>
      <c r="BG17" s="127">
        <f t="shared" si="22"/>
        <v>101.14961102991006</v>
      </c>
      <c r="BH17" s="127">
        <f t="shared" si="23"/>
        <v>0</v>
      </c>
      <c r="BI17" s="127">
        <f t="shared" si="42"/>
        <v>0</v>
      </c>
      <c r="BJ17" s="189">
        <f t="shared" si="64"/>
        <v>4072.4974717932173</v>
      </c>
      <c r="BK17" s="189">
        <f t="shared" si="65"/>
        <v>101.14961102991006</v>
      </c>
      <c r="BL17" s="192">
        <f t="shared" si="66"/>
        <v>0</v>
      </c>
      <c r="BM17" s="192">
        <f t="shared" si="67"/>
        <v>0</v>
      </c>
      <c r="BN17" s="192">
        <f t="shared" si="68"/>
        <v>0</v>
      </c>
      <c r="BO17" s="192">
        <f t="shared" si="69"/>
        <v>1057.8944139140142</v>
      </c>
      <c r="BP17" s="192">
        <f t="shared" si="70"/>
        <v>1057.8944139140142</v>
      </c>
      <c r="BQ17" s="193">
        <f t="shared" si="46"/>
        <v>1057.8944139140142</v>
      </c>
      <c r="BR17" s="193">
        <f t="shared" si="71"/>
        <v>0</v>
      </c>
      <c r="BS17" s="188">
        <f t="shared" si="48"/>
        <v>68329.306674082327</v>
      </c>
      <c r="BT17" s="188">
        <f t="shared" si="49"/>
        <v>2549.550795686981</v>
      </c>
      <c r="BU17" s="188">
        <f t="shared" si="50"/>
        <v>0</v>
      </c>
      <c r="BV17" s="188">
        <f t="shared" si="51"/>
        <v>0</v>
      </c>
      <c r="BW17" s="188">
        <f t="shared" si="52"/>
        <v>0</v>
      </c>
      <c r="BX17" s="188">
        <f t="shared" si="53"/>
        <v>32076.231912025607</v>
      </c>
      <c r="BY17" s="188">
        <f t="shared" si="54"/>
        <v>32076.231912025607</v>
      </c>
      <c r="BZ17" s="188">
        <f t="shared" si="55"/>
        <v>32076.231912025607</v>
      </c>
      <c r="CA17" s="188">
        <f t="shared" si="56"/>
        <v>0</v>
      </c>
      <c r="CB17" s="149">
        <f t="shared" si="57"/>
        <v>102955.08938179491</v>
      </c>
      <c r="CC17" s="149">
        <f>CB17-BEL!CB17</f>
        <v>1366.048669904776</v>
      </c>
      <c r="CD17" s="189">
        <f>IF(AND(C17=0,C18=0),0,CB17/W17) - BEL!CC17</f>
        <v>1319.1834903377312</v>
      </c>
      <c r="CF17" s="195">
        <f t="shared" si="72"/>
        <v>2339.5148339398079</v>
      </c>
      <c r="CG17" s="127">
        <f t="shared" si="73"/>
        <v>10.220160760608126</v>
      </c>
      <c r="CH17" s="128">
        <f>'DATA INPUT - DETAIL'!AH8</f>
        <v>5.6440223860199999E-2</v>
      </c>
      <c r="CI17" s="125">
        <f t="shared" si="74"/>
        <v>-132.61956911303733</v>
      </c>
      <c r="CJ17" s="199">
        <f t="shared" si="75"/>
        <v>2217.1154255873785</v>
      </c>
      <c r="CL17" s="189">
        <f t="shared" si="76"/>
        <v>87965.042916935578</v>
      </c>
      <c r="CM17" s="149">
        <f t="shared" si="58"/>
        <v>384.27492182680692</v>
      </c>
      <c r="CN17" s="128">
        <f>'DATA INPUT - DETAIL'!AH8</f>
        <v>5.6440223860199999E-2</v>
      </c>
      <c r="CO17" s="149">
        <f t="shared" si="59"/>
        <v>-4986.4552767157102</v>
      </c>
      <c r="CP17" s="149">
        <f t="shared" si="60"/>
        <v>83362.862562046663</v>
      </c>
      <c r="CR17" s="126">
        <f t="shared" si="77"/>
        <v>5</v>
      </c>
      <c r="CS17" s="189">
        <f t="shared" si="78"/>
        <v>0</v>
      </c>
      <c r="CT17" s="200">
        <f>CS17/(BEL!CE17+BEL!CA17-BEL!BU17+'RA CSM'!CF17)</f>
        <v>0</v>
      </c>
      <c r="CU17" s="149">
        <f>$CT17*BEL!CH17</f>
        <v>0</v>
      </c>
      <c r="CV17" s="149">
        <f>$CT17*BEL!CI17</f>
        <v>0</v>
      </c>
      <c r="CW17" s="149">
        <f>$CT17*BEL!CJ17</f>
        <v>0</v>
      </c>
      <c r="CX17" s="149">
        <f>$CT17*BEL!CK17</f>
        <v>0</v>
      </c>
      <c r="CY17" s="149">
        <f t="shared" si="61"/>
        <v>0</v>
      </c>
      <c r="CZ17" s="149">
        <f>$CT17*(BEL!CL17+'RA CSM'!CG17)</f>
        <v>0</v>
      </c>
      <c r="DA17" s="149">
        <f t="shared" si="62"/>
        <v>0</v>
      </c>
    </row>
    <row r="18" spans="2:105" x14ac:dyDescent="0.2">
      <c r="B18" s="130">
        <f>BEL!B18</f>
        <v>1</v>
      </c>
      <c r="C18" s="130">
        <f>BEL!C18</f>
        <v>6</v>
      </c>
      <c r="D18" s="190">
        <f>BEL!D18</f>
        <v>0</v>
      </c>
      <c r="E18" s="190">
        <f>BEL!E18</f>
        <v>0</v>
      </c>
      <c r="F18" s="190">
        <f>BEL!F18</f>
        <v>0</v>
      </c>
      <c r="G18" s="190">
        <f>BEL!G18*(1+$V$5)</f>
        <v>0</v>
      </c>
      <c r="H18" s="190">
        <f>BEL!H18*(1+$V$5)</f>
        <v>1050</v>
      </c>
      <c r="I18" s="179">
        <f t="shared" si="2"/>
        <v>1063.5624100164512</v>
      </c>
      <c r="J18" s="130">
        <f>BEL!J18</f>
        <v>0</v>
      </c>
      <c r="K18" s="130">
        <f>BEL!K18</f>
        <v>0</v>
      </c>
      <c r="L18" s="130">
        <f>BEL!L18</f>
        <v>35</v>
      </c>
      <c r="M18" s="185">
        <f t="shared" si="3"/>
        <v>8.921042540299684E-5</v>
      </c>
      <c r="N18" s="185">
        <f t="shared" si="4"/>
        <v>0</v>
      </c>
      <c r="O18" s="185">
        <f t="shared" si="5"/>
        <v>0</v>
      </c>
      <c r="P18" s="185">
        <f t="shared" si="6"/>
        <v>0</v>
      </c>
      <c r="Q18" s="185">
        <f t="shared" si="7"/>
        <v>0</v>
      </c>
      <c r="R18" s="185">
        <f t="shared" si="8"/>
        <v>0</v>
      </c>
      <c r="S18" s="185">
        <f t="shared" si="9"/>
        <v>0</v>
      </c>
      <c r="T18" s="185">
        <f t="shared" si="10"/>
        <v>0</v>
      </c>
      <c r="U18" s="196">
        <f>(C18&gt;0)*(C18&lt;$E$5)*VLOOKUP(MPP,ASUMSI!$BN$77:$CR$108,B18+1)*(1+$V$4)</f>
        <v>7.1160075525250057E-4</v>
      </c>
      <c r="V18" s="185">
        <f t="shared" si="11"/>
        <v>0</v>
      </c>
      <c r="W18" s="185">
        <f t="shared" si="63"/>
        <v>0.99600235194865872</v>
      </c>
      <c r="X18" s="185">
        <f t="shared" si="32"/>
        <v>8.8853793519725227E-5</v>
      </c>
      <c r="Y18" s="185">
        <f t="shared" si="33"/>
        <v>7.0875602587993248E-4</v>
      </c>
      <c r="Z18" s="185">
        <f t="shared" si="34"/>
        <v>0</v>
      </c>
      <c r="AA18" s="197">
        <f t="shared" si="35"/>
        <v>0.99520474212925902</v>
      </c>
      <c r="AB18" s="185">
        <f t="shared" si="36"/>
        <v>0</v>
      </c>
      <c r="AC18" s="185">
        <f t="shared" si="36"/>
        <v>0</v>
      </c>
      <c r="AD18" s="185">
        <f t="shared" si="36"/>
        <v>0</v>
      </c>
      <c r="AE18" s="185">
        <f t="shared" si="37"/>
        <v>0</v>
      </c>
      <c r="AF18" s="185">
        <f t="shared" si="38"/>
        <v>0</v>
      </c>
      <c r="AG18" s="185">
        <f t="shared" si="39"/>
        <v>0</v>
      </c>
      <c r="AH18" s="185">
        <f t="shared" si="40"/>
        <v>0</v>
      </c>
      <c r="AI18" s="125">
        <f>BEL!AI18</f>
        <v>44702092.591300003</v>
      </c>
      <c r="AJ18" s="125">
        <f>BEL!AJ18</f>
        <v>0</v>
      </c>
      <c r="AK18" s="125">
        <f>BEL!AK18</f>
        <v>0</v>
      </c>
      <c r="AL18" s="125">
        <f>BEL!AL18</f>
        <v>0</v>
      </c>
      <c r="AM18" s="125">
        <f>BEL!AM18</f>
        <v>0</v>
      </c>
      <c r="AN18" s="125">
        <f>BEL!AN18</f>
        <v>0</v>
      </c>
      <c r="AO18" s="198">
        <f t="shared" si="13"/>
        <v>0</v>
      </c>
      <c r="AP18" s="125">
        <f>BEL!AP18</f>
        <v>0</v>
      </c>
      <c r="AQ18" s="125">
        <f>BEL!AQ18</f>
        <v>0</v>
      </c>
      <c r="AR18" s="125">
        <f>BEL!AR18</f>
        <v>0</v>
      </c>
      <c r="AS18" s="125">
        <f>BEL!AS18</f>
        <v>0</v>
      </c>
      <c r="AT18" s="125">
        <f>BEL!AT18</f>
        <v>0</v>
      </c>
      <c r="AU18" s="127">
        <f>BEL!AU18</f>
        <v>138000</v>
      </c>
      <c r="AV18" s="127">
        <f>BEL!AV18</f>
        <v>0</v>
      </c>
      <c r="AW18" s="127">
        <f>BEL!AW18</f>
        <v>0</v>
      </c>
      <c r="AX18" s="127">
        <f t="shared" si="14"/>
        <v>3971.9505050070093</v>
      </c>
      <c r="AY18" s="127">
        <f t="shared" si="41"/>
        <v>0</v>
      </c>
      <c r="AZ18" s="127">
        <f t="shared" si="15"/>
        <v>0</v>
      </c>
      <c r="BA18" s="127">
        <f t="shared" si="16"/>
        <v>0</v>
      </c>
      <c r="BB18" s="127">
        <f t="shared" si="17"/>
        <v>0</v>
      </c>
      <c r="BC18" s="127">
        <f t="shared" si="18"/>
        <v>0</v>
      </c>
      <c r="BD18" s="127">
        <f t="shared" si="19"/>
        <v>0</v>
      </c>
      <c r="BE18" s="127">
        <f t="shared" si="20"/>
        <v>0</v>
      </c>
      <c r="BF18" s="127">
        <f t="shared" si="21"/>
        <v>0</v>
      </c>
      <c r="BG18" s="127">
        <f t="shared" si="22"/>
        <v>97.808331571430685</v>
      </c>
      <c r="BH18" s="127">
        <f t="shared" si="23"/>
        <v>0</v>
      </c>
      <c r="BI18" s="127">
        <f t="shared" si="42"/>
        <v>0</v>
      </c>
      <c r="BJ18" s="189">
        <f t="shared" si="64"/>
        <v>3971.9505050070093</v>
      </c>
      <c r="BK18" s="189">
        <f t="shared" si="65"/>
        <v>97.808331571430685</v>
      </c>
      <c r="BL18" s="192">
        <f t="shared" si="66"/>
        <v>0</v>
      </c>
      <c r="BM18" s="192">
        <f t="shared" si="67"/>
        <v>0</v>
      </c>
      <c r="BN18" s="192">
        <f t="shared" si="68"/>
        <v>0</v>
      </c>
      <c r="BO18" s="192">
        <f t="shared" si="69"/>
        <v>1059.3106618205691</v>
      </c>
      <c r="BP18" s="192">
        <f t="shared" si="70"/>
        <v>1059.3106618205691</v>
      </c>
      <c r="BQ18" s="193">
        <f t="shared" si="46"/>
        <v>1059.3106618205691</v>
      </c>
      <c r="BR18" s="193">
        <f t="shared" si="71"/>
        <v>0</v>
      </c>
      <c r="BS18" s="188">
        <f t="shared" si="48"/>
        <v>64555.30549251951</v>
      </c>
      <c r="BT18" s="188">
        <f t="shared" si="49"/>
        <v>2459.5388866375183</v>
      </c>
      <c r="BU18" s="188">
        <f t="shared" si="50"/>
        <v>0</v>
      </c>
      <c r="BV18" s="188">
        <f t="shared" si="51"/>
        <v>0</v>
      </c>
      <c r="BW18" s="188">
        <f t="shared" si="52"/>
        <v>0</v>
      </c>
      <c r="BX18" s="188">
        <f t="shared" si="53"/>
        <v>31153.840975652551</v>
      </c>
      <c r="BY18" s="188">
        <f t="shared" si="54"/>
        <v>31153.840975652551</v>
      </c>
      <c r="BZ18" s="188">
        <f t="shared" si="55"/>
        <v>31153.840975652551</v>
      </c>
      <c r="CA18" s="188">
        <f t="shared" si="56"/>
        <v>0</v>
      </c>
      <c r="CB18" s="149">
        <f t="shared" si="57"/>
        <v>98168.685354809582</v>
      </c>
      <c r="CC18" s="149">
        <f>CB18-BEL!CB18</f>
        <v>1336.6548763237224</v>
      </c>
      <c r="CD18" s="189">
        <f>IF(AND(C18=0,C19=0),0,CB18/W18) - BEL!CC18</f>
        <v>1280.904618494329</v>
      </c>
      <c r="CF18" s="195">
        <f t="shared" si="72"/>
        <v>2217.1154255873785</v>
      </c>
      <c r="CG18" s="127">
        <f t="shared" si="73"/>
        <v>9.6854594574928434</v>
      </c>
      <c r="CH18" s="128">
        <f>'DATA INPUT - DETAIL'!AH9</f>
        <v>5.8330497349599997E-2</v>
      </c>
      <c r="CI18" s="125">
        <f t="shared" si="74"/>
        <v>-129.89040312319679</v>
      </c>
      <c r="CJ18" s="199">
        <f t="shared" si="75"/>
        <v>2096.9104819216745</v>
      </c>
      <c r="CL18" s="189">
        <f t="shared" si="76"/>
        <v>83362.862562046663</v>
      </c>
      <c r="CM18" s="149">
        <f t="shared" si="58"/>
        <v>364.1703162077568</v>
      </c>
      <c r="CN18" s="128">
        <f>'DATA INPUT - DETAIL'!AH9</f>
        <v>5.8330497349599997E-2</v>
      </c>
      <c r="CO18" s="149">
        <f t="shared" si="59"/>
        <v>-4883.8394693948912</v>
      </c>
      <c r="CP18" s="149">
        <f t="shared" si="60"/>
        <v>78843.19340885953</v>
      </c>
      <c r="CR18" s="126">
        <f t="shared" si="77"/>
        <v>6</v>
      </c>
      <c r="CS18" s="189">
        <f t="shared" si="78"/>
        <v>0</v>
      </c>
      <c r="CT18" s="200">
        <f>CS18/(BEL!CE18+BEL!CA18-BEL!BU18+'RA CSM'!CF18)</f>
        <v>0</v>
      </c>
      <c r="CU18" s="149">
        <f>$CT18*BEL!CH18</f>
        <v>0</v>
      </c>
      <c r="CV18" s="149">
        <f>$CT18*BEL!CI18</f>
        <v>0</v>
      </c>
      <c r="CW18" s="149">
        <f>$CT18*BEL!CJ18</f>
        <v>0</v>
      </c>
      <c r="CX18" s="149">
        <f>$CT18*BEL!CK18</f>
        <v>0</v>
      </c>
      <c r="CY18" s="149">
        <f t="shared" si="61"/>
        <v>0</v>
      </c>
      <c r="CZ18" s="149">
        <f>$CT18*(BEL!CL18+'RA CSM'!CG18)</f>
        <v>0</v>
      </c>
      <c r="DA18" s="149">
        <f t="shared" si="62"/>
        <v>0</v>
      </c>
    </row>
    <row r="19" spans="2:105" x14ac:dyDescent="0.2">
      <c r="B19" s="130">
        <f>BEL!B19</f>
        <v>1</v>
      </c>
      <c r="C19" s="130">
        <f>BEL!C19</f>
        <v>7</v>
      </c>
      <c r="D19" s="190">
        <f>BEL!D19</f>
        <v>0</v>
      </c>
      <c r="E19" s="190">
        <f>BEL!E19</f>
        <v>0</v>
      </c>
      <c r="F19" s="190">
        <f>BEL!F19</f>
        <v>0</v>
      </c>
      <c r="G19" s="190">
        <f>BEL!G19*(1+$V$5)</f>
        <v>0</v>
      </c>
      <c r="H19" s="190">
        <f>BEL!H19*(1+$V$5)</f>
        <v>1050</v>
      </c>
      <c r="I19" s="179">
        <f t="shared" si="2"/>
        <v>1065.839782323111</v>
      </c>
      <c r="J19" s="130">
        <f>BEL!J19</f>
        <v>0</v>
      </c>
      <c r="K19" s="130">
        <f>BEL!K19</f>
        <v>0</v>
      </c>
      <c r="L19" s="130">
        <f>BEL!L19</f>
        <v>35</v>
      </c>
      <c r="M19" s="185">
        <f t="shared" si="3"/>
        <v>8.921042540299684E-5</v>
      </c>
      <c r="N19" s="185">
        <f t="shared" si="4"/>
        <v>0</v>
      </c>
      <c r="O19" s="185">
        <f t="shared" si="5"/>
        <v>0</v>
      </c>
      <c r="P19" s="185">
        <f t="shared" si="6"/>
        <v>0</v>
      </c>
      <c r="Q19" s="185">
        <f t="shared" si="7"/>
        <v>0</v>
      </c>
      <c r="R19" s="185">
        <f t="shared" si="8"/>
        <v>0</v>
      </c>
      <c r="S19" s="185">
        <f t="shared" si="9"/>
        <v>0</v>
      </c>
      <c r="T19" s="185">
        <f t="shared" si="10"/>
        <v>0</v>
      </c>
      <c r="U19" s="196">
        <f>(C19&gt;0)*(C19&lt;$E$5)*VLOOKUP(MPP,ASUMSI!$BN$77:$CR$108,B19+1)*(1+$V$4)</f>
        <v>7.1160075525250057E-4</v>
      </c>
      <c r="V19" s="185">
        <f t="shared" si="11"/>
        <v>0</v>
      </c>
      <c r="W19" s="185">
        <f t="shared" si="63"/>
        <v>0.99520474212925902</v>
      </c>
      <c r="X19" s="185">
        <f t="shared" si="32"/>
        <v>8.8782638408430969E-5</v>
      </c>
      <c r="Y19" s="185">
        <f t="shared" si="33"/>
        <v>7.0818844613005077E-4</v>
      </c>
      <c r="Z19" s="185">
        <f t="shared" si="34"/>
        <v>0</v>
      </c>
      <c r="AA19" s="197">
        <f t="shared" si="35"/>
        <v>0.99440777104472056</v>
      </c>
      <c r="AB19" s="185">
        <f t="shared" si="36"/>
        <v>0</v>
      </c>
      <c r="AC19" s="185">
        <f t="shared" si="36"/>
        <v>0</v>
      </c>
      <c r="AD19" s="185">
        <f t="shared" si="36"/>
        <v>0</v>
      </c>
      <c r="AE19" s="185">
        <f t="shared" si="37"/>
        <v>0</v>
      </c>
      <c r="AF19" s="185">
        <f t="shared" si="38"/>
        <v>0</v>
      </c>
      <c r="AG19" s="185">
        <f t="shared" si="39"/>
        <v>0</v>
      </c>
      <c r="AH19" s="185">
        <f t="shared" si="40"/>
        <v>0</v>
      </c>
      <c r="AI19" s="125">
        <f>BEL!AI19</f>
        <v>43588948.299800001</v>
      </c>
      <c r="AJ19" s="125">
        <f>BEL!AJ19</f>
        <v>0</v>
      </c>
      <c r="AK19" s="125">
        <f>BEL!AK19</f>
        <v>0</v>
      </c>
      <c r="AL19" s="125">
        <f>BEL!AL19</f>
        <v>0</v>
      </c>
      <c r="AM19" s="125">
        <f>BEL!AM19</f>
        <v>0</v>
      </c>
      <c r="AN19" s="125">
        <f>BEL!AN19</f>
        <v>0</v>
      </c>
      <c r="AO19" s="198">
        <f t="shared" si="13"/>
        <v>0</v>
      </c>
      <c r="AP19" s="125">
        <f>BEL!AP19</f>
        <v>0</v>
      </c>
      <c r="AQ19" s="125">
        <f>BEL!AQ19</f>
        <v>0</v>
      </c>
      <c r="AR19" s="125">
        <f>BEL!AR19</f>
        <v>0</v>
      </c>
      <c r="AS19" s="125">
        <f>BEL!AS19</f>
        <v>0</v>
      </c>
      <c r="AT19" s="125">
        <f>BEL!AT19</f>
        <v>0</v>
      </c>
      <c r="AU19" s="127">
        <f>BEL!AU19</f>
        <v>133400</v>
      </c>
      <c r="AV19" s="127">
        <f>BEL!AV19</f>
        <v>0</v>
      </c>
      <c r="AW19" s="127">
        <f>BEL!AW19</f>
        <v>0</v>
      </c>
      <c r="AX19" s="127">
        <f t="shared" si="14"/>
        <v>3869.9418355049352</v>
      </c>
      <c r="AY19" s="127">
        <f t="shared" si="41"/>
        <v>0</v>
      </c>
      <c r="AZ19" s="127">
        <f t="shared" si="15"/>
        <v>0</v>
      </c>
      <c r="BA19" s="127">
        <f t="shared" si="16"/>
        <v>0</v>
      </c>
      <c r="BB19" s="127">
        <f t="shared" si="17"/>
        <v>0</v>
      </c>
      <c r="BC19" s="127">
        <f t="shared" si="18"/>
        <v>0</v>
      </c>
      <c r="BD19" s="127">
        <f t="shared" si="19"/>
        <v>0</v>
      </c>
      <c r="BE19" s="127">
        <f t="shared" si="20"/>
        <v>0</v>
      </c>
      <c r="BF19" s="127">
        <f t="shared" si="21"/>
        <v>0</v>
      </c>
      <c r="BG19" s="127">
        <f t="shared" si="22"/>
        <v>94.472338713748769</v>
      </c>
      <c r="BH19" s="127">
        <f t="shared" si="23"/>
        <v>0</v>
      </c>
      <c r="BI19" s="127">
        <f t="shared" si="42"/>
        <v>0</v>
      </c>
      <c r="BJ19" s="189">
        <f t="shared" si="64"/>
        <v>3869.9418355049352</v>
      </c>
      <c r="BK19" s="189">
        <f t="shared" si="65"/>
        <v>94.472338713748769</v>
      </c>
      <c r="BL19" s="192">
        <f t="shared" si="66"/>
        <v>0</v>
      </c>
      <c r="BM19" s="192">
        <f t="shared" si="67"/>
        <v>0</v>
      </c>
      <c r="BN19" s="192">
        <f t="shared" si="68"/>
        <v>0</v>
      </c>
      <c r="BO19" s="192">
        <f t="shared" si="69"/>
        <v>1060.7288057179771</v>
      </c>
      <c r="BP19" s="192">
        <f t="shared" si="70"/>
        <v>1060.7288057179771</v>
      </c>
      <c r="BQ19" s="193">
        <f t="shared" si="46"/>
        <v>1060.7288057179771</v>
      </c>
      <c r="BR19" s="193">
        <f t="shared" si="71"/>
        <v>0</v>
      </c>
      <c r="BS19" s="188">
        <f t="shared" si="48"/>
        <v>60865.364569376383</v>
      </c>
      <c r="BT19" s="188">
        <f t="shared" si="49"/>
        <v>2372.4750403985749</v>
      </c>
      <c r="BU19" s="188">
        <f t="shared" si="50"/>
        <v>0</v>
      </c>
      <c r="BV19" s="188">
        <f t="shared" si="51"/>
        <v>0</v>
      </c>
      <c r="BW19" s="188">
        <f t="shared" si="52"/>
        <v>0</v>
      </c>
      <c r="BX19" s="188">
        <f t="shared" si="53"/>
        <v>30225.998143554782</v>
      </c>
      <c r="BY19" s="188">
        <f t="shared" si="54"/>
        <v>30225.998143554782</v>
      </c>
      <c r="BZ19" s="188">
        <f t="shared" si="55"/>
        <v>30225.998143554782</v>
      </c>
      <c r="CA19" s="188">
        <f t="shared" si="56"/>
        <v>0</v>
      </c>
      <c r="CB19" s="149">
        <f t="shared" si="57"/>
        <v>93463.837753329746</v>
      </c>
      <c r="CC19" s="149">
        <f>CB19-BEL!CB19</f>
        <v>1305.8864660190739</v>
      </c>
      <c r="CD19" s="189">
        <f>IF(AND(C19=0,C20=0),0,CB19/W19) - BEL!CC19</f>
        <v>1242.3201875607047</v>
      </c>
      <c r="CF19" s="195">
        <f t="shared" si="72"/>
        <v>2096.9104819216745</v>
      </c>
      <c r="CG19" s="127">
        <f t="shared" si="73"/>
        <v>9.1603446641771349</v>
      </c>
      <c r="CH19" s="128">
        <f>'DATA INPUT - DETAIL'!AH10</f>
        <v>6.0343595904100003E-2</v>
      </c>
      <c r="CI19" s="125">
        <f t="shared" si="74"/>
        <v>-127.0878869049105</v>
      </c>
      <c r="CJ19" s="199">
        <f t="shared" si="75"/>
        <v>1978.9829396809412</v>
      </c>
      <c r="CL19" s="189">
        <f t="shared" si="76"/>
        <v>78843.19340885953</v>
      </c>
      <c r="CM19" s="149">
        <f t="shared" si="58"/>
        <v>344.42616042801086</v>
      </c>
      <c r="CN19" s="128">
        <f>'DATA INPUT - DETAIL'!AH10</f>
        <v>6.0343595904100003E-2</v>
      </c>
      <c r="CO19" s="149">
        <f t="shared" si="59"/>
        <v>-4778.4657158966884</v>
      </c>
      <c r="CP19" s="149">
        <f t="shared" si="60"/>
        <v>74409.153853390846</v>
      </c>
      <c r="CR19" s="126">
        <f t="shared" si="77"/>
        <v>7</v>
      </c>
      <c r="CS19" s="189">
        <f t="shared" si="78"/>
        <v>0</v>
      </c>
      <c r="CT19" s="200">
        <f>CS19/(BEL!CE19+BEL!CA19-BEL!BU19+'RA CSM'!CF19)</f>
        <v>0</v>
      </c>
      <c r="CU19" s="149">
        <f>$CT19*BEL!CH19</f>
        <v>0</v>
      </c>
      <c r="CV19" s="149">
        <f>$CT19*BEL!CI19</f>
        <v>0</v>
      </c>
      <c r="CW19" s="149">
        <f>$CT19*BEL!CJ19</f>
        <v>0</v>
      </c>
      <c r="CX19" s="149">
        <f>$CT19*BEL!CK19</f>
        <v>0</v>
      </c>
      <c r="CY19" s="149">
        <f t="shared" si="61"/>
        <v>0</v>
      </c>
      <c r="CZ19" s="149">
        <f>$CT19*(BEL!CL19+'RA CSM'!CG19)</f>
        <v>0</v>
      </c>
      <c r="DA19" s="149">
        <f t="shared" si="62"/>
        <v>0</v>
      </c>
    </row>
    <row r="20" spans="2:105" x14ac:dyDescent="0.2">
      <c r="B20" s="130">
        <f>BEL!B20</f>
        <v>1</v>
      </c>
      <c r="C20" s="130">
        <f>BEL!C20</f>
        <v>8</v>
      </c>
      <c r="D20" s="190">
        <f>BEL!D20</f>
        <v>0</v>
      </c>
      <c r="E20" s="190">
        <f>BEL!E20</f>
        <v>0</v>
      </c>
      <c r="F20" s="190">
        <f>BEL!F20</f>
        <v>0</v>
      </c>
      <c r="G20" s="190">
        <f>BEL!G20*(1+$V$5)</f>
        <v>0</v>
      </c>
      <c r="H20" s="190">
        <f>BEL!H20*(1+$V$5)</f>
        <v>1050</v>
      </c>
      <c r="I20" s="179">
        <f t="shared" si="2"/>
        <v>1068.1220310945407</v>
      </c>
      <c r="J20" s="130">
        <f>BEL!J20</f>
        <v>0</v>
      </c>
      <c r="K20" s="130">
        <f>BEL!K20</f>
        <v>0</v>
      </c>
      <c r="L20" s="130">
        <f>BEL!L20</f>
        <v>35</v>
      </c>
      <c r="M20" s="185">
        <f t="shared" si="3"/>
        <v>8.921042540299684E-5</v>
      </c>
      <c r="N20" s="185">
        <f t="shared" si="4"/>
        <v>0</v>
      </c>
      <c r="O20" s="185">
        <f t="shared" si="5"/>
        <v>0</v>
      </c>
      <c r="P20" s="185">
        <f t="shared" si="6"/>
        <v>0</v>
      </c>
      <c r="Q20" s="185">
        <f t="shared" si="7"/>
        <v>0</v>
      </c>
      <c r="R20" s="185">
        <f t="shared" si="8"/>
        <v>0</v>
      </c>
      <c r="S20" s="185">
        <f t="shared" si="9"/>
        <v>0</v>
      </c>
      <c r="T20" s="185">
        <f t="shared" si="10"/>
        <v>0</v>
      </c>
      <c r="U20" s="196">
        <f>(C20&gt;0)*(C20&lt;$E$5)*VLOOKUP(MPP,ASUMSI!$BN$77:$CR$108,B20+1)*(1+$V$4)</f>
        <v>7.1160075525250057E-4</v>
      </c>
      <c r="V20" s="185">
        <f t="shared" si="11"/>
        <v>0</v>
      </c>
      <c r="W20" s="185">
        <f t="shared" si="63"/>
        <v>0.99440777104472056</v>
      </c>
      <c r="X20" s="185">
        <f t="shared" si="32"/>
        <v>8.87115402789454E-5</v>
      </c>
      <c r="Y20" s="185">
        <f t="shared" si="33"/>
        <v>7.0762132090437877E-4</v>
      </c>
      <c r="Z20" s="185">
        <f t="shared" si="34"/>
        <v>0</v>
      </c>
      <c r="AA20" s="197">
        <f t="shared" si="35"/>
        <v>0.99361143818353725</v>
      </c>
      <c r="AB20" s="185">
        <f t="shared" si="36"/>
        <v>0</v>
      </c>
      <c r="AC20" s="185">
        <f t="shared" si="36"/>
        <v>0</v>
      </c>
      <c r="AD20" s="185">
        <f t="shared" si="36"/>
        <v>0</v>
      </c>
      <c r="AE20" s="185">
        <f t="shared" si="37"/>
        <v>0</v>
      </c>
      <c r="AF20" s="185">
        <f t="shared" si="38"/>
        <v>0</v>
      </c>
      <c r="AG20" s="185">
        <f t="shared" si="39"/>
        <v>0</v>
      </c>
      <c r="AH20" s="185">
        <f t="shared" si="40"/>
        <v>0</v>
      </c>
      <c r="AI20" s="125">
        <f>BEL!AI20</f>
        <v>42457251.603500001</v>
      </c>
      <c r="AJ20" s="125">
        <f>BEL!AJ20</f>
        <v>0</v>
      </c>
      <c r="AK20" s="125">
        <f>BEL!AK20</f>
        <v>0</v>
      </c>
      <c r="AL20" s="125">
        <f>BEL!AL20</f>
        <v>0</v>
      </c>
      <c r="AM20" s="125">
        <f>BEL!AM20</f>
        <v>0</v>
      </c>
      <c r="AN20" s="125">
        <f>BEL!AN20</f>
        <v>0</v>
      </c>
      <c r="AO20" s="198">
        <f t="shared" si="13"/>
        <v>0</v>
      </c>
      <c r="AP20" s="125">
        <f>BEL!AP20</f>
        <v>0</v>
      </c>
      <c r="AQ20" s="125">
        <f>BEL!AQ20</f>
        <v>0</v>
      </c>
      <c r="AR20" s="125">
        <f>BEL!AR20</f>
        <v>0</v>
      </c>
      <c r="AS20" s="125">
        <f>BEL!AS20</f>
        <v>0</v>
      </c>
      <c r="AT20" s="125">
        <f>BEL!AT20</f>
        <v>0</v>
      </c>
      <c r="AU20" s="127">
        <f>BEL!AU20</f>
        <v>128800</v>
      </c>
      <c r="AV20" s="127">
        <f>BEL!AV20</f>
        <v>0</v>
      </c>
      <c r="AW20" s="127">
        <f>BEL!AW20</f>
        <v>0</v>
      </c>
      <c r="AX20" s="127">
        <f t="shared" si="14"/>
        <v>3766.4481857572096</v>
      </c>
      <c r="AY20" s="127">
        <f t="shared" si="41"/>
        <v>0</v>
      </c>
      <c r="AZ20" s="127">
        <f t="shared" si="15"/>
        <v>0</v>
      </c>
      <c r="BA20" s="127">
        <f t="shared" si="16"/>
        <v>0</v>
      </c>
      <c r="BB20" s="127">
        <f t="shared" si="17"/>
        <v>0</v>
      </c>
      <c r="BC20" s="127">
        <f t="shared" si="18"/>
        <v>0</v>
      </c>
      <c r="BD20" s="127">
        <f t="shared" si="19"/>
        <v>0</v>
      </c>
      <c r="BE20" s="127">
        <f t="shared" si="20"/>
        <v>0</v>
      </c>
      <c r="BF20" s="127">
        <f t="shared" si="21"/>
        <v>0</v>
      </c>
      <c r="BG20" s="127">
        <f t="shared" si="22"/>
        <v>91.141626132483992</v>
      </c>
      <c r="BH20" s="127">
        <f t="shared" si="23"/>
        <v>0</v>
      </c>
      <c r="BI20" s="127">
        <f t="shared" si="42"/>
        <v>0</v>
      </c>
      <c r="BJ20" s="189">
        <f t="shared" si="64"/>
        <v>3766.4481857572096</v>
      </c>
      <c r="BK20" s="189">
        <f t="shared" si="65"/>
        <v>91.141626132483992</v>
      </c>
      <c r="BL20" s="192">
        <f t="shared" si="66"/>
        <v>0</v>
      </c>
      <c r="BM20" s="192">
        <f t="shared" si="67"/>
        <v>0</v>
      </c>
      <c r="BN20" s="192">
        <f t="shared" si="68"/>
        <v>0</v>
      </c>
      <c r="BO20" s="192">
        <f t="shared" si="69"/>
        <v>1062.1488481444819</v>
      </c>
      <c r="BP20" s="192">
        <f t="shared" si="70"/>
        <v>1062.1488481444819</v>
      </c>
      <c r="BQ20" s="193">
        <f t="shared" si="46"/>
        <v>1062.1488481444819</v>
      </c>
      <c r="BR20" s="193">
        <f t="shared" si="71"/>
        <v>0</v>
      </c>
      <c r="BS20" s="188">
        <f t="shared" si="48"/>
        <v>57261.312824255911</v>
      </c>
      <c r="BT20" s="188">
        <f t="shared" si="49"/>
        <v>2288.3668489694028</v>
      </c>
      <c r="BU20" s="188">
        <f t="shared" si="50"/>
        <v>0</v>
      </c>
      <c r="BV20" s="188">
        <f t="shared" si="51"/>
        <v>0</v>
      </c>
      <c r="BW20" s="188">
        <f t="shared" si="52"/>
        <v>0</v>
      </c>
      <c r="BX20" s="188">
        <f t="shared" si="53"/>
        <v>29292.677694875158</v>
      </c>
      <c r="BY20" s="188">
        <f t="shared" si="54"/>
        <v>29292.677694875158</v>
      </c>
      <c r="BZ20" s="188">
        <f t="shared" si="55"/>
        <v>29292.677694875158</v>
      </c>
      <c r="CA20" s="188">
        <f t="shared" si="56"/>
        <v>0</v>
      </c>
      <c r="CB20" s="149">
        <f t="shared" si="57"/>
        <v>88842.357368100464</v>
      </c>
      <c r="CC20" s="149">
        <f>CB20-BEL!CB20</f>
        <v>1273.7653583854262</v>
      </c>
      <c r="CD20" s="189">
        <f>IF(AND(C20=0,C21=0),0,CB20/W20) - BEL!CC20</f>
        <v>1203.4187520992273</v>
      </c>
      <c r="CF20" s="195">
        <f t="shared" si="72"/>
        <v>1978.9829396809412</v>
      </c>
      <c r="CG20" s="127">
        <f t="shared" si="73"/>
        <v>8.6451786894549123</v>
      </c>
      <c r="CH20" s="128">
        <f>'DATA INPUT - DETAIL'!AH11</f>
        <v>6.2491809596800001E-2</v>
      </c>
      <c r="CI20" s="125">
        <f t="shared" si="74"/>
        <v>-124.21047792244865</v>
      </c>
      <c r="CJ20" s="199">
        <f t="shared" si="75"/>
        <v>1863.4176404479474</v>
      </c>
      <c r="CL20" s="189">
        <f t="shared" si="76"/>
        <v>74409.153853390846</v>
      </c>
      <c r="CM20" s="149">
        <f t="shared" si="58"/>
        <v>325.05607718751651</v>
      </c>
      <c r="CN20" s="128">
        <f>'DATA INPUT - DETAIL'!AH11</f>
        <v>6.2491809596800001E-2</v>
      </c>
      <c r="CO20" s="149">
        <f t="shared" si="59"/>
        <v>-4670.2760173489833</v>
      </c>
      <c r="CP20" s="149">
        <f t="shared" si="60"/>
        <v>70063.933913229383</v>
      </c>
      <c r="CR20" s="126">
        <f t="shared" si="77"/>
        <v>8</v>
      </c>
      <c r="CS20" s="189">
        <f t="shared" si="78"/>
        <v>0</v>
      </c>
      <c r="CT20" s="200">
        <f>CS20/(BEL!CE20+BEL!CA20-BEL!BU20+'RA CSM'!CF20)</f>
        <v>0</v>
      </c>
      <c r="CU20" s="149">
        <f>$CT20*BEL!CH20</f>
        <v>0</v>
      </c>
      <c r="CV20" s="149">
        <f>$CT20*BEL!CI20</f>
        <v>0</v>
      </c>
      <c r="CW20" s="149">
        <f>$CT20*BEL!CJ20</f>
        <v>0</v>
      </c>
      <c r="CX20" s="149">
        <f>$CT20*BEL!CK20</f>
        <v>0</v>
      </c>
      <c r="CY20" s="149">
        <f t="shared" si="61"/>
        <v>0</v>
      </c>
      <c r="CZ20" s="149">
        <f>$CT20*(BEL!CL20+'RA CSM'!CG20)</f>
        <v>0</v>
      </c>
      <c r="DA20" s="149">
        <f t="shared" si="62"/>
        <v>0</v>
      </c>
    </row>
    <row r="21" spans="2:105" x14ac:dyDescent="0.2">
      <c r="B21" s="130">
        <f>BEL!B21</f>
        <v>1</v>
      </c>
      <c r="C21" s="130">
        <f>BEL!C21</f>
        <v>9</v>
      </c>
      <c r="D21" s="190">
        <f>BEL!D21</f>
        <v>0</v>
      </c>
      <c r="E21" s="190">
        <f>BEL!E21</f>
        <v>0</v>
      </c>
      <c r="F21" s="190">
        <f>BEL!F21</f>
        <v>0</v>
      </c>
      <c r="G21" s="190">
        <f>BEL!G21*(1+$V$5)</f>
        <v>0</v>
      </c>
      <c r="H21" s="190">
        <f>BEL!H21*(1+$V$5)</f>
        <v>1050</v>
      </c>
      <c r="I21" s="179">
        <f t="shared" si="2"/>
        <v>1070.4091667725593</v>
      </c>
      <c r="J21" s="130">
        <f>BEL!J21</f>
        <v>0</v>
      </c>
      <c r="K21" s="130">
        <f>BEL!K21</f>
        <v>0</v>
      </c>
      <c r="L21" s="130">
        <f>BEL!L21</f>
        <v>35</v>
      </c>
      <c r="M21" s="185">
        <f t="shared" si="3"/>
        <v>8.921042540299684E-5</v>
      </c>
      <c r="N21" s="185">
        <f t="shared" si="4"/>
        <v>0</v>
      </c>
      <c r="O21" s="185">
        <f t="shared" si="5"/>
        <v>0</v>
      </c>
      <c r="P21" s="185">
        <f t="shared" si="6"/>
        <v>0</v>
      </c>
      <c r="Q21" s="185">
        <f t="shared" si="7"/>
        <v>0</v>
      </c>
      <c r="R21" s="185">
        <f t="shared" si="8"/>
        <v>0</v>
      </c>
      <c r="S21" s="185">
        <f t="shared" si="9"/>
        <v>0</v>
      </c>
      <c r="T21" s="185">
        <f t="shared" si="10"/>
        <v>0</v>
      </c>
      <c r="U21" s="196">
        <f>(C21&gt;0)*(C21&lt;$E$5)*VLOOKUP(MPP,ASUMSI!$BN$77:$CR$108,B21+1)*(1+$V$4)</f>
        <v>7.1160075525250057E-4</v>
      </c>
      <c r="V21" s="185">
        <f t="shared" si="11"/>
        <v>0</v>
      </c>
      <c r="W21" s="185">
        <f t="shared" si="63"/>
        <v>0.99361143818353725</v>
      </c>
      <c r="X21" s="185">
        <f t="shared" si="32"/>
        <v>8.864049908563685E-5</v>
      </c>
      <c r="Y21" s="185">
        <f t="shared" si="33"/>
        <v>7.0705464983892837E-4</v>
      </c>
      <c r="Z21" s="185">
        <f t="shared" si="34"/>
        <v>0</v>
      </c>
      <c r="AA21" s="197">
        <f t="shared" si="35"/>
        <v>0.99281574303461273</v>
      </c>
      <c r="AB21" s="185">
        <f t="shared" si="36"/>
        <v>0</v>
      </c>
      <c r="AC21" s="185">
        <f t="shared" si="36"/>
        <v>0</v>
      </c>
      <c r="AD21" s="185">
        <f t="shared" si="36"/>
        <v>0</v>
      </c>
      <c r="AE21" s="185">
        <f t="shared" si="37"/>
        <v>0</v>
      </c>
      <c r="AF21" s="185">
        <f t="shared" si="38"/>
        <v>0</v>
      </c>
      <c r="AG21" s="185">
        <f t="shared" si="39"/>
        <v>0</v>
      </c>
      <c r="AH21" s="185">
        <f t="shared" si="40"/>
        <v>0</v>
      </c>
      <c r="AI21" s="125">
        <f>BEL!AI21</f>
        <v>41306693.295599997</v>
      </c>
      <c r="AJ21" s="125">
        <f>BEL!AJ21</f>
        <v>0</v>
      </c>
      <c r="AK21" s="125">
        <f>BEL!AK21</f>
        <v>0</v>
      </c>
      <c r="AL21" s="125">
        <f>BEL!AL21</f>
        <v>0</v>
      </c>
      <c r="AM21" s="125">
        <f>BEL!AM21</f>
        <v>0</v>
      </c>
      <c r="AN21" s="125">
        <f>BEL!AN21</f>
        <v>0</v>
      </c>
      <c r="AO21" s="198">
        <f t="shared" si="13"/>
        <v>0</v>
      </c>
      <c r="AP21" s="125">
        <f>BEL!AP21</f>
        <v>0</v>
      </c>
      <c r="AQ21" s="125">
        <f>BEL!AQ21</f>
        <v>0</v>
      </c>
      <c r="AR21" s="125">
        <f>BEL!AR21</f>
        <v>0</v>
      </c>
      <c r="AS21" s="125">
        <f>BEL!AS21</f>
        <v>0</v>
      </c>
      <c r="AT21" s="125">
        <f>BEL!AT21</f>
        <v>0</v>
      </c>
      <c r="AU21" s="127">
        <f>BEL!AU21</f>
        <v>124200</v>
      </c>
      <c r="AV21" s="127">
        <f>BEL!AV21</f>
        <v>0</v>
      </c>
      <c r="AW21" s="127">
        <f>BEL!AW21</f>
        <v>0</v>
      </c>
      <c r="AX21" s="127">
        <f t="shared" si="14"/>
        <v>3661.4459092993134</v>
      </c>
      <c r="AY21" s="127">
        <f t="shared" si="41"/>
        <v>0</v>
      </c>
      <c r="AZ21" s="127">
        <f t="shared" si="15"/>
        <v>0</v>
      </c>
      <c r="BA21" s="127">
        <f t="shared" si="16"/>
        <v>0</v>
      </c>
      <c r="BB21" s="127">
        <f t="shared" si="17"/>
        <v>0</v>
      </c>
      <c r="BC21" s="127">
        <f t="shared" si="18"/>
        <v>0</v>
      </c>
      <c r="BD21" s="127">
        <f t="shared" si="19"/>
        <v>0</v>
      </c>
      <c r="BE21" s="127">
        <f t="shared" si="20"/>
        <v>0</v>
      </c>
      <c r="BF21" s="127">
        <f t="shared" si="21"/>
        <v>0</v>
      </c>
      <c r="BG21" s="127">
        <f t="shared" si="22"/>
        <v>87.816187509994904</v>
      </c>
      <c r="BH21" s="127">
        <f t="shared" si="23"/>
        <v>0</v>
      </c>
      <c r="BI21" s="127">
        <f t="shared" si="42"/>
        <v>0</v>
      </c>
      <c r="BJ21" s="189">
        <f t="shared" si="64"/>
        <v>3661.4459092993134</v>
      </c>
      <c r="BK21" s="189">
        <f t="shared" si="65"/>
        <v>87.816187509994904</v>
      </c>
      <c r="BL21" s="192">
        <f t="shared" si="66"/>
        <v>0</v>
      </c>
      <c r="BM21" s="192">
        <f t="shared" si="67"/>
        <v>0</v>
      </c>
      <c r="BN21" s="192">
        <f t="shared" si="68"/>
        <v>0</v>
      </c>
      <c r="BO21" s="192">
        <f t="shared" si="69"/>
        <v>1063.5707916417243</v>
      </c>
      <c r="BP21" s="192">
        <f t="shared" si="70"/>
        <v>1063.5707916417243</v>
      </c>
      <c r="BQ21" s="193">
        <f t="shared" si="46"/>
        <v>1063.5707916417243</v>
      </c>
      <c r="BR21" s="193">
        <f t="shared" si="71"/>
        <v>0</v>
      </c>
      <c r="BS21" s="188">
        <f t="shared" si="48"/>
        <v>53745.010443918465</v>
      </c>
      <c r="BT21" s="188">
        <f t="shared" si="49"/>
        <v>2207.2219438392508</v>
      </c>
      <c r="BU21" s="188">
        <f t="shared" si="50"/>
        <v>0</v>
      </c>
      <c r="BV21" s="188">
        <f t="shared" si="51"/>
        <v>0</v>
      </c>
      <c r="BW21" s="188">
        <f t="shared" si="52"/>
        <v>0</v>
      </c>
      <c r="BX21" s="188">
        <f t="shared" si="53"/>
        <v>28353.853793845756</v>
      </c>
      <c r="BY21" s="188">
        <f t="shared" si="54"/>
        <v>28353.853793845756</v>
      </c>
      <c r="BZ21" s="188">
        <f t="shared" si="55"/>
        <v>28353.853793845756</v>
      </c>
      <c r="CA21" s="188">
        <f t="shared" si="56"/>
        <v>0</v>
      </c>
      <c r="CB21" s="149">
        <f t="shared" si="57"/>
        <v>84306.086181603474</v>
      </c>
      <c r="CC21" s="149">
        <f>CB21-BEL!CB21</f>
        <v>1240.314130582381</v>
      </c>
      <c r="CD21" s="189">
        <f>IF(AND(C21=0,C22=0),0,CB21/W21) - BEL!CC21</f>
        <v>1164.1885483046208</v>
      </c>
      <c r="CF21" s="195">
        <f t="shared" si="72"/>
        <v>1863.4176404479474</v>
      </c>
      <c r="CG21" s="127">
        <f t="shared" si="73"/>
        <v>8.140332163425418</v>
      </c>
      <c r="CH21" s="128">
        <f>'DATA INPUT - DETAIL'!AH12</f>
        <v>6.4789124380300003E-2</v>
      </c>
      <c r="CI21" s="125">
        <f t="shared" si="74"/>
        <v>-121.25660227246034</v>
      </c>
      <c r="CJ21" s="199">
        <f t="shared" si="75"/>
        <v>1750.3013703389124</v>
      </c>
      <c r="CL21" s="189">
        <f t="shared" si="76"/>
        <v>70063.933913229383</v>
      </c>
      <c r="CM21" s="149">
        <f t="shared" si="58"/>
        <v>306.07400206475938</v>
      </c>
      <c r="CN21" s="128">
        <f>'DATA INPUT - DETAIL'!AH12</f>
        <v>6.4789124380300003E-2</v>
      </c>
      <c r="CO21" s="149">
        <f t="shared" si="59"/>
        <v>-4559.211195466688</v>
      </c>
      <c r="CP21" s="149">
        <f t="shared" si="60"/>
        <v>65810.796719827456</v>
      </c>
      <c r="CR21" s="126">
        <f t="shared" si="77"/>
        <v>9</v>
      </c>
      <c r="CS21" s="189">
        <f t="shared" si="78"/>
        <v>0</v>
      </c>
      <c r="CT21" s="200">
        <f>CS21/(BEL!CE21+BEL!CA21-BEL!BU21+'RA CSM'!CF21)</f>
        <v>0</v>
      </c>
      <c r="CU21" s="149">
        <f>$CT21*BEL!CH21</f>
        <v>0</v>
      </c>
      <c r="CV21" s="149">
        <f>$CT21*BEL!CI21</f>
        <v>0</v>
      </c>
      <c r="CW21" s="149">
        <f>$CT21*BEL!CJ21</f>
        <v>0</v>
      </c>
      <c r="CX21" s="149">
        <f>$CT21*BEL!CK21</f>
        <v>0</v>
      </c>
      <c r="CY21" s="149">
        <f t="shared" si="61"/>
        <v>0</v>
      </c>
      <c r="CZ21" s="149">
        <f>$CT21*(BEL!CL21+'RA CSM'!CG21)</f>
        <v>0</v>
      </c>
      <c r="DA21" s="149">
        <f t="shared" si="62"/>
        <v>0</v>
      </c>
    </row>
    <row r="22" spans="2:105" x14ac:dyDescent="0.2">
      <c r="B22" s="130">
        <f>BEL!B22</f>
        <v>1</v>
      </c>
      <c r="C22" s="130">
        <f>BEL!C22</f>
        <v>10</v>
      </c>
      <c r="D22" s="190">
        <f>BEL!D22</f>
        <v>0</v>
      </c>
      <c r="E22" s="190">
        <f>BEL!E22</f>
        <v>0</v>
      </c>
      <c r="F22" s="190">
        <f>BEL!F22</f>
        <v>0</v>
      </c>
      <c r="G22" s="190">
        <f>BEL!G22*(1+$V$5)</f>
        <v>0</v>
      </c>
      <c r="H22" s="190">
        <f>BEL!H22*(1+$V$5)</f>
        <v>1050</v>
      </c>
      <c r="I22" s="179">
        <f t="shared" si="2"/>
        <v>1072.7011998213438</v>
      </c>
      <c r="J22" s="130">
        <f>BEL!J22</f>
        <v>0</v>
      </c>
      <c r="K22" s="130">
        <f>BEL!K22</f>
        <v>0</v>
      </c>
      <c r="L22" s="130">
        <f>BEL!L22</f>
        <v>35</v>
      </c>
      <c r="M22" s="185">
        <f t="shared" si="3"/>
        <v>8.921042540299684E-5</v>
      </c>
      <c r="N22" s="185">
        <f t="shared" si="4"/>
        <v>0</v>
      </c>
      <c r="O22" s="185">
        <f t="shared" si="5"/>
        <v>0</v>
      </c>
      <c r="P22" s="185">
        <f t="shared" si="6"/>
        <v>0</v>
      </c>
      <c r="Q22" s="185">
        <f t="shared" si="7"/>
        <v>0</v>
      </c>
      <c r="R22" s="185">
        <f t="shared" si="8"/>
        <v>0</v>
      </c>
      <c r="S22" s="185">
        <f t="shared" si="9"/>
        <v>0</v>
      </c>
      <c r="T22" s="185">
        <f t="shared" si="10"/>
        <v>0</v>
      </c>
      <c r="U22" s="196">
        <f>(C22&gt;0)*(C22&lt;$E$5)*VLOOKUP(MPP,ASUMSI!$BN$77:$CR$108,B22+1)*(1+$V$4)</f>
        <v>7.1160075525250057E-4</v>
      </c>
      <c r="V22" s="185">
        <f t="shared" si="11"/>
        <v>0</v>
      </c>
      <c r="W22" s="185">
        <f t="shared" si="63"/>
        <v>0.99281574303461273</v>
      </c>
      <c r="X22" s="185">
        <f t="shared" si="32"/>
        <v>8.85695147829102E-5</v>
      </c>
      <c r="Y22" s="185">
        <f t="shared" si="33"/>
        <v>7.0648843257000295E-4</v>
      </c>
      <c r="Z22" s="185">
        <f t="shared" si="34"/>
        <v>0</v>
      </c>
      <c r="AA22" s="197">
        <f t="shared" si="35"/>
        <v>0.99202068508725982</v>
      </c>
      <c r="AB22" s="185">
        <f t="shared" si="36"/>
        <v>0</v>
      </c>
      <c r="AC22" s="185">
        <f t="shared" si="36"/>
        <v>0</v>
      </c>
      <c r="AD22" s="185">
        <f t="shared" si="36"/>
        <v>0</v>
      </c>
      <c r="AE22" s="185">
        <f t="shared" si="37"/>
        <v>0</v>
      </c>
      <c r="AF22" s="185">
        <f t="shared" si="38"/>
        <v>0</v>
      </c>
      <c r="AG22" s="185">
        <f t="shared" si="39"/>
        <v>0</v>
      </c>
      <c r="AH22" s="185">
        <f t="shared" si="40"/>
        <v>0</v>
      </c>
      <c r="AI22" s="125">
        <f>BEL!AI22</f>
        <v>40136959.015799999</v>
      </c>
      <c r="AJ22" s="125">
        <f>BEL!AJ22</f>
        <v>0</v>
      </c>
      <c r="AK22" s="125">
        <f>BEL!AK22</f>
        <v>0</v>
      </c>
      <c r="AL22" s="125">
        <f>BEL!AL22</f>
        <v>0</v>
      </c>
      <c r="AM22" s="125">
        <f>BEL!AM22</f>
        <v>0</v>
      </c>
      <c r="AN22" s="125">
        <f>BEL!AN22</f>
        <v>0</v>
      </c>
      <c r="AO22" s="198">
        <f t="shared" si="13"/>
        <v>0</v>
      </c>
      <c r="AP22" s="125">
        <f>BEL!AP22</f>
        <v>0</v>
      </c>
      <c r="AQ22" s="125">
        <f>BEL!AQ22</f>
        <v>0</v>
      </c>
      <c r="AR22" s="125">
        <f>BEL!AR22</f>
        <v>0</v>
      </c>
      <c r="AS22" s="125">
        <f>BEL!AS22</f>
        <v>0</v>
      </c>
      <c r="AT22" s="125">
        <f>BEL!AT22</f>
        <v>0</v>
      </c>
      <c r="AU22" s="127">
        <f>BEL!AU22</f>
        <v>119600</v>
      </c>
      <c r="AV22" s="127">
        <f>BEL!AV22</f>
        <v>0</v>
      </c>
      <c r="AW22" s="127">
        <f>BEL!AW22</f>
        <v>0</v>
      </c>
      <c r="AX22" s="127">
        <f t="shared" si="14"/>
        <v>3554.9109848909588</v>
      </c>
      <c r="AY22" s="127">
        <f t="shared" si="41"/>
        <v>0</v>
      </c>
      <c r="AZ22" s="127">
        <f t="shared" si="15"/>
        <v>0</v>
      </c>
      <c r="BA22" s="127">
        <f t="shared" si="16"/>
        <v>0</v>
      </c>
      <c r="BB22" s="127">
        <f t="shared" si="17"/>
        <v>0</v>
      </c>
      <c r="BC22" s="127">
        <f t="shared" si="18"/>
        <v>0</v>
      </c>
      <c r="BD22" s="127">
        <f t="shared" si="19"/>
        <v>0</v>
      </c>
      <c r="BE22" s="127">
        <f t="shared" si="20"/>
        <v>0</v>
      </c>
      <c r="BF22" s="127">
        <f t="shared" si="21"/>
        <v>0</v>
      </c>
      <c r="BG22" s="127">
        <f t="shared" si="22"/>
        <v>84.496016535372348</v>
      </c>
      <c r="BH22" s="127">
        <f t="shared" si="23"/>
        <v>0</v>
      </c>
      <c r="BI22" s="127">
        <f t="shared" si="42"/>
        <v>0</v>
      </c>
      <c r="BJ22" s="189">
        <f t="shared" si="64"/>
        <v>3554.9109848909588</v>
      </c>
      <c r="BK22" s="189">
        <f t="shared" si="65"/>
        <v>84.496016535372348</v>
      </c>
      <c r="BL22" s="192">
        <f t="shared" si="66"/>
        <v>0</v>
      </c>
      <c r="BM22" s="192">
        <f t="shared" si="67"/>
        <v>0</v>
      </c>
      <c r="BN22" s="192">
        <f t="shared" si="68"/>
        <v>0</v>
      </c>
      <c r="BO22" s="192">
        <f t="shared" si="69"/>
        <v>1064.9946387547482</v>
      </c>
      <c r="BP22" s="192">
        <f t="shared" si="70"/>
        <v>1064.9946387547482</v>
      </c>
      <c r="BQ22" s="193">
        <f t="shared" si="46"/>
        <v>1064.9946387547482</v>
      </c>
      <c r="BR22" s="193">
        <f t="shared" si="71"/>
        <v>0</v>
      </c>
      <c r="BS22" s="188">
        <f t="shared" si="48"/>
        <v>50318.349387807022</v>
      </c>
      <c r="BT22" s="188">
        <f t="shared" si="49"/>
        <v>2129.0479961531387</v>
      </c>
      <c r="BU22" s="188">
        <f t="shared" si="50"/>
        <v>0</v>
      </c>
      <c r="BV22" s="188">
        <f t="shared" si="51"/>
        <v>0</v>
      </c>
      <c r="BW22" s="188">
        <f t="shared" si="52"/>
        <v>0</v>
      </c>
      <c r="BX22" s="188">
        <f t="shared" si="53"/>
        <v>27409.500489282462</v>
      </c>
      <c r="BY22" s="188">
        <f t="shared" si="54"/>
        <v>27409.500489282462</v>
      </c>
      <c r="BZ22" s="188">
        <f t="shared" si="55"/>
        <v>27409.500489282462</v>
      </c>
      <c r="CA22" s="188">
        <f t="shared" si="56"/>
        <v>0</v>
      </c>
      <c r="CB22" s="149">
        <f t="shared" si="57"/>
        <v>79856.897873242619</v>
      </c>
      <c r="CC22" s="149">
        <f>CB22-BEL!CB22</f>
        <v>1205.55603233687</v>
      </c>
      <c r="CD22" s="189">
        <f>IF(AND(C22=0,C23=0),0,CB22/W22) - BEL!CC22</f>
        <v>1124.6174875161232</v>
      </c>
      <c r="CF22" s="195">
        <f t="shared" si="72"/>
        <v>1750.3013703389124</v>
      </c>
      <c r="CG22" s="127">
        <f t="shared" si="73"/>
        <v>7.6461842108741358</v>
      </c>
      <c r="CH22" s="128">
        <f>'DATA INPUT - DETAIL'!AH13</f>
        <v>6.7251525076900007E-2</v>
      </c>
      <c r="CI22" s="125">
        <f t="shared" si="74"/>
        <v>-118.22465404868001</v>
      </c>
      <c r="CJ22" s="199">
        <f t="shared" si="75"/>
        <v>1639.7229005011063</v>
      </c>
      <c r="CL22" s="189">
        <f t="shared" si="76"/>
        <v>65810.796719827456</v>
      </c>
      <c r="CM22" s="149">
        <f t="shared" si="58"/>
        <v>287.49419003583176</v>
      </c>
      <c r="CN22" s="128">
        <f>'DATA INPUT - DETAIL'!AH13</f>
        <v>6.7251525076900007E-2</v>
      </c>
      <c r="CO22" s="149">
        <f t="shared" si="59"/>
        <v>-4445.2108686649035</v>
      </c>
      <c r="CP22" s="149">
        <f t="shared" si="60"/>
        <v>61653.080041198395</v>
      </c>
      <c r="CR22" s="126">
        <f t="shared" si="77"/>
        <v>10</v>
      </c>
      <c r="CS22" s="189">
        <f t="shared" si="78"/>
        <v>0</v>
      </c>
      <c r="CT22" s="200">
        <f>CS22/(BEL!CE22+BEL!CA22-BEL!BU22+'RA CSM'!CF22)</f>
        <v>0</v>
      </c>
      <c r="CU22" s="149">
        <f>$CT22*BEL!CH22</f>
        <v>0</v>
      </c>
      <c r="CV22" s="149">
        <f>$CT22*BEL!CI22</f>
        <v>0</v>
      </c>
      <c r="CW22" s="149">
        <f>$CT22*BEL!CJ22</f>
        <v>0</v>
      </c>
      <c r="CX22" s="149">
        <f>$CT22*BEL!CK22</f>
        <v>0</v>
      </c>
      <c r="CY22" s="149">
        <f t="shared" si="61"/>
        <v>0</v>
      </c>
      <c r="CZ22" s="149">
        <f>$CT22*(BEL!CL22+'RA CSM'!CG22)</f>
        <v>0</v>
      </c>
      <c r="DA22" s="149">
        <f t="shared" si="62"/>
        <v>0</v>
      </c>
    </row>
    <row r="23" spans="2:105" x14ac:dyDescent="0.2">
      <c r="B23" s="130">
        <f>BEL!B23</f>
        <v>1</v>
      </c>
      <c r="C23" s="130">
        <f>BEL!C23</f>
        <v>11</v>
      </c>
      <c r="D23" s="190">
        <f>BEL!D23</f>
        <v>0</v>
      </c>
      <c r="E23" s="190">
        <f>BEL!E23</f>
        <v>0</v>
      </c>
      <c r="F23" s="190">
        <f>BEL!F23</f>
        <v>0</v>
      </c>
      <c r="G23" s="190">
        <f>BEL!G23*(1+$V$5)</f>
        <v>0</v>
      </c>
      <c r="H23" s="190">
        <f>BEL!H23*(1+$V$5)</f>
        <v>1050</v>
      </c>
      <c r="I23" s="179">
        <f t="shared" si="2"/>
        <v>1074.9981407274784</v>
      </c>
      <c r="J23" s="130">
        <f>BEL!J23</f>
        <v>0</v>
      </c>
      <c r="K23" s="130">
        <f>BEL!K23</f>
        <v>0</v>
      </c>
      <c r="L23" s="130">
        <f>BEL!L23</f>
        <v>35</v>
      </c>
      <c r="M23" s="185">
        <f t="shared" si="3"/>
        <v>8.921042540299684E-5</v>
      </c>
      <c r="N23" s="185">
        <f t="shared" si="4"/>
        <v>0</v>
      </c>
      <c r="O23" s="185">
        <f t="shared" si="5"/>
        <v>0</v>
      </c>
      <c r="P23" s="185">
        <f t="shared" si="6"/>
        <v>0</v>
      </c>
      <c r="Q23" s="185">
        <f t="shared" si="7"/>
        <v>0</v>
      </c>
      <c r="R23" s="185">
        <f t="shared" si="8"/>
        <v>0</v>
      </c>
      <c r="S23" s="185">
        <f t="shared" si="9"/>
        <v>0</v>
      </c>
      <c r="T23" s="185">
        <f t="shared" si="10"/>
        <v>0</v>
      </c>
      <c r="U23" s="196">
        <f>(C23&gt;0)*(C23&lt;$E$5)*VLOOKUP(MPP,ASUMSI!$BN$77:$CR$108,B23+1)*(1+$V$4)</f>
        <v>7.1160075525250057E-4</v>
      </c>
      <c r="V23" s="185">
        <f t="shared" si="11"/>
        <v>0</v>
      </c>
      <c r="W23" s="185">
        <f t="shared" si="63"/>
        <v>0.99202068508725982</v>
      </c>
      <c r="X23" s="185">
        <f t="shared" si="32"/>
        <v>8.8498587325206812E-5</v>
      </c>
      <c r="Y23" s="185">
        <f t="shared" si="33"/>
        <v>7.0592266873419714E-4</v>
      </c>
      <c r="Z23" s="185">
        <f t="shared" si="34"/>
        <v>0</v>
      </c>
      <c r="AA23" s="197">
        <f t="shared" si="35"/>
        <v>0.99122626383120038</v>
      </c>
      <c r="AB23" s="185">
        <f t="shared" si="36"/>
        <v>0</v>
      </c>
      <c r="AC23" s="185">
        <f t="shared" si="36"/>
        <v>0</v>
      </c>
      <c r="AD23" s="185">
        <f t="shared" si="36"/>
        <v>0</v>
      </c>
      <c r="AE23" s="185">
        <f t="shared" si="37"/>
        <v>0</v>
      </c>
      <c r="AF23" s="185">
        <f t="shared" si="38"/>
        <v>0</v>
      </c>
      <c r="AG23" s="185">
        <f t="shared" si="39"/>
        <v>0</v>
      </c>
      <c r="AH23" s="185">
        <f t="shared" si="40"/>
        <v>0</v>
      </c>
      <c r="AI23" s="125">
        <f>BEL!AI23</f>
        <v>38947729.164800003</v>
      </c>
      <c r="AJ23" s="125">
        <f>BEL!AJ23</f>
        <v>0</v>
      </c>
      <c r="AK23" s="125">
        <f>BEL!AK23</f>
        <v>0</v>
      </c>
      <c r="AL23" s="125">
        <f>BEL!AL23</f>
        <v>0</v>
      </c>
      <c r="AM23" s="125">
        <f>BEL!AM23</f>
        <v>0</v>
      </c>
      <c r="AN23" s="125">
        <f>BEL!AN23</f>
        <v>0</v>
      </c>
      <c r="AO23" s="198">
        <f t="shared" si="13"/>
        <v>0</v>
      </c>
      <c r="AP23" s="125">
        <f>BEL!AP23</f>
        <v>0</v>
      </c>
      <c r="AQ23" s="125">
        <f>BEL!AQ23</f>
        <v>0</v>
      </c>
      <c r="AR23" s="125">
        <f>BEL!AR23</f>
        <v>0</v>
      </c>
      <c r="AS23" s="125">
        <f>BEL!AS23</f>
        <v>0</v>
      </c>
      <c r="AT23" s="125">
        <f>BEL!AT23</f>
        <v>0</v>
      </c>
      <c r="AU23" s="127">
        <f>BEL!AU23</f>
        <v>115000</v>
      </c>
      <c r="AV23" s="127">
        <f>BEL!AV23</f>
        <v>0</v>
      </c>
      <c r="AW23" s="127">
        <f>BEL!AW23</f>
        <v>0</v>
      </c>
      <c r="AX23" s="127">
        <f t="shared" si="14"/>
        <v>3446.8190106095572</v>
      </c>
      <c r="AY23" s="127">
        <f t="shared" si="41"/>
        <v>0</v>
      </c>
      <c r="AZ23" s="127">
        <f t="shared" si="15"/>
        <v>0</v>
      </c>
      <c r="BA23" s="127">
        <f t="shared" si="16"/>
        <v>0</v>
      </c>
      <c r="BB23" s="127">
        <f t="shared" si="17"/>
        <v>0</v>
      </c>
      <c r="BC23" s="127">
        <f t="shared" si="18"/>
        <v>0</v>
      </c>
      <c r="BD23" s="127">
        <f t="shared" si="19"/>
        <v>0</v>
      </c>
      <c r="BE23" s="127">
        <f t="shared" si="20"/>
        <v>0</v>
      </c>
      <c r="BF23" s="127">
        <f t="shared" si="21"/>
        <v>0</v>
      </c>
      <c r="BG23" s="127">
        <f t="shared" si="22"/>
        <v>81.181106904432667</v>
      </c>
      <c r="BH23" s="127">
        <f t="shared" si="23"/>
        <v>0</v>
      </c>
      <c r="BI23" s="127">
        <f t="shared" si="42"/>
        <v>0</v>
      </c>
      <c r="BJ23" s="189">
        <f t="shared" si="64"/>
        <v>3446.8190106095572</v>
      </c>
      <c r="BK23" s="189">
        <f t="shared" si="65"/>
        <v>81.181106904432667</v>
      </c>
      <c r="BL23" s="192">
        <f t="shared" si="66"/>
        <v>0</v>
      </c>
      <c r="BM23" s="192">
        <f t="shared" si="67"/>
        <v>0</v>
      </c>
      <c r="BN23" s="192">
        <f t="shared" si="68"/>
        <v>0</v>
      </c>
      <c r="BO23" s="192">
        <f t="shared" si="69"/>
        <v>1066.4203920320035</v>
      </c>
      <c r="BP23" s="192">
        <f t="shared" si="70"/>
        <v>1066.4203920320035</v>
      </c>
      <c r="BQ23" s="193">
        <f t="shared" si="46"/>
        <v>1066.4203920320035</v>
      </c>
      <c r="BR23" s="193">
        <f t="shared" si="71"/>
        <v>0</v>
      </c>
      <c r="BS23" s="188">
        <f t="shared" si="48"/>
        <v>46983.253901621756</v>
      </c>
      <c r="BT23" s="188">
        <f t="shared" si="49"/>
        <v>2053.8527168783603</v>
      </c>
      <c r="BU23" s="188">
        <f t="shared" si="50"/>
        <v>0</v>
      </c>
      <c r="BV23" s="188">
        <f t="shared" si="51"/>
        <v>0</v>
      </c>
      <c r="BW23" s="188">
        <f t="shared" si="52"/>
        <v>0</v>
      </c>
      <c r="BX23" s="188">
        <f t="shared" si="53"/>
        <v>26459.59171407736</v>
      </c>
      <c r="BY23" s="188">
        <f t="shared" si="54"/>
        <v>26459.59171407736</v>
      </c>
      <c r="BZ23" s="188">
        <f t="shared" si="55"/>
        <v>26459.59171407736</v>
      </c>
      <c r="CA23" s="188">
        <f t="shared" si="56"/>
        <v>0</v>
      </c>
      <c r="CB23" s="149">
        <f t="shared" si="57"/>
        <v>75496.698332577478</v>
      </c>
      <c r="CC23" s="149">
        <f>CB23-BEL!CB23</f>
        <v>1169.5150010449142</v>
      </c>
      <c r="CD23" s="189">
        <f>IF(AND(C23=0,C24=0),0,CB23/W23) - BEL!CC23</f>
        <v>1084.6931496128527</v>
      </c>
      <c r="CF23" s="195">
        <f t="shared" si="72"/>
        <v>1639.7229005011063</v>
      </c>
      <c r="CG23" s="127">
        <f t="shared" si="73"/>
        <v>7.1631226281863851</v>
      </c>
      <c r="CH23" s="128">
        <f>'DATA INPUT - DETAIL'!AH14</f>
        <v>6.9897365742700002E-2</v>
      </c>
      <c r="CI23" s="125">
        <f t="shared" si="74"/>
        <v>-115.11299469520887</v>
      </c>
      <c r="CJ23" s="199">
        <f t="shared" si="75"/>
        <v>1531.7730284340837</v>
      </c>
      <c r="CL23" s="189">
        <f t="shared" si="76"/>
        <v>61653.080041198395</v>
      </c>
      <c r="CM23" s="149">
        <f t="shared" si="58"/>
        <v>269.3312221263306</v>
      </c>
      <c r="CN23" s="128">
        <f>'DATA INPUT - DETAIL'!AH14</f>
        <v>6.9897365742700002E-2</v>
      </c>
      <c r="CO23" s="149">
        <f t="shared" si="59"/>
        <v>-4328.2134277424948</v>
      </c>
      <c r="CP23" s="149">
        <f t="shared" si="60"/>
        <v>57594.197835582236</v>
      </c>
      <c r="CR23" s="126">
        <f t="shared" si="77"/>
        <v>11</v>
      </c>
      <c r="CS23" s="189">
        <f t="shared" si="78"/>
        <v>0</v>
      </c>
      <c r="CT23" s="200">
        <f>CS23/(BEL!CE23+BEL!CA23-BEL!BU23+'RA CSM'!CF23)</f>
        <v>0</v>
      </c>
      <c r="CU23" s="149">
        <f>$CT23*BEL!CH23</f>
        <v>0</v>
      </c>
      <c r="CV23" s="149">
        <f>$CT23*BEL!CI23</f>
        <v>0</v>
      </c>
      <c r="CW23" s="149">
        <f>$CT23*BEL!CJ23</f>
        <v>0</v>
      </c>
      <c r="CX23" s="149">
        <f>$CT23*BEL!CK23</f>
        <v>0</v>
      </c>
      <c r="CY23" s="149">
        <f t="shared" si="61"/>
        <v>0</v>
      </c>
      <c r="CZ23" s="149">
        <f>$CT23*(BEL!CL23+'RA CSM'!CG23)</f>
        <v>0</v>
      </c>
      <c r="DA23" s="149">
        <f t="shared" si="62"/>
        <v>0</v>
      </c>
    </row>
    <row r="24" spans="2:105" x14ac:dyDescent="0.2">
      <c r="B24" s="130">
        <f>BEL!B24</f>
        <v>1</v>
      </c>
      <c r="C24" s="130">
        <f>BEL!C24</f>
        <v>12</v>
      </c>
      <c r="D24" s="190">
        <f>BEL!D24</f>
        <v>0</v>
      </c>
      <c r="E24" s="190">
        <f>BEL!E24</f>
        <v>0</v>
      </c>
      <c r="F24" s="190">
        <f>BEL!F24</f>
        <v>0</v>
      </c>
      <c r="G24" s="190">
        <f>BEL!G24*(1+$V$5)</f>
        <v>0</v>
      </c>
      <c r="H24" s="190">
        <f>BEL!H24*(1+$V$5)</f>
        <v>1050</v>
      </c>
      <c r="I24" s="179">
        <f t="shared" si="2"/>
        <v>1077.3000000000015</v>
      </c>
      <c r="J24" s="130">
        <f>BEL!J24</f>
        <v>0</v>
      </c>
      <c r="K24" s="130">
        <f>BEL!K24</f>
        <v>0</v>
      </c>
      <c r="L24" s="130">
        <f>BEL!L24</f>
        <v>35</v>
      </c>
      <c r="M24" s="185">
        <f t="shared" si="3"/>
        <v>8.921042540299684E-5</v>
      </c>
      <c r="N24" s="185">
        <f t="shared" si="4"/>
        <v>0</v>
      </c>
      <c r="O24" s="185">
        <f t="shared" si="5"/>
        <v>0</v>
      </c>
      <c r="P24" s="185">
        <f t="shared" si="6"/>
        <v>0</v>
      </c>
      <c r="Q24" s="185">
        <f t="shared" si="7"/>
        <v>0</v>
      </c>
      <c r="R24" s="185">
        <f t="shared" si="8"/>
        <v>0</v>
      </c>
      <c r="S24" s="185">
        <f t="shared" si="9"/>
        <v>0</v>
      </c>
      <c r="T24" s="185">
        <f t="shared" si="10"/>
        <v>0</v>
      </c>
      <c r="U24" s="196">
        <f>(C24&gt;0)*(C24&lt;$E$5)*VLOOKUP(MPP,ASUMSI!$BN$77:$CR$108,B24+1)*(1+$V$4)</f>
        <v>7.1160075525250057E-4</v>
      </c>
      <c r="V24" s="185">
        <f t="shared" si="11"/>
        <v>0</v>
      </c>
      <c r="W24" s="185">
        <f t="shared" si="63"/>
        <v>0.99122626383120038</v>
      </c>
      <c r="X24" s="185">
        <f t="shared" si="32"/>
        <v>8.8427716667004562E-5</v>
      </c>
      <c r="Y24" s="185">
        <f t="shared" si="33"/>
        <v>7.0535735796839656E-4</v>
      </c>
      <c r="Z24" s="185">
        <f t="shared" si="34"/>
        <v>0</v>
      </c>
      <c r="AA24" s="197">
        <f t="shared" si="35"/>
        <v>0.99043247875656493</v>
      </c>
      <c r="AB24" s="185">
        <f t="shared" si="36"/>
        <v>0</v>
      </c>
      <c r="AC24" s="185">
        <f t="shared" si="36"/>
        <v>0</v>
      </c>
      <c r="AD24" s="185">
        <f t="shared" si="36"/>
        <v>0</v>
      </c>
      <c r="AE24" s="185">
        <f t="shared" si="37"/>
        <v>0</v>
      </c>
      <c r="AF24" s="185">
        <f t="shared" si="38"/>
        <v>0</v>
      </c>
      <c r="AG24" s="185">
        <f t="shared" si="39"/>
        <v>0</v>
      </c>
      <c r="AH24" s="185">
        <f t="shared" si="40"/>
        <v>0</v>
      </c>
      <c r="AI24" s="125">
        <f>BEL!AI24</f>
        <v>37738678.816200003</v>
      </c>
      <c r="AJ24" s="125">
        <f>BEL!AJ24</f>
        <v>0</v>
      </c>
      <c r="AK24" s="125">
        <f>BEL!AK24</f>
        <v>0</v>
      </c>
      <c r="AL24" s="125">
        <f>BEL!AL24</f>
        <v>0</v>
      </c>
      <c r="AM24" s="125">
        <f>BEL!AM24</f>
        <v>0</v>
      </c>
      <c r="AN24" s="125">
        <f>BEL!AN24</f>
        <v>0</v>
      </c>
      <c r="AO24" s="198">
        <f t="shared" si="13"/>
        <v>0</v>
      </c>
      <c r="AP24" s="125">
        <f>BEL!AP24</f>
        <v>0</v>
      </c>
      <c r="AQ24" s="125">
        <f>BEL!AQ24</f>
        <v>0</v>
      </c>
      <c r="AR24" s="125">
        <f>BEL!AR24</f>
        <v>0</v>
      </c>
      <c r="AS24" s="125">
        <f>BEL!AS24</f>
        <v>0</v>
      </c>
      <c r="AT24" s="125">
        <f>BEL!AT24</f>
        <v>0</v>
      </c>
      <c r="AU24" s="127">
        <f>BEL!AU24</f>
        <v>110400</v>
      </c>
      <c r="AV24" s="127">
        <f>BEL!AV24</f>
        <v>0</v>
      </c>
      <c r="AW24" s="127">
        <f>BEL!AW24</f>
        <v>0</v>
      </c>
      <c r="AX24" s="127">
        <f t="shared" si="14"/>
        <v>3337.145197746021</v>
      </c>
      <c r="AY24" s="127">
        <f t="shared" si="41"/>
        <v>0</v>
      </c>
      <c r="AZ24" s="127">
        <f t="shared" si="15"/>
        <v>0</v>
      </c>
      <c r="BA24" s="127">
        <f t="shared" si="16"/>
        <v>0</v>
      </c>
      <c r="BB24" s="127">
        <f t="shared" si="17"/>
        <v>0</v>
      </c>
      <c r="BC24" s="127">
        <f t="shared" si="18"/>
        <v>0</v>
      </c>
      <c r="BD24" s="127">
        <f t="shared" si="19"/>
        <v>0</v>
      </c>
      <c r="BE24" s="127">
        <f t="shared" si="20"/>
        <v>0</v>
      </c>
      <c r="BF24" s="127">
        <f t="shared" si="21"/>
        <v>0</v>
      </c>
      <c r="BG24" s="127">
        <f t="shared" si="22"/>
        <v>77.871452319710983</v>
      </c>
      <c r="BH24" s="127">
        <f t="shared" si="23"/>
        <v>0</v>
      </c>
      <c r="BI24" s="127">
        <f t="shared" si="42"/>
        <v>0</v>
      </c>
      <c r="BJ24" s="189">
        <f t="shared" si="64"/>
        <v>3337.145197746021</v>
      </c>
      <c r="BK24" s="189">
        <f t="shared" si="65"/>
        <v>77.871452319710983</v>
      </c>
      <c r="BL24" s="192">
        <f t="shared" si="66"/>
        <v>0</v>
      </c>
      <c r="BM24" s="192">
        <f t="shared" si="67"/>
        <v>0</v>
      </c>
      <c r="BN24" s="192">
        <f t="shared" si="68"/>
        <v>0</v>
      </c>
      <c r="BO24" s="192">
        <f t="shared" si="69"/>
        <v>1067.8480540253538</v>
      </c>
      <c r="BP24" s="192">
        <f t="shared" si="70"/>
        <v>1067.8480540253538</v>
      </c>
      <c r="BQ24" s="193">
        <f t="shared" si="46"/>
        <v>1067.8480540253538</v>
      </c>
      <c r="BR24" s="193">
        <f t="shared" si="71"/>
        <v>0</v>
      </c>
      <c r="BS24" s="188">
        <f t="shared" si="48"/>
        <v>43741.681039044699</v>
      </c>
      <c r="BT24" s="188">
        <f t="shared" si="49"/>
        <v>1981.6438569717207</v>
      </c>
      <c r="BU24" s="188">
        <f t="shared" si="50"/>
        <v>0</v>
      </c>
      <c r="BV24" s="188">
        <f t="shared" si="51"/>
        <v>0</v>
      </c>
      <c r="BW24" s="188">
        <f t="shared" si="52"/>
        <v>0</v>
      </c>
      <c r="BX24" s="188">
        <f t="shared" si="53"/>
        <v>25504.101284688903</v>
      </c>
      <c r="BY24" s="188">
        <f t="shared" si="54"/>
        <v>25504.101284688903</v>
      </c>
      <c r="BZ24" s="188">
        <f t="shared" si="55"/>
        <v>25504.101284688903</v>
      </c>
      <c r="CA24" s="188">
        <f t="shared" si="56"/>
        <v>0</v>
      </c>
      <c r="CB24" s="149">
        <f t="shared" si="57"/>
        <v>71227.426180705326</v>
      </c>
      <c r="CC24" s="149">
        <f>CB24-BEL!CB24</f>
        <v>1132.2156771781156</v>
      </c>
      <c r="CD24" s="189">
        <f>IF(AND(C24=0,C25=0),0,CB24/W24) - BEL!CC24</f>
        <v>1044.4027762900078</v>
      </c>
      <c r="CF24" s="195">
        <f t="shared" si="72"/>
        <v>1531.7730284340837</v>
      </c>
      <c r="CG24" s="127">
        <f t="shared" si="73"/>
        <v>6.6915440638589585</v>
      </c>
      <c r="CH24" s="128">
        <f>'DATA INPUT - DETAIL'!AH15</f>
        <v>7.2747825556699994E-2</v>
      </c>
      <c r="CI24" s="125">
        <f t="shared" si="74"/>
        <v>-111.91995234524337</v>
      </c>
      <c r="CJ24" s="199">
        <f t="shared" si="75"/>
        <v>1426.5446201526993</v>
      </c>
      <c r="CL24" s="189">
        <f t="shared" si="76"/>
        <v>57594.197835582236</v>
      </c>
      <c r="CM24" s="149">
        <f t="shared" si="58"/>
        <v>251.60001219853919</v>
      </c>
      <c r="CN24" s="128">
        <f>'DATA INPUT - DETAIL'!AH15</f>
        <v>7.2747825556699994E-2</v>
      </c>
      <c r="CO24" s="149">
        <f t="shared" si="59"/>
        <v>-4208.1560110184882</v>
      </c>
      <c r="CP24" s="149">
        <f t="shared" si="60"/>
        <v>53637.64183676229</v>
      </c>
      <c r="CR24" s="126">
        <f t="shared" si="77"/>
        <v>12</v>
      </c>
      <c r="CS24" s="189">
        <f t="shared" si="78"/>
        <v>0</v>
      </c>
      <c r="CT24" s="200">
        <f>CS24/(BEL!CE24+BEL!CA24-BEL!BU24+'RA CSM'!CF24)</f>
        <v>0</v>
      </c>
      <c r="CU24" s="149">
        <f>$CT24*BEL!CH24</f>
        <v>0</v>
      </c>
      <c r="CV24" s="149">
        <f>$CT24*BEL!CI24</f>
        <v>0</v>
      </c>
      <c r="CW24" s="149">
        <f>$CT24*BEL!CJ24</f>
        <v>0</v>
      </c>
      <c r="CX24" s="149">
        <f>$CT24*BEL!CK24</f>
        <v>0</v>
      </c>
      <c r="CY24" s="149">
        <f t="shared" si="61"/>
        <v>0</v>
      </c>
      <c r="CZ24" s="149">
        <f>$CT24*(BEL!CL24+'RA CSM'!CG24)</f>
        <v>0</v>
      </c>
      <c r="DA24" s="149">
        <f t="shared" si="62"/>
        <v>0</v>
      </c>
    </row>
    <row r="25" spans="2:105" x14ac:dyDescent="0.2">
      <c r="B25" s="130">
        <f>BEL!B25</f>
        <v>2</v>
      </c>
      <c r="C25" s="130">
        <f>BEL!C25</f>
        <v>13</v>
      </c>
      <c r="D25" s="190">
        <f>BEL!D25</f>
        <v>0</v>
      </c>
      <c r="E25" s="190">
        <f>BEL!E25</f>
        <v>0</v>
      </c>
      <c r="F25" s="190">
        <f>BEL!F25</f>
        <v>0</v>
      </c>
      <c r="G25" s="190">
        <f>BEL!G25*(1+$V$5)</f>
        <v>0</v>
      </c>
      <c r="H25" s="190">
        <f>BEL!H25*(1+$V$5)</f>
        <v>1050</v>
      </c>
      <c r="I25" s="179">
        <f t="shared" si="2"/>
        <v>1079.6067881704548</v>
      </c>
      <c r="J25" s="130">
        <f>BEL!J25</f>
        <v>0</v>
      </c>
      <c r="K25" s="130">
        <f>BEL!K25</f>
        <v>0</v>
      </c>
      <c r="L25" s="130">
        <f>BEL!L25</f>
        <v>35</v>
      </c>
      <c r="M25" s="185">
        <f t="shared" si="3"/>
        <v>8.921042540299684E-5</v>
      </c>
      <c r="N25" s="185">
        <f t="shared" si="4"/>
        <v>0</v>
      </c>
      <c r="O25" s="185">
        <f t="shared" si="5"/>
        <v>0</v>
      </c>
      <c r="P25" s="185">
        <f t="shared" si="6"/>
        <v>0</v>
      </c>
      <c r="Q25" s="185">
        <f t="shared" si="7"/>
        <v>0</v>
      </c>
      <c r="R25" s="185">
        <f t="shared" si="8"/>
        <v>0</v>
      </c>
      <c r="S25" s="185">
        <f t="shared" si="9"/>
        <v>0</v>
      </c>
      <c r="T25" s="185">
        <f t="shared" si="10"/>
        <v>0</v>
      </c>
      <c r="U25" s="196">
        <f>(C25&gt;0)*(C25&lt;$E$5)*VLOOKUP(MPP,ASUMSI!$BN$77:$CR$108,B25+1)*(1+$V$4)</f>
        <v>1.4298211698286379E-3</v>
      </c>
      <c r="V25" s="185">
        <f t="shared" si="11"/>
        <v>0</v>
      </c>
      <c r="W25" s="185">
        <f t="shared" si="63"/>
        <v>0.99043247875656493</v>
      </c>
      <c r="X25" s="185">
        <f t="shared" si="32"/>
        <v>8.8356902762817794E-5</v>
      </c>
      <c r="Y25" s="185">
        <f t="shared" si="33"/>
        <v>1.4161413254119891E-3</v>
      </c>
      <c r="Z25" s="185">
        <f t="shared" si="34"/>
        <v>0</v>
      </c>
      <c r="AA25" s="197">
        <f t="shared" si="35"/>
        <v>0.98892798052839015</v>
      </c>
      <c r="AB25" s="185">
        <f t="shared" si="36"/>
        <v>0</v>
      </c>
      <c r="AC25" s="185">
        <f t="shared" si="36"/>
        <v>0</v>
      </c>
      <c r="AD25" s="185">
        <f t="shared" si="36"/>
        <v>0</v>
      </c>
      <c r="AE25" s="185">
        <f t="shared" si="37"/>
        <v>0</v>
      </c>
      <c r="AF25" s="185">
        <f t="shared" si="38"/>
        <v>0</v>
      </c>
      <c r="AG25" s="185">
        <f t="shared" si="39"/>
        <v>0</v>
      </c>
      <c r="AH25" s="185">
        <f t="shared" si="40"/>
        <v>0</v>
      </c>
      <c r="AI25" s="125">
        <f>BEL!AI25</f>
        <v>36509477.6285</v>
      </c>
      <c r="AJ25" s="125">
        <f>BEL!AJ25</f>
        <v>0</v>
      </c>
      <c r="AK25" s="125">
        <f>BEL!AK25</f>
        <v>0</v>
      </c>
      <c r="AL25" s="125">
        <f>BEL!AL25</f>
        <v>0</v>
      </c>
      <c r="AM25" s="125">
        <f>BEL!AM25</f>
        <v>0</v>
      </c>
      <c r="AN25" s="125">
        <f>BEL!AN25</f>
        <v>0</v>
      </c>
      <c r="AO25" s="198">
        <f t="shared" si="13"/>
        <v>0</v>
      </c>
      <c r="AP25" s="125">
        <f>BEL!AP25</f>
        <v>0</v>
      </c>
      <c r="AQ25" s="125">
        <f>BEL!AQ25</f>
        <v>0</v>
      </c>
      <c r="AR25" s="125">
        <f>BEL!AR25</f>
        <v>0</v>
      </c>
      <c r="AS25" s="125">
        <f>BEL!AS25</f>
        <v>0</v>
      </c>
      <c r="AT25" s="125">
        <f>BEL!AT25</f>
        <v>0</v>
      </c>
      <c r="AU25" s="127">
        <f>BEL!AU25</f>
        <v>105800</v>
      </c>
      <c r="AV25" s="127">
        <f>BEL!AV25</f>
        <v>0</v>
      </c>
      <c r="AW25" s="127">
        <f>BEL!AW25</f>
        <v>0</v>
      </c>
      <c r="AX25" s="127">
        <f t="shared" si="14"/>
        <v>3225.8643647426461</v>
      </c>
      <c r="AY25" s="127">
        <f t="shared" si="41"/>
        <v>0</v>
      </c>
      <c r="AZ25" s="127">
        <f t="shared" si="15"/>
        <v>0</v>
      </c>
      <c r="BA25" s="127">
        <f t="shared" si="16"/>
        <v>0</v>
      </c>
      <c r="BB25" s="127">
        <f t="shared" si="17"/>
        <v>0</v>
      </c>
      <c r="BC25" s="127">
        <f t="shared" si="18"/>
        <v>0</v>
      </c>
      <c r="BD25" s="127">
        <f t="shared" si="19"/>
        <v>0</v>
      </c>
      <c r="BE25" s="127">
        <f t="shared" si="20"/>
        <v>0</v>
      </c>
      <c r="BF25" s="127">
        <f t="shared" si="21"/>
        <v>0</v>
      </c>
      <c r="BG25" s="127">
        <f t="shared" si="22"/>
        <v>149.82775222858845</v>
      </c>
      <c r="BH25" s="127">
        <f t="shared" si="23"/>
        <v>0</v>
      </c>
      <c r="BI25" s="127">
        <f t="shared" si="42"/>
        <v>0</v>
      </c>
      <c r="BJ25" s="189">
        <f t="shared" si="64"/>
        <v>3225.8643647426461</v>
      </c>
      <c r="BK25" s="189">
        <f t="shared" si="65"/>
        <v>149.82775222858845</v>
      </c>
      <c r="BL25" s="192">
        <f t="shared" si="66"/>
        <v>0</v>
      </c>
      <c r="BM25" s="192">
        <f t="shared" si="67"/>
        <v>0</v>
      </c>
      <c r="BN25" s="192">
        <f t="shared" si="68"/>
        <v>0</v>
      </c>
      <c r="BO25" s="192">
        <f t="shared" si="69"/>
        <v>1069.2776272900774</v>
      </c>
      <c r="BP25" s="192">
        <f t="shared" si="70"/>
        <v>1069.2776272900774</v>
      </c>
      <c r="BQ25" s="193">
        <f t="shared" si="46"/>
        <v>1069.2776272900774</v>
      </c>
      <c r="BR25" s="193">
        <f t="shared" si="71"/>
        <v>0</v>
      </c>
      <c r="BS25" s="188">
        <f t="shared" si="48"/>
        <v>40595.621191847807</v>
      </c>
      <c r="BT25" s="188">
        <f t="shared" si="49"/>
        <v>1912.4292075475128</v>
      </c>
      <c r="BU25" s="188">
        <f t="shared" si="50"/>
        <v>0</v>
      </c>
      <c r="BV25" s="188">
        <f t="shared" si="51"/>
        <v>0</v>
      </c>
      <c r="BW25" s="188">
        <f t="shared" si="52"/>
        <v>0</v>
      </c>
      <c r="BX25" s="188">
        <f t="shared" si="53"/>
        <v>24543.002900629835</v>
      </c>
      <c r="BY25" s="188">
        <f t="shared" si="54"/>
        <v>24543.002900629835</v>
      </c>
      <c r="BZ25" s="188">
        <f t="shared" si="55"/>
        <v>24543.002900629835</v>
      </c>
      <c r="CA25" s="188">
        <f t="shared" si="56"/>
        <v>0</v>
      </c>
      <c r="CB25" s="149">
        <f t="shared" si="57"/>
        <v>67051.053300025145</v>
      </c>
      <c r="CC25" s="149">
        <f>CB25-BEL!CB25</f>
        <v>1093.6834200011508</v>
      </c>
      <c r="CD25" s="189">
        <f>IF(AND(C25=0,C26=0),0,CB25/W25) - BEL!CC25</f>
        <v>1003.7332642141264</v>
      </c>
      <c r="CF25" s="195">
        <f t="shared" si="72"/>
        <v>1426.5446201526993</v>
      </c>
      <c r="CG25" s="127">
        <f t="shared" si="73"/>
        <v>6.2318542026890817</v>
      </c>
      <c r="CH25" s="128">
        <f>'DATA INPUT - DETAIL'!AH16</f>
        <v>7.5827397597499999E-2</v>
      </c>
      <c r="CI25" s="125">
        <f t="shared" si="74"/>
        <v>-108.6437113892903</v>
      </c>
      <c r="CJ25" s="199">
        <f t="shared" si="75"/>
        <v>1324.1327629660982</v>
      </c>
      <c r="CL25" s="189">
        <f t="shared" si="76"/>
        <v>53637.64183676229</v>
      </c>
      <c r="CM25" s="149">
        <f t="shared" si="58"/>
        <v>234.31581387687612</v>
      </c>
      <c r="CN25" s="128">
        <f>'DATA INPUT - DETAIL'!AH16</f>
        <v>7.5827397597499999E-2</v>
      </c>
      <c r="CO25" s="149">
        <f t="shared" si="59"/>
        <v>-4084.9703521306983</v>
      </c>
      <c r="CP25" s="149">
        <f t="shared" si="60"/>
        <v>49786.987298508466</v>
      </c>
      <c r="CR25" s="126">
        <f t="shared" si="77"/>
        <v>13</v>
      </c>
      <c r="CS25" s="189">
        <f t="shared" si="78"/>
        <v>0</v>
      </c>
      <c r="CT25" s="200">
        <f>CS25/(BEL!CE25+BEL!CA25-BEL!BU25+'RA CSM'!CF25)</f>
        <v>0</v>
      </c>
      <c r="CU25" s="149">
        <f>$CT25*BEL!CH25</f>
        <v>0</v>
      </c>
      <c r="CV25" s="149">
        <f>$CT25*BEL!CI25</f>
        <v>0</v>
      </c>
      <c r="CW25" s="149">
        <f>$CT25*BEL!CJ25</f>
        <v>0</v>
      </c>
      <c r="CX25" s="149">
        <f>$CT25*BEL!CK25</f>
        <v>0</v>
      </c>
      <c r="CY25" s="149">
        <f t="shared" si="61"/>
        <v>0</v>
      </c>
      <c r="CZ25" s="149">
        <f>$CT25*(BEL!CL25+'RA CSM'!CG25)</f>
        <v>0</v>
      </c>
      <c r="DA25" s="149">
        <f t="shared" si="62"/>
        <v>0</v>
      </c>
    </row>
    <row r="26" spans="2:105" x14ac:dyDescent="0.2">
      <c r="B26" s="130">
        <f>BEL!B26</f>
        <v>2</v>
      </c>
      <c r="C26" s="130">
        <f>BEL!C26</f>
        <v>14</v>
      </c>
      <c r="D26" s="190">
        <f>BEL!D26</f>
        <v>0</v>
      </c>
      <c r="E26" s="190">
        <f>BEL!E26</f>
        <v>0</v>
      </c>
      <c r="F26" s="190">
        <f>BEL!F26</f>
        <v>0</v>
      </c>
      <c r="G26" s="190">
        <f>BEL!G26*(1+$V$5)</f>
        <v>0</v>
      </c>
      <c r="H26" s="190">
        <f>BEL!H26*(1+$V$5)</f>
        <v>1050</v>
      </c>
      <c r="I26" s="179">
        <f t="shared" si="2"/>
        <v>1081.9185157929301</v>
      </c>
      <c r="J26" s="130">
        <f>BEL!J26</f>
        <v>0</v>
      </c>
      <c r="K26" s="130">
        <f>BEL!K26</f>
        <v>0</v>
      </c>
      <c r="L26" s="130">
        <f>BEL!L26</f>
        <v>35</v>
      </c>
      <c r="M26" s="185">
        <f t="shared" si="3"/>
        <v>8.921042540299684E-5</v>
      </c>
      <c r="N26" s="185">
        <f t="shared" si="4"/>
        <v>0</v>
      </c>
      <c r="O26" s="185">
        <f t="shared" si="5"/>
        <v>0</v>
      </c>
      <c r="P26" s="185">
        <f t="shared" si="6"/>
        <v>0</v>
      </c>
      <c r="Q26" s="185">
        <f t="shared" si="7"/>
        <v>0</v>
      </c>
      <c r="R26" s="185">
        <f t="shared" si="8"/>
        <v>0</v>
      </c>
      <c r="S26" s="185">
        <f t="shared" si="9"/>
        <v>0</v>
      </c>
      <c r="T26" s="185">
        <f t="shared" si="10"/>
        <v>0</v>
      </c>
      <c r="U26" s="196">
        <f>(C26&gt;0)*(C26&lt;$E$5)*VLOOKUP(MPP,ASUMSI!$BN$77:$CR$108,B26+1)*(1+$V$4)</f>
        <v>1.4298211698286379E-3</v>
      </c>
      <c r="V26" s="185">
        <f t="shared" si="11"/>
        <v>0</v>
      </c>
      <c r="W26" s="185">
        <f t="shared" si="63"/>
        <v>0.98892798052839015</v>
      </c>
      <c r="X26" s="185">
        <f t="shared" si="32"/>
        <v>8.8222685835864266E-5</v>
      </c>
      <c r="Y26" s="185">
        <f t="shared" si="33"/>
        <v>1.4139901619953752E-3</v>
      </c>
      <c r="Z26" s="185">
        <f t="shared" si="34"/>
        <v>0</v>
      </c>
      <c r="AA26" s="197">
        <f t="shared" si="35"/>
        <v>0.9874257676805589</v>
      </c>
      <c r="AB26" s="185">
        <f t="shared" si="36"/>
        <v>0</v>
      </c>
      <c r="AC26" s="185">
        <f t="shared" si="36"/>
        <v>0</v>
      </c>
      <c r="AD26" s="185">
        <f t="shared" si="36"/>
        <v>0</v>
      </c>
      <c r="AE26" s="185">
        <f t="shared" si="37"/>
        <v>0</v>
      </c>
      <c r="AF26" s="185">
        <f t="shared" si="38"/>
        <v>0</v>
      </c>
      <c r="AG26" s="185">
        <f t="shared" si="39"/>
        <v>0</v>
      </c>
      <c r="AH26" s="185">
        <f t="shared" si="40"/>
        <v>0</v>
      </c>
      <c r="AI26" s="125">
        <f>BEL!AI26</f>
        <v>35259789.754299998</v>
      </c>
      <c r="AJ26" s="125">
        <f>BEL!AJ26</f>
        <v>0</v>
      </c>
      <c r="AK26" s="125">
        <f>BEL!AK26</f>
        <v>0</v>
      </c>
      <c r="AL26" s="125">
        <f>BEL!AL26</f>
        <v>0</v>
      </c>
      <c r="AM26" s="125">
        <f>BEL!AM26</f>
        <v>0</v>
      </c>
      <c r="AN26" s="125">
        <f>BEL!AN26</f>
        <v>0</v>
      </c>
      <c r="AO26" s="198">
        <f t="shared" si="13"/>
        <v>0</v>
      </c>
      <c r="AP26" s="125">
        <f>BEL!AP26</f>
        <v>0</v>
      </c>
      <c r="AQ26" s="125">
        <f>BEL!AQ26</f>
        <v>0</v>
      </c>
      <c r="AR26" s="125">
        <f>BEL!AR26</f>
        <v>0</v>
      </c>
      <c r="AS26" s="125">
        <f>BEL!AS26</f>
        <v>0</v>
      </c>
      <c r="AT26" s="125">
        <f>BEL!AT26</f>
        <v>0</v>
      </c>
      <c r="AU26" s="127">
        <f>BEL!AU26</f>
        <v>101200</v>
      </c>
      <c r="AV26" s="127">
        <f>BEL!AV26</f>
        <v>0</v>
      </c>
      <c r="AW26" s="127">
        <f>BEL!AW26</f>
        <v>0</v>
      </c>
      <c r="AX26" s="127">
        <f t="shared" si="14"/>
        <v>3110.7133541322346</v>
      </c>
      <c r="AY26" s="127">
        <f t="shared" si="41"/>
        <v>0</v>
      </c>
      <c r="AZ26" s="127">
        <f t="shared" si="15"/>
        <v>0</v>
      </c>
      <c r="BA26" s="127">
        <f t="shared" si="16"/>
        <v>0</v>
      </c>
      <c r="BB26" s="127">
        <f t="shared" si="17"/>
        <v>0</v>
      </c>
      <c r="BC26" s="127">
        <f t="shared" si="18"/>
        <v>0</v>
      </c>
      <c r="BD26" s="127">
        <f t="shared" si="19"/>
        <v>0</v>
      </c>
      <c r="BE26" s="127">
        <f t="shared" si="20"/>
        <v>0</v>
      </c>
      <c r="BF26" s="127">
        <f t="shared" si="21"/>
        <v>0</v>
      </c>
      <c r="BG26" s="127">
        <f t="shared" si="22"/>
        <v>143.09580439393196</v>
      </c>
      <c r="BH26" s="127">
        <f t="shared" si="23"/>
        <v>0</v>
      </c>
      <c r="BI26" s="127">
        <f t="shared" si="42"/>
        <v>0</v>
      </c>
      <c r="BJ26" s="189">
        <f t="shared" si="64"/>
        <v>3110.7133541322346</v>
      </c>
      <c r="BK26" s="189">
        <f t="shared" si="65"/>
        <v>143.09580439393196</v>
      </c>
      <c r="BL26" s="192">
        <f t="shared" si="66"/>
        <v>0</v>
      </c>
      <c r="BM26" s="192">
        <f t="shared" si="67"/>
        <v>0</v>
      </c>
      <c r="BN26" s="192">
        <f t="shared" si="68"/>
        <v>0</v>
      </c>
      <c r="BO26" s="192">
        <f t="shared" si="69"/>
        <v>1069.9394929193754</v>
      </c>
      <c r="BP26" s="192">
        <f t="shared" si="70"/>
        <v>1069.9394929193754</v>
      </c>
      <c r="BQ26" s="193">
        <f t="shared" si="46"/>
        <v>1069.9394929193754</v>
      </c>
      <c r="BR26" s="193">
        <f t="shared" si="71"/>
        <v>0</v>
      </c>
      <c r="BS26" s="188">
        <f t="shared" si="48"/>
        <v>37547.098628378866</v>
      </c>
      <c r="BT26" s="188">
        <f t="shared" si="49"/>
        <v>1770.9558943080986</v>
      </c>
      <c r="BU26" s="188">
        <f t="shared" si="50"/>
        <v>0</v>
      </c>
      <c r="BV26" s="188">
        <f t="shared" si="51"/>
        <v>0</v>
      </c>
      <c r="BW26" s="188">
        <f t="shared" si="52"/>
        <v>0</v>
      </c>
      <c r="BX26" s="188">
        <f t="shared" si="53"/>
        <v>23576.270143952901</v>
      </c>
      <c r="BY26" s="188">
        <f t="shared" si="54"/>
        <v>23576.270143952901</v>
      </c>
      <c r="BZ26" s="188">
        <f t="shared" si="55"/>
        <v>23576.270143952901</v>
      </c>
      <c r="CA26" s="188">
        <f t="shared" si="56"/>
        <v>0</v>
      </c>
      <c r="CB26" s="149">
        <f t="shared" si="57"/>
        <v>62894.324666639863</v>
      </c>
      <c r="CC26" s="149">
        <f>CB26-BEL!CB26</f>
        <v>1067.0921842925018</v>
      </c>
      <c r="CD26" s="189">
        <f>IF(AND(C26=0,C27=0),0,CB26/W26) - BEL!CC26</f>
        <v>968.84815385911497</v>
      </c>
      <c r="CF26" s="195">
        <f t="shared" si="72"/>
        <v>1324.1327629660982</v>
      </c>
      <c r="CG26" s="127">
        <f t="shared" si="73"/>
        <v>5.7844684331887919</v>
      </c>
      <c r="CH26" s="128">
        <f>'DATA INPUT - DETAIL'!AH17</f>
        <v>7.9164019658400003E-2</v>
      </c>
      <c r="CI26" s="125">
        <f t="shared" si="74"/>
        <v>-105.28159385053806</v>
      </c>
      <c r="CJ26" s="199">
        <f t="shared" si="75"/>
        <v>1224.6356375487489</v>
      </c>
      <c r="CL26" s="189">
        <f t="shared" si="76"/>
        <v>49786.987298508466</v>
      </c>
      <c r="CM26" s="149">
        <f t="shared" si="58"/>
        <v>217.4942456424719</v>
      </c>
      <c r="CN26" s="128">
        <f>'DATA INPUT - DETAIL'!AH17</f>
        <v>7.9164019658400003E-2</v>
      </c>
      <c r="CO26" s="149">
        <f t="shared" si="59"/>
        <v>-3958.5557599692647</v>
      </c>
      <c r="CP26" s="149">
        <f t="shared" si="60"/>
        <v>46045.925784181672</v>
      </c>
      <c r="CR26" s="126">
        <f t="shared" si="77"/>
        <v>14</v>
      </c>
      <c r="CS26" s="189">
        <f t="shared" si="78"/>
        <v>0</v>
      </c>
      <c r="CT26" s="200">
        <f>CS26/(BEL!CE26+BEL!CA26-BEL!BU26+'RA CSM'!CF26)</f>
        <v>0</v>
      </c>
      <c r="CU26" s="149">
        <f>$CT26*BEL!CH26</f>
        <v>0</v>
      </c>
      <c r="CV26" s="149">
        <f>$CT26*BEL!CI26</f>
        <v>0</v>
      </c>
      <c r="CW26" s="149">
        <f>$CT26*BEL!CJ26</f>
        <v>0</v>
      </c>
      <c r="CX26" s="149">
        <f>$CT26*BEL!CK26</f>
        <v>0</v>
      </c>
      <c r="CY26" s="149">
        <f t="shared" si="61"/>
        <v>0</v>
      </c>
      <c r="CZ26" s="149">
        <f>$CT26*(BEL!CL26+'RA CSM'!CG26)</f>
        <v>0</v>
      </c>
      <c r="DA26" s="149">
        <f t="shared" si="62"/>
        <v>0</v>
      </c>
    </row>
    <row r="27" spans="2:105" x14ac:dyDescent="0.2">
      <c r="B27" s="130">
        <f>BEL!B27</f>
        <v>2</v>
      </c>
      <c r="C27" s="130">
        <f>BEL!C27</f>
        <v>15</v>
      </c>
      <c r="D27" s="190">
        <f>BEL!D27</f>
        <v>0</v>
      </c>
      <c r="E27" s="190">
        <f>BEL!E27</f>
        <v>0</v>
      </c>
      <c r="F27" s="190">
        <f>BEL!F27</f>
        <v>0</v>
      </c>
      <c r="G27" s="190">
        <f>BEL!G27*(1+$V$5)</f>
        <v>0</v>
      </c>
      <c r="H27" s="190">
        <f>BEL!H27*(1+$V$5)</f>
        <v>1050</v>
      </c>
      <c r="I27" s="179">
        <f t="shared" si="2"/>
        <v>1084.2351934441185</v>
      </c>
      <c r="J27" s="130">
        <f>BEL!J27</f>
        <v>0</v>
      </c>
      <c r="K27" s="130">
        <f>BEL!K27</f>
        <v>0</v>
      </c>
      <c r="L27" s="130">
        <f>BEL!L27</f>
        <v>35</v>
      </c>
      <c r="M27" s="185">
        <f t="shared" si="3"/>
        <v>8.921042540299684E-5</v>
      </c>
      <c r="N27" s="185">
        <f t="shared" si="4"/>
        <v>0</v>
      </c>
      <c r="O27" s="185">
        <f t="shared" si="5"/>
        <v>0</v>
      </c>
      <c r="P27" s="185">
        <f t="shared" si="6"/>
        <v>0</v>
      </c>
      <c r="Q27" s="185">
        <f t="shared" si="7"/>
        <v>0</v>
      </c>
      <c r="R27" s="185">
        <f t="shared" si="8"/>
        <v>0</v>
      </c>
      <c r="S27" s="185">
        <f t="shared" si="9"/>
        <v>0</v>
      </c>
      <c r="T27" s="185">
        <f t="shared" si="10"/>
        <v>0</v>
      </c>
      <c r="U27" s="196">
        <f>(C27&gt;0)*(C27&lt;$E$5)*VLOOKUP(MPP,ASUMSI!$BN$77:$CR$108,B27+1)*(1+$V$4)</f>
        <v>1.4298211698286379E-3</v>
      </c>
      <c r="V27" s="185">
        <f t="shared" si="11"/>
        <v>0</v>
      </c>
      <c r="W27" s="185">
        <f t="shared" si="63"/>
        <v>0.9874257676805589</v>
      </c>
      <c r="X27" s="185">
        <f t="shared" si="32"/>
        <v>8.8088672788663391E-5</v>
      </c>
      <c r="Y27" s="185">
        <f t="shared" si="33"/>
        <v>1.4118422662639575E-3</v>
      </c>
      <c r="Z27" s="185">
        <f t="shared" si="34"/>
        <v>0</v>
      </c>
      <c r="AA27" s="197">
        <f t="shared" si="35"/>
        <v>0.98592583674150625</v>
      </c>
      <c r="AB27" s="185">
        <f t="shared" si="36"/>
        <v>0</v>
      </c>
      <c r="AC27" s="185">
        <f t="shared" si="36"/>
        <v>0</v>
      </c>
      <c r="AD27" s="185">
        <f t="shared" si="36"/>
        <v>0</v>
      </c>
      <c r="AE27" s="185">
        <f t="shared" si="37"/>
        <v>0</v>
      </c>
      <c r="AF27" s="185">
        <f t="shared" si="38"/>
        <v>0</v>
      </c>
      <c r="AG27" s="185">
        <f t="shared" si="39"/>
        <v>0</v>
      </c>
      <c r="AH27" s="185">
        <f t="shared" si="40"/>
        <v>0</v>
      </c>
      <c r="AI27" s="125">
        <f>BEL!AI27</f>
        <v>33989273.748899996</v>
      </c>
      <c r="AJ27" s="125">
        <f>BEL!AJ27</f>
        <v>0</v>
      </c>
      <c r="AK27" s="125">
        <f>BEL!AK27</f>
        <v>0</v>
      </c>
      <c r="AL27" s="125">
        <f>BEL!AL27</f>
        <v>0</v>
      </c>
      <c r="AM27" s="125">
        <f>BEL!AM27</f>
        <v>0</v>
      </c>
      <c r="AN27" s="125">
        <f>BEL!AN27</f>
        <v>0</v>
      </c>
      <c r="AO27" s="198">
        <f t="shared" si="13"/>
        <v>0</v>
      </c>
      <c r="AP27" s="125">
        <f>BEL!AP27</f>
        <v>0</v>
      </c>
      <c r="AQ27" s="125">
        <f>BEL!AQ27</f>
        <v>0</v>
      </c>
      <c r="AR27" s="125">
        <f>BEL!AR27</f>
        <v>0</v>
      </c>
      <c r="AS27" s="125">
        <f>BEL!AS27</f>
        <v>0</v>
      </c>
      <c r="AT27" s="125">
        <f>BEL!AT27</f>
        <v>0</v>
      </c>
      <c r="AU27" s="127">
        <f>BEL!AU27</f>
        <v>96600</v>
      </c>
      <c r="AV27" s="127">
        <f>BEL!AV27</f>
        <v>0</v>
      </c>
      <c r="AW27" s="127">
        <f>BEL!AW27</f>
        <v>0</v>
      </c>
      <c r="AX27" s="127">
        <f t="shared" si="14"/>
        <v>2994.0700135911579</v>
      </c>
      <c r="AY27" s="127">
        <f t="shared" si="41"/>
        <v>0</v>
      </c>
      <c r="AZ27" s="127">
        <f t="shared" si="15"/>
        <v>0</v>
      </c>
      <c r="BA27" s="127">
        <f t="shared" si="16"/>
        <v>0</v>
      </c>
      <c r="BB27" s="127">
        <f t="shared" si="17"/>
        <v>0</v>
      </c>
      <c r="BC27" s="127">
        <f t="shared" si="18"/>
        <v>0</v>
      </c>
      <c r="BD27" s="127">
        <f t="shared" si="19"/>
        <v>0</v>
      </c>
      <c r="BE27" s="127">
        <f t="shared" si="20"/>
        <v>0</v>
      </c>
      <c r="BF27" s="127">
        <f t="shared" si="21"/>
        <v>0</v>
      </c>
      <c r="BG27" s="127">
        <f t="shared" si="22"/>
        <v>136.38396292109829</v>
      </c>
      <c r="BH27" s="127">
        <f t="shared" si="23"/>
        <v>0</v>
      </c>
      <c r="BI27" s="127">
        <f t="shared" si="42"/>
        <v>0</v>
      </c>
      <c r="BJ27" s="189">
        <f t="shared" si="64"/>
        <v>2994.0700135911579</v>
      </c>
      <c r="BK27" s="189">
        <f t="shared" si="65"/>
        <v>136.38396292109829</v>
      </c>
      <c r="BL27" s="192">
        <f t="shared" si="66"/>
        <v>0</v>
      </c>
      <c r="BM27" s="192">
        <f t="shared" si="67"/>
        <v>0</v>
      </c>
      <c r="BN27" s="192">
        <f t="shared" si="68"/>
        <v>0</v>
      </c>
      <c r="BO27" s="192">
        <f t="shared" si="69"/>
        <v>1070.6017682328379</v>
      </c>
      <c r="BP27" s="192">
        <f t="shared" si="70"/>
        <v>1070.6017682328379</v>
      </c>
      <c r="BQ27" s="193">
        <f t="shared" si="46"/>
        <v>1070.6017682328379</v>
      </c>
      <c r="BR27" s="193">
        <f t="shared" si="71"/>
        <v>0</v>
      </c>
      <c r="BS27" s="188">
        <f t="shared" si="48"/>
        <v>34600.409617460653</v>
      </c>
      <c r="BT27" s="188">
        <f t="shared" si="49"/>
        <v>1635.5965033265556</v>
      </c>
      <c r="BU27" s="188">
        <f t="shared" si="50"/>
        <v>0</v>
      </c>
      <c r="BV27" s="188">
        <f t="shared" si="51"/>
        <v>0</v>
      </c>
      <c r="BW27" s="188">
        <f t="shared" si="52"/>
        <v>0</v>
      </c>
      <c r="BX27" s="188">
        <f t="shared" si="53"/>
        <v>22604.649462287911</v>
      </c>
      <c r="BY27" s="188">
        <f t="shared" si="54"/>
        <v>22604.649462287911</v>
      </c>
      <c r="BZ27" s="188">
        <f t="shared" si="55"/>
        <v>22604.649462287911</v>
      </c>
      <c r="CA27" s="188">
        <f t="shared" si="56"/>
        <v>0</v>
      </c>
      <c r="CB27" s="149">
        <f t="shared" si="57"/>
        <v>58840.655583075117</v>
      </c>
      <c r="CC27" s="149">
        <f>CB27-BEL!CB27</f>
        <v>1038.2640367832355</v>
      </c>
      <c r="CD27" s="189">
        <f>IF(AND(C27=0,C28=0),0,CB27/W27) - BEL!CC27</f>
        <v>933.48821064254298</v>
      </c>
      <c r="CF27" s="195">
        <f t="shared" si="72"/>
        <v>1224.6356375487489</v>
      </c>
      <c r="CG27" s="127">
        <f t="shared" si="73"/>
        <v>5.3498156572235933</v>
      </c>
      <c r="CH27" s="128">
        <f>'DATA INPUT - DETAIL'!AH18</f>
        <v>8.2791983652099999E-2</v>
      </c>
      <c r="CI27" s="125">
        <f t="shared" si="74"/>
        <v>-101.83293553414968</v>
      </c>
      <c r="CJ27" s="199">
        <f t="shared" si="75"/>
        <v>1128.1525176718228</v>
      </c>
      <c r="CL27" s="189">
        <f t="shared" si="76"/>
        <v>46045.925784181672</v>
      </c>
      <c r="CM27" s="149">
        <f t="shared" si="58"/>
        <v>201.15143407441855</v>
      </c>
      <c r="CN27" s="128">
        <f>'DATA INPUT - DETAIL'!AH18</f>
        <v>8.2791983652099999E-2</v>
      </c>
      <c r="CO27" s="149">
        <f t="shared" si="59"/>
        <v>-3828.8872610112644</v>
      </c>
      <c r="CP27" s="149">
        <f t="shared" si="60"/>
        <v>42418.189957244824</v>
      </c>
      <c r="CR27" s="126">
        <f t="shared" si="77"/>
        <v>15</v>
      </c>
      <c r="CS27" s="189">
        <f t="shared" si="78"/>
        <v>0</v>
      </c>
      <c r="CT27" s="200">
        <f>CS27/(BEL!CE27+BEL!CA27-BEL!BU27+'RA CSM'!CF27)</f>
        <v>0</v>
      </c>
      <c r="CU27" s="149">
        <f>$CT27*BEL!CH27</f>
        <v>0</v>
      </c>
      <c r="CV27" s="149">
        <f>$CT27*BEL!CI27</f>
        <v>0</v>
      </c>
      <c r="CW27" s="149">
        <f>$CT27*BEL!CJ27</f>
        <v>0</v>
      </c>
      <c r="CX27" s="149">
        <f>$CT27*BEL!CK27</f>
        <v>0</v>
      </c>
      <c r="CY27" s="149">
        <f t="shared" si="61"/>
        <v>0</v>
      </c>
      <c r="CZ27" s="149">
        <f>$CT27*(BEL!CL27+'RA CSM'!CG27)</f>
        <v>0</v>
      </c>
      <c r="DA27" s="149">
        <f t="shared" si="62"/>
        <v>0</v>
      </c>
    </row>
    <row r="28" spans="2:105" x14ac:dyDescent="0.2">
      <c r="B28" s="130">
        <f>BEL!B28</f>
        <v>2</v>
      </c>
      <c r="C28" s="130">
        <f>BEL!C28</f>
        <v>16</v>
      </c>
      <c r="D28" s="190">
        <f>BEL!D28</f>
        <v>0</v>
      </c>
      <c r="E28" s="190">
        <f>BEL!E28</f>
        <v>0</v>
      </c>
      <c r="F28" s="190">
        <f>BEL!F28</f>
        <v>0</v>
      </c>
      <c r="G28" s="190">
        <f>BEL!G28*(1+$V$5)</f>
        <v>0</v>
      </c>
      <c r="H28" s="190">
        <f>BEL!H28*(1+$V$5)</f>
        <v>1050</v>
      </c>
      <c r="I28" s="179">
        <f t="shared" si="2"/>
        <v>1086.556831723359</v>
      </c>
      <c r="J28" s="130">
        <f>BEL!J28</f>
        <v>0</v>
      </c>
      <c r="K28" s="130">
        <f>BEL!K28</f>
        <v>0</v>
      </c>
      <c r="L28" s="130">
        <f>BEL!L28</f>
        <v>35</v>
      </c>
      <c r="M28" s="185">
        <f t="shared" si="3"/>
        <v>8.921042540299684E-5</v>
      </c>
      <c r="N28" s="185">
        <f t="shared" si="4"/>
        <v>0</v>
      </c>
      <c r="O28" s="185">
        <f t="shared" si="5"/>
        <v>0</v>
      </c>
      <c r="P28" s="185">
        <f t="shared" si="6"/>
        <v>0</v>
      </c>
      <c r="Q28" s="185">
        <f t="shared" si="7"/>
        <v>0</v>
      </c>
      <c r="R28" s="185">
        <f t="shared" si="8"/>
        <v>0</v>
      </c>
      <c r="S28" s="185">
        <f t="shared" si="9"/>
        <v>0</v>
      </c>
      <c r="T28" s="185">
        <f t="shared" si="10"/>
        <v>0</v>
      </c>
      <c r="U28" s="196">
        <f>(C28&gt;0)*(C28&lt;$E$5)*VLOOKUP(MPP,ASUMSI!$BN$77:$CR$108,B28+1)*(1+$V$4)</f>
        <v>1.4298211698286379E-3</v>
      </c>
      <c r="V28" s="185">
        <f t="shared" si="11"/>
        <v>0</v>
      </c>
      <c r="W28" s="185">
        <f t="shared" si="63"/>
        <v>0.98592583674150625</v>
      </c>
      <c r="X28" s="185">
        <f t="shared" si="32"/>
        <v>8.795486331151538E-5</v>
      </c>
      <c r="Y28" s="185">
        <f t="shared" si="33"/>
        <v>1.409697633254019E-3</v>
      </c>
      <c r="Z28" s="185">
        <f t="shared" si="34"/>
        <v>0</v>
      </c>
      <c r="AA28" s="197">
        <f t="shared" si="35"/>
        <v>0.98442818424494072</v>
      </c>
      <c r="AB28" s="185">
        <f t="shared" si="36"/>
        <v>0</v>
      </c>
      <c r="AC28" s="185">
        <f t="shared" si="36"/>
        <v>0</v>
      </c>
      <c r="AD28" s="185">
        <f t="shared" si="36"/>
        <v>0</v>
      </c>
      <c r="AE28" s="185">
        <f t="shared" si="37"/>
        <v>0</v>
      </c>
      <c r="AF28" s="185">
        <f t="shared" si="38"/>
        <v>0</v>
      </c>
      <c r="AG28" s="185">
        <f t="shared" si="39"/>
        <v>0</v>
      </c>
      <c r="AH28" s="185">
        <f t="shared" si="40"/>
        <v>0</v>
      </c>
      <c r="AI28" s="125">
        <f>BEL!AI28</f>
        <v>32697582.4767</v>
      </c>
      <c r="AJ28" s="125">
        <f>BEL!AJ28</f>
        <v>0</v>
      </c>
      <c r="AK28" s="125">
        <f>BEL!AK28</f>
        <v>0</v>
      </c>
      <c r="AL28" s="125">
        <f>BEL!AL28</f>
        <v>0</v>
      </c>
      <c r="AM28" s="125">
        <f>BEL!AM28</f>
        <v>0</v>
      </c>
      <c r="AN28" s="125">
        <f>BEL!AN28</f>
        <v>0</v>
      </c>
      <c r="AO28" s="198">
        <f t="shared" si="13"/>
        <v>0</v>
      </c>
      <c r="AP28" s="125">
        <f>BEL!AP28</f>
        <v>0</v>
      </c>
      <c r="AQ28" s="125">
        <f>BEL!AQ28</f>
        <v>0</v>
      </c>
      <c r="AR28" s="125">
        <f>BEL!AR28</f>
        <v>0</v>
      </c>
      <c r="AS28" s="125">
        <f>BEL!AS28</f>
        <v>0</v>
      </c>
      <c r="AT28" s="125">
        <f>BEL!AT28</f>
        <v>0</v>
      </c>
      <c r="AU28" s="127">
        <f>BEL!AU28</f>
        <v>92000</v>
      </c>
      <c r="AV28" s="127">
        <f>BEL!AV28</f>
        <v>0</v>
      </c>
      <c r="AW28" s="127">
        <f>BEL!AW28</f>
        <v>0</v>
      </c>
      <c r="AX28" s="127">
        <f t="shared" si="14"/>
        <v>2875.9113973551489</v>
      </c>
      <c r="AY28" s="127">
        <f t="shared" si="41"/>
        <v>0</v>
      </c>
      <c r="AZ28" s="127">
        <f t="shared" si="15"/>
        <v>0</v>
      </c>
      <c r="BA28" s="127">
        <f t="shared" si="16"/>
        <v>0</v>
      </c>
      <c r="BB28" s="127">
        <f t="shared" si="17"/>
        <v>0</v>
      </c>
      <c r="BC28" s="127">
        <f t="shared" si="18"/>
        <v>0</v>
      </c>
      <c r="BD28" s="127">
        <f t="shared" si="19"/>
        <v>0</v>
      </c>
      <c r="BE28" s="127">
        <f t="shared" si="20"/>
        <v>0</v>
      </c>
      <c r="BF28" s="127">
        <f t="shared" si="21"/>
        <v>0</v>
      </c>
      <c r="BG28" s="127">
        <f t="shared" si="22"/>
        <v>129.69218225936976</v>
      </c>
      <c r="BH28" s="127">
        <f t="shared" si="23"/>
        <v>0</v>
      </c>
      <c r="BI28" s="127">
        <f t="shared" si="42"/>
        <v>0</v>
      </c>
      <c r="BJ28" s="189">
        <f t="shared" si="64"/>
        <v>2875.9113973551489</v>
      </c>
      <c r="BK28" s="189">
        <f t="shared" si="65"/>
        <v>129.69218225936976</v>
      </c>
      <c r="BL28" s="192">
        <f t="shared" si="66"/>
        <v>0</v>
      </c>
      <c r="BM28" s="192">
        <f t="shared" si="67"/>
        <v>0</v>
      </c>
      <c r="BN28" s="192">
        <f t="shared" si="68"/>
        <v>0</v>
      </c>
      <c r="BO28" s="192">
        <f t="shared" si="69"/>
        <v>1071.2644534840526</v>
      </c>
      <c r="BP28" s="192">
        <f t="shared" si="70"/>
        <v>1071.2644534840526</v>
      </c>
      <c r="BQ28" s="193">
        <f t="shared" si="46"/>
        <v>1071.2644534840526</v>
      </c>
      <c r="BR28" s="193">
        <f t="shared" si="71"/>
        <v>0</v>
      </c>
      <c r="BS28" s="188">
        <f t="shared" si="48"/>
        <v>31757.491348471955</v>
      </c>
      <c r="BT28" s="188">
        <f t="shared" si="49"/>
        <v>1506.3576368848567</v>
      </c>
      <c r="BU28" s="188">
        <f t="shared" si="50"/>
        <v>0</v>
      </c>
      <c r="BV28" s="188">
        <f t="shared" si="51"/>
        <v>0</v>
      </c>
      <c r="BW28" s="188">
        <f t="shared" si="52"/>
        <v>0</v>
      </c>
      <c r="BX28" s="188">
        <f t="shared" si="53"/>
        <v>21628.119091281147</v>
      </c>
      <c r="BY28" s="188">
        <f t="shared" si="54"/>
        <v>21628.119091281147</v>
      </c>
      <c r="BZ28" s="188">
        <f t="shared" si="55"/>
        <v>21628.119091281147</v>
      </c>
      <c r="CA28" s="188">
        <f t="shared" si="56"/>
        <v>0</v>
      </c>
      <c r="CB28" s="149">
        <f t="shared" si="57"/>
        <v>54891.968076637961</v>
      </c>
      <c r="CC28" s="149">
        <f>CB28-BEL!CB28</f>
        <v>1007.2577424725314</v>
      </c>
      <c r="CD28" s="189">
        <f>IF(AND(C28=0,C29=0),0,CB28/W28) - BEL!CC28</f>
        <v>897.62648207589518</v>
      </c>
      <c r="CF28" s="195">
        <f t="shared" si="72"/>
        <v>1128.1525176718228</v>
      </c>
      <c r="CG28" s="127">
        <f t="shared" si="73"/>
        <v>4.9283295518473622</v>
      </c>
      <c r="CH28" s="128">
        <f>'DATA INPUT - DETAIL'!AH19</f>
        <v>8.6751036327699996E-2</v>
      </c>
      <c r="CI28" s="125">
        <f t="shared" si="74"/>
        <v>-98.295937739721694</v>
      </c>
      <c r="CJ28" s="199">
        <f t="shared" si="75"/>
        <v>1034.7849094839485</v>
      </c>
      <c r="CL28" s="189">
        <f t="shared" si="76"/>
        <v>42418.189957244824</v>
      </c>
      <c r="CM28" s="149">
        <f t="shared" si="58"/>
        <v>185.30368529743166</v>
      </c>
      <c r="CN28" s="128">
        <f>'DATA INPUT - DETAIL'!AH19</f>
        <v>8.6751036327699996E-2</v>
      </c>
      <c r="CO28" s="149">
        <f t="shared" si="59"/>
        <v>-3695.8972246711191</v>
      </c>
      <c r="CP28" s="149">
        <f t="shared" si="60"/>
        <v>38907.596417871137</v>
      </c>
      <c r="CR28" s="126">
        <f t="shared" si="77"/>
        <v>16</v>
      </c>
      <c r="CS28" s="189">
        <f t="shared" si="78"/>
        <v>0</v>
      </c>
      <c r="CT28" s="200">
        <f>CS28/(BEL!CE28+BEL!CA28-BEL!BU28+'RA CSM'!CF28)</f>
        <v>0</v>
      </c>
      <c r="CU28" s="149">
        <f>$CT28*BEL!CH28</f>
        <v>0</v>
      </c>
      <c r="CV28" s="149">
        <f>$CT28*BEL!CI28</f>
        <v>0</v>
      </c>
      <c r="CW28" s="149">
        <f>$CT28*BEL!CJ28</f>
        <v>0</v>
      </c>
      <c r="CX28" s="149">
        <f>$CT28*BEL!CK28</f>
        <v>0</v>
      </c>
      <c r="CY28" s="149">
        <f t="shared" si="61"/>
        <v>0</v>
      </c>
      <c r="CZ28" s="149">
        <f>$CT28*(BEL!CL28+'RA CSM'!CG28)</f>
        <v>0</v>
      </c>
      <c r="DA28" s="149">
        <f t="shared" si="62"/>
        <v>0</v>
      </c>
    </row>
    <row r="29" spans="2:105" x14ac:dyDescent="0.2">
      <c r="B29" s="130">
        <f>BEL!B29</f>
        <v>2</v>
      </c>
      <c r="C29" s="130">
        <f>BEL!C29</f>
        <v>17</v>
      </c>
      <c r="D29" s="190">
        <f>BEL!D29</f>
        <v>0</v>
      </c>
      <c r="E29" s="190">
        <f>BEL!E29</f>
        <v>0</v>
      </c>
      <c r="F29" s="190">
        <f>BEL!F29</f>
        <v>0</v>
      </c>
      <c r="G29" s="190">
        <f>BEL!G29*(1+$V$5)</f>
        <v>0</v>
      </c>
      <c r="H29" s="190">
        <f>BEL!H29*(1+$V$5)</f>
        <v>1050</v>
      </c>
      <c r="I29" s="179">
        <f t="shared" si="2"/>
        <v>1088.8834412526865</v>
      </c>
      <c r="J29" s="130">
        <f>BEL!J29</f>
        <v>0</v>
      </c>
      <c r="K29" s="130">
        <f>BEL!K29</f>
        <v>0</v>
      </c>
      <c r="L29" s="130">
        <f>BEL!L29</f>
        <v>35</v>
      </c>
      <c r="M29" s="185">
        <f t="shared" si="3"/>
        <v>8.921042540299684E-5</v>
      </c>
      <c r="N29" s="185">
        <f t="shared" si="4"/>
        <v>0</v>
      </c>
      <c r="O29" s="185">
        <f t="shared" si="5"/>
        <v>0</v>
      </c>
      <c r="P29" s="185">
        <f t="shared" si="6"/>
        <v>0</v>
      </c>
      <c r="Q29" s="185">
        <f t="shared" si="7"/>
        <v>0</v>
      </c>
      <c r="R29" s="185">
        <f t="shared" si="8"/>
        <v>0</v>
      </c>
      <c r="S29" s="185">
        <f t="shared" si="9"/>
        <v>0</v>
      </c>
      <c r="T29" s="185">
        <f t="shared" si="10"/>
        <v>0</v>
      </c>
      <c r="U29" s="196">
        <f>(C29&gt;0)*(C29&lt;$E$5)*VLOOKUP(MPP,ASUMSI!$BN$77:$CR$108,B29+1)*(1+$V$4)</f>
        <v>1.4298211698286379E-3</v>
      </c>
      <c r="V29" s="185">
        <f t="shared" si="11"/>
        <v>0</v>
      </c>
      <c r="W29" s="185">
        <f t="shared" si="63"/>
        <v>0.98442818424494072</v>
      </c>
      <c r="X29" s="185">
        <f t="shared" si="32"/>
        <v>8.7821257095190919E-5</v>
      </c>
      <c r="Y29" s="185">
        <f t="shared" si="33"/>
        <v>1.4075562580093831E-3</v>
      </c>
      <c r="Z29" s="185">
        <f t="shared" si="34"/>
        <v>0</v>
      </c>
      <c r="AA29" s="197">
        <f t="shared" si="35"/>
        <v>0.98293280672983618</v>
      </c>
      <c r="AB29" s="185">
        <f t="shared" si="36"/>
        <v>0</v>
      </c>
      <c r="AC29" s="185">
        <f t="shared" si="36"/>
        <v>0</v>
      </c>
      <c r="AD29" s="185">
        <f t="shared" si="36"/>
        <v>0</v>
      </c>
      <c r="AE29" s="185">
        <f t="shared" si="37"/>
        <v>0</v>
      </c>
      <c r="AF29" s="185">
        <f t="shared" si="38"/>
        <v>0</v>
      </c>
      <c r="AG29" s="185">
        <f t="shared" si="39"/>
        <v>0</v>
      </c>
      <c r="AH29" s="185">
        <f t="shared" si="40"/>
        <v>0</v>
      </c>
      <c r="AI29" s="125">
        <f>BEL!AI29</f>
        <v>31384363.0167</v>
      </c>
      <c r="AJ29" s="125">
        <f>BEL!AJ29</f>
        <v>0</v>
      </c>
      <c r="AK29" s="125">
        <f>BEL!AK29</f>
        <v>0</v>
      </c>
      <c r="AL29" s="125">
        <f>BEL!AL29</f>
        <v>0</v>
      </c>
      <c r="AM29" s="125">
        <f>BEL!AM29</f>
        <v>0</v>
      </c>
      <c r="AN29" s="125">
        <f>BEL!AN29</f>
        <v>0</v>
      </c>
      <c r="AO29" s="198">
        <f t="shared" si="13"/>
        <v>0</v>
      </c>
      <c r="AP29" s="125">
        <f>BEL!AP29</f>
        <v>0</v>
      </c>
      <c r="AQ29" s="125">
        <f>BEL!AQ29</f>
        <v>0</v>
      </c>
      <c r="AR29" s="125">
        <f>BEL!AR29</f>
        <v>0</v>
      </c>
      <c r="AS29" s="125">
        <f>BEL!AS29</f>
        <v>0</v>
      </c>
      <c r="AT29" s="125">
        <f>BEL!AT29</f>
        <v>0</v>
      </c>
      <c r="AU29" s="127">
        <f>BEL!AU29</f>
        <v>87400</v>
      </c>
      <c r="AV29" s="127">
        <f>BEL!AV29</f>
        <v>0</v>
      </c>
      <c r="AW29" s="127">
        <f>BEL!AW29</f>
        <v>0</v>
      </c>
      <c r="AX29" s="127">
        <f t="shared" si="14"/>
        <v>2756.2142132584122</v>
      </c>
      <c r="AY29" s="127">
        <f t="shared" si="41"/>
        <v>0</v>
      </c>
      <c r="AZ29" s="127">
        <f t="shared" si="15"/>
        <v>0</v>
      </c>
      <c r="BA29" s="127">
        <f t="shared" si="16"/>
        <v>0</v>
      </c>
      <c r="BB29" s="127">
        <f t="shared" si="17"/>
        <v>0</v>
      </c>
      <c r="BC29" s="127">
        <f t="shared" si="18"/>
        <v>0</v>
      </c>
      <c r="BD29" s="127">
        <f t="shared" si="19"/>
        <v>0</v>
      </c>
      <c r="BE29" s="127">
        <f t="shared" si="20"/>
        <v>0</v>
      </c>
      <c r="BF29" s="127">
        <f t="shared" si="21"/>
        <v>0</v>
      </c>
      <c r="BG29" s="127">
        <f t="shared" si="22"/>
        <v>123.02041695002008</v>
      </c>
      <c r="BH29" s="127">
        <f t="shared" si="23"/>
        <v>0</v>
      </c>
      <c r="BI29" s="127">
        <f t="shared" si="42"/>
        <v>0</v>
      </c>
      <c r="BJ29" s="189">
        <f t="shared" si="64"/>
        <v>2756.2142132584122</v>
      </c>
      <c r="BK29" s="189">
        <f t="shared" si="65"/>
        <v>123.02041695002008</v>
      </c>
      <c r="BL29" s="192">
        <f t="shared" si="66"/>
        <v>0</v>
      </c>
      <c r="BM29" s="192">
        <f t="shared" si="67"/>
        <v>0</v>
      </c>
      <c r="BN29" s="192">
        <f t="shared" si="68"/>
        <v>0</v>
      </c>
      <c r="BO29" s="192">
        <f t="shared" si="69"/>
        <v>1071.9275489267648</v>
      </c>
      <c r="BP29" s="192">
        <f t="shared" si="70"/>
        <v>1071.9275489267648</v>
      </c>
      <c r="BQ29" s="193">
        <f t="shared" si="46"/>
        <v>1071.9275489267648</v>
      </c>
      <c r="BR29" s="193">
        <f t="shared" si="71"/>
        <v>0</v>
      </c>
      <c r="BS29" s="188">
        <f t="shared" si="48"/>
        <v>29020.312419159516</v>
      </c>
      <c r="BT29" s="188">
        <f t="shared" si="49"/>
        <v>1383.245971657733</v>
      </c>
      <c r="BU29" s="188">
        <f t="shared" si="50"/>
        <v>0</v>
      </c>
      <c r="BV29" s="188">
        <f t="shared" si="51"/>
        <v>0</v>
      </c>
      <c r="BW29" s="188">
        <f t="shared" si="52"/>
        <v>0</v>
      </c>
      <c r="BX29" s="188">
        <f t="shared" si="53"/>
        <v>20646.657171246705</v>
      </c>
      <c r="BY29" s="188">
        <f t="shared" si="54"/>
        <v>20646.657171246705</v>
      </c>
      <c r="BZ29" s="188">
        <f t="shared" si="55"/>
        <v>20646.657171246705</v>
      </c>
      <c r="CA29" s="188">
        <f t="shared" si="56"/>
        <v>0</v>
      </c>
      <c r="CB29" s="149">
        <f t="shared" si="57"/>
        <v>51050.215562063953</v>
      </c>
      <c r="CC29" s="149">
        <f>CB29-BEL!CB29</f>
        <v>974.13345449356711</v>
      </c>
      <c r="CD29" s="189">
        <f>IF(AND(C29=0,C30=0),0,CB29/W29) - BEL!CC29</f>
        <v>861.23523211976135</v>
      </c>
      <c r="CF29" s="195">
        <f t="shared" si="72"/>
        <v>1034.7849094839485</v>
      </c>
      <c r="CG29" s="127">
        <f t="shared" si="73"/>
        <v>4.5204535462455535</v>
      </c>
      <c r="CH29" s="128">
        <f>'DATA INPUT - DETAIL'!AH20</f>
        <v>9.1088488797299999E-2</v>
      </c>
      <c r="CI29" s="125">
        <f t="shared" si="74"/>
        <v>-94.668754917349631</v>
      </c>
      <c r="CJ29" s="199">
        <f t="shared" si="75"/>
        <v>944.63660811284444</v>
      </c>
      <c r="CL29" s="189">
        <f t="shared" si="76"/>
        <v>38907.596417871137</v>
      </c>
      <c r="CM29" s="149">
        <f t="shared" si="58"/>
        <v>169.96767211339451</v>
      </c>
      <c r="CN29" s="128">
        <f>'DATA INPUT - DETAIL'!AH20</f>
        <v>9.1088488797299999E-2</v>
      </c>
      <c r="CO29" s="149">
        <f t="shared" si="59"/>
        <v>-3559.5162588363287</v>
      </c>
      <c r="CP29" s="149">
        <f t="shared" si="60"/>
        <v>35518.0478311482</v>
      </c>
      <c r="CR29" s="126">
        <f t="shared" si="77"/>
        <v>17</v>
      </c>
      <c r="CS29" s="189">
        <f t="shared" si="78"/>
        <v>0</v>
      </c>
      <c r="CT29" s="200">
        <f>CS29/(BEL!CE29+BEL!CA29-BEL!BU29+'RA CSM'!CF29)</f>
        <v>0</v>
      </c>
      <c r="CU29" s="149">
        <f>$CT29*BEL!CH29</f>
        <v>0</v>
      </c>
      <c r="CV29" s="149">
        <f>$CT29*BEL!CI29</f>
        <v>0</v>
      </c>
      <c r="CW29" s="149">
        <f>$CT29*BEL!CJ29</f>
        <v>0</v>
      </c>
      <c r="CX29" s="149">
        <f>$CT29*BEL!CK29</f>
        <v>0</v>
      </c>
      <c r="CY29" s="149">
        <f t="shared" si="61"/>
        <v>0</v>
      </c>
      <c r="CZ29" s="149">
        <f>$CT29*(BEL!CL29+'RA CSM'!CG29)</f>
        <v>0</v>
      </c>
      <c r="DA29" s="149">
        <f t="shared" si="62"/>
        <v>0</v>
      </c>
    </row>
    <row r="30" spans="2:105" x14ac:dyDescent="0.2">
      <c r="B30" s="130">
        <f>BEL!B30</f>
        <v>2</v>
      </c>
      <c r="C30" s="130">
        <f>BEL!C30</f>
        <v>18</v>
      </c>
      <c r="D30" s="190">
        <f>BEL!D30</f>
        <v>0</v>
      </c>
      <c r="E30" s="190">
        <f>BEL!E30</f>
        <v>0</v>
      </c>
      <c r="F30" s="190">
        <f>BEL!F30</f>
        <v>0</v>
      </c>
      <c r="G30" s="190">
        <f>BEL!G30*(1+$V$5)</f>
        <v>0</v>
      </c>
      <c r="H30" s="190">
        <f>BEL!H30*(1+$V$5)</f>
        <v>1050</v>
      </c>
      <c r="I30" s="179">
        <f t="shared" si="2"/>
        <v>1091.2150326768804</v>
      </c>
      <c r="J30" s="130">
        <f>BEL!J30</f>
        <v>0</v>
      </c>
      <c r="K30" s="130">
        <f>BEL!K30</f>
        <v>0</v>
      </c>
      <c r="L30" s="130">
        <f>BEL!L30</f>
        <v>35</v>
      </c>
      <c r="M30" s="185">
        <f t="shared" si="3"/>
        <v>8.921042540299684E-5</v>
      </c>
      <c r="N30" s="185">
        <f t="shared" si="4"/>
        <v>0</v>
      </c>
      <c r="O30" s="185">
        <f t="shared" si="5"/>
        <v>0</v>
      </c>
      <c r="P30" s="185">
        <f t="shared" si="6"/>
        <v>0</v>
      </c>
      <c r="Q30" s="185">
        <f t="shared" si="7"/>
        <v>0</v>
      </c>
      <c r="R30" s="185">
        <f t="shared" si="8"/>
        <v>0</v>
      </c>
      <c r="S30" s="185">
        <f t="shared" si="9"/>
        <v>0</v>
      </c>
      <c r="T30" s="185">
        <f t="shared" si="10"/>
        <v>0</v>
      </c>
      <c r="U30" s="196">
        <f>(C30&gt;0)*(C30&lt;$E$5)*VLOOKUP(MPP,ASUMSI!$BN$77:$CR$108,B30+1)*(1+$V$4)</f>
        <v>1.4298211698286379E-3</v>
      </c>
      <c r="V30" s="185">
        <f t="shared" si="11"/>
        <v>0</v>
      </c>
      <c r="W30" s="185">
        <f t="shared" si="63"/>
        <v>0.98293280672983618</v>
      </c>
      <c r="X30" s="185">
        <f t="shared" si="32"/>
        <v>8.7687853830930359E-5</v>
      </c>
      <c r="Y30" s="185">
        <f t="shared" si="33"/>
        <v>1.4054181355814008E-3</v>
      </c>
      <c r="Z30" s="185">
        <f t="shared" si="34"/>
        <v>0</v>
      </c>
      <c r="AA30" s="197">
        <f t="shared" si="35"/>
        <v>0.98143970074042386</v>
      </c>
      <c r="AB30" s="185">
        <f t="shared" si="36"/>
        <v>0</v>
      </c>
      <c r="AC30" s="185">
        <f t="shared" si="36"/>
        <v>0</v>
      </c>
      <c r="AD30" s="185">
        <f t="shared" si="36"/>
        <v>0</v>
      </c>
      <c r="AE30" s="185">
        <f t="shared" si="37"/>
        <v>0</v>
      </c>
      <c r="AF30" s="185">
        <f t="shared" si="38"/>
        <v>0</v>
      </c>
      <c r="AG30" s="185">
        <f t="shared" si="39"/>
        <v>0</v>
      </c>
      <c r="AH30" s="185">
        <f t="shared" si="40"/>
        <v>0</v>
      </c>
      <c r="AI30" s="125">
        <f>BEL!AI30</f>
        <v>30049256.5656</v>
      </c>
      <c r="AJ30" s="125">
        <f>BEL!AJ30</f>
        <v>0</v>
      </c>
      <c r="AK30" s="125">
        <f>BEL!AK30</f>
        <v>0</v>
      </c>
      <c r="AL30" s="125">
        <f>BEL!AL30</f>
        <v>0</v>
      </c>
      <c r="AM30" s="125">
        <f>BEL!AM30</f>
        <v>0</v>
      </c>
      <c r="AN30" s="125">
        <f>BEL!AN30</f>
        <v>0</v>
      </c>
      <c r="AO30" s="198">
        <f t="shared" si="13"/>
        <v>0</v>
      </c>
      <c r="AP30" s="125">
        <f>BEL!AP30</f>
        <v>0</v>
      </c>
      <c r="AQ30" s="125">
        <f>BEL!AQ30</f>
        <v>0</v>
      </c>
      <c r="AR30" s="125">
        <f>BEL!AR30</f>
        <v>0</v>
      </c>
      <c r="AS30" s="125">
        <f>BEL!AS30</f>
        <v>0</v>
      </c>
      <c r="AT30" s="125">
        <f>BEL!AT30</f>
        <v>0</v>
      </c>
      <c r="AU30" s="127">
        <f>BEL!AU30</f>
        <v>82800</v>
      </c>
      <c r="AV30" s="127">
        <f>BEL!AV30</f>
        <v>0</v>
      </c>
      <c r="AW30" s="127">
        <f>BEL!AW30</f>
        <v>0</v>
      </c>
      <c r="AX30" s="127">
        <f t="shared" si="14"/>
        <v>2634.9548174524571</v>
      </c>
      <c r="AY30" s="127">
        <f t="shared" si="41"/>
        <v>0</v>
      </c>
      <c r="AZ30" s="127">
        <f t="shared" si="15"/>
        <v>0</v>
      </c>
      <c r="BA30" s="127">
        <f t="shared" si="16"/>
        <v>0</v>
      </c>
      <c r="BB30" s="127">
        <f t="shared" si="17"/>
        <v>0</v>
      </c>
      <c r="BC30" s="127">
        <f t="shared" si="18"/>
        <v>0</v>
      </c>
      <c r="BD30" s="127">
        <f t="shared" si="19"/>
        <v>0</v>
      </c>
      <c r="BE30" s="127">
        <f t="shared" si="20"/>
        <v>0</v>
      </c>
      <c r="BF30" s="127">
        <f t="shared" si="21"/>
        <v>0</v>
      </c>
      <c r="BG30" s="127">
        <f t="shared" si="22"/>
        <v>116.36862162613998</v>
      </c>
      <c r="BH30" s="127">
        <f t="shared" si="23"/>
        <v>0</v>
      </c>
      <c r="BI30" s="127">
        <f t="shared" si="42"/>
        <v>0</v>
      </c>
      <c r="BJ30" s="189">
        <f t="shared" si="64"/>
        <v>2634.9548174524571</v>
      </c>
      <c r="BK30" s="189">
        <f t="shared" si="65"/>
        <v>116.36862162613998</v>
      </c>
      <c r="BL30" s="192">
        <f t="shared" si="66"/>
        <v>0</v>
      </c>
      <c r="BM30" s="192">
        <f t="shared" si="67"/>
        <v>0</v>
      </c>
      <c r="BN30" s="192">
        <f t="shared" si="68"/>
        <v>0</v>
      </c>
      <c r="BO30" s="192">
        <f t="shared" si="69"/>
        <v>1072.5910548148759</v>
      </c>
      <c r="BP30" s="192">
        <f t="shared" si="70"/>
        <v>1072.5910548148759</v>
      </c>
      <c r="BQ30" s="193">
        <f t="shared" si="46"/>
        <v>1072.5910548148759</v>
      </c>
      <c r="BR30" s="193">
        <f t="shared" si="71"/>
        <v>0</v>
      </c>
      <c r="BS30" s="188">
        <f t="shared" si="48"/>
        <v>26390.873319246897</v>
      </c>
      <c r="BT30" s="188">
        <f t="shared" si="49"/>
        <v>1266.2682589456674</v>
      </c>
      <c r="BU30" s="188">
        <f t="shared" si="50"/>
        <v>0</v>
      </c>
      <c r="BV30" s="188">
        <f t="shared" si="51"/>
        <v>0</v>
      </c>
      <c r="BW30" s="188">
        <f t="shared" si="52"/>
        <v>0</v>
      </c>
      <c r="BX30" s="188">
        <f t="shared" si="53"/>
        <v>19660.241746749878</v>
      </c>
      <c r="BY30" s="188">
        <f t="shared" si="54"/>
        <v>19660.241746749878</v>
      </c>
      <c r="BZ30" s="188">
        <f t="shared" si="55"/>
        <v>19660.241746749878</v>
      </c>
      <c r="CA30" s="188">
        <f t="shared" si="56"/>
        <v>0</v>
      </c>
      <c r="CB30" s="149">
        <f t="shared" si="57"/>
        <v>47317.383324942442</v>
      </c>
      <c r="CC30" s="149">
        <f>CB30-BEL!CB30</f>
        <v>938.95274370694096</v>
      </c>
      <c r="CD30" s="189">
        <f>IF(AND(C30=0,C31=0),0,CB30/W30) - BEL!CC30</f>
        <v>824.28592475602636</v>
      </c>
      <c r="CF30" s="195">
        <f t="shared" si="72"/>
        <v>944.63660811284444</v>
      </c>
      <c r="CG30" s="127">
        <f t="shared" si="73"/>
        <v>4.1266410689991977</v>
      </c>
      <c r="CH30" s="128">
        <f>'DATA INPUT - DETAIL'!AH21</f>
        <v>9.5861116170399996E-2</v>
      </c>
      <c r="CI30" s="125">
        <f t="shared" si="74"/>
        <v>-90.949504048026867</v>
      </c>
      <c r="CJ30" s="199">
        <f t="shared" si="75"/>
        <v>857.81374513381684</v>
      </c>
      <c r="CL30" s="189">
        <f t="shared" si="76"/>
        <v>35518.0478311482</v>
      </c>
      <c r="CM30" s="149">
        <f t="shared" si="58"/>
        <v>155.16044329840861</v>
      </c>
      <c r="CN30" s="128">
        <f>'DATA INPUT - DETAIL'!AH21</f>
        <v>9.5861116170399996E-2</v>
      </c>
      <c r="CO30" s="149">
        <f t="shared" si="59"/>
        <v>-3419.673562567601</v>
      </c>
      <c r="CP30" s="149">
        <f t="shared" si="60"/>
        <v>32253.534711879009</v>
      </c>
      <c r="CR30" s="126">
        <f t="shared" si="77"/>
        <v>18</v>
      </c>
      <c r="CS30" s="189">
        <f t="shared" si="78"/>
        <v>0</v>
      </c>
      <c r="CT30" s="200">
        <f>CS30/(BEL!CE30+BEL!CA30-BEL!BU30+'RA CSM'!CF30)</f>
        <v>0</v>
      </c>
      <c r="CU30" s="149">
        <f>$CT30*BEL!CH30</f>
        <v>0</v>
      </c>
      <c r="CV30" s="149">
        <f>$CT30*BEL!CI30</f>
        <v>0</v>
      </c>
      <c r="CW30" s="149">
        <f>$CT30*BEL!CJ30</f>
        <v>0</v>
      </c>
      <c r="CX30" s="149">
        <f>$CT30*BEL!CK30</f>
        <v>0</v>
      </c>
      <c r="CY30" s="149">
        <f t="shared" si="61"/>
        <v>0</v>
      </c>
      <c r="CZ30" s="149">
        <f>$CT30*(BEL!CL30+'RA CSM'!CG30)</f>
        <v>0</v>
      </c>
      <c r="DA30" s="149">
        <f t="shared" si="62"/>
        <v>0</v>
      </c>
    </row>
    <row r="31" spans="2:105" x14ac:dyDescent="0.2">
      <c r="B31" s="130">
        <f>BEL!B31</f>
        <v>2</v>
      </c>
      <c r="C31" s="130">
        <f>BEL!C31</f>
        <v>19</v>
      </c>
      <c r="D31" s="190">
        <f>BEL!D31</f>
        <v>0</v>
      </c>
      <c r="E31" s="190">
        <f>BEL!E31</f>
        <v>0</v>
      </c>
      <c r="F31" s="190">
        <f>BEL!F31</f>
        <v>0</v>
      </c>
      <c r="G31" s="190">
        <f>BEL!G31*(1+$V$5)</f>
        <v>0</v>
      </c>
      <c r="H31" s="190">
        <f>BEL!H31*(1+$V$5)</f>
        <v>1050</v>
      </c>
      <c r="I31" s="179">
        <f t="shared" si="2"/>
        <v>1093.5516166635134</v>
      </c>
      <c r="J31" s="130">
        <f>BEL!J31</f>
        <v>0</v>
      </c>
      <c r="K31" s="130">
        <f>BEL!K31</f>
        <v>0</v>
      </c>
      <c r="L31" s="130">
        <f>BEL!L31</f>
        <v>35</v>
      </c>
      <c r="M31" s="185">
        <f t="shared" si="3"/>
        <v>8.921042540299684E-5</v>
      </c>
      <c r="N31" s="185">
        <f t="shared" si="4"/>
        <v>0</v>
      </c>
      <c r="O31" s="185">
        <f t="shared" si="5"/>
        <v>0</v>
      </c>
      <c r="P31" s="185">
        <f t="shared" si="6"/>
        <v>0</v>
      </c>
      <c r="Q31" s="185">
        <f t="shared" si="7"/>
        <v>0</v>
      </c>
      <c r="R31" s="185">
        <f t="shared" si="8"/>
        <v>0</v>
      </c>
      <c r="S31" s="185">
        <f t="shared" si="9"/>
        <v>0</v>
      </c>
      <c r="T31" s="185">
        <f t="shared" si="10"/>
        <v>0</v>
      </c>
      <c r="U31" s="196">
        <f>(C31&gt;0)*(C31&lt;$E$5)*VLOOKUP(MPP,ASUMSI!$BN$77:$CR$108,B31+1)*(1+$V$4)</f>
        <v>1.4298211698286379E-3</v>
      </c>
      <c r="V31" s="185">
        <f t="shared" si="11"/>
        <v>0</v>
      </c>
      <c r="W31" s="185">
        <f t="shared" si="63"/>
        <v>0.98143970074042386</v>
      </c>
      <c r="X31" s="185">
        <f t="shared" si="32"/>
        <v>8.7554653210443129E-5</v>
      </c>
      <c r="Y31" s="185">
        <f t="shared" si="33"/>
        <v>1.403283261028941E-3</v>
      </c>
      <c r="Z31" s="185">
        <f t="shared" si="34"/>
        <v>0</v>
      </c>
      <c r="AA31" s="197">
        <f t="shared" si="35"/>
        <v>0.97994886282618443</v>
      </c>
      <c r="AB31" s="185">
        <f t="shared" si="36"/>
        <v>0</v>
      </c>
      <c r="AC31" s="185">
        <f t="shared" si="36"/>
        <v>0</v>
      </c>
      <c r="AD31" s="185">
        <f t="shared" si="36"/>
        <v>0</v>
      </c>
      <c r="AE31" s="185">
        <f t="shared" si="37"/>
        <v>0</v>
      </c>
      <c r="AF31" s="185">
        <f t="shared" si="38"/>
        <v>0</v>
      </c>
      <c r="AG31" s="185">
        <f t="shared" si="39"/>
        <v>0</v>
      </c>
      <c r="AH31" s="185">
        <f t="shared" si="40"/>
        <v>0</v>
      </c>
      <c r="AI31" s="125">
        <f>BEL!AI31</f>
        <v>28691898.340399999</v>
      </c>
      <c r="AJ31" s="125">
        <f>BEL!AJ31</f>
        <v>0</v>
      </c>
      <c r="AK31" s="125">
        <f>BEL!AK31</f>
        <v>0</v>
      </c>
      <c r="AL31" s="125">
        <f>BEL!AL31</f>
        <v>0</v>
      </c>
      <c r="AM31" s="125">
        <f>BEL!AM31</f>
        <v>0</v>
      </c>
      <c r="AN31" s="125">
        <f>BEL!AN31</f>
        <v>0</v>
      </c>
      <c r="AO31" s="198">
        <f t="shared" si="13"/>
        <v>0</v>
      </c>
      <c r="AP31" s="125">
        <f>BEL!AP31</f>
        <v>0</v>
      </c>
      <c r="AQ31" s="125">
        <f>BEL!AQ31</f>
        <v>0</v>
      </c>
      <c r="AR31" s="125">
        <f>BEL!AR31</f>
        <v>0</v>
      </c>
      <c r="AS31" s="125">
        <f>BEL!AS31</f>
        <v>0</v>
      </c>
      <c r="AT31" s="125">
        <f>BEL!AT31</f>
        <v>0</v>
      </c>
      <c r="AU31" s="127">
        <f>BEL!AU31</f>
        <v>78200</v>
      </c>
      <c r="AV31" s="127">
        <f>BEL!AV31</f>
        <v>0</v>
      </c>
      <c r="AW31" s="127">
        <f>BEL!AW31</f>
        <v>0</v>
      </c>
      <c r="AX31" s="127">
        <f t="shared" si="14"/>
        <v>2512.1092091430105</v>
      </c>
      <c r="AY31" s="127">
        <f t="shared" si="41"/>
        <v>0</v>
      </c>
      <c r="AZ31" s="127">
        <f t="shared" si="15"/>
        <v>0</v>
      </c>
      <c r="BA31" s="127">
        <f t="shared" si="16"/>
        <v>0</v>
      </c>
      <c r="BB31" s="127">
        <f t="shared" si="17"/>
        <v>0</v>
      </c>
      <c r="BC31" s="127">
        <f t="shared" si="18"/>
        <v>0</v>
      </c>
      <c r="BD31" s="127">
        <f t="shared" si="19"/>
        <v>0</v>
      </c>
      <c r="BE31" s="127">
        <f t="shared" si="20"/>
        <v>0</v>
      </c>
      <c r="BF31" s="127">
        <f t="shared" si="21"/>
        <v>0</v>
      </c>
      <c r="BG31" s="127">
        <f t="shared" si="22"/>
        <v>109.73675101246319</v>
      </c>
      <c r="BH31" s="127">
        <f t="shared" si="23"/>
        <v>0</v>
      </c>
      <c r="BI31" s="127">
        <f t="shared" si="42"/>
        <v>0</v>
      </c>
      <c r="BJ31" s="189">
        <f t="shared" si="64"/>
        <v>2512.1092091430105</v>
      </c>
      <c r="BK31" s="189">
        <f t="shared" si="65"/>
        <v>109.73675101246319</v>
      </c>
      <c r="BL31" s="192">
        <f t="shared" si="66"/>
        <v>0</v>
      </c>
      <c r="BM31" s="192">
        <f t="shared" si="67"/>
        <v>0</v>
      </c>
      <c r="BN31" s="192">
        <f t="shared" si="68"/>
        <v>0</v>
      </c>
      <c r="BO31" s="192">
        <f t="shared" si="69"/>
        <v>1073.2549714024453</v>
      </c>
      <c r="BP31" s="192">
        <f t="shared" si="70"/>
        <v>1073.2549714024453</v>
      </c>
      <c r="BQ31" s="193">
        <f t="shared" si="46"/>
        <v>1073.2549714024453</v>
      </c>
      <c r="BR31" s="193">
        <f t="shared" si="71"/>
        <v>0</v>
      </c>
      <c r="BS31" s="188">
        <f t="shared" si="48"/>
        <v>23871.206921437129</v>
      </c>
      <c r="BT31" s="188">
        <f t="shared" si="49"/>
        <v>1155.4313249090806</v>
      </c>
      <c r="BU31" s="188">
        <f t="shared" si="50"/>
        <v>0</v>
      </c>
      <c r="BV31" s="188">
        <f t="shared" si="51"/>
        <v>0</v>
      </c>
      <c r="BW31" s="188">
        <f t="shared" si="52"/>
        <v>0</v>
      </c>
      <c r="BX31" s="188">
        <f t="shared" si="53"/>
        <v>18668.850766188727</v>
      </c>
      <c r="BY31" s="188">
        <f t="shared" si="54"/>
        <v>18668.850766188727</v>
      </c>
      <c r="BZ31" s="188">
        <f t="shared" si="55"/>
        <v>18668.850766188727</v>
      </c>
      <c r="CA31" s="188">
        <f t="shared" si="56"/>
        <v>0</v>
      </c>
      <c r="CB31" s="149">
        <f t="shared" si="57"/>
        <v>43695.489012534934</v>
      </c>
      <c r="CC31" s="149">
        <f>CB31-BEL!CB31</f>
        <v>901.7786288599309</v>
      </c>
      <c r="CD31" s="189">
        <f>IF(AND(C31=0,C32=0),0,CB31/W31) - BEL!CC31</f>
        <v>786.74920725772245</v>
      </c>
      <c r="CF31" s="195">
        <f t="shared" si="72"/>
        <v>857.81374513381684</v>
      </c>
      <c r="CG31" s="127">
        <f t="shared" si="73"/>
        <v>3.7473557554508314</v>
      </c>
      <c r="CH31" s="128">
        <f>'DATA INPUT - DETAIL'!AH22</f>
        <v>0.101137648619</v>
      </c>
      <c r="CI31" s="125">
        <f t="shared" si="74"/>
        <v>-87.136263885537559</v>
      </c>
      <c r="CJ31" s="199">
        <f t="shared" si="75"/>
        <v>774.42483700373009</v>
      </c>
      <c r="CL31" s="189">
        <f t="shared" si="76"/>
        <v>32253.534711879009</v>
      </c>
      <c r="CM31" s="149">
        <f t="shared" si="58"/>
        <v>140.89943139968952</v>
      </c>
      <c r="CN31" s="128">
        <f>'DATA INPUT - DETAIL'!AH22</f>
        <v>0.101137648619</v>
      </c>
      <c r="CO31" s="149">
        <f t="shared" si="59"/>
        <v>-3276.2968975942572</v>
      </c>
      <c r="CP31" s="149">
        <f t="shared" si="60"/>
        <v>29118.13724568444</v>
      </c>
      <c r="CR31" s="126">
        <f t="shared" si="77"/>
        <v>19</v>
      </c>
      <c r="CS31" s="189">
        <f t="shared" si="78"/>
        <v>0</v>
      </c>
      <c r="CT31" s="200">
        <f>CS31/(BEL!CE31+BEL!CA31-BEL!BU31+'RA CSM'!CF31)</f>
        <v>0</v>
      </c>
      <c r="CU31" s="149">
        <f>$CT31*BEL!CH31</f>
        <v>0</v>
      </c>
      <c r="CV31" s="149">
        <f>$CT31*BEL!CI31</f>
        <v>0</v>
      </c>
      <c r="CW31" s="149">
        <f>$CT31*BEL!CJ31</f>
        <v>0</v>
      </c>
      <c r="CX31" s="149">
        <f>$CT31*BEL!CK31</f>
        <v>0</v>
      </c>
      <c r="CY31" s="149">
        <f t="shared" si="61"/>
        <v>0</v>
      </c>
      <c r="CZ31" s="149">
        <f>$CT31*(BEL!CL31+'RA CSM'!CG31)</f>
        <v>0</v>
      </c>
      <c r="DA31" s="149">
        <f t="shared" si="62"/>
        <v>0</v>
      </c>
    </row>
    <row r="32" spans="2:105" x14ac:dyDescent="0.2">
      <c r="B32" s="130">
        <f>BEL!B32</f>
        <v>2</v>
      </c>
      <c r="C32" s="130">
        <f>BEL!C32</f>
        <v>20</v>
      </c>
      <c r="D32" s="190">
        <f>BEL!D32</f>
        <v>0</v>
      </c>
      <c r="E32" s="190">
        <f>BEL!E32</f>
        <v>0</v>
      </c>
      <c r="F32" s="190">
        <f>BEL!F32</f>
        <v>0</v>
      </c>
      <c r="G32" s="190">
        <f>BEL!G32*(1+$V$5)</f>
        <v>0</v>
      </c>
      <c r="H32" s="190">
        <f>BEL!H32*(1+$V$5)</f>
        <v>1050</v>
      </c>
      <c r="I32" s="179">
        <f t="shared" si="2"/>
        <v>1095.8932039030003</v>
      </c>
      <c r="J32" s="130">
        <f>BEL!J32</f>
        <v>0</v>
      </c>
      <c r="K32" s="130">
        <f>BEL!K32</f>
        <v>0</v>
      </c>
      <c r="L32" s="130">
        <f>BEL!L32</f>
        <v>35</v>
      </c>
      <c r="M32" s="185">
        <f t="shared" si="3"/>
        <v>8.921042540299684E-5</v>
      </c>
      <c r="N32" s="185">
        <f t="shared" si="4"/>
        <v>0</v>
      </c>
      <c r="O32" s="185">
        <f t="shared" si="5"/>
        <v>0</v>
      </c>
      <c r="P32" s="185">
        <f t="shared" si="6"/>
        <v>0</v>
      </c>
      <c r="Q32" s="185">
        <f t="shared" si="7"/>
        <v>0</v>
      </c>
      <c r="R32" s="185">
        <f t="shared" si="8"/>
        <v>0</v>
      </c>
      <c r="S32" s="185">
        <f t="shared" si="9"/>
        <v>0</v>
      </c>
      <c r="T32" s="185">
        <f t="shared" si="10"/>
        <v>0</v>
      </c>
      <c r="U32" s="196">
        <f>(C32&gt;0)*(C32&lt;$E$5)*VLOOKUP(MPP,ASUMSI!$BN$77:$CR$108,B32+1)*(1+$V$4)</f>
        <v>1.4298211698286379E-3</v>
      </c>
      <c r="V32" s="185">
        <f t="shared" si="11"/>
        <v>0</v>
      </c>
      <c r="W32" s="185">
        <f t="shared" si="63"/>
        <v>0.97994886282618443</v>
      </c>
      <c r="X32" s="185">
        <f t="shared" si="32"/>
        <v>8.7421654925906911E-5</v>
      </c>
      <c r="Y32" s="185">
        <f t="shared" si="33"/>
        <v>1.4011516294183783E-3</v>
      </c>
      <c r="Z32" s="185">
        <f t="shared" si="34"/>
        <v>0</v>
      </c>
      <c r="AA32" s="197">
        <f t="shared" si="35"/>
        <v>0.97846028954184017</v>
      </c>
      <c r="AB32" s="185">
        <f t="shared" si="36"/>
        <v>0</v>
      </c>
      <c r="AC32" s="185">
        <f t="shared" si="36"/>
        <v>0</v>
      </c>
      <c r="AD32" s="185">
        <f t="shared" si="36"/>
        <v>0</v>
      </c>
      <c r="AE32" s="185">
        <f t="shared" si="37"/>
        <v>0</v>
      </c>
      <c r="AF32" s="185">
        <f t="shared" si="38"/>
        <v>0</v>
      </c>
      <c r="AG32" s="185">
        <f t="shared" si="39"/>
        <v>0</v>
      </c>
      <c r="AH32" s="185">
        <f t="shared" si="40"/>
        <v>0</v>
      </c>
      <c r="AI32" s="125">
        <f>BEL!AI32</f>
        <v>27311917.478100002</v>
      </c>
      <c r="AJ32" s="125">
        <f>BEL!AJ32</f>
        <v>0</v>
      </c>
      <c r="AK32" s="125">
        <f>BEL!AK32</f>
        <v>0</v>
      </c>
      <c r="AL32" s="125">
        <f>BEL!AL32</f>
        <v>0</v>
      </c>
      <c r="AM32" s="125">
        <f>BEL!AM32</f>
        <v>0</v>
      </c>
      <c r="AN32" s="125">
        <f>BEL!AN32</f>
        <v>0</v>
      </c>
      <c r="AO32" s="198">
        <f t="shared" si="13"/>
        <v>0</v>
      </c>
      <c r="AP32" s="125">
        <f>BEL!AP32</f>
        <v>0</v>
      </c>
      <c r="AQ32" s="125">
        <f>BEL!AQ32</f>
        <v>0</v>
      </c>
      <c r="AR32" s="125">
        <f>BEL!AR32</f>
        <v>0</v>
      </c>
      <c r="AS32" s="125">
        <f>BEL!AS32</f>
        <v>0</v>
      </c>
      <c r="AT32" s="125">
        <f>BEL!AT32</f>
        <v>0</v>
      </c>
      <c r="AU32" s="127">
        <f>BEL!AU32</f>
        <v>73600</v>
      </c>
      <c r="AV32" s="127">
        <f>BEL!AV32</f>
        <v>0</v>
      </c>
      <c r="AW32" s="127">
        <f>BEL!AW32</f>
        <v>0</v>
      </c>
      <c r="AX32" s="127">
        <f t="shared" si="14"/>
        <v>2387.6530251353042</v>
      </c>
      <c r="AY32" s="127">
        <f t="shared" si="41"/>
        <v>0</v>
      </c>
      <c r="AZ32" s="127">
        <f t="shared" si="15"/>
        <v>0</v>
      </c>
      <c r="BA32" s="127">
        <f t="shared" si="16"/>
        <v>0</v>
      </c>
      <c r="BB32" s="127">
        <f t="shared" si="17"/>
        <v>0</v>
      </c>
      <c r="BC32" s="127">
        <f t="shared" si="18"/>
        <v>0</v>
      </c>
      <c r="BD32" s="127">
        <f t="shared" si="19"/>
        <v>0</v>
      </c>
      <c r="BE32" s="127">
        <f t="shared" si="20"/>
        <v>0</v>
      </c>
      <c r="BF32" s="127">
        <f t="shared" si="21"/>
        <v>0</v>
      </c>
      <c r="BG32" s="127">
        <f t="shared" si="22"/>
        <v>103.12475992519265</v>
      </c>
      <c r="BH32" s="127">
        <f t="shared" si="23"/>
        <v>0</v>
      </c>
      <c r="BI32" s="127">
        <f t="shared" si="42"/>
        <v>0</v>
      </c>
      <c r="BJ32" s="189">
        <f t="shared" si="64"/>
        <v>2387.6530251353042</v>
      </c>
      <c r="BK32" s="189">
        <f t="shared" si="65"/>
        <v>103.12475992519265</v>
      </c>
      <c r="BL32" s="192">
        <f t="shared" si="66"/>
        <v>0</v>
      </c>
      <c r="BM32" s="192">
        <f t="shared" si="67"/>
        <v>0</v>
      </c>
      <c r="BN32" s="192">
        <f t="shared" si="68"/>
        <v>0</v>
      </c>
      <c r="BO32" s="192">
        <f t="shared" si="69"/>
        <v>1073.919298943689</v>
      </c>
      <c r="BP32" s="192">
        <f t="shared" si="70"/>
        <v>1073.919298943689</v>
      </c>
      <c r="BQ32" s="193">
        <f t="shared" si="46"/>
        <v>1073.919298943689</v>
      </c>
      <c r="BR32" s="193">
        <f t="shared" si="71"/>
        <v>0</v>
      </c>
      <c r="BS32" s="188">
        <f t="shared" si="48"/>
        <v>21463.378979823414</v>
      </c>
      <c r="BT32" s="188">
        <f t="shared" si="49"/>
        <v>1050.7420708037121</v>
      </c>
      <c r="BU32" s="188">
        <f t="shared" si="50"/>
        <v>0</v>
      </c>
      <c r="BV32" s="188">
        <f t="shared" si="51"/>
        <v>0</v>
      </c>
      <c r="BW32" s="188">
        <f t="shared" si="52"/>
        <v>0</v>
      </c>
      <c r="BX32" s="188">
        <f t="shared" si="53"/>
        <v>17672.462081373811</v>
      </c>
      <c r="BY32" s="188">
        <f t="shared" si="54"/>
        <v>17672.462081373811</v>
      </c>
      <c r="BZ32" s="188">
        <f t="shared" si="55"/>
        <v>17672.462081373811</v>
      </c>
      <c r="CA32" s="188">
        <f t="shared" si="56"/>
        <v>0</v>
      </c>
      <c r="CB32" s="149">
        <f t="shared" si="57"/>
        <v>40186.583132000938</v>
      </c>
      <c r="CC32" s="149">
        <f>CB32-BEL!CB32</f>
        <v>862.67560732168204</v>
      </c>
      <c r="CD32" s="189">
        <f>IF(AND(C32=0,C33=0),0,CB32/W32) - BEL!CC32</f>
        <v>748.59489315115934</v>
      </c>
      <c r="CF32" s="195">
        <f t="shared" si="72"/>
        <v>774.42483700373009</v>
      </c>
      <c r="CG32" s="127">
        <f t="shared" si="73"/>
        <v>3.3830716592880985</v>
      </c>
      <c r="CH32" s="128">
        <f>'DATA INPUT - DETAIL'!AH23</f>
        <v>0.10700209300500001</v>
      </c>
      <c r="CI32" s="125">
        <f t="shared" si="74"/>
        <v>-83.227074182784833</v>
      </c>
      <c r="CJ32" s="199">
        <f t="shared" si="75"/>
        <v>694.58083448023342</v>
      </c>
      <c r="CL32" s="189">
        <f t="shared" si="76"/>
        <v>29118.13724568444</v>
      </c>
      <c r="CM32" s="149">
        <f t="shared" si="58"/>
        <v>127.20246069104543</v>
      </c>
      <c r="CN32" s="128">
        <f>'DATA INPUT - DETAIL'!AH23</f>
        <v>0.10700209300500001</v>
      </c>
      <c r="CO32" s="149">
        <f t="shared" si="59"/>
        <v>-3129.3125592244091</v>
      </c>
      <c r="CP32" s="149">
        <f t="shared" si="60"/>
        <v>26116.027147151075</v>
      </c>
      <c r="CR32" s="126">
        <f t="shared" si="77"/>
        <v>20</v>
      </c>
      <c r="CS32" s="189">
        <f t="shared" si="78"/>
        <v>0</v>
      </c>
      <c r="CT32" s="200">
        <f>CS32/(BEL!CE32+BEL!CA32-BEL!BU32+'RA CSM'!CF32)</f>
        <v>0</v>
      </c>
      <c r="CU32" s="149">
        <f>$CT32*BEL!CH32</f>
        <v>0</v>
      </c>
      <c r="CV32" s="149">
        <f>$CT32*BEL!CI32</f>
        <v>0</v>
      </c>
      <c r="CW32" s="149">
        <f>$CT32*BEL!CJ32</f>
        <v>0</v>
      </c>
      <c r="CX32" s="149">
        <f>$CT32*BEL!CK32</f>
        <v>0</v>
      </c>
      <c r="CY32" s="149">
        <f t="shared" si="61"/>
        <v>0</v>
      </c>
      <c r="CZ32" s="149">
        <f>$CT32*(BEL!CL32+'RA CSM'!CG32)</f>
        <v>0</v>
      </c>
      <c r="DA32" s="149">
        <f t="shared" si="62"/>
        <v>0</v>
      </c>
    </row>
    <row r="33" spans="2:105" x14ac:dyDescent="0.2">
      <c r="B33" s="130">
        <f>BEL!B33</f>
        <v>2</v>
      </c>
      <c r="C33" s="130">
        <f>BEL!C33</f>
        <v>21</v>
      </c>
      <c r="D33" s="190">
        <f>BEL!D33</f>
        <v>0</v>
      </c>
      <c r="E33" s="190">
        <f>BEL!E33</f>
        <v>0</v>
      </c>
      <c r="F33" s="190">
        <f>BEL!F33</f>
        <v>0</v>
      </c>
      <c r="G33" s="190">
        <f>BEL!G33*(1+$V$5)</f>
        <v>0</v>
      </c>
      <c r="H33" s="190">
        <f>BEL!H33*(1+$V$5)</f>
        <v>1050</v>
      </c>
      <c r="I33" s="179">
        <f t="shared" si="2"/>
        <v>1098.2398051086473</v>
      </c>
      <c r="J33" s="130">
        <f>BEL!J33</f>
        <v>0</v>
      </c>
      <c r="K33" s="130">
        <f>BEL!K33</f>
        <v>0</v>
      </c>
      <c r="L33" s="130">
        <f>BEL!L33</f>
        <v>35</v>
      </c>
      <c r="M33" s="185">
        <f t="shared" si="3"/>
        <v>8.921042540299684E-5</v>
      </c>
      <c r="N33" s="185">
        <f t="shared" si="4"/>
        <v>0</v>
      </c>
      <c r="O33" s="185">
        <f t="shared" si="5"/>
        <v>0</v>
      </c>
      <c r="P33" s="185">
        <f t="shared" si="6"/>
        <v>0</v>
      </c>
      <c r="Q33" s="185">
        <f t="shared" si="7"/>
        <v>0</v>
      </c>
      <c r="R33" s="185">
        <f t="shared" si="8"/>
        <v>0</v>
      </c>
      <c r="S33" s="185">
        <f t="shared" si="9"/>
        <v>0</v>
      </c>
      <c r="T33" s="185">
        <f t="shared" si="10"/>
        <v>0</v>
      </c>
      <c r="U33" s="196">
        <f>(C33&gt;0)*(C33&lt;$E$5)*VLOOKUP(MPP,ASUMSI!$BN$77:$CR$108,B33+1)*(1+$V$4)</f>
        <v>1.4298211698286379E-3</v>
      </c>
      <c r="V33" s="185">
        <f t="shared" si="11"/>
        <v>0</v>
      </c>
      <c r="W33" s="185">
        <f t="shared" si="63"/>
        <v>0.97846028954184017</v>
      </c>
      <c r="X33" s="185">
        <f t="shared" si="32"/>
        <v>8.7288858669967021E-5</v>
      </c>
      <c r="Y33" s="185">
        <f t="shared" si="33"/>
        <v>1.3990232358235817E-3</v>
      </c>
      <c r="Z33" s="185">
        <f t="shared" si="34"/>
        <v>0</v>
      </c>
      <c r="AA33" s="197">
        <f t="shared" si="35"/>
        <v>0.9769739774473466</v>
      </c>
      <c r="AB33" s="185">
        <f t="shared" si="36"/>
        <v>0</v>
      </c>
      <c r="AC33" s="185">
        <f t="shared" si="36"/>
        <v>0</v>
      </c>
      <c r="AD33" s="185">
        <f t="shared" si="36"/>
        <v>0</v>
      </c>
      <c r="AE33" s="185">
        <f t="shared" si="37"/>
        <v>0</v>
      </c>
      <c r="AF33" s="185">
        <f t="shared" si="38"/>
        <v>0</v>
      </c>
      <c r="AG33" s="185">
        <f t="shared" si="39"/>
        <v>0</v>
      </c>
      <c r="AH33" s="185">
        <f t="shared" si="40"/>
        <v>0</v>
      </c>
      <c r="AI33" s="125">
        <f>BEL!AI33</f>
        <v>25908936.934700001</v>
      </c>
      <c r="AJ33" s="125">
        <f>BEL!AJ33</f>
        <v>0</v>
      </c>
      <c r="AK33" s="125">
        <f>BEL!AK33</f>
        <v>0</v>
      </c>
      <c r="AL33" s="125">
        <f>BEL!AL33</f>
        <v>0</v>
      </c>
      <c r="AM33" s="125">
        <f>BEL!AM33</f>
        <v>0</v>
      </c>
      <c r="AN33" s="125">
        <f>BEL!AN33</f>
        <v>0</v>
      </c>
      <c r="AO33" s="198">
        <f t="shared" si="13"/>
        <v>0</v>
      </c>
      <c r="AP33" s="125">
        <f>BEL!AP33</f>
        <v>0</v>
      </c>
      <c r="AQ33" s="125">
        <f>BEL!AQ33</f>
        <v>0</v>
      </c>
      <c r="AR33" s="125">
        <f>BEL!AR33</f>
        <v>0</v>
      </c>
      <c r="AS33" s="125">
        <f>BEL!AS33</f>
        <v>0</v>
      </c>
      <c r="AT33" s="125">
        <f>BEL!AT33</f>
        <v>0</v>
      </c>
      <c r="AU33" s="127">
        <f>BEL!AU33</f>
        <v>69000</v>
      </c>
      <c r="AV33" s="127">
        <f>BEL!AV33</f>
        <v>0</v>
      </c>
      <c r="AW33" s="127">
        <f>BEL!AW33</f>
        <v>0</v>
      </c>
      <c r="AX33" s="127">
        <f t="shared" si="14"/>
        <v>2261.5615343821169</v>
      </c>
      <c r="AY33" s="127">
        <f t="shared" si="41"/>
        <v>0</v>
      </c>
      <c r="AZ33" s="127">
        <f t="shared" si="15"/>
        <v>0</v>
      </c>
      <c r="BA33" s="127">
        <f t="shared" si="16"/>
        <v>0</v>
      </c>
      <c r="BB33" s="127">
        <f t="shared" si="17"/>
        <v>0</v>
      </c>
      <c r="BC33" s="127">
        <f t="shared" si="18"/>
        <v>0</v>
      </c>
      <c r="BD33" s="127">
        <f t="shared" si="19"/>
        <v>0</v>
      </c>
      <c r="BE33" s="127">
        <f t="shared" si="20"/>
        <v>0</v>
      </c>
      <c r="BF33" s="127">
        <f t="shared" si="21"/>
        <v>0</v>
      </c>
      <c r="BG33" s="127">
        <f t="shared" si="22"/>
        <v>96.532603271827142</v>
      </c>
      <c r="BH33" s="127">
        <f t="shared" si="23"/>
        <v>0</v>
      </c>
      <c r="BI33" s="127">
        <f t="shared" si="42"/>
        <v>0</v>
      </c>
      <c r="BJ33" s="189">
        <f t="shared" si="64"/>
        <v>2261.5615343821169</v>
      </c>
      <c r="BK33" s="189">
        <f t="shared" si="65"/>
        <v>96.532603271827142</v>
      </c>
      <c r="BL33" s="192">
        <f t="shared" si="66"/>
        <v>0</v>
      </c>
      <c r="BM33" s="192">
        <f t="shared" si="67"/>
        <v>0</v>
      </c>
      <c r="BN33" s="192">
        <f t="shared" si="68"/>
        <v>0</v>
      </c>
      <c r="BO33" s="192">
        <f t="shared" si="69"/>
        <v>1074.5840376929812</v>
      </c>
      <c r="BP33" s="192">
        <f t="shared" si="70"/>
        <v>1074.5840376929812</v>
      </c>
      <c r="BQ33" s="193">
        <f t="shared" si="46"/>
        <v>1074.5840376929812</v>
      </c>
      <c r="BR33" s="193">
        <f t="shared" si="71"/>
        <v>0</v>
      </c>
      <c r="BS33" s="188">
        <f t="shared" si="48"/>
        <v>19169.48863593183</v>
      </c>
      <c r="BT33" s="188">
        <f t="shared" si="49"/>
        <v>952.20747321720557</v>
      </c>
      <c r="BU33" s="188">
        <f t="shared" si="50"/>
        <v>0</v>
      </c>
      <c r="BV33" s="188">
        <f t="shared" si="51"/>
        <v>0</v>
      </c>
      <c r="BW33" s="188">
        <f t="shared" si="52"/>
        <v>0</v>
      </c>
      <c r="BX33" s="188">
        <f t="shared" si="53"/>
        <v>16671.053447106093</v>
      </c>
      <c r="BY33" s="188">
        <f t="shared" si="54"/>
        <v>16671.053447106093</v>
      </c>
      <c r="BZ33" s="188">
        <f t="shared" si="55"/>
        <v>16671.053447106093</v>
      </c>
      <c r="CA33" s="188">
        <f t="shared" si="56"/>
        <v>0</v>
      </c>
      <c r="CB33" s="149">
        <f t="shared" si="57"/>
        <v>36792.749556255127</v>
      </c>
      <c r="CC33" s="149">
        <f>CB33-BEL!CB33</f>
        <v>821.7096864052437</v>
      </c>
      <c r="CD33" s="189">
        <f>IF(AND(C33=0,C34=0),0,CB33/W33) - BEL!CC33</f>
        <v>709.79194486535562</v>
      </c>
      <c r="CF33" s="195">
        <f t="shared" si="72"/>
        <v>694.58083448023342</v>
      </c>
      <c r="CG33" s="127">
        <f t="shared" si="73"/>
        <v>3.0342734684314334</v>
      </c>
      <c r="CH33" s="128">
        <f>'DATA INPUT - DETAIL'!AH24</f>
        <v>0.113558111584</v>
      </c>
      <c r="CI33" s="125">
        <f t="shared" si="74"/>
        <v>-79.219854271118692</v>
      </c>
      <c r="CJ33" s="199">
        <f t="shared" si="75"/>
        <v>618.39525367754618</v>
      </c>
      <c r="CL33" s="189">
        <f t="shared" si="76"/>
        <v>26116.027147151075</v>
      </c>
      <c r="CM33" s="149">
        <f t="shared" si="58"/>
        <v>114.08775529018817</v>
      </c>
      <c r="CN33" s="128">
        <f>'DATA INPUT - DETAIL'!AH24</f>
        <v>0.113558111584</v>
      </c>
      <c r="CO33" s="149">
        <f t="shared" si="59"/>
        <v>-2978.6423149525663</v>
      </c>
      <c r="CP33" s="149">
        <f t="shared" si="60"/>
        <v>23251.472587488697</v>
      </c>
      <c r="CR33" s="126">
        <f t="shared" si="77"/>
        <v>21</v>
      </c>
      <c r="CS33" s="189">
        <f t="shared" si="78"/>
        <v>0</v>
      </c>
      <c r="CT33" s="200">
        <f>CS33/(BEL!CE33+BEL!CA33-BEL!BU33+'RA CSM'!CF33)</f>
        <v>0</v>
      </c>
      <c r="CU33" s="149">
        <f>$CT33*BEL!CH33</f>
        <v>0</v>
      </c>
      <c r="CV33" s="149">
        <f>$CT33*BEL!CI33</f>
        <v>0</v>
      </c>
      <c r="CW33" s="149">
        <f>$CT33*BEL!CJ33</f>
        <v>0</v>
      </c>
      <c r="CX33" s="149">
        <f>$CT33*BEL!CK33</f>
        <v>0</v>
      </c>
      <c r="CY33" s="149">
        <f t="shared" si="61"/>
        <v>0</v>
      </c>
      <c r="CZ33" s="149">
        <f>$CT33*(BEL!CL33+'RA CSM'!CG33)</f>
        <v>0</v>
      </c>
      <c r="DA33" s="149">
        <f t="shared" si="62"/>
        <v>0</v>
      </c>
    </row>
    <row r="34" spans="2:105" x14ac:dyDescent="0.2">
      <c r="B34" s="130">
        <f>BEL!B34</f>
        <v>2</v>
      </c>
      <c r="C34" s="130">
        <f>BEL!C34</f>
        <v>22</v>
      </c>
      <c r="D34" s="190">
        <f>BEL!D34</f>
        <v>0</v>
      </c>
      <c r="E34" s="190">
        <f>BEL!E34</f>
        <v>0</v>
      </c>
      <c r="F34" s="190">
        <f>BEL!F34</f>
        <v>0</v>
      </c>
      <c r="G34" s="190">
        <f>BEL!G34*(1+$V$5)</f>
        <v>0</v>
      </c>
      <c r="H34" s="190">
        <f>BEL!H34*(1+$V$5)</f>
        <v>1050</v>
      </c>
      <c r="I34" s="179">
        <f t="shared" si="2"/>
        <v>1100.5914310167004</v>
      </c>
      <c r="J34" s="130">
        <f>BEL!J34</f>
        <v>0</v>
      </c>
      <c r="K34" s="130">
        <f>BEL!K34</f>
        <v>0</v>
      </c>
      <c r="L34" s="130">
        <f>BEL!L34</f>
        <v>35</v>
      </c>
      <c r="M34" s="185">
        <f t="shared" si="3"/>
        <v>8.921042540299684E-5</v>
      </c>
      <c r="N34" s="185">
        <f t="shared" si="4"/>
        <v>0</v>
      </c>
      <c r="O34" s="185">
        <f t="shared" si="5"/>
        <v>0</v>
      </c>
      <c r="P34" s="185">
        <f t="shared" si="6"/>
        <v>0</v>
      </c>
      <c r="Q34" s="185">
        <f t="shared" si="7"/>
        <v>0</v>
      </c>
      <c r="R34" s="185">
        <f t="shared" si="8"/>
        <v>0</v>
      </c>
      <c r="S34" s="185">
        <f t="shared" si="9"/>
        <v>0</v>
      </c>
      <c r="T34" s="185">
        <f t="shared" si="10"/>
        <v>0</v>
      </c>
      <c r="U34" s="196">
        <f>(C34&gt;0)*(C34&lt;$E$5)*VLOOKUP(MPP,ASUMSI!$BN$77:$CR$108,B34+1)*(1+$V$4)</f>
        <v>1.4298211698286379E-3</v>
      </c>
      <c r="V34" s="185">
        <f t="shared" si="11"/>
        <v>0</v>
      </c>
      <c r="W34" s="185">
        <f t="shared" si="63"/>
        <v>0.9769739774473466</v>
      </c>
      <c r="X34" s="185">
        <f t="shared" si="32"/>
        <v>8.7156264135735626E-5</v>
      </c>
      <c r="Y34" s="185">
        <f t="shared" si="33"/>
        <v>1.3968980753259023E-3</v>
      </c>
      <c r="Z34" s="185">
        <f t="shared" si="34"/>
        <v>0</v>
      </c>
      <c r="AA34" s="197">
        <f t="shared" si="35"/>
        <v>0.97548992310788496</v>
      </c>
      <c r="AB34" s="185">
        <f t="shared" si="36"/>
        <v>0</v>
      </c>
      <c r="AC34" s="185">
        <f t="shared" si="36"/>
        <v>0</v>
      </c>
      <c r="AD34" s="185">
        <f t="shared" si="36"/>
        <v>0</v>
      </c>
      <c r="AE34" s="185">
        <f t="shared" si="37"/>
        <v>0</v>
      </c>
      <c r="AF34" s="185">
        <f t="shared" si="38"/>
        <v>0</v>
      </c>
      <c r="AG34" s="185">
        <f t="shared" si="39"/>
        <v>0</v>
      </c>
      <c r="AH34" s="185">
        <f t="shared" si="40"/>
        <v>0</v>
      </c>
      <c r="AI34" s="125">
        <f>BEL!AI34</f>
        <v>24482573.382300001</v>
      </c>
      <c r="AJ34" s="125">
        <f>BEL!AJ34</f>
        <v>0</v>
      </c>
      <c r="AK34" s="125">
        <f>BEL!AK34</f>
        <v>0</v>
      </c>
      <c r="AL34" s="125">
        <f>BEL!AL34</f>
        <v>0</v>
      </c>
      <c r="AM34" s="125">
        <f>BEL!AM34</f>
        <v>0</v>
      </c>
      <c r="AN34" s="125">
        <f>BEL!AN34</f>
        <v>0</v>
      </c>
      <c r="AO34" s="198">
        <f t="shared" si="13"/>
        <v>0</v>
      </c>
      <c r="AP34" s="125">
        <f>BEL!AP34</f>
        <v>0</v>
      </c>
      <c r="AQ34" s="125">
        <f>BEL!AQ34</f>
        <v>0</v>
      </c>
      <c r="AR34" s="125">
        <f>BEL!AR34</f>
        <v>0</v>
      </c>
      <c r="AS34" s="125">
        <f>BEL!AS34</f>
        <v>0</v>
      </c>
      <c r="AT34" s="125">
        <f>BEL!AT34</f>
        <v>0</v>
      </c>
      <c r="AU34" s="127">
        <f>BEL!AU34</f>
        <v>64400</v>
      </c>
      <c r="AV34" s="127">
        <f>BEL!AV34</f>
        <v>0</v>
      </c>
      <c r="AW34" s="127">
        <f>BEL!AW34</f>
        <v>0</v>
      </c>
      <c r="AX34" s="127">
        <f t="shared" si="14"/>
        <v>2133.8096324302692</v>
      </c>
      <c r="AY34" s="127">
        <f t="shared" si="41"/>
        <v>0</v>
      </c>
      <c r="AZ34" s="127">
        <f t="shared" si="15"/>
        <v>0</v>
      </c>
      <c r="BA34" s="127">
        <f t="shared" si="16"/>
        <v>0</v>
      </c>
      <c r="BB34" s="127">
        <f t="shared" si="17"/>
        <v>0</v>
      </c>
      <c r="BC34" s="127">
        <f t="shared" si="18"/>
        <v>0</v>
      </c>
      <c r="BD34" s="127">
        <f t="shared" si="19"/>
        <v>0</v>
      </c>
      <c r="BE34" s="127">
        <f t="shared" si="20"/>
        <v>0</v>
      </c>
      <c r="BF34" s="127">
        <f t="shared" si="21"/>
        <v>0</v>
      </c>
      <c r="BG34" s="127">
        <f t="shared" si="22"/>
        <v>89.960236050988115</v>
      </c>
      <c r="BH34" s="127">
        <f t="shared" si="23"/>
        <v>0</v>
      </c>
      <c r="BI34" s="127">
        <f t="shared" si="42"/>
        <v>0</v>
      </c>
      <c r="BJ34" s="189">
        <f t="shared" si="64"/>
        <v>2133.8096324302692</v>
      </c>
      <c r="BK34" s="189">
        <f t="shared" si="65"/>
        <v>89.960236050988115</v>
      </c>
      <c r="BL34" s="192">
        <f t="shared" si="66"/>
        <v>0</v>
      </c>
      <c r="BM34" s="192">
        <f t="shared" si="67"/>
        <v>0</v>
      </c>
      <c r="BN34" s="192">
        <f t="shared" si="68"/>
        <v>0</v>
      </c>
      <c r="BO34" s="192">
        <f t="shared" si="69"/>
        <v>1075.2491879048528</v>
      </c>
      <c r="BP34" s="192">
        <f t="shared" si="70"/>
        <v>1075.2491879048528</v>
      </c>
      <c r="BQ34" s="193">
        <f t="shared" si="46"/>
        <v>1075.2491879048528</v>
      </c>
      <c r="BR34" s="193">
        <f t="shared" si="71"/>
        <v>0</v>
      </c>
      <c r="BS34" s="188">
        <f t="shared" si="48"/>
        <v>16991.668932426652</v>
      </c>
      <c r="BT34" s="188">
        <f t="shared" si="49"/>
        <v>859.83458430690007</v>
      </c>
      <c r="BU34" s="188">
        <f t="shared" si="50"/>
        <v>0</v>
      </c>
      <c r="BV34" s="188">
        <f t="shared" si="51"/>
        <v>0</v>
      </c>
      <c r="BW34" s="188">
        <f t="shared" si="52"/>
        <v>0</v>
      </c>
      <c r="BX34" s="188">
        <f t="shared" si="53"/>
        <v>15664.602520752984</v>
      </c>
      <c r="BY34" s="188">
        <f t="shared" si="54"/>
        <v>15664.602520752984</v>
      </c>
      <c r="BZ34" s="188">
        <f t="shared" si="55"/>
        <v>15664.602520752984</v>
      </c>
      <c r="CA34" s="188">
        <f t="shared" si="56"/>
        <v>0</v>
      </c>
      <c r="CB34" s="149">
        <f t="shared" si="57"/>
        <v>33516.106037486534</v>
      </c>
      <c r="CC34" s="149">
        <f>CB34-BEL!CB34</f>
        <v>778.94841528673714</v>
      </c>
      <c r="CD34" s="189">
        <f>IF(AND(C34=0,C35=0),0,CB34/W34) - BEL!CC34</f>
        <v>670.3084560629286</v>
      </c>
      <c r="CF34" s="195">
        <f t="shared" si="72"/>
        <v>618.39525367754618</v>
      </c>
      <c r="CG34" s="127">
        <f t="shared" si="73"/>
        <v>2.701457077550709</v>
      </c>
      <c r="CH34" s="128">
        <f>'DATA INPUT - DETAIL'!AH25</f>
        <v>0.12093551788699999</v>
      </c>
      <c r="CI34" s="125">
        <f t="shared" si="74"/>
        <v>-75.112652373079882</v>
      </c>
      <c r="CJ34" s="199">
        <f t="shared" si="75"/>
        <v>545.984058382017</v>
      </c>
      <c r="CL34" s="189">
        <f t="shared" si="76"/>
        <v>23251.472587488697</v>
      </c>
      <c r="CM34" s="149">
        <f t="shared" si="58"/>
        <v>101.57396068518429</v>
      </c>
      <c r="CN34" s="128">
        <f>'DATA INPUT - DETAIL'!AH25</f>
        <v>0.12093551788699999</v>
      </c>
      <c r="CO34" s="149">
        <f t="shared" si="59"/>
        <v>-2824.212778542626</v>
      </c>
      <c r="CP34" s="149">
        <f t="shared" si="60"/>
        <v>20528.833769631256</v>
      </c>
      <c r="CR34" s="126">
        <f t="shared" si="77"/>
        <v>22</v>
      </c>
      <c r="CS34" s="189">
        <f t="shared" si="78"/>
        <v>0</v>
      </c>
      <c r="CT34" s="200">
        <f>CS34/(BEL!CE34+BEL!CA34-BEL!BU34+'RA CSM'!CF34)</f>
        <v>0</v>
      </c>
      <c r="CU34" s="149">
        <f>$CT34*BEL!CH34</f>
        <v>0</v>
      </c>
      <c r="CV34" s="149">
        <f>$CT34*BEL!CI34</f>
        <v>0</v>
      </c>
      <c r="CW34" s="149">
        <f>$CT34*BEL!CJ34</f>
        <v>0</v>
      </c>
      <c r="CX34" s="149">
        <f>$CT34*BEL!CK34</f>
        <v>0</v>
      </c>
      <c r="CY34" s="149">
        <f t="shared" si="61"/>
        <v>0</v>
      </c>
      <c r="CZ34" s="149">
        <f>$CT34*(BEL!CL34+'RA CSM'!CG34)</f>
        <v>0</v>
      </c>
      <c r="DA34" s="149">
        <f t="shared" si="62"/>
        <v>0</v>
      </c>
    </row>
    <row r="35" spans="2:105" x14ac:dyDescent="0.2">
      <c r="B35" s="130">
        <f>BEL!B35</f>
        <v>2</v>
      </c>
      <c r="C35" s="130">
        <f>BEL!C35</f>
        <v>23</v>
      </c>
      <c r="D35" s="190">
        <f>BEL!D35</f>
        <v>0</v>
      </c>
      <c r="E35" s="190">
        <f>BEL!E35</f>
        <v>0</v>
      </c>
      <c r="F35" s="190">
        <f>BEL!F35</f>
        <v>0</v>
      </c>
      <c r="G35" s="190">
        <f>BEL!G35*(1+$V$5)</f>
        <v>0</v>
      </c>
      <c r="H35" s="190">
        <f>BEL!H35*(1+$V$5)</f>
        <v>1050</v>
      </c>
      <c r="I35" s="179">
        <f t="shared" si="2"/>
        <v>1102.9480923863944</v>
      </c>
      <c r="J35" s="130">
        <f>BEL!J35</f>
        <v>0</v>
      </c>
      <c r="K35" s="130">
        <f>BEL!K35</f>
        <v>0</v>
      </c>
      <c r="L35" s="130">
        <f>BEL!L35</f>
        <v>35</v>
      </c>
      <c r="M35" s="185">
        <f t="shared" si="3"/>
        <v>8.921042540299684E-5</v>
      </c>
      <c r="N35" s="185">
        <f t="shared" si="4"/>
        <v>0</v>
      </c>
      <c r="O35" s="185">
        <f t="shared" si="5"/>
        <v>0</v>
      </c>
      <c r="P35" s="185">
        <f t="shared" si="6"/>
        <v>0</v>
      </c>
      <c r="Q35" s="185">
        <f t="shared" si="7"/>
        <v>0</v>
      </c>
      <c r="R35" s="185">
        <f t="shared" si="8"/>
        <v>0</v>
      </c>
      <c r="S35" s="185">
        <f t="shared" si="9"/>
        <v>0</v>
      </c>
      <c r="T35" s="185">
        <f t="shared" si="10"/>
        <v>0</v>
      </c>
      <c r="U35" s="196">
        <f>(C35&gt;0)*(C35&lt;$E$5)*VLOOKUP(MPP,ASUMSI!$BN$77:$CR$108,B35+1)*(1+$V$4)</f>
        <v>1.4298211698286379E-3</v>
      </c>
      <c r="V35" s="185">
        <f t="shared" si="11"/>
        <v>0</v>
      </c>
      <c r="W35" s="185">
        <f t="shared" si="63"/>
        <v>0.97548992310788496</v>
      </c>
      <c r="X35" s="185">
        <f t="shared" si="32"/>
        <v>8.7023871016791093E-5</v>
      </c>
      <c r="Y35" s="185">
        <f t="shared" si="33"/>
        <v>1.394776143014164E-3</v>
      </c>
      <c r="Z35" s="185">
        <f t="shared" si="34"/>
        <v>0</v>
      </c>
      <c r="AA35" s="197">
        <f t="shared" si="35"/>
        <v>0.97400812309385398</v>
      </c>
      <c r="AB35" s="185">
        <f t="shared" si="36"/>
        <v>0</v>
      </c>
      <c r="AC35" s="185">
        <f t="shared" si="36"/>
        <v>0</v>
      </c>
      <c r="AD35" s="185">
        <f t="shared" si="36"/>
        <v>0</v>
      </c>
      <c r="AE35" s="185">
        <f t="shared" si="37"/>
        <v>0</v>
      </c>
      <c r="AF35" s="185">
        <f t="shared" si="38"/>
        <v>0</v>
      </c>
      <c r="AG35" s="185">
        <f t="shared" si="39"/>
        <v>0</v>
      </c>
      <c r="AH35" s="185">
        <f t="shared" si="40"/>
        <v>0</v>
      </c>
      <c r="AI35" s="125">
        <f>BEL!AI35</f>
        <v>23032437.1041</v>
      </c>
      <c r="AJ35" s="125">
        <f>BEL!AJ35</f>
        <v>0</v>
      </c>
      <c r="AK35" s="125">
        <f>BEL!AK35</f>
        <v>0</v>
      </c>
      <c r="AL35" s="125">
        <f>BEL!AL35</f>
        <v>0</v>
      </c>
      <c r="AM35" s="125">
        <f>BEL!AM35</f>
        <v>0</v>
      </c>
      <c r="AN35" s="125">
        <f>BEL!AN35</f>
        <v>0</v>
      </c>
      <c r="AO35" s="198">
        <f t="shared" si="13"/>
        <v>0</v>
      </c>
      <c r="AP35" s="125">
        <f>BEL!AP35</f>
        <v>0</v>
      </c>
      <c r="AQ35" s="125">
        <f>BEL!AQ35</f>
        <v>0</v>
      </c>
      <c r="AR35" s="125">
        <f>BEL!AR35</f>
        <v>0</v>
      </c>
      <c r="AS35" s="125">
        <f>BEL!AS35</f>
        <v>0</v>
      </c>
      <c r="AT35" s="125">
        <f>BEL!AT35</f>
        <v>0</v>
      </c>
      <c r="AU35" s="127">
        <f>BEL!AU35</f>
        <v>59800</v>
      </c>
      <c r="AV35" s="127">
        <f>BEL!AV35</f>
        <v>0</v>
      </c>
      <c r="AW35" s="127">
        <f>BEL!AW35</f>
        <v>0</v>
      </c>
      <c r="AX35" s="127">
        <f t="shared" si="14"/>
        <v>2004.3718357495518</v>
      </c>
      <c r="AY35" s="127">
        <f t="shared" si="41"/>
        <v>0</v>
      </c>
      <c r="AZ35" s="127">
        <f t="shared" si="15"/>
        <v>0</v>
      </c>
      <c r="BA35" s="127">
        <f t="shared" si="16"/>
        <v>0</v>
      </c>
      <c r="BB35" s="127">
        <f t="shared" si="17"/>
        <v>0</v>
      </c>
      <c r="BC35" s="127">
        <f t="shared" si="18"/>
        <v>0</v>
      </c>
      <c r="BD35" s="127">
        <f t="shared" si="19"/>
        <v>0</v>
      </c>
      <c r="BE35" s="127">
        <f t="shared" si="20"/>
        <v>0</v>
      </c>
      <c r="BF35" s="127">
        <f t="shared" si="21"/>
        <v>0</v>
      </c>
      <c r="BG35" s="127">
        <f t="shared" si="22"/>
        <v>83.407613352247012</v>
      </c>
      <c r="BH35" s="127">
        <f t="shared" si="23"/>
        <v>0</v>
      </c>
      <c r="BI35" s="127">
        <f t="shared" si="42"/>
        <v>0</v>
      </c>
      <c r="BJ35" s="189">
        <f t="shared" si="64"/>
        <v>2004.3718357495518</v>
      </c>
      <c r="BK35" s="189">
        <f t="shared" si="65"/>
        <v>83.407613352247012</v>
      </c>
      <c r="BL35" s="192">
        <f t="shared" si="66"/>
        <v>0</v>
      </c>
      <c r="BM35" s="192">
        <f t="shared" si="67"/>
        <v>0</v>
      </c>
      <c r="BN35" s="192">
        <f t="shared" si="68"/>
        <v>0</v>
      </c>
      <c r="BO35" s="192">
        <f t="shared" si="69"/>
        <v>1075.9147498339923</v>
      </c>
      <c r="BP35" s="192">
        <f t="shared" si="70"/>
        <v>1075.9147498339923</v>
      </c>
      <c r="BQ35" s="193">
        <f t="shared" si="46"/>
        <v>1075.9147498339923</v>
      </c>
      <c r="BR35" s="193">
        <f t="shared" si="71"/>
        <v>0</v>
      </c>
      <c r="BS35" s="188">
        <f t="shared" si="48"/>
        <v>14932.087334613281</v>
      </c>
      <c r="BT35" s="188">
        <f t="shared" si="49"/>
        <v>773.63053203883271</v>
      </c>
      <c r="BU35" s="188">
        <f t="shared" si="50"/>
        <v>0</v>
      </c>
      <c r="BV35" s="188">
        <f t="shared" si="51"/>
        <v>0</v>
      </c>
      <c r="BW35" s="188">
        <f t="shared" si="52"/>
        <v>0</v>
      </c>
      <c r="BX35" s="188">
        <f t="shared" si="53"/>
        <v>14653.086861822567</v>
      </c>
      <c r="BY35" s="188">
        <f t="shared" si="54"/>
        <v>14653.086861822567</v>
      </c>
      <c r="BZ35" s="188">
        <f t="shared" si="55"/>
        <v>14653.086861822567</v>
      </c>
      <c r="CA35" s="188">
        <f t="shared" si="56"/>
        <v>0</v>
      </c>
      <c r="CB35" s="149">
        <f t="shared" si="57"/>
        <v>30358.804728474679</v>
      </c>
      <c r="CC35" s="149">
        <f>CB35-BEL!CB35</f>
        <v>734.46091753266955</v>
      </c>
      <c r="CD35" s="189">
        <f>IF(AND(C35=0,C36=0),0,CB35/W35) - BEL!CC35</f>
        <v>630.11163364710956</v>
      </c>
      <c r="CF35" s="195">
        <f t="shared" si="72"/>
        <v>545.984058382017</v>
      </c>
      <c r="CG35" s="127">
        <f t="shared" si="73"/>
        <v>2.3851290739612523</v>
      </c>
      <c r="CH35" s="128">
        <f>'DATA INPUT - DETAIL'!AH26</f>
        <v>0.12929863384500001</v>
      </c>
      <c r="CI35" s="125">
        <f t="shared" si="74"/>
        <v>-70.903386780750708</v>
      </c>
      <c r="CJ35" s="199">
        <f t="shared" si="75"/>
        <v>477.46580067522757</v>
      </c>
      <c r="CL35" s="189">
        <f t="shared" si="76"/>
        <v>20528.833769631256</v>
      </c>
      <c r="CM35" s="149">
        <f t="shared" si="58"/>
        <v>89.680124404302191</v>
      </c>
      <c r="CN35" s="128">
        <f>'DATA INPUT - DETAIL'!AH26</f>
        <v>0.12929863384500001</v>
      </c>
      <c r="CO35" s="149">
        <f t="shared" si="59"/>
        <v>-2665.9456784129488</v>
      </c>
      <c r="CP35" s="149">
        <f t="shared" si="60"/>
        <v>17952.56821562261</v>
      </c>
      <c r="CR35" s="126">
        <f t="shared" si="77"/>
        <v>23</v>
      </c>
      <c r="CS35" s="189">
        <f t="shared" si="78"/>
        <v>0</v>
      </c>
      <c r="CT35" s="200">
        <f>CS35/(BEL!CE35+BEL!CA35-BEL!BU35+'RA CSM'!CF35)</f>
        <v>0</v>
      </c>
      <c r="CU35" s="149">
        <f>$CT35*BEL!CH35</f>
        <v>0</v>
      </c>
      <c r="CV35" s="149">
        <f>$CT35*BEL!CI35</f>
        <v>0</v>
      </c>
      <c r="CW35" s="149">
        <f>$CT35*BEL!CJ35</f>
        <v>0</v>
      </c>
      <c r="CX35" s="149">
        <f>$CT35*BEL!CK35</f>
        <v>0</v>
      </c>
      <c r="CY35" s="149">
        <f t="shared" si="61"/>
        <v>0</v>
      </c>
      <c r="CZ35" s="149">
        <f>$CT35*(BEL!CL35+'RA CSM'!CG35)</f>
        <v>0</v>
      </c>
      <c r="DA35" s="149">
        <f t="shared" si="62"/>
        <v>0</v>
      </c>
    </row>
    <row r="36" spans="2:105" x14ac:dyDescent="0.2">
      <c r="B36" s="130">
        <f>BEL!B36</f>
        <v>2</v>
      </c>
      <c r="C36" s="130">
        <f>BEL!C36</f>
        <v>24</v>
      </c>
      <c r="D36" s="190">
        <f>BEL!D36</f>
        <v>0</v>
      </c>
      <c r="E36" s="190">
        <f>BEL!E36</f>
        <v>0</v>
      </c>
      <c r="F36" s="190">
        <f>BEL!F36</f>
        <v>0</v>
      </c>
      <c r="G36" s="190">
        <f>BEL!G36*(1+$V$5)</f>
        <v>0</v>
      </c>
      <c r="H36" s="190">
        <f>BEL!H36*(1+$V$5)</f>
        <v>1050</v>
      </c>
      <c r="I36" s="179">
        <f t="shared" si="2"/>
        <v>1105.3098000000034</v>
      </c>
      <c r="J36" s="130">
        <f>BEL!J36</f>
        <v>0</v>
      </c>
      <c r="K36" s="130">
        <f>BEL!K36</f>
        <v>0</v>
      </c>
      <c r="L36" s="130">
        <f>BEL!L36</f>
        <v>35</v>
      </c>
      <c r="M36" s="185">
        <f t="shared" si="3"/>
        <v>8.921042540299684E-5</v>
      </c>
      <c r="N36" s="185">
        <f t="shared" si="4"/>
        <v>0</v>
      </c>
      <c r="O36" s="185">
        <f t="shared" si="5"/>
        <v>0</v>
      </c>
      <c r="P36" s="185">
        <f t="shared" si="6"/>
        <v>0</v>
      </c>
      <c r="Q36" s="185">
        <f t="shared" si="7"/>
        <v>0</v>
      </c>
      <c r="R36" s="185">
        <f t="shared" si="8"/>
        <v>0</v>
      </c>
      <c r="S36" s="185">
        <f t="shared" si="9"/>
        <v>0</v>
      </c>
      <c r="T36" s="185">
        <f t="shared" si="10"/>
        <v>0</v>
      </c>
      <c r="U36" s="196">
        <f>(C36&gt;0)*(C36&lt;$E$5)*VLOOKUP(MPP,ASUMSI!$BN$77:$CR$108,B36+1)*(1+$V$4)</f>
        <v>1.4298211698286379E-3</v>
      </c>
      <c r="V36" s="185">
        <f t="shared" si="11"/>
        <v>0</v>
      </c>
      <c r="W36" s="185">
        <f t="shared" si="63"/>
        <v>0.97400812309385398</v>
      </c>
      <c r="X36" s="185">
        <f t="shared" si="32"/>
        <v>8.6891679007177231E-5</v>
      </c>
      <c r="Y36" s="185">
        <f t="shared" si="33"/>
        <v>1.3926574339846501E-3</v>
      </c>
      <c r="Z36" s="185">
        <f t="shared" si="34"/>
        <v>0</v>
      </c>
      <c r="AA36" s="197">
        <f t="shared" si="35"/>
        <v>0.97252857398086212</v>
      </c>
      <c r="AB36" s="185">
        <f t="shared" si="36"/>
        <v>0</v>
      </c>
      <c r="AC36" s="185">
        <f t="shared" si="36"/>
        <v>0</v>
      </c>
      <c r="AD36" s="185">
        <f t="shared" si="36"/>
        <v>0</v>
      </c>
      <c r="AE36" s="185">
        <f t="shared" si="37"/>
        <v>0</v>
      </c>
      <c r="AF36" s="185">
        <f t="shared" si="38"/>
        <v>0</v>
      </c>
      <c r="AG36" s="185">
        <f t="shared" si="39"/>
        <v>0</v>
      </c>
      <c r="AH36" s="185">
        <f t="shared" si="40"/>
        <v>0</v>
      </c>
      <c r="AI36" s="125">
        <f>BEL!AI36</f>
        <v>21558131.887800001</v>
      </c>
      <c r="AJ36" s="125">
        <f>BEL!AJ36</f>
        <v>0</v>
      </c>
      <c r="AK36" s="125">
        <f>BEL!AK36</f>
        <v>0</v>
      </c>
      <c r="AL36" s="125">
        <f>BEL!AL36</f>
        <v>0</v>
      </c>
      <c r="AM36" s="125">
        <f>BEL!AM36</f>
        <v>0</v>
      </c>
      <c r="AN36" s="125">
        <f>BEL!AN36</f>
        <v>0</v>
      </c>
      <c r="AO36" s="198">
        <f t="shared" si="13"/>
        <v>0</v>
      </c>
      <c r="AP36" s="125">
        <f>BEL!AP36</f>
        <v>0</v>
      </c>
      <c r="AQ36" s="125">
        <f>BEL!AQ36</f>
        <v>0</v>
      </c>
      <c r="AR36" s="125">
        <f>BEL!AR36</f>
        <v>0</v>
      </c>
      <c r="AS36" s="125">
        <f>BEL!AS36</f>
        <v>0</v>
      </c>
      <c r="AT36" s="125">
        <f>BEL!AT36</f>
        <v>0</v>
      </c>
      <c r="AU36" s="127">
        <f>BEL!AU36</f>
        <v>55200</v>
      </c>
      <c r="AV36" s="127">
        <f>BEL!AV36</f>
        <v>0</v>
      </c>
      <c r="AW36" s="127">
        <f>BEL!AW36</f>
        <v>0</v>
      </c>
      <c r="AX36" s="127">
        <f t="shared" si="14"/>
        <v>1873.2222759891094</v>
      </c>
      <c r="AY36" s="127">
        <f t="shared" si="41"/>
        <v>0</v>
      </c>
      <c r="AZ36" s="127">
        <f t="shared" si="15"/>
        <v>0</v>
      </c>
      <c r="BA36" s="127">
        <f t="shared" si="16"/>
        <v>0</v>
      </c>
      <c r="BB36" s="127">
        <f t="shared" si="17"/>
        <v>0</v>
      </c>
      <c r="BC36" s="127">
        <f t="shared" si="18"/>
        <v>0</v>
      </c>
      <c r="BD36" s="127">
        <f t="shared" si="19"/>
        <v>0</v>
      </c>
      <c r="BE36" s="127">
        <f t="shared" si="20"/>
        <v>0</v>
      </c>
      <c r="BF36" s="127">
        <f t="shared" si="21"/>
        <v>0</v>
      </c>
      <c r="BG36" s="127">
        <f t="shared" si="22"/>
        <v>76.874690355952694</v>
      </c>
      <c r="BH36" s="127">
        <f t="shared" si="23"/>
        <v>0</v>
      </c>
      <c r="BI36" s="127">
        <f t="shared" si="42"/>
        <v>0</v>
      </c>
      <c r="BJ36" s="189">
        <f t="shared" si="64"/>
        <v>1873.2222759891094</v>
      </c>
      <c r="BK36" s="189">
        <f t="shared" si="65"/>
        <v>76.874690355952694</v>
      </c>
      <c r="BL36" s="192">
        <f t="shared" si="66"/>
        <v>0</v>
      </c>
      <c r="BM36" s="192">
        <f t="shared" si="67"/>
        <v>0</v>
      </c>
      <c r="BN36" s="192">
        <f t="shared" si="68"/>
        <v>0</v>
      </c>
      <c r="BO36" s="192">
        <f t="shared" si="69"/>
        <v>1076.5807237352465</v>
      </c>
      <c r="BP36" s="192">
        <f t="shared" si="70"/>
        <v>1076.5807237352465</v>
      </c>
      <c r="BQ36" s="193">
        <f t="shared" si="46"/>
        <v>1076.5807237352465</v>
      </c>
      <c r="BR36" s="193">
        <f t="shared" si="71"/>
        <v>0</v>
      </c>
      <c r="BS36" s="188">
        <f t="shared" si="48"/>
        <v>12992.946259890448</v>
      </c>
      <c r="BT36" s="188">
        <f t="shared" si="49"/>
        <v>693.60252042795901</v>
      </c>
      <c r="BU36" s="188">
        <f t="shared" si="50"/>
        <v>0</v>
      </c>
      <c r="BV36" s="188">
        <f t="shared" si="51"/>
        <v>0</v>
      </c>
      <c r="BW36" s="188">
        <f t="shared" si="52"/>
        <v>0</v>
      </c>
      <c r="BX36" s="188">
        <f t="shared" si="53"/>
        <v>13636.483931535917</v>
      </c>
      <c r="BY36" s="188">
        <f t="shared" si="54"/>
        <v>13636.483931535917</v>
      </c>
      <c r="BZ36" s="188">
        <f t="shared" si="55"/>
        <v>13636.483931535917</v>
      </c>
      <c r="CA36" s="188">
        <f t="shared" si="56"/>
        <v>0</v>
      </c>
      <c r="CB36" s="149">
        <f t="shared" si="57"/>
        <v>27323.032711854325</v>
      </c>
      <c r="CC36" s="149">
        <f>CB36-BEL!CB36</f>
        <v>688.31792424649757</v>
      </c>
      <c r="CD36" s="189">
        <f>IF(AND(C36=0,C37=0),0,CB36/W36) - BEL!CC36</f>
        <v>589.16777943929628</v>
      </c>
      <c r="CF36" s="195">
        <f t="shared" si="72"/>
        <v>477.46580067522757</v>
      </c>
      <c r="CG36" s="127">
        <f t="shared" si="73"/>
        <v>2.0858073519352822</v>
      </c>
      <c r="CH36" s="128">
        <f>'DATA INPUT - DETAIL'!AH27</f>
        <v>0.138858743108</v>
      </c>
      <c r="CI36" s="125">
        <f t="shared" si="74"/>
        <v>-66.589933546072118</v>
      </c>
      <c r="CJ36" s="199">
        <f t="shared" si="75"/>
        <v>412.96167448109071</v>
      </c>
      <c r="CL36" s="189">
        <f t="shared" si="76"/>
        <v>17952.56821562261</v>
      </c>
      <c r="CM36" s="149">
        <f t="shared" si="58"/>
        <v>78.425719113934662</v>
      </c>
      <c r="CN36" s="128">
        <f>'DATA INPUT - DETAIL'!AH27</f>
        <v>0.138858743108</v>
      </c>
      <c r="CO36" s="149">
        <f t="shared" si="59"/>
        <v>-2503.7611547654878</v>
      </c>
      <c r="CP36" s="149">
        <f t="shared" si="60"/>
        <v>15527.232779971055</v>
      </c>
      <c r="CR36" s="126">
        <f t="shared" si="77"/>
        <v>24</v>
      </c>
      <c r="CS36" s="189">
        <f t="shared" si="78"/>
        <v>0</v>
      </c>
      <c r="CT36" s="200">
        <f>CS36/(BEL!CE36+BEL!CA36-BEL!BU36+'RA CSM'!CF36)</f>
        <v>0</v>
      </c>
      <c r="CU36" s="149">
        <f>$CT36*BEL!CH36</f>
        <v>0</v>
      </c>
      <c r="CV36" s="149">
        <f>$CT36*BEL!CI36</f>
        <v>0</v>
      </c>
      <c r="CW36" s="149">
        <f>$CT36*BEL!CJ36</f>
        <v>0</v>
      </c>
      <c r="CX36" s="149">
        <f>$CT36*BEL!CK36</f>
        <v>0</v>
      </c>
      <c r="CY36" s="149">
        <f t="shared" si="61"/>
        <v>0</v>
      </c>
      <c r="CZ36" s="149">
        <f>$CT36*(BEL!CL36+'RA CSM'!CG36)</f>
        <v>0</v>
      </c>
      <c r="DA36" s="149">
        <f t="shared" si="62"/>
        <v>0</v>
      </c>
    </row>
    <row r="37" spans="2:105" x14ac:dyDescent="0.2">
      <c r="B37" s="130">
        <f>BEL!B37</f>
        <v>3</v>
      </c>
      <c r="C37" s="130">
        <f>BEL!C37</f>
        <v>25</v>
      </c>
      <c r="D37" s="190">
        <f>BEL!D37</f>
        <v>0</v>
      </c>
      <c r="E37" s="190">
        <f>BEL!E37</f>
        <v>0</v>
      </c>
      <c r="F37" s="190">
        <f>BEL!F37</f>
        <v>0</v>
      </c>
      <c r="G37" s="190">
        <f>BEL!G37*(1+$V$5)</f>
        <v>0</v>
      </c>
      <c r="H37" s="190">
        <f>BEL!H37*(1+$V$5)</f>
        <v>1050</v>
      </c>
      <c r="I37" s="179">
        <f t="shared" si="2"/>
        <v>1107.6765646628883</v>
      </c>
      <c r="J37" s="130">
        <f>BEL!J37</f>
        <v>0</v>
      </c>
      <c r="K37" s="130">
        <f>BEL!K37</f>
        <v>0</v>
      </c>
      <c r="L37" s="130">
        <f>BEL!L37</f>
        <v>35</v>
      </c>
      <c r="M37" s="185">
        <f t="shared" si="3"/>
        <v>8.921042540299684E-5</v>
      </c>
      <c r="N37" s="185">
        <f t="shared" si="4"/>
        <v>0</v>
      </c>
      <c r="O37" s="185">
        <f t="shared" si="5"/>
        <v>0</v>
      </c>
      <c r="P37" s="185">
        <f t="shared" si="6"/>
        <v>0</v>
      </c>
      <c r="Q37" s="185">
        <f t="shared" si="7"/>
        <v>0</v>
      </c>
      <c r="R37" s="185">
        <f t="shared" si="8"/>
        <v>0</v>
      </c>
      <c r="S37" s="185">
        <f t="shared" si="9"/>
        <v>0</v>
      </c>
      <c r="T37" s="185">
        <f t="shared" si="10"/>
        <v>0</v>
      </c>
      <c r="U37" s="196">
        <f>(C37&gt;0)*(C37&lt;$E$5)*VLOOKUP(MPP,ASUMSI!$BN$77:$CR$108,B37+1)*(1+$V$4)</f>
        <v>2.1547913217611846E-3</v>
      </c>
      <c r="V37" s="185">
        <f t="shared" si="11"/>
        <v>0</v>
      </c>
      <c r="W37" s="185">
        <f t="shared" si="63"/>
        <v>0.97252857398086212</v>
      </c>
      <c r="X37" s="185">
        <f t="shared" si="32"/>
        <v>8.6759687801402598E-5</v>
      </c>
      <c r="Y37" s="185">
        <f t="shared" si="33"/>
        <v>2.095596131378742E-3</v>
      </c>
      <c r="Z37" s="185">
        <f t="shared" si="34"/>
        <v>0</v>
      </c>
      <c r="AA37" s="197">
        <f t="shared" si="35"/>
        <v>0.97034621816168198</v>
      </c>
      <c r="AB37" s="185">
        <f t="shared" si="36"/>
        <v>0</v>
      </c>
      <c r="AC37" s="185">
        <f t="shared" si="36"/>
        <v>0</v>
      </c>
      <c r="AD37" s="185">
        <f t="shared" si="36"/>
        <v>0</v>
      </c>
      <c r="AE37" s="185">
        <f t="shared" si="37"/>
        <v>0</v>
      </c>
      <c r="AF37" s="185">
        <f t="shared" si="38"/>
        <v>0</v>
      </c>
      <c r="AG37" s="185">
        <f t="shared" si="39"/>
        <v>0</v>
      </c>
      <c r="AH37" s="185">
        <f t="shared" si="40"/>
        <v>0</v>
      </c>
      <c r="AI37" s="125">
        <f>BEL!AI37</f>
        <v>20059254.9179</v>
      </c>
      <c r="AJ37" s="125">
        <f>BEL!AJ37</f>
        <v>0</v>
      </c>
      <c r="AK37" s="125">
        <f>BEL!AK37</f>
        <v>0</v>
      </c>
      <c r="AL37" s="125">
        <f>BEL!AL37</f>
        <v>0</v>
      </c>
      <c r="AM37" s="125">
        <f>BEL!AM37</f>
        <v>0</v>
      </c>
      <c r="AN37" s="125">
        <f>BEL!AN37</f>
        <v>0</v>
      </c>
      <c r="AO37" s="198">
        <f t="shared" si="13"/>
        <v>0</v>
      </c>
      <c r="AP37" s="125">
        <f>BEL!AP37</f>
        <v>0</v>
      </c>
      <c r="AQ37" s="125">
        <f>BEL!AQ37</f>
        <v>0</v>
      </c>
      <c r="AR37" s="125">
        <f>BEL!AR37</f>
        <v>0</v>
      </c>
      <c r="AS37" s="125">
        <f>BEL!AS37</f>
        <v>0</v>
      </c>
      <c r="AT37" s="125">
        <f>BEL!AT37</f>
        <v>0</v>
      </c>
      <c r="AU37" s="127">
        <f>BEL!AU37</f>
        <v>50600</v>
      </c>
      <c r="AV37" s="127">
        <f>BEL!AV37</f>
        <v>0</v>
      </c>
      <c r="AW37" s="127">
        <f>BEL!AW37</f>
        <v>0</v>
      </c>
      <c r="AX37" s="127">
        <f t="shared" si="14"/>
        <v>1740.3346942057537</v>
      </c>
      <c r="AY37" s="127">
        <f t="shared" si="41"/>
        <v>0</v>
      </c>
      <c r="AZ37" s="127">
        <f t="shared" si="15"/>
        <v>0</v>
      </c>
      <c r="BA37" s="127">
        <f t="shared" si="16"/>
        <v>0</v>
      </c>
      <c r="BB37" s="127">
        <f t="shared" si="17"/>
        <v>0</v>
      </c>
      <c r="BC37" s="127">
        <f t="shared" si="18"/>
        <v>0</v>
      </c>
      <c r="BD37" s="127">
        <f t="shared" si="19"/>
        <v>0</v>
      </c>
      <c r="BE37" s="127">
        <f t="shared" si="20"/>
        <v>0</v>
      </c>
      <c r="BF37" s="127">
        <f t="shared" si="21"/>
        <v>0</v>
      </c>
      <c r="BG37" s="127">
        <f t="shared" si="22"/>
        <v>106.03716424776435</v>
      </c>
      <c r="BH37" s="127">
        <f t="shared" si="23"/>
        <v>0</v>
      </c>
      <c r="BI37" s="127">
        <f t="shared" si="42"/>
        <v>0</v>
      </c>
      <c r="BJ37" s="189">
        <f t="shared" si="64"/>
        <v>1740.3346942057537</v>
      </c>
      <c r="BK37" s="189">
        <f t="shared" si="65"/>
        <v>106.03716424776435</v>
      </c>
      <c r="BL37" s="192">
        <f t="shared" si="66"/>
        <v>0</v>
      </c>
      <c r="BM37" s="192">
        <f t="shared" si="67"/>
        <v>0</v>
      </c>
      <c r="BN37" s="192">
        <f t="shared" si="68"/>
        <v>0</v>
      </c>
      <c r="BO37" s="192">
        <f t="shared" si="69"/>
        <v>1077.247109863619</v>
      </c>
      <c r="BP37" s="192">
        <f t="shared" si="70"/>
        <v>1077.247109863619</v>
      </c>
      <c r="BQ37" s="193">
        <f t="shared" si="46"/>
        <v>1077.247109863619</v>
      </c>
      <c r="BR37" s="193">
        <f t="shared" si="71"/>
        <v>0</v>
      </c>
      <c r="BS37" s="188">
        <f t="shared" si="48"/>
        <v>11176.483615258921</v>
      </c>
      <c r="BT37" s="188">
        <f t="shared" si="49"/>
        <v>619.75782977959489</v>
      </c>
      <c r="BU37" s="188">
        <f t="shared" si="50"/>
        <v>0</v>
      </c>
      <c r="BV37" s="188">
        <f t="shared" si="51"/>
        <v>0</v>
      </c>
      <c r="BW37" s="188">
        <f t="shared" si="52"/>
        <v>0</v>
      </c>
      <c r="BX37" s="188">
        <f t="shared" si="53"/>
        <v>12614.771092397594</v>
      </c>
      <c r="BY37" s="188">
        <f t="shared" si="54"/>
        <v>12614.771092397594</v>
      </c>
      <c r="BZ37" s="188">
        <f t="shared" si="55"/>
        <v>12614.771092397594</v>
      </c>
      <c r="CA37" s="188">
        <f t="shared" si="56"/>
        <v>0</v>
      </c>
      <c r="CB37" s="149">
        <f t="shared" si="57"/>
        <v>24411.012537436109</v>
      </c>
      <c r="CC37" s="149">
        <f>CB37-BEL!CB37</f>
        <v>640.59180784570344</v>
      </c>
      <c r="CD37" s="189">
        <f>IF(AND(C37=0,C38=0),0,CB37/W37) - BEL!CC37</f>
        <v>547.44227152122403</v>
      </c>
      <c r="CF37" s="195">
        <f t="shared" si="72"/>
        <v>412.96167448109071</v>
      </c>
      <c r="CG37" s="127">
        <f t="shared" si="73"/>
        <v>1.8040213466221848</v>
      </c>
      <c r="CH37" s="128">
        <f>'DATA INPUT - DETAIL'!AH28</f>
        <v>0.149892158991</v>
      </c>
      <c r="CI37" s="125">
        <f t="shared" si="74"/>
        <v>-62.170125623020283</v>
      </c>
      <c r="CJ37" s="199">
        <f t="shared" si="75"/>
        <v>352.59557020469259</v>
      </c>
      <c r="CL37" s="189">
        <f t="shared" si="76"/>
        <v>15527.232779971055</v>
      </c>
      <c r="CM37" s="149">
        <f t="shared" si="58"/>
        <v>67.830651413929559</v>
      </c>
      <c r="CN37" s="128">
        <f>'DATA INPUT - DETAIL'!AH28</f>
        <v>0.149892158991</v>
      </c>
      <c r="CO37" s="149">
        <f t="shared" si="59"/>
        <v>-2337.5777273318881</v>
      </c>
      <c r="CP37" s="149">
        <f t="shared" si="60"/>
        <v>13257.485704053095</v>
      </c>
      <c r="CR37" s="126">
        <f t="shared" si="77"/>
        <v>25</v>
      </c>
      <c r="CS37" s="189">
        <f t="shared" si="78"/>
        <v>0</v>
      </c>
      <c r="CT37" s="200">
        <f>CS37/(BEL!CE37+BEL!CA37-BEL!BU37+'RA CSM'!CF37)</f>
        <v>0</v>
      </c>
      <c r="CU37" s="149">
        <f>$CT37*BEL!CH37</f>
        <v>0</v>
      </c>
      <c r="CV37" s="149">
        <f>$CT37*BEL!CI37</f>
        <v>0</v>
      </c>
      <c r="CW37" s="149">
        <f>$CT37*BEL!CJ37</f>
        <v>0</v>
      </c>
      <c r="CX37" s="149">
        <f>$CT37*BEL!CK37</f>
        <v>0</v>
      </c>
      <c r="CY37" s="149">
        <f t="shared" si="61"/>
        <v>0</v>
      </c>
      <c r="CZ37" s="149">
        <f>$CT37*(BEL!CL37+'RA CSM'!CG37)</f>
        <v>0</v>
      </c>
      <c r="DA37" s="149">
        <f t="shared" si="62"/>
        <v>0</v>
      </c>
    </row>
    <row r="38" spans="2:105" x14ac:dyDescent="0.2">
      <c r="B38" s="130">
        <f>BEL!B38</f>
        <v>3</v>
      </c>
      <c r="C38" s="130">
        <f>BEL!C38</f>
        <v>26</v>
      </c>
      <c r="D38" s="190">
        <f>BEL!D38</f>
        <v>0</v>
      </c>
      <c r="E38" s="190">
        <f>BEL!E38</f>
        <v>0</v>
      </c>
      <c r="F38" s="190">
        <f>BEL!F38</f>
        <v>0</v>
      </c>
      <c r="G38" s="190">
        <f>BEL!G38*(1+$V$5)</f>
        <v>0</v>
      </c>
      <c r="H38" s="190">
        <f>BEL!H38*(1+$V$5)</f>
        <v>1050</v>
      </c>
      <c r="I38" s="179">
        <f t="shared" si="2"/>
        <v>1110.0483972035479</v>
      </c>
      <c r="J38" s="130">
        <f>BEL!J38</f>
        <v>0</v>
      </c>
      <c r="K38" s="130">
        <f>BEL!K38</f>
        <v>0</v>
      </c>
      <c r="L38" s="130">
        <f>BEL!L38</f>
        <v>35</v>
      </c>
      <c r="M38" s="185">
        <f t="shared" si="3"/>
        <v>8.921042540299684E-5</v>
      </c>
      <c r="N38" s="185">
        <f t="shared" si="4"/>
        <v>0</v>
      </c>
      <c r="O38" s="185">
        <f t="shared" si="5"/>
        <v>0</v>
      </c>
      <c r="P38" s="185">
        <f t="shared" si="6"/>
        <v>0</v>
      </c>
      <c r="Q38" s="185">
        <f t="shared" si="7"/>
        <v>0</v>
      </c>
      <c r="R38" s="185">
        <f t="shared" si="8"/>
        <v>0</v>
      </c>
      <c r="S38" s="185">
        <f t="shared" si="9"/>
        <v>0</v>
      </c>
      <c r="T38" s="185">
        <f t="shared" si="10"/>
        <v>0</v>
      </c>
      <c r="U38" s="196">
        <f>(C38&gt;0)*(C38&lt;$E$5)*VLOOKUP(MPP,ASUMSI!$BN$77:$CR$108,B38+1)*(1+$V$4)</f>
        <v>2.1547913217611846E-3</v>
      </c>
      <c r="V38" s="185">
        <f t="shared" si="11"/>
        <v>0</v>
      </c>
      <c r="W38" s="185">
        <f t="shared" si="63"/>
        <v>0.97034621816168198</v>
      </c>
      <c r="X38" s="185">
        <f t="shared" si="32"/>
        <v>8.6564998910392831E-5</v>
      </c>
      <c r="Y38" s="185">
        <f t="shared" si="33"/>
        <v>2.0908936099985776E-3</v>
      </c>
      <c r="Z38" s="185">
        <f t="shared" si="34"/>
        <v>0</v>
      </c>
      <c r="AA38" s="197">
        <f t="shared" si="35"/>
        <v>0.96816875955277304</v>
      </c>
      <c r="AB38" s="185">
        <f t="shared" si="36"/>
        <v>0</v>
      </c>
      <c r="AC38" s="185">
        <f t="shared" si="36"/>
        <v>0</v>
      </c>
      <c r="AD38" s="185">
        <f t="shared" si="36"/>
        <v>0</v>
      </c>
      <c r="AE38" s="185">
        <f t="shared" si="37"/>
        <v>0</v>
      </c>
      <c r="AF38" s="185">
        <f t="shared" si="38"/>
        <v>0</v>
      </c>
      <c r="AG38" s="185">
        <f t="shared" si="39"/>
        <v>0</v>
      </c>
      <c r="AH38" s="185">
        <f t="shared" si="40"/>
        <v>0</v>
      </c>
      <c r="AI38" s="125">
        <f>BEL!AI38</f>
        <v>18535396.6653</v>
      </c>
      <c r="AJ38" s="125">
        <f>BEL!AJ38</f>
        <v>0</v>
      </c>
      <c r="AK38" s="125">
        <f>BEL!AK38</f>
        <v>0</v>
      </c>
      <c r="AL38" s="125">
        <f>BEL!AL38</f>
        <v>0</v>
      </c>
      <c r="AM38" s="125">
        <f>BEL!AM38</f>
        <v>0</v>
      </c>
      <c r="AN38" s="125">
        <f>BEL!AN38</f>
        <v>0</v>
      </c>
      <c r="AO38" s="198">
        <f t="shared" si="13"/>
        <v>0</v>
      </c>
      <c r="AP38" s="125">
        <f>BEL!AP38</f>
        <v>0</v>
      </c>
      <c r="AQ38" s="125">
        <f>BEL!AQ38</f>
        <v>0</v>
      </c>
      <c r="AR38" s="125">
        <f>BEL!AR38</f>
        <v>0</v>
      </c>
      <c r="AS38" s="125">
        <f>BEL!AS38</f>
        <v>0</v>
      </c>
      <c r="AT38" s="125">
        <f>BEL!AT38</f>
        <v>0</v>
      </c>
      <c r="AU38" s="127">
        <f>BEL!AU38</f>
        <v>46000</v>
      </c>
      <c r="AV38" s="127">
        <f>BEL!AV38</f>
        <v>0</v>
      </c>
      <c r="AW38" s="127">
        <f>BEL!AW38</f>
        <v>0</v>
      </c>
      <c r="AX38" s="127">
        <f t="shared" si="14"/>
        <v>1604.5165921353935</v>
      </c>
      <c r="AY38" s="127">
        <f t="shared" si="41"/>
        <v>0</v>
      </c>
      <c r="AZ38" s="127">
        <f t="shared" si="15"/>
        <v>0</v>
      </c>
      <c r="BA38" s="127">
        <f t="shared" si="16"/>
        <v>0</v>
      </c>
      <c r="BB38" s="127">
        <f t="shared" si="17"/>
        <v>0</v>
      </c>
      <c r="BC38" s="127">
        <f t="shared" si="18"/>
        <v>0</v>
      </c>
      <c r="BD38" s="127">
        <f t="shared" si="19"/>
        <v>0</v>
      </c>
      <c r="BE38" s="127">
        <f t="shared" si="20"/>
        <v>0</v>
      </c>
      <c r="BF38" s="127">
        <f t="shared" si="21"/>
        <v>0</v>
      </c>
      <c r="BG38" s="127">
        <f t="shared" si="22"/>
        <v>96.181106059934564</v>
      </c>
      <c r="BH38" s="127">
        <f t="shared" si="23"/>
        <v>0</v>
      </c>
      <c r="BI38" s="127">
        <f t="shared" si="42"/>
        <v>0</v>
      </c>
      <c r="BJ38" s="189">
        <f t="shared" si="64"/>
        <v>1604.5165921353935</v>
      </c>
      <c r="BK38" s="189">
        <f t="shared" si="65"/>
        <v>96.181106059934564</v>
      </c>
      <c r="BL38" s="192">
        <f t="shared" si="66"/>
        <v>0</v>
      </c>
      <c r="BM38" s="192">
        <f t="shared" si="67"/>
        <v>0</v>
      </c>
      <c r="BN38" s="192">
        <f t="shared" si="68"/>
        <v>0</v>
      </c>
      <c r="BO38" s="192">
        <f t="shared" si="69"/>
        <v>1077.1312642028993</v>
      </c>
      <c r="BP38" s="192">
        <f t="shared" si="70"/>
        <v>1077.1312642028993</v>
      </c>
      <c r="BQ38" s="193">
        <f t="shared" si="46"/>
        <v>1077.1312642028993</v>
      </c>
      <c r="BR38" s="193">
        <f t="shared" si="71"/>
        <v>0</v>
      </c>
      <c r="BS38" s="188">
        <f t="shared" si="48"/>
        <v>9484.973342950032</v>
      </c>
      <c r="BT38" s="188">
        <f t="shared" si="49"/>
        <v>516.42807501738025</v>
      </c>
      <c r="BU38" s="188">
        <f t="shared" si="50"/>
        <v>0</v>
      </c>
      <c r="BV38" s="188">
        <f t="shared" si="51"/>
        <v>0</v>
      </c>
      <c r="BW38" s="188">
        <f t="shared" si="52"/>
        <v>0</v>
      </c>
      <c r="BX38" s="188">
        <f t="shared" si="53"/>
        <v>11587.925607764235</v>
      </c>
      <c r="BY38" s="188">
        <f t="shared" si="54"/>
        <v>11587.925607764235</v>
      </c>
      <c r="BZ38" s="188">
        <f t="shared" si="55"/>
        <v>11587.925607764235</v>
      </c>
      <c r="CA38" s="188">
        <f t="shared" si="56"/>
        <v>0</v>
      </c>
      <c r="CB38" s="149">
        <f t="shared" si="57"/>
        <v>21589.327025731647</v>
      </c>
      <c r="CC38" s="149">
        <f>CB38-BEL!CB38</f>
        <v>597.4621724830431</v>
      </c>
      <c r="CD38" s="189">
        <f>IF(AND(C38=0,C39=0),0,CB38/W38) - BEL!CC38</f>
        <v>508.97315989575509</v>
      </c>
      <c r="CF38" s="195">
        <f t="shared" si="72"/>
        <v>352.59557020469259</v>
      </c>
      <c r="CG38" s="127">
        <f t="shared" si="73"/>
        <v>1.5403122727380671</v>
      </c>
      <c r="CH38" s="128">
        <f>'DATA INPUT - DETAIL'!AH29</f>
        <v>0.162765700662</v>
      </c>
      <c r="CI38" s="125">
        <f t="shared" si="74"/>
        <v>-57.641175040994682</v>
      </c>
      <c r="CJ38" s="199">
        <f t="shared" si="75"/>
        <v>296.49470743643599</v>
      </c>
      <c r="CL38" s="189">
        <f t="shared" si="76"/>
        <v>13257.485704053095</v>
      </c>
      <c r="CM38" s="149">
        <f t="shared" si="58"/>
        <v>57.915270812244266</v>
      </c>
      <c r="CN38" s="128">
        <f>'DATA INPUT - DETAIL'!AH29</f>
        <v>0.162765700662</v>
      </c>
      <c r="CO38" s="149">
        <f t="shared" si="59"/>
        <v>-2167.2905692694349</v>
      </c>
      <c r="CP38" s="149">
        <f t="shared" si="60"/>
        <v>11148.110405595904</v>
      </c>
      <c r="CR38" s="126">
        <f t="shared" si="77"/>
        <v>26</v>
      </c>
      <c r="CS38" s="189">
        <f t="shared" si="78"/>
        <v>0</v>
      </c>
      <c r="CT38" s="200">
        <f>CS38/(BEL!CE38+BEL!CA38-BEL!BU38+'RA CSM'!CF38)</f>
        <v>0</v>
      </c>
      <c r="CU38" s="149">
        <f>$CT38*BEL!CH38</f>
        <v>0</v>
      </c>
      <c r="CV38" s="149">
        <f>$CT38*BEL!CI38</f>
        <v>0</v>
      </c>
      <c r="CW38" s="149">
        <f>$CT38*BEL!CJ38</f>
        <v>0</v>
      </c>
      <c r="CX38" s="149">
        <f>$CT38*BEL!CK38</f>
        <v>0</v>
      </c>
      <c r="CY38" s="149">
        <f t="shared" si="61"/>
        <v>0</v>
      </c>
      <c r="CZ38" s="149">
        <f>$CT38*(BEL!CL38+'RA CSM'!CG38)</f>
        <v>0</v>
      </c>
      <c r="DA38" s="149">
        <f t="shared" si="62"/>
        <v>0</v>
      </c>
    </row>
    <row r="39" spans="2:105" x14ac:dyDescent="0.2">
      <c r="B39" s="130">
        <f>BEL!B39</f>
        <v>3</v>
      </c>
      <c r="C39" s="130">
        <f>BEL!C39</f>
        <v>27</v>
      </c>
      <c r="D39" s="190">
        <f>BEL!D39</f>
        <v>0</v>
      </c>
      <c r="E39" s="190">
        <f>BEL!E39</f>
        <v>0</v>
      </c>
      <c r="F39" s="190">
        <f>BEL!F39</f>
        <v>0</v>
      </c>
      <c r="G39" s="190">
        <f>BEL!G39*(1+$V$5)</f>
        <v>0</v>
      </c>
      <c r="H39" s="190">
        <f>BEL!H39*(1+$V$5)</f>
        <v>1050</v>
      </c>
      <c r="I39" s="179">
        <f t="shared" si="2"/>
        <v>1112.4253084736674</v>
      </c>
      <c r="J39" s="130">
        <f>BEL!J39</f>
        <v>0</v>
      </c>
      <c r="K39" s="130">
        <f>BEL!K39</f>
        <v>0</v>
      </c>
      <c r="L39" s="130">
        <f>BEL!L39</f>
        <v>35</v>
      </c>
      <c r="M39" s="185">
        <f t="shared" si="3"/>
        <v>8.921042540299684E-5</v>
      </c>
      <c r="N39" s="185">
        <f t="shared" si="4"/>
        <v>0</v>
      </c>
      <c r="O39" s="185">
        <f t="shared" si="5"/>
        <v>0</v>
      </c>
      <c r="P39" s="185">
        <f t="shared" si="6"/>
        <v>0</v>
      </c>
      <c r="Q39" s="185">
        <f t="shared" si="7"/>
        <v>0</v>
      </c>
      <c r="R39" s="185">
        <f t="shared" si="8"/>
        <v>0</v>
      </c>
      <c r="S39" s="185">
        <f t="shared" si="9"/>
        <v>0</v>
      </c>
      <c r="T39" s="185">
        <f t="shared" si="10"/>
        <v>0</v>
      </c>
      <c r="U39" s="196">
        <f>(C39&gt;0)*(C39&lt;$E$5)*VLOOKUP(MPP,ASUMSI!$BN$77:$CR$108,B39+1)*(1+$V$4)</f>
        <v>2.1547913217611846E-3</v>
      </c>
      <c r="V39" s="185">
        <f t="shared" si="11"/>
        <v>0</v>
      </c>
      <c r="W39" s="185">
        <f t="shared" si="63"/>
        <v>0.96816875955277304</v>
      </c>
      <c r="X39" s="185">
        <f t="shared" si="32"/>
        <v>8.6370746901594638E-5</v>
      </c>
      <c r="Y39" s="185">
        <f t="shared" si="33"/>
        <v>2.0862016410846062E-3</v>
      </c>
      <c r="Z39" s="185">
        <f t="shared" si="34"/>
        <v>0</v>
      </c>
      <c r="AA39" s="197">
        <f t="shared" si="35"/>
        <v>0.96599618716478686</v>
      </c>
      <c r="AB39" s="185">
        <f t="shared" si="36"/>
        <v>0</v>
      </c>
      <c r="AC39" s="185">
        <f t="shared" si="36"/>
        <v>0</v>
      </c>
      <c r="AD39" s="185">
        <f t="shared" si="36"/>
        <v>0</v>
      </c>
      <c r="AE39" s="185">
        <f t="shared" si="37"/>
        <v>0</v>
      </c>
      <c r="AF39" s="185">
        <f t="shared" si="38"/>
        <v>0</v>
      </c>
      <c r="AG39" s="185">
        <f t="shared" si="39"/>
        <v>0</v>
      </c>
      <c r="AH39" s="185">
        <f t="shared" si="40"/>
        <v>0</v>
      </c>
      <c r="AI39" s="125">
        <f>BEL!AI39</f>
        <v>16986140.774999999</v>
      </c>
      <c r="AJ39" s="125">
        <f>BEL!AJ39</f>
        <v>0</v>
      </c>
      <c r="AK39" s="125">
        <f>BEL!AK39</f>
        <v>0</v>
      </c>
      <c r="AL39" s="125">
        <f>BEL!AL39</f>
        <v>0</v>
      </c>
      <c r="AM39" s="125">
        <f>BEL!AM39</f>
        <v>0</v>
      </c>
      <c r="AN39" s="125">
        <f>BEL!AN39</f>
        <v>0</v>
      </c>
      <c r="AO39" s="198">
        <f t="shared" si="13"/>
        <v>0</v>
      </c>
      <c r="AP39" s="125">
        <f>BEL!AP39</f>
        <v>0</v>
      </c>
      <c r="AQ39" s="125">
        <f>BEL!AQ39</f>
        <v>0</v>
      </c>
      <c r="AR39" s="125">
        <f>BEL!AR39</f>
        <v>0</v>
      </c>
      <c r="AS39" s="125">
        <f>BEL!AS39</f>
        <v>0</v>
      </c>
      <c r="AT39" s="125">
        <f>BEL!AT39</f>
        <v>0</v>
      </c>
      <c r="AU39" s="127">
        <f>BEL!AU39</f>
        <v>41400</v>
      </c>
      <c r="AV39" s="127">
        <f>BEL!AV39</f>
        <v>0</v>
      </c>
      <c r="AW39" s="127">
        <f>BEL!AW39</f>
        <v>0</v>
      </c>
      <c r="AX39" s="127">
        <f t="shared" si="14"/>
        <v>1467.1056657123816</v>
      </c>
      <c r="AY39" s="127">
        <f t="shared" si="41"/>
        <v>0</v>
      </c>
      <c r="AZ39" s="127">
        <f t="shared" si="15"/>
        <v>0</v>
      </c>
      <c r="BA39" s="127">
        <f t="shared" si="16"/>
        <v>0</v>
      </c>
      <c r="BB39" s="127">
        <f t="shared" si="17"/>
        <v>0</v>
      </c>
      <c r="BC39" s="127">
        <f t="shared" si="18"/>
        <v>0</v>
      </c>
      <c r="BD39" s="127">
        <f t="shared" si="19"/>
        <v>0</v>
      </c>
      <c r="BE39" s="127">
        <f t="shared" si="20"/>
        <v>0</v>
      </c>
      <c r="BF39" s="127">
        <f t="shared" si="21"/>
        <v>0</v>
      </c>
      <c r="BG39" s="127">
        <f t="shared" si="22"/>
        <v>86.368747940902693</v>
      </c>
      <c r="BH39" s="127">
        <f t="shared" si="23"/>
        <v>0</v>
      </c>
      <c r="BI39" s="127">
        <f t="shared" si="42"/>
        <v>0</v>
      </c>
      <c r="BJ39" s="189">
        <f t="shared" si="64"/>
        <v>1467.1056657123816</v>
      </c>
      <c r="BK39" s="189">
        <f t="shared" si="65"/>
        <v>86.368747940902693</v>
      </c>
      <c r="BL39" s="192">
        <f t="shared" si="66"/>
        <v>0</v>
      </c>
      <c r="BM39" s="192">
        <f t="shared" si="67"/>
        <v>0</v>
      </c>
      <c r="BN39" s="192">
        <f t="shared" si="68"/>
        <v>0</v>
      </c>
      <c r="BO39" s="192">
        <f t="shared" si="69"/>
        <v>1077.0154310000614</v>
      </c>
      <c r="BP39" s="192">
        <f t="shared" si="70"/>
        <v>1077.0154310000614</v>
      </c>
      <c r="BQ39" s="193">
        <f t="shared" si="46"/>
        <v>1077.0154310000614</v>
      </c>
      <c r="BR39" s="193">
        <f t="shared" si="71"/>
        <v>0</v>
      </c>
      <c r="BS39" s="188">
        <f t="shared" si="48"/>
        <v>7921.8918171663163</v>
      </c>
      <c r="BT39" s="188">
        <f t="shared" si="49"/>
        <v>422.50298284177779</v>
      </c>
      <c r="BU39" s="188">
        <f t="shared" si="50"/>
        <v>0</v>
      </c>
      <c r="BV39" s="188">
        <f t="shared" si="51"/>
        <v>0</v>
      </c>
      <c r="BW39" s="188">
        <f t="shared" si="52"/>
        <v>0</v>
      </c>
      <c r="BX39" s="188">
        <f t="shared" si="53"/>
        <v>10556.710704660865</v>
      </c>
      <c r="BY39" s="188">
        <f t="shared" si="54"/>
        <v>10556.710704660865</v>
      </c>
      <c r="BZ39" s="188">
        <f t="shared" si="55"/>
        <v>10556.710704660865</v>
      </c>
      <c r="CA39" s="188">
        <f t="shared" si="56"/>
        <v>0</v>
      </c>
      <c r="CB39" s="149">
        <f t="shared" si="57"/>
        <v>18901.105504668958</v>
      </c>
      <c r="CC39" s="149">
        <f>CB39-BEL!CB39</f>
        <v>552.03621176639717</v>
      </c>
      <c r="CD39" s="189">
        <f>IF(AND(C39=0,C40=0),0,CB39/W39) - BEL!CC39</f>
        <v>469.40633739368059</v>
      </c>
      <c r="CF39" s="195">
        <f t="shared" si="72"/>
        <v>296.49470743643599</v>
      </c>
      <c r="CG39" s="127">
        <f t="shared" si="73"/>
        <v>1.295235888531157</v>
      </c>
      <c r="CH39" s="128">
        <f>'DATA INPUT - DETAIL'!AH30</f>
        <v>0.17798278600799999</v>
      </c>
      <c r="CI39" s="125">
        <f t="shared" si="74"/>
        <v>-53.001483758142079</v>
      </c>
      <c r="CJ39" s="199">
        <f t="shared" si="75"/>
        <v>244.78845956682508</v>
      </c>
      <c r="CL39" s="189">
        <f t="shared" si="76"/>
        <v>11148.110405595904</v>
      </c>
      <c r="CM39" s="149">
        <f t="shared" si="58"/>
        <v>48.70047364920012</v>
      </c>
      <c r="CN39" s="128">
        <f>'DATA INPUT - DETAIL'!AH30</f>
        <v>0.17798278600799999</v>
      </c>
      <c r="CO39" s="149">
        <f t="shared" si="59"/>
        <v>-1992.8395946927276</v>
      </c>
      <c r="CP39" s="149">
        <f t="shared" si="60"/>
        <v>9203.9712845523754</v>
      </c>
      <c r="CR39" s="126">
        <f t="shared" si="77"/>
        <v>27</v>
      </c>
      <c r="CS39" s="189">
        <f t="shared" si="78"/>
        <v>0</v>
      </c>
      <c r="CT39" s="200">
        <f>CS39/(BEL!CE39+BEL!CA39-BEL!BU39+'RA CSM'!CF39)</f>
        <v>0</v>
      </c>
      <c r="CU39" s="149">
        <f>$CT39*BEL!CH39</f>
        <v>0</v>
      </c>
      <c r="CV39" s="149">
        <f>$CT39*BEL!CI39</f>
        <v>0</v>
      </c>
      <c r="CW39" s="149">
        <f>$CT39*BEL!CJ39</f>
        <v>0</v>
      </c>
      <c r="CX39" s="149">
        <f>$CT39*BEL!CK39</f>
        <v>0</v>
      </c>
      <c r="CY39" s="149">
        <f t="shared" si="61"/>
        <v>0</v>
      </c>
      <c r="CZ39" s="149">
        <f>$CT39*(BEL!CL39+'RA CSM'!CG39)</f>
        <v>0</v>
      </c>
      <c r="DA39" s="149">
        <f t="shared" si="62"/>
        <v>0</v>
      </c>
    </row>
    <row r="40" spans="2:105" x14ac:dyDescent="0.2">
      <c r="B40" s="130">
        <f>BEL!B40</f>
        <v>3</v>
      </c>
      <c r="C40" s="130">
        <f>BEL!C40</f>
        <v>28</v>
      </c>
      <c r="D40" s="190">
        <f>BEL!D40</f>
        <v>0</v>
      </c>
      <c r="E40" s="190">
        <f>BEL!E40</f>
        <v>0</v>
      </c>
      <c r="F40" s="190">
        <f>BEL!F40</f>
        <v>0</v>
      </c>
      <c r="G40" s="190">
        <f>BEL!G40*(1+$V$5)</f>
        <v>0</v>
      </c>
      <c r="H40" s="190">
        <f>BEL!H40*(1+$V$5)</f>
        <v>1050</v>
      </c>
      <c r="I40" s="179">
        <f t="shared" si="2"/>
        <v>1114.807309348168</v>
      </c>
      <c r="J40" s="130">
        <f>BEL!J40</f>
        <v>0</v>
      </c>
      <c r="K40" s="130">
        <f>BEL!K40</f>
        <v>0</v>
      </c>
      <c r="L40" s="130">
        <f>BEL!L40</f>
        <v>35</v>
      </c>
      <c r="M40" s="185">
        <f t="shared" si="3"/>
        <v>8.921042540299684E-5</v>
      </c>
      <c r="N40" s="185">
        <f t="shared" si="4"/>
        <v>0</v>
      </c>
      <c r="O40" s="185">
        <f t="shared" si="5"/>
        <v>0</v>
      </c>
      <c r="P40" s="185">
        <f t="shared" si="6"/>
        <v>0</v>
      </c>
      <c r="Q40" s="185">
        <f t="shared" si="7"/>
        <v>0</v>
      </c>
      <c r="R40" s="185">
        <f t="shared" si="8"/>
        <v>0</v>
      </c>
      <c r="S40" s="185">
        <f t="shared" si="9"/>
        <v>0</v>
      </c>
      <c r="T40" s="185">
        <f t="shared" si="10"/>
        <v>0</v>
      </c>
      <c r="U40" s="196">
        <f>(C40&gt;0)*(C40&lt;$E$5)*VLOOKUP(MPP,ASUMSI!$BN$77:$CR$108,B40+1)*(1+$V$4)</f>
        <v>2.1547913217611846E-3</v>
      </c>
      <c r="V40" s="185">
        <f t="shared" si="11"/>
        <v>0</v>
      </c>
      <c r="W40" s="185">
        <f t="shared" si="63"/>
        <v>0.96599618716478686</v>
      </c>
      <c r="X40" s="185">
        <f t="shared" si="32"/>
        <v>8.6176930794643587E-5</v>
      </c>
      <c r="Y40" s="185">
        <f t="shared" si="33"/>
        <v>2.081520200957076E-3</v>
      </c>
      <c r="Z40" s="185">
        <f t="shared" si="34"/>
        <v>0</v>
      </c>
      <c r="AA40" s="197">
        <f t="shared" si="35"/>
        <v>0.96382849003303517</v>
      </c>
      <c r="AB40" s="185">
        <f t="shared" si="36"/>
        <v>0</v>
      </c>
      <c r="AC40" s="185">
        <f t="shared" si="36"/>
        <v>0</v>
      </c>
      <c r="AD40" s="185">
        <f t="shared" si="36"/>
        <v>0</v>
      </c>
      <c r="AE40" s="185">
        <f t="shared" si="37"/>
        <v>0</v>
      </c>
      <c r="AF40" s="185">
        <f t="shared" si="38"/>
        <v>0</v>
      </c>
      <c r="AG40" s="185">
        <f t="shared" si="39"/>
        <v>0</v>
      </c>
      <c r="AH40" s="185">
        <f t="shared" si="40"/>
        <v>0</v>
      </c>
      <c r="AI40" s="125">
        <f>BEL!AI40</f>
        <v>15411063.953299999</v>
      </c>
      <c r="AJ40" s="125">
        <f>BEL!AJ40</f>
        <v>0</v>
      </c>
      <c r="AK40" s="125">
        <f>BEL!AK40</f>
        <v>0</v>
      </c>
      <c r="AL40" s="125">
        <f>BEL!AL40</f>
        <v>0</v>
      </c>
      <c r="AM40" s="125">
        <f>BEL!AM40</f>
        <v>0</v>
      </c>
      <c r="AN40" s="125">
        <f>BEL!AN40</f>
        <v>0</v>
      </c>
      <c r="AO40" s="198">
        <f t="shared" si="13"/>
        <v>0</v>
      </c>
      <c r="AP40" s="125">
        <f>BEL!AP40</f>
        <v>0</v>
      </c>
      <c r="AQ40" s="125">
        <f>BEL!AQ40</f>
        <v>0</v>
      </c>
      <c r="AR40" s="125">
        <f>BEL!AR40</f>
        <v>0</v>
      </c>
      <c r="AS40" s="125">
        <f>BEL!AS40</f>
        <v>0</v>
      </c>
      <c r="AT40" s="125">
        <f>BEL!AT40</f>
        <v>0</v>
      </c>
      <c r="AU40" s="127">
        <f>BEL!AU40</f>
        <v>36800</v>
      </c>
      <c r="AV40" s="127">
        <f>BEL!AV40</f>
        <v>0</v>
      </c>
      <c r="AW40" s="127">
        <f>BEL!AW40</f>
        <v>0</v>
      </c>
      <c r="AX40" s="127">
        <f t="shared" si="14"/>
        <v>1328.0781917753604</v>
      </c>
      <c r="AY40" s="127">
        <f t="shared" si="41"/>
        <v>0</v>
      </c>
      <c r="AZ40" s="127">
        <f t="shared" si="15"/>
        <v>0</v>
      </c>
      <c r="BA40" s="127">
        <f t="shared" si="16"/>
        <v>0</v>
      </c>
      <c r="BB40" s="127">
        <f t="shared" si="17"/>
        <v>0</v>
      </c>
      <c r="BC40" s="127">
        <f t="shared" si="18"/>
        <v>0</v>
      </c>
      <c r="BD40" s="127">
        <f t="shared" si="19"/>
        <v>0</v>
      </c>
      <c r="BE40" s="127">
        <f t="shared" si="20"/>
        <v>0</v>
      </c>
      <c r="BF40" s="127">
        <f t="shared" si="21"/>
        <v>0</v>
      </c>
      <c r="BG40" s="127">
        <f t="shared" si="22"/>
        <v>76.599943395220393</v>
      </c>
      <c r="BH40" s="127">
        <f t="shared" si="23"/>
        <v>0</v>
      </c>
      <c r="BI40" s="127">
        <f t="shared" si="42"/>
        <v>0</v>
      </c>
      <c r="BJ40" s="189">
        <f t="shared" si="64"/>
        <v>1328.0781917753604</v>
      </c>
      <c r="BK40" s="189">
        <f t="shared" si="65"/>
        <v>76.599943395220393</v>
      </c>
      <c r="BL40" s="192">
        <f t="shared" si="66"/>
        <v>0</v>
      </c>
      <c r="BM40" s="192">
        <f t="shared" si="67"/>
        <v>0</v>
      </c>
      <c r="BN40" s="192">
        <f t="shared" si="68"/>
        <v>0</v>
      </c>
      <c r="BO40" s="192">
        <f t="shared" si="69"/>
        <v>1076.8996102537653</v>
      </c>
      <c r="BP40" s="192">
        <f t="shared" si="70"/>
        <v>1076.8996102537653</v>
      </c>
      <c r="BQ40" s="193">
        <f t="shared" si="46"/>
        <v>1076.8996102537653</v>
      </c>
      <c r="BR40" s="193">
        <f t="shared" si="71"/>
        <v>0</v>
      </c>
      <c r="BS40" s="188">
        <f t="shared" si="48"/>
        <v>6489.3929027021159</v>
      </c>
      <c r="BT40" s="188">
        <f t="shared" si="49"/>
        <v>337.9799374131382</v>
      </c>
      <c r="BU40" s="188">
        <f t="shared" si="50"/>
        <v>0</v>
      </c>
      <c r="BV40" s="188">
        <f t="shared" si="51"/>
        <v>0</v>
      </c>
      <c r="BW40" s="188">
        <f t="shared" si="52"/>
        <v>0</v>
      </c>
      <c r="BX40" s="188">
        <f t="shared" si="53"/>
        <v>9521.107282788882</v>
      </c>
      <c r="BY40" s="188">
        <f t="shared" si="54"/>
        <v>9521.107282788882</v>
      </c>
      <c r="BZ40" s="188">
        <f t="shared" si="55"/>
        <v>9521.107282788882</v>
      </c>
      <c r="CA40" s="188">
        <f t="shared" si="56"/>
        <v>0</v>
      </c>
      <c r="CB40" s="149">
        <f t="shared" si="57"/>
        <v>16348.480122904137</v>
      </c>
      <c r="CC40" s="149">
        <f>CB40-BEL!CB40</f>
        <v>504.43207169469315</v>
      </c>
      <c r="CD40" s="189">
        <f>IF(AND(C40=0,C41=0),0,CB40/W40) - BEL!CC40</f>
        <v>428.68506617844469</v>
      </c>
      <c r="CF40" s="195">
        <f t="shared" si="72"/>
        <v>244.78845956682508</v>
      </c>
      <c r="CG40" s="127">
        <f t="shared" si="73"/>
        <v>1.0693573611164124</v>
      </c>
      <c r="CH40" s="128">
        <f>'DATA INPUT - DETAIL'!AH31</f>
        <v>0.19624662485800001</v>
      </c>
      <c r="CI40" s="125">
        <f t="shared" si="74"/>
        <v>-48.248766767064581</v>
      </c>
      <c r="CJ40" s="199">
        <f t="shared" si="75"/>
        <v>197.6090501608769</v>
      </c>
      <c r="CL40" s="189">
        <f t="shared" si="76"/>
        <v>9203.9712845523754</v>
      </c>
      <c r="CM40" s="149">
        <f t="shared" si="58"/>
        <v>40.207510035632602</v>
      </c>
      <c r="CN40" s="128">
        <f>'DATA INPUT - DETAIL'!AH31</f>
        <v>0.19624662485800001</v>
      </c>
      <c r="CO40" s="149">
        <f t="shared" si="59"/>
        <v>-1814.1388880217914</v>
      </c>
      <c r="CP40" s="149">
        <f t="shared" si="60"/>
        <v>7430.0399065662168</v>
      </c>
      <c r="CR40" s="126">
        <f t="shared" si="77"/>
        <v>28</v>
      </c>
      <c r="CS40" s="189">
        <f t="shared" si="78"/>
        <v>0</v>
      </c>
      <c r="CT40" s="200">
        <f>CS40/(BEL!CE40+BEL!CA40-BEL!BU40+'RA CSM'!CF40)</f>
        <v>0</v>
      </c>
      <c r="CU40" s="149">
        <f>$CT40*BEL!CH40</f>
        <v>0</v>
      </c>
      <c r="CV40" s="149">
        <f>$CT40*BEL!CI40</f>
        <v>0</v>
      </c>
      <c r="CW40" s="149">
        <f>$CT40*BEL!CJ40</f>
        <v>0</v>
      </c>
      <c r="CX40" s="149">
        <f>$CT40*BEL!CK40</f>
        <v>0</v>
      </c>
      <c r="CY40" s="149">
        <f t="shared" si="61"/>
        <v>0</v>
      </c>
      <c r="CZ40" s="149">
        <f>$CT40*(BEL!CL40+'RA CSM'!CG40)</f>
        <v>0</v>
      </c>
      <c r="DA40" s="149">
        <f t="shared" si="62"/>
        <v>0</v>
      </c>
    </row>
    <row r="41" spans="2:105" x14ac:dyDescent="0.2">
      <c r="B41" s="130">
        <f>BEL!B41</f>
        <v>3</v>
      </c>
      <c r="C41" s="130">
        <f>BEL!C41</f>
        <v>29</v>
      </c>
      <c r="D41" s="190">
        <f>BEL!D41</f>
        <v>0</v>
      </c>
      <c r="E41" s="190">
        <f>BEL!E41</f>
        <v>0</v>
      </c>
      <c r="F41" s="190">
        <f>BEL!F41</f>
        <v>0</v>
      </c>
      <c r="G41" s="190">
        <f>BEL!G41*(1+$V$5)</f>
        <v>0</v>
      </c>
      <c r="H41" s="190">
        <f>BEL!H41*(1+$V$5)</f>
        <v>1050</v>
      </c>
      <c r="I41" s="179">
        <f t="shared" si="2"/>
        <v>1117.1944107252582</v>
      </c>
      <c r="J41" s="130">
        <f>BEL!J41</f>
        <v>0</v>
      </c>
      <c r="K41" s="130">
        <f>BEL!K41</f>
        <v>0</v>
      </c>
      <c r="L41" s="130">
        <f>BEL!L41</f>
        <v>35</v>
      </c>
      <c r="M41" s="185">
        <f t="shared" si="3"/>
        <v>8.921042540299684E-5</v>
      </c>
      <c r="N41" s="185">
        <f t="shared" si="4"/>
        <v>0</v>
      </c>
      <c r="O41" s="185">
        <f t="shared" si="5"/>
        <v>0</v>
      </c>
      <c r="P41" s="185">
        <f t="shared" si="6"/>
        <v>0</v>
      </c>
      <c r="Q41" s="185">
        <f t="shared" si="7"/>
        <v>0</v>
      </c>
      <c r="R41" s="185">
        <f t="shared" si="8"/>
        <v>0</v>
      </c>
      <c r="S41" s="185">
        <f t="shared" si="9"/>
        <v>0</v>
      </c>
      <c r="T41" s="185">
        <f t="shared" si="10"/>
        <v>0</v>
      </c>
      <c r="U41" s="196">
        <f>(C41&gt;0)*(C41&lt;$E$5)*VLOOKUP(MPP,ASUMSI!$BN$77:$CR$108,B41+1)*(1+$V$4)</f>
        <v>2.1547913217611846E-3</v>
      </c>
      <c r="V41" s="185">
        <f t="shared" si="11"/>
        <v>0</v>
      </c>
      <c r="W41" s="185">
        <f t="shared" si="63"/>
        <v>0.96382849003303517</v>
      </c>
      <c r="X41" s="185">
        <f t="shared" si="32"/>
        <v>8.5983549611375163E-5</v>
      </c>
      <c r="Y41" s="185">
        <f t="shared" si="33"/>
        <v>2.0768492659893707E-3</v>
      </c>
      <c r="Z41" s="185">
        <f t="shared" si="34"/>
        <v>0</v>
      </c>
      <c r="AA41" s="197">
        <f t="shared" si="35"/>
        <v>0.96166565721743447</v>
      </c>
      <c r="AB41" s="185">
        <f t="shared" si="36"/>
        <v>0</v>
      </c>
      <c r="AC41" s="185">
        <f t="shared" si="36"/>
        <v>0</v>
      </c>
      <c r="AD41" s="185">
        <f t="shared" si="36"/>
        <v>0</v>
      </c>
      <c r="AE41" s="185">
        <f t="shared" si="37"/>
        <v>0</v>
      </c>
      <c r="AF41" s="185">
        <f t="shared" si="38"/>
        <v>0</v>
      </c>
      <c r="AG41" s="185">
        <f t="shared" si="39"/>
        <v>0</v>
      </c>
      <c r="AH41" s="185">
        <f t="shared" si="40"/>
        <v>0</v>
      </c>
      <c r="AI41" s="125">
        <f>BEL!AI41</f>
        <v>13809735.851199999</v>
      </c>
      <c r="AJ41" s="125">
        <f>BEL!AJ41</f>
        <v>0</v>
      </c>
      <c r="AK41" s="125">
        <f>BEL!AK41</f>
        <v>0</v>
      </c>
      <c r="AL41" s="125">
        <f>BEL!AL41</f>
        <v>0</v>
      </c>
      <c r="AM41" s="125">
        <f>BEL!AM41</f>
        <v>0</v>
      </c>
      <c r="AN41" s="125">
        <f>BEL!AN41</f>
        <v>0</v>
      </c>
      <c r="AO41" s="198">
        <f t="shared" si="13"/>
        <v>0</v>
      </c>
      <c r="AP41" s="125">
        <f>BEL!AP41</f>
        <v>0</v>
      </c>
      <c r="AQ41" s="125">
        <f>BEL!AQ41</f>
        <v>0</v>
      </c>
      <c r="AR41" s="125">
        <f>BEL!AR41</f>
        <v>0</v>
      </c>
      <c r="AS41" s="125">
        <f>BEL!AS41</f>
        <v>0</v>
      </c>
      <c r="AT41" s="125">
        <f>BEL!AT41</f>
        <v>0</v>
      </c>
      <c r="AU41" s="127">
        <f>BEL!AU41</f>
        <v>32200</v>
      </c>
      <c r="AV41" s="127">
        <f>BEL!AV41</f>
        <v>0</v>
      </c>
      <c r="AW41" s="127">
        <f>BEL!AW41</f>
        <v>0</v>
      </c>
      <c r="AX41" s="127">
        <f t="shared" si="14"/>
        <v>1187.4101076816414</v>
      </c>
      <c r="AY41" s="127">
        <f t="shared" si="41"/>
        <v>0</v>
      </c>
      <c r="AZ41" s="127">
        <f t="shared" si="15"/>
        <v>0</v>
      </c>
      <c r="BA41" s="127">
        <f t="shared" si="16"/>
        <v>0</v>
      </c>
      <c r="BB41" s="127">
        <f t="shared" si="17"/>
        <v>0</v>
      </c>
      <c r="BC41" s="127">
        <f t="shared" si="18"/>
        <v>0</v>
      </c>
      <c r="BD41" s="127">
        <f t="shared" si="19"/>
        <v>0</v>
      </c>
      <c r="BE41" s="127">
        <f t="shared" si="20"/>
        <v>0</v>
      </c>
      <c r="BF41" s="127">
        <f t="shared" si="21"/>
        <v>0</v>
      </c>
      <c r="BG41" s="127">
        <f t="shared" si="22"/>
        <v>66.874546364857736</v>
      </c>
      <c r="BH41" s="127">
        <f t="shared" si="23"/>
        <v>0</v>
      </c>
      <c r="BI41" s="127">
        <f t="shared" si="42"/>
        <v>0</v>
      </c>
      <c r="BJ41" s="189">
        <f t="shared" si="64"/>
        <v>1187.4101076816414</v>
      </c>
      <c r="BK41" s="189">
        <f t="shared" si="65"/>
        <v>66.874546364857736</v>
      </c>
      <c r="BL41" s="192">
        <f t="shared" si="66"/>
        <v>0</v>
      </c>
      <c r="BM41" s="192">
        <f t="shared" si="67"/>
        <v>0</v>
      </c>
      <c r="BN41" s="192">
        <f t="shared" si="68"/>
        <v>0</v>
      </c>
      <c r="BO41" s="192">
        <f t="shared" si="69"/>
        <v>1076.7838019626722</v>
      </c>
      <c r="BP41" s="192">
        <f t="shared" si="70"/>
        <v>1076.7838019626722</v>
      </c>
      <c r="BQ41" s="193">
        <f t="shared" si="46"/>
        <v>1076.7838019626722</v>
      </c>
      <c r="BR41" s="193">
        <f t="shared" si="71"/>
        <v>0</v>
      </c>
      <c r="BS41" s="188">
        <f t="shared" si="48"/>
        <v>5189.663596662469</v>
      </c>
      <c r="BT41" s="188">
        <f t="shared" si="49"/>
        <v>262.85645795997607</v>
      </c>
      <c r="BU41" s="188">
        <f t="shared" si="50"/>
        <v>0</v>
      </c>
      <c r="BV41" s="188">
        <f t="shared" si="51"/>
        <v>0</v>
      </c>
      <c r="BW41" s="188">
        <f t="shared" si="52"/>
        <v>0</v>
      </c>
      <c r="BX41" s="188">
        <f t="shared" si="53"/>
        <v>8481.0961584114539</v>
      </c>
      <c r="BY41" s="188">
        <f t="shared" si="54"/>
        <v>8481.0961584114539</v>
      </c>
      <c r="BZ41" s="188">
        <f t="shared" si="55"/>
        <v>8481.0961584114539</v>
      </c>
      <c r="CA41" s="188">
        <f t="shared" si="56"/>
        <v>0</v>
      </c>
      <c r="CB41" s="149">
        <f t="shared" si="57"/>
        <v>13933.6162130339</v>
      </c>
      <c r="CC41" s="149">
        <f>CB41-BEL!CB41</f>
        <v>454.77021287992829</v>
      </c>
      <c r="CD41" s="189">
        <f>IF(AND(C41=0,C42=0),0,CB41/W41) - BEL!CC41</f>
        <v>386.7510084435944</v>
      </c>
      <c r="CF41" s="195">
        <f t="shared" si="72"/>
        <v>197.6090501608769</v>
      </c>
      <c r="CG41" s="127">
        <f t="shared" si="73"/>
        <v>0.86325430858422081</v>
      </c>
      <c r="CH41" s="128">
        <f>'DATA INPUT - DETAIL'!AH32</f>
        <v>0.218572962668</v>
      </c>
      <c r="CI41" s="125">
        <f t="shared" si="74"/>
        <v>-43.38067959543546</v>
      </c>
      <c r="CJ41" s="199">
        <f t="shared" si="75"/>
        <v>155.09162487402568</v>
      </c>
      <c r="CL41" s="189">
        <f t="shared" si="76"/>
        <v>7430.0399065662168</v>
      </c>
      <c r="CM41" s="149">
        <f t="shared" si="58"/>
        <v>32.45809823524899</v>
      </c>
      <c r="CN41" s="128">
        <f>'DATA INPUT - DETAIL'!AH32</f>
        <v>0.218572962668</v>
      </c>
      <c r="CO41" s="149">
        <f t="shared" si="59"/>
        <v>-1631.1002978134952</v>
      </c>
      <c r="CP41" s="149">
        <f t="shared" si="60"/>
        <v>5831.3977069879711</v>
      </c>
      <c r="CR41" s="126">
        <f t="shared" si="77"/>
        <v>29</v>
      </c>
      <c r="CS41" s="189">
        <f t="shared" si="78"/>
        <v>0</v>
      </c>
      <c r="CT41" s="200">
        <f>CS41/(BEL!CE41+BEL!CA41-BEL!BU41+'RA CSM'!CF41)</f>
        <v>0</v>
      </c>
      <c r="CU41" s="149">
        <f>$CT41*BEL!CH41</f>
        <v>0</v>
      </c>
      <c r="CV41" s="149">
        <f>$CT41*BEL!CI41</f>
        <v>0</v>
      </c>
      <c r="CW41" s="149">
        <f>$CT41*BEL!CJ41</f>
        <v>0</v>
      </c>
      <c r="CX41" s="149">
        <f>$CT41*BEL!CK41</f>
        <v>0</v>
      </c>
      <c r="CY41" s="149">
        <f t="shared" si="61"/>
        <v>0</v>
      </c>
      <c r="CZ41" s="149">
        <f>$CT41*(BEL!CL41+'RA CSM'!CG41)</f>
        <v>0</v>
      </c>
      <c r="DA41" s="149">
        <f t="shared" si="62"/>
        <v>0</v>
      </c>
    </row>
    <row r="42" spans="2:105" x14ac:dyDescent="0.2">
      <c r="B42" s="130">
        <f>BEL!B42</f>
        <v>3</v>
      </c>
      <c r="C42" s="130">
        <f>BEL!C42</f>
        <v>30</v>
      </c>
      <c r="D42" s="190">
        <f>BEL!D42</f>
        <v>0</v>
      </c>
      <c r="E42" s="190">
        <f>BEL!E42</f>
        <v>0</v>
      </c>
      <c r="F42" s="190">
        <f>BEL!F42</f>
        <v>0</v>
      </c>
      <c r="G42" s="190">
        <f>BEL!G42*(1+$V$5)</f>
        <v>0</v>
      </c>
      <c r="H42" s="190">
        <f>BEL!H42*(1+$V$5)</f>
        <v>1050</v>
      </c>
      <c r="I42" s="179">
        <f t="shared" si="2"/>
        <v>1119.5866235264809</v>
      </c>
      <c r="J42" s="130">
        <f>BEL!J42</f>
        <v>0</v>
      </c>
      <c r="K42" s="130">
        <f>BEL!K42</f>
        <v>0</v>
      </c>
      <c r="L42" s="130">
        <f>BEL!L42</f>
        <v>35</v>
      </c>
      <c r="M42" s="185">
        <f t="shared" si="3"/>
        <v>8.921042540299684E-5</v>
      </c>
      <c r="N42" s="185">
        <f t="shared" si="4"/>
        <v>0</v>
      </c>
      <c r="O42" s="185">
        <f t="shared" si="5"/>
        <v>0</v>
      </c>
      <c r="P42" s="185">
        <f t="shared" si="6"/>
        <v>0</v>
      </c>
      <c r="Q42" s="185">
        <f t="shared" si="7"/>
        <v>0</v>
      </c>
      <c r="R42" s="185">
        <f t="shared" si="8"/>
        <v>0</v>
      </c>
      <c r="S42" s="185">
        <f t="shared" si="9"/>
        <v>0</v>
      </c>
      <c r="T42" s="185">
        <f t="shared" si="10"/>
        <v>0</v>
      </c>
      <c r="U42" s="196">
        <f>(C42&gt;0)*(C42&lt;$E$5)*VLOOKUP(MPP,ASUMSI!$BN$77:$CR$108,B42+1)*(1+$V$4)</f>
        <v>2.1547913217611846E-3</v>
      </c>
      <c r="V42" s="185">
        <f t="shared" si="11"/>
        <v>0</v>
      </c>
      <c r="W42" s="185">
        <f t="shared" si="63"/>
        <v>0.96166565721743447</v>
      </c>
      <c r="X42" s="185">
        <f t="shared" si="32"/>
        <v>8.5790602375819869E-5</v>
      </c>
      <c r="Y42" s="185">
        <f t="shared" si="33"/>
        <v>2.0721888126078937E-3</v>
      </c>
      <c r="Z42" s="185">
        <f t="shared" si="34"/>
        <v>0</v>
      </c>
      <c r="AA42" s="197">
        <f t="shared" si="35"/>
        <v>0.95950767780245072</v>
      </c>
      <c r="AB42" s="185">
        <f t="shared" si="36"/>
        <v>0</v>
      </c>
      <c r="AC42" s="185">
        <f t="shared" si="36"/>
        <v>0</v>
      </c>
      <c r="AD42" s="185">
        <f t="shared" si="36"/>
        <v>0</v>
      </c>
      <c r="AE42" s="185">
        <f t="shared" si="37"/>
        <v>0</v>
      </c>
      <c r="AF42" s="185">
        <f t="shared" si="38"/>
        <v>0</v>
      </c>
      <c r="AG42" s="185">
        <f t="shared" si="39"/>
        <v>0</v>
      </c>
      <c r="AH42" s="185">
        <f t="shared" si="40"/>
        <v>0</v>
      </c>
      <c r="AI42" s="125">
        <f>BEL!AI42</f>
        <v>12181718.9474</v>
      </c>
      <c r="AJ42" s="125">
        <f>BEL!AJ42</f>
        <v>0</v>
      </c>
      <c r="AK42" s="125">
        <f>BEL!AK42</f>
        <v>0</v>
      </c>
      <c r="AL42" s="125">
        <f>BEL!AL42</f>
        <v>0</v>
      </c>
      <c r="AM42" s="125">
        <f>BEL!AM42</f>
        <v>0</v>
      </c>
      <c r="AN42" s="125">
        <f>BEL!AN42</f>
        <v>0</v>
      </c>
      <c r="AO42" s="198">
        <f t="shared" si="13"/>
        <v>0</v>
      </c>
      <c r="AP42" s="125">
        <f>BEL!AP42</f>
        <v>0</v>
      </c>
      <c r="AQ42" s="125">
        <f>BEL!AQ42</f>
        <v>0</v>
      </c>
      <c r="AR42" s="125">
        <f>BEL!AR42</f>
        <v>0</v>
      </c>
      <c r="AS42" s="125">
        <f>BEL!AS42</f>
        <v>0</v>
      </c>
      <c r="AT42" s="125">
        <f>BEL!AT42</f>
        <v>0</v>
      </c>
      <c r="AU42" s="127">
        <f>BEL!AU42</f>
        <v>27600</v>
      </c>
      <c r="AV42" s="127">
        <f>BEL!AV42</f>
        <v>0</v>
      </c>
      <c r="AW42" s="127">
        <f>BEL!AW42</f>
        <v>0</v>
      </c>
      <c r="AX42" s="127">
        <f t="shared" si="14"/>
        <v>1045.0770064703843</v>
      </c>
      <c r="AY42" s="127">
        <f t="shared" si="41"/>
        <v>0</v>
      </c>
      <c r="AZ42" s="127">
        <f t="shared" si="15"/>
        <v>0</v>
      </c>
      <c r="BA42" s="127">
        <f t="shared" si="16"/>
        <v>0</v>
      </c>
      <c r="BB42" s="127">
        <f t="shared" si="17"/>
        <v>0</v>
      </c>
      <c r="BC42" s="127">
        <f t="shared" si="18"/>
        <v>0</v>
      </c>
      <c r="BD42" s="127">
        <f t="shared" si="19"/>
        <v>0</v>
      </c>
      <c r="BE42" s="127">
        <f t="shared" si="20"/>
        <v>0</v>
      </c>
      <c r="BF42" s="127">
        <f t="shared" si="21"/>
        <v>0</v>
      </c>
      <c r="BG42" s="127">
        <f t="shared" si="22"/>
        <v>57.192411227977864</v>
      </c>
      <c r="BH42" s="127">
        <f t="shared" si="23"/>
        <v>0</v>
      </c>
      <c r="BI42" s="127">
        <f t="shared" si="42"/>
        <v>0</v>
      </c>
      <c r="BJ42" s="189">
        <f t="shared" si="64"/>
        <v>1045.0770064703843</v>
      </c>
      <c r="BK42" s="189">
        <f t="shared" si="65"/>
        <v>57.192411227977864</v>
      </c>
      <c r="BL42" s="192">
        <f t="shared" si="66"/>
        <v>0</v>
      </c>
      <c r="BM42" s="192">
        <f t="shared" si="67"/>
        <v>0</v>
      </c>
      <c r="BN42" s="192">
        <f t="shared" si="68"/>
        <v>0</v>
      </c>
      <c r="BO42" s="192">
        <f t="shared" si="69"/>
        <v>1076.6680061254417</v>
      </c>
      <c r="BP42" s="192">
        <f t="shared" si="70"/>
        <v>1076.6680061254417</v>
      </c>
      <c r="BQ42" s="193">
        <f t="shared" si="46"/>
        <v>1076.6680061254417</v>
      </c>
      <c r="BR42" s="193">
        <f t="shared" si="71"/>
        <v>0</v>
      </c>
      <c r="BS42" s="188">
        <f t="shared" si="48"/>
        <v>4024.9245126828</v>
      </c>
      <c r="BT42" s="188">
        <f t="shared" si="49"/>
        <v>197.13019893159614</v>
      </c>
      <c r="BU42" s="188">
        <f t="shared" si="50"/>
        <v>0</v>
      </c>
      <c r="BV42" s="188">
        <f t="shared" si="51"/>
        <v>0</v>
      </c>
      <c r="BW42" s="188">
        <f t="shared" si="52"/>
        <v>0</v>
      </c>
      <c r="BX42" s="188">
        <f t="shared" si="53"/>
        <v>7436.6580639890199</v>
      </c>
      <c r="BY42" s="188">
        <f t="shared" si="54"/>
        <v>7436.6580639890199</v>
      </c>
      <c r="BZ42" s="188">
        <f t="shared" si="55"/>
        <v>7436.6580639890199</v>
      </c>
      <c r="CA42" s="188">
        <f t="shared" si="56"/>
        <v>0</v>
      </c>
      <c r="CB42" s="149">
        <f t="shared" si="57"/>
        <v>11658.712775603417</v>
      </c>
      <c r="CC42" s="149">
        <f>CB42-BEL!CB42</f>
        <v>403.17345770301472</v>
      </c>
      <c r="CD42" s="189">
        <f>IF(AND(C42=0,C43=0),0,CB42/W42) - BEL!CC42</f>
        <v>343.54419256441724</v>
      </c>
      <c r="CF42" s="195">
        <f t="shared" si="72"/>
        <v>155.09162487402568</v>
      </c>
      <c r="CG42" s="127">
        <f t="shared" si="73"/>
        <v>0.67751711416472848</v>
      </c>
      <c r="CH42" s="128">
        <f>'DATA INPUT - DETAIL'!AH33</f>
        <v>0.24648521746400001</v>
      </c>
      <c r="CI42" s="125">
        <f t="shared" si="74"/>
        <v>-38.394790837139809</v>
      </c>
      <c r="CJ42" s="199">
        <f t="shared" si="75"/>
        <v>117.37435115105059</v>
      </c>
      <c r="CL42" s="189">
        <f t="shared" si="76"/>
        <v>5831.3977069879711</v>
      </c>
      <c r="CM42" s="149">
        <f t="shared" si="58"/>
        <v>25.474436477111059</v>
      </c>
      <c r="CN42" s="128">
        <f>'DATA INPUT - DETAIL'!AH33</f>
        <v>0.24648521746400001</v>
      </c>
      <c r="CO42" s="149">
        <f t="shared" si="59"/>
        <v>-1443.6324039408348</v>
      </c>
      <c r="CP42" s="149">
        <f t="shared" si="60"/>
        <v>4413.2397395242479</v>
      </c>
      <c r="CR42" s="126">
        <f t="shared" si="77"/>
        <v>30</v>
      </c>
      <c r="CS42" s="189">
        <f t="shared" si="78"/>
        <v>0</v>
      </c>
      <c r="CT42" s="200">
        <f>CS42/(BEL!CE42+BEL!CA42-BEL!BU42+'RA CSM'!CF42)</f>
        <v>0</v>
      </c>
      <c r="CU42" s="149">
        <f>$CT42*BEL!CH42</f>
        <v>0</v>
      </c>
      <c r="CV42" s="149">
        <f>$CT42*BEL!CI42</f>
        <v>0</v>
      </c>
      <c r="CW42" s="149">
        <f>$CT42*BEL!CJ42</f>
        <v>0</v>
      </c>
      <c r="CX42" s="149">
        <f>$CT42*BEL!CK42</f>
        <v>0</v>
      </c>
      <c r="CY42" s="149">
        <f t="shared" si="61"/>
        <v>0</v>
      </c>
      <c r="CZ42" s="149">
        <f>$CT42*(BEL!CL42+'RA CSM'!CG42)</f>
        <v>0</v>
      </c>
      <c r="DA42" s="149">
        <f t="shared" si="62"/>
        <v>0</v>
      </c>
    </row>
    <row r="43" spans="2:105" x14ac:dyDescent="0.2">
      <c r="B43" s="130">
        <f>BEL!B43</f>
        <v>3</v>
      </c>
      <c r="C43" s="130">
        <f>BEL!C43</f>
        <v>31</v>
      </c>
      <c r="D43" s="190">
        <f>BEL!D43</f>
        <v>0</v>
      </c>
      <c r="E43" s="190">
        <f>BEL!E43</f>
        <v>0</v>
      </c>
      <c r="F43" s="190">
        <f>BEL!F43</f>
        <v>0</v>
      </c>
      <c r="G43" s="190">
        <f>BEL!G43*(1+$V$5)</f>
        <v>0</v>
      </c>
      <c r="H43" s="190">
        <f>BEL!H43*(1+$V$5)</f>
        <v>1050</v>
      </c>
      <c r="I43" s="179">
        <f t="shared" si="2"/>
        <v>1121.9839586967664</v>
      </c>
      <c r="J43" s="130">
        <f>BEL!J43</f>
        <v>0</v>
      </c>
      <c r="K43" s="130">
        <f>BEL!K43</f>
        <v>0</v>
      </c>
      <c r="L43" s="130">
        <f>BEL!L43</f>
        <v>35</v>
      </c>
      <c r="M43" s="185">
        <f t="shared" si="3"/>
        <v>8.921042540299684E-5</v>
      </c>
      <c r="N43" s="185">
        <f t="shared" si="4"/>
        <v>0</v>
      </c>
      <c r="O43" s="185">
        <f t="shared" si="5"/>
        <v>0</v>
      </c>
      <c r="P43" s="185">
        <f t="shared" si="6"/>
        <v>0</v>
      </c>
      <c r="Q43" s="185">
        <f t="shared" si="7"/>
        <v>0</v>
      </c>
      <c r="R43" s="185">
        <f t="shared" si="8"/>
        <v>0</v>
      </c>
      <c r="S43" s="185">
        <f t="shared" si="9"/>
        <v>0</v>
      </c>
      <c r="T43" s="185">
        <f t="shared" si="10"/>
        <v>0</v>
      </c>
      <c r="U43" s="196">
        <f>(C43&gt;0)*(C43&lt;$E$5)*VLOOKUP(MPP,ASUMSI!$BN$77:$CR$108,B43+1)*(1+$V$4)</f>
        <v>2.1547913217611846E-3</v>
      </c>
      <c r="V43" s="185">
        <f t="shared" si="11"/>
        <v>0</v>
      </c>
      <c r="W43" s="185">
        <f t="shared" si="63"/>
        <v>0.95950767780245072</v>
      </c>
      <c r="X43" s="185">
        <f t="shared" si="32"/>
        <v>8.5598088114198259E-5</v>
      </c>
      <c r="Y43" s="185">
        <f t="shared" si="33"/>
        <v>2.0675388172919475E-3</v>
      </c>
      <c r="Z43" s="185">
        <f t="shared" si="34"/>
        <v>0</v>
      </c>
      <c r="AA43" s="197">
        <f t="shared" si="35"/>
        <v>0.95735454089704453</v>
      </c>
      <c r="AB43" s="185">
        <f t="shared" si="36"/>
        <v>0</v>
      </c>
      <c r="AC43" s="185">
        <f t="shared" si="36"/>
        <v>0</v>
      </c>
      <c r="AD43" s="185">
        <f t="shared" si="36"/>
        <v>0</v>
      </c>
      <c r="AE43" s="185">
        <f t="shared" si="37"/>
        <v>0</v>
      </c>
      <c r="AF43" s="185">
        <f t="shared" si="38"/>
        <v>0</v>
      </c>
      <c r="AG43" s="185">
        <f t="shared" si="39"/>
        <v>0</v>
      </c>
      <c r="AH43" s="185">
        <f t="shared" si="40"/>
        <v>0</v>
      </c>
      <c r="AI43" s="125">
        <f>BEL!AI43</f>
        <v>10526568.4285</v>
      </c>
      <c r="AJ43" s="125">
        <f>BEL!AJ43</f>
        <v>0</v>
      </c>
      <c r="AK43" s="125">
        <f>BEL!AK43</f>
        <v>0</v>
      </c>
      <c r="AL43" s="125">
        <f>BEL!AL43</f>
        <v>0</v>
      </c>
      <c r="AM43" s="125">
        <f>BEL!AM43</f>
        <v>0</v>
      </c>
      <c r="AN43" s="125">
        <f>BEL!AN43</f>
        <v>0</v>
      </c>
      <c r="AO43" s="198">
        <f t="shared" si="13"/>
        <v>0</v>
      </c>
      <c r="AP43" s="125">
        <f>BEL!AP43</f>
        <v>0</v>
      </c>
      <c r="AQ43" s="125">
        <f>BEL!AQ43</f>
        <v>0</v>
      </c>
      <c r="AR43" s="125">
        <f>BEL!AR43</f>
        <v>0</v>
      </c>
      <c r="AS43" s="125">
        <f>BEL!AS43</f>
        <v>0</v>
      </c>
      <c r="AT43" s="125">
        <f>BEL!AT43</f>
        <v>0</v>
      </c>
      <c r="AU43" s="127">
        <f>BEL!AU43</f>
        <v>23000</v>
      </c>
      <c r="AV43" s="127">
        <f>BEL!AV43</f>
        <v>0</v>
      </c>
      <c r="AW43" s="127">
        <f>BEL!AW43</f>
        <v>0</v>
      </c>
      <c r="AX43" s="127">
        <f t="shared" si="14"/>
        <v>901.05413188288048</v>
      </c>
      <c r="AY43" s="127">
        <f t="shared" si="41"/>
        <v>0</v>
      </c>
      <c r="AZ43" s="127">
        <f t="shared" si="15"/>
        <v>0</v>
      </c>
      <c r="BA43" s="127">
        <f t="shared" si="16"/>
        <v>0</v>
      </c>
      <c r="BB43" s="127">
        <f t="shared" si="17"/>
        <v>0</v>
      </c>
      <c r="BC43" s="127">
        <f t="shared" si="18"/>
        <v>0</v>
      </c>
      <c r="BD43" s="127">
        <f t="shared" si="19"/>
        <v>0</v>
      </c>
      <c r="BE43" s="127">
        <f t="shared" si="20"/>
        <v>0</v>
      </c>
      <c r="BF43" s="127">
        <f t="shared" si="21"/>
        <v>0</v>
      </c>
      <c r="BG43" s="127">
        <f t="shared" si="22"/>
        <v>47.553392797714793</v>
      </c>
      <c r="BH43" s="127">
        <f t="shared" si="23"/>
        <v>0</v>
      </c>
      <c r="BI43" s="127">
        <f t="shared" si="42"/>
        <v>0</v>
      </c>
      <c r="BJ43" s="189">
        <f t="shared" si="64"/>
        <v>901.05413188288048</v>
      </c>
      <c r="BK43" s="189">
        <f t="shared" si="65"/>
        <v>47.553392797714793</v>
      </c>
      <c r="BL43" s="192">
        <f t="shared" si="66"/>
        <v>0</v>
      </c>
      <c r="BM43" s="192">
        <f t="shared" si="67"/>
        <v>0</v>
      </c>
      <c r="BN43" s="192">
        <f t="shared" si="68"/>
        <v>0</v>
      </c>
      <c r="BO43" s="192">
        <f t="shared" si="69"/>
        <v>1076.552222740735</v>
      </c>
      <c r="BP43" s="192">
        <f t="shared" si="70"/>
        <v>1076.552222740735</v>
      </c>
      <c r="BQ43" s="193">
        <f t="shared" si="46"/>
        <v>1076.552222740735</v>
      </c>
      <c r="BR43" s="193">
        <f t="shared" si="71"/>
        <v>0</v>
      </c>
      <c r="BS43" s="188">
        <f t="shared" si="48"/>
        <v>2997.4303721007491</v>
      </c>
      <c r="BT43" s="188">
        <f t="shared" si="49"/>
        <v>140.7989501526115</v>
      </c>
      <c r="BU43" s="188">
        <f t="shared" si="50"/>
        <v>0</v>
      </c>
      <c r="BV43" s="188">
        <f t="shared" si="51"/>
        <v>0</v>
      </c>
      <c r="BW43" s="188">
        <f t="shared" si="52"/>
        <v>0</v>
      </c>
      <c r="BX43" s="188">
        <f t="shared" si="53"/>
        <v>6387.7736478131974</v>
      </c>
      <c r="BY43" s="188">
        <f t="shared" si="54"/>
        <v>6387.7736478131974</v>
      </c>
      <c r="BZ43" s="188">
        <f t="shared" si="55"/>
        <v>6387.7736478131974</v>
      </c>
      <c r="CA43" s="188">
        <f t="shared" si="56"/>
        <v>0</v>
      </c>
      <c r="CB43" s="149">
        <f t="shared" si="57"/>
        <v>9526.0029700665582</v>
      </c>
      <c r="CC43" s="149">
        <f>CB43-BEL!CB43</f>
        <v>349.76703831484701</v>
      </c>
      <c r="CD43" s="189">
        <f>IF(AND(C43=0,C44=0),0,CB43/W43) - BEL!CC43</f>
        <v>299.00297861779654</v>
      </c>
      <c r="CF43" s="195">
        <f t="shared" si="72"/>
        <v>117.37435115105059</v>
      </c>
      <c r="CG43" s="127">
        <f t="shared" si="73"/>
        <v>0.51274936176218744</v>
      </c>
      <c r="CH43" s="128">
        <f>'DATA INPUT - DETAIL'!AH34</f>
        <v>0.282377882784</v>
      </c>
      <c r="CI43" s="125">
        <f t="shared" si="74"/>
        <v>-33.288709850352674</v>
      </c>
      <c r="CJ43" s="199">
        <f t="shared" si="75"/>
        <v>84.598390662460105</v>
      </c>
      <c r="CL43" s="189">
        <f t="shared" si="76"/>
        <v>4413.2397395242479</v>
      </c>
      <c r="CM43" s="149">
        <f t="shared" si="58"/>
        <v>19.27921933159352</v>
      </c>
      <c r="CN43" s="128">
        <f>'DATA INPUT - DETAIL'!AH34</f>
        <v>0.282377882784</v>
      </c>
      <c r="CO43" s="149">
        <f t="shared" si="59"/>
        <v>-1251.6453190016525</v>
      </c>
      <c r="CP43" s="149">
        <f t="shared" si="60"/>
        <v>3180.8736398541887</v>
      </c>
      <c r="CR43" s="126">
        <f t="shared" si="77"/>
        <v>31</v>
      </c>
      <c r="CS43" s="189">
        <f t="shared" si="78"/>
        <v>0</v>
      </c>
      <c r="CT43" s="200">
        <f>CS43/(BEL!CE43+BEL!CA43-BEL!BU43+'RA CSM'!CF43)</f>
        <v>0</v>
      </c>
      <c r="CU43" s="149">
        <f>$CT43*BEL!CH43</f>
        <v>0</v>
      </c>
      <c r="CV43" s="149">
        <f>$CT43*BEL!CI43</f>
        <v>0</v>
      </c>
      <c r="CW43" s="149">
        <f>$CT43*BEL!CJ43</f>
        <v>0</v>
      </c>
      <c r="CX43" s="149">
        <f>$CT43*BEL!CK43</f>
        <v>0</v>
      </c>
      <c r="CY43" s="149">
        <f t="shared" si="61"/>
        <v>0</v>
      </c>
      <c r="CZ43" s="149">
        <f>$CT43*(BEL!CL43+'RA CSM'!CG43)</f>
        <v>0</v>
      </c>
      <c r="DA43" s="149">
        <f t="shared" si="62"/>
        <v>0</v>
      </c>
    </row>
    <row r="44" spans="2:105" x14ac:dyDescent="0.2">
      <c r="B44" s="130">
        <f>BEL!B44</f>
        <v>3</v>
      </c>
      <c r="C44" s="130">
        <f>BEL!C44</f>
        <v>32</v>
      </c>
      <c r="D44" s="190">
        <f>BEL!D44</f>
        <v>0</v>
      </c>
      <c r="E44" s="190">
        <f>BEL!E44</f>
        <v>0</v>
      </c>
      <c r="F44" s="190">
        <f>BEL!F44</f>
        <v>0</v>
      </c>
      <c r="G44" s="190">
        <f>BEL!G44*(1+$V$5)</f>
        <v>0</v>
      </c>
      <c r="H44" s="190">
        <f>BEL!H44*(1+$V$5)</f>
        <v>1050</v>
      </c>
      <c r="I44" s="179">
        <f t="shared" si="2"/>
        <v>1124.3864272044802</v>
      </c>
      <c r="J44" s="130">
        <f>BEL!J44</f>
        <v>0</v>
      </c>
      <c r="K44" s="130">
        <f>BEL!K44</f>
        <v>0</v>
      </c>
      <c r="L44" s="130">
        <f>BEL!L44</f>
        <v>35</v>
      </c>
      <c r="M44" s="185">
        <f t="shared" si="3"/>
        <v>8.921042540299684E-5</v>
      </c>
      <c r="N44" s="185">
        <f t="shared" si="4"/>
        <v>0</v>
      </c>
      <c r="O44" s="185">
        <f t="shared" si="5"/>
        <v>0</v>
      </c>
      <c r="P44" s="185">
        <f t="shared" si="6"/>
        <v>0</v>
      </c>
      <c r="Q44" s="185">
        <f t="shared" si="7"/>
        <v>0</v>
      </c>
      <c r="R44" s="185">
        <f t="shared" si="8"/>
        <v>0</v>
      </c>
      <c r="S44" s="185">
        <f t="shared" si="9"/>
        <v>0</v>
      </c>
      <c r="T44" s="185">
        <f t="shared" si="10"/>
        <v>0</v>
      </c>
      <c r="U44" s="196">
        <f>(C44&gt;0)*(C44&lt;$E$5)*VLOOKUP(MPP,ASUMSI!$BN$77:$CR$108,B44+1)*(1+$V$4)</f>
        <v>2.1547913217611846E-3</v>
      </c>
      <c r="V44" s="185">
        <f t="shared" si="11"/>
        <v>0</v>
      </c>
      <c r="W44" s="185">
        <f t="shared" si="63"/>
        <v>0.95735454089704453</v>
      </c>
      <c r="X44" s="185">
        <f t="shared" si="32"/>
        <v>8.5406005854916082E-5</v>
      </c>
      <c r="Y44" s="185">
        <f t="shared" si="33"/>
        <v>2.0628992565736148E-3</v>
      </c>
      <c r="Z44" s="185">
        <f t="shared" si="34"/>
        <v>0</v>
      </c>
      <c r="AA44" s="197">
        <f t="shared" si="35"/>
        <v>0.95520623563461604</v>
      </c>
      <c r="AB44" s="185">
        <f t="shared" si="36"/>
        <v>0</v>
      </c>
      <c r="AC44" s="185">
        <f t="shared" si="36"/>
        <v>0</v>
      </c>
      <c r="AD44" s="185">
        <f t="shared" si="36"/>
        <v>0</v>
      </c>
      <c r="AE44" s="185">
        <f t="shared" si="37"/>
        <v>0</v>
      </c>
      <c r="AF44" s="185">
        <f t="shared" si="38"/>
        <v>0</v>
      </c>
      <c r="AG44" s="185">
        <f t="shared" si="39"/>
        <v>0</v>
      </c>
      <c r="AH44" s="185">
        <f t="shared" si="40"/>
        <v>0</v>
      </c>
      <c r="AI44" s="125">
        <f>BEL!AI44</f>
        <v>8843832.0676700007</v>
      </c>
      <c r="AJ44" s="125">
        <f>BEL!AJ44</f>
        <v>0</v>
      </c>
      <c r="AK44" s="125">
        <f>BEL!AK44</f>
        <v>0</v>
      </c>
      <c r="AL44" s="125">
        <f>BEL!AL44</f>
        <v>0</v>
      </c>
      <c r="AM44" s="125">
        <f>BEL!AM44</f>
        <v>0</v>
      </c>
      <c r="AN44" s="125">
        <f>BEL!AN44</f>
        <v>0</v>
      </c>
      <c r="AO44" s="198">
        <f t="shared" si="13"/>
        <v>0</v>
      </c>
      <c r="AP44" s="125">
        <f>BEL!AP44</f>
        <v>0</v>
      </c>
      <c r="AQ44" s="125">
        <f>BEL!AQ44</f>
        <v>0</v>
      </c>
      <c r="AR44" s="125">
        <f>BEL!AR44</f>
        <v>0</v>
      </c>
      <c r="AS44" s="125">
        <f>BEL!AS44</f>
        <v>0</v>
      </c>
      <c r="AT44" s="125">
        <f>BEL!AT44</f>
        <v>0</v>
      </c>
      <c r="AU44" s="127">
        <f>BEL!AU44</f>
        <v>18400</v>
      </c>
      <c r="AV44" s="127">
        <f>BEL!AV44</f>
        <v>0</v>
      </c>
      <c r="AW44" s="127">
        <f>BEL!AW44</f>
        <v>0</v>
      </c>
      <c r="AX44" s="127">
        <f t="shared" si="14"/>
        <v>755.3163733513187</v>
      </c>
      <c r="AY44" s="127">
        <f t="shared" si="41"/>
        <v>0</v>
      </c>
      <c r="AZ44" s="127">
        <f t="shared" si="15"/>
        <v>0</v>
      </c>
      <c r="BA44" s="127">
        <f t="shared" si="16"/>
        <v>0</v>
      </c>
      <c r="BB44" s="127">
        <f t="shared" si="17"/>
        <v>0</v>
      </c>
      <c r="BC44" s="127">
        <f t="shared" si="18"/>
        <v>0</v>
      </c>
      <c r="BD44" s="127">
        <f t="shared" si="19"/>
        <v>0</v>
      </c>
      <c r="BE44" s="127">
        <f t="shared" si="20"/>
        <v>0</v>
      </c>
      <c r="BF44" s="127">
        <f t="shared" si="21"/>
        <v>0</v>
      </c>
      <c r="BG44" s="127">
        <f t="shared" si="22"/>
        <v>37.957346320954514</v>
      </c>
      <c r="BH44" s="127">
        <f t="shared" si="23"/>
        <v>0</v>
      </c>
      <c r="BI44" s="127">
        <f t="shared" si="42"/>
        <v>0</v>
      </c>
      <c r="BJ44" s="189">
        <f t="shared" si="64"/>
        <v>755.3163733513187</v>
      </c>
      <c r="BK44" s="189">
        <f t="shared" si="65"/>
        <v>37.957346320954514</v>
      </c>
      <c r="BL44" s="192">
        <f t="shared" si="66"/>
        <v>0</v>
      </c>
      <c r="BM44" s="192">
        <f t="shared" si="67"/>
        <v>0</v>
      </c>
      <c r="BN44" s="192">
        <f t="shared" si="68"/>
        <v>0</v>
      </c>
      <c r="BO44" s="192">
        <f t="shared" si="69"/>
        <v>1076.4364518072134</v>
      </c>
      <c r="BP44" s="192">
        <f t="shared" si="70"/>
        <v>1076.4364518072134</v>
      </c>
      <c r="BQ44" s="193">
        <f t="shared" si="46"/>
        <v>1076.4364518072134</v>
      </c>
      <c r="BR44" s="193">
        <f t="shared" si="71"/>
        <v>0</v>
      </c>
      <c r="BS44" s="188">
        <f t="shared" si="48"/>
        <v>2109.4705022533908</v>
      </c>
      <c r="BT44" s="188">
        <f t="shared" si="49"/>
        <v>93.860636979359398</v>
      </c>
      <c r="BU44" s="188">
        <f t="shared" si="50"/>
        <v>0</v>
      </c>
      <c r="BV44" s="188">
        <f t="shared" si="51"/>
        <v>0</v>
      </c>
      <c r="BW44" s="188">
        <f t="shared" si="52"/>
        <v>0</v>
      </c>
      <c r="BX44" s="188">
        <f t="shared" si="53"/>
        <v>5334.4234736390936</v>
      </c>
      <c r="BY44" s="188">
        <f t="shared" si="54"/>
        <v>5334.4234736390936</v>
      </c>
      <c r="BZ44" s="188">
        <f t="shared" si="55"/>
        <v>5334.4234736390936</v>
      </c>
      <c r="CA44" s="188">
        <f t="shared" si="56"/>
        <v>0</v>
      </c>
      <c r="CB44" s="149">
        <f t="shared" si="57"/>
        <v>7537.7546128718441</v>
      </c>
      <c r="CC44" s="149">
        <f>CB44-BEL!CB44</f>
        <v>294.67864549752994</v>
      </c>
      <c r="CD44" s="189">
        <f>IF(AND(C44=0,C45=0),0,CB44/W44) - BEL!CC44</f>
        <v>253.06402325914405</v>
      </c>
      <c r="CF44" s="195">
        <f t="shared" si="72"/>
        <v>84.598390662460105</v>
      </c>
      <c r="CG44" s="127">
        <f t="shared" si="73"/>
        <v>0.36956771554341711</v>
      </c>
      <c r="CH44" s="128">
        <f>'DATA INPUT - DETAIL'!AH35</f>
        <v>0.33024151274199998</v>
      </c>
      <c r="CI44" s="125">
        <f t="shared" si="74"/>
        <v>-28.059947109351171</v>
      </c>
      <c r="CJ44" s="199">
        <f t="shared" si="75"/>
        <v>56.908011268652345</v>
      </c>
      <c r="CL44" s="189">
        <f t="shared" si="76"/>
        <v>3180.8736398541887</v>
      </c>
      <c r="CM44" s="149">
        <f t="shared" si="58"/>
        <v>13.895633182946909</v>
      </c>
      <c r="CN44" s="128">
        <f>'DATA INPUT - DETAIL'!AH35</f>
        <v>0.33024151274199998</v>
      </c>
      <c r="CO44" s="149">
        <f t="shared" si="59"/>
        <v>-1055.0454375894433</v>
      </c>
      <c r="CP44" s="149">
        <f t="shared" si="60"/>
        <v>2139.7238354476922</v>
      </c>
      <c r="CR44" s="126">
        <f t="shared" si="77"/>
        <v>32</v>
      </c>
      <c r="CS44" s="189">
        <f t="shared" si="78"/>
        <v>0</v>
      </c>
      <c r="CT44" s="200">
        <f>CS44/(BEL!CE44+BEL!CA44-BEL!BU44+'RA CSM'!CF44)</f>
        <v>0</v>
      </c>
      <c r="CU44" s="149">
        <f>$CT44*BEL!CH44</f>
        <v>0</v>
      </c>
      <c r="CV44" s="149">
        <f>$CT44*BEL!CI44</f>
        <v>0</v>
      </c>
      <c r="CW44" s="149">
        <f>$CT44*BEL!CJ44</f>
        <v>0</v>
      </c>
      <c r="CX44" s="149">
        <f>$CT44*BEL!CK44</f>
        <v>0</v>
      </c>
      <c r="CY44" s="149">
        <f t="shared" si="61"/>
        <v>0</v>
      </c>
      <c r="CZ44" s="149">
        <f>$CT44*(BEL!CL44+'RA CSM'!CG44)</f>
        <v>0</v>
      </c>
      <c r="DA44" s="149">
        <f t="shared" si="62"/>
        <v>0</v>
      </c>
    </row>
    <row r="45" spans="2:105" x14ac:dyDescent="0.2">
      <c r="B45" s="130">
        <f>BEL!B45</f>
        <v>3</v>
      </c>
      <c r="C45" s="130">
        <f>BEL!C45</f>
        <v>33</v>
      </c>
      <c r="D45" s="190">
        <f>BEL!D45</f>
        <v>0</v>
      </c>
      <c r="E45" s="190">
        <f>BEL!E45</f>
        <v>0</v>
      </c>
      <c r="F45" s="190">
        <f>BEL!F45</f>
        <v>0</v>
      </c>
      <c r="G45" s="190">
        <f>BEL!G45*(1+$V$5)</f>
        <v>0</v>
      </c>
      <c r="H45" s="190">
        <f>BEL!H45*(1+$V$5)</f>
        <v>1050</v>
      </c>
      <c r="I45" s="179">
        <f t="shared" si="2"/>
        <v>1126.7940400414739</v>
      </c>
      <c r="J45" s="130">
        <f>BEL!J45</f>
        <v>0</v>
      </c>
      <c r="K45" s="130">
        <f>BEL!K45</f>
        <v>0</v>
      </c>
      <c r="L45" s="130">
        <f>BEL!L45</f>
        <v>35</v>
      </c>
      <c r="M45" s="185">
        <f t="shared" ref="M45:M76" si="79">IF(AND(C45&lt;=$E$5-1,C45&lt;&gt;0),VLOOKUP(L45,Mortality,5,FALSE)*(1+$V$3),0)</f>
        <v>8.921042540299684E-5</v>
      </c>
      <c r="N45" s="185">
        <f t="shared" ref="N45:N72" si="80">IF($AJ$7=0,0,IF(AND(C45&lt;=$E$5-1,C45&lt;&gt;0), VLOOKUP(L45,Mortality,7,FALSE)*(1+$V$3), 0))</f>
        <v>0</v>
      </c>
      <c r="O45" s="185">
        <f t="shared" ref="O45:O72" si="81">IF($AK$7=0,0,IF(AND(C45&lt;=$E$5-1,C45&lt;&gt;0), VLOOKUP(L45,Mortality,9,FALSE)*(1+$V$3), 0))</f>
        <v>0</v>
      </c>
      <c r="P45" s="185">
        <f t="shared" ref="P45:P72" si="82">IF($AL$7=0,0,IF(AND(C45&lt;=$E$5-1,C45&lt;&gt;0), VLOOKUP(L45,Mortality,11,FALSE)*(1+$V$3), 0))</f>
        <v>0</v>
      </c>
      <c r="Q45" s="185">
        <f t="shared" ref="Q45:Q72" si="83">IF($AM$7=0,0,IF(AND(C45&lt;=$E$5-1,C45&lt;&gt;0), VLOOKUP(L45,Mortality,13,FALSE)*(1+$V$3), 0))</f>
        <v>0</v>
      </c>
      <c r="R45" s="185">
        <f t="shared" ref="R45:R72" si="84">IF($AP$7=0,0,IF(AND(C45&lt;=$E$5-1,C45&lt;&gt;0), VLOOKUP(L45,Mortality,15,FALSE)*(1+$V$3), 0))</f>
        <v>0</v>
      </c>
      <c r="S45" s="185">
        <f t="shared" ref="S45:S72" si="85">IF($AQ$7=0,0,IF(AND(C45&lt;=$E$5-1,C45&lt;&gt;0), VLOOKUP(L45,Mortality,17,FALSE)*(1+$V$3), 0))</f>
        <v>0</v>
      </c>
      <c r="T45" s="185">
        <f t="shared" ref="T45:T72" si="86">IF($AR$7=0,0,IF(AND(C45&lt;=$E$5-1,C45&lt;&gt;0), VLOOKUP(L45,Mortality,19,FALSE)*(1+$V$3), 0))</f>
        <v>0</v>
      </c>
      <c r="U45" s="196">
        <f>(C45&gt;0)*(C45&lt;$E$5)*VLOOKUP(MPP,ASUMSI!$BN$77:$CR$108,B45+1)*(1+$V$4)</f>
        <v>2.1547913217611846E-3</v>
      </c>
      <c r="V45" s="185">
        <f t="shared" si="11"/>
        <v>0</v>
      </c>
      <c r="W45" s="185">
        <f t="shared" si="63"/>
        <v>0.95520623563461604</v>
      </c>
      <c r="X45" s="185">
        <f t="shared" si="32"/>
        <v>8.5214354628559334E-5</v>
      </c>
      <c r="Y45" s="185">
        <f t="shared" si="33"/>
        <v>2.0582701070376397E-3</v>
      </c>
      <c r="Z45" s="185">
        <f t="shared" si="34"/>
        <v>0</v>
      </c>
      <c r="AA45" s="197">
        <f t="shared" si="35"/>
        <v>0.95306275117294981</v>
      </c>
      <c r="AB45" s="185">
        <f t="shared" ref="AB45:AD72" si="87">N45*$AA44</f>
        <v>0</v>
      </c>
      <c r="AC45" s="185">
        <f t="shared" si="87"/>
        <v>0</v>
      </c>
      <c r="AD45" s="185">
        <f t="shared" si="87"/>
        <v>0</v>
      </c>
      <c r="AE45" s="185">
        <f t="shared" ref="AE45:AE72" si="88">Q45*$AA44</f>
        <v>0</v>
      </c>
      <c r="AF45" s="185">
        <f t="shared" ref="AF45:AF72" si="89">R45*$AA44</f>
        <v>0</v>
      </c>
      <c r="AG45" s="185">
        <f t="shared" ref="AG45:AG72" si="90">S45*$AA44</f>
        <v>0</v>
      </c>
      <c r="AH45" s="185">
        <f t="shared" ref="AH45:AH72" si="91">T45*$AA44</f>
        <v>0</v>
      </c>
      <c r="AI45" s="125">
        <f>BEL!AI45</f>
        <v>7133050.1008200003</v>
      </c>
      <c r="AJ45" s="125">
        <f>BEL!AJ45</f>
        <v>0</v>
      </c>
      <c r="AK45" s="125">
        <f>BEL!AK45</f>
        <v>0</v>
      </c>
      <c r="AL45" s="125">
        <f>BEL!AL45</f>
        <v>0</v>
      </c>
      <c r="AM45" s="125">
        <f>BEL!AM45</f>
        <v>0</v>
      </c>
      <c r="AN45" s="125">
        <f>BEL!AN45</f>
        <v>0</v>
      </c>
      <c r="AO45" s="198">
        <f t="shared" si="13"/>
        <v>0</v>
      </c>
      <c r="AP45" s="125">
        <f>BEL!AP45</f>
        <v>0</v>
      </c>
      <c r="AQ45" s="125">
        <f>BEL!AQ45</f>
        <v>0</v>
      </c>
      <c r="AR45" s="125">
        <f>BEL!AR45</f>
        <v>0</v>
      </c>
      <c r="AS45" s="125">
        <f>BEL!AS45</f>
        <v>0</v>
      </c>
      <c r="AT45" s="125">
        <f>BEL!AT45</f>
        <v>0</v>
      </c>
      <c r="AU45" s="127">
        <f>BEL!AU45</f>
        <v>13800</v>
      </c>
      <c r="AV45" s="127">
        <f>BEL!AV45</f>
        <v>0</v>
      </c>
      <c r="AW45" s="127">
        <f>BEL!AW45</f>
        <v>0</v>
      </c>
      <c r="AX45" s="127">
        <f t="shared" ref="AX45:AX72" si="92">IF(AI45=0,0,(AI45+AT45)*X45)</f>
        <v>607.83826087455645</v>
      </c>
      <c r="AY45" s="127">
        <f t="shared" si="41"/>
        <v>0</v>
      </c>
      <c r="AZ45" s="127">
        <f t="shared" ref="AZ45:AZ72" si="93">AK45*AC45</f>
        <v>0</v>
      </c>
      <c r="BA45" s="127">
        <f t="shared" ref="BA45:BA72" si="94">AL45*AD45</f>
        <v>0</v>
      </c>
      <c r="BB45" s="127">
        <f t="shared" ref="BB45:BB72" si="95">AM45*AE45</f>
        <v>0</v>
      </c>
      <c r="BC45" s="127">
        <f t="shared" ref="BC45:BC72" si="96">AO45*X45</f>
        <v>0</v>
      </c>
      <c r="BD45" s="127">
        <f t="shared" ref="BD45:BD72" si="97">AP45*AF45</f>
        <v>0</v>
      </c>
      <c r="BE45" s="127">
        <f t="shared" ref="BE45:BE72" si="98">AQ45*AG45</f>
        <v>0</v>
      </c>
      <c r="BF45" s="127">
        <f t="shared" ref="BF45:BF72" si="99">AR45*AH45</f>
        <v>0</v>
      </c>
      <c r="BG45" s="127">
        <f t="shared" ref="BG45:BG72" si="100">(AU45+AT45)*Y45</f>
        <v>28.404127477119427</v>
      </c>
      <c r="BH45" s="127">
        <f t="shared" ref="BH45:BH72" si="101">AV45*AA45</f>
        <v>0</v>
      </c>
      <c r="BI45" s="127">
        <f t="shared" si="42"/>
        <v>0</v>
      </c>
      <c r="BJ45" s="189">
        <f t="shared" si="64"/>
        <v>607.83826087455645</v>
      </c>
      <c r="BK45" s="189">
        <f t="shared" si="65"/>
        <v>28.404127477119427</v>
      </c>
      <c r="BL45" s="192">
        <f t="shared" si="66"/>
        <v>0</v>
      </c>
      <c r="BM45" s="192">
        <f t="shared" si="67"/>
        <v>0</v>
      </c>
      <c r="BN45" s="192">
        <f t="shared" si="68"/>
        <v>0</v>
      </c>
      <c r="BO45" s="192">
        <f t="shared" si="69"/>
        <v>1076.3206933235372</v>
      </c>
      <c r="BP45" s="192">
        <f t="shared" si="70"/>
        <v>1076.3206933235372</v>
      </c>
      <c r="BQ45" s="193">
        <f t="shared" si="46"/>
        <v>1076.3206933235372</v>
      </c>
      <c r="BR45" s="193">
        <f t="shared" si="71"/>
        <v>0</v>
      </c>
      <c r="BS45" s="188">
        <f t="shared" si="48"/>
        <v>1363.3693419625017</v>
      </c>
      <c r="BT45" s="188">
        <f t="shared" si="49"/>
        <v>56.31332045821884</v>
      </c>
      <c r="BU45" s="188">
        <f t="shared" si="50"/>
        <v>0</v>
      </c>
      <c r="BV45" s="188">
        <f t="shared" si="51"/>
        <v>0</v>
      </c>
      <c r="BW45" s="188">
        <f t="shared" si="52"/>
        <v>0</v>
      </c>
      <c r="BX45" s="188">
        <f t="shared" si="53"/>
        <v>4276.5880203160059</v>
      </c>
      <c r="BY45" s="188">
        <f t="shared" si="54"/>
        <v>4276.5880203160059</v>
      </c>
      <c r="BZ45" s="188">
        <f t="shared" si="55"/>
        <v>4276.5880203160059</v>
      </c>
      <c r="CA45" s="188">
        <f t="shared" si="56"/>
        <v>0</v>
      </c>
      <c r="CB45" s="149">
        <f t="shared" si="57"/>
        <v>5696.2706827367265</v>
      </c>
      <c r="CC45" s="149">
        <f>CB45-BEL!CB45</f>
        <v>238.03847840033268</v>
      </c>
      <c r="CD45" s="189">
        <f>IF(AND(C45=0,C46=0),0,CB45/W45) - BEL!CC45</f>
        <v>205.66224394513119</v>
      </c>
      <c r="CF45" s="195">
        <f t="shared" si="72"/>
        <v>56.908011268652345</v>
      </c>
      <c r="CG45" s="127">
        <f t="shared" si="73"/>
        <v>0.24860240905276931</v>
      </c>
      <c r="CH45" s="128">
        <f>'DATA INPUT - DETAIL'!AH36</f>
        <v>0.39725871042299998</v>
      </c>
      <c r="CI45" s="125">
        <f t="shared" si="74"/>
        <v>-22.705962641750737</v>
      </c>
      <c r="CJ45" s="199">
        <f t="shared" si="75"/>
        <v>34.45065103595438</v>
      </c>
      <c r="CL45" s="189">
        <f t="shared" si="76"/>
        <v>2139.7238354476922</v>
      </c>
      <c r="CM45" s="149">
        <f t="shared" si="58"/>
        <v>9.3473746198708909</v>
      </c>
      <c r="CN45" s="128">
        <f>'DATA INPUT - DETAIL'!AH36</f>
        <v>0.39725871042299998</v>
      </c>
      <c r="CO45" s="149">
        <f t="shared" si="59"/>
        <v>-853.73725751863628</v>
      </c>
      <c r="CP45" s="149">
        <f t="shared" si="60"/>
        <v>1295.3339525489268</v>
      </c>
      <c r="CR45" s="126">
        <f t="shared" si="77"/>
        <v>33</v>
      </c>
      <c r="CS45" s="189">
        <f t="shared" si="78"/>
        <v>0</v>
      </c>
      <c r="CT45" s="200">
        <f>CS45/(BEL!CE45+BEL!CA45-BEL!BU45+'RA CSM'!CF45)</f>
        <v>0</v>
      </c>
      <c r="CU45" s="149">
        <f>$CT45*BEL!CH45</f>
        <v>0</v>
      </c>
      <c r="CV45" s="149">
        <f>$CT45*BEL!CI45</f>
        <v>0</v>
      </c>
      <c r="CW45" s="149">
        <f>$CT45*BEL!CJ45</f>
        <v>0</v>
      </c>
      <c r="CX45" s="149">
        <f>$CT45*BEL!CK45</f>
        <v>0</v>
      </c>
      <c r="CY45" s="149">
        <f t="shared" si="61"/>
        <v>0</v>
      </c>
      <c r="CZ45" s="149">
        <f>$CT45*(BEL!CL45+'RA CSM'!CG45)</f>
        <v>0</v>
      </c>
      <c r="DA45" s="149">
        <f t="shared" si="62"/>
        <v>0</v>
      </c>
    </row>
    <row r="46" spans="2:105" x14ac:dyDescent="0.2">
      <c r="B46" s="130">
        <f>BEL!B46</f>
        <v>3</v>
      </c>
      <c r="C46" s="130">
        <f>BEL!C46</f>
        <v>34</v>
      </c>
      <c r="D46" s="190">
        <f>BEL!D46</f>
        <v>0</v>
      </c>
      <c r="E46" s="190">
        <f>BEL!E46</f>
        <v>0</v>
      </c>
      <c r="F46" s="190">
        <f>BEL!F46</f>
        <v>0</v>
      </c>
      <c r="G46" s="190">
        <f>BEL!G46*(1+$V$5)</f>
        <v>0</v>
      </c>
      <c r="H46" s="190">
        <f>BEL!H46*(1+$V$5)</f>
        <v>1050</v>
      </c>
      <c r="I46" s="179">
        <f t="shared" si="2"/>
        <v>1129.2068082231362</v>
      </c>
      <c r="J46" s="130">
        <f>BEL!J46</f>
        <v>0</v>
      </c>
      <c r="K46" s="130">
        <f>BEL!K46</f>
        <v>0</v>
      </c>
      <c r="L46" s="130">
        <f>BEL!L46</f>
        <v>35</v>
      </c>
      <c r="M46" s="185">
        <f t="shared" si="79"/>
        <v>8.921042540299684E-5</v>
      </c>
      <c r="N46" s="185">
        <f t="shared" si="80"/>
        <v>0</v>
      </c>
      <c r="O46" s="185">
        <f t="shared" si="81"/>
        <v>0</v>
      </c>
      <c r="P46" s="185">
        <f t="shared" si="82"/>
        <v>0</v>
      </c>
      <c r="Q46" s="185">
        <f t="shared" si="83"/>
        <v>0</v>
      </c>
      <c r="R46" s="185">
        <f t="shared" si="84"/>
        <v>0</v>
      </c>
      <c r="S46" s="185">
        <f t="shared" si="85"/>
        <v>0</v>
      </c>
      <c r="T46" s="185">
        <f t="shared" si="86"/>
        <v>0</v>
      </c>
      <c r="U46" s="196">
        <f>(C46&gt;0)*(C46&lt;$E$5)*VLOOKUP(MPP,ASUMSI!$BN$77:$CR$108,B46+1)*(1+$V$4)</f>
        <v>2.1547913217611846E-3</v>
      </c>
      <c r="V46" s="185">
        <f t="shared" si="11"/>
        <v>0</v>
      </c>
      <c r="W46" s="185">
        <f t="shared" si="63"/>
        <v>0.95306275117294981</v>
      </c>
      <c r="X46" s="185">
        <f t="shared" si="32"/>
        <v>8.5023133467889371E-5</v>
      </c>
      <c r="Y46" s="185">
        <f t="shared" si="33"/>
        <v>2.0536513453213116E-3</v>
      </c>
      <c r="Z46" s="185">
        <f t="shared" si="34"/>
        <v>0</v>
      </c>
      <c r="AA46" s="197">
        <f t="shared" si="35"/>
        <v>0.95092407669416057</v>
      </c>
      <c r="AB46" s="185">
        <f t="shared" si="87"/>
        <v>0</v>
      </c>
      <c r="AC46" s="185">
        <f t="shared" si="87"/>
        <v>0</v>
      </c>
      <c r="AD46" s="185">
        <f t="shared" si="87"/>
        <v>0</v>
      </c>
      <c r="AE46" s="185">
        <f t="shared" si="88"/>
        <v>0</v>
      </c>
      <c r="AF46" s="185">
        <f t="shared" si="89"/>
        <v>0</v>
      </c>
      <c r="AG46" s="185">
        <f t="shared" si="90"/>
        <v>0</v>
      </c>
      <c r="AH46" s="185">
        <f t="shared" si="91"/>
        <v>0</v>
      </c>
      <c r="AI46" s="125">
        <f>BEL!AI46</f>
        <v>5393755.1011800002</v>
      </c>
      <c r="AJ46" s="125">
        <f>BEL!AJ46</f>
        <v>0</v>
      </c>
      <c r="AK46" s="125">
        <f>BEL!AK46</f>
        <v>0</v>
      </c>
      <c r="AL46" s="125">
        <f>BEL!AL46</f>
        <v>0</v>
      </c>
      <c r="AM46" s="125">
        <f>BEL!AM46</f>
        <v>0</v>
      </c>
      <c r="AN46" s="125">
        <f>BEL!AN46</f>
        <v>0</v>
      </c>
      <c r="AO46" s="198">
        <f t="shared" si="13"/>
        <v>0</v>
      </c>
      <c r="AP46" s="125">
        <f>BEL!AP46</f>
        <v>0</v>
      </c>
      <c r="AQ46" s="125">
        <f>BEL!AQ46</f>
        <v>0</v>
      </c>
      <c r="AR46" s="125">
        <f>BEL!AR46</f>
        <v>0</v>
      </c>
      <c r="AS46" s="125">
        <f>BEL!AS46</f>
        <v>0</v>
      </c>
      <c r="AT46" s="125">
        <f>BEL!AT46</f>
        <v>0</v>
      </c>
      <c r="AU46" s="127">
        <f>BEL!AU46</f>
        <v>9200</v>
      </c>
      <c r="AV46" s="127">
        <f>BEL!AV46</f>
        <v>0</v>
      </c>
      <c r="AW46" s="127">
        <f>BEL!AW46</f>
        <v>0</v>
      </c>
      <c r="AX46" s="127">
        <f t="shared" si="92"/>
        <v>458.59395986073628</v>
      </c>
      <c r="AY46" s="127">
        <f t="shared" si="41"/>
        <v>0</v>
      </c>
      <c r="AZ46" s="127">
        <f t="shared" si="93"/>
        <v>0</v>
      </c>
      <c r="BA46" s="127">
        <f t="shared" si="94"/>
        <v>0</v>
      </c>
      <c r="BB46" s="127">
        <f t="shared" si="95"/>
        <v>0</v>
      </c>
      <c r="BC46" s="127">
        <f t="shared" si="96"/>
        <v>0</v>
      </c>
      <c r="BD46" s="127">
        <f t="shared" si="97"/>
        <v>0</v>
      </c>
      <c r="BE46" s="127">
        <f t="shared" si="98"/>
        <v>0</v>
      </c>
      <c r="BF46" s="127">
        <f t="shared" si="99"/>
        <v>0</v>
      </c>
      <c r="BG46" s="127">
        <f t="shared" si="100"/>
        <v>18.893592376956068</v>
      </c>
      <c r="BH46" s="127">
        <f t="shared" si="101"/>
        <v>0</v>
      </c>
      <c r="BI46" s="127">
        <f t="shared" si="42"/>
        <v>0</v>
      </c>
      <c r="BJ46" s="189">
        <f t="shared" si="64"/>
        <v>458.59395986073628</v>
      </c>
      <c r="BK46" s="189">
        <f t="shared" si="65"/>
        <v>18.893592376956068</v>
      </c>
      <c r="BL46" s="192">
        <f t="shared" si="66"/>
        <v>0</v>
      </c>
      <c r="BM46" s="192">
        <f t="shared" si="67"/>
        <v>0</v>
      </c>
      <c r="BN46" s="192">
        <f t="shared" si="68"/>
        <v>0</v>
      </c>
      <c r="BO46" s="192">
        <f t="shared" si="69"/>
        <v>1076.2049472883677</v>
      </c>
      <c r="BP46" s="192">
        <f t="shared" si="70"/>
        <v>1076.2049472883677</v>
      </c>
      <c r="BQ46" s="193">
        <f t="shared" si="46"/>
        <v>1076.2049472883677</v>
      </c>
      <c r="BR46" s="193">
        <f t="shared" si="71"/>
        <v>0</v>
      </c>
      <c r="BS46" s="188">
        <f t="shared" si="48"/>
        <v>761.48695435226489</v>
      </c>
      <c r="BT46" s="188">
        <f t="shared" si="49"/>
        <v>28.155197485835728</v>
      </c>
      <c r="BU46" s="188">
        <f t="shared" si="50"/>
        <v>0</v>
      </c>
      <c r="BV46" s="188">
        <f t="shared" si="51"/>
        <v>0</v>
      </c>
      <c r="BW46" s="188">
        <f t="shared" si="52"/>
        <v>0</v>
      </c>
      <c r="BX46" s="188">
        <f t="shared" si="53"/>
        <v>3214.2476814165116</v>
      </c>
      <c r="BY46" s="188">
        <f t="shared" si="54"/>
        <v>3214.2476814165116</v>
      </c>
      <c r="BZ46" s="188">
        <f t="shared" si="55"/>
        <v>3214.2476814165116</v>
      </c>
      <c r="CA46" s="188">
        <f t="shared" si="56"/>
        <v>0</v>
      </c>
      <c r="CB46" s="149">
        <f t="shared" si="57"/>
        <v>4003.8898332546123</v>
      </c>
      <c r="CC46" s="149">
        <f>CB46-BEL!CB46</f>
        <v>179.97929516573595</v>
      </c>
      <c r="CD46" s="189">
        <f>IF(AND(C46=0,C47=0),0,CB46/W46) - BEL!CC46</f>
        <v>156.73078249070159</v>
      </c>
      <c r="CF46" s="195">
        <f t="shared" si="72"/>
        <v>34.45065103595438</v>
      </c>
      <c r="CG46" s="127">
        <f t="shared" si="73"/>
        <v>0.15049752486592843</v>
      </c>
      <c r="CH46" s="128">
        <f>'DATA INPUT - DETAIL'!AH37</f>
        <v>0.49779171282500001</v>
      </c>
      <c r="CI46" s="125">
        <f t="shared" si="74"/>
        <v>-17.224165007803023</v>
      </c>
      <c r="CJ46" s="199">
        <f t="shared" si="75"/>
        <v>17.376983553017283</v>
      </c>
      <c r="CL46" s="189">
        <f t="shared" si="76"/>
        <v>1295.3339525489268</v>
      </c>
      <c r="CM46" s="149">
        <f t="shared" si="58"/>
        <v>5.658660950411643</v>
      </c>
      <c r="CN46" s="128">
        <f>'DATA INPUT - DETAIL'!AH37</f>
        <v>0.49779171282500001</v>
      </c>
      <c r="CO46" s="149">
        <f t="shared" si="59"/>
        <v>-647.6233414465089</v>
      </c>
      <c r="CP46" s="149">
        <f t="shared" si="60"/>
        <v>653.3692720528295</v>
      </c>
      <c r="CR46" s="126">
        <f t="shared" si="77"/>
        <v>34</v>
      </c>
      <c r="CS46" s="189">
        <f t="shared" si="78"/>
        <v>0</v>
      </c>
      <c r="CT46" s="200">
        <f>CS46/(BEL!CE46+BEL!CA46-BEL!BU46+'RA CSM'!CF46)</f>
        <v>0</v>
      </c>
      <c r="CU46" s="149">
        <f>$CT46*BEL!CH46</f>
        <v>0</v>
      </c>
      <c r="CV46" s="149">
        <f>$CT46*BEL!CI46</f>
        <v>0</v>
      </c>
      <c r="CW46" s="149">
        <f>$CT46*BEL!CJ46</f>
        <v>0</v>
      </c>
      <c r="CX46" s="149">
        <f>$CT46*BEL!CK46</f>
        <v>0</v>
      </c>
      <c r="CY46" s="149">
        <f t="shared" si="61"/>
        <v>0</v>
      </c>
      <c r="CZ46" s="149">
        <f>$CT46*(BEL!CL46+'RA CSM'!CG46)</f>
        <v>0</v>
      </c>
      <c r="DA46" s="149">
        <f t="shared" si="62"/>
        <v>0</v>
      </c>
    </row>
    <row r="47" spans="2:105" x14ac:dyDescent="0.2">
      <c r="B47" s="130">
        <f>BEL!B47</f>
        <v>3</v>
      </c>
      <c r="C47" s="130">
        <f>BEL!C47</f>
        <v>35</v>
      </c>
      <c r="D47" s="190">
        <f>BEL!D47</f>
        <v>0</v>
      </c>
      <c r="E47" s="190">
        <f>BEL!E47</f>
        <v>0</v>
      </c>
      <c r="F47" s="190">
        <f>BEL!F47</f>
        <v>0</v>
      </c>
      <c r="G47" s="190">
        <f>BEL!G47*(1+$V$5)</f>
        <v>0</v>
      </c>
      <c r="H47" s="190">
        <f>BEL!H47*(1+$V$5)</f>
        <v>1050</v>
      </c>
      <c r="I47" s="179">
        <f t="shared" si="2"/>
        <v>1131.6247427884423</v>
      </c>
      <c r="J47" s="130">
        <f>BEL!J47</f>
        <v>0</v>
      </c>
      <c r="K47" s="130">
        <f>BEL!K47</f>
        <v>0</v>
      </c>
      <c r="L47" s="130">
        <f>BEL!L47</f>
        <v>35</v>
      </c>
      <c r="M47" s="185">
        <f t="shared" si="79"/>
        <v>8.921042540299684E-5</v>
      </c>
      <c r="N47" s="185">
        <f t="shared" si="80"/>
        <v>0</v>
      </c>
      <c r="O47" s="185">
        <f t="shared" si="81"/>
        <v>0</v>
      </c>
      <c r="P47" s="185">
        <f t="shared" si="82"/>
        <v>0</v>
      </c>
      <c r="Q47" s="185">
        <f t="shared" si="83"/>
        <v>0</v>
      </c>
      <c r="R47" s="185">
        <f t="shared" si="84"/>
        <v>0</v>
      </c>
      <c r="S47" s="185">
        <f t="shared" si="85"/>
        <v>0</v>
      </c>
      <c r="T47" s="185">
        <f t="shared" si="86"/>
        <v>0</v>
      </c>
      <c r="U47" s="196">
        <f>(C47&gt;0)*(C47&lt;$E$5)*VLOOKUP(MPP,ASUMSI!$BN$77:$CR$108,B47+1)*(1+$V$4)</f>
        <v>2.1547913217611846E-3</v>
      </c>
      <c r="V47" s="185">
        <f t="shared" si="11"/>
        <v>0</v>
      </c>
      <c r="W47" s="185">
        <f t="shared" si="63"/>
        <v>0.95092407669416057</v>
      </c>
      <c r="X47" s="185">
        <f t="shared" si="32"/>
        <v>8.4832341407838053E-5</v>
      </c>
      <c r="Y47" s="185">
        <f t="shared" si="33"/>
        <v>2.0490429481143445E-3</v>
      </c>
      <c r="Z47" s="185">
        <f t="shared" si="34"/>
        <v>0</v>
      </c>
      <c r="AA47" s="197">
        <f t="shared" si="35"/>
        <v>0.94879020140463843</v>
      </c>
      <c r="AB47" s="185">
        <f t="shared" si="87"/>
        <v>0</v>
      </c>
      <c r="AC47" s="185">
        <f t="shared" si="87"/>
        <v>0</v>
      </c>
      <c r="AD47" s="185">
        <f t="shared" si="87"/>
        <v>0</v>
      </c>
      <c r="AE47" s="185">
        <f t="shared" si="88"/>
        <v>0</v>
      </c>
      <c r="AF47" s="185">
        <f t="shared" si="89"/>
        <v>0</v>
      </c>
      <c r="AG47" s="185">
        <f t="shared" si="90"/>
        <v>0</v>
      </c>
      <c r="AH47" s="185">
        <f t="shared" si="91"/>
        <v>0</v>
      </c>
      <c r="AI47" s="125">
        <f>BEL!AI47</f>
        <v>3625471.8515400002</v>
      </c>
      <c r="AJ47" s="125">
        <f>BEL!AJ47</f>
        <v>0</v>
      </c>
      <c r="AK47" s="125">
        <f>BEL!AK47</f>
        <v>0</v>
      </c>
      <c r="AL47" s="125">
        <f>BEL!AL47</f>
        <v>0</v>
      </c>
      <c r="AM47" s="125">
        <f>BEL!AM47</f>
        <v>0</v>
      </c>
      <c r="AN47" s="125">
        <f>BEL!AN47</f>
        <v>0</v>
      </c>
      <c r="AO47" s="198">
        <f t="shared" si="13"/>
        <v>0</v>
      </c>
      <c r="AP47" s="125">
        <f>BEL!AP47</f>
        <v>0</v>
      </c>
      <c r="AQ47" s="125">
        <f>BEL!AQ47</f>
        <v>0</v>
      </c>
      <c r="AR47" s="125">
        <f>BEL!AR47</f>
        <v>0</v>
      </c>
      <c r="AS47" s="125">
        <f>BEL!AS47</f>
        <v>0</v>
      </c>
      <c r="AT47" s="125">
        <f>BEL!AT47</f>
        <v>0</v>
      </c>
      <c r="AU47" s="127">
        <f>BEL!AU47</f>
        <v>4600</v>
      </c>
      <c r="AV47" s="127">
        <f>BEL!AV47</f>
        <v>0</v>
      </c>
      <c r="AW47" s="127">
        <f>BEL!AW47</f>
        <v>0</v>
      </c>
      <c r="AX47" s="127">
        <f t="shared" si="92"/>
        <v>307.55726587434805</v>
      </c>
      <c r="AY47" s="127">
        <f t="shared" si="41"/>
        <v>0</v>
      </c>
      <c r="AZ47" s="127">
        <f t="shared" si="93"/>
        <v>0</v>
      </c>
      <c r="BA47" s="127">
        <f t="shared" si="94"/>
        <v>0</v>
      </c>
      <c r="BB47" s="127">
        <f t="shared" si="95"/>
        <v>0</v>
      </c>
      <c r="BC47" s="127">
        <f t="shared" si="96"/>
        <v>0</v>
      </c>
      <c r="BD47" s="127">
        <f t="shared" si="97"/>
        <v>0</v>
      </c>
      <c r="BE47" s="127">
        <f t="shared" si="98"/>
        <v>0</v>
      </c>
      <c r="BF47" s="127">
        <f t="shared" si="99"/>
        <v>0</v>
      </c>
      <c r="BG47" s="127">
        <f t="shared" si="100"/>
        <v>9.4255975613259846</v>
      </c>
      <c r="BH47" s="127">
        <f t="shared" si="101"/>
        <v>0</v>
      </c>
      <c r="BI47" s="127">
        <f t="shared" si="42"/>
        <v>0</v>
      </c>
      <c r="BJ47" s="189">
        <f t="shared" si="64"/>
        <v>307.55726587434805</v>
      </c>
      <c r="BK47" s="189">
        <f t="shared" si="65"/>
        <v>9.4255975613259846</v>
      </c>
      <c r="BL47" s="192">
        <f t="shared" si="66"/>
        <v>0</v>
      </c>
      <c r="BM47" s="192">
        <f t="shared" si="67"/>
        <v>0</v>
      </c>
      <c r="BN47" s="192">
        <f t="shared" si="68"/>
        <v>0</v>
      </c>
      <c r="BO47" s="192">
        <f t="shared" si="69"/>
        <v>1076.0892137003664</v>
      </c>
      <c r="BP47" s="192">
        <f t="shared" si="70"/>
        <v>1076.0892137003664</v>
      </c>
      <c r="BQ47" s="193">
        <f t="shared" si="46"/>
        <v>1076.0892137003664</v>
      </c>
      <c r="BR47" s="193">
        <f t="shared" si="71"/>
        <v>0</v>
      </c>
      <c r="BS47" s="188">
        <f t="shared" si="48"/>
        <v>306.21954706460212</v>
      </c>
      <c r="BT47" s="188">
        <f t="shared" si="49"/>
        <v>9.3846009712599514</v>
      </c>
      <c r="BU47" s="188">
        <f t="shared" si="50"/>
        <v>0</v>
      </c>
      <c r="BV47" s="188">
        <f t="shared" si="51"/>
        <v>0</v>
      </c>
      <c r="BW47" s="188">
        <f t="shared" si="52"/>
        <v>0</v>
      </c>
      <c r="BX47" s="188">
        <f t="shared" si="53"/>
        <v>2147.3827648639362</v>
      </c>
      <c r="BY47" s="188">
        <f t="shared" si="54"/>
        <v>2147.3827648639362</v>
      </c>
      <c r="BZ47" s="188">
        <f t="shared" si="55"/>
        <v>2147.3827648639362</v>
      </c>
      <c r="CA47" s="188">
        <f t="shared" si="56"/>
        <v>0</v>
      </c>
      <c r="CB47" s="149">
        <f t="shared" si="57"/>
        <v>2462.9869128997984</v>
      </c>
      <c r="CC47" s="149">
        <f>CB47-BEL!CB47</f>
        <v>120.63646446058283</v>
      </c>
      <c r="CD47" s="189">
        <f>IF(AND(C47=0,C48=0),0,CB47/W47) - BEL!CC47</f>
        <v>106.20096794866822</v>
      </c>
      <c r="CF47" s="195">
        <f t="shared" si="72"/>
        <v>17.376983553017283</v>
      </c>
      <c r="CG47" s="127">
        <f t="shared" si="73"/>
        <v>7.5911279924309849E-2</v>
      </c>
      <c r="CH47" s="128">
        <f>'DATA INPUT - DETAIL'!AH38</f>
        <v>0.66532861009199995</v>
      </c>
      <c r="CI47" s="125">
        <f t="shared" si="74"/>
        <v>-11.611910261282876</v>
      </c>
      <c r="CJ47" s="199">
        <f t="shared" si="75"/>
        <v>5.8409845716587157</v>
      </c>
      <c r="CL47" s="189">
        <f t="shared" si="76"/>
        <v>653.3692720528295</v>
      </c>
      <c r="CM47" s="149">
        <f t="shared" si="58"/>
        <v>2.8542409304480718</v>
      </c>
      <c r="CN47" s="128">
        <f>'DATA INPUT - DETAIL'!AH38</f>
        <v>0.66532861009199995</v>
      </c>
      <c r="CO47" s="149">
        <f t="shared" si="59"/>
        <v>-436.60427780285357</v>
      </c>
      <c r="CP47" s="149">
        <f t="shared" si="60"/>
        <v>219.61923518042403</v>
      </c>
      <c r="CR47" s="126">
        <f t="shared" si="77"/>
        <v>35</v>
      </c>
      <c r="CS47" s="189">
        <f t="shared" si="78"/>
        <v>0</v>
      </c>
      <c r="CT47" s="200">
        <f>CS47/(BEL!CE47+BEL!CA47-BEL!BU47+'RA CSM'!CF47)</f>
        <v>0</v>
      </c>
      <c r="CU47" s="149">
        <f>$CT47*BEL!CH47</f>
        <v>0</v>
      </c>
      <c r="CV47" s="149">
        <f>$CT47*BEL!CI47</f>
        <v>0</v>
      </c>
      <c r="CW47" s="149">
        <f>$CT47*BEL!CJ47</f>
        <v>0</v>
      </c>
      <c r="CX47" s="149">
        <f>$CT47*BEL!CK47</f>
        <v>0</v>
      </c>
      <c r="CY47" s="149">
        <f t="shared" si="61"/>
        <v>0</v>
      </c>
      <c r="CZ47" s="149">
        <f>$CT47*(BEL!CL47+'RA CSM'!CG47)</f>
        <v>0</v>
      </c>
      <c r="DA47" s="149">
        <f t="shared" si="62"/>
        <v>0</v>
      </c>
    </row>
    <row r="48" spans="2:105" x14ac:dyDescent="0.2">
      <c r="B48" s="130">
        <f>BEL!B48</f>
        <v>3</v>
      </c>
      <c r="C48" s="130">
        <f>BEL!C48</f>
        <v>36</v>
      </c>
      <c r="D48" s="190">
        <f>BEL!D48</f>
        <v>0</v>
      </c>
      <c r="E48" s="190">
        <f>BEL!E48</f>
        <v>0</v>
      </c>
      <c r="F48" s="190">
        <f>BEL!F48</f>
        <v>0</v>
      </c>
      <c r="G48" s="190">
        <f>BEL!G48*(1+$V$5)</f>
        <v>0</v>
      </c>
      <c r="H48" s="190">
        <f>BEL!H48*(1+$V$5)</f>
        <v>1050</v>
      </c>
      <c r="I48" s="179">
        <f t="shared" si="2"/>
        <v>1134.0478548000051</v>
      </c>
      <c r="J48" s="130">
        <f>BEL!J48</f>
        <v>0</v>
      </c>
      <c r="K48" s="130">
        <f>BEL!K48</f>
        <v>0</v>
      </c>
      <c r="L48" s="130">
        <f>BEL!L48</f>
        <v>35</v>
      </c>
      <c r="M48" s="185">
        <f t="shared" si="79"/>
        <v>0</v>
      </c>
      <c r="N48" s="185">
        <f t="shared" si="80"/>
        <v>0</v>
      </c>
      <c r="O48" s="185">
        <f t="shared" si="81"/>
        <v>0</v>
      </c>
      <c r="P48" s="185">
        <f t="shared" si="82"/>
        <v>0</v>
      </c>
      <c r="Q48" s="185">
        <f t="shared" si="83"/>
        <v>0</v>
      </c>
      <c r="R48" s="185">
        <f t="shared" si="84"/>
        <v>0</v>
      </c>
      <c r="S48" s="185">
        <f t="shared" si="85"/>
        <v>0</v>
      </c>
      <c r="T48" s="185">
        <f t="shared" si="86"/>
        <v>0</v>
      </c>
      <c r="U48" s="196">
        <f>(C48&gt;0)*(C48&lt;$E$5)*VLOOKUP(MPP,ASUMSI!$BN$77:$CR$108,B48+1)*(1+$V$4)</f>
        <v>0</v>
      </c>
      <c r="V48" s="185">
        <f t="shared" si="11"/>
        <v>1</v>
      </c>
      <c r="W48" s="185">
        <f t="shared" si="63"/>
        <v>0.94879020140463843</v>
      </c>
      <c r="X48" s="185">
        <f t="shared" si="32"/>
        <v>0</v>
      </c>
      <c r="Y48" s="185">
        <f t="shared" si="33"/>
        <v>0</v>
      </c>
      <c r="Z48" s="185">
        <f t="shared" si="34"/>
        <v>0.94879020140463843</v>
      </c>
      <c r="AA48" s="197">
        <f t="shared" si="35"/>
        <v>0</v>
      </c>
      <c r="AB48" s="185">
        <f t="shared" si="87"/>
        <v>0</v>
      </c>
      <c r="AC48" s="185">
        <f t="shared" si="87"/>
        <v>0</v>
      </c>
      <c r="AD48" s="185">
        <f t="shared" si="87"/>
        <v>0</v>
      </c>
      <c r="AE48" s="185">
        <f t="shared" si="88"/>
        <v>0</v>
      </c>
      <c r="AF48" s="185">
        <f t="shared" si="89"/>
        <v>0</v>
      </c>
      <c r="AG48" s="185">
        <f t="shared" si="90"/>
        <v>0</v>
      </c>
      <c r="AH48" s="185">
        <f t="shared" si="91"/>
        <v>0</v>
      </c>
      <c r="AI48" s="125">
        <f>BEL!AI48</f>
        <v>1827717.21441</v>
      </c>
      <c r="AJ48" s="125">
        <f>BEL!AJ48</f>
        <v>0</v>
      </c>
      <c r="AK48" s="125">
        <f>BEL!AK48</f>
        <v>0</v>
      </c>
      <c r="AL48" s="125">
        <f>BEL!AL48</f>
        <v>0</v>
      </c>
      <c r="AM48" s="125">
        <f>BEL!AM48</f>
        <v>0</v>
      </c>
      <c r="AN48" s="125">
        <f>BEL!AN48</f>
        <v>0</v>
      </c>
      <c r="AO48" s="198">
        <f t="shared" si="13"/>
        <v>0</v>
      </c>
      <c r="AP48" s="125">
        <f>BEL!AP48</f>
        <v>0</v>
      </c>
      <c r="AQ48" s="125">
        <f>BEL!AQ48</f>
        <v>0</v>
      </c>
      <c r="AR48" s="125">
        <f>BEL!AR48</f>
        <v>0</v>
      </c>
      <c r="AS48" s="125">
        <f>BEL!AS48</f>
        <v>0</v>
      </c>
      <c r="AT48" s="125">
        <f>BEL!AT48</f>
        <v>0</v>
      </c>
      <c r="AU48" s="127">
        <f>BEL!AU48</f>
        <v>0</v>
      </c>
      <c r="AV48" s="127">
        <f>BEL!AV48</f>
        <v>0</v>
      </c>
      <c r="AW48" s="127">
        <f>BEL!AW48</f>
        <v>0</v>
      </c>
      <c r="AX48" s="127">
        <f t="shared" si="92"/>
        <v>0</v>
      </c>
      <c r="AY48" s="127">
        <f t="shared" si="41"/>
        <v>0</v>
      </c>
      <c r="AZ48" s="127">
        <f t="shared" si="93"/>
        <v>0</v>
      </c>
      <c r="BA48" s="127">
        <f t="shared" si="94"/>
        <v>0</v>
      </c>
      <c r="BB48" s="127">
        <f t="shared" si="95"/>
        <v>0</v>
      </c>
      <c r="BC48" s="127">
        <f t="shared" si="96"/>
        <v>0</v>
      </c>
      <c r="BD48" s="127">
        <f t="shared" si="97"/>
        <v>0</v>
      </c>
      <c r="BE48" s="127">
        <f t="shared" si="98"/>
        <v>0</v>
      </c>
      <c r="BF48" s="127">
        <f t="shared" si="99"/>
        <v>0</v>
      </c>
      <c r="BG48" s="127">
        <f t="shared" si="100"/>
        <v>0</v>
      </c>
      <c r="BH48" s="127">
        <f t="shared" si="101"/>
        <v>0</v>
      </c>
      <c r="BI48" s="127">
        <f t="shared" si="42"/>
        <v>0</v>
      </c>
      <c r="BJ48" s="189">
        <f t="shared" si="64"/>
        <v>0</v>
      </c>
      <c r="BK48" s="189">
        <f t="shared" si="65"/>
        <v>0</v>
      </c>
      <c r="BL48" s="192">
        <f t="shared" si="66"/>
        <v>0</v>
      </c>
      <c r="BM48" s="192">
        <f t="shared" si="67"/>
        <v>0</v>
      </c>
      <c r="BN48" s="192">
        <f t="shared" si="68"/>
        <v>0</v>
      </c>
      <c r="BO48" s="192">
        <f t="shared" si="69"/>
        <v>1075.9734925581949</v>
      </c>
      <c r="BP48" s="192">
        <f t="shared" si="70"/>
        <v>1075.9734925581949</v>
      </c>
      <c r="BQ48" s="193">
        <f t="shared" si="46"/>
        <v>1075.9734925581949</v>
      </c>
      <c r="BR48" s="193">
        <f t="shared" si="71"/>
        <v>0</v>
      </c>
      <c r="BS48" s="188">
        <f t="shared" si="48"/>
        <v>0</v>
      </c>
      <c r="BT48" s="188">
        <f t="shared" si="49"/>
        <v>0</v>
      </c>
      <c r="BU48" s="188">
        <f t="shared" si="50"/>
        <v>0</v>
      </c>
      <c r="BV48" s="188">
        <f t="shared" si="51"/>
        <v>0</v>
      </c>
      <c r="BW48" s="188">
        <f t="shared" si="52"/>
        <v>0</v>
      </c>
      <c r="BX48" s="188">
        <f t="shared" si="53"/>
        <v>1075.9734925581949</v>
      </c>
      <c r="BY48" s="188">
        <f t="shared" si="54"/>
        <v>1075.9734925581949</v>
      </c>
      <c r="BZ48" s="188">
        <f t="shared" si="55"/>
        <v>1075.9734925581949</v>
      </c>
      <c r="CA48" s="188">
        <f t="shared" si="56"/>
        <v>0</v>
      </c>
      <c r="CB48" s="149">
        <f t="shared" si="57"/>
        <v>1075.9734925581949</v>
      </c>
      <c r="CC48" s="149">
        <f>CB48-BEL!CB48</f>
        <v>60.148017928056788</v>
      </c>
      <c r="CD48" s="189">
        <f>IF(AND(C48=0,C49=0),0,CB48/W48) - BEL!CC48</f>
        <v>54.002278800000113</v>
      </c>
      <c r="CF48" s="195">
        <f t="shared" si="72"/>
        <v>5.8409845716587157</v>
      </c>
      <c r="CG48" s="127">
        <f t="shared" si="73"/>
        <v>2.5516316655301768E-2</v>
      </c>
      <c r="CH48" s="128">
        <f>'DATA INPUT - DETAIL'!AH39</f>
        <v>1</v>
      </c>
      <c r="CI48" s="125">
        <f t="shared" si="74"/>
        <v>-5.8665008883140173</v>
      </c>
      <c r="CJ48" s="199">
        <f t="shared" si="75"/>
        <v>0</v>
      </c>
      <c r="CL48" s="189">
        <f t="shared" si="76"/>
        <v>219.61923518042403</v>
      </c>
      <c r="CM48" s="149">
        <f t="shared" si="58"/>
        <v>0.959405709723953</v>
      </c>
      <c r="CN48" s="128">
        <f>'DATA INPUT - DETAIL'!AH39</f>
        <v>1</v>
      </c>
      <c r="CO48" s="149">
        <f t="shared" si="59"/>
        <v>-220.57864089014799</v>
      </c>
      <c r="CP48" s="149">
        <f t="shared" si="60"/>
        <v>0</v>
      </c>
      <c r="CR48" s="126">
        <f t="shared" si="77"/>
        <v>36</v>
      </c>
      <c r="CS48" s="189">
        <f t="shared" si="78"/>
        <v>0</v>
      </c>
      <c r="CT48" s="200">
        <f>CS48/(BEL!CE48+BEL!CA48-BEL!BU48+'RA CSM'!CF48)</f>
        <v>0</v>
      </c>
      <c r="CU48" s="149">
        <f>$CT48*BEL!CH48</f>
        <v>0</v>
      </c>
      <c r="CV48" s="149">
        <f>$CT48*BEL!CI48</f>
        <v>0</v>
      </c>
      <c r="CW48" s="149">
        <f>$CT48*BEL!CJ48</f>
        <v>0</v>
      </c>
      <c r="CX48" s="149">
        <f>$CT48*BEL!CK48</f>
        <v>0</v>
      </c>
      <c r="CY48" s="149">
        <f t="shared" si="61"/>
        <v>0</v>
      </c>
      <c r="CZ48" s="149">
        <f>$CT48*(BEL!CL48+'RA CSM'!CG48)</f>
        <v>0</v>
      </c>
      <c r="DA48" s="149">
        <f t="shared" si="62"/>
        <v>0</v>
      </c>
    </row>
    <row r="49" spans="2:105" x14ac:dyDescent="0.2">
      <c r="B49" s="130">
        <f>BEL!B49</f>
        <v>0</v>
      </c>
      <c r="C49" s="130">
        <f>BEL!C49</f>
        <v>0</v>
      </c>
      <c r="D49" s="190">
        <f>BEL!D49</f>
        <v>0</v>
      </c>
      <c r="E49" s="190">
        <f>BEL!E49</f>
        <v>0</v>
      </c>
      <c r="F49" s="190">
        <f>BEL!F49</f>
        <v>0</v>
      </c>
      <c r="G49" s="190">
        <f>BEL!G49*(1+$V$5)</f>
        <v>0</v>
      </c>
      <c r="H49" s="190">
        <f>BEL!H49*(1+$V$5)</f>
        <v>0</v>
      </c>
      <c r="I49" s="179">
        <f t="shared" si="2"/>
        <v>0</v>
      </c>
      <c r="J49" s="130">
        <f>BEL!J49</f>
        <v>0</v>
      </c>
      <c r="K49" s="130">
        <f>BEL!K49</f>
        <v>0</v>
      </c>
      <c r="L49" s="130">
        <f>BEL!L49</f>
        <v>0</v>
      </c>
      <c r="M49" s="185">
        <f t="shared" si="79"/>
        <v>0</v>
      </c>
      <c r="N49" s="185">
        <f t="shared" si="80"/>
        <v>0</v>
      </c>
      <c r="O49" s="185">
        <f t="shared" si="81"/>
        <v>0</v>
      </c>
      <c r="P49" s="185">
        <f t="shared" si="82"/>
        <v>0</v>
      </c>
      <c r="Q49" s="185">
        <f t="shared" si="83"/>
        <v>0</v>
      </c>
      <c r="R49" s="185">
        <f t="shared" si="84"/>
        <v>0</v>
      </c>
      <c r="S49" s="185">
        <f t="shared" si="85"/>
        <v>0</v>
      </c>
      <c r="T49" s="185">
        <f t="shared" si="86"/>
        <v>0</v>
      </c>
      <c r="U49" s="196">
        <f>(C49&gt;0)*(C49&lt;$E$5)*VLOOKUP(MPP,ASUMSI!$BN$77:$CR$108,B49+1)*(1+$V$4)</f>
        <v>0</v>
      </c>
      <c r="V49" s="185">
        <f t="shared" si="11"/>
        <v>0</v>
      </c>
      <c r="W49" s="185">
        <f t="shared" si="63"/>
        <v>0</v>
      </c>
      <c r="X49" s="185">
        <f t="shared" si="32"/>
        <v>0</v>
      </c>
      <c r="Y49" s="185">
        <f t="shared" si="33"/>
        <v>0</v>
      </c>
      <c r="Z49" s="185">
        <f t="shared" si="34"/>
        <v>0</v>
      </c>
      <c r="AA49" s="197">
        <f t="shared" si="35"/>
        <v>0</v>
      </c>
      <c r="AB49" s="185">
        <f t="shared" si="87"/>
        <v>0</v>
      </c>
      <c r="AC49" s="185">
        <f t="shared" si="87"/>
        <v>0</v>
      </c>
      <c r="AD49" s="185">
        <f t="shared" si="87"/>
        <v>0</v>
      </c>
      <c r="AE49" s="185">
        <f t="shared" si="88"/>
        <v>0</v>
      </c>
      <c r="AF49" s="185">
        <f t="shared" si="89"/>
        <v>0</v>
      </c>
      <c r="AG49" s="185">
        <f t="shared" si="90"/>
        <v>0</v>
      </c>
      <c r="AH49" s="185">
        <f t="shared" si="91"/>
        <v>0</v>
      </c>
      <c r="AI49" s="125">
        <f>BEL!AI49</f>
        <v>0</v>
      </c>
      <c r="AJ49" s="125">
        <f>BEL!AJ49</f>
        <v>0</v>
      </c>
      <c r="AK49" s="125">
        <f>BEL!AK49</f>
        <v>0</v>
      </c>
      <c r="AL49" s="125">
        <f>BEL!AL49</f>
        <v>0</v>
      </c>
      <c r="AM49" s="125">
        <f>BEL!AM49</f>
        <v>0</v>
      </c>
      <c r="AN49" s="125">
        <f>BEL!AN49</f>
        <v>0</v>
      </c>
      <c r="AO49" s="198">
        <f t="shared" si="13"/>
        <v>0</v>
      </c>
      <c r="AP49" s="125">
        <f>BEL!AP49</f>
        <v>0</v>
      </c>
      <c r="AQ49" s="125">
        <f>BEL!AQ49</f>
        <v>0</v>
      </c>
      <c r="AR49" s="125">
        <f>BEL!AR49</f>
        <v>0</v>
      </c>
      <c r="AS49" s="125">
        <f>BEL!AS49</f>
        <v>0</v>
      </c>
      <c r="AT49" s="125">
        <f>BEL!AT49</f>
        <v>0</v>
      </c>
      <c r="AU49" s="127">
        <f>BEL!AU49</f>
        <v>0</v>
      </c>
      <c r="AV49" s="127">
        <f>BEL!AV49</f>
        <v>0</v>
      </c>
      <c r="AW49" s="127">
        <f>BEL!AW49</f>
        <v>0</v>
      </c>
      <c r="AX49" s="127">
        <f t="shared" si="92"/>
        <v>0</v>
      </c>
      <c r="AY49" s="127">
        <f t="shared" si="41"/>
        <v>0</v>
      </c>
      <c r="AZ49" s="127">
        <f t="shared" si="93"/>
        <v>0</v>
      </c>
      <c r="BA49" s="127">
        <f t="shared" si="94"/>
        <v>0</v>
      </c>
      <c r="BB49" s="127">
        <f t="shared" si="95"/>
        <v>0</v>
      </c>
      <c r="BC49" s="127">
        <f t="shared" si="96"/>
        <v>0</v>
      </c>
      <c r="BD49" s="127">
        <f t="shared" si="97"/>
        <v>0</v>
      </c>
      <c r="BE49" s="127">
        <f t="shared" si="98"/>
        <v>0</v>
      </c>
      <c r="BF49" s="127">
        <f t="shared" si="99"/>
        <v>0</v>
      </c>
      <c r="BG49" s="127">
        <f t="shared" si="100"/>
        <v>0</v>
      </c>
      <c r="BH49" s="127">
        <f t="shared" si="101"/>
        <v>0</v>
      </c>
      <c r="BI49" s="127">
        <f t="shared" si="42"/>
        <v>0</v>
      </c>
      <c r="BJ49" s="189">
        <f t="shared" si="64"/>
        <v>0</v>
      </c>
      <c r="BK49" s="189">
        <f t="shared" si="65"/>
        <v>0</v>
      </c>
      <c r="BL49" s="192">
        <f t="shared" si="66"/>
        <v>0</v>
      </c>
      <c r="BM49" s="192">
        <f t="shared" si="67"/>
        <v>0</v>
      </c>
      <c r="BN49" s="192">
        <f t="shared" si="68"/>
        <v>0</v>
      </c>
      <c r="BO49" s="192">
        <f t="shared" si="69"/>
        <v>0</v>
      </c>
      <c r="BP49" s="192">
        <f t="shared" si="70"/>
        <v>0</v>
      </c>
      <c r="BQ49" s="193">
        <f t="shared" si="46"/>
        <v>0</v>
      </c>
      <c r="BR49" s="193">
        <f t="shared" si="71"/>
        <v>0</v>
      </c>
      <c r="BS49" s="188">
        <f t="shared" si="48"/>
        <v>0</v>
      </c>
      <c r="BT49" s="188">
        <f t="shared" si="49"/>
        <v>0</v>
      </c>
      <c r="BU49" s="188">
        <f t="shared" si="50"/>
        <v>0</v>
      </c>
      <c r="BV49" s="188">
        <f t="shared" si="51"/>
        <v>0</v>
      </c>
      <c r="BW49" s="188">
        <f t="shared" si="52"/>
        <v>0</v>
      </c>
      <c r="BX49" s="188">
        <f t="shared" si="53"/>
        <v>0</v>
      </c>
      <c r="BY49" s="188">
        <f t="shared" si="54"/>
        <v>0</v>
      </c>
      <c r="BZ49" s="188">
        <f t="shared" si="55"/>
        <v>0</v>
      </c>
      <c r="CA49" s="188">
        <f t="shared" si="56"/>
        <v>0</v>
      </c>
      <c r="CB49" s="149">
        <f t="shared" si="57"/>
        <v>0</v>
      </c>
      <c r="CC49" s="149">
        <f>CB49-BEL!CB49</f>
        <v>0</v>
      </c>
      <c r="CD49" s="189">
        <f>IF(AND(C49=0,C50=0),0,CB49/W49) - BEL!CC49</f>
        <v>0</v>
      </c>
      <c r="CF49" s="195">
        <f t="shared" si="72"/>
        <v>0</v>
      </c>
      <c r="CG49" s="127">
        <f t="shared" si="73"/>
        <v>0</v>
      </c>
      <c r="CH49" s="128">
        <f>'DATA INPUT - DETAIL'!AH40</f>
        <v>0</v>
      </c>
      <c r="CI49" s="125">
        <f t="shared" si="74"/>
        <v>0</v>
      </c>
      <c r="CJ49" s="199">
        <f t="shared" si="75"/>
        <v>0</v>
      </c>
      <c r="CL49" s="189">
        <f t="shared" si="76"/>
        <v>0</v>
      </c>
      <c r="CM49" s="149">
        <f t="shared" si="58"/>
        <v>0</v>
      </c>
      <c r="CN49" s="128">
        <f>'DATA INPUT - DETAIL'!AH40</f>
        <v>0</v>
      </c>
      <c r="CO49" s="149">
        <f t="shared" si="59"/>
        <v>0</v>
      </c>
      <c r="CP49" s="149">
        <f t="shared" si="60"/>
        <v>0</v>
      </c>
      <c r="CR49" s="126">
        <f t="shared" si="77"/>
        <v>37</v>
      </c>
      <c r="CS49" s="189">
        <f t="shared" si="78"/>
        <v>0</v>
      </c>
      <c r="CT49" s="200">
        <f>CS49/(BEL!CE49+BEL!CA49-BEL!BU49+'RA CSM'!CF49)</f>
        <v>0</v>
      </c>
      <c r="CU49" s="149">
        <f>$CT49*BEL!CH49</f>
        <v>0</v>
      </c>
      <c r="CV49" s="149">
        <f>$CT49*BEL!CI49</f>
        <v>0</v>
      </c>
      <c r="CW49" s="149">
        <f>$CT49*BEL!CJ49</f>
        <v>0</v>
      </c>
      <c r="CX49" s="149">
        <f>$CT49*BEL!CK49</f>
        <v>0</v>
      </c>
      <c r="CY49" s="149">
        <f t="shared" si="61"/>
        <v>0</v>
      </c>
      <c r="CZ49" s="149">
        <f>$CT49*(BEL!CL49+'RA CSM'!CG49)</f>
        <v>0</v>
      </c>
      <c r="DA49" s="149">
        <f t="shared" si="62"/>
        <v>0</v>
      </c>
    </row>
    <row r="50" spans="2:105" x14ac:dyDescent="0.2">
      <c r="B50" s="130">
        <f>BEL!B50</f>
        <v>0</v>
      </c>
      <c r="C50" s="130">
        <f>BEL!C50</f>
        <v>0</v>
      </c>
      <c r="D50" s="190">
        <f>BEL!D50</f>
        <v>0</v>
      </c>
      <c r="E50" s="190">
        <f>BEL!E50</f>
        <v>0</v>
      </c>
      <c r="F50" s="190">
        <f>BEL!F50</f>
        <v>0</v>
      </c>
      <c r="G50" s="190">
        <f>BEL!G50*(1+$V$5)</f>
        <v>0</v>
      </c>
      <c r="H50" s="190">
        <f>BEL!H50*(1+$V$5)</f>
        <v>0</v>
      </c>
      <c r="I50" s="179">
        <f t="shared" si="2"/>
        <v>0</v>
      </c>
      <c r="J50" s="130">
        <f>BEL!J50</f>
        <v>0</v>
      </c>
      <c r="K50" s="130">
        <f>BEL!K50</f>
        <v>0</v>
      </c>
      <c r="L50" s="130">
        <f>BEL!L50</f>
        <v>0</v>
      </c>
      <c r="M50" s="185">
        <f t="shared" si="79"/>
        <v>0</v>
      </c>
      <c r="N50" s="185">
        <f t="shared" si="80"/>
        <v>0</v>
      </c>
      <c r="O50" s="185">
        <f t="shared" si="81"/>
        <v>0</v>
      </c>
      <c r="P50" s="185">
        <f t="shared" si="82"/>
        <v>0</v>
      </c>
      <c r="Q50" s="185">
        <f t="shared" si="83"/>
        <v>0</v>
      </c>
      <c r="R50" s="185">
        <f t="shared" si="84"/>
        <v>0</v>
      </c>
      <c r="S50" s="185">
        <f t="shared" si="85"/>
        <v>0</v>
      </c>
      <c r="T50" s="185">
        <f t="shared" si="86"/>
        <v>0</v>
      </c>
      <c r="U50" s="196">
        <f>(C50&gt;0)*(C50&lt;$E$5)*VLOOKUP(MPP,ASUMSI!$BN$77:$CR$108,B50+1)*(1+$V$4)</f>
        <v>0</v>
      </c>
      <c r="V50" s="185">
        <f t="shared" si="11"/>
        <v>0</v>
      </c>
      <c r="W50" s="185">
        <f t="shared" si="63"/>
        <v>0</v>
      </c>
      <c r="X50" s="185">
        <f t="shared" si="32"/>
        <v>0</v>
      </c>
      <c r="Y50" s="185">
        <f t="shared" si="33"/>
        <v>0</v>
      </c>
      <c r="Z50" s="185">
        <f t="shared" si="34"/>
        <v>0</v>
      </c>
      <c r="AA50" s="197">
        <f t="shared" si="35"/>
        <v>0</v>
      </c>
      <c r="AB50" s="185">
        <f t="shared" si="87"/>
        <v>0</v>
      </c>
      <c r="AC50" s="185">
        <f t="shared" si="87"/>
        <v>0</v>
      </c>
      <c r="AD50" s="185">
        <f t="shared" si="87"/>
        <v>0</v>
      </c>
      <c r="AE50" s="185">
        <f t="shared" si="88"/>
        <v>0</v>
      </c>
      <c r="AF50" s="185">
        <f t="shared" si="89"/>
        <v>0</v>
      </c>
      <c r="AG50" s="185">
        <f t="shared" si="90"/>
        <v>0</v>
      </c>
      <c r="AH50" s="185">
        <f t="shared" si="91"/>
        <v>0</v>
      </c>
      <c r="AI50" s="125">
        <f>BEL!AI50</f>
        <v>0</v>
      </c>
      <c r="AJ50" s="125">
        <f>BEL!AJ50</f>
        <v>0</v>
      </c>
      <c r="AK50" s="125">
        <f>BEL!AK50</f>
        <v>0</v>
      </c>
      <c r="AL50" s="125">
        <f>BEL!AL50</f>
        <v>0</v>
      </c>
      <c r="AM50" s="125">
        <f>BEL!AM50</f>
        <v>0</v>
      </c>
      <c r="AN50" s="125">
        <f>BEL!AN50</f>
        <v>0</v>
      </c>
      <c r="AO50" s="198">
        <f t="shared" si="13"/>
        <v>0</v>
      </c>
      <c r="AP50" s="125">
        <f>BEL!AP50</f>
        <v>0</v>
      </c>
      <c r="AQ50" s="125">
        <f>BEL!AQ50</f>
        <v>0</v>
      </c>
      <c r="AR50" s="125">
        <f>BEL!AR50</f>
        <v>0</v>
      </c>
      <c r="AS50" s="125">
        <f>BEL!AS50</f>
        <v>0</v>
      </c>
      <c r="AT50" s="125">
        <f>BEL!AT50</f>
        <v>0</v>
      </c>
      <c r="AU50" s="127">
        <f>BEL!AU50</f>
        <v>0</v>
      </c>
      <c r="AV50" s="127">
        <f>BEL!AV50</f>
        <v>0</v>
      </c>
      <c r="AW50" s="127">
        <f>BEL!AW50</f>
        <v>0</v>
      </c>
      <c r="AX50" s="127">
        <f t="shared" si="92"/>
        <v>0</v>
      </c>
      <c r="AY50" s="127">
        <f t="shared" si="41"/>
        <v>0</v>
      </c>
      <c r="AZ50" s="127">
        <f t="shared" si="93"/>
        <v>0</v>
      </c>
      <c r="BA50" s="127">
        <f t="shared" si="94"/>
        <v>0</v>
      </c>
      <c r="BB50" s="127">
        <f t="shared" si="95"/>
        <v>0</v>
      </c>
      <c r="BC50" s="127">
        <f t="shared" si="96"/>
        <v>0</v>
      </c>
      <c r="BD50" s="127">
        <f t="shared" si="97"/>
        <v>0</v>
      </c>
      <c r="BE50" s="127">
        <f t="shared" si="98"/>
        <v>0</v>
      </c>
      <c r="BF50" s="127">
        <f t="shared" si="99"/>
        <v>0</v>
      </c>
      <c r="BG50" s="127">
        <f t="shared" si="100"/>
        <v>0</v>
      </c>
      <c r="BH50" s="127">
        <f t="shared" si="101"/>
        <v>0</v>
      </c>
      <c r="BI50" s="127">
        <f t="shared" si="42"/>
        <v>0</v>
      </c>
      <c r="BJ50" s="189">
        <f t="shared" si="64"/>
        <v>0</v>
      </c>
      <c r="BK50" s="189">
        <f t="shared" si="65"/>
        <v>0</v>
      </c>
      <c r="BL50" s="192">
        <f t="shared" si="66"/>
        <v>0</v>
      </c>
      <c r="BM50" s="192">
        <f t="shared" si="67"/>
        <v>0</v>
      </c>
      <c r="BN50" s="192">
        <f t="shared" si="68"/>
        <v>0</v>
      </c>
      <c r="BO50" s="192">
        <f t="shared" si="69"/>
        <v>0</v>
      </c>
      <c r="BP50" s="192">
        <f t="shared" si="70"/>
        <v>0</v>
      </c>
      <c r="BQ50" s="193">
        <f t="shared" si="46"/>
        <v>0</v>
      </c>
      <c r="BR50" s="193">
        <f t="shared" si="71"/>
        <v>0</v>
      </c>
      <c r="BS50" s="188">
        <f t="shared" si="48"/>
        <v>0</v>
      </c>
      <c r="BT50" s="188">
        <f t="shared" si="49"/>
        <v>0</v>
      </c>
      <c r="BU50" s="188">
        <f t="shared" si="50"/>
        <v>0</v>
      </c>
      <c r="BV50" s="188">
        <f t="shared" si="51"/>
        <v>0</v>
      </c>
      <c r="BW50" s="188">
        <f t="shared" si="52"/>
        <v>0</v>
      </c>
      <c r="BX50" s="188">
        <f t="shared" si="53"/>
        <v>0</v>
      </c>
      <c r="BY50" s="188">
        <f t="shared" si="54"/>
        <v>0</v>
      </c>
      <c r="BZ50" s="188">
        <f t="shared" si="55"/>
        <v>0</v>
      </c>
      <c r="CA50" s="188">
        <f t="shared" si="56"/>
        <v>0</v>
      </c>
      <c r="CB50" s="149">
        <f t="shared" si="57"/>
        <v>0</v>
      </c>
      <c r="CC50" s="149">
        <f>CB50-BEL!CB50</f>
        <v>0</v>
      </c>
      <c r="CD50" s="189">
        <f>IF(AND(C50=0,C51=0),0,CB50/W50) - BEL!CC50</f>
        <v>0</v>
      </c>
      <c r="CF50" s="195">
        <f t="shared" si="72"/>
        <v>0</v>
      </c>
      <c r="CG50" s="127">
        <f t="shared" si="73"/>
        <v>0</v>
      </c>
      <c r="CH50" s="128">
        <f>'DATA INPUT - DETAIL'!AH41</f>
        <v>0</v>
      </c>
      <c r="CI50" s="125">
        <f t="shared" si="74"/>
        <v>0</v>
      </c>
      <c r="CJ50" s="199">
        <f t="shared" si="75"/>
        <v>0</v>
      </c>
      <c r="CL50" s="189">
        <f t="shared" si="76"/>
        <v>0</v>
      </c>
      <c r="CM50" s="149">
        <f t="shared" si="58"/>
        <v>0</v>
      </c>
      <c r="CN50" s="128">
        <f>'DATA INPUT - DETAIL'!AH41</f>
        <v>0</v>
      </c>
      <c r="CO50" s="149">
        <f t="shared" si="59"/>
        <v>0</v>
      </c>
      <c r="CP50" s="149">
        <f t="shared" si="60"/>
        <v>0</v>
      </c>
      <c r="CR50" s="126">
        <f t="shared" si="77"/>
        <v>38</v>
      </c>
      <c r="CS50" s="189">
        <f t="shared" si="78"/>
        <v>0</v>
      </c>
      <c r="CT50" s="200">
        <f>CS50/(BEL!CE50+BEL!CA50-BEL!BU50+'RA CSM'!CF50)</f>
        <v>0</v>
      </c>
      <c r="CU50" s="149">
        <f>$CT50*BEL!CH50</f>
        <v>0</v>
      </c>
      <c r="CV50" s="149">
        <f>$CT50*BEL!CI50</f>
        <v>0</v>
      </c>
      <c r="CW50" s="149">
        <f>$CT50*BEL!CJ50</f>
        <v>0</v>
      </c>
      <c r="CX50" s="149">
        <f>$CT50*BEL!CK50</f>
        <v>0</v>
      </c>
      <c r="CY50" s="149">
        <f t="shared" si="61"/>
        <v>0</v>
      </c>
      <c r="CZ50" s="149">
        <f>$CT50*(BEL!CL50+'RA CSM'!CG50)</f>
        <v>0</v>
      </c>
      <c r="DA50" s="149">
        <f t="shared" si="62"/>
        <v>0</v>
      </c>
    </row>
    <row r="51" spans="2:105" x14ac:dyDescent="0.2">
      <c r="B51" s="130">
        <f>BEL!B51</f>
        <v>0</v>
      </c>
      <c r="C51" s="130">
        <f>BEL!C51</f>
        <v>0</v>
      </c>
      <c r="D51" s="190">
        <f>BEL!D51</f>
        <v>0</v>
      </c>
      <c r="E51" s="190">
        <f>BEL!E51</f>
        <v>0</v>
      </c>
      <c r="F51" s="190">
        <f>BEL!F51</f>
        <v>0</v>
      </c>
      <c r="G51" s="190">
        <f>BEL!G51*(1+$V$5)</f>
        <v>0</v>
      </c>
      <c r="H51" s="190">
        <f>BEL!H51*(1+$V$5)</f>
        <v>0</v>
      </c>
      <c r="I51" s="179">
        <f t="shared" si="2"/>
        <v>0</v>
      </c>
      <c r="J51" s="130">
        <f>BEL!J51</f>
        <v>0</v>
      </c>
      <c r="K51" s="130">
        <f>BEL!K51</f>
        <v>0</v>
      </c>
      <c r="L51" s="130">
        <f>BEL!L51</f>
        <v>0</v>
      </c>
      <c r="M51" s="185">
        <f t="shared" si="79"/>
        <v>0</v>
      </c>
      <c r="N51" s="185">
        <f t="shared" si="80"/>
        <v>0</v>
      </c>
      <c r="O51" s="185">
        <f t="shared" si="81"/>
        <v>0</v>
      </c>
      <c r="P51" s="185">
        <f t="shared" si="82"/>
        <v>0</v>
      </c>
      <c r="Q51" s="185">
        <f t="shared" si="83"/>
        <v>0</v>
      </c>
      <c r="R51" s="185">
        <f t="shared" si="84"/>
        <v>0</v>
      </c>
      <c r="S51" s="185">
        <f t="shared" si="85"/>
        <v>0</v>
      </c>
      <c r="T51" s="185">
        <f t="shared" si="86"/>
        <v>0</v>
      </c>
      <c r="U51" s="196">
        <f>(C51&gt;0)*(C51&lt;$E$5)*VLOOKUP(MPP,ASUMSI!$BN$77:$CR$108,B51+1)*(1+$V$4)</f>
        <v>0</v>
      </c>
      <c r="V51" s="185">
        <f t="shared" si="11"/>
        <v>0</v>
      </c>
      <c r="W51" s="185">
        <f t="shared" si="63"/>
        <v>0</v>
      </c>
      <c r="X51" s="185">
        <f t="shared" si="32"/>
        <v>0</v>
      </c>
      <c r="Y51" s="185">
        <f t="shared" si="33"/>
        <v>0</v>
      </c>
      <c r="Z51" s="185">
        <f t="shared" si="34"/>
        <v>0</v>
      </c>
      <c r="AA51" s="197">
        <f t="shared" si="35"/>
        <v>0</v>
      </c>
      <c r="AB51" s="185">
        <f t="shared" si="87"/>
        <v>0</v>
      </c>
      <c r="AC51" s="185">
        <f t="shared" si="87"/>
        <v>0</v>
      </c>
      <c r="AD51" s="185">
        <f t="shared" si="87"/>
        <v>0</v>
      </c>
      <c r="AE51" s="185">
        <f t="shared" si="88"/>
        <v>0</v>
      </c>
      <c r="AF51" s="185">
        <f t="shared" si="89"/>
        <v>0</v>
      </c>
      <c r="AG51" s="185">
        <f t="shared" si="90"/>
        <v>0</v>
      </c>
      <c r="AH51" s="185">
        <f t="shared" si="91"/>
        <v>0</v>
      </c>
      <c r="AI51" s="125">
        <f>BEL!AI51</f>
        <v>0</v>
      </c>
      <c r="AJ51" s="125">
        <f>BEL!AJ51</f>
        <v>0</v>
      </c>
      <c r="AK51" s="125">
        <f>BEL!AK51</f>
        <v>0</v>
      </c>
      <c r="AL51" s="125">
        <f>BEL!AL51</f>
        <v>0</v>
      </c>
      <c r="AM51" s="125">
        <f>BEL!AM51</f>
        <v>0</v>
      </c>
      <c r="AN51" s="125">
        <f>BEL!AN51</f>
        <v>0</v>
      </c>
      <c r="AO51" s="198">
        <f t="shared" si="13"/>
        <v>0</v>
      </c>
      <c r="AP51" s="125">
        <f>BEL!AP51</f>
        <v>0</v>
      </c>
      <c r="AQ51" s="125">
        <f>BEL!AQ51</f>
        <v>0</v>
      </c>
      <c r="AR51" s="125">
        <f>BEL!AR51</f>
        <v>0</v>
      </c>
      <c r="AS51" s="125">
        <f>BEL!AS51</f>
        <v>0</v>
      </c>
      <c r="AT51" s="125">
        <f>BEL!AT51</f>
        <v>0</v>
      </c>
      <c r="AU51" s="127">
        <f>BEL!AU51</f>
        <v>0</v>
      </c>
      <c r="AV51" s="127">
        <f>BEL!AV51</f>
        <v>0</v>
      </c>
      <c r="AW51" s="127">
        <f>BEL!AW51</f>
        <v>0</v>
      </c>
      <c r="AX51" s="127">
        <f t="shared" si="92"/>
        <v>0</v>
      </c>
      <c r="AY51" s="127">
        <f t="shared" si="41"/>
        <v>0</v>
      </c>
      <c r="AZ51" s="127">
        <f t="shared" si="93"/>
        <v>0</v>
      </c>
      <c r="BA51" s="127">
        <f t="shared" si="94"/>
        <v>0</v>
      </c>
      <c r="BB51" s="127">
        <f t="shared" si="95"/>
        <v>0</v>
      </c>
      <c r="BC51" s="127">
        <f t="shared" si="96"/>
        <v>0</v>
      </c>
      <c r="BD51" s="127">
        <f t="shared" si="97"/>
        <v>0</v>
      </c>
      <c r="BE51" s="127">
        <f t="shared" si="98"/>
        <v>0</v>
      </c>
      <c r="BF51" s="127">
        <f t="shared" si="99"/>
        <v>0</v>
      </c>
      <c r="BG51" s="127">
        <f t="shared" si="100"/>
        <v>0</v>
      </c>
      <c r="BH51" s="127">
        <f t="shared" si="101"/>
        <v>0</v>
      </c>
      <c r="BI51" s="127">
        <f t="shared" si="42"/>
        <v>0</v>
      </c>
      <c r="BJ51" s="189">
        <f t="shared" si="64"/>
        <v>0</v>
      </c>
      <c r="BK51" s="189">
        <f t="shared" si="65"/>
        <v>0</v>
      </c>
      <c r="BL51" s="192">
        <f t="shared" si="66"/>
        <v>0</v>
      </c>
      <c r="BM51" s="192">
        <f t="shared" si="67"/>
        <v>0</v>
      </c>
      <c r="BN51" s="192">
        <f t="shared" si="68"/>
        <v>0</v>
      </c>
      <c r="BO51" s="192">
        <f t="shared" si="69"/>
        <v>0</v>
      </c>
      <c r="BP51" s="192">
        <f t="shared" si="70"/>
        <v>0</v>
      </c>
      <c r="BQ51" s="193">
        <f t="shared" si="46"/>
        <v>0</v>
      </c>
      <c r="BR51" s="193">
        <f t="shared" si="71"/>
        <v>0</v>
      </c>
      <c r="BS51" s="188">
        <f t="shared" si="48"/>
        <v>0</v>
      </c>
      <c r="BT51" s="188">
        <f t="shared" si="49"/>
        <v>0</v>
      </c>
      <c r="BU51" s="188">
        <f t="shared" si="50"/>
        <v>0</v>
      </c>
      <c r="BV51" s="188">
        <f t="shared" si="51"/>
        <v>0</v>
      </c>
      <c r="BW51" s="188">
        <f t="shared" si="52"/>
        <v>0</v>
      </c>
      <c r="BX51" s="188">
        <f t="shared" si="53"/>
        <v>0</v>
      </c>
      <c r="BY51" s="188">
        <f t="shared" si="54"/>
        <v>0</v>
      </c>
      <c r="BZ51" s="188">
        <f t="shared" si="55"/>
        <v>0</v>
      </c>
      <c r="CA51" s="188">
        <f t="shared" si="56"/>
        <v>0</v>
      </c>
      <c r="CB51" s="149">
        <f t="shared" si="57"/>
        <v>0</v>
      </c>
      <c r="CC51" s="149">
        <f>CB51-BEL!CB51</f>
        <v>0</v>
      </c>
      <c r="CD51" s="189">
        <f>IF(AND(C51=0,C52=0),0,CB51/W51) - BEL!CC51</f>
        <v>0</v>
      </c>
      <c r="CF51" s="195">
        <f t="shared" si="72"/>
        <v>0</v>
      </c>
      <c r="CG51" s="127">
        <f t="shared" si="73"/>
        <v>0</v>
      </c>
      <c r="CH51" s="128">
        <f>'DATA INPUT - DETAIL'!AH42</f>
        <v>0</v>
      </c>
      <c r="CI51" s="125">
        <f t="shared" si="74"/>
        <v>0</v>
      </c>
      <c r="CJ51" s="199">
        <f t="shared" si="75"/>
        <v>0</v>
      </c>
      <c r="CL51" s="189">
        <f t="shared" si="76"/>
        <v>0</v>
      </c>
      <c r="CM51" s="149">
        <f t="shared" si="58"/>
        <v>0</v>
      </c>
      <c r="CN51" s="128">
        <f>'DATA INPUT - DETAIL'!AH42</f>
        <v>0</v>
      </c>
      <c r="CO51" s="149">
        <f t="shared" si="59"/>
        <v>0</v>
      </c>
      <c r="CP51" s="149">
        <f t="shared" si="60"/>
        <v>0</v>
      </c>
      <c r="CR51" s="126">
        <f t="shared" si="77"/>
        <v>39</v>
      </c>
      <c r="CS51" s="189">
        <f t="shared" si="78"/>
        <v>0</v>
      </c>
      <c r="CT51" s="200">
        <f>CS51/(BEL!CE51+BEL!CA51-BEL!BU51+'RA CSM'!CF51)</f>
        <v>0</v>
      </c>
      <c r="CU51" s="149">
        <f>$CT51*BEL!CH51</f>
        <v>0</v>
      </c>
      <c r="CV51" s="149">
        <f>$CT51*BEL!CI51</f>
        <v>0</v>
      </c>
      <c r="CW51" s="149">
        <f>$CT51*BEL!CJ51</f>
        <v>0</v>
      </c>
      <c r="CX51" s="149">
        <f>$CT51*BEL!CK51</f>
        <v>0</v>
      </c>
      <c r="CY51" s="149">
        <f t="shared" si="61"/>
        <v>0</v>
      </c>
      <c r="CZ51" s="149">
        <f>$CT51*(BEL!CL51+'RA CSM'!CG51)</f>
        <v>0</v>
      </c>
      <c r="DA51" s="149">
        <f t="shared" si="62"/>
        <v>0</v>
      </c>
    </row>
    <row r="52" spans="2:105" x14ac:dyDescent="0.2">
      <c r="B52" s="130">
        <f>BEL!B52</f>
        <v>0</v>
      </c>
      <c r="C52" s="130">
        <f>BEL!C52</f>
        <v>0</v>
      </c>
      <c r="D52" s="190">
        <f>BEL!D52</f>
        <v>0</v>
      </c>
      <c r="E52" s="190">
        <f>BEL!E52</f>
        <v>0</v>
      </c>
      <c r="F52" s="190">
        <f>BEL!F52</f>
        <v>0</v>
      </c>
      <c r="G52" s="190">
        <f>BEL!G52*(1+$V$5)</f>
        <v>0</v>
      </c>
      <c r="H52" s="190">
        <f>BEL!H52*(1+$V$5)</f>
        <v>0</v>
      </c>
      <c r="I52" s="179">
        <f t="shared" si="2"/>
        <v>0</v>
      </c>
      <c r="J52" s="130">
        <f>BEL!J52</f>
        <v>0</v>
      </c>
      <c r="K52" s="130">
        <f>BEL!K52</f>
        <v>0</v>
      </c>
      <c r="L52" s="130">
        <f>BEL!L52</f>
        <v>0</v>
      </c>
      <c r="M52" s="185">
        <f t="shared" si="79"/>
        <v>0</v>
      </c>
      <c r="N52" s="185">
        <f t="shared" si="80"/>
        <v>0</v>
      </c>
      <c r="O52" s="185">
        <f t="shared" si="81"/>
        <v>0</v>
      </c>
      <c r="P52" s="185">
        <f t="shared" si="82"/>
        <v>0</v>
      </c>
      <c r="Q52" s="185">
        <f t="shared" si="83"/>
        <v>0</v>
      </c>
      <c r="R52" s="185">
        <f t="shared" si="84"/>
        <v>0</v>
      </c>
      <c r="S52" s="185">
        <f t="shared" si="85"/>
        <v>0</v>
      </c>
      <c r="T52" s="185">
        <f t="shared" si="86"/>
        <v>0</v>
      </c>
      <c r="U52" s="196">
        <f>(C52&gt;0)*(C52&lt;$E$5)*VLOOKUP(MPP,ASUMSI!$BN$77:$CR$108,B52+1)*(1+$V$4)</f>
        <v>0</v>
      </c>
      <c r="V52" s="185">
        <f t="shared" si="11"/>
        <v>0</v>
      </c>
      <c r="W52" s="185">
        <f t="shared" si="63"/>
        <v>0</v>
      </c>
      <c r="X52" s="185">
        <f t="shared" si="32"/>
        <v>0</v>
      </c>
      <c r="Y52" s="185">
        <f t="shared" si="33"/>
        <v>0</v>
      </c>
      <c r="Z52" s="185">
        <f t="shared" si="34"/>
        <v>0</v>
      </c>
      <c r="AA52" s="197">
        <f t="shared" si="35"/>
        <v>0</v>
      </c>
      <c r="AB52" s="185">
        <f t="shared" si="87"/>
        <v>0</v>
      </c>
      <c r="AC52" s="185">
        <f t="shared" si="87"/>
        <v>0</v>
      </c>
      <c r="AD52" s="185">
        <f t="shared" si="87"/>
        <v>0</v>
      </c>
      <c r="AE52" s="185">
        <f t="shared" si="88"/>
        <v>0</v>
      </c>
      <c r="AF52" s="185">
        <f t="shared" si="89"/>
        <v>0</v>
      </c>
      <c r="AG52" s="185">
        <f t="shared" si="90"/>
        <v>0</v>
      </c>
      <c r="AH52" s="185">
        <f t="shared" si="91"/>
        <v>0</v>
      </c>
      <c r="AI52" s="125">
        <f>BEL!AI52</f>
        <v>0</v>
      </c>
      <c r="AJ52" s="125">
        <f>BEL!AJ52</f>
        <v>0</v>
      </c>
      <c r="AK52" s="125">
        <f>BEL!AK52</f>
        <v>0</v>
      </c>
      <c r="AL52" s="125">
        <f>BEL!AL52</f>
        <v>0</v>
      </c>
      <c r="AM52" s="125">
        <f>BEL!AM52</f>
        <v>0</v>
      </c>
      <c r="AN52" s="125">
        <f>BEL!AN52</f>
        <v>0</v>
      </c>
      <c r="AO52" s="198">
        <f t="shared" si="13"/>
        <v>0</v>
      </c>
      <c r="AP52" s="125">
        <f>BEL!AP52</f>
        <v>0</v>
      </c>
      <c r="AQ52" s="125">
        <f>BEL!AQ52</f>
        <v>0</v>
      </c>
      <c r="AR52" s="125">
        <f>BEL!AR52</f>
        <v>0</v>
      </c>
      <c r="AS52" s="125">
        <f>BEL!AS52</f>
        <v>0</v>
      </c>
      <c r="AT52" s="125">
        <f>BEL!AT52</f>
        <v>0</v>
      </c>
      <c r="AU52" s="127">
        <f>BEL!AU52</f>
        <v>0</v>
      </c>
      <c r="AV52" s="127">
        <f>BEL!AV52</f>
        <v>0</v>
      </c>
      <c r="AW52" s="127">
        <f>BEL!AW52</f>
        <v>0</v>
      </c>
      <c r="AX52" s="127">
        <f t="shared" si="92"/>
        <v>0</v>
      </c>
      <c r="AY52" s="127">
        <f t="shared" si="41"/>
        <v>0</v>
      </c>
      <c r="AZ52" s="127">
        <f t="shared" si="93"/>
        <v>0</v>
      </c>
      <c r="BA52" s="127">
        <f t="shared" si="94"/>
        <v>0</v>
      </c>
      <c r="BB52" s="127">
        <f t="shared" si="95"/>
        <v>0</v>
      </c>
      <c r="BC52" s="127">
        <f t="shared" si="96"/>
        <v>0</v>
      </c>
      <c r="BD52" s="127">
        <f t="shared" si="97"/>
        <v>0</v>
      </c>
      <c r="BE52" s="127">
        <f t="shared" si="98"/>
        <v>0</v>
      </c>
      <c r="BF52" s="127">
        <f t="shared" si="99"/>
        <v>0</v>
      </c>
      <c r="BG52" s="127">
        <f t="shared" si="100"/>
        <v>0</v>
      </c>
      <c r="BH52" s="127">
        <f t="shared" si="101"/>
        <v>0</v>
      </c>
      <c r="BI52" s="127">
        <f t="shared" si="42"/>
        <v>0</v>
      </c>
      <c r="BJ52" s="189">
        <f t="shared" si="64"/>
        <v>0</v>
      </c>
      <c r="BK52" s="189">
        <f t="shared" si="65"/>
        <v>0</v>
      </c>
      <c r="BL52" s="192">
        <f t="shared" si="66"/>
        <v>0</v>
      </c>
      <c r="BM52" s="192">
        <f t="shared" si="67"/>
        <v>0</v>
      </c>
      <c r="BN52" s="192">
        <f t="shared" si="68"/>
        <v>0</v>
      </c>
      <c r="BO52" s="192">
        <f t="shared" si="69"/>
        <v>0</v>
      </c>
      <c r="BP52" s="192">
        <f t="shared" si="70"/>
        <v>0</v>
      </c>
      <c r="BQ52" s="193">
        <f t="shared" si="46"/>
        <v>0</v>
      </c>
      <c r="BR52" s="193">
        <f t="shared" si="71"/>
        <v>0</v>
      </c>
      <c r="BS52" s="188">
        <f t="shared" si="48"/>
        <v>0</v>
      </c>
      <c r="BT52" s="188">
        <f t="shared" si="49"/>
        <v>0</v>
      </c>
      <c r="BU52" s="188">
        <f t="shared" si="50"/>
        <v>0</v>
      </c>
      <c r="BV52" s="188">
        <f t="shared" si="51"/>
        <v>0</v>
      </c>
      <c r="BW52" s="188">
        <f t="shared" si="52"/>
        <v>0</v>
      </c>
      <c r="BX52" s="188">
        <f t="shared" si="53"/>
        <v>0</v>
      </c>
      <c r="BY52" s="188">
        <f t="shared" si="54"/>
        <v>0</v>
      </c>
      <c r="BZ52" s="188">
        <f t="shared" si="55"/>
        <v>0</v>
      </c>
      <c r="CA52" s="188">
        <f t="shared" si="56"/>
        <v>0</v>
      </c>
      <c r="CB52" s="149">
        <f t="shared" si="57"/>
        <v>0</v>
      </c>
      <c r="CC52" s="149">
        <f>CB52-BEL!CB52</f>
        <v>0</v>
      </c>
      <c r="CD52" s="189">
        <f>IF(AND(C52=0,C53=0),0,CB52/W52) - BEL!CC52</f>
        <v>0</v>
      </c>
      <c r="CF52" s="195">
        <f t="shared" si="72"/>
        <v>0</v>
      </c>
      <c r="CG52" s="127">
        <f t="shared" si="73"/>
        <v>0</v>
      </c>
      <c r="CH52" s="128">
        <f>'DATA INPUT - DETAIL'!AH43</f>
        <v>0</v>
      </c>
      <c r="CI52" s="125">
        <f t="shared" si="74"/>
        <v>0</v>
      </c>
      <c r="CJ52" s="199">
        <f t="shared" si="75"/>
        <v>0</v>
      </c>
      <c r="CL52" s="189">
        <f t="shared" si="76"/>
        <v>0</v>
      </c>
      <c r="CM52" s="149">
        <f t="shared" si="58"/>
        <v>0</v>
      </c>
      <c r="CN52" s="128">
        <f>'DATA INPUT - DETAIL'!AH43</f>
        <v>0</v>
      </c>
      <c r="CO52" s="149">
        <f t="shared" si="59"/>
        <v>0</v>
      </c>
      <c r="CP52" s="149">
        <f t="shared" si="60"/>
        <v>0</v>
      </c>
      <c r="CR52" s="126">
        <f t="shared" si="77"/>
        <v>40</v>
      </c>
      <c r="CS52" s="189">
        <f t="shared" si="78"/>
        <v>0</v>
      </c>
      <c r="CT52" s="200">
        <f>CS52/(BEL!CE52+BEL!CA52-BEL!BU52+'RA CSM'!CF52)</f>
        <v>0</v>
      </c>
      <c r="CU52" s="149">
        <f>$CT52*BEL!CH52</f>
        <v>0</v>
      </c>
      <c r="CV52" s="149">
        <f>$CT52*BEL!CI52</f>
        <v>0</v>
      </c>
      <c r="CW52" s="149">
        <f>$CT52*BEL!CJ52</f>
        <v>0</v>
      </c>
      <c r="CX52" s="149">
        <f>$CT52*BEL!CK52</f>
        <v>0</v>
      </c>
      <c r="CY52" s="149">
        <f t="shared" si="61"/>
        <v>0</v>
      </c>
      <c r="CZ52" s="149">
        <f>$CT52*(BEL!CL52+'RA CSM'!CG52)</f>
        <v>0</v>
      </c>
      <c r="DA52" s="149">
        <f t="shared" si="62"/>
        <v>0</v>
      </c>
    </row>
    <row r="53" spans="2:105" x14ac:dyDescent="0.2">
      <c r="B53" s="130">
        <f>BEL!B53</f>
        <v>0</v>
      </c>
      <c r="C53" s="130">
        <f>BEL!C53</f>
        <v>0</v>
      </c>
      <c r="D53" s="190">
        <f>BEL!D53</f>
        <v>0</v>
      </c>
      <c r="E53" s="190">
        <f>BEL!E53</f>
        <v>0</v>
      </c>
      <c r="F53" s="190">
        <f>BEL!F53</f>
        <v>0</v>
      </c>
      <c r="G53" s="190">
        <f>BEL!G53*(1+$V$5)</f>
        <v>0</v>
      </c>
      <c r="H53" s="190">
        <f>BEL!H53*(1+$V$5)</f>
        <v>0</v>
      </c>
      <c r="I53" s="179">
        <f t="shared" si="2"/>
        <v>0</v>
      </c>
      <c r="J53" s="130">
        <f>BEL!J53</f>
        <v>0</v>
      </c>
      <c r="K53" s="130">
        <f>BEL!K53</f>
        <v>0</v>
      </c>
      <c r="L53" s="130">
        <f>BEL!L53</f>
        <v>0</v>
      </c>
      <c r="M53" s="185">
        <f t="shared" si="79"/>
        <v>0</v>
      </c>
      <c r="N53" s="185">
        <f t="shared" si="80"/>
        <v>0</v>
      </c>
      <c r="O53" s="185">
        <f t="shared" si="81"/>
        <v>0</v>
      </c>
      <c r="P53" s="185">
        <f t="shared" si="82"/>
        <v>0</v>
      </c>
      <c r="Q53" s="185">
        <f t="shared" si="83"/>
        <v>0</v>
      </c>
      <c r="R53" s="185">
        <f t="shared" si="84"/>
        <v>0</v>
      </c>
      <c r="S53" s="185">
        <f t="shared" si="85"/>
        <v>0</v>
      </c>
      <c r="T53" s="185">
        <f t="shared" si="86"/>
        <v>0</v>
      </c>
      <c r="U53" s="196">
        <f>(C53&gt;0)*(C53&lt;$E$5)*VLOOKUP(MPP,ASUMSI!$BN$77:$CR$108,B53+1)*(1+$V$4)</f>
        <v>0</v>
      </c>
      <c r="V53" s="185">
        <f t="shared" si="11"/>
        <v>0</v>
      </c>
      <c r="W53" s="185">
        <f t="shared" si="63"/>
        <v>0</v>
      </c>
      <c r="X53" s="185">
        <f t="shared" si="32"/>
        <v>0</v>
      </c>
      <c r="Y53" s="185">
        <f t="shared" si="33"/>
        <v>0</v>
      </c>
      <c r="Z53" s="185">
        <f t="shared" si="34"/>
        <v>0</v>
      </c>
      <c r="AA53" s="197">
        <f t="shared" si="35"/>
        <v>0</v>
      </c>
      <c r="AB53" s="185">
        <f t="shared" si="87"/>
        <v>0</v>
      </c>
      <c r="AC53" s="185">
        <f t="shared" si="87"/>
        <v>0</v>
      </c>
      <c r="AD53" s="185">
        <f t="shared" si="87"/>
        <v>0</v>
      </c>
      <c r="AE53" s="185">
        <f t="shared" si="88"/>
        <v>0</v>
      </c>
      <c r="AF53" s="185">
        <f t="shared" si="89"/>
        <v>0</v>
      </c>
      <c r="AG53" s="185">
        <f t="shared" si="90"/>
        <v>0</v>
      </c>
      <c r="AH53" s="185">
        <f t="shared" si="91"/>
        <v>0</v>
      </c>
      <c r="AI53" s="125">
        <f>BEL!AI53</f>
        <v>0</v>
      </c>
      <c r="AJ53" s="125">
        <f>BEL!AJ53</f>
        <v>0</v>
      </c>
      <c r="AK53" s="125">
        <f>BEL!AK53</f>
        <v>0</v>
      </c>
      <c r="AL53" s="125">
        <f>BEL!AL53</f>
        <v>0</v>
      </c>
      <c r="AM53" s="125">
        <f>BEL!AM53</f>
        <v>0</v>
      </c>
      <c r="AN53" s="125">
        <f>BEL!AN53</f>
        <v>0</v>
      </c>
      <c r="AO53" s="198">
        <f t="shared" si="13"/>
        <v>0</v>
      </c>
      <c r="AP53" s="125">
        <f>BEL!AP53</f>
        <v>0</v>
      </c>
      <c r="AQ53" s="125">
        <f>BEL!AQ53</f>
        <v>0</v>
      </c>
      <c r="AR53" s="125">
        <f>BEL!AR53</f>
        <v>0</v>
      </c>
      <c r="AS53" s="125">
        <f>BEL!AS53</f>
        <v>0</v>
      </c>
      <c r="AT53" s="125">
        <f>BEL!AT53</f>
        <v>0</v>
      </c>
      <c r="AU53" s="127">
        <f>BEL!AU53</f>
        <v>0</v>
      </c>
      <c r="AV53" s="127">
        <f>BEL!AV53</f>
        <v>0</v>
      </c>
      <c r="AW53" s="127">
        <f>BEL!AW53</f>
        <v>0</v>
      </c>
      <c r="AX53" s="127">
        <f t="shared" si="92"/>
        <v>0</v>
      </c>
      <c r="AY53" s="127">
        <f t="shared" si="41"/>
        <v>0</v>
      </c>
      <c r="AZ53" s="127">
        <f t="shared" si="93"/>
        <v>0</v>
      </c>
      <c r="BA53" s="127">
        <f t="shared" si="94"/>
        <v>0</v>
      </c>
      <c r="BB53" s="127">
        <f t="shared" si="95"/>
        <v>0</v>
      </c>
      <c r="BC53" s="127">
        <f t="shared" si="96"/>
        <v>0</v>
      </c>
      <c r="BD53" s="127">
        <f t="shared" si="97"/>
        <v>0</v>
      </c>
      <c r="BE53" s="127">
        <f t="shared" si="98"/>
        <v>0</v>
      </c>
      <c r="BF53" s="127">
        <f t="shared" si="99"/>
        <v>0</v>
      </c>
      <c r="BG53" s="127">
        <f t="shared" si="100"/>
        <v>0</v>
      </c>
      <c r="BH53" s="127">
        <f t="shared" si="101"/>
        <v>0</v>
      </c>
      <c r="BI53" s="127">
        <f t="shared" si="42"/>
        <v>0</v>
      </c>
      <c r="BJ53" s="189">
        <f t="shared" si="64"/>
        <v>0</v>
      </c>
      <c r="BK53" s="189">
        <f t="shared" si="65"/>
        <v>0</v>
      </c>
      <c r="BL53" s="192">
        <f t="shared" si="66"/>
        <v>0</v>
      </c>
      <c r="BM53" s="192">
        <f t="shared" si="67"/>
        <v>0</v>
      </c>
      <c r="BN53" s="192">
        <f t="shared" si="68"/>
        <v>0</v>
      </c>
      <c r="BO53" s="192">
        <f t="shared" si="69"/>
        <v>0</v>
      </c>
      <c r="BP53" s="192">
        <f t="shared" si="70"/>
        <v>0</v>
      </c>
      <c r="BQ53" s="193">
        <f t="shared" si="46"/>
        <v>0</v>
      </c>
      <c r="BR53" s="193">
        <f t="shared" si="71"/>
        <v>0</v>
      </c>
      <c r="BS53" s="188">
        <f t="shared" si="48"/>
        <v>0</v>
      </c>
      <c r="BT53" s="188">
        <f t="shared" si="49"/>
        <v>0</v>
      </c>
      <c r="BU53" s="188">
        <f t="shared" si="50"/>
        <v>0</v>
      </c>
      <c r="BV53" s="188">
        <f t="shared" si="51"/>
        <v>0</v>
      </c>
      <c r="BW53" s="188">
        <f t="shared" si="52"/>
        <v>0</v>
      </c>
      <c r="BX53" s="188">
        <f t="shared" si="53"/>
        <v>0</v>
      </c>
      <c r="BY53" s="188">
        <f t="shared" si="54"/>
        <v>0</v>
      </c>
      <c r="BZ53" s="188">
        <f t="shared" si="55"/>
        <v>0</v>
      </c>
      <c r="CA53" s="188">
        <f t="shared" si="56"/>
        <v>0</v>
      </c>
      <c r="CB53" s="149">
        <f t="shared" si="57"/>
        <v>0</v>
      </c>
      <c r="CC53" s="149">
        <f>CB53-BEL!CB53</f>
        <v>0</v>
      </c>
      <c r="CD53" s="189">
        <f>IF(AND(C53=0,C54=0),0,CB53/W53) - BEL!CC53</f>
        <v>0</v>
      </c>
      <c r="CF53" s="195">
        <f t="shared" si="72"/>
        <v>0</v>
      </c>
      <c r="CG53" s="127">
        <f t="shared" si="73"/>
        <v>0</v>
      </c>
      <c r="CH53" s="128">
        <f>'DATA INPUT - DETAIL'!AH44</f>
        <v>0</v>
      </c>
      <c r="CI53" s="125">
        <f t="shared" si="74"/>
        <v>0</v>
      </c>
      <c r="CJ53" s="199">
        <f t="shared" si="75"/>
        <v>0</v>
      </c>
      <c r="CL53" s="189">
        <f t="shared" si="76"/>
        <v>0</v>
      </c>
      <c r="CM53" s="149">
        <f t="shared" si="58"/>
        <v>0</v>
      </c>
      <c r="CN53" s="128">
        <f>'DATA INPUT - DETAIL'!AH44</f>
        <v>0</v>
      </c>
      <c r="CO53" s="149">
        <f t="shared" si="59"/>
        <v>0</v>
      </c>
      <c r="CP53" s="149">
        <f t="shared" si="60"/>
        <v>0</v>
      </c>
      <c r="CR53" s="126">
        <f t="shared" si="77"/>
        <v>41</v>
      </c>
      <c r="CS53" s="189">
        <f t="shared" si="78"/>
        <v>0</v>
      </c>
      <c r="CT53" s="200">
        <f>CS53/(BEL!CE53+BEL!CA53-BEL!BU53+'RA CSM'!CF53)</f>
        <v>0</v>
      </c>
      <c r="CU53" s="149">
        <f>$CT53*BEL!CH53</f>
        <v>0</v>
      </c>
      <c r="CV53" s="149">
        <f>$CT53*BEL!CI53</f>
        <v>0</v>
      </c>
      <c r="CW53" s="149">
        <f>$CT53*BEL!CJ53</f>
        <v>0</v>
      </c>
      <c r="CX53" s="149">
        <f>$CT53*BEL!CK53</f>
        <v>0</v>
      </c>
      <c r="CY53" s="149">
        <f t="shared" si="61"/>
        <v>0</v>
      </c>
      <c r="CZ53" s="149">
        <f>$CT53*(BEL!CL53+'RA CSM'!CG53)</f>
        <v>0</v>
      </c>
      <c r="DA53" s="149">
        <f t="shared" si="62"/>
        <v>0</v>
      </c>
    </row>
    <row r="54" spans="2:105" x14ac:dyDescent="0.2">
      <c r="B54" s="130">
        <f>BEL!B54</f>
        <v>0</v>
      </c>
      <c r="C54" s="130">
        <f>BEL!C54</f>
        <v>0</v>
      </c>
      <c r="D54" s="190">
        <f>BEL!D54</f>
        <v>0</v>
      </c>
      <c r="E54" s="190">
        <f>BEL!E54</f>
        <v>0</v>
      </c>
      <c r="F54" s="190">
        <f>BEL!F54</f>
        <v>0</v>
      </c>
      <c r="G54" s="190">
        <f>BEL!G54*(1+$V$5)</f>
        <v>0</v>
      </c>
      <c r="H54" s="190">
        <f>BEL!H54*(1+$V$5)</f>
        <v>0</v>
      </c>
      <c r="I54" s="179">
        <f t="shared" si="2"/>
        <v>0</v>
      </c>
      <c r="J54" s="130">
        <f>BEL!J54</f>
        <v>0</v>
      </c>
      <c r="K54" s="130">
        <f>BEL!K54</f>
        <v>0</v>
      </c>
      <c r="L54" s="130">
        <f>BEL!L54</f>
        <v>0</v>
      </c>
      <c r="M54" s="185">
        <f t="shared" si="79"/>
        <v>0</v>
      </c>
      <c r="N54" s="185">
        <f t="shared" si="80"/>
        <v>0</v>
      </c>
      <c r="O54" s="185">
        <f t="shared" si="81"/>
        <v>0</v>
      </c>
      <c r="P54" s="185">
        <f t="shared" si="82"/>
        <v>0</v>
      </c>
      <c r="Q54" s="185">
        <f t="shared" si="83"/>
        <v>0</v>
      </c>
      <c r="R54" s="185">
        <f t="shared" si="84"/>
        <v>0</v>
      </c>
      <c r="S54" s="185">
        <f t="shared" si="85"/>
        <v>0</v>
      </c>
      <c r="T54" s="185">
        <f t="shared" si="86"/>
        <v>0</v>
      </c>
      <c r="U54" s="196">
        <f>(C54&gt;0)*(C54&lt;$E$5)*VLOOKUP(MPP,ASUMSI!$BN$77:$CR$108,B54+1)*(1+$V$4)</f>
        <v>0</v>
      </c>
      <c r="V54" s="185">
        <f t="shared" si="11"/>
        <v>0</v>
      </c>
      <c r="W54" s="185">
        <f t="shared" si="63"/>
        <v>0</v>
      </c>
      <c r="X54" s="185">
        <f t="shared" si="32"/>
        <v>0</v>
      </c>
      <c r="Y54" s="185">
        <f t="shared" si="33"/>
        <v>0</v>
      </c>
      <c r="Z54" s="185">
        <f t="shared" si="34"/>
        <v>0</v>
      </c>
      <c r="AA54" s="197">
        <f t="shared" si="35"/>
        <v>0</v>
      </c>
      <c r="AB54" s="185">
        <f t="shared" si="87"/>
        <v>0</v>
      </c>
      <c r="AC54" s="185">
        <f t="shared" si="87"/>
        <v>0</v>
      </c>
      <c r="AD54" s="185">
        <f t="shared" si="87"/>
        <v>0</v>
      </c>
      <c r="AE54" s="185">
        <f t="shared" si="88"/>
        <v>0</v>
      </c>
      <c r="AF54" s="185">
        <f t="shared" si="89"/>
        <v>0</v>
      </c>
      <c r="AG54" s="185">
        <f t="shared" si="90"/>
        <v>0</v>
      </c>
      <c r="AH54" s="185">
        <f t="shared" si="91"/>
        <v>0</v>
      </c>
      <c r="AI54" s="125">
        <f>BEL!AI54</f>
        <v>0</v>
      </c>
      <c r="AJ54" s="125">
        <f>BEL!AJ54</f>
        <v>0</v>
      </c>
      <c r="AK54" s="125">
        <f>BEL!AK54</f>
        <v>0</v>
      </c>
      <c r="AL54" s="125">
        <f>BEL!AL54</f>
        <v>0</v>
      </c>
      <c r="AM54" s="125">
        <f>BEL!AM54</f>
        <v>0</v>
      </c>
      <c r="AN54" s="125">
        <f>BEL!AN54</f>
        <v>0</v>
      </c>
      <c r="AO54" s="198">
        <f t="shared" si="13"/>
        <v>0</v>
      </c>
      <c r="AP54" s="125">
        <f>BEL!AP54</f>
        <v>0</v>
      </c>
      <c r="AQ54" s="125">
        <f>BEL!AQ54</f>
        <v>0</v>
      </c>
      <c r="AR54" s="125">
        <f>BEL!AR54</f>
        <v>0</v>
      </c>
      <c r="AS54" s="125">
        <f>BEL!AS54</f>
        <v>0</v>
      </c>
      <c r="AT54" s="125">
        <f>BEL!AT54</f>
        <v>0</v>
      </c>
      <c r="AU54" s="127">
        <f>BEL!AU54</f>
        <v>0</v>
      </c>
      <c r="AV54" s="127">
        <f>BEL!AV54</f>
        <v>0</v>
      </c>
      <c r="AW54" s="127">
        <f>BEL!AW54</f>
        <v>0</v>
      </c>
      <c r="AX54" s="127">
        <f t="shared" si="92"/>
        <v>0</v>
      </c>
      <c r="AY54" s="127">
        <f t="shared" si="41"/>
        <v>0</v>
      </c>
      <c r="AZ54" s="127">
        <f t="shared" si="93"/>
        <v>0</v>
      </c>
      <c r="BA54" s="127">
        <f t="shared" si="94"/>
        <v>0</v>
      </c>
      <c r="BB54" s="127">
        <f t="shared" si="95"/>
        <v>0</v>
      </c>
      <c r="BC54" s="127">
        <f t="shared" si="96"/>
        <v>0</v>
      </c>
      <c r="BD54" s="127">
        <f t="shared" si="97"/>
        <v>0</v>
      </c>
      <c r="BE54" s="127">
        <f t="shared" si="98"/>
        <v>0</v>
      </c>
      <c r="BF54" s="127">
        <f t="shared" si="99"/>
        <v>0</v>
      </c>
      <c r="BG54" s="127">
        <f t="shared" si="100"/>
        <v>0</v>
      </c>
      <c r="BH54" s="127">
        <f t="shared" si="101"/>
        <v>0</v>
      </c>
      <c r="BI54" s="127">
        <f t="shared" si="42"/>
        <v>0</v>
      </c>
      <c r="BJ54" s="189">
        <f t="shared" si="64"/>
        <v>0</v>
      </c>
      <c r="BK54" s="189">
        <f t="shared" si="65"/>
        <v>0</v>
      </c>
      <c r="BL54" s="192">
        <f t="shared" si="66"/>
        <v>0</v>
      </c>
      <c r="BM54" s="192">
        <f t="shared" si="67"/>
        <v>0</v>
      </c>
      <c r="BN54" s="192">
        <f t="shared" si="68"/>
        <v>0</v>
      </c>
      <c r="BO54" s="192">
        <f t="shared" si="69"/>
        <v>0</v>
      </c>
      <c r="BP54" s="192">
        <f t="shared" si="70"/>
        <v>0</v>
      </c>
      <c r="BQ54" s="193">
        <f t="shared" si="46"/>
        <v>0</v>
      </c>
      <c r="BR54" s="193">
        <f t="shared" si="71"/>
        <v>0</v>
      </c>
      <c r="BS54" s="188">
        <f t="shared" si="48"/>
        <v>0</v>
      </c>
      <c r="BT54" s="188">
        <f t="shared" si="49"/>
        <v>0</v>
      </c>
      <c r="BU54" s="188">
        <f t="shared" si="50"/>
        <v>0</v>
      </c>
      <c r="BV54" s="188">
        <f t="shared" si="51"/>
        <v>0</v>
      </c>
      <c r="BW54" s="188">
        <f t="shared" si="52"/>
        <v>0</v>
      </c>
      <c r="BX54" s="188">
        <f t="shared" si="53"/>
        <v>0</v>
      </c>
      <c r="BY54" s="188">
        <f t="shared" si="54"/>
        <v>0</v>
      </c>
      <c r="BZ54" s="188">
        <f t="shared" si="55"/>
        <v>0</v>
      </c>
      <c r="CA54" s="188">
        <f t="shared" si="56"/>
        <v>0</v>
      </c>
      <c r="CB54" s="149">
        <f t="shared" si="57"/>
        <v>0</v>
      </c>
      <c r="CC54" s="149">
        <f>CB54-BEL!CB54</f>
        <v>0</v>
      </c>
      <c r="CD54" s="189">
        <f>IF(AND(C54=0,C55=0),0,CB54/W54) - BEL!CC54</f>
        <v>0</v>
      </c>
      <c r="CF54" s="195">
        <f t="shared" si="72"/>
        <v>0</v>
      </c>
      <c r="CG54" s="127">
        <f t="shared" si="73"/>
        <v>0</v>
      </c>
      <c r="CH54" s="128">
        <f>'DATA INPUT - DETAIL'!AH45</f>
        <v>0</v>
      </c>
      <c r="CI54" s="125">
        <f t="shared" si="74"/>
        <v>0</v>
      </c>
      <c r="CJ54" s="199">
        <f t="shared" si="75"/>
        <v>0</v>
      </c>
      <c r="CL54" s="189">
        <f t="shared" si="76"/>
        <v>0</v>
      </c>
      <c r="CM54" s="149">
        <f t="shared" si="58"/>
        <v>0</v>
      </c>
      <c r="CN54" s="128">
        <f>'DATA INPUT - DETAIL'!AH45</f>
        <v>0</v>
      </c>
      <c r="CO54" s="149">
        <f t="shared" si="59"/>
        <v>0</v>
      </c>
      <c r="CP54" s="149">
        <f t="shared" si="60"/>
        <v>0</v>
      </c>
      <c r="CR54" s="126">
        <f t="shared" si="77"/>
        <v>42</v>
      </c>
      <c r="CS54" s="189">
        <f t="shared" si="78"/>
        <v>0</v>
      </c>
      <c r="CT54" s="200">
        <f>CS54/(BEL!CE54+BEL!CA54-BEL!BU54+'RA CSM'!CF54)</f>
        <v>0</v>
      </c>
      <c r="CU54" s="149">
        <f>$CT54*BEL!CH54</f>
        <v>0</v>
      </c>
      <c r="CV54" s="149">
        <f>$CT54*BEL!CI54</f>
        <v>0</v>
      </c>
      <c r="CW54" s="149">
        <f>$CT54*BEL!CJ54</f>
        <v>0</v>
      </c>
      <c r="CX54" s="149">
        <f>$CT54*BEL!CK54</f>
        <v>0</v>
      </c>
      <c r="CY54" s="149">
        <f t="shared" si="61"/>
        <v>0</v>
      </c>
      <c r="CZ54" s="149">
        <f>$CT54*(BEL!CL54+'RA CSM'!CG54)</f>
        <v>0</v>
      </c>
      <c r="DA54" s="149">
        <f t="shared" si="62"/>
        <v>0</v>
      </c>
    </row>
    <row r="55" spans="2:105" x14ac:dyDescent="0.2">
      <c r="B55" s="130">
        <f>BEL!B55</f>
        <v>0</v>
      </c>
      <c r="C55" s="130">
        <f>BEL!C55</f>
        <v>0</v>
      </c>
      <c r="D55" s="190">
        <f>BEL!D55</f>
        <v>0</v>
      </c>
      <c r="E55" s="190">
        <f>BEL!E55</f>
        <v>0</v>
      </c>
      <c r="F55" s="190">
        <f>BEL!F55</f>
        <v>0</v>
      </c>
      <c r="G55" s="190">
        <f>BEL!G55*(1+$V$5)</f>
        <v>0</v>
      </c>
      <c r="H55" s="190">
        <f>BEL!H55*(1+$V$5)</f>
        <v>0</v>
      </c>
      <c r="I55" s="179">
        <f t="shared" si="2"/>
        <v>0</v>
      </c>
      <c r="J55" s="130">
        <f>BEL!J55</f>
        <v>0</v>
      </c>
      <c r="K55" s="130">
        <f>BEL!K55</f>
        <v>0</v>
      </c>
      <c r="L55" s="130">
        <f>BEL!L55</f>
        <v>0</v>
      </c>
      <c r="M55" s="185">
        <f t="shared" si="79"/>
        <v>0</v>
      </c>
      <c r="N55" s="185">
        <f t="shared" si="80"/>
        <v>0</v>
      </c>
      <c r="O55" s="185">
        <f t="shared" si="81"/>
        <v>0</v>
      </c>
      <c r="P55" s="185">
        <f t="shared" si="82"/>
        <v>0</v>
      </c>
      <c r="Q55" s="185">
        <f t="shared" si="83"/>
        <v>0</v>
      </c>
      <c r="R55" s="185">
        <f t="shared" si="84"/>
        <v>0</v>
      </c>
      <c r="S55" s="185">
        <f t="shared" si="85"/>
        <v>0</v>
      </c>
      <c r="T55" s="185">
        <f t="shared" si="86"/>
        <v>0</v>
      </c>
      <c r="U55" s="196">
        <f>(C55&gt;0)*(C55&lt;$E$5)*VLOOKUP(MPP,ASUMSI!$BN$77:$CR$108,B55+1)*(1+$V$4)</f>
        <v>0</v>
      </c>
      <c r="V55" s="185">
        <f t="shared" si="11"/>
        <v>0</v>
      </c>
      <c r="W55" s="185">
        <f t="shared" si="63"/>
        <v>0</v>
      </c>
      <c r="X55" s="185">
        <f t="shared" si="32"/>
        <v>0</v>
      </c>
      <c r="Y55" s="185">
        <f t="shared" si="33"/>
        <v>0</v>
      </c>
      <c r="Z55" s="185">
        <f t="shared" si="34"/>
        <v>0</v>
      </c>
      <c r="AA55" s="197">
        <f t="shared" si="35"/>
        <v>0</v>
      </c>
      <c r="AB55" s="185">
        <f t="shared" si="87"/>
        <v>0</v>
      </c>
      <c r="AC55" s="185">
        <f t="shared" si="87"/>
        <v>0</v>
      </c>
      <c r="AD55" s="185">
        <f t="shared" si="87"/>
        <v>0</v>
      </c>
      <c r="AE55" s="185">
        <f t="shared" si="88"/>
        <v>0</v>
      </c>
      <c r="AF55" s="185">
        <f t="shared" si="89"/>
        <v>0</v>
      </c>
      <c r="AG55" s="185">
        <f t="shared" si="90"/>
        <v>0</v>
      </c>
      <c r="AH55" s="185">
        <f t="shared" si="91"/>
        <v>0</v>
      </c>
      <c r="AI55" s="125">
        <f>BEL!AI55</f>
        <v>0</v>
      </c>
      <c r="AJ55" s="125">
        <f>BEL!AJ55</f>
        <v>0</v>
      </c>
      <c r="AK55" s="125">
        <f>BEL!AK55</f>
        <v>0</v>
      </c>
      <c r="AL55" s="125">
        <f>BEL!AL55</f>
        <v>0</v>
      </c>
      <c r="AM55" s="125">
        <f>BEL!AM55</f>
        <v>0</v>
      </c>
      <c r="AN55" s="125">
        <f>BEL!AN55</f>
        <v>0</v>
      </c>
      <c r="AO55" s="198">
        <f t="shared" si="13"/>
        <v>0</v>
      </c>
      <c r="AP55" s="125">
        <f>BEL!AP55</f>
        <v>0</v>
      </c>
      <c r="AQ55" s="125">
        <f>BEL!AQ55</f>
        <v>0</v>
      </c>
      <c r="AR55" s="125">
        <f>BEL!AR55</f>
        <v>0</v>
      </c>
      <c r="AS55" s="125">
        <f>BEL!AS55</f>
        <v>0</v>
      </c>
      <c r="AT55" s="125">
        <f>BEL!AT55</f>
        <v>0</v>
      </c>
      <c r="AU55" s="127">
        <f>BEL!AU55</f>
        <v>0</v>
      </c>
      <c r="AV55" s="127">
        <f>BEL!AV55</f>
        <v>0</v>
      </c>
      <c r="AW55" s="127">
        <f>BEL!AW55</f>
        <v>0</v>
      </c>
      <c r="AX55" s="127">
        <f t="shared" si="92"/>
        <v>0</v>
      </c>
      <c r="AY55" s="127">
        <f t="shared" si="41"/>
        <v>0</v>
      </c>
      <c r="AZ55" s="127">
        <f t="shared" si="93"/>
        <v>0</v>
      </c>
      <c r="BA55" s="127">
        <f t="shared" si="94"/>
        <v>0</v>
      </c>
      <c r="BB55" s="127">
        <f t="shared" si="95"/>
        <v>0</v>
      </c>
      <c r="BC55" s="127">
        <f t="shared" si="96"/>
        <v>0</v>
      </c>
      <c r="BD55" s="127">
        <f t="shared" si="97"/>
        <v>0</v>
      </c>
      <c r="BE55" s="127">
        <f t="shared" si="98"/>
        <v>0</v>
      </c>
      <c r="BF55" s="127">
        <f t="shared" si="99"/>
        <v>0</v>
      </c>
      <c r="BG55" s="127">
        <f t="shared" si="100"/>
        <v>0</v>
      </c>
      <c r="BH55" s="127">
        <f t="shared" si="101"/>
        <v>0</v>
      </c>
      <c r="BI55" s="127">
        <f t="shared" si="42"/>
        <v>0</v>
      </c>
      <c r="BJ55" s="189">
        <f t="shared" si="64"/>
        <v>0</v>
      </c>
      <c r="BK55" s="189">
        <f t="shared" si="65"/>
        <v>0</v>
      </c>
      <c r="BL55" s="192">
        <f t="shared" si="66"/>
        <v>0</v>
      </c>
      <c r="BM55" s="192">
        <f t="shared" si="67"/>
        <v>0</v>
      </c>
      <c r="BN55" s="192">
        <f t="shared" si="68"/>
        <v>0</v>
      </c>
      <c r="BO55" s="192">
        <f t="shared" si="69"/>
        <v>0</v>
      </c>
      <c r="BP55" s="192">
        <f t="shared" si="70"/>
        <v>0</v>
      </c>
      <c r="BQ55" s="193">
        <f t="shared" si="46"/>
        <v>0</v>
      </c>
      <c r="BR55" s="193">
        <f t="shared" si="71"/>
        <v>0</v>
      </c>
      <c r="BS55" s="188">
        <f t="shared" si="48"/>
        <v>0</v>
      </c>
      <c r="BT55" s="188">
        <f t="shared" si="49"/>
        <v>0</v>
      </c>
      <c r="BU55" s="188">
        <f t="shared" si="50"/>
        <v>0</v>
      </c>
      <c r="BV55" s="188">
        <f t="shared" si="51"/>
        <v>0</v>
      </c>
      <c r="BW55" s="188">
        <f t="shared" si="52"/>
        <v>0</v>
      </c>
      <c r="BX55" s="188">
        <f t="shared" si="53"/>
        <v>0</v>
      </c>
      <c r="BY55" s="188">
        <f t="shared" si="54"/>
        <v>0</v>
      </c>
      <c r="BZ55" s="188">
        <f t="shared" si="55"/>
        <v>0</v>
      </c>
      <c r="CA55" s="188">
        <f t="shared" si="56"/>
        <v>0</v>
      </c>
      <c r="CB55" s="149">
        <f t="shared" si="57"/>
        <v>0</v>
      </c>
      <c r="CC55" s="149">
        <f>CB55-BEL!CB55</f>
        <v>0</v>
      </c>
      <c r="CD55" s="189">
        <f>IF(AND(C55=0,C56=0),0,CB55/W55) - BEL!CC55</f>
        <v>0</v>
      </c>
      <c r="CF55" s="195">
        <f t="shared" si="72"/>
        <v>0</v>
      </c>
      <c r="CG55" s="127">
        <f t="shared" si="73"/>
        <v>0</v>
      </c>
      <c r="CH55" s="128">
        <f>'DATA INPUT - DETAIL'!AH46</f>
        <v>0</v>
      </c>
      <c r="CI55" s="125">
        <f t="shared" si="74"/>
        <v>0</v>
      </c>
      <c r="CJ55" s="199">
        <f t="shared" si="75"/>
        <v>0</v>
      </c>
      <c r="CL55" s="189">
        <f t="shared" si="76"/>
        <v>0</v>
      </c>
      <c r="CM55" s="149">
        <f t="shared" si="58"/>
        <v>0</v>
      </c>
      <c r="CN55" s="128">
        <f>'DATA INPUT - DETAIL'!AH46</f>
        <v>0</v>
      </c>
      <c r="CO55" s="149">
        <f t="shared" si="59"/>
        <v>0</v>
      </c>
      <c r="CP55" s="149">
        <f t="shared" si="60"/>
        <v>0</v>
      </c>
      <c r="CR55" s="126">
        <f t="shared" si="77"/>
        <v>43</v>
      </c>
      <c r="CS55" s="189">
        <f t="shared" si="78"/>
        <v>0</v>
      </c>
      <c r="CT55" s="200">
        <f>CS55/(BEL!CE55+BEL!CA55-BEL!BU55+'RA CSM'!CF55)</f>
        <v>0</v>
      </c>
      <c r="CU55" s="149">
        <f>$CT55*BEL!CH55</f>
        <v>0</v>
      </c>
      <c r="CV55" s="149">
        <f>$CT55*BEL!CI55</f>
        <v>0</v>
      </c>
      <c r="CW55" s="149">
        <f>$CT55*BEL!CJ55</f>
        <v>0</v>
      </c>
      <c r="CX55" s="149">
        <f>$CT55*BEL!CK55</f>
        <v>0</v>
      </c>
      <c r="CY55" s="149">
        <f t="shared" si="61"/>
        <v>0</v>
      </c>
      <c r="CZ55" s="149">
        <f>$CT55*(BEL!CL55+'RA CSM'!CG55)</f>
        <v>0</v>
      </c>
      <c r="DA55" s="149">
        <f t="shared" si="62"/>
        <v>0</v>
      </c>
    </row>
    <row r="56" spans="2:105" x14ac:dyDescent="0.2">
      <c r="B56" s="130">
        <f>BEL!B56</f>
        <v>0</v>
      </c>
      <c r="C56" s="130">
        <f>BEL!C56</f>
        <v>0</v>
      </c>
      <c r="D56" s="190">
        <f>BEL!D56</f>
        <v>0</v>
      </c>
      <c r="E56" s="190">
        <f>BEL!E56</f>
        <v>0</v>
      </c>
      <c r="F56" s="190">
        <f>BEL!F56</f>
        <v>0</v>
      </c>
      <c r="G56" s="190">
        <f>BEL!G56*(1+$V$5)</f>
        <v>0</v>
      </c>
      <c r="H56" s="190">
        <f>BEL!H56*(1+$V$5)</f>
        <v>0</v>
      </c>
      <c r="I56" s="179">
        <f t="shared" si="2"/>
        <v>0</v>
      </c>
      <c r="J56" s="130">
        <f>BEL!J56</f>
        <v>0</v>
      </c>
      <c r="K56" s="130">
        <f>BEL!K56</f>
        <v>0</v>
      </c>
      <c r="L56" s="130">
        <f>BEL!L56</f>
        <v>0</v>
      </c>
      <c r="M56" s="185">
        <f t="shared" si="79"/>
        <v>0</v>
      </c>
      <c r="N56" s="185">
        <f t="shared" si="80"/>
        <v>0</v>
      </c>
      <c r="O56" s="185">
        <f t="shared" si="81"/>
        <v>0</v>
      </c>
      <c r="P56" s="185">
        <f t="shared" si="82"/>
        <v>0</v>
      </c>
      <c r="Q56" s="185">
        <f t="shared" si="83"/>
        <v>0</v>
      </c>
      <c r="R56" s="185">
        <f t="shared" si="84"/>
        <v>0</v>
      </c>
      <c r="S56" s="185">
        <f t="shared" si="85"/>
        <v>0</v>
      </c>
      <c r="T56" s="185">
        <f t="shared" si="86"/>
        <v>0</v>
      </c>
      <c r="U56" s="196">
        <f>(C56&gt;0)*(C56&lt;$E$5)*VLOOKUP(MPP,ASUMSI!$BN$77:$CR$108,B56+1)*(1+$V$4)</f>
        <v>0</v>
      </c>
      <c r="V56" s="185">
        <f t="shared" si="11"/>
        <v>0</v>
      </c>
      <c r="W56" s="185">
        <f t="shared" si="63"/>
        <v>0</v>
      </c>
      <c r="X56" s="185">
        <f t="shared" si="32"/>
        <v>0</v>
      </c>
      <c r="Y56" s="185">
        <f t="shared" si="33"/>
        <v>0</v>
      </c>
      <c r="Z56" s="185">
        <f t="shared" si="34"/>
        <v>0</v>
      </c>
      <c r="AA56" s="197">
        <f t="shared" si="35"/>
        <v>0</v>
      </c>
      <c r="AB56" s="185">
        <f t="shared" si="87"/>
        <v>0</v>
      </c>
      <c r="AC56" s="185">
        <f t="shared" si="87"/>
        <v>0</v>
      </c>
      <c r="AD56" s="185">
        <f t="shared" si="87"/>
        <v>0</v>
      </c>
      <c r="AE56" s="185">
        <f t="shared" si="88"/>
        <v>0</v>
      </c>
      <c r="AF56" s="185">
        <f t="shared" si="89"/>
        <v>0</v>
      </c>
      <c r="AG56" s="185">
        <f t="shared" si="90"/>
        <v>0</v>
      </c>
      <c r="AH56" s="185">
        <f t="shared" si="91"/>
        <v>0</v>
      </c>
      <c r="AI56" s="125">
        <f>BEL!AI56</f>
        <v>0</v>
      </c>
      <c r="AJ56" s="125">
        <f>BEL!AJ56</f>
        <v>0</v>
      </c>
      <c r="AK56" s="125">
        <f>BEL!AK56</f>
        <v>0</v>
      </c>
      <c r="AL56" s="125">
        <f>BEL!AL56</f>
        <v>0</v>
      </c>
      <c r="AM56" s="125">
        <f>BEL!AM56</f>
        <v>0</v>
      </c>
      <c r="AN56" s="125">
        <f>BEL!AN56</f>
        <v>0</v>
      </c>
      <c r="AO56" s="198">
        <f t="shared" si="13"/>
        <v>0</v>
      </c>
      <c r="AP56" s="125">
        <f>BEL!AP56</f>
        <v>0</v>
      </c>
      <c r="AQ56" s="125">
        <f>BEL!AQ56</f>
        <v>0</v>
      </c>
      <c r="AR56" s="125">
        <f>BEL!AR56</f>
        <v>0</v>
      </c>
      <c r="AS56" s="125">
        <f>BEL!AS56</f>
        <v>0</v>
      </c>
      <c r="AT56" s="125">
        <f>BEL!AT56</f>
        <v>0</v>
      </c>
      <c r="AU56" s="127">
        <f>BEL!AU56</f>
        <v>0</v>
      </c>
      <c r="AV56" s="127">
        <f>BEL!AV56</f>
        <v>0</v>
      </c>
      <c r="AW56" s="127">
        <f>BEL!AW56</f>
        <v>0</v>
      </c>
      <c r="AX56" s="127">
        <f t="shared" si="92"/>
        <v>0</v>
      </c>
      <c r="AY56" s="127">
        <f t="shared" si="41"/>
        <v>0</v>
      </c>
      <c r="AZ56" s="127">
        <f t="shared" si="93"/>
        <v>0</v>
      </c>
      <c r="BA56" s="127">
        <f t="shared" si="94"/>
        <v>0</v>
      </c>
      <c r="BB56" s="127">
        <f t="shared" si="95"/>
        <v>0</v>
      </c>
      <c r="BC56" s="127">
        <f t="shared" si="96"/>
        <v>0</v>
      </c>
      <c r="BD56" s="127">
        <f t="shared" si="97"/>
        <v>0</v>
      </c>
      <c r="BE56" s="127">
        <f t="shared" si="98"/>
        <v>0</v>
      </c>
      <c r="BF56" s="127">
        <f t="shared" si="99"/>
        <v>0</v>
      </c>
      <c r="BG56" s="127">
        <f t="shared" si="100"/>
        <v>0</v>
      </c>
      <c r="BH56" s="127">
        <f t="shared" si="101"/>
        <v>0</v>
      </c>
      <c r="BI56" s="127">
        <f t="shared" si="42"/>
        <v>0</v>
      </c>
      <c r="BJ56" s="189">
        <f t="shared" si="64"/>
        <v>0</v>
      </c>
      <c r="BK56" s="189">
        <f t="shared" si="65"/>
        <v>0</v>
      </c>
      <c r="BL56" s="192">
        <f t="shared" si="66"/>
        <v>0</v>
      </c>
      <c r="BM56" s="192">
        <f t="shared" si="67"/>
        <v>0</v>
      </c>
      <c r="BN56" s="192">
        <f t="shared" si="68"/>
        <v>0</v>
      </c>
      <c r="BO56" s="192">
        <f t="shared" si="69"/>
        <v>0</v>
      </c>
      <c r="BP56" s="192">
        <f t="shared" si="70"/>
        <v>0</v>
      </c>
      <c r="BQ56" s="193">
        <f t="shared" si="46"/>
        <v>0</v>
      </c>
      <c r="BR56" s="193">
        <f t="shared" si="71"/>
        <v>0</v>
      </c>
      <c r="BS56" s="188">
        <f t="shared" si="48"/>
        <v>0</v>
      </c>
      <c r="BT56" s="188">
        <f t="shared" si="49"/>
        <v>0</v>
      </c>
      <c r="BU56" s="188">
        <f t="shared" si="50"/>
        <v>0</v>
      </c>
      <c r="BV56" s="188">
        <f t="shared" si="51"/>
        <v>0</v>
      </c>
      <c r="BW56" s="188">
        <f t="shared" si="52"/>
        <v>0</v>
      </c>
      <c r="BX56" s="188">
        <f t="shared" si="53"/>
        <v>0</v>
      </c>
      <c r="BY56" s="188">
        <f t="shared" si="54"/>
        <v>0</v>
      </c>
      <c r="BZ56" s="188">
        <f t="shared" si="55"/>
        <v>0</v>
      </c>
      <c r="CA56" s="188">
        <f t="shared" si="56"/>
        <v>0</v>
      </c>
      <c r="CB56" s="149">
        <f t="shared" si="57"/>
        <v>0</v>
      </c>
      <c r="CC56" s="149">
        <f>CB56-BEL!CB56</f>
        <v>0</v>
      </c>
      <c r="CD56" s="189">
        <f>IF(AND(C56=0,C57=0),0,CB56/W56) - BEL!CC56</f>
        <v>0</v>
      </c>
      <c r="CF56" s="195">
        <f t="shared" si="72"/>
        <v>0</v>
      </c>
      <c r="CG56" s="127">
        <f t="shared" si="73"/>
        <v>0</v>
      </c>
      <c r="CH56" s="128">
        <f>'DATA INPUT - DETAIL'!AH47</f>
        <v>0</v>
      </c>
      <c r="CI56" s="125">
        <f t="shared" si="74"/>
        <v>0</v>
      </c>
      <c r="CJ56" s="199">
        <f t="shared" si="75"/>
        <v>0</v>
      </c>
      <c r="CL56" s="189">
        <f t="shared" si="76"/>
        <v>0</v>
      </c>
      <c r="CM56" s="149">
        <f t="shared" si="58"/>
        <v>0</v>
      </c>
      <c r="CN56" s="128">
        <f>'DATA INPUT - DETAIL'!AH47</f>
        <v>0</v>
      </c>
      <c r="CO56" s="149">
        <f t="shared" si="59"/>
        <v>0</v>
      </c>
      <c r="CP56" s="149">
        <f t="shared" si="60"/>
        <v>0</v>
      </c>
      <c r="CR56" s="126">
        <f t="shared" si="77"/>
        <v>44</v>
      </c>
      <c r="CS56" s="189">
        <f t="shared" si="78"/>
        <v>0</v>
      </c>
      <c r="CT56" s="200">
        <f>CS56/(BEL!CE56+BEL!CA56-BEL!BU56+'RA CSM'!CF56)</f>
        <v>0</v>
      </c>
      <c r="CU56" s="149">
        <f>$CT56*BEL!CH56</f>
        <v>0</v>
      </c>
      <c r="CV56" s="149">
        <f>$CT56*BEL!CI56</f>
        <v>0</v>
      </c>
      <c r="CW56" s="149">
        <f>$CT56*BEL!CJ56</f>
        <v>0</v>
      </c>
      <c r="CX56" s="149">
        <f>$CT56*BEL!CK56</f>
        <v>0</v>
      </c>
      <c r="CY56" s="149">
        <f t="shared" si="61"/>
        <v>0</v>
      </c>
      <c r="CZ56" s="149">
        <f>$CT56*(BEL!CL56+'RA CSM'!CG56)</f>
        <v>0</v>
      </c>
      <c r="DA56" s="149">
        <f t="shared" si="62"/>
        <v>0</v>
      </c>
    </row>
    <row r="57" spans="2:105" x14ac:dyDescent="0.2">
      <c r="B57" s="130">
        <f>BEL!B57</f>
        <v>0</v>
      </c>
      <c r="C57" s="130">
        <f>BEL!C57</f>
        <v>0</v>
      </c>
      <c r="D57" s="190">
        <f>BEL!D57</f>
        <v>0</v>
      </c>
      <c r="E57" s="190">
        <f>BEL!E57</f>
        <v>0</v>
      </c>
      <c r="F57" s="190">
        <f>BEL!F57</f>
        <v>0</v>
      </c>
      <c r="G57" s="190">
        <f>BEL!G57*(1+$V$5)</f>
        <v>0</v>
      </c>
      <c r="H57" s="190">
        <f>BEL!H57*(1+$V$5)</f>
        <v>0</v>
      </c>
      <c r="I57" s="179">
        <f t="shared" si="2"/>
        <v>0</v>
      </c>
      <c r="J57" s="130">
        <f>BEL!J57</f>
        <v>0</v>
      </c>
      <c r="K57" s="130">
        <f>BEL!K57</f>
        <v>0</v>
      </c>
      <c r="L57" s="130">
        <f>BEL!L57</f>
        <v>0</v>
      </c>
      <c r="M57" s="185">
        <f t="shared" si="79"/>
        <v>0</v>
      </c>
      <c r="N57" s="185">
        <f t="shared" si="80"/>
        <v>0</v>
      </c>
      <c r="O57" s="185">
        <f t="shared" si="81"/>
        <v>0</v>
      </c>
      <c r="P57" s="185">
        <f t="shared" si="82"/>
        <v>0</v>
      </c>
      <c r="Q57" s="185">
        <f t="shared" si="83"/>
        <v>0</v>
      </c>
      <c r="R57" s="185">
        <f t="shared" si="84"/>
        <v>0</v>
      </c>
      <c r="S57" s="185">
        <f t="shared" si="85"/>
        <v>0</v>
      </c>
      <c r="T57" s="185">
        <f t="shared" si="86"/>
        <v>0</v>
      </c>
      <c r="U57" s="196">
        <f>(C57&gt;0)*(C57&lt;$E$5)*VLOOKUP(MPP,ASUMSI!$BN$77:$CR$108,B57+1)*(1+$V$4)</f>
        <v>0</v>
      </c>
      <c r="V57" s="185">
        <f t="shared" si="11"/>
        <v>0</v>
      </c>
      <c r="W57" s="185">
        <f t="shared" si="63"/>
        <v>0</v>
      </c>
      <c r="X57" s="185">
        <f t="shared" si="32"/>
        <v>0</v>
      </c>
      <c r="Y57" s="185">
        <f t="shared" si="33"/>
        <v>0</v>
      </c>
      <c r="Z57" s="185">
        <f t="shared" si="34"/>
        <v>0</v>
      </c>
      <c r="AA57" s="197">
        <f t="shared" si="35"/>
        <v>0</v>
      </c>
      <c r="AB57" s="185">
        <f t="shared" si="87"/>
        <v>0</v>
      </c>
      <c r="AC57" s="185">
        <f t="shared" si="87"/>
        <v>0</v>
      </c>
      <c r="AD57" s="185">
        <f t="shared" si="87"/>
        <v>0</v>
      </c>
      <c r="AE57" s="185">
        <f t="shared" si="88"/>
        <v>0</v>
      </c>
      <c r="AF57" s="185">
        <f t="shared" si="89"/>
        <v>0</v>
      </c>
      <c r="AG57" s="185">
        <f t="shared" si="90"/>
        <v>0</v>
      </c>
      <c r="AH57" s="185">
        <f t="shared" si="91"/>
        <v>0</v>
      </c>
      <c r="AI57" s="125">
        <f>BEL!AI57</f>
        <v>0</v>
      </c>
      <c r="AJ57" s="125">
        <f>BEL!AJ57</f>
        <v>0</v>
      </c>
      <c r="AK57" s="125">
        <f>BEL!AK57</f>
        <v>0</v>
      </c>
      <c r="AL57" s="125">
        <f>BEL!AL57</f>
        <v>0</v>
      </c>
      <c r="AM57" s="125">
        <f>BEL!AM57</f>
        <v>0</v>
      </c>
      <c r="AN57" s="125">
        <f>BEL!AN57</f>
        <v>0</v>
      </c>
      <c r="AO57" s="198">
        <f t="shared" si="13"/>
        <v>0</v>
      </c>
      <c r="AP57" s="125">
        <f>BEL!AP57</f>
        <v>0</v>
      </c>
      <c r="AQ57" s="125">
        <f>BEL!AQ57</f>
        <v>0</v>
      </c>
      <c r="AR57" s="125">
        <f>BEL!AR57</f>
        <v>0</v>
      </c>
      <c r="AS57" s="125">
        <f>BEL!AS57</f>
        <v>0</v>
      </c>
      <c r="AT57" s="125">
        <f>BEL!AT57</f>
        <v>0</v>
      </c>
      <c r="AU57" s="127">
        <f>BEL!AU57</f>
        <v>0</v>
      </c>
      <c r="AV57" s="127">
        <f>BEL!AV57</f>
        <v>0</v>
      </c>
      <c r="AW57" s="127">
        <f>BEL!AW57</f>
        <v>0</v>
      </c>
      <c r="AX57" s="127">
        <f t="shared" si="92"/>
        <v>0</v>
      </c>
      <c r="AY57" s="127">
        <f t="shared" si="41"/>
        <v>0</v>
      </c>
      <c r="AZ57" s="127">
        <f t="shared" si="93"/>
        <v>0</v>
      </c>
      <c r="BA57" s="127">
        <f t="shared" si="94"/>
        <v>0</v>
      </c>
      <c r="BB57" s="127">
        <f t="shared" si="95"/>
        <v>0</v>
      </c>
      <c r="BC57" s="127">
        <f t="shared" si="96"/>
        <v>0</v>
      </c>
      <c r="BD57" s="127">
        <f t="shared" si="97"/>
        <v>0</v>
      </c>
      <c r="BE57" s="127">
        <f t="shared" si="98"/>
        <v>0</v>
      </c>
      <c r="BF57" s="127">
        <f t="shared" si="99"/>
        <v>0</v>
      </c>
      <c r="BG57" s="127">
        <f t="shared" si="100"/>
        <v>0</v>
      </c>
      <c r="BH57" s="127">
        <f t="shared" si="101"/>
        <v>0</v>
      </c>
      <c r="BI57" s="127">
        <f t="shared" si="42"/>
        <v>0</v>
      </c>
      <c r="BJ57" s="189">
        <f t="shared" si="64"/>
        <v>0</v>
      </c>
      <c r="BK57" s="189">
        <f t="shared" si="65"/>
        <v>0</v>
      </c>
      <c r="BL57" s="192">
        <f t="shared" si="66"/>
        <v>0</v>
      </c>
      <c r="BM57" s="192">
        <f t="shared" si="67"/>
        <v>0</v>
      </c>
      <c r="BN57" s="192">
        <f t="shared" si="68"/>
        <v>0</v>
      </c>
      <c r="BO57" s="192">
        <f t="shared" si="69"/>
        <v>0</v>
      </c>
      <c r="BP57" s="192">
        <f t="shared" si="70"/>
        <v>0</v>
      </c>
      <c r="BQ57" s="193">
        <f t="shared" si="46"/>
        <v>0</v>
      </c>
      <c r="BR57" s="193">
        <f t="shared" si="71"/>
        <v>0</v>
      </c>
      <c r="BS57" s="188">
        <f t="shared" si="48"/>
        <v>0</v>
      </c>
      <c r="BT57" s="188">
        <f t="shared" si="49"/>
        <v>0</v>
      </c>
      <c r="BU57" s="188">
        <f t="shared" si="50"/>
        <v>0</v>
      </c>
      <c r="BV57" s="188">
        <f t="shared" si="51"/>
        <v>0</v>
      </c>
      <c r="BW57" s="188">
        <f t="shared" si="52"/>
        <v>0</v>
      </c>
      <c r="BX57" s="188">
        <f t="shared" si="53"/>
        <v>0</v>
      </c>
      <c r="BY57" s="188">
        <f t="shared" si="54"/>
        <v>0</v>
      </c>
      <c r="BZ57" s="188">
        <f t="shared" si="55"/>
        <v>0</v>
      </c>
      <c r="CA57" s="188">
        <f t="shared" si="56"/>
        <v>0</v>
      </c>
      <c r="CB57" s="149">
        <f t="shared" si="57"/>
        <v>0</v>
      </c>
      <c r="CC57" s="149">
        <f>CB57-BEL!CB57</f>
        <v>0</v>
      </c>
      <c r="CD57" s="189">
        <f>IF(AND(C57=0,C58=0),0,CB57/W57) - BEL!CC57</f>
        <v>0</v>
      </c>
      <c r="CF57" s="195">
        <f t="shared" si="72"/>
        <v>0</v>
      </c>
      <c r="CG57" s="127">
        <f t="shared" si="73"/>
        <v>0</v>
      </c>
      <c r="CH57" s="128">
        <f>'DATA INPUT - DETAIL'!AH48</f>
        <v>0</v>
      </c>
      <c r="CI57" s="125">
        <f t="shared" si="74"/>
        <v>0</v>
      </c>
      <c r="CJ57" s="199">
        <f t="shared" si="75"/>
        <v>0</v>
      </c>
      <c r="CL57" s="189">
        <f t="shared" si="76"/>
        <v>0</v>
      </c>
      <c r="CM57" s="149">
        <f t="shared" si="58"/>
        <v>0</v>
      </c>
      <c r="CN57" s="128">
        <f>'DATA INPUT - DETAIL'!AH48</f>
        <v>0</v>
      </c>
      <c r="CO57" s="149">
        <f t="shared" si="59"/>
        <v>0</v>
      </c>
      <c r="CP57" s="149">
        <f t="shared" si="60"/>
        <v>0</v>
      </c>
      <c r="CR57" s="126">
        <f t="shared" si="77"/>
        <v>45</v>
      </c>
      <c r="CS57" s="189">
        <f t="shared" si="78"/>
        <v>0</v>
      </c>
      <c r="CT57" s="200">
        <f>CS57/(BEL!CE57+BEL!CA57-BEL!BU57+'RA CSM'!CF57)</f>
        <v>0</v>
      </c>
      <c r="CU57" s="149">
        <f>$CT57*BEL!CH57</f>
        <v>0</v>
      </c>
      <c r="CV57" s="149">
        <f>$CT57*BEL!CI57</f>
        <v>0</v>
      </c>
      <c r="CW57" s="149">
        <f>$CT57*BEL!CJ57</f>
        <v>0</v>
      </c>
      <c r="CX57" s="149">
        <f>$CT57*BEL!CK57</f>
        <v>0</v>
      </c>
      <c r="CY57" s="149">
        <f t="shared" si="61"/>
        <v>0</v>
      </c>
      <c r="CZ57" s="149">
        <f>$CT57*(BEL!CL57+'RA CSM'!CG57)</f>
        <v>0</v>
      </c>
      <c r="DA57" s="149">
        <f t="shared" si="62"/>
        <v>0</v>
      </c>
    </row>
    <row r="58" spans="2:105" x14ac:dyDescent="0.2">
      <c r="B58" s="130">
        <f>BEL!B58</f>
        <v>0</v>
      </c>
      <c r="C58" s="130">
        <f>BEL!C58</f>
        <v>0</v>
      </c>
      <c r="D58" s="190">
        <f>BEL!D58</f>
        <v>0</v>
      </c>
      <c r="E58" s="190">
        <f>BEL!E58</f>
        <v>0</v>
      </c>
      <c r="F58" s="190">
        <f>BEL!F58</f>
        <v>0</v>
      </c>
      <c r="G58" s="190">
        <f>BEL!G58*(1+$V$5)</f>
        <v>0</v>
      </c>
      <c r="H58" s="190">
        <f>BEL!H58*(1+$V$5)</f>
        <v>0</v>
      </c>
      <c r="I58" s="179">
        <f t="shared" si="2"/>
        <v>0</v>
      </c>
      <c r="J58" s="130">
        <f>BEL!J58</f>
        <v>0</v>
      </c>
      <c r="K58" s="130">
        <f>BEL!K58</f>
        <v>0</v>
      </c>
      <c r="L58" s="130">
        <f>BEL!L58</f>
        <v>0</v>
      </c>
      <c r="M58" s="185">
        <f t="shared" si="79"/>
        <v>0</v>
      </c>
      <c r="N58" s="185">
        <f t="shared" si="80"/>
        <v>0</v>
      </c>
      <c r="O58" s="185">
        <f t="shared" si="81"/>
        <v>0</v>
      </c>
      <c r="P58" s="185">
        <f t="shared" si="82"/>
        <v>0</v>
      </c>
      <c r="Q58" s="185">
        <f t="shared" si="83"/>
        <v>0</v>
      </c>
      <c r="R58" s="185">
        <f t="shared" si="84"/>
        <v>0</v>
      </c>
      <c r="S58" s="185">
        <f t="shared" si="85"/>
        <v>0</v>
      </c>
      <c r="T58" s="185">
        <f t="shared" si="86"/>
        <v>0</v>
      </c>
      <c r="U58" s="196">
        <f>(C58&gt;0)*(C58&lt;$E$5)*VLOOKUP(MPP,ASUMSI!$BN$77:$CR$108,B58+1)*(1+$V$4)</f>
        <v>0</v>
      </c>
      <c r="V58" s="185">
        <f t="shared" si="11"/>
        <v>0</v>
      </c>
      <c r="W58" s="185">
        <f t="shared" si="63"/>
        <v>0</v>
      </c>
      <c r="X58" s="185">
        <f t="shared" si="32"/>
        <v>0</v>
      </c>
      <c r="Y58" s="185">
        <f t="shared" si="33"/>
        <v>0</v>
      </c>
      <c r="Z58" s="185">
        <f t="shared" si="34"/>
        <v>0</v>
      </c>
      <c r="AA58" s="197">
        <f t="shared" si="35"/>
        <v>0</v>
      </c>
      <c r="AB58" s="185">
        <f t="shared" si="87"/>
        <v>0</v>
      </c>
      <c r="AC58" s="185">
        <f t="shared" si="87"/>
        <v>0</v>
      </c>
      <c r="AD58" s="185">
        <f t="shared" si="87"/>
        <v>0</v>
      </c>
      <c r="AE58" s="185">
        <f t="shared" si="88"/>
        <v>0</v>
      </c>
      <c r="AF58" s="185">
        <f t="shared" si="89"/>
        <v>0</v>
      </c>
      <c r="AG58" s="185">
        <f t="shared" si="90"/>
        <v>0</v>
      </c>
      <c r="AH58" s="185">
        <f t="shared" si="91"/>
        <v>0</v>
      </c>
      <c r="AI58" s="125">
        <f>BEL!AI58</f>
        <v>0</v>
      </c>
      <c r="AJ58" s="125">
        <f>BEL!AJ58</f>
        <v>0</v>
      </c>
      <c r="AK58" s="125">
        <f>BEL!AK58</f>
        <v>0</v>
      </c>
      <c r="AL58" s="125">
        <f>BEL!AL58</f>
        <v>0</v>
      </c>
      <c r="AM58" s="125">
        <f>BEL!AM58</f>
        <v>0</v>
      </c>
      <c r="AN58" s="125">
        <f>BEL!AN58</f>
        <v>0</v>
      </c>
      <c r="AO58" s="198">
        <f t="shared" si="13"/>
        <v>0</v>
      </c>
      <c r="AP58" s="125">
        <f>BEL!AP58</f>
        <v>0</v>
      </c>
      <c r="AQ58" s="125">
        <f>BEL!AQ58</f>
        <v>0</v>
      </c>
      <c r="AR58" s="125">
        <f>BEL!AR58</f>
        <v>0</v>
      </c>
      <c r="AS58" s="125">
        <f>BEL!AS58</f>
        <v>0</v>
      </c>
      <c r="AT58" s="125">
        <f>BEL!AT58</f>
        <v>0</v>
      </c>
      <c r="AU58" s="127">
        <f>BEL!AU58</f>
        <v>0</v>
      </c>
      <c r="AV58" s="127">
        <f>BEL!AV58</f>
        <v>0</v>
      </c>
      <c r="AW58" s="127">
        <f>BEL!AW58</f>
        <v>0</v>
      </c>
      <c r="AX58" s="127">
        <f t="shared" si="92"/>
        <v>0</v>
      </c>
      <c r="AY58" s="127">
        <f t="shared" si="41"/>
        <v>0</v>
      </c>
      <c r="AZ58" s="127">
        <f t="shared" si="93"/>
        <v>0</v>
      </c>
      <c r="BA58" s="127">
        <f t="shared" si="94"/>
        <v>0</v>
      </c>
      <c r="BB58" s="127">
        <f t="shared" si="95"/>
        <v>0</v>
      </c>
      <c r="BC58" s="127">
        <f t="shared" si="96"/>
        <v>0</v>
      </c>
      <c r="BD58" s="127">
        <f t="shared" si="97"/>
        <v>0</v>
      </c>
      <c r="BE58" s="127">
        <f t="shared" si="98"/>
        <v>0</v>
      </c>
      <c r="BF58" s="127">
        <f t="shared" si="99"/>
        <v>0</v>
      </c>
      <c r="BG58" s="127">
        <f t="shared" si="100"/>
        <v>0</v>
      </c>
      <c r="BH58" s="127">
        <f t="shared" si="101"/>
        <v>0</v>
      </c>
      <c r="BI58" s="127">
        <f t="shared" si="42"/>
        <v>0</v>
      </c>
      <c r="BJ58" s="189">
        <f t="shared" si="64"/>
        <v>0</v>
      </c>
      <c r="BK58" s="189">
        <f t="shared" si="65"/>
        <v>0</v>
      </c>
      <c r="BL58" s="192">
        <f t="shared" si="66"/>
        <v>0</v>
      </c>
      <c r="BM58" s="192">
        <f t="shared" si="67"/>
        <v>0</v>
      </c>
      <c r="BN58" s="192">
        <f t="shared" si="68"/>
        <v>0</v>
      </c>
      <c r="BO58" s="192">
        <f t="shared" si="69"/>
        <v>0</v>
      </c>
      <c r="BP58" s="192">
        <f t="shared" si="70"/>
        <v>0</v>
      </c>
      <c r="BQ58" s="193">
        <f t="shared" si="46"/>
        <v>0</v>
      </c>
      <c r="BR58" s="193">
        <f t="shared" si="71"/>
        <v>0</v>
      </c>
      <c r="BS58" s="188">
        <f t="shared" si="48"/>
        <v>0</v>
      </c>
      <c r="BT58" s="188">
        <f t="shared" si="49"/>
        <v>0</v>
      </c>
      <c r="BU58" s="188">
        <f t="shared" si="50"/>
        <v>0</v>
      </c>
      <c r="BV58" s="188">
        <f t="shared" si="51"/>
        <v>0</v>
      </c>
      <c r="BW58" s="188">
        <f t="shared" si="52"/>
        <v>0</v>
      </c>
      <c r="BX58" s="188">
        <f t="shared" si="53"/>
        <v>0</v>
      </c>
      <c r="BY58" s="188">
        <f t="shared" si="54"/>
        <v>0</v>
      </c>
      <c r="BZ58" s="188">
        <f t="shared" si="55"/>
        <v>0</v>
      </c>
      <c r="CA58" s="188">
        <f t="shared" si="56"/>
        <v>0</v>
      </c>
      <c r="CB58" s="149">
        <f t="shared" si="57"/>
        <v>0</v>
      </c>
      <c r="CC58" s="149">
        <f>CB58-BEL!CB58</f>
        <v>0</v>
      </c>
      <c r="CD58" s="189">
        <f>IF(AND(C58=0,C59=0),0,CB58/W58) - BEL!CC58</f>
        <v>0</v>
      </c>
      <c r="CF58" s="195">
        <f t="shared" si="72"/>
        <v>0</v>
      </c>
      <c r="CG58" s="127">
        <f t="shared" si="73"/>
        <v>0</v>
      </c>
      <c r="CH58" s="128">
        <f>'DATA INPUT - DETAIL'!AH49</f>
        <v>0</v>
      </c>
      <c r="CI58" s="125">
        <f t="shared" si="74"/>
        <v>0</v>
      </c>
      <c r="CJ58" s="199">
        <f t="shared" si="75"/>
        <v>0</v>
      </c>
      <c r="CL58" s="189">
        <f t="shared" si="76"/>
        <v>0</v>
      </c>
      <c r="CM58" s="149">
        <f t="shared" si="58"/>
        <v>0</v>
      </c>
      <c r="CN58" s="128">
        <f>'DATA INPUT - DETAIL'!AH49</f>
        <v>0</v>
      </c>
      <c r="CO58" s="149">
        <f t="shared" si="59"/>
        <v>0</v>
      </c>
      <c r="CP58" s="149">
        <f t="shared" si="60"/>
        <v>0</v>
      </c>
      <c r="CR58" s="126">
        <f t="shared" si="77"/>
        <v>46</v>
      </c>
      <c r="CS58" s="189">
        <f t="shared" si="78"/>
        <v>0</v>
      </c>
      <c r="CT58" s="200">
        <f>CS58/(BEL!CE58+BEL!CA58-BEL!BU58+'RA CSM'!CF58)</f>
        <v>0</v>
      </c>
      <c r="CU58" s="149">
        <f>$CT58*BEL!CH58</f>
        <v>0</v>
      </c>
      <c r="CV58" s="149">
        <f>$CT58*BEL!CI58</f>
        <v>0</v>
      </c>
      <c r="CW58" s="149">
        <f>$CT58*BEL!CJ58</f>
        <v>0</v>
      </c>
      <c r="CX58" s="149">
        <f>$CT58*BEL!CK58</f>
        <v>0</v>
      </c>
      <c r="CY58" s="149">
        <f t="shared" si="61"/>
        <v>0</v>
      </c>
      <c r="CZ58" s="149">
        <f>$CT58*(BEL!CL58+'RA CSM'!CG58)</f>
        <v>0</v>
      </c>
      <c r="DA58" s="149">
        <f t="shared" si="62"/>
        <v>0</v>
      </c>
    </row>
    <row r="59" spans="2:105" x14ac:dyDescent="0.2">
      <c r="B59" s="130">
        <f>BEL!B59</f>
        <v>0</v>
      </c>
      <c r="C59" s="130">
        <f>BEL!C59</f>
        <v>0</v>
      </c>
      <c r="D59" s="190">
        <f>BEL!D59</f>
        <v>0</v>
      </c>
      <c r="E59" s="190">
        <f>BEL!E59</f>
        <v>0</v>
      </c>
      <c r="F59" s="190">
        <f>BEL!F59</f>
        <v>0</v>
      </c>
      <c r="G59" s="190">
        <f>BEL!G59*(1+$V$5)</f>
        <v>0</v>
      </c>
      <c r="H59" s="190">
        <f>BEL!H59*(1+$V$5)</f>
        <v>0</v>
      </c>
      <c r="I59" s="179">
        <f t="shared" si="2"/>
        <v>0</v>
      </c>
      <c r="J59" s="130">
        <f>BEL!J59</f>
        <v>0</v>
      </c>
      <c r="K59" s="130">
        <f>BEL!K59</f>
        <v>0</v>
      </c>
      <c r="L59" s="130">
        <f>BEL!L59</f>
        <v>0</v>
      </c>
      <c r="M59" s="185">
        <f t="shared" si="79"/>
        <v>0</v>
      </c>
      <c r="N59" s="185">
        <f t="shared" si="80"/>
        <v>0</v>
      </c>
      <c r="O59" s="185">
        <f t="shared" si="81"/>
        <v>0</v>
      </c>
      <c r="P59" s="185">
        <f t="shared" si="82"/>
        <v>0</v>
      </c>
      <c r="Q59" s="185">
        <f t="shared" si="83"/>
        <v>0</v>
      </c>
      <c r="R59" s="185">
        <f t="shared" si="84"/>
        <v>0</v>
      </c>
      <c r="S59" s="185">
        <f t="shared" si="85"/>
        <v>0</v>
      </c>
      <c r="T59" s="185">
        <f t="shared" si="86"/>
        <v>0</v>
      </c>
      <c r="U59" s="196">
        <f>(C59&gt;0)*(C59&lt;$E$5)*VLOOKUP(MPP,ASUMSI!$BN$77:$CR$108,B59+1)*(1+$V$4)</f>
        <v>0</v>
      </c>
      <c r="V59" s="185">
        <f t="shared" si="11"/>
        <v>0</v>
      </c>
      <c r="W59" s="185">
        <f t="shared" si="63"/>
        <v>0</v>
      </c>
      <c r="X59" s="185">
        <f t="shared" si="32"/>
        <v>0</v>
      </c>
      <c r="Y59" s="185">
        <f t="shared" si="33"/>
        <v>0</v>
      </c>
      <c r="Z59" s="185">
        <f t="shared" si="34"/>
        <v>0</v>
      </c>
      <c r="AA59" s="197">
        <f t="shared" si="35"/>
        <v>0</v>
      </c>
      <c r="AB59" s="185">
        <f t="shared" si="87"/>
        <v>0</v>
      </c>
      <c r="AC59" s="185">
        <f t="shared" si="87"/>
        <v>0</v>
      </c>
      <c r="AD59" s="185">
        <f t="shared" si="87"/>
        <v>0</v>
      </c>
      <c r="AE59" s="185">
        <f t="shared" si="88"/>
        <v>0</v>
      </c>
      <c r="AF59" s="185">
        <f t="shared" si="89"/>
        <v>0</v>
      </c>
      <c r="AG59" s="185">
        <f t="shared" si="90"/>
        <v>0</v>
      </c>
      <c r="AH59" s="185">
        <f t="shared" si="91"/>
        <v>0</v>
      </c>
      <c r="AI59" s="125">
        <f>BEL!AI59</f>
        <v>0</v>
      </c>
      <c r="AJ59" s="125">
        <f>BEL!AJ59</f>
        <v>0</v>
      </c>
      <c r="AK59" s="125">
        <f>BEL!AK59</f>
        <v>0</v>
      </c>
      <c r="AL59" s="125">
        <f>BEL!AL59</f>
        <v>0</v>
      </c>
      <c r="AM59" s="125">
        <f>BEL!AM59</f>
        <v>0</v>
      </c>
      <c r="AN59" s="125">
        <f>BEL!AN59</f>
        <v>0</v>
      </c>
      <c r="AO59" s="198">
        <f t="shared" si="13"/>
        <v>0</v>
      </c>
      <c r="AP59" s="125">
        <f>BEL!AP59</f>
        <v>0</v>
      </c>
      <c r="AQ59" s="125">
        <f>BEL!AQ59</f>
        <v>0</v>
      </c>
      <c r="AR59" s="125">
        <f>BEL!AR59</f>
        <v>0</v>
      </c>
      <c r="AS59" s="125">
        <f>BEL!AS59</f>
        <v>0</v>
      </c>
      <c r="AT59" s="125">
        <f>BEL!AT59</f>
        <v>0</v>
      </c>
      <c r="AU59" s="127">
        <f>BEL!AU59</f>
        <v>0</v>
      </c>
      <c r="AV59" s="127">
        <f>BEL!AV59</f>
        <v>0</v>
      </c>
      <c r="AW59" s="127">
        <f>BEL!AW59</f>
        <v>0</v>
      </c>
      <c r="AX59" s="127">
        <f t="shared" si="92"/>
        <v>0</v>
      </c>
      <c r="AY59" s="127">
        <f t="shared" si="41"/>
        <v>0</v>
      </c>
      <c r="AZ59" s="127">
        <f t="shared" si="93"/>
        <v>0</v>
      </c>
      <c r="BA59" s="127">
        <f t="shared" si="94"/>
        <v>0</v>
      </c>
      <c r="BB59" s="127">
        <f t="shared" si="95"/>
        <v>0</v>
      </c>
      <c r="BC59" s="127">
        <f t="shared" si="96"/>
        <v>0</v>
      </c>
      <c r="BD59" s="127">
        <f t="shared" si="97"/>
        <v>0</v>
      </c>
      <c r="BE59" s="127">
        <f t="shared" si="98"/>
        <v>0</v>
      </c>
      <c r="BF59" s="127">
        <f t="shared" si="99"/>
        <v>0</v>
      </c>
      <c r="BG59" s="127">
        <f t="shared" si="100"/>
        <v>0</v>
      </c>
      <c r="BH59" s="127">
        <f t="shared" si="101"/>
        <v>0</v>
      </c>
      <c r="BI59" s="127">
        <f t="shared" si="42"/>
        <v>0</v>
      </c>
      <c r="BJ59" s="189">
        <f t="shared" si="64"/>
        <v>0</v>
      </c>
      <c r="BK59" s="189">
        <f t="shared" si="65"/>
        <v>0</v>
      </c>
      <c r="BL59" s="192">
        <f t="shared" si="66"/>
        <v>0</v>
      </c>
      <c r="BM59" s="192">
        <f t="shared" si="67"/>
        <v>0</v>
      </c>
      <c r="BN59" s="192">
        <f t="shared" si="68"/>
        <v>0</v>
      </c>
      <c r="BO59" s="192">
        <f t="shared" si="69"/>
        <v>0</v>
      </c>
      <c r="BP59" s="192">
        <f t="shared" si="70"/>
        <v>0</v>
      </c>
      <c r="BQ59" s="193">
        <f t="shared" si="46"/>
        <v>0</v>
      </c>
      <c r="BR59" s="193">
        <f t="shared" si="71"/>
        <v>0</v>
      </c>
      <c r="BS59" s="188">
        <f t="shared" si="48"/>
        <v>0</v>
      </c>
      <c r="BT59" s="188">
        <f t="shared" si="49"/>
        <v>0</v>
      </c>
      <c r="BU59" s="188">
        <f t="shared" si="50"/>
        <v>0</v>
      </c>
      <c r="BV59" s="188">
        <f t="shared" si="51"/>
        <v>0</v>
      </c>
      <c r="BW59" s="188">
        <f t="shared" si="52"/>
        <v>0</v>
      </c>
      <c r="BX59" s="188">
        <f t="shared" si="53"/>
        <v>0</v>
      </c>
      <c r="BY59" s="188">
        <f t="shared" si="54"/>
        <v>0</v>
      </c>
      <c r="BZ59" s="188">
        <f t="shared" si="55"/>
        <v>0</v>
      </c>
      <c r="CA59" s="188">
        <f t="shared" si="56"/>
        <v>0</v>
      </c>
      <c r="CB59" s="149">
        <f t="shared" si="57"/>
        <v>0</v>
      </c>
      <c r="CC59" s="149">
        <f>CB59-BEL!CB59</f>
        <v>0</v>
      </c>
      <c r="CD59" s="189">
        <f>IF(AND(C59=0,C60=0),0,CB59/W59) - BEL!CC59</f>
        <v>0</v>
      </c>
      <c r="CF59" s="195">
        <f t="shared" si="72"/>
        <v>0</v>
      </c>
      <c r="CG59" s="127">
        <f t="shared" si="73"/>
        <v>0</v>
      </c>
      <c r="CH59" s="128">
        <f>'DATA INPUT - DETAIL'!AH50</f>
        <v>0</v>
      </c>
      <c r="CI59" s="125">
        <f t="shared" si="74"/>
        <v>0</v>
      </c>
      <c r="CJ59" s="199">
        <f t="shared" si="75"/>
        <v>0</v>
      </c>
      <c r="CL59" s="189">
        <f t="shared" si="76"/>
        <v>0</v>
      </c>
      <c r="CM59" s="149">
        <f t="shared" si="58"/>
        <v>0</v>
      </c>
      <c r="CN59" s="128">
        <f>'DATA INPUT - DETAIL'!AH50</f>
        <v>0</v>
      </c>
      <c r="CO59" s="149">
        <f t="shared" si="59"/>
        <v>0</v>
      </c>
      <c r="CP59" s="149">
        <f t="shared" si="60"/>
        <v>0</v>
      </c>
      <c r="CR59" s="126">
        <f t="shared" si="77"/>
        <v>47</v>
      </c>
      <c r="CS59" s="189">
        <f t="shared" si="78"/>
        <v>0</v>
      </c>
      <c r="CT59" s="200">
        <f>CS59/(BEL!CE59+BEL!CA59-BEL!BU59+'RA CSM'!CF59)</f>
        <v>0</v>
      </c>
      <c r="CU59" s="149">
        <f>$CT59*BEL!CH59</f>
        <v>0</v>
      </c>
      <c r="CV59" s="149">
        <f>$CT59*BEL!CI59</f>
        <v>0</v>
      </c>
      <c r="CW59" s="149">
        <f>$CT59*BEL!CJ59</f>
        <v>0</v>
      </c>
      <c r="CX59" s="149">
        <f>$CT59*BEL!CK59</f>
        <v>0</v>
      </c>
      <c r="CY59" s="149">
        <f t="shared" si="61"/>
        <v>0</v>
      </c>
      <c r="CZ59" s="149">
        <f>$CT59*(BEL!CL59+'RA CSM'!CG59)</f>
        <v>0</v>
      </c>
      <c r="DA59" s="149">
        <f t="shared" si="62"/>
        <v>0</v>
      </c>
    </row>
    <row r="60" spans="2:105" x14ac:dyDescent="0.2">
      <c r="B60" s="130">
        <f>BEL!B60</f>
        <v>0</v>
      </c>
      <c r="C60" s="130">
        <f>BEL!C60</f>
        <v>0</v>
      </c>
      <c r="D60" s="190">
        <f>BEL!D60</f>
        <v>0</v>
      </c>
      <c r="E60" s="190">
        <f>BEL!E60</f>
        <v>0</v>
      </c>
      <c r="F60" s="190">
        <f>BEL!F60</f>
        <v>0</v>
      </c>
      <c r="G60" s="190">
        <f>BEL!G60*(1+$V$5)</f>
        <v>0</v>
      </c>
      <c r="H60" s="190">
        <f>BEL!H60*(1+$V$5)</f>
        <v>0</v>
      </c>
      <c r="I60" s="179">
        <f t="shared" si="2"/>
        <v>0</v>
      </c>
      <c r="J60" s="130">
        <f>BEL!J60</f>
        <v>0</v>
      </c>
      <c r="K60" s="130">
        <f>BEL!K60</f>
        <v>0</v>
      </c>
      <c r="L60" s="130">
        <f>BEL!L60</f>
        <v>0</v>
      </c>
      <c r="M60" s="185">
        <f t="shared" si="79"/>
        <v>0</v>
      </c>
      <c r="N60" s="185">
        <f t="shared" si="80"/>
        <v>0</v>
      </c>
      <c r="O60" s="185">
        <f t="shared" si="81"/>
        <v>0</v>
      </c>
      <c r="P60" s="185">
        <f t="shared" si="82"/>
        <v>0</v>
      </c>
      <c r="Q60" s="185">
        <f t="shared" si="83"/>
        <v>0</v>
      </c>
      <c r="R60" s="185">
        <f t="shared" si="84"/>
        <v>0</v>
      </c>
      <c r="S60" s="185">
        <f t="shared" si="85"/>
        <v>0</v>
      </c>
      <c r="T60" s="185">
        <f t="shared" si="86"/>
        <v>0</v>
      </c>
      <c r="U60" s="196">
        <f>(C60&gt;0)*(C60&lt;$E$5)*VLOOKUP(MPP,ASUMSI!$BN$77:$CR$108,B60+1)*(1+$V$4)</f>
        <v>0</v>
      </c>
      <c r="V60" s="185">
        <f t="shared" si="11"/>
        <v>0</v>
      </c>
      <c r="W60" s="185">
        <f t="shared" si="63"/>
        <v>0</v>
      </c>
      <c r="X60" s="185">
        <f t="shared" si="32"/>
        <v>0</v>
      </c>
      <c r="Y60" s="185">
        <f t="shared" si="33"/>
        <v>0</v>
      </c>
      <c r="Z60" s="185">
        <f t="shared" si="34"/>
        <v>0</v>
      </c>
      <c r="AA60" s="197">
        <f t="shared" si="35"/>
        <v>0</v>
      </c>
      <c r="AB60" s="185">
        <f t="shared" si="87"/>
        <v>0</v>
      </c>
      <c r="AC60" s="185">
        <f t="shared" si="87"/>
        <v>0</v>
      </c>
      <c r="AD60" s="185">
        <f t="shared" si="87"/>
        <v>0</v>
      </c>
      <c r="AE60" s="185">
        <f t="shared" si="88"/>
        <v>0</v>
      </c>
      <c r="AF60" s="185">
        <f t="shared" si="89"/>
        <v>0</v>
      </c>
      <c r="AG60" s="185">
        <f t="shared" si="90"/>
        <v>0</v>
      </c>
      <c r="AH60" s="185">
        <f t="shared" si="91"/>
        <v>0</v>
      </c>
      <c r="AI60" s="125">
        <f>BEL!AI60</f>
        <v>0</v>
      </c>
      <c r="AJ60" s="125">
        <f>BEL!AJ60</f>
        <v>0</v>
      </c>
      <c r="AK60" s="125">
        <f>BEL!AK60</f>
        <v>0</v>
      </c>
      <c r="AL60" s="125">
        <f>BEL!AL60</f>
        <v>0</v>
      </c>
      <c r="AM60" s="125">
        <f>BEL!AM60</f>
        <v>0</v>
      </c>
      <c r="AN60" s="125">
        <f>BEL!AN60</f>
        <v>0</v>
      </c>
      <c r="AO60" s="198">
        <f t="shared" si="13"/>
        <v>0</v>
      </c>
      <c r="AP60" s="125">
        <f>BEL!AP60</f>
        <v>0</v>
      </c>
      <c r="AQ60" s="125">
        <f>BEL!AQ60</f>
        <v>0</v>
      </c>
      <c r="AR60" s="125">
        <f>BEL!AR60</f>
        <v>0</v>
      </c>
      <c r="AS60" s="125">
        <f>BEL!AS60</f>
        <v>0</v>
      </c>
      <c r="AT60" s="125">
        <f>BEL!AT60</f>
        <v>0</v>
      </c>
      <c r="AU60" s="127">
        <f>BEL!AU60</f>
        <v>0</v>
      </c>
      <c r="AV60" s="127">
        <f>BEL!AV60</f>
        <v>0</v>
      </c>
      <c r="AW60" s="127">
        <f>BEL!AW60</f>
        <v>0</v>
      </c>
      <c r="AX60" s="127">
        <f t="shared" si="92"/>
        <v>0</v>
      </c>
      <c r="AY60" s="127">
        <f t="shared" si="41"/>
        <v>0</v>
      </c>
      <c r="AZ60" s="127">
        <f t="shared" si="93"/>
        <v>0</v>
      </c>
      <c r="BA60" s="127">
        <f t="shared" si="94"/>
        <v>0</v>
      </c>
      <c r="BB60" s="127">
        <f t="shared" si="95"/>
        <v>0</v>
      </c>
      <c r="BC60" s="127">
        <f t="shared" si="96"/>
        <v>0</v>
      </c>
      <c r="BD60" s="127">
        <f t="shared" si="97"/>
        <v>0</v>
      </c>
      <c r="BE60" s="127">
        <f t="shared" si="98"/>
        <v>0</v>
      </c>
      <c r="BF60" s="127">
        <f t="shared" si="99"/>
        <v>0</v>
      </c>
      <c r="BG60" s="127">
        <f t="shared" si="100"/>
        <v>0</v>
      </c>
      <c r="BH60" s="127">
        <f t="shared" si="101"/>
        <v>0</v>
      </c>
      <c r="BI60" s="127">
        <f t="shared" si="42"/>
        <v>0</v>
      </c>
      <c r="BJ60" s="189">
        <f t="shared" si="64"/>
        <v>0</v>
      </c>
      <c r="BK60" s="189">
        <f t="shared" si="65"/>
        <v>0</v>
      </c>
      <c r="BL60" s="192">
        <f t="shared" si="66"/>
        <v>0</v>
      </c>
      <c r="BM60" s="192">
        <f t="shared" si="67"/>
        <v>0</v>
      </c>
      <c r="BN60" s="192">
        <f t="shared" si="68"/>
        <v>0</v>
      </c>
      <c r="BO60" s="192">
        <f t="shared" si="69"/>
        <v>0</v>
      </c>
      <c r="BP60" s="192">
        <f t="shared" si="70"/>
        <v>0</v>
      </c>
      <c r="BQ60" s="193">
        <f t="shared" si="46"/>
        <v>0</v>
      </c>
      <c r="BR60" s="193">
        <f t="shared" si="71"/>
        <v>0</v>
      </c>
      <c r="BS60" s="188">
        <f t="shared" si="48"/>
        <v>0</v>
      </c>
      <c r="BT60" s="188">
        <f t="shared" si="49"/>
        <v>0</v>
      </c>
      <c r="BU60" s="188">
        <f t="shared" si="50"/>
        <v>0</v>
      </c>
      <c r="BV60" s="188">
        <f t="shared" si="51"/>
        <v>0</v>
      </c>
      <c r="BW60" s="188">
        <f t="shared" si="52"/>
        <v>0</v>
      </c>
      <c r="BX60" s="188">
        <f t="shared" si="53"/>
        <v>0</v>
      </c>
      <c r="BY60" s="188">
        <f t="shared" si="54"/>
        <v>0</v>
      </c>
      <c r="BZ60" s="188">
        <f t="shared" si="55"/>
        <v>0</v>
      </c>
      <c r="CA60" s="188">
        <f t="shared" si="56"/>
        <v>0</v>
      </c>
      <c r="CB60" s="149">
        <f t="shared" si="57"/>
        <v>0</v>
      </c>
      <c r="CC60" s="149">
        <f>CB60-BEL!CB60</f>
        <v>0</v>
      </c>
      <c r="CD60" s="189">
        <f>IF(AND(C60=0,C61=0),0,CB60/W60) - BEL!CC60</f>
        <v>0</v>
      </c>
      <c r="CF60" s="195">
        <f t="shared" si="72"/>
        <v>0</v>
      </c>
      <c r="CG60" s="127">
        <f t="shared" si="73"/>
        <v>0</v>
      </c>
      <c r="CH60" s="128">
        <f>'DATA INPUT - DETAIL'!AH51</f>
        <v>0</v>
      </c>
      <c r="CI60" s="125">
        <f t="shared" si="74"/>
        <v>0</v>
      </c>
      <c r="CJ60" s="199">
        <f t="shared" si="75"/>
        <v>0</v>
      </c>
      <c r="CL60" s="189">
        <f t="shared" si="76"/>
        <v>0</v>
      </c>
      <c r="CM60" s="149">
        <f t="shared" si="58"/>
        <v>0</v>
      </c>
      <c r="CN60" s="128">
        <f>'DATA INPUT - DETAIL'!AH51</f>
        <v>0</v>
      </c>
      <c r="CO60" s="149">
        <f t="shared" si="59"/>
        <v>0</v>
      </c>
      <c r="CP60" s="149">
        <f t="shared" si="60"/>
        <v>0</v>
      </c>
      <c r="CR60" s="126">
        <f t="shared" si="77"/>
        <v>48</v>
      </c>
      <c r="CS60" s="189">
        <f t="shared" si="78"/>
        <v>0</v>
      </c>
      <c r="CT60" s="200">
        <f>CS60/(BEL!CE60+BEL!CA60-BEL!BU60+'RA CSM'!CF60)</f>
        <v>0</v>
      </c>
      <c r="CU60" s="149">
        <f>$CT60*BEL!CH60</f>
        <v>0</v>
      </c>
      <c r="CV60" s="149">
        <f>$CT60*BEL!CI60</f>
        <v>0</v>
      </c>
      <c r="CW60" s="149">
        <f>$CT60*BEL!CJ60</f>
        <v>0</v>
      </c>
      <c r="CX60" s="149">
        <f>$CT60*BEL!CK60</f>
        <v>0</v>
      </c>
      <c r="CY60" s="149">
        <f t="shared" si="61"/>
        <v>0</v>
      </c>
      <c r="CZ60" s="149">
        <f>$CT60*(BEL!CL60+'RA CSM'!CG60)</f>
        <v>0</v>
      </c>
      <c r="DA60" s="149">
        <f t="shared" si="62"/>
        <v>0</v>
      </c>
    </row>
    <row r="61" spans="2:105" x14ac:dyDescent="0.2">
      <c r="B61" s="130">
        <f>BEL!B61</f>
        <v>0</v>
      </c>
      <c r="C61" s="130">
        <f>BEL!C61</f>
        <v>0</v>
      </c>
      <c r="D61" s="190">
        <f>BEL!D61</f>
        <v>0</v>
      </c>
      <c r="E61" s="190">
        <f>BEL!E61</f>
        <v>0</v>
      </c>
      <c r="F61" s="190">
        <f>BEL!F61</f>
        <v>0</v>
      </c>
      <c r="G61" s="190">
        <f>BEL!G61*(1+$V$5)</f>
        <v>0</v>
      </c>
      <c r="H61" s="190">
        <f>BEL!H61*(1+$V$5)</f>
        <v>0</v>
      </c>
      <c r="I61" s="179">
        <f t="shared" si="2"/>
        <v>0</v>
      </c>
      <c r="J61" s="130">
        <f>BEL!J61</f>
        <v>0</v>
      </c>
      <c r="K61" s="130">
        <f>BEL!K61</f>
        <v>0</v>
      </c>
      <c r="L61" s="130">
        <f>BEL!L61</f>
        <v>0</v>
      </c>
      <c r="M61" s="185">
        <f t="shared" si="79"/>
        <v>0</v>
      </c>
      <c r="N61" s="185">
        <f t="shared" si="80"/>
        <v>0</v>
      </c>
      <c r="O61" s="185">
        <f t="shared" si="81"/>
        <v>0</v>
      </c>
      <c r="P61" s="185">
        <f t="shared" si="82"/>
        <v>0</v>
      </c>
      <c r="Q61" s="185">
        <f t="shared" si="83"/>
        <v>0</v>
      </c>
      <c r="R61" s="185">
        <f t="shared" si="84"/>
        <v>0</v>
      </c>
      <c r="S61" s="185">
        <f t="shared" si="85"/>
        <v>0</v>
      </c>
      <c r="T61" s="185">
        <f t="shared" si="86"/>
        <v>0</v>
      </c>
      <c r="U61" s="196">
        <f>(C61&gt;0)*(C61&lt;$E$5)*VLOOKUP(MPP,ASUMSI!$BN$77:$CR$108,B61+1)*(1+$V$4)</f>
        <v>0</v>
      </c>
      <c r="V61" s="185">
        <f t="shared" si="11"/>
        <v>0</v>
      </c>
      <c r="W61" s="185">
        <f t="shared" si="63"/>
        <v>0</v>
      </c>
      <c r="X61" s="185">
        <f t="shared" si="32"/>
        <v>0</v>
      </c>
      <c r="Y61" s="185">
        <f t="shared" si="33"/>
        <v>0</v>
      </c>
      <c r="Z61" s="185">
        <f t="shared" si="34"/>
        <v>0</v>
      </c>
      <c r="AA61" s="197">
        <f t="shared" si="35"/>
        <v>0</v>
      </c>
      <c r="AB61" s="185">
        <f t="shared" si="87"/>
        <v>0</v>
      </c>
      <c r="AC61" s="185">
        <f t="shared" si="87"/>
        <v>0</v>
      </c>
      <c r="AD61" s="185">
        <f t="shared" si="87"/>
        <v>0</v>
      </c>
      <c r="AE61" s="185">
        <f t="shared" si="88"/>
        <v>0</v>
      </c>
      <c r="AF61" s="185">
        <f t="shared" si="89"/>
        <v>0</v>
      </c>
      <c r="AG61" s="185">
        <f t="shared" si="90"/>
        <v>0</v>
      </c>
      <c r="AH61" s="185">
        <f t="shared" si="91"/>
        <v>0</v>
      </c>
      <c r="AI61" s="125">
        <f>BEL!AI61</f>
        <v>0</v>
      </c>
      <c r="AJ61" s="125">
        <f>BEL!AJ61</f>
        <v>0</v>
      </c>
      <c r="AK61" s="125">
        <f>BEL!AK61</f>
        <v>0</v>
      </c>
      <c r="AL61" s="125">
        <f>BEL!AL61</f>
        <v>0</v>
      </c>
      <c r="AM61" s="125">
        <f>BEL!AM61</f>
        <v>0</v>
      </c>
      <c r="AN61" s="125">
        <f>BEL!AN61</f>
        <v>0</v>
      </c>
      <c r="AO61" s="198">
        <f t="shared" si="13"/>
        <v>0</v>
      </c>
      <c r="AP61" s="125">
        <f>BEL!AP61</f>
        <v>0</v>
      </c>
      <c r="AQ61" s="125">
        <f>BEL!AQ61</f>
        <v>0</v>
      </c>
      <c r="AR61" s="125">
        <f>BEL!AR61</f>
        <v>0</v>
      </c>
      <c r="AS61" s="125">
        <f>BEL!AS61</f>
        <v>0</v>
      </c>
      <c r="AT61" s="125">
        <f>BEL!AT61</f>
        <v>0</v>
      </c>
      <c r="AU61" s="127">
        <f>BEL!AU61</f>
        <v>0</v>
      </c>
      <c r="AV61" s="127">
        <f>BEL!AV61</f>
        <v>0</v>
      </c>
      <c r="AW61" s="127">
        <f>BEL!AW61</f>
        <v>0</v>
      </c>
      <c r="AX61" s="127">
        <f t="shared" si="92"/>
        <v>0</v>
      </c>
      <c r="AY61" s="127">
        <f t="shared" si="41"/>
        <v>0</v>
      </c>
      <c r="AZ61" s="127">
        <f t="shared" si="93"/>
        <v>0</v>
      </c>
      <c r="BA61" s="127">
        <f t="shared" si="94"/>
        <v>0</v>
      </c>
      <c r="BB61" s="127">
        <f t="shared" si="95"/>
        <v>0</v>
      </c>
      <c r="BC61" s="127">
        <f t="shared" si="96"/>
        <v>0</v>
      </c>
      <c r="BD61" s="127">
        <f t="shared" si="97"/>
        <v>0</v>
      </c>
      <c r="BE61" s="127">
        <f t="shared" si="98"/>
        <v>0</v>
      </c>
      <c r="BF61" s="127">
        <f t="shared" si="99"/>
        <v>0</v>
      </c>
      <c r="BG61" s="127">
        <f t="shared" si="100"/>
        <v>0</v>
      </c>
      <c r="BH61" s="127">
        <f t="shared" si="101"/>
        <v>0</v>
      </c>
      <c r="BI61" s="127">
        <f t="shared" si="42"/>
        <v>0</v>
      </c>
      <c r="BJ61" s="189">
        <f t="shared" si="64"/>
        <v>0</v>
      </c>
      <c r="BK61" s="189">
        <f t="shared" si="65"/>
        <v>0</v>
      </c>
      <c r="BL61" s="192">
        <f t="shared" si="66"/>
        <v>0</v>
      </c>
      <c r="BM61" s="192">
        <f t="shared" si="67"/>
        <v>0</v>
      </c>
      <c r="BN61" s="192">
        <f t="shared" si="68"/>
        <v>0</v>
      </c>
      <c r="BO61" s="192">
        <f t="shared" si="69"/>
        <v>0</v>
      </c>
      <c r="BP61" s="192">
        <f t="shared" si="70"/>
        <v>0</v>
      </c>
      <c r="BQ61" s="193">
        <f t="shared" si="46"/>
        <v>0</v>
      </c>
      <c r="BR61" s="193">
        <f t="shared" si="71"/>
        <v>0</v>
      </c>
      <c r="BS61" s="188">
        <f t="shared" si="48"/>
        <v>0</v>
      </c>
      <c r="BT61" s="188">
        <f t="shared" si="49"/>
        <v>0</v>
      </c>
      <c r="BU61" s="188">
        <f t="shared" si="50"/>
        <v>0</v>
      </c>
      <c r="BV61" s="188">
        <f t="shared" si="51"/>
        <v>0</v>
      </c>
      <c r="BW61" s="188">
        <f t="shared" si="52"/>
        <v>0</v>
      </c>
      <c r="BX61" s="188">
        <f t="shared" si="53"/>
        <v>0</v>
      </c>
      <c r="BY61" s="188">
        <f t="shared" si="54"/>
        <v>0</v>
      </c>
      <c r="BZ61" s="188">
        <f t="shared" si="55"/>
        <v>0</v>
      </c>
      <c r="CA61" s="188">
        <f t="shared" si="56"/>
        <v>0</v>
      </c>
      <c r="CB61" s="149">
        <f t="shared" si="57"/>
        <v>0</v>
      </c>
      <c r="CC61" s="149">
        <f>CB61-BEL!CB61</f>
        <v>0</v>
      </c>
      <c r="CD61" s="189">
        <f>IF(AND(C61=0,C62=0),0,CB61/W61) - BEL!CC61</f>
        <v>0</v>
      </c>
      <c r="CF61" s="195">
        <f t="shared" si="72"/>
        <v>0</v>
      </c>
      <c r="CG61" s="127">
        <f t="shared" si="73"/>
        <v>0</v>
      </c>
      <c r="CH61" s="128">
        <f>'DATA INPUT - DETAIL'!AH52</f>
        <v>0</v>
      </c>
      <c r="CI61" s="125">
        <f t="shared" si="74"/>
        <v>0</v>
      </c>
      <c r="CJ61" s="199">
        <f t="shared" si="75"/>
        <v>0</v>
      </c>
      <c r="CL61" s="189">
        <f t="shared" si="76"/>
        <v>0</v>
      </c>
      <c r="CM61" s="149">
        <f t="shared" si="58"/>
        <v>0</v>
      </c>
      <c r="CN61" s="128">
        <f>'DATA INPUT - DETAIL'!AH52</f>
        <v>0</v>
      </c>
      <c r="CO61" s="149">
        <f t="shared" si="59"/>
        <v>0</v>
      </c>
      <c r="CP61" s="149">
        <f t="shared" si="60"/>
        <v>0</v>
      </c>
      <c r="CR61" s="126">
        <f t="shared" si="77"/>
        <v>49</v>
      </c>
      <c r="CS61" s="189">
        <f t="shared" si="78"/>
        <v>0</v>
      </c>
      <c r="CT61" s="200">
        <f>CS61/(BEL!CE61+BEL!CA61-BEL!BU61+'RA CSM'!CF61)</f>
        <v>0</v>
      </c>
      <c r="CU61" s="149">
        <f>$CT61*BEL!CH61</f>
        <v>0</v>
      </c>
      <c r="CV61" s="149">
        <f>$CT61*BEL!CI61</f>
        <v>0</v>
      </c>
      <c r="CW61" s="149">
        <f>$CT61*BEL!CJ61</f>
        <v>0</v>
      </c>
      <c r="CX61" s="149">
        <f>$CT61*BEL!CK61</f>
        <v>0</v>
      </c>
      <c r="CY61" s="149">
        <f t="shared" si="61"/>
        <v>0</v>
      </c>
      <c r="CZ61" s="149">
        <f>$CT61*(BEL!CL61+'RA CSM'!CG61)</f>
        <v>0</v>
      </c>
      <c r="DA61" s="149">
        <f t="shared" si="62"/>
        <v>0</v>
      </c>
    </row>
    <row r="62" spans="2:105" x14ac:dyDescent="0.2">
      <c r="B62" s="130">
        <f>BEL!B62</f>
        <v>0</v>
      </c>
      <c r="C62" s="130">
        <f>BEL!C62</f>
        <v>0</v>
      </c>
      <c r="D62" s="190">
        <f>BEL!D62</f>
        <v>0</v>
      </c>
      <c r="E62" s="190">
        <f>BEL!E62</f>
        <v>0</v>
      </c>
      <c r="F62" s="190">
        <f>BEL!F62</f>
        <v>0</v>
      </c>
      <c r="G62" s="190">
        <f>BEL!G62*(1+$V$5)</f>
        <v>0</v>
      </c>
      <c r="H62" s="190">
        <f>BEL!H62*(1+$V$5)</f>
        <v>0</v>
      </c>
      <c r="I62" s="179">
        <f t="shared" si="2"/>
        <v>0</v>
      </c>
      <c r="J62" s="130">
        <f>BEL!J62</f>
        <v>0</v>
      </c>
      <c r="K62" s="130">
        <f>BEL!K62</f>
        <v>0</v>
      </c>
      <c r="L62" s="130">
        <f>BEL!L62</f>
        <v>0</v>
      </c>
      <c r="M62" s="185">
        <f t="shared" si="79"/>
        <v>0</v>
      </c>
      <c r="N62" s="185">
        <f t="shared" si="80"/>
        <v>0</v>
      </c>
      <c r="O62" s="185">
        <f t="shared" si="81"/>
        <v>0</v>
      </c>
      <c r="P62" s="185">
        <f t="shared" si="82"/>
        <v>0</v>
      </c>
      <c r="Q62" s="185">
        <f t="shared" si="83"/>
        <v>0</v>
      </c>
      <c r="R62" s="185">
        <f t="shared" si="84"/>
        <v>0</v>
      </c>
      <c r="S62" s="185">
        <f t="shared" si="85"/>
        <v>0</v>
      </c>
      <c r="T62" s="185">
        <f t="shared" si="86"/>
        <v>0</v>
      </c>
      <c r="U62" s="196">
        <f>(C62&gt;0)*(C62&lt;$E$5)*VLOOKUP(MPP,ASUMSI!$BN$77:$CR$108,B62+1)*(1+$V$4)</f>
        <v>0</v>
      </c>
      <c r="V62" s="185">
        <f t="shared" si="11"/>
        <v>0</v>
      </c>
      <c r="W62" s="185">
        <f t="shared" si="63"/>
        <v>0</v>
      </c>
      <c r="X62" s="185">
        <f t="shared" si="32"/>
        <v>0</v>
      </c>
      <c r="Y62" s="185">
        <f t="shared" si="33"/>
        <v>0</v>
      </c>
      <c r="Z62" s="185">
        <f t="shared" si="34"/>
        <v>0</v>
      </c>
      <c r="AA62" s="197">
        <f t="shared" si="35"/>
        <v>0</v>
      </c>
      <c r="AB62" s="185">
        <f t="shared" si="87"/>
        <v>0</v>
      </c>
      <c r="AC62" s="185">
        <f t="shared" si="87"/>
        <v>0</v>
      </c>
      <c r="AD62" s="185">
        <f t="shared" si="87"/>
        <v>0</v>
      </c>
      <c r="AE62" s="185">
        <f t="shared" si="88"/>
        <v>0</v>
      </c>
      <c r="AF62" s="185">
        <f t="shared" si="89"/>
        <v>0</v>
      </c>
      <c r="AG62" s="185">
        <f t="shared" si="90"/>
        <v>0</v>
      </c>
      <c r="AH62" s="185">
        <f t="shared" si="91"/>
        <v>0</v>
      </c>
      <c r="AI62" s="125">
        <f>BEL!AI62</f>
        <v>0</v>
      </c>
      <c r="AJ62" s="125">
        <f>BEL!AJ62</f>
        <v>0</v>
      </c>
      <c r="AK62" s="125">
        <f>BEL!AK62</f>
        <v>0</v>
      </c>
      <c r="AL62" s="125">
        <f>BEL!AL62</f>
        <v>0</v>
      </c>
      <c r="AM62" s="125">
        <f>BEL!AM62</f>
        <v>0</v>
      </c>
      <c r="AN62" s="125">
        <f>BEL!AN62</f>
        <v>0</v>
      </c>
      <c r="AO62" s="198">
        <f t="shared" si="13"/>
        <v>0</v>
      </c>
      <c r="AP62" s="125">
        <f>BEL!AP62</f>
        <v>0</v>
      </c>
      <c r="AQ62" s="125">
        <f>BEL!AQ62</f>
        <v>0</v>
      </c>
      <c r="AR62" s="125">
        <f>BEL!AR62</f>
        <v>0</v>
      </c>
      <c r="AS62" s="125">
        <f>BEL!AS62</f>
        <v>0</v>
      </c>
      <c r="AT62" s="125">
        <f>BEL!AT62</f>
        <v>0</v>
      </c>
      <c r="AU62" s="127">
        <f>BEL!AU62</f>
        <v>0</v>
      </c>
      <c r="AV62" s="127">
        <f>BEL!AV62</f>
        <v>0</v>
      </c>
      <c r="AW62" s="127">
        <f>BEL!AW62</f>
        <v>0</v>
      </c>
      <c r="AX62" s="127">
        <f t="shared" si="92"/>
        <v>0</v>
      </c>
      <c r="AY62" s="127">
        <f t="shared" si="41"/>
        <v>0</v>
      </c>
      <c r="AZ62" s="127">
        <f t="shared" si="93"/>
        <v>0</v>
      </c>
      <c r="BA62" s="127">
        <f t="shared" si="94"/>
        <v>0</v>
      </c>
      <c r="BB62" s="127">
        <f t="shared" si="95"/>
        <v>0</v>
      </c>
      <c r="BC62" s="127">
        <f t="shared" si="96"/>
        <v>0</v>
      </c>
      <c r="BD62" s="127">
        <f t="shared" si="97"/>
        <v>0</v>
      </c>
      <c r="BE62" s="127">
        <f t="shared" si="98"/>
        <v>0</v>
      </c>
      <c r="BF62" s="127">
        <f t="shared" si="99"/>
        <v>0</v>
      </c>
      <c r="BG62" s="127">
        <f t="shared" si="100"/>
        <v>0</v>
      </c>
      <c r="BH62" s="127">
        <f t="shared" si="101"/>
        <v>0</v>
      </c>
      <c r="BI62" s="127">
        <f t="shared" si="42"/>
        <v>0</v>
      </c>
      <c r="BJ62" s="189">
        <f t="shared" si="64"/>
        <v>0</v>
      </c>
      <c r="BK62" s="189">
        <f t="shared" si="65"/>
        <v>0</v>
      </c>
      <c r="BL62" s="192">
        <f t="shared" si="66"/>
        <v>0</v>
      </c>
      <c r="BM62" s="192">
        <f t="shared" si="67"/>
        <v>0</v>
      </c>
      <c r="BN62" s="192">
        <f t="shared" si="68"/>
        <v>0</v>
      </c>
      <c r="BO62" s="192">
        <f t="shared" si="69"/>
        <v>0</v>
      </c>
      <c r="BP62" s="192">
        <f t="shared" si="70"/>
        <v>0</v>
      </c>
      <c r="BQ62" s="193">
        <f t="shared" si="46"/>
        <v>0</v>
      </c>
      <c r="BR62" s="193">
        <f t="shared" si="71"/>
        <v>0</v>
      </c>
      <c r="BS62" s="188">
        <f t="shared" si="48"/>
        <v>0</v>
      </c>
      <c r="BT62" s="188">
        <f t="shared" si="49"/>
        <v>0</v>
      </c>
      <c r="BU62" s="188">
        <f t="shared" si="50"/>
        <v>0</v>
      </c>
      <c r="BV62" s="188">
        <f t="shared" si="51"/>
        <v>0</v>
      </c>
      <c r="BW62" s="188">
        <f t="shared" si="52"/>
        <v>0</v>
      </c>
      <c r="BX62" s="188">
        <f t="shared" si="53"/>
        <v>0</v>
      </c>
      <c r="BY62" s="188">
        <f t="shared" si="54"/>
        <v>0</v>
      </c>
      <c r="BZ62" s="188">
        <f t="shared" si="55"/>
        <v>0</v>
      </c>
      <c r="CA62" s="188">
        <f t="shared" si="56"/>
        <v>0</v>
      </c>
      <c r="CB62" s="149">
        <f t="shared" si="57"/>
        <v>0</v>
      </c>
      <c r="CC62" s="149">
        <f>CB62-BEL!CB62</f>
        <v>0</v>
      </c>
      <c r="CD62" s="189">
        <f>IF(AND(C62=0,C63=0),0,CB62/W62) - BEL!CC62</f>
        <v>0</v>
      </c>
      <c r="CF62" s="195">
        <f t="shared" si="72"/>
        <v>0</v>
      </c>
      <c r="CG62" s="127">
        <f t="shared" si="73"/>
        <v>0</v>
      </c>
      <c r="CH62" s="128">
        <f>'DATA INPUT - DETAIL'!AH53</f>
        <v>0</v>
      </c>
      <c r="CI62" s="125">
        <f t="shared" si="74"/>
        <v>0</v>
      </c>
      <c r="CJ62" s="199">
        <f t="shared" si="75"/>
        <v>0</v>
      </c>
      <c r="CL62" s="189">
        <f t="shared" si="76"/>
        <v>0</v>
      </c>
      <c r="CM62" s="149">
        <f t="shared" si="58"/>
        <v>0</v>
      </c>
      <c r="CN62" s="128">
        <f>'DATA INPUT - DETAIL'!AH53</f>
        <v>0</v>
      </c>
      <c r="CO62" s="149">
        <f t="shared" si="59"/>
        <v>0</v>
      </c>
      <c r="CP62" s="149">
        <f t="shared" si="60"/>
        <v>0</v>
      </c>
      <c r="CR62" s="126">
        <f t="shared" si="77"/>
        <v>50</v>
      </c>
      <c r="CS62" s="189">
        <f t="shared" si="78"/>
        <v>0</v>
      </c>
      <c r="CT62" s="200">
        <f>CS62/(BEL!CE62+BEL!CA62-BEL!BU62+'RA CSM'!CF62)</f>
        <v>0</v>
      </c>
      <c r="CU62" s="149">
        <f>$CT62*BEL!CH62</f>
        <v>0</v>
      </c>
      <c r="CV62" s="149">
        <f>$CT62*BEL!CI62</f>
        <v>0</v>
      </c>
      <c r="CW62" s="149">
        <f>$CT62*BEL!CJ62</f>
        <v>0</v>
      </c>
      <c r="CX62" s="149">
        <f>$CT62*BEL!CK62</f>
        <v>0</v>
      </c>
      <c r="CY62" s="149">
        <f t="shared" si="61"/>
        <v>0</v>
      </c>
      <c r="CZ62" s="149">
        <f>$CT62*(BEL!CL62+'RA CSM'!CG62)</f>
        <v>0</v>
      </c>
      <c r="DA62" s="149">
        <f t="shared" si="62"/>
        <v>0</v>
      </c>
    </row>
    <row r="63" spans="2:105" x14ac:dyDescent="0.2">
      <c r="B63" s="130">
        <f>BEL!B63</f>
        <v>0</v>
      </c>
      <c r="C63" s="130">
        <f>BEL!C63</f>
        <v>0</v>
      </c>
      <c r="D63" s="190">
        <f>BEL!D63</f>
        <v>0</v>
      </c>
      <c r="E63" s="190">
        <f>BEL!E63</f>
        <v>0</v>
      </c>
      <c r="F63" s="190">
        <f>BEL!F63</f>
        <v>0</v>
      </c>
      <c r="G63" s="190">
        <f>BEL!G63*(1+$V$5)</f>
        <v>0</v>
      </c>
      <c r="H63" s="190">
        <f>BEL!H63*(1+$V$5)</f>
        <v>0</v>
      </c>
      <c r="I63" s="179">
        <f t="shared" si="2"/>
        <v>0</v>
      </c>
      <c r="J63" s="130">
        <f>BEL!J63</f>
        <v>0</v>
      </c>
      <c r="K63" s="130">
        <f>BEL!K63</f>
        <v>0</v>
      </c>
      <c r="L63" s="130">
        <f>BEL!L63</f>
        <v>0</v>
      </c>
      <c r="M63" s="185">
        <f t="shared" si="79"/>
        <v>0</v>
      </c>
      <c r="N63" s="185">
        <f t="shared" si="80"/>
        <v>0</v>
      </c>
      <c r="O63" s="185">
        <f t="shared" si="81"/>
        <v>0</v>
      </c>
      <c r="P63" s="185">
        <f t="shared" si="82"/>
        <v>0</v>
      </c>
      <c r="Q63" s="185">
        <f t="shared" si="83"/>
        <v>0</v>
      </c>
      <c r="R63" s="185">
        <f t="shared" si="84"/>
        <v>0</v>
      </c>
      <c r="S63" s="185">
        <f t="shared" si="85"/>
        <v>0</v>
      </c>
      <c r="T63" s="185">
        <f t="shared" si="86"/>
        <v>0</v>
      </c>
      <c r="U63" s="196">
        <f>(C63&gt;0)*(C63&lt;$E$5)*VLOOKUP(MPP,ASUMSI!$BN$77:$CR$108,B63+1)*(1+$V$4)</f>
        <v>0</v>
      </c>
      <c r="V63" s="185">
        <f t="shared" si="11"/>
        <v>0</v>
      </c>
      <c r="W63" s="185">
        <f t="shared" si="63"/>
        <v>0</v>
      </c>
      <c r="X63" s="185">
        <f t="shared" si="32"/>
        <v>0</v>
      </c>
      <c r="Y63" s="185">
        <f t="shared" si="33"/>
        <v>0</v>
      </c>
      <c r="Z63" s="185">
        <f t="shared" si="34"/>
        <v>0</v>
      </c>
      <c r="AA63" s="197">
        <f t="shared" si="35"/>
        <v>0</v>
      </c>
      <c r="AB63" s="185">
        <f t="shared" si="87"/>
        <v>0</v>
      </c>
      <c r="AC63" s="185">
        <f t="shared" si="87"/>
        <v>0</v>
      </c>
      <c r="AD63" s="185">
        <f t="shared" si="87"/>
        <v>0</v>
      </c>
      <c r="AE63" s="185">
        <f t="shared" si="88"/>
        <v>0</v>
      </c>
      <c r="AF63" s="185">
        <f t="shared" si="89"/>
        <v>0</v>
      </c>
      <c r="AG63" s="185">
        <f t="shared" si="90"/>
        <v>0</v>
      </c>
      <c r="AH63" s="185">
        <f t="shared" si="91"/>
        <v>0</v>
      </c>
      <c r="AI63" s="125">
        <f>BEL!AI63</f>
        <v>0</v>
      </c>
      <c r="AJ63" s="125">
        <f>BEL!AJ63</f>
        <v>0</v>
      </c>
      <c r="AK63" s="125">
        <f>BEL!AK63</f>
        <v>0</v>
      </c>
      <c r="AL63" s="125">
        <f>BEL!AL63</f>
        <v>0</v>
      </c>
      <c r="AM63" s="125">
        <f>BEL!AM63</f>
        <v>0</v>
      </c>
      <c r="AN63" s="125">
        <f>BEL!AN63</f>
        <v>0</v>
      </c>
      <c r="AO63" s="198">
        <f t="shared" si="13"/>
        <v>0</v>
      </c>
      <c r="AP63" s="125">
        <f>BEL!AP63</f>
        <v>0</v>
      </c>
      <c r="AQ63" s="125">
        <f>BEL!AQ63</f>
        <v>0</v>
      </c>
      <c r="AR63" s="125">
        <f>BEL!AR63</f>
        <v>0</v>
      </c>
      <c r="AS63" s="125">
        <f>BEL!AS63</f>
        <v>0</v>
      </c>
      <c r="AT63" s="125">
        <f>BEL!AT63</f>
        <v>0</v>
      </c>
      <c r="AU63" s="127">
        <f>BEL!AU63</f>
        <v>0</v>
      </c>
      <c r="AV63" s="127">
        <f>BEL!AV63</f>
        <v>0</v>
      </c>
      <c r="AW63" s="127">
        <f>BEL!AW63</f>
        <v>0</v>
      </c>
      <c r="AX63" s="127">
        <f t="shared" si="92"/>
        <v>0</v>
      </c>
      <c r="AY63" s="127">
        <f t="shared" si="41"/>
        <v>0</v>
      </c>
      <c r="AZ63" s="127">
        <f t="shared" si="93"/>
        <v>0</v>
      </c>
      <c r="BA63" s="127">
        <f t="shared" si="94"/>
        <v>0</v>
      </c>
      <c r="BB63" s="127">
        <f t="shared" si="95"/>
        <v>0</v>
      </c>
      <c r="BC63" s="127">
        <f t="shared" si="96"/>
        <v>0</v>
      </c>
      <c r="BD63" s="127">
        <f t="shared" si="97"/>
        <v>0</v>
      </c>
      <c r="BE63" s="127">
        <f t="shared" si="98"/>
        <v>0</v>
      </c>
      <c r="BF63" s="127">
        <f t="shared" si="99"/>
        <v>0</v>
      </c>
      <c r="BG63" s="127">
        <f t="shared" si="100"/>
        <v>0</v>
      </c>
      <c r="BH63" s="127">
        <f t="shared" si="101"/>
        <v>0</v>
      </c>
      <c r="BI63" s="127">
        <f t="shared" si="42"/>
        <v>0</v>
      </c>
      <c r="BJ63" s="189">
        <f t="shared" si="64"/>
        <v>0</v>
      </c>
      <c r="BK63" s="189">
        <f t="shared" si="65"/>
        <v>0</v>
      </c>
      <c r="BL63" s="192">
        <f t="shared" si="66"/>
        <v>0</v>
      </c>
      <c r="BM63" s="192">
        <f t="shared" si="67"/>
        <v>0</v>
      </c>
      <c r="BN63" s="192">
        <f t="shared" si="68"/>
        <v>0</v>
      </c>
      <c r="BO63" s="192">
        <f t="shared" si="69"/>
        <v>0</v>
      </c>
      <c r="BP63" s="192">
        <f t="shared" si="70"/>
        <v>0</v>
      </c>
      <c r="BQ63" s="193">
        <f t="shared" si="46"/>
        <v>0</v>
      </c>
      <c r="BR63" s="193">
        <f t="shared" si="71"/>
        <v>0</v>
      </c>
      <c r="BS63" s="188">
        <f t="shared" si="48"/>
        <v>0</v>
      </c>
      <c r="BT63" s="188">
        <f t="shared" si="49"/>
        <v>0</v>
      </c>
      <c r="BU63" s="188">
        <f t="shared" si="50"/>
        <v>0</v>
      </c>
      <c r="BV63" s="188">
        <f t="shared" si="51"/>
        <v>0</v>
      </c>
      <c r="BW63" s="188">
        <f t="shared" si="52"/>
        <v>0</v>
      </c>
      <c r="BX63" s="188">
        <f t="shared" si="53"/>
        <v>0</v>
      </c>
      <c r="BY63" s="188">
        <f t="shared" si="54"/>
        <v>0</v>
      </c>
      <c r="BZ63" s="188">
        <f t="shared" si="55"/>
        <v>0</v>
      </c>
      <c r="CA63" s="188">
        <f t="shared" si="56"/>
        <v>0</v>
      </c>
      <c r="CB63" s="149">
        <f t="shared" si="57"/>
        <v>0</v>
      </c>
      <c r="CC63" s="149">
        <f>CB63-BEL!CB63</f>
        <v>0</v>
      </c>
      <c r="CD63" s="189">
        <f>IF(AND(C63=0,C64=0),0,CB63/W63) - BEL!CC63</f>
        <v>0</v>
      </c>
      <c r="CF63" s="195">
        <f t="shared" si="72"/>
        <v>0</v>
      </c>
      <c r="CG63" s="127">
        <f t="shared" si="73"/>
        <v>0</v>
      </c>
      <c r="CH63" s="128">
        <f>'DATA INPUT - DETAIL'!AH54</f>
        <v>0</v>
      </c>
      <c r="CI63" s="125">
        <f t="shared" si="74"/>
        <v>0</v>
      </c>
      <c r="CJ63" s="199">
        <f t="shared" si="75"/>
        <v>0</v>
      </c>
      <c r="CL63" s="189">
        <f t="shared" si="76"/>
        <v>0</v>
      </c>
      <c r="CM63" s="149">
        <f t="shared" si="58"/>
        <v>0</v>
      </c>
      <c r="CN63" s="128">
        <f>'DATA INPUT - DETAIL'!AH54</f>
        <v>0</v>
      </c>
      <c r="CO63" s="149">
        <f t="shared" si="59"/>
        <v>0</v>
      </c>
      <c r="CP63" s="149">
        <f t="shared" si="60"/>
        <v>0</v>
      </c>
      <c r="CR63" s="126">
        <f t="shared" si="77"/>
        <v>51</v>
      </c>
      <c r="CS63" s="189">
        <f t="shared" si="78"/>
        <v>0</v>
      </c>
      <c r="CT63" s="200">
        <f>CS63/(BEL!CE63+BEL!CA63-BEL!BU63+'RA CSM'!CF63)</f>
        <v>0</v>
      </c>
      <c r="CU63" s="149">
        <f>$CT63*BEL!CH63</f>
        <v>0</v>
      </c>
      <c r="CV63" s="149">
        <f>$CT63*BEL!CI63</f>
        <v>0</v>
      </c>
      <c r="CW63" s="149">
        <f>$CT63*BEL!CJ63</f>
        <v>0</v>
      </c>
      <c r="CX63" s="149">
        <f>$CT63*BEL!CK63</f>
        <v>0</v>
      </c>
      <c r="CY63" s="149">
        <f t="shared" si="61"/>
        <v>0</v>
      </c>
      <c r="CZ63" s="149">
        <f>$CT63*(BEL!CL63+'RA CSM'!CG63)</f>
        <v>0</v>
      </c>
      <c r="DA63" s="149">
        <f t="shared" si="62"/>
        <v>0</v>
      </c>
    </row>
    <row r="64" spans="2:105" x14ac:dyDescent="0.2">
      <c r="B64" s="130">
        <f>BEL!B64</f>
        <v>0</v>
      </c>
      <c r="C64" s="130">
        <f>BEL!C64</f>
        <v>0</v>
      </c>
      <c r="D64" s="190">
        <f>BEL!D64</f>
        <v>0</v>
      </c>
      <c r="E64" s="190">
        <f>BEL!E64</f>
        <v>0</v>
      </c>
      <c r="F64" s="190">
        <f>BEL!F64</f>
        <v>0</v>
      </c>
      <c r="G64" s="190">
        <f>BEL!G64*(1+$V$5)</f>
        <v>0</v>
      </c>
      <c r="H64" s="190">
        <f>BEL!H64*(1+$V$5)</f>
        <v>0</v>
      </c>
      <c r="I64" s="179">
        <f t="shared" si="2"/>
        <v>0</v>
      </c>
      <c r="J64" s="130">
        <f>BEL!J64</f>
        <v>0</v>
      </c>
      <c r="K64" s="130">
        <f>BEL!K64</f>
        <v>0</v>
      </c>
      <c r="L64" s="130">
        <f>BEL!L64</f>
        <v>0</v>
      </c>
      <c r="M64" s="185">
        <f t="shared" si="79"/>
        <v>0</v>
      </c>
      <c r="N64" s="185">
        <f t="shared" si="80"/>
        <v>0</v>
      </c>
      <c r="O64" s="185">
        <f t="shared" si="81"/>
        <v>0</v>
      </c>
      <c r="P64" s="185">
        <f t="shared" si="82"/>
        <v>0</v>
      </c>
      <c r="Q64" s="185">
        <f t="shared" si="83"/>
        <v>0</v>
      </c>
      <c r="R64" s="185">
        <f t="shared" si="84"/>
        <v>0</v>
      </c>
      <c r="S64" s="185">
        <f t="shared" si="85"/>
        <v>0</v>
      </c>
      <c r="T64" s="185">
        <f t="shared" si="86"/>
        <v>0</v>
      </c>
      <c r="U64" s="196">
        <f>(C64&gt;0)*(C64&lt;$E$5)*VLOOKUP(MPP,ASUMSI!$BN$77:$CR$108,B64+1)*(1+$V$4)</f>
        <v>0</v>
      </c>
      <c r="V64" s="185">
        <f t="shared" si="11"/>
        <v>0</v>
      </c>
      <c r="W64" s="185">
        <f t="shared" si="63"/>
        <v>0</v>
      </c>
      <c r="X64" s="185">
        <f t="shared" si="32"/>
        <v>0</v>
      </c>
      <c r="Y64" s="185">
        <f t="shared" si="33"/>
        <v>0</v>
      </c>
      <c r="Z64" s="185">
        <f t="shared" si="34"/>
        <v>0</v>
      </c>
      <c r="AA64" s="197">
        <f t="shared" si="35"/>
        <v>0</v>
      </c>
      <c r="AB64" s="185">
        <f t="shared" si="87"/>
        <v>0</v>
      </c>
      <c r="AC64" s="185">
        <f t="shared" si="87"/>
        <v>0</v>
      </c>
      <c r="AD64" s="185">
        <f t="shared" si="87"/>
        <v>0</v>
      </c>
      <c r="AE64" s="185">
        <f t="shared" si="88"/>
        <v>0</v>
      </c>
      <c r="AF64" s="185">
        <f t="shared" si="89"/>
        <v>0</v>
      </c>
      <c r="AG64" s="185">
        <f t="shared" si="90"/>
        <v>0</v>
      </c>
      <c r="AH64" s="185">
        <f t="shared" si="91"/>
        <v>0</v>
      </c>
      <c r="AI64" s="125">
        <f>BEL!AI64</f>
        <v>0</v>
      </c>
      <c r="AJ64" s="125">
        <f>BEL!AJ64</f>
        <v>0</v>
      </c>
      <c r="AK64" s="125">
        <f>BEL!AK64</f>
        <v>0</v>
      </c>
      <c r="AL64" s="125">
        <f>BEL!AL64</f>
        <v>0</v>
      </c>
      <c r="AM64" s="125">
        <f>BEL!AM64</f>
        <v>0</v>
      </c>
      <c r="AN64" s="125">
        <f>BEL!AN64</f>
        <v>0</v>
      </c>
      <c r="AO64" s="198">
        <f t="shared" si="13"/>
        <v>0</v>
      </c>
      <c r="AP64" s="125">
        <f>BEL!AP64</f>
        <v>0</v>
      </c>
      <c r="AQ64" s="125">
        <f>BEL!AQ64</f>
        <v>0</v>
      </c>
      <c r="AR64" s="125">
        <f>BEL!AR64</f>
        <v>0</v>
      </c>
      <c r="AS64" s="125">
        <f>BEL!AS64</f>
        <v>0</v>
      </c>
      <c r="AT64" s="125">
        <f>BEL!AT64</f>
        <v>0</v>
      </c>
      <c r="AU64" s="127">
        <f>BEL!AU64</f>
        <v>0</v>
      </c>
      <c r="AV64" s="127">
        <f>BEL!AV64</f>
        <v>0</v>
      </c>
      <c r="AW64" s="127">
        <f>BEL!AW64</f>
        <v>0</v>
      </c>
      <c r="AX64" s="127">
        <f t="shared" si="92"/>
        <v>0</v>
      </c>
      <c r="AY64" s="127">
        <f t="shared" si="41"/>
        <v>0</v>
      </c>
      <c r="AZ64" s="127">
        <f t="shared" si="93"/>
        <v>0</v>
      </c>
      <c r="BA64" s="127">
        <f t="shared" si="94"/>
        <v>0</v>
      </c>
      <c r="BB64" s="127">
        <f t="shared" si="95"/>
        <v>0</v>
      </c>
      <c r="BC64" s="127">
        <f t="shared" si="96"/>
        <v>0</v>
      </c>
      <c r="BD64" s="127">
        <f t="shared" si="97"/>
        <v>0</v>
      </c>
      <c r="BE64" s="127">
        <f t="shared" si="98"/>
        <v>0</v>
      </c>
      <c r="BF64" s="127">
        <f t="shared" si="99"/>
        <v>0</v>
      </c>
      <c r="BG64" s="127">
        <f t="shared" si="100"/>
        <v>0</v>
      </c>
      <c r="BH64" s="127">
        <f t="shared" si="101"/>
        <v>0</v>
      </c>
      <c r="BI64" s="127">
        <f t="shared" si="42"/>
        <v>0</v>
      </c>
      <c r="BJ64" s="189">
        <f t="shared" si="64"/>
        <v>0</v>
      </c>
      <c r="BK64" s="189">
        <f t="shared" si="65"/>
        <v>0</v>
      </c>
      <c r="BL64" s="192">
        <f t="shared" si="66"/>
        <v>0</v>
      </c>
      <c r="BM64" s="192">
        <f t="shared" si="67"/>
        <v>0</v>
      </c>
      <c r="BN64" s="192">
        <f t="shared" si="68"/>
        <v>0</v>
      </c>
      <c r="BO64" s="192">
        <f t="shared" si="69"/>
        <v>0</v>
      </c>
      <c r="BP64" s="192">
        <f t="shared" si="70"/>
        <v>0</v>
      </c>
      <c r="BQ64" s="193">
        <f t="shared" si="46"/>
        <v>0</v>
      </c>
      <c r="BR64" s="193">
        <f t="shared" si="71"/>
        <v>0</v>
      </c>
      <c r="BS64" s="188">
        <f t="shared" si="48"/>
        <v>0</v>
      </c>
      <c r="BT64" s="188">
        <f t="shared" si="49"/>
        <v>0</v>
      </c>
      <c r="BU64" s="188">
        <f t="shared" si="50"/>
        <v>0</v>
      </c>
      <c r="BV64" s="188">
        <f t="shared" si="51"/>
        <v>0</v>
      </c>
      <c r="BW64" s="188">
        <f t="shared" si="52"/>
        <v>0</v>
      </c>
      <c r="BX64" s="188">
        <f t="shared" si="53"/>
        <v>0</v>
      </c>
      <c r="BY64" s="188">
        <f t="shared" si="54"/>
        <v>0</v>
      </c>
      <c r="BZ64" s="188">
        <f t="shared" si="55"/>
        <v>0</v>
      </c>
      <c r="CA64" s="188">
        <f t="shared" si="56"/>
        <v>0</v>
      </c>
      <c r="CB64" s="149">
        <f t="shared" si="57"/>
        <v>0</v>
      </c>
      <c r="CC64" s="149">
        <f>CB64-BEL!CB64</f>
        <v>0</v>
      </c>
      <c r="CD64" s="189">
        <f>IF(AND(C64=0,C65=0),0,CB64/W64) - BEL!CC64</f>
        <v>0</v>
      </c>
      <c r="CF64" s="195">
        <f t="shared" si="72"/>
        <v>0</v>
      </c>
      <c r="CG64" s="127">
        <f t="shared" si="73"/>
        <v>0</v>
      </c>
      <c r="CH64" s="128">
        <f>'DATA INPUT - DETAIL'!AH55</f>
        <v>0</v>
      </c>
      <c r="CI64" s="125">
        <f t="shared" si="74"/>
        <v>0</v>
      </c>
      <c r="CJ64" s="199">
        <f t="shared" si="75"/>
        <v>0</v>
      </c>
      <c r="CL64" s="189">
        <f t="shared" si="76"/>
        <v>0</v>
      </c>
      <c r="CM64" s="149">
        <f t="shared" si="58"/>
        <v>0</v>
      </c>
      <c r="CN64" s="128">
        <f>'DATA INPUT - DETAIL'!AH55</f>
        <v>0</v>
      </c>
      <c r="CO64" s="149">
        <f t="shared" si="59"/>
        <v>0</v>
      </c>
      <c r="CP64" s="149">
        <f t="shared" si="60"/>
        <v>0</v>
      </c>
      <c r="CR64" s="126">
        <f t="shared" si="77"/>
        <v>52</v>
      </c>
      <c r="CS64" s="189">
        <f t="shared" si="78"/>
        <v>0</v>
      </c>
      <c r="CT64" s="200">
        <f>CS64/(BEL!CE64+BEL!CA64-BEL!BU64+'RA CSM'!CF64)</f>
        <v>0</v>
      </c>
      <c r="CU64" s="149">
        <f>$CT64*BEL!CH64</f>
        <v>0</v>
      </c>
      <c r="CV64" s="149">
        <f>$CT64*BEL!CI64</f>
        <v>0</v>
      </c>
      <c r="CW64" s="149">
        <f>$CT64*BEL!CJ64</f>
        <v>0</v>
      </c>
      <c r="CX64" s="149">
        <f>$CT64*BEL!CK64</f>
        <v>0</v>
      </c>
      <c r="CY64" s="149">
        <f t="shared" si="61"/>
        <v>0</v>
      </c>
      <c r="CZ64" s="149">
        <f>$CT64*(BEL!CL64+'RA CSM'!CG64)</f>
        <v>0</v>
      </c>
      <c r="DA64" s="149">
        <f t="shared" si="62"/>
        <v>0</v>
      </c>
    </row>
    <row r="65" spans="2:105" x14ac:dyDescent="0.2">
      <c r="B65" s="130">
        <f>BEL!B65</f>
        <v>0</v>
      </c>
      <c r="C65" s="130">
        <f>BEL!C65</f>
        <v>0</v>
      </c>
      <c r="D65" s="190">
        <f>BEL!D65</f>
        <v>0</v>
      </c>
      <c r="E65" s="190">
        <f>BEL!E65</f>
        <v>0</v>
      </c>
      <c r="F65" s="190">
        <f>BEL!F65</f>
        <v>0</v>
      </c>
      <c r="G65" s="190">
        <f>BEL!G65*(1+$V$5)</f>
        <v>0</v>
      </c>
      <c r="H65" s="190">
        <f>BEL!H65*(1+$V$5)</f>
        <v>0</v>
      </c>
      <c r="I65" s="179">
        <f t="shared" si="2"/>
        <v>0</v>
      </c>
      <c r="J65" s="130">
        <f>BEL!J65</f>
        <v>0</v>
      </c>
      <c r="K65" s="130">
        <f>BEL!K65</f>
        <v>0</v>
      </c>
      <c r="L65" s="130">
        <f>BEL!L65</f>
        <v>0</v>
      </c>
      <c r="M65" s="185">
        <f t="shared" si="79"/>
        <v>0</v>
      </c>
      <c r="N65" s="185">
        <f t="shared" si="80"/>
        <v>0</v>
      </c>
      <c r="O65" s="185">
        <f t="shared" si="81"/>
        <v>0</v>
      </c>
      <c r="P65" s="185">
        <f t="shared" si="82"/>
        <v>0</v>
      </c>
      <c r="Q65" s="185">
        <f t="shared" si="83"/>
        <v>0</v>
      </c>
      <c r="R65" s="185">
        <f t="shared" si="84"/>
        <v>0</v>
      </c>
      <c r="S65" s="185">
        <f t="shared" si="85"/>
        <v>0</v>
      </c>
      <c r="T65" s="185">
        <f t="shared" si="86"/>
        <v>0</v>
      </c>
      <c r="U65" s="196">
        <f>(C65&gt;0)*(C65&lt;$E$5)*VLOOKUP(MPP,ASUMSI!$BN$77:$CR$108,B65+1)*(1+$V$4)</f>
        <v>0</v>
      </c>
      <c r="V65" s="185">
        <f t="shared" si="11"/>
        <v>0</v>
      </c>
      <c r="W65" s="185">
        <f t="shared" si="63"/>
        <v>0</v>
      </c>
      <c r="X65" s="185">
        <f t="shared" si="32"/>
        <v>0</v>
      </c>
      <c r="Y65" s="185">
        <f t="shared" si="33"/>
        <v>0</v>
      </c>
      <c r="Z65" s="185">
        <f t="shared" si="34"/>
        <v>0</v>
      </c>
      <c r="AA65" s="197">
        <f t="shared" si="35"/>
        <v>0</v>
      </c>
      <c r="AB65" s="185">
        <f t="shared" si="87"/>
        <v>0</v>
      </c>
      <c r="AC65" s="185">
        <f t="shared" si="87"/>
        <v>0</v>
      </c>
      <c r="AD65" s="185">
        <f t="shared" si="87"/>
        <v>0</v>
      </c>
      <c r="AE65" s="185">
        <f t="shared" si="88"/>
        <v>0</v>
      </c>
      <c r="AF65" s="185">
        <f t="shared" si="89"/>
        <v>0</v>
      </c>
      <c r="AG65" s="185">
        <f t="shared" si="90"/>
        <v>0</v>
      </c>
      <c r="AH65" s="185">
        <f t="shared" si="91"/>
        <v>0</v>
      </c>
      <c r="AI65" s="125">
        <f>BEL!AI65</f>
        <v>0</v>
      </c>
      <c r="AJ65" s="125">
        <f>BEL!AJ65</f>
        <v>0</v>
      </c>
      <c r="AK65" s="125">
        <f>BEL!AK65</f>
        <v>0</v>
      </c>
      <c r="AL65" s="125">
        <f>BEL!AL65</f>
        <v>0</v>
      </c>
      <c r="AM65" s="125">
        <f>BEL!AM65</f>
        <v>0</v>
      </c>
      <c r="AN65" s="125">
        <f>BEL!AN65</f>
        <v>0</v>
      </c>
      <c r="AO65" s="198">
        <f t="shared" si="13"/>
        <v>0</v>
      </c>
      <c r="AP65" s="125">
        <f>BEL!AP65</f>
        <v>0</v>
      </c>
      <c r="AQ65" s="125">
        <f>BEL!AQ65</f>
        <v>0</v>
      </c>
      <c r="AR65" s="125">
        <f>BEL!AR65</f>
        <v>0</v>
      </c>
      <c r="AS65" s="125">
        <f>BEL!AS65</f>
        <v>0</v>
      </c>
      <c r="AT65" s="125">
        <f>BEL!AT65</f>
        <v>0</v>
      </c>
      <c r="AU65" s="127">
        <f>BEL!AU65</f>
        <v>0</v>
      </c>
      <c r="AV65" s="127">
        <f>BEL!AV65</f>
        <v>0</v>
      </c>
      <c r="AW65" s="127">
        <f>BEL!AW65</f>
        <v>0</v>
      </c>
      <c r="AX65" s="127">
        <f t="shared" si="92"/>
        <v>0</v>
      </c>
      <c r="AY65" s="127">
        <f t="shared" si="41"/>
        <v>0</v>
      </c>
      <c r="AZ65" s="127">
        <f t="shared" si="93"/>
        <v>0</v>
      </c>
      <c r="BA65" s="127">
        <f t="shared" si="94"/>
        <v>0</v>
      </c>
      <c r="BB65" s="127">
        <f t="shared" si="95"/>
        <v>0</v>
      </c>
      <c r="BC65" s="127">
        <f t="shared" si="96"/>
        <v>0</v>
      </c>
      <c r="BD65" s="127">
        <f t="shared" si="97"/>
        <v>0</v>
      </c>
      <c r="BE65" s="127">
        <f t="shared" si="98"/>
        <v>0</v>
      </c>
      <c r="BF65" s="127">
        <f t="shared" si="99"/>
        <v>0</v>
      </c>
      <c r="BG65" s="127">
        <f t="shared" si="100"/>
        <v>0</v>
      </c>
      <c r="BH65" s="127">
        <f t="shared" si="101"/>
        <v>0</v>
      </c>
      <c r="BI65" s="127">
        <f t="shared" si="42"/>
        <v>0</v>
      </c>
      <c r="BJ65" s="189">
        <f t="shared" si="64"/>
        <v>0</v>
      </c>
      <c r="BK65" s="189">
        <f t="shared" si="65"/>
        <v>0</v>
      </c>
      <c r="BL65" s="192">
        <f t="shared" si="66"/>
        <v>0</v>
      </c>
      <c r="BM65" s="192">
        <f t="shared" si="67"/>
        <v>0</v>
      </c>
      <c r="BN65" s="192">
        <f t="shared" si="68"/>
        <v>0</v>
      </c>
      <c r="BO65" s="192">
        <f t="shared" si="69"/>
        <v>0</v>
      </c>
      <c r="BP65" s="192">
        <f t="shared" si="70"/>
        <v>0</v>
      </c>
      <c r="BQ65" s="193">
        <f t="shared" si="46"/>
        <v>0</v>
      </c>
      <c r="BR65" s="193">
        <f t="shared" si="71"/>
        <v>0</v>
      </c>
      <c r="BS65" s="188">
        <f t="shared" si="48"/>
        <v>0</v>
      </c>
      <c r="BT65" s="188">
        <f t="shared" si="49"/>
        <v>0</v>
      </c>
      <c r="BU65" s="188">
        <f t="shared" si="50"/>
        <v>0</v>
      </c>
      <c r="BV65" s="188">
        <f t="shared" si="51"/>
        <v>0</v>
      </c>
      <c r="BW65" s="188">
        <f t="shared" si="52"/>
        <v>0</v>
      </c>
      <c r="BX65" s="188">
        <f t="shared" si="53"/>
        <v>0</v>
      </c>
      <c r="BY65" s="188">
        <f t="shared" si="54"/>
        <v>0</v>
      </c>
      <c r="BZ65" s="188">
        <f t="shared" si="55"/>
        <v>0</v>
      </c>
      <c r="CA65" s="188">
        <f t="shared" si="56"/>
        <v>0</v>
      </c>
      <c r="CB65" s="149">
        <f t="shared" si="57"/>
        <v>0</v>
      </c>
      <c r="CC65" s="149">
        <f>CB65-BEL!CB65</f>
        <v>0</v>
      </c>
      <c r="CD65" s="189">
        <f>IF(AND(C65=0,C66=0),0,CB65/W65) - BEL!CC65</f>
        <v>0</v>
      </c>
      <c r="CF65" s="195">
        <f t="shared" si="72"/>
        <v>0</v>
      </c>
      <c r="CG65" s="127">
        <f t="shared" si="73"/>
        <v>0</v>
      </c>
      <c r="CH65" s="128">
        <f>'DATA INPUT - DETAIL'!AH56</f>
        <v>0</v>
      </c>
      <c r="CI65" s="125">
        <f t="shared" si="74"/>
        <v>0</v>
      </c>
      <c r="CJ65" s="199">
        <f t="shared" si="75"/>
        <v>0</v>
      </c>
      <c r="CL65" s="189">
        <f t="shared" si="76"/>
        <v>0</v>
      </c>
      <c r="CM65" s="149">
        <f t="shared" si="58"/>
        <v>0</v>
      </c>
      <c r="CN65" s="128">
        <f>'DATA INPUT - DETAIL'!AH56</f>
        <v>0</v>
      </c>
      <c r="CO65" s="149">
        <f t="shared" si="59"/>
        <v>0</v>
      </c>
      <c r="CP65" s="149">
        <f t="shared" si="60"/>
        <v>0</v>
      </c>
      <c r="CR65" s="126">
        <f t="shared" si="77"/>
        <v>53</v>
      </c>
      <c r="CS65" s="189">
        <f t="shared" si="78"/>
        <v>0</v>
      </c>
      <c r="CT65" s="200">
        <f>CS65/(BEL!CE65+BEL!CA65-BEL!BU65+'RA CSM'!CF65)</f>
        <v>0</v>
      </c>
      <c r="CU65" s="149">
        <f>$CT65*BEL!CH65</f>
        <v>0</v>
      </c>
      <c r="CV65" s="149">
        <f>$CT65*BEL!CI65</f>
        <v>0</v>
      </c>
      <c r="CW65" s="149">
        <f>$CT65*BEL!CJ65</f>
        <v>0</v>
      </c>
      <c r="CX65" s="149">
        <f>$CT65*BEL!CK65</f>
        <v>0</v>
      </c>
      <c r="CY65" s="149">
        <f t="shared" si="61"/>
        <v>0</v>
      </c>
      <c r="CZ65" s="149">
        <f>$CT65*(BEL!CL65+'RA CSM'!CG65)</f>
        <v>0</v>
      </c>
      <c r="DA65" s="149">
        <f t="shared" si="62"/>
        <v>0</v>
      </c>
    </row>
    <row r="66" spans="2:105" x14ac:dyDescent="0.2">
      <c r="B66" s="130">
        <f>BEL!B66</f>
        <v>0</v>
      </c>
      <c r="C66" s="130">
        <f>BEL!C66</f>
        <v>0</v>
      </c>
      <c r="D66" s="190">
        <f>BEL!D66</f>
        <v>0</v>
      </c>
      <c r="E66" s="190">
        <f>BEL!E66</f>
        <v>0</v>
      </c>
      <c r="F66" s="190">
        <f>BEL!F66</f>
        <v>0</v>
      </c>
      <c r="G66" s="190">
        <f>BEL!G66*(1+$V$5)</f>
        <v>0</v>
      </c>
      <c r="H66" s="190">
        <f>BEL!H66*(1+$V$5)</f>
        <v>0</v>
      </c>
      <c r="I66" s="179">
        <f t="shared" si="2"/>
        <v>0</v>
      </c>
      <c r="J66" s="130">
        <f>BEL!J66</f>
        <v>0</v>
      </c>
      <c r="K66" s="130">
        <f>BEL!K66</f>
        <v>0</v>
      </c>
      <c r="L66" s="130">
        <f>BEL!L66</f>
        <v>0</v>
      </c>
      <c r="M66" s="185">
        <f t="shared" si="79"/>
        <v>0</v>
      </c>
      <c r="N66" s="185">
        <f t="shared" si="80"/>
        <v>0</v>
      </c>
      <c r="O66" s="185">
        <f t="shared" si="81"/>
        <v>0</v>
      </c>
      <c r="P66" s="185">
        <f t="shared" si="82"/>
        <v>0</v>
      </c>
      <c r="Q66" s="185">
        <f t="shared" si="83"/>
        <v>0</v>
      </c>
      <c r="R66" s="185">
        <f t="shared" si="84"/>
        <v>0</v>
      </c>
      <c r="S66" s="185">
        <f t="shared" si="85"/>
        <v>0</v>
      </c>
      <c r="T66" s="185">
        <f t="shared" si="86"/>
        <v>0</v>
      </c>
      <c r="U66" s="196">
        <f>(C66&gt;0)*(C66&lt;$E$5)*VLOOKUP(MPP,ASUMSI!$BN$77:$CR$108,B66+1)*(1+$V$4)</f>
        <v>0</v>
      </c>
      <c r="V66" s="185">
        <f t="shared" si="11"/>
        <v>0</v>
      </c>
      <c r="W66" s="185">
        <f t="shared" si="63"/>
        <v>0</v>
      </c>
      <c r="X66" s="185">
        <f t="shared" si="32"/>
        <v>0</v>
      </c>
      <c r="Y66" s="185">
        <f t="shared" si="33"/>
        <v>0</v>
      </c>
      <c r="Z66" s="185">
        <f t="shared" si="34"/>
        <v>0</v>
      </c>
      <c r="AA66" s="197">
        <f t="shared" si="35"/>
        <v>0</v>
      </c>
      <c r="AB66" s="185">
        <f t="shared" si="87"/>
        <v>0</v>
      </c>
      <c r="AC66" s="185">
        <f t="shared" si="87"/>
        <v>0</v>
      </c>
      <c r="AD66" s="185">
        <f t="shared" si="87"/>
        <v>0</v>
      </c>
      <c r="AE66" s="185">
        <f t="shared" si="88"/>
        <v>0</v>
      </c>
      <c r="AF66" s="185">
        <f t="shared" si="89"/>
        <v>0</v>
      </c>
      <c r="AG66" s="185">
        <f t="shared" si="90"/>
        <v>0</v>
      </c>
      <c r="AH66" s="185">
        <f t="shared" si="91"/>
        <v>0</v>
      </c>
      <c r="AI66" s="125">
        <f>BEL!AI66</f>
        <v>0</v>
      </c>
      <c r="AJ66" s="125">
        <f>BEL!AJ66</f>
        <v>0</v>
      </c>
      <c r="AK66" s="125">
        <f>BEL!AK66</f>
        <v>0</v>
      </c>
      <c r="AL66" s="125">
        <f>BEL!AL66</f>
        <v>0</v>
      </c>
      <c r="AM66" s="125">
        <f>BEL!AM66</f>
        <v>0</v>
      </c>
      <c r="AN66" s="125">
        <f>BEL!AN66</f>
        <v>0</v>
      </c>
      <c r="AO66" s="198">
        <f t="shared" si="13"/>
        <v>0</v>
      </c>
      <c r="AP66" s="125">
        <f>BEL!AP66</f>
        <v>0</v>
      </c>
      <c r="AQ66" s="125">
        <f>BEL!AQ66</f>
        <v>0</v>
      </c>
      <c r="AR66" s="125">
        <f>BEL!AR66</f>
        <v>0</v>
      </c>
      <c r="AS66" s="125">
        <f>BEL!AS66</f>
        <v>0</v>
      </c>
      <c r="AT66" s="125">
        <f>BEL!AT66</f>
        <v>0</v>
      </c>
      <c r="AU66" s="127">
        <f>BEL!AU66</f>
        <v>0</v>
      </c>
      <c r="AV66" s="127">
        <f>BEL!AV66</f>
        <v>0</v>
      </c>
      <c r="AW66" s="127">
        <f>BEL!AW66</f>
        <v>0</v>
      </c>
      <c r="AX66" s="127">
        <f t="shared" si="92"/>
        <v>0</v>
      </c>
      <c r="AY66" s="127">
        <f t="shared" si="41"/>
        <v>0</v>
      </c>
      <c r="AZ66" s="127">
        <f t="shared" si="93"/>
        <v>0</v>
      </c>
      <c r="BA66" s="127">
        <f t="shared" si="94"/>
        <v>0</v>
      </c>
      <c r="BB66" s="127">
        <f t="shared" si="95"/>
        <v>0</v>
      </c>
      <c r="BC66" s="127">
        <f t="shared" si="96"/>
        <v>0</v>
      </c>
      <c r="BD66" s="127">
        <f t="shared" si="97"/>
        <v>0</v>
      </c>
      <c r="BE66" s="127">
        <f t="shared" si="98"/>
        <v>0</v>
      </c>
      <c r="BF66" s="127">
        <f t="shared" si="99"/>
        <v>0</v>
      </c>
      <c r="BG66" s="127">
        <f t="shared" si="100"/>
        <v>0</v>
      </c>
      <c r="BH66" s="127">
        <f t="shared" si="101"/>
        <v>0</v>
      </c>
      <c r="BI66" s="127">
        <f t="shared" si="42"/>
        <v>0</v>
      </c>
      <c r="BJ66" s="189">
        <f t="shared" si="64"/>
        <v>0</v>
      </c>
      <c r="BK66" s="189">
        <f t="shared" si="65"/>
        <v>0</v>
      </c>
      <c r="BL66" s="192">
        <f t="shared" si="66"/>
        <v>0</v>
      </c>
      <c r="BM66" s="192">
        <f t="shared" si="67"/>
        <v>0</v>
      </c>
      <c r="BN66" s="192">
        <f t="shared" si="68"/>
        <v>0</v>
      </c>
      <c r="BO66" s="192">
        <f t="shared" si="69"/>
        <v>0</v>
      </c>
      <c r="BP66" s="192">
        <f t="shared" si="70"/>
        <v>0</v>
      </c>
      <c r="BQ66" s="193">
        <f t="shared" si="46"/>
        <v>0</v>
      </c>
      <c r="BR66" s="193">
        <f t="shared" si="71"/>
        <v>0</v>
      </c>
      <c r="BS66" s="188">
        <f t="shared" si="48"/>
        <v>0</v>
      </c>
      <c r="BT66" s="188">
        <f t="shared" si="49"/>
        <v>0</v>
      </c>
      <c r="BU66" s="188">
        <f t="shared" si="50"/>
        <v>0</v>
      </c>
      <c r="BV66" s="188">
        <f t="shared" si="51"/>
        <v>0</v>
      </c>
      <c r="BW66" s="188">
        <f t="shared" si="52"/>
        <v>0</v>
      </c>
      <c r="BX66" s="188">
        <f t="shared" si="53"/>
        <v>0</v>
      </c>
      <c r="BY66" s="188">
        <f t="shared" si="54"/>
        <v>0</v>
      </c>
      <c r="BZ66" s="188">
        <f t="shared" si="55"/>
        <v>0</v>
      </c>
      <c r="CA66" s="188">
        <f t="shared" si="56"/>
        <v>0</v>
      </c>
      <c r="CB66" s="149">
        <f t="shared" si="57"/>
        <v>0</v>
      </c>
      <c r="CC66" s="149">
        <f>CB66-BEL!CB66</f>
        <v>0</v>
      </c>
      <c r="CD66" s="189">
        <f>IF(AND(C66=0,C67=0),0,CB66/W66) - BEL!CC66</f>
        <v>0</v>
      </c>
      <c r="CF66" s="195">
        <f t="shared" si="72"/>
        <v>0</v>
      </c>
      <c r="CG66" s="127">
        <f t="shared" si="73"/>
        <v>0</v>
      </c>
      <c r="CH66" s="128">
        <f>'DATA INPUT - DETAIL'!AH57</f>
        <v>0</v>
      </c>
      <c r="CI66" s="125">
        <f t="shared" si="74"/>
        <v>0</v>
      </c>
      <c r="CJ66" s="199">
        <f t="shared" si="75"/>
        <v>0</v>
      </c>
      <c r="CL66" s="189">
        <f t="shared" si="76"/>
        <v>0</v>
      </c>
      <c r="CM66" s="149">
        <f t="shared" si="58"/>
        <v>0</v>
      </c>
      <c r="CN66" s="128">
        <f>'DATA INPUT - DETAIL'!AH57</f>
        <v>0</v>
      </c>
      <c r="CO66" s="149">
        <f t="shared" si="59"/>
        <v>0</v>
      </c>
      <c r="CP66" s="149">
        <f t="shared" si="60"/>
        <v>0</v>
      </c>
      <c r="CR66" s="126">
        <f t="shared" si="77"/>
        <v>54</v>
      </c>
      <c r="CS66" s="189">
        <f t="shared" si="78"/>
        <v>0</v>
      </c>
      <c r="CT66" s="200">
        <f>CS66/(BEL!CE66+BEL!CA66-BEL!BU66+'RA CSM'!CF66)</f>
        <v>0</v>
      </c>
      <c r="CU66" s="149">
        <f>$CT66*BEL!CH66</f>
        <v>0</v>
      </c>
      <c r="CV66" s="149">
        <f>$CT66*BEL!CI66</f>
        <v>0</v>
      </c>
      <c r="CW66" s="149">
        <f>$CT66*BEL!CJ66</f>
        <v>0</v>
      </c>
      <c r="CX66" s="149">
        <f>$CT66*BEL!CK66</f>
        <v>0</v>
      </c>
      <c r="CY66" s="149">
        <f t="shared" si="61"/>
        <v>0</v>
      </c>
      <c r="CZ66" s="149">
        <f>$CT66*(BEL!CL66+'RA CSM'!CG66)</f>
        <v>0</v>
      </c>
      <c r="DA66" s="149">
        <f t="shared" si="62"/>
        <v>0</v>
      </c>
    </row>
    <row r="67" spans="2:105" x14ac:dyDescent="0.2">
      <c r="B67" s="130">
        <f>BEL!B67</f>
        <v>0</v>
      </c>
      <c r="C67" s="130">
        <f>BEL!C67</f>
        <v>0</v>
      </c>
      <c r="D67" s="190">
        <f>BEL!D67</f>
        <v>0</v>
      </c>
      <c r="E67" s="190">
        <f>BEL!E67</f>
        <v>0</v>
      </c>
      <c r="F67" s="190">
        <f>BEL!F67</f>
        <v>0</v>
      </c>
      <c r="G67" s="190">
        <f>BEL!G67*(1+$V$5)</f>
        <v>0</v>
      </c>
      <c r="H67" s="190">
        <f>BEL!H67*(1+$V$5)</f>
        <v>0</v>
      </c>
      <c r="I67" s="179">
        <f t="shared" si="2"/>
        <v>0</v>
      </c>
      <c r="J67" s="130">
        <f>BEL!J67</f>
        <v>0</v>
      </c>
      <c r="K67" s="130">
        <f>BEL!K67</f>
        <v>0</v>
      </c>
      <c r="L67" s="130">
        <f>BEL!L67</f>
        <v>0</v>
      </c>
      <c r="M67" s="185">
        <f t="shared" si="79"/>
        <v>0</v>
      </c>
      <c r="N67" s="185">
        <f t="shared" si="80"/>
        <v>0</v>
      </c>
      <c r="O67" s="185">
        <f t="shared" si="81"/>
        <v>0</v>
      </c>
      <c r="P67" s="185">
        <f t="shared" si="82"/>
        <v>0</v>
      </c>
      <c r="Q67" s="185">
        <f t="shared" si="83"/>
        <v>0</v>
      </c>
      <c r="R67" s="185">
        <f t="shared" si="84"/>
        <v>0</v>
      </c>
      <c r="S67" s="185">
        <f t="shared" si="85"/>
        <v>0</v>
      </c>
      <c r="T67" s="185">
        <f t="shared" si="86"/>
        <v>0</v>
      </c>
      <c r="U67" s="196">
        <f>(C67&gt;0)*(C67&lt;$E$5)*VLOOKUP(MPP,ASUMSI!$BN$77:$CR$108,B67+1)*(1+$V$4)</f>
        <v>0</v>
      </c>
      <c r="V67" s="185">
        <f t="shared" si="11"/>
        <v>0</v>
      </c>
      <c r="W67" s="185">
        <f t="shared" si="63"/>
        <v>0</v>
      </c>
      <c r="X67" s="185">
        <f t="shared" si="32"/>
        <v>0</v>
      </c>
      <c r="Y67" s="185">
        <f t="shared" si="33"/>
        <v>0</v>
      </c>
      <c r="Z67" s="185">
        <f t="shared" si="34"/>
        <v>0</v>
      </c>
      <c r="AA67" s="197">
        <f t="shared" si="35"/>
        <v>0</v>
      </c>
      <c r="AB67" s="185">
        <f t="shared" si="87"/>
        <v>0</v>
      </c>
      <c r="AC67" s="185">
        <f t="shared" si="87"/>
        <v>0</v>
      </c>
      <c r="AD67" s="185">
        <f t="shared" si="87"/>
        <v>0</v>
      </c>
      <c r="AE67" s="185">
        <f t="shared" si="88"/>
        <v>0</v>
      </c>
      <c r="AF67" s="185">
        <f t="shared" si="89"/>
        <v>0</v>
      </c>
      <c r="AG67" s="185">
        <f t="shared" si="90"/>
        <v>0</v>
      </c>
      <c r="AH67" s="185">
        <f t="shared" si="91"/>
        <v>0</v>
      </c>
      <c r="AI67" s="125">
        <f>BEL!AI67</f>
        <v>0</v>
      </c>
      <c r="AJ67" s="125">
        <f>BEL!AJ67</f>
        <v>0</v>
      </c>
      <c r="AK67" s="125">
        <f>BEL!AK67</f>
        <v>0</v>
      </c>
      <c r="AL67" s="125">
        <f>BEL!AL67</f>
        <v>0</v>
      </c>
      <c r="AM67" s="125">
        <f>BEL!AM67</f>
        <v>0</v>
      </c>
      <c r="AN67" s="125">
        <f>BEL!AN67</f>
        <v>0</v>
      </c>
      <c r="AO67" s="198">
        <f t="shared" si="13"/>
        <v>0</v>
      </c>
      <c r="AP67" s="125">
        <f>BEL!AP67</f>
        <v>0</v>
      </c>
      <c r="AQ67" s="125">
        <f>BEL!AQ67</f>
        <v>0</v>
      </c>
      <c r="AR67" s="125">
        <f>BEL!AR67</f>
        <v>0</v>
      </c>
      <c r="AS67" s="125">
        <f>BEL!AS67</f>
        <v>0</v>
      </c>
      <c r="AT67" s="125">
        <f>BEL!AT67</f>
        <v>0</v>
      </c>
      <c r="AU67" s="127">
        <f>BEL!AU67</f>
        <v>0</v>
      </c>
      <c r="AV67" s="127">
        <f>BEL!AV67</f>
        <v>0</v>
      </c>
      <c r="AW67" s="127">
        <f>BEL!AW67</f>
        <v>0</v>
      </c>
      <c r="AX67" s="127">
        <f t="shared" si="92"/>
        <v>0</v>
      </c>
      <c r="AY67" s="127">
        <f t="shared" si="41"/>
        <v>0</v>
      </c>
      <c r="AZ67" s="127">
        <f t="shared" si="93"/>
        <v>0</v>
      </c>
      <c r="BA67" s="127">
        <f t="shared" si="94"/>
        <v>0</v>
      </c>
      <c r="BB67" s="127">
        <f t="shared" si="95"/>
        <v>0</v>
      </c>
      <c r="BC67" s="127">
        <f t="shared" si="96"/>
        <v>0</v>
      </c>
      <c r="BD67" s="127">
        <f t="shared" si="97"/>
        <v>0</v>
      </c>
      <c r="BE67" s="127">
        <f t="shared" si="98"/>
        <v>0</v>
      </c>
      <c r="BF67" s="127">
        <f t="shared" si="99"/>
        <v>0</v>
      </c>
      <c r="BG67" s="127">
        <f t="shared" si="100"/>
        <v>0</v>
      </c>
      <c r="BH67" s="127">
        <f t="shared" si="101"/>
        <v>0</v>
      </c>
      <c r="BI67" s="127">
        <f t="shared" si="42"/>
        <v>0</v>
      </c>
      <c r="BJ67" s="189">
        <f t="shared" si="64"/>
        <v>0</v>
      </c>
      <c r="BK67" s="189">
        <f t="shared" si="65"/>
        <v>0</v>
      </c>
      <c r="BL67" s="192">
        <f t="shared" si="66"/>
        <v>0</v>
      </c>
      <c r="BM67" s="192">
        <f t="shared" si="67"/>
        <v>0</v>
      </c>
      <c r="BN67" s="192">
        <f t="shared" si="68"/>
        <v>0</v>
      </c>
      <c r="BO67" s="192">
        <f t="shared" si="69"/>
        <v>0</v>
      </c>
      <c r="BP67" s="192">
        <f t="shared" si="70"/>
        <v>0</v>
      </c>
      <c r="BQ67" s="193">
        <f t="shared" si="46"/>
        <v>0</v>
      </c>
      <c r="BR67" s="193">
        <f t="shared" si="71"/>
        <v>0</v>
      </c>
      <c r="BS67" s="188">
        <f t="shared" si="48"/>
        <v>0</v>
      </c>
      <c r="BT67" s="188">
        <f t="shared" si="49"/>
        <v>0</v>
      </c>
      <c r="BU67" s="188">
        <f t="shared" si="50"/>
        <v>0</v>
      </c>
      <c r="BV67" s="188">
        <f t="shared" si="51"/>
        <v>0</v>
      </c>
      <c r="BW67" s="188">
        <f t="shared" si="52"/>
        <v>0</v>
      </c>
      <c r="BX67" s="188">
        <f t="shared" si="53"/>
        <v>0</v>
      </c>
      <c r="BY67" s="188">
        <f t="shared" si="54"/>
        <v>0</v>
      </c>
      <c r="BZ67" s="188">
        <f t="shared" si="55"/>
        <v>0</v>
      </c>
      <c r="CA67" s="188">
        <f t="shared" si="56"/>
        <v>0</v>
      </c>
      <c r="CB67" s="149">
        <f t="shared" si="57"/>
        <v>0</v>
      </c>
      <c r="CC67" s="149">
        <f>CB67-BEL!CB67</f>
        <v>0</v>
      </c>
      <c r="CD67" s="189">
        <f>IF(AND(C67=0,C68=0),0,CB67/W67) - BEL!CC67</f>
        <v>0</v>
      </c>
      <c r="CF67" s="195">
        <f t="shared" si="72"/>
        <v>0</v>
      </c>
      <c r="CG67" s="127">
        <f t="shared" si="73"/>
        <v>0</v>
      </c>
      <c r="CH67" s="128">
        <f>'DATA INPUT - DETAIL'!AH58</f>
        <v>0</v>
      </c>
      <c r="CI67" s="125">
        <f t="shared" si="74"/>
        <v>0</v>
      </c>
      <c r="CJ67" s="199">
        <f t="shared" si="75"/>
        <v>0</v>
      </c>
      <c r="CL67" s="189">
        <f t="shared" si="76"/>
        <v>0</v>
      </c>
      <c r="CM67" s="149">
        <f t="shared" si="58"/>
        <v>0</v>
      </c>
      <c r="CN67" s="128">
        <f>'DATA INPUT - DETAIL'!AH58</f>
        <v>0</v>
      </c>
      <c r="CO67" s="149">
        <f t="shared" si="59"/>
        <v>0</v>
      </c>
      <c r="CP67" s="149">
        <f t="shared" si="60"/>
        <v>0</v>
      </c>
      <c r="CR67" s="126">
        <f t="shared" si="77"/>
        <v>55</v>
      </c>
      <c r="CS67" s="189">
        <f t="shared" si="78"/>
        <v>0</v>
      </c>
      <c r="CT67" s="200">
        <f>CS67/(BEL!CE67+BEL!CA67-BEL!BU67+'RA CSM'!CF67)</f>
        <v>0</v>
      </c>
      <c r="CU67" s="149">
        <f>$CT67*BEL!CH67</f>
        <v>0</v>
      </c>
      <c r="CV67" s="149">
        <f>$CT67*BEL!CI67</f>
        <v>0</v>
      </c>
      <c r="CW67" s="149">
        <f>$CT67*BEL!CJ67</f>
        <v>0</v>
      </c>
      <c r="CX67" s="149">
        <f>$CT67*BEL!CK67</f>
        <v>0</v>
      </c>
      <c r="CY67" s="149">
        <f t="shared" si="61"/>
        <v>0</v>
      </c>
      <c r="CZ67" s="149">
        <f>$CT67*(BEL!CL67+'RA CSM'!CG67)</f>
        <v>0</v>
      </c>
      <c r="DA67" s="149">
        <f t="shared" si="62"/>
        <v>0</v>
      </c>
    </row>
    <row r="68" spans="2:105" x14ac:dyDescent="0.2">
      <c r="B68" s="130">
        <f>BEL!B68</f>
        <v>0</v>
      </c>
      <c r="C68" s="130">
        <f>BEL!C68</f>
        <v>0</v>
      </c>
      <c r="D68" s="190">
        <f>BEL!D68</f>
        <v>0</v>
      </c>
      <c r="E68" s="190">
        <f>BEL!E68</f>
        <v>0</v>
      </c>
      <c r="F68" s="190">
        <f>BEL!F68</f>
        <v>0</v>
      </c>
      <c r="G68" s="190">
        <f>BEL!G68*(1+$V$5)</f>
        <v>0</v>
      </c>
      <c r="H68" s="190">
        <f>BEL!H68*(1+$V$5)</f>
        <v>0</v>
      </c>
      <c r="I68" s="179">
        <f t="shared" si="2"/>
        <v>0</v>
      </c>
      <c r="J68" s="130">
        <f>BEL!J68</f>
        <v>0</v>
      </c>
      <c r="K68" s="130">
        <f>BEL!K68</f>
        <v>0</v>
      </c>
      <c r="L68" s="130">
        <f>BEL!L68</f>
        <v>0</v>
      </c>
      <c r="M68" s="185">
        <f t="shared" si="79"/>
        <v>0</v>
      </c>
      <c r="N68" s="185">
        <f t="shared" si="80"/>
        <v>0</v>
      </c>
      <c r="O68" s="185">
        <f t="shared" si="81"/>
        <v>0</v>
      </c>
      <c r="P68" s="185">
        <f t="shared" si="82"/>
        <v>0</v>
      </c>
      <c r="Q68" s="185">
        <f t="shared" si="83"/>
        <v>0</v>
      </c>
      <c r="R68" s="185">
        <f t="shared" si="84"/>
        <v>0</v>
      </c>
      <c r="S68" s="185">
        <f t="shared" si="85"/>
        <v>0</v>
      </c>
      <c r="T68" s="185">
        <f t="shared" si="86"/>
        <v>0</v>
      </c>
      <c r="U68" s="196">
        <f>(C68&gt;0)*(C68&lt;$E$5)*VLOOKUP(MPP,ASUMSI!$BN$77:$CR$108,B68+1)*(1+$V$4)</f>
        <v>0</v>
      </c>
      <c r="V68" s="185">
        <f t="shared" si="11"/>
        <v>0</v>
      </c>
      <c r="W68" s="185">
        <f t="shared" si="63"/>
        <v>0</v>
      </c>
      <c r="X68" s="185">
        <f t="shared" si="32"/>
        <v>0</v>
      </c>
      <c r="Y68" s="185">
        <f t="shared" si="33"/>
        <v>0</v>
      </c>
      <c r="Z68" s="185">
        <f t="shared" si="34"/>
        <v>0</v>
      </c>
      <c r="AA68" s="197">
        <f t="shared" si="35"/>
        <v>0</v>
      </c>
      <c r="AB68" s="185">
        <f t="shared" si="87"/>
        <v>0</v>
      </c>
      <c r="AC68" s="185">
        <f t="shared" si="87"/>
        <v>0</v>
      </c>
      <c r="AD68" s="185">
        <f t="shared" si="87"/>
        <v>0</v>
      </c>
      <c r="AE68" s="185">
        <f t="shared" si="88"/>
        <v>0</v>
      </c>
      <c r="AF68" s="185">
        <f t="shared" si="89"/>
        <v>0</v>
      </c>
      <c r="AG68" s="185">
        <f t="shared" si="90"/>
        <v>0</v>
      </c>
      <c r="AH68" s="185">
        <f t="shared" si="91"/>
        <v>0</v>
      </c>
      <c r="AI68" s="125">
        <f>BEL!AI68</f>
        <v>0</v>
      </c>
      <c r="AJ68" s="125">
        <f>BEL!AJ68</f>
        <v>0</v>
      </c>
      <c r="AK68" s="125">
        <f>BEL!AK68</f>
        <v>0</v>
      </c>
      <c r="AL68" s="125">
        <f>BEL!AL68</f>
        <v>0</v>
      </c>
      <c r="AM68" s="125">
        <f>BEL!AM68</f>
        <v>0</v>
      </c>
      <c r="AN68" s="125">
        <f>BEL!AN68</f>
        <v>0</v>
      </c>
      <c r="AO68" s="198">
        <f t="shared" si="13"/>
        <v>0</v>
      </c>
      <c r="AP68" s="125">
        <f>BEL!AP68</f>
        <v>0</v>
      </c>
      <c r="AQ68" s="125">
        <f>BEL!AQ68</f>
        <v>0</v>
      </c>
      <c r="AR68" s="125">
        <f>BEL!AR68</f>
        <v>0</v>
      </c>
      <c r="AS68" s="125">
        <f>BEL!AS68</f>
        <v>0</v>
      </c>
      <c r="AT68" s="125">
        <f>BEL!AT68</f>
        <v>0</v>
      </c>
      <c r="AU68" s="127">
        <f>BEL!AU68</f>
        <v>0</v>
      </c>
      <c r="AV68" s="127">
        <f>BEL!AV68</f>
        <v>0</v>
      </c>
      <c r="AW68" s="127">
        <f>BEL!AW68</f>
        <v>0</v>
      </c>
      <c r="AX68" s="127">
        <f t="shared" si="92"/>
        <v>0</v>
      </c>
      <c r="AY68" s="127">
        <f t="shared" si="41"/>
        <v>0</v>
      </c>
      <c r="AZ68" s="127">
        <f t="shared" si="93"/>
        <v>0</v>
      </c>
      <c r="BA68" s="127">
        <f t="shared" si="94"/>
        <v>0</v>
      </c>
      <c r="BB68" s="127">
        <f t="shared" si="95"/>
        <v>0</v>
      </c>
      <c r="BC68" s="127">
        <f t="shared" si="96"/>
        <v>0</v>
      </c>
      <c r="BD68" s="127">
        <f t="shared" si="97"/>
        <v>0</v>
      </c>
      <c r="BE68" s="127">
        <f t="shared" si="98"/>
        <v>0</v>
      </c>
      <c r="BF68" s="127">
        <f t="shared" si="99"/>
        <v>0</v>
      </c>
      <c r="BG68" s="127">
        <f t="shared" si="100"/>
        <v>0</v>
      </c>
      <c r="BH68" s="127">
        <f t="shared" si="101"/>
        <v>0</v>
      </c>
      <c r="BI68" s="127">
        <f t="shared" si="42"/>
        <v>0</v>
      </c>
      <c r="BJ68" s="189">
        <f t="shared" si="64"/>
        <v>0</v>
      </c>
      <c r="BK68" s="189">
        <f t="shared" si="65"/>
        <v>0</v>
      </c>
      <c r="BL68" s="192">
        <f t="shared" si="66"/>
        <v>0</v>
      </c>
      <c r="BM68" s="192">
        <f t="shared" si="67"/>
        <v>0</v>
      </c>
      <c r="BN68" s="192">
        <f t="shared" si="68"/>
        <v>0</v>
      </c>
      <c r="BO68" s="192">
        <f t="shared" si="69"/>
        <v>0</v>
      </c>
      <c r="BP68" s="192">
        <f t="shared" si="70"/>
        <v>0</v>
      </c>
      <c r="BQ68" s="193">
        <f t="shared" si="46"/>
        <v>0</v>
      </c>
      <c r="BR68" s="193">
        <f t="shared" si="71"/>
        <v>0</v>
      </c>
      <c r="BS68" s="188">
        <f t="shared" si="48"/>
        <v>0</v>
      </c>
      <c r="BT68" s="188">
        <f t="shared" si="49"/>
        <v>0</v>
      </c>
      <c r="BU68" s="188">
        <f t="shared" si="50"/>
        <v>0</v>
      </c>
      <c r="BV68" s="188">
        <f t="shared" si="51"/>
        <v>0</v>
      </c>
      <c r="BW68" s="188">
        <f t="shared" si="52"/>
        <v>0</v>
      </c>
      <c r="BX68" s="188">
        <f t="shared" si="53"/>
        <v>0</v>
      </c>
      <c r="BY68" s="188">
        <f t="shared" si="54"/>
        <v>0</v>
      </c>
      <c r="BZ68" s="188">
        <f t="shared" si="55"/>
        <v>0</v>
      </c>
      <c r="CA68" s="188">
        <f t="shared" si="56"/>
        <v>0</v>
      </c>
      <c r="CB68" s="149">
        <f t="shared" si="57"/>
        <v>0</v>
      </c>
      <c r="CC68" s="149">
        <f>CB68-BEL!CB68</f>
        <v>0</v>
      </c>
      <c r="CD68" s="189">
        <f>IF(AND(C68=0,C69=0),0,CB68/W68) - BEL!CC68</f>
        <v>0</v>
      </c>
      <c r="CF68" s="195">
        <f t="shared" si="72"/>
        <v>0</v>
      </c>
      <c r="CG68" s="127">
        <f t="shared" si="73"/>
        <v>0</v>
      </c>
      <c r="CH68" s="128">
        <f>'DATA INPUT - DETAIL'!AH59</f>
        <v>0</v>
      </c>
      <c r="CI68" s="125">
        <f t="shared" si="74"/>
        <v>0</v>
      </c>
      <c r="CJ68" s="199">
        <f t="shared" si="75"/>
        <v>0</v>
      </c>
      <c r="CL68" s="189">
        <f t="shared" si="76"/>
        <v>0</v>
      </c>
      <c r="CM68" s="149">
        <f t="shared" si="58"/>
        <v>0</v>
      </c>
      <c r="CN68" s="128">
        <f>'DATA INPUT - DETAIL'!AH59</f>
        <v>0</v>
      </c>
      <c r="CO68" s="149">
        <f t="shared" si="59"/>
        <v>0</v>
      </c>
      <c r="CP68" s="149">
        <f t="shared" si="60"/>
        <v>0</v>
      </c>
      <c r="CR68" s="126">
        <f t="shared" si="77"/>
        <v>56</v>
      </c>
      <c r="CS68" s="189">
        <f t="shared" si="78"/>
        <v>0</v>
      </c>
      <c r="CT68" s="200">
        <f>CS68/(BEL!CE68+BEL!CA68-BEL!BU68+'RA CSM'!CF68)</f>
        <v>0</v>
      </c>
      <c r="CU68" s="149">
        <f>$CT68*BEL!CH68</f>
        <v>0</v>
      </c>
      <c r="CV68" s="149">
        <f>$CT68*BEL!CI68</f>
        <v>0</v>
      </c>
      <c r="CW68" s="149">
        <f>$CT68*BEL!CJ68</f>
        <v>0</v>
      </c>
      <c r="CX68" s="149">
        <f>$CT68*BEL!CK68</f>
        <v>0</v>
      </c>
      <c r="CY68" s="149">
        <f t="shared" si="61"/>
        <v>0</v>
      </c>
      <c r="CZ68" s="149">
        <f>$CT68*(BEL!CL68+'RA CSM'!CG68)</f>
        <v>0</v>
      </c>
      <c r="DA68" s="149">
        <f t="shared" si="62"/>
        <v>0</v>
      </c>
    </row>
    <row r="69" spans="2:105" x14ac:dyDescent="0.2">
      <c r="B69" s="130">
        <f>BEL!B69</f>
        <v>0</v>
      </c>
      <c r="C69" s="130">
        <f>BEL!C69</f>
        <v>0</v>
      </c>
      <c r="D69" s="190">
        <f>BEL!D69</f>
        <v>0</v>
      </c>
      <c r="E69" s="190">
        <f>BEL!E69</f>
        <v>0</v>
      </c>
      <c r="F69" s="190">
        <f>BEL!F69</f>
        <v>0</v>
      </c>
      <c r="G69" s="190">
        <f>BEL!G69*(1+$V$5)</f>
        <v>0</v>
      </c>
      <c r="H69" s="190">
        <f>BEL!H69*(1+$V$5)</f>
        <v>0</v>
      </c>
      <c r="I69" s="179">
        <f t="shared" si="2"/>
        <v>0</v>
      </c>
      <c r="J69" s="130">
        <f>BEL!J69</f>
        <v>0</v>
      </c>
      <c r="K69" s="130">
        <f>BEL!K69</f>
        <v>0</v>
      </c>
      <c r="L69" s="130">
        <f>BEL!L69</f>
        <v>0</v>
      </c>
      <c r="M69" s="185">
        <f t="shared" si="79"/>
        <v>0</v>
      </c>
      <c r="N69" s="185">
        <f t="shared" si="80"/>
        <v>0</v>
      </c>
      <c r="O69" s="185">
        <f t="shared" si="81"/>
        <v>0</v>
      </c>
      <c r="P69" s="185">
        <f t="shared" si="82"/>
        <v>0</v>
      </c>
      <c r="Q69" s="185">
        <f t="shared" si="83"/>
        <v>0</v>
      </c>
      <c r="R69" s="185">
        <f t="shared" si="84"/>
        <v>0</v>
      </c>
      <c r="S69" s="185">
        <f t="shared" si="85"/>
        <v>0</v>
      </c>
      <c r="T69" s="185">
        <f t="shared" si="86"/>
        <v>0</v>
      </c>
      <c r="U69" s="196">
        <f>(C69&gt;0)*(C69&lt;$E$5)*VLOOKUP(MPP,ASUMSI!$BN$77:$CR$108,B69+1)*(1+$V$4)</f>
        <v>0</v>
      </c>
      <c r="V69" s="185">
        <f t="shared" si="11"/>
        <v>0</v>
      </c>
      <c r="W69" s="185">
        <f t="shared" si="63"/>
        <v>0</v>
      </c>
      <c r="X69" s="185">
        <f t="shared" si="32"/>
        <v>0</v>
      </c>
      <c r="Y69" s="185">
        <f t="shared" si="33"/>
        <v>0</v>
      </c>
      <c r="Z69" s="185">
        <f t="shared" si="34"/>
        <v>0</v>
      </c>
      <c r="AA69" s="197">
        <f t="shared" si="35"/>
        <v>0</v>
      </c>
      <c r="AB69" s="185">
        <f t="shared" si="87"/>
        <v>0</v>
      </c>
      <c r="AC69" s="185">
        <f t="shared" si="87"/>
        <v>0</v>
      </c>
      <c r="AD69" s="185">
        <f t="shared" si="87"/>
        <v>0</v>
      </c>
      <c r="AE69" s="185">
        <f t="shared" si="88"/>
        <v>0</v>
      </c>
      <c r="AF69" s="185">
        <f t="shared" si="89"/>
        <v>0</v>
      </c>
      <c r="AG69" s="185">
        <f t="shared" si="90"/>
        <v>0</v>
      </c>
      <c r="AH69" s="185">
        <f t="shared" si="91"/>
        <v>0</v>
      </c>
      <c r="AI69" s="125">
        <f>BEL!AI69</f>
        <v>0</v>
      </c>
      <c r="AJ69" s="125">
        <f>BEL!AJ69</f>
        <v>0</v>
      </c>
      <c r="AK69" s="125">
        <f>BEL!AK69</f>
        <v>0</v>
      </c>
      <c r="AL69" s="125">
        <f>BEL!AL69</f>
        <v>0</v>
      </c>
      <c r="AM69" s="125">
        <f>BEL!AM69</f>
        <v>0</v>
      </c>
      <c r="AN69" s="125">
        <f>BEL!AN69</f>
        <v>0</v>
      </c>
      <c r="AO69" s="198">
        <f t="shared" si="13"/>
        <v>0</v>
      </c>
      <c r="AP69" s="125">
        <f>BEL!AP69</f>
        <v>0</v>
      </c>
      <c r="AQ69" s="125">
        <f>BEL!AQ69</f>
        <v>0</v>
      </c>
      <c r="AR69" s="125">
        <f>BEL!AR69</f>
        <v>0</v>
      </c>
      <c r="AS69" s="125">
        <f>BEL!AS69</f>
        <v>0</v>
      </c>
      <c r="AT69" s="125">
        <f>BEL!AT69</f>
        <v>0</v>
      </c>
      <c r="AU69" s="127">
        <f>BEL!AU69</f>
        <v>0</v>
      </c>
      <c r="AV69" s="127">
        <f>BEL!AV69</f>
        <v>0</v>
      </c>
      <c r="AW69" s="127">
        <f>BEL!AW69</f>
        <v>0</v>
      </c>
      <c r="AX69" s="127">
        <f t="shared" si="92"/>
        <v>0</v>
      </c>
      <c r="AY69" s="127">
        <f t="shared" si="41"/>
        <v>0</v>
      </c>
      <c r="AZ69" s="127">
        <f t="shared" si="93"/>
        <v>0</v>
      </c>
      <c r="BA69" s="127">
        <f t="shared" si="94"/>
        <v>0</v>
      </c>
      <c r="BB69" s="127">
        <f t="shared" si="95"/>
        <v>0</v>
      </c>
      <c r="BC69" s="127">
        <f t="shared" si="96"/>
        <v>0</v>
      </c>
      <c r="BD69" s="127">
        <f t="shared" si="97"/>
        <v>0</v>
      </c>
      <c r="BE69" s="127">
        <f t="shared" si="98"/>
        <v>0</v>
      </c>
      <c r="BF69" s="127">
        <f t="shared" si="99"/>
        <v>0</v>
      </c>
      <c r="BG69" s="127">
        <f t="shared" si="100"/>
        <v>0</v>
      </c>
      <c r="BH69" s="127">
        <f t="shared" si="101"/>
        <v>0</v>
      </c>
      <c r="BI69" s="127">
        <f t="shared" si="42"/>
        <v>0</v>
      </c>
      <c r="BJ69" s="189">
        <f t="shared" si="64"/>
        <v>0</v>
      </c>
      <c r="BK69" s="189">
        <f t="shared" si="65"/>
        <v>0</v>
      </c>
      <c r="BL69" s="192">
        <f t="shared" si="66"/>
        <v>0</v>
      </c>
      <c r="BM69" s="192">
        <f t="shared" si="67"/>
        <v>0</v>
      </c>
      <c r="BN69" s="192">
        <f t="shared" si="68"/>
        <v>0</v>
      </c>
      <c r="BO69" s="192">
        <f t="shared" si="69"/>
        <v>0</v>
      </c>
      <c r="BP69" s="192">
        <f t="shared" si="70"/>
        <v>0</v>
      </c>
      <c r="BQ69" s="193">
        <f t="shared" si="46"/>
        <v>0</v>
      </c>
      <c r="BR69" s="193">
        <f t="shared" si="71"/>
        <v>0</v>
      </c>
      <c r="BS69" s="188">
        <f t="shared" si="48"/>
        <v>0</v>
      </c>
      <c r="BT69" s="188">
        <f t="shared" si="49"/>
        <v>0</v>
      </c>
      <c r="BU69" s="188">
        <f t="shared" si="50"/>
        <v>0</v>
      </c>
      <c r="BV69" s="188">
        <f t="shared" si="51"/>
        <v>0</v>
      </c>
      <c r="BW69" s="188">
        <f t="shared" si="52"/>
        <v>0</v>
      </c>
      <c r="BX69" s="188">
        <f t="shared" si="53"/>
        <v>0</v>
      </c>
      <c r="BY69" s="188">
        <f t="shared" si="54"/>
        <v>0</v>
      </c>
      <c r="BZ69" s="188">
        <f t="shared" si="55"/>
        <v>0</v>
      </c>
      <c r="CA69" s="188">
        <f t="shared" si="56"/>
        <v>0</v>
      </c>
      <c r="CB69" s="149">
        <f t="shared" si="57"/>
        <v>0</v>
      </c>
      <c r="CC69" s="149">
        <f>CB69-BEL!CB69</f>
        <v>0</v>
      </c>
      <c r="CD69" s="189">
        <f>IF(AND(C69=0,C70=0),0,CB69/W69) - BEL!CC69</f>
        <v>0</v>
      </c>
      <c r="CF69" s="195">
        <f t="shared" si="72"/>
        <v>0</v>
      </c>
      <c r="CG69" s="127">
        <f t="shared" si="73"/>
        <v>0</v>
      </c>
      <c r="CH69" s="128">
        <f>'DATA INPUT - DETAIL'!AH60</f>
        <v>0</v>
      </c>
      <c r="CI69" s="125">
        <f t="shared" si="74"/>
        <v>0</v>
      </c>
      <c r="CJ69" s="199">
        <f t="shared" si="75"/>
        <v>0</v>
      </c>
      <c r="CL69" s="189">
        <f t="shared" si="76"/>
        <v>0</v>
      </c>
      <c r="CM69" s="149">
        <f t="shared" si="58"/>
        <v>0</v>
      </c>
      <c r="CN69" s="128">
        <f>'DATA INPUT - DETAIL'!AH60</f>
        <v>0</v>
      </c>
      <c r="CO69" s="149">
        <f t="shared" si="59"/>
        <v>0</v>
      </c>
      <c r="CP69" s="149">
        <f t="shared" si="60"/>
        <v>0</v>
      </c>
      <c r="CR69" s="126">
        <f t="shared" si="77"/>
        <v>57</v>
      </c>
      <c r="CS69" s="189">
        <f t="shared" si="78"/>
        <v>0</v>
      </c>
      <c r="CT69" s="200">
        <f>CS69/(BEL!CE69+BEL!CA69-BEL!BU69+'RA CSM'!CF69)</f>
        <v>0</v>
      </c>
      <c r="CU69" s="149">
        <f>$CT69*BEL!CH69</f>
        <v>0</v>
      </c>
      <c r="CV69" s="149">
        <f>$CT69*BEL!CI69</f>
        <v>0</v>
      </c>
      <c r="CW69" s="149">
        <f>$CT69*BEL!CJ69</f>
        <v>0</v>
      </c>
      <c r="CX69" s="149">
        <f>$CT69*BEL!CK69</f>
        <v>0</v>
      </c>
      <c r="CY69" s="149">
        <f t="shared" si="61"/>
        <v>0</v>
      </c>
      <c r="CZ69" s="149">
        <f>$CT69*(BEL!CL69+'RA CSM'!CG69)</f>
        <v>0</v>
      </c>
      <c r="DA69" s="149">
        <f t="shared" si="62"/>
        <v>0</v>
      </c>
    </row>
    <row r="70" spans="2:105" x14ac:dyDescent="0.2">
      <c r="B70" s="130">
        <f>BEL!B70</f>
        <v>0</v>
      </c>
      <c r="C70" s="130">
        <f>BEL!C70</f>
        <v>0</v>
      </c>
      <c r="D70" s="190">
        <f>BEL!D70</f>
        <v>0</v>
      </c>
      <c r="E70" s="190">
        <f>BEL!E70</f>
        <v>0</v>
      </c>
      <c r="F70" s="190">
        <f>BEL!F70</f>
        <v>0</v>
      </c>
      <c r="G70" s="190">
        <f>BEL!G70*(1+$V$5)</f>
        <v>0</v>
      </c>
      <c r="H70" s="190">
        <f>BEL!H70*(1+$V$5)</f>
        <v>0</v>
      </c>
      <c r="I70" s="179">
        <f t="shared" si="2"/>
        <v>0</v>
      </c>
      <c r="J70" s="130">
        <f>BEL!J70</f>
        <v>0</v>
      </c>
      <c r="K70" s="130">
        <f>BEL!K70</f>
        <v>0</v>
      </c>
      <c r="L70" s="130">
        <f>BEL!L70</f>
        <v>0</v>
      </c>
      <c r="M70" s="185">
        <f t="shared" si="79"/>
        <v>0</v>
      </c>
      <c r="N70" s="185">
        <f t="shared" si="80"/>
        <v>0</v>
      </c>
      <c r="O70" s="185">
        <f t="shared" si="81"/>
        <v>0</v>
      </c>
      <c r="P70" s="185">
        <f t="shared" si="82"/>
        <v>0</v>
      </c>
      <c r="Q70" s="185">
        <f t="shared" si="83"/>
        <v>0</v>
      </c>
      <c r="R70" s="185">
        <f t="shared" si="84"/>
        <v>0</v>
      </c>
      <c r="S70" s="185">
        <f t="shared" si="85"/>
        <v>0</v>
      </c>
      <c r="T70" s="185">
        <f t="shared" si="86"/>
        <v>0</v>
      </c>
      <c r="U70" s="196">
        <f>(C70&gt;0)*(C70&lt;$E$5)*VLOOKUP(MPP,ASUMSI!$BN$77:$CR$108,B70+1)*(1+$V$4)</f>
        <v>0</v>
      </c>
      <c r="V70" s="185">
        <f t="shared" si="11"/>
        <v>0</v>
      </c>
      <c r="W70" s="185">
        <f t="shared" si="63"/>
        <v>0</v>
      </c>
      <c r="X70" s="185">
        <f t="shared" si="32"/>
        <v>0</v>
      </c>
      <c r="Y70" s="185">
        <f t="shared" si="33"/>
        <v>0</v>
      </c>
      <c r="Z70" s="185">
        <f t="shared" si="34"/>
        <v>0</v>
      </c>
      <c r="AA70" s="197">
        <f t="shared" si="35"/>
        <v>0</v>
      </c>
      <c r="AB70" s="185">
        <f t="shared" si="87"/>
        <v>0</v>
      </c>
      <c r="AC70" s="185">
        <f t="shared" si="87"/>
        <v>0</v>
      </c>
      <c r="AD70" s="185">
        <f t="shared" si="87"/>
        <v>0</v>
      </c>
      <c r="AE70" s="185">
        <f t="shared" si="88"/>
        <v>0</v>
      </c>
      <c r="AF70" s="185">
        <f t="shared" si="89"/>
        <v>0</v>
      </c>
      <c r="AG70" s="185">
        <f t="shared" si="90"/>
        <v>0</v>
      </c>
      <c r="AH70" s="185">
        <f t="shared" si="91"/>
        <v>0</v>
      </c>
      <c r="AI70" s="125">
        <f>BEL!AI70</f>
        <v>0</v>
      </c>
      <c r="AJ70" s="125">
        <f>BEL!AJ70</f>
        <v>0</v>
      </c>
      <c r="AK70" s="125">
        <f>BEL!AK70</f>
        <v>0</v>
      </c>
      <c r="AL70" s="125">
        <f>BEL!AL70</f>
        <v>0</v>
      </c>
      <c r="AM70" s="125">
        <f>BEL!AM70</f>
        <v>0</v>
      </c>
      <c r="AN70" s="125">
        <f>BEL!AN70</f>
        <v>0</v>
      </c>
      <c r="AO70" s="198">
        <f t="shared" si="13"/>
        <v>0</v>
      </c>
      <c r="AP70" s="125">
        <f>BEL!AP70</f>
        <v>0</v>
      </c>
      <c r="AQ70" s="125">
        <f>BEL!AQ70</f>
        <v>0</v>
      </c>
      <c r="AR70" s="125">
        <f>BEL!AR70</f>
        <v>0</v>
      </c>
      <c r="AS70" s="125">
        <f>BEL!AS70</f>
        <v>0</v>
      </c>
      <c r="AT70" s="125">
        <f>BEL!AT70</f>
        <v>0</v>
      </c>
      <c r="AU70" s="127">
        <f>BEL!AU70</f>
        <v>0</v>
      </c>
      <c r="AV70" s="127">
        <f>BEL!AV70</f>
        <v>0</v>
      </c>
      <c r="AW70" s="127">
        <f>BEL!AW70</f>
        <v>0</v>
      </c>
      <c r="AX70" s="127">
        <f t="shared" si="92"/>
        <v>0</v>
      </c>
      <c r="AY70" s="127">
        <f t="shared" si="41"/>
        <v>0</v>
      </c>
      <c r="AZ70" s="127">
        <f t="shared" si="93"/>
        <v>0</v>
      </c>
      <c r="BA70" s="127">
        <f t="shared" si="94"/>
        <v>0</v>
      </c>
      <c r="BB70" s="127">
        <f t="shared" si="95"/>
        <v>0</v>
      </c>
      <c r="BC70" s="127">
        <f t="shared" si="96"/>
        <v>0</v>
      </c>
      <c r="BD70" s="127">
        <f t="shared" si="97"/>
        <v>0</v>
      </c>
      <c r="BE70" s="127">
        <f t="shared" si="98"/>
        <v>0</v>
      </c>
      <c r="BF70" s="127">
        <f t="shared" si="99"/>
        <v>0</v>
      </c>
      <c r="BG70" s="127">
        <f t="shared" si="100"/>
        <v>0</v>
      </c>
      <c r="BH70" s="127">
        <f t="shared" si="101"/>
        <v>0</v>
      </c>
      <c r="BI70" s="127">
        <f t="shared" si="42"/>
        <v>0</v>
      </c>
      <c r="BJ70" s="189">
        <f t="shared" si="64"/>
        <v>0</v>
      </c>
      <c r="BK70" s="189">
        <f t="shared" si="65"/>
        <v>0</v>
      </c>
      <c r="BL70" s="192">
        <f t="shared" si="66"/>
        <v>0</v>
      </c>
      <c r="BM70" s="192">
        <f t="shared" si="67"/>
        <v>0</v>
      </c>
      <c r="BN70" s="192">
        <f t="shared" si="68"/>
        <v>0</v>
      </c>
      <c r="BO70" s="192">
        <f t="shared" si="69"/>
        <v>0</v>
      </c>
      <c r="BP70" s="192">
        <f t="shared" si="70"/>
        <v>0</v>
      </c>
      <c r="BQ70" s="193">
        <f t="shared" si="46"/>
        <v>0</v>
      </c>
      <c r="BR70" s="193">
        <f t="shared" si="71"/>
        <v>0</v>
      </c>
      <c r="BS70" s="188">
        <f t="shared" si="48"/>
        <v>0</v>
      </c>
      <c r="BT70" s="188">
        <f t="shared" si="49"/>
        <v>0</v>
      </c>
      <c r="BU70" s="188">
        <f t="shared" si="50"/>
        <v>0</v>
      </c>
      <c r="BV70" s="188">
        <f t="shared" si="51"/>
        <v>0</v>
      </c>
      <c r="BW70" s="188">
        <f t="shared" si="52"/>
        <v>0</v>
      </c>
      <c r="BX70" s="188">
        <f t="shared" si="53"/>
        <v>0</v>
      </c>
      <c r="BY70" s="188">
        <f t="shared" si="54"/>
        <v>0</v>
      </c>
      <c r="BZ70" s="188">
        <f t="shared" si="55"/>
        <v>0</v>
      </c>
      <c r="CA70" s="188">
        <f t="shared" si="56"/>
        <v>0</v>
      </c>
      <c r="CB70" s="149">
        <f t="shared" si="57"/>
        <v>0</v>
      </c>
      <c r="CC70" s="149">
        <f>CB70-BEL!CB70</f>
        <v>0</v>
      </c>
      <c r="CD70" s="189">
        <f>IF(AND(C70=0,C71=0),0,CB70/W70) - BEL!CC70</f>
        <v>0</v>
      </c>
      <c r="CF70" s="195">
        <f t="shared" si="72"/>
        <v>0</v>
      </c>
      <c r="CG70" s="127">
        <f t="shared" si="73"/>
        <v>0</v>
      </c>
      <c r="CH70" s="128">
        <f>'DATA INPUT - DETAIL'!AH61</f>
        <v>0</v>
      </c>
      <c r="CI70" s="125">
        <f t="shared" si="74"/>
        <v>0</v>
      </c>
      <c r="CJ70" s="199">
        <f t="shared" si="75"/>
        <v>0</v>
      </c>
      <c r="CL70" s="189">
        <f t="shared" si="76"/>
        <v>0</v>
      </c>
      <c r="CM70" s="149">
        <f t="shared" si="58"/>
        <v>0</v>
      </c>
      <c r="CN70" s="128">
        <f>'DATA INPUT - DETAIL'!AH61</f>
        <v>0</v>
      </c>
      <c r="CO70" s="149">
        <f t="shared" si="59"/>
        <v>0</v>
      </c>
      <c r="CP70" s="149">
        <f t="shared" si="60"/>
        <v>0</v>
      </c>
      <c r="CR70" s="126">
        <f t="shared" si="77"/>
        <v>58</v>
      </c>
      <c r="CS70" s="189">
        <f t="shared" si="78"/>
        <v>0</v>
      </c>
      <c r="CT70" s="200">
        <f>CS70/(BEL!CE70+BEL!CA70-BEL!BU70+'RA CSM'!CF70)</f>
        <v>0</v>
      </c>
      <c r="CU70" s="149">
        <f>$CT70*BEL!CH70</f>
        <v>0</v>
      </c>
      <c r="CV70" s="149">
        <f>$CT70*BEL!CI70</f>
        <v>0</v>
      </c>
      <c r="CW70" s="149">
        <f>$CT70*BEL!CJ70</f>
        <v>0</v>
      </c>
      <c r="CX70" s="149">
        <f>$CT70*BEL!CK70</f>
        <v>0</v>
      </c>
      <c r="CY70" s="149">
        <f t="shared" si="61"/>
        <v>0</v>
      </c>
      <c r="CZ70" s="149">
        <f>$CT70*(BEL!CL70+'RA CSM'!CG70)</f>
        <v>0</v>
      </c>
      <c r="DA70" s="149">
        <f t="shared" si="62"/>
        <v>0</v>
      </c>
    </row>
    <row r="71" spans="2:105" x14ac:dyDescent="0.2">
      <c r="B71" s="130">
        <f>BEL!B71</f>
        <v>0</v>
      </c>
      <c r="C71" s="130">
        <f>BEL!C71</f>
        <v>0</v>
      </c>
      <c r="D71" s="190">
        <f>BEL!D71</f>
        <v>0</v>
      </c>
      <c r="E71" s="190">
        <f>BEL!E71</f>
        <v>0</v>
      </c>
      <c r="F71" s="190">
        <f>BEL!F71</f>
        <v>0</v>
      </c>
      <c r="G71" s="190">
        <f>BEL!G71*(1+$V$5)</f>
        <v>0</v>
      </c>
      <c r="H71" s="190">
        <f>BEL!H71*(1+$V$5)</f>
        <v>0</v>
      </c>
      <c r="I71" s="179">
        <f t="shared" si="2"/>
        <v>0</v>
      </c>
      <c r="J71" s="130">
        <f>BEL!J71</f>
        <v>0</v>
      </c>
      <c r="K71" s="130">
        <f>BEL!K71</f>
        <v>0</v>
      </c>
      <c r="L71" s="130">
        <f>BEL!L71</f>
        <v>0</v>
      </c>
      <c r="M71" s="185">
        <f t="shared" si="79"/>
        <v>0</v>
      </c>
      <c r="N71" s="185">
        <f t="shared" si="80"/>
        <v>0</v>
      </c>
      <c r="O71" s="185">
        <f t="shared" si="81"/>
        <v>0</v>
      </c>
      <c r="P71" s="185">
        <f t="shared" si="82"/>
        <v>0</v>
      </c>
      <c r="Q71" s="185">
        <f t="shared" si="83"/>
        <v>0</v>
      </c>
      <c r="R71" s="185">
        <f t="shared" si="84"/>
        <v>0</v>
      </c>
      <c r="S71" s="185">
        <f t="shared" si="85"/>
        <v>0</v>
      </c>
      <c r="T71" s="185">
        <f t="shared" si="86"/>
        <v>0</v>
      </c>
      <c r="U71" s="196">
        <f>(C71&gt;0)*(C71&lt;$E$5)*VLOOKUP(MPP,ASUMSI!$BN$77:$CR$108,B71+1)*(1+$V$4)</f>
        <v>0</v>
      </c>
      <c r="V71" s="185">
        <f t="shared" si="11"/>
        <v>0</v>
      </c>
      <c r="W71" s="185">
        <f t="shared" si="63"/>
        <v>0</v>
      </c>
      <c r="X71" s="185">
        <f t="shared" si="32"/>
        <v>0</v>
      </c>
      <c r="Y71" s="185">
        <f t="shared" si="33"/>
        <v>0</v>
      </c>
      <c r="Z71" s="185">
        <f t="shared" si="34"/>
        <v>0</v>
      </c>
      <c r="AA71" s="197">
        <f t="shared" si="35"/>
        <v>0</v>
      </c>
      <c r="AB71" s="185">
        <f t="shared" si="87"/>
        <v>0</v>
      </c>
      <c r="AC71" s="185">
        <f t="shared" si="87"/>
        <v>0</v>
      </c>
      <c r="AD71" s="185">
        <f t="shared" si="87"/>
        <v>0</v>
      </c>
      <c r="AE71" s="185">
        <f t="shared" si="88"/>
        <v>0</v>
      </c>
      <c r="AF71" s="185">
        <f t="shared" si="89"/>
        <v>0</v>
      </c>
      <c r="AG71" s="185">
        <f t="shared" si="90"/>
        <v>0</v>
      </c>
      <c r="AH71" s="185">
        <f t="shared" si="91"/>
        <v>0</v>
      </c>
      <c r="AI71" s="125">
        <f>BEL!AI71</f>
        <v>0</v>
      </c>
      <c r="AJ71" s="125">
        <f>BEL!AJ71</f>
        <v>0</v>
      </c>
      <c r="AK71" s="125">
        <f>BEL!AK71</f>
        <v>0</v>
      </c>
      <c r="AL71" s="125">
        <f>BEL!AL71</f>
        <v>0</v>
      </c>
      <c r="AM71" s="125">
        <f>BEL!AM71</f>
        <v>0</v>
      </c>
      <c r="AN71" s="125">
        <f>BEL!AN71</f>
        <v>0</v>
      </c>
      <c r="AO71" s="198">
        <f t="shared" si="13"/>
        <v>0</v>
      </c>
      <c r="AP71" s="125">
        <f>BEL!AP71</f>
        <v>0</v>
      </c>
      <c r="AQ71" s="125">
        <f>BEL!AQ71</f>
        <v>0</v>
      </c>
      <c r="AR71" s="125">
        <f>BEL!AR71</f>
        <v>0</v>
      </c>
      <c r="AS71" s="125">
        <f>BEL!AS71</f>
        <v>0</v>
      </c>
      <c r="AT71" s="125">
        <f>BEL!AT71</f>
        <v>0</v>
      </c>
      <c r="AU71" s="127">
        <f>BEL!AU71</f>
        <v>0</v>
      </c>
      <c r="AV71" s="127">
        <f>BEL!AV71</f>
        <v>0</v>
      </c>
      <c r="AW71" s="127">
        <f>BEL!AW71</f>
        <v>0</v>
      </c>
      <c r="AX71" s="127">
        <f t="shared" si="92"/>
        <v>0</v>
      </c>
      <c r="AY71" s="127">
        <f t="shared" si="41"/>
        <v>0</v>
      </c>
      <c r="AZ71" s="127">
        <f t="shared" si="93"/>
        <v>0</v>
      </c>
      <c r="BA71" s="127">
        <f t="shared" si="94"/>
        <v>0</v>
      </c>
      <c r="BB71" s="127">
        <f t="shared" si="95"/>
        <v>0</v>
      </c>
      <c r="BC71" s="127">
        <f t="shared" si="96"/>
        <v>0</v>
      </c>
      <c r="BD71" s="127">
        <f t="shared" si="97"/>
        <v>0</v>
      </c>
      <c r="BE71" s="127">
        <f t="shared" si="98"/>
        <v>0</v>
      </c>
      <c r="BF71" s="127">
        <f t="shared" si="99"/>
        <v>0</v>
      </c>
      <c r="BG71" s="127">
        <f t="shared" si="100"/>
        <v>0</v>
      </c>
      <c r="BH71" s="127">
        <f t="shared" si="101"/>
        <v>0</v>
      </c>
      <c r="BI71" s="127">
        <f t="shared" si="42"/>
        <v>0</v>
      </c>
      <c r="BJ71" s="189">
        <f t="shared" si="64"/>
        <v>0</v>
      </c>
      <c r="BK71" s="189">
        <f t="shared" si="65"/>
        <v>0</v>
      </c>
      <c r="BL71" s="192">
        <f t="shared" si="66"/>
        <v>0</v>
      </c>
      <c r="BM71" s="192">
        <f t="shared" si="67"/>
        <v>0</v>
      </c>
      <c r="BN71" s="192">
        <f t="shared" si="68"/>
        <v>0</v>
      </c>
      <c r="BO71" s="192">
        <f t="shared" si="69"/>
        <v>0</v>
      </c>
      <c r="BP71" s="192">
        <f t="shared" si="70"/>
        <v>0</v>
      </c>
      <c r="BQ71" s="193">
        <f t="shared" si="46"/>
        <v>0</v>
      </c>
      <c r="BR71" s="193">
        <f t="shared" si="71"/>
        <v>0</v>
      </c>
      <c r="BS71" s="188">
        <f t="shared" si="48"/>
        <v>0</v>
      </c>
      <c r="BT71" s="188">
        <f t="shared" si="49"/>
        <v>0</v>
      </c>
      <c r="BU71" s="188">
        <f t="shared" si="50"/>
        <v>0</v>
      </c>
      <c r="BV71" s="188">
        <f t="shared" si="51"/>
        <v>0</v>
      </c>
      <c r="BW71" s="188">
        <f t="shared" si="52"/>
        <v>0</v>
      </c>
      <c r="BX71" s="188">
        <f t="shared" si="53"/>
        <v>0</v>
      </c>
      <c r="BY71" s="188">
        <f t="shared" si="54"/>
        <v>0</v>
      </c>
      <c r="BZ71" s="188">
        <f t="shared" si="55"/>
        <v>0</v>
      </c>
      <c r="CA71" s="188">
        <f t="shared" si="56"/>
        <v>0</v>
      </c>
      <c r="CB71" s="149">
        <f t="shared" si="57"/>
        <v>0</v>
      </c>
      <c r="CC71" s="149">
        <f>CB71-BEL!CB71</f>
        <v>0</v>
      </c>
      <c r="CD71" s="189">
        <f>IF(AND(C71=0,C72=0),0,CB71/W71) - BEL!CC71</f>
        <v>0</v>
      </c>
      <c r="CF71" s="195">
        <f t="shared" si="72"/>
        <v>0</v>
      </c>
      <c r="CG71" s="127">
        <f t="shared" si="73"/>
        <v>0</v>
      </c>
      <c r="CH71" s="128">
        <f>'DATA INPUT - DETAIL'!AH62</f>
        <v>0</v>
      </c>
      <c r="CI71" s="125">
        <f t="shared" si="74"/>
        <v>0</v>
      </c>
      <c r="CJ71" s="199">
        <f t="shared" si="75"/>
        <v>0</v>
      </c>
      <c r="CL71" s="189">
        <f t="shared" si="76"/>
        <v>0</v>
      </c>
      <c r="CM71" s="149">
        <f t="shared" si="58"/>
        <v>0</v>
      </c>
      <c r="CN71" s="128">
        <f>'DATA INPUT - DETAIL'!AH62</f>
        <v>0</v>
      </c>
      <c r="CO71" s="149">
        <f t="shared" si="59"/>
        <v>0</v>
      </c>
      <c r="CP71" s="149">
        <f t="shared" si="60"/>
        <v>0</v>
      </c>
      <c r="CR71" s="126">
        <f t="shared" si="77"/>
        <v>59</v>
      </c>
      <c r="CS71" s="189">
        <f t="shared" si="78"/>
        <v>0</v>
      </c>
      <c r="CT71" s="200">
        <f>CS71/(BEL!CE71+BEL!CA71-BEL!BU71+'RA CSM'!CF71)</f>
        <v>0</v>
      </c>
      <c r="CU71" s="149">
        <f>$CT71*BEL!CH71</f>
        <v>0</v>
      </c>
      <c r="CV71" s="149">
        <f>$CT71*BEL!CI71</f>
        <v>0</v>
      </c>
      <c r="CW71" s="149">
        <f>$CT71*BEL!CJ71</f>
        <v>0</v>
      </c>
      <c r="CX71" s="149">
        <f>$CT71*BEL!CK71</f>
        <v>0</v>
      </c>
      <c r="CY71" s="149">
        <f t="shared" si="61"/>
        <v>0</v>
      </c>
      <c r="CZ71" s="149">
        <f>$CT71*(BEL!CL71+'RA CSM'!CG71)</f>
        <v>0</v>
      </c>
      <c r="DA71" s="149">
        <f t="shared" si="62"/>
        <v>0</v>
      </c>
    </row>
    <row r="72" spans="2:105" x14ac:dyDescent="0.2">
      <c r="B72" s="130">
        <f>BEL!B72</f>
        <v>0</v>
      </c>
      <c r="C72" s="130">
        <f>BEL!C72</f>
        <v>0</v>
      </c>
      <c r="D72" s="190">
        <f>BEL!D72</f>
        <v>0</v>
      </c>
      <c r="E72" s="190">
        <f>BEL!E72</f>
        <v>0</v>
      </c>
      <c r="F72" s="190">
        <f>BEL!F72</f>
        <v>0</v>
      </c>
      <c r="G72" s="190">
        <f>BEL!G72*(1+$V$5)</f>
        <v>0</v>
      </c>
      <c r="H72" s="190">
        <f>BEL!H72*(1+$V$5)</f>
        <v>0</v>
      </c>
      <c r="I72" s="179">
        <f t="shared" si="2"/>
        <v>0</v>
      </c>
      <c r="J72" s="130">
        <f>BEL!J72</f>
        <v>0</v>
      </c>
      <c r="K72" s="130">
        <f>BEL!K72</f>
        <v>0</v>
      </c>
      <c r="L72" s="130">
        <f>BEL!L72</f>
        <v>0</v>
      </c>
      <c r="M72" s="185">
        <f t="shared" si="79"/>
        <v>0</v>
      </c>
      <c r="N72" s="185">
        <f t="shared" si="80"/>
        <v>0</v>
      </c>
      <c r="O72" s="185">
        <f t="shared" si="81"/>
        <v>0</v>
      </c>
      <c r="P72" s="185">
        <f t="shared" si="82"/>
        <v>0</v>
      </c>
      <c r="Q72" s="185">
        <f t="shared" si="83"/>
        <v>0</v>
      </c>
      <c r="R72" s="185">
        <f t="shared" si="84"/>
        <v>0</v>
      </c>
      <c r="S72" s="185">
        <f t="shared" si="85"/>
        <v>0</v>
      </c>
      <c r="T72" s="185">
        <f t="shared" si="86"/>
        <v>0</v>
      </c>
      <c r="U72" s="196">
        <f>(C72&gt;0)*(C72&lt;$E$5)*VLOOKUP(MPP,ASUMSI!$BN$77:$CR$108,B72+1)*(1+$V$4)</f>
        <v>0</v>
      </c>
      <c r="V72" s="185">
        <f t="shared" si="11"/>
        <v>0</v>
      </c>
      <c r="W72" s="185">
        <f t="shared" si="63"/>
        <v>0</v>
      </c>
      <c r="X72" s="185">
        <f t="shared" si="32"/>
        <v>0</v>
      </c>
      <c r="Y72" s="185">
        <f t="shared" si="33"/>
        <v>0</v>
      </c>
      <c r="Z72" s="185">
        <f t="shared" si="34"/>
        <v>0</v>
      </c>
      <c r="AA72" s="197">
        <f t="shared" si="35"/>
        <v>0</v>
      </c>
      <c r="AB72" s="185">
        <f t="shared" si="87"/>
        <v>0</v>
      </c>
      <c r="AC72" s="185">
        <f t="shared" si="87"/>
        <v>0</v>
      </c>
      <c r="AD72" s="185">
        <f t="shared" si="87"/>
        <v>0</v>
      </c>
      <c r="AE72" s="185">
        <f t="shared" si="88"/>
        <v>0</v>
      </c>
      <c r="AF72" s="185">
        <f t="shared" si="89"/>
        <v>0</v>
      </c>
      <c r="AG72" s="185">
        <f t="shared" si="90"/>
        <v>0</v>
      </c>
      <c r="AH72" s="185">
        <f t="shared" si="91"/>
        <v>0</v>
      </c>
      <c r="AI72" s="125">
        <f>BEL!AI72</f>
        <v>0</v>
      </c>
      <c r="AJ72" s="125">
        <f>BEL!AJ72</f>
        <v>0</v>
      </c>
      <c r="AK72" s="125">
        <f>BEL!AK72</f>
        <v>0</v>
      </c>
      <c r="AL72" s="125">
        <f>BEL!AL72</f>
        <v>0</v>
      </c>
      <c r="AM72" s="125">
        <f>BEL!AM72</f>
        <v>0</v>
      </c>
      <c r="AN72" s="125">
        <f>BEL!AN72</f>
        <v>0</v>
      </c>
      <c r="AO72" s="198">
        <f t="shared" si="13"/>
        <v>0</v>
      </c>
      <c r="AP72" s="125">
        <f>BEL!AP72</f>
        <v>0</v>
      </c>
      <c r="AQ72" s="125">
        <f>BEL!AQ72</f>
        <v>0</v>
      </c>
      <c r="AR72" s="125">
        <f>BEL!AR72</f>
        <v>0</v>
      </c>
      <c r="AS72" s="125">
        <f>BEL!AS72</f>
        <v>0</v>
      </c>
      <c r="AT72" s="125">
        <f>BEL!AT72</f>
        <v>0</v>
      </c>
      <c r="AU72" s="127">
        <f>BEL!AU72</f>
        <v>0</v>
      </c>
      <c r="AV72" s="127">
        <f>BEL!AV72</f>
        <v>0</v>
      </c>
      <c r="AW72" s="127">
        <f>BEL!AW72</f>
        <v>0</v>
      </c>
      <c r="AX72" s="127">
        <f t="shared" si="92"/>
        <v>0</v>
      </c>
      <c r="AY72" s="127">
        <f t="shared" si="41"/>
        <v>0</v>
      </c>
      <c r="AZ72" s="127">
        <f t="shared" si="93"/>
        <v>0</v>
      </c>
      <c r="BA72" s="127">
        <f t="shared" si="94"/>
        <v>0</v>
      </c>
      <c r="BB72" s="127">
        <f t="shared" si="95"/>
        <v>0</v>
      </c>
      <c r="BC72" s="127">
        <f t="shared" si="96"/>
        <v>0</v>
      </c>
      <c r="BD72" s="127">
        <f t="shared" si="97"/>
        <v>0</v>
      </c>
      <c r="BE72" s="127">
        <f t="shared" si="98"/>
        <v>0</v>
      </c>
      <c r="BF72" s="127">
        <f t="shared" si="99"/>
        <v>0</v>
      </c>
      <c r="BG72" s="127">
        <f t="shared" si="100"/>
        <v>0</v>
      </c>
      <c r="BH72" s="127">
        <f t="shared" si="101"/>
        <v>0</v>
      </c>
      <c r="BI72" s="127">
        <f t="shared" si="42"/>
        <v>0</v>
      </c>
      <c r="BJ72" s="189">
        <f t="shared" si="64"/>
        <v>0</v>
      </c>
      <c r="BK72" s="189">
        <f t="shared" si="65"/>
        <v>0</v>
      </c>
      <c r="BL72" s="192">
        <f t="shared" si="66"/>
        <v>0</v>
      </c>
      <c r="BM72" s="192">
        <f t="shared" si="67"/>
        <v>0</v>
      </c>
      <c r="BN72" s="192">
        <f t="shared" si="68"/>
        <v>0</v>
      </c>
      <c r="BO72" s="192">
        <f t="shared" si="69"/>
        <v>0</v>
      </c>
      <c r="BP72" s="192">
        <f t="shared" si="70"/>
        <v>0</v>
      </c>
      <c r="BQ72" s="193">
        <f t="shared" si="46"/>
        <v>0</v>
      </c>
      <c r="BR72" s="193">
        <f t="shared" si="71"/>
        <v>0</v>
      </c>
      <c r="BS72" s="188">
        <f t="shared" si="48"/>
        <v>0</v>
      </c>
      <c r="BT72" s="188">
        <f t="shared" si="49"/>
        <v>0</v>
      </c>
      <c r="BU72" s="188">
        <f t="shared" si="50"/>
        <v>0</v>
      </c>
      <c r="BV72" s="188">
        <f t="shared" si="51"/>
        <v>0</v>
      </c>
      <c r="BW72" s="188">
        <f t="shared" si="52"/>
        <v>0</v>
      </c>
      <c r="BX72" s="188">
        <f t="shared" si="53"/>
        <v>0</v>
      </c>
      <c r="BY72" s="188">
        <f t="shared" si="54"/>
        <v>0</v>
      </c>
      <c r="BZ72" s="188">
        <f t="shared" si="55"/>
        <v>0</v>
      </c>
      <c r="CA72" s="188">
        <f t="shared" si="56"/>
        <v>0</v>
      </c>
      <c r="CB72" s="149">
        <f t="shared" si="57"/>
        <v>0</v>
      </c>
      <c r="CC72" s="149">
        <f>CB72-BEL!CB72</f>
        <v>0</v>
      </c>
      <c r="CD72" s="189">
        <f>IF(AND(C72=0,C73=0),0,CB72/W72) - BEL!CC72</f>
        <v>0</v>
      </c>
      <c r="CF72" s="195">
        <f t="shared" si="72"/>
        <v>0</v>
      </c>
      <c r="CG72" s="127">
        <f t="shared" si="73"/>
        <v>0</v>
      </c>
      <c r="CH72" s="128">
        <f>'DATA INPUT - DETAIL'!AH63</f>
        <v>0</v>
      </c>
      <c r="CI72" s="125">
        <f t="shared" si="74"/>
        <v>0</v>
      </c>
      <c r="CJ72" s="199">
        <f t="shared" si="75"/>
        <v>0</v>
      </c>
      <c r="CL72" s="189">
        <f t="shared" si="76"/>
        <v>0</v>
      </c>
      <c r="CM72" s="149">
        <f t="shared" si="58"/>
        <v>0</v>
      </c>
      <c r="CN72" s="128">
        <f>'DATA INPUT - DETAIL'!AH63</f>
        <v>0</v>
      </c>
      <c r="CO72" s="149">
        <f t="shared" si="59"/>
        <v>0</v>
      </c>
      <c r="CP72" s="149">
        <f t="shared" si="60"/>
        <v>0</v>
      </c>
      <c r="CR72" s="126">
        <f t="shared" si="77"/>
        <v>60</v>
      </c>
      <c r="CS72" s="189">
        <f t="shared" si="78"/>
        <v>0</v>
      </c>
      <c r="CT72" s="200">
        <f>CS72/(BEL!CE72+BEL!CA72-BEL!BU72+'RA CSM'!CF72)</f>
        <v>0</v>
      </c>
      <c r="CU72" s="149">
        <f>$CT72*BEL!CH72</f>
        <v>0</v>
      </c>
      <c r="CV72" s="149">
        <f>$CT72*BEL!CI72</f>
        <v>0</v>
      </c>
      <c r="CW72" s="149">
        <f>$CT72*BEL!CJ72</f>
        <v>0</v>
      </c>
      <c r="CX72" s="149">
        <f>$CT72*BEL!CK72</f>
        <v>0</v>
      </c>
      <c r="CY72" s="149">
        <f t="shared" si="61"/>
        <v>0</v>
      </c>
      <c r="CZ72" s="149">
        <f>$CT72*(BEL!CL72+'RA CSM'!CG72)</f>
        <v>0</v>
      </c>
      <c r="DA72" s="149">
        <f t="shared" si="62"/>
        <v>0</v>
      </c>
    </row>
    <row r="73" spans="2:105" x14ac:dyDescent="0.2">
      <c r="B73" s="130">
        <f>BEL!B73</f>
        <v>0</v>
      </c>
      <c r="C73" s="130">
        <f>BEL!C73</f>
        <v>0</v>
      </c>
      <c r="D73" s="190">
        <f>BEL!D73</f>
        <v>0</v>
      </c>
      <c r="E73" s="190">
        <f>BEL!E73</f>
        <v>0</v>
      </c>
      <c r="F73" s="190">
        <f>BEL!F73</f>
        <v>0</v>
      </c>
      <c r="G73" s="190">
        <f>BEL!G73*(1+$V$5)</f>
        <v>0</v>
      </c>
      <c r="H73" s="190">
        <f>BEL!H73*(1+$V$5)</f>
        <v>0</v>
      </c>
      <c r="I73" s="179">
        <f t="shared" ref="I73:I127" si="102">H73*(1+$M$5)^C73</f>
        <v>0</v>
      </c>
      <c r="J73" s="130">
        <f>BEL!J73</f>
        <v>0</v>
      </c>
      <c r="K73" s="130">
        <f>BEL!K73</f>
        <v>0</v>
      </c>
      <c r="L73" s="130">
        <f>BEL!L73</f>
        <v>0</v>
      </c>
      <c r="M73" s="185">
        <f t="shared" si="79"/>
        <v>0</v>
      </c>
      <c r="N73" s="185">
        <f t="shared" ref="N73:N127" si="103">IF($AJ$7=0,0,IF(AND(C73&lt;=$E$5-1,C73&lt;&gt;0), VLOOKUP(L73,Mortality,7,FALSE)*(1+$V$3), 0))</f>
        <v>0</v>
      </c>
      <c r="O73" s="185">
        <f t="shared" ref="O73:O127" si="104">IF($AK$7=0,0,IF(AND(C73&lt;=$E$5-1,C73&lt;&gt;0), VLOOKUP(L73,Mortality,9,FALSE)*(1+$V$3), 0))</f>
        <v>0</v>
      </c>
      <c r="P73" s="185">
        <f t="shared" ref="P73:P127" si="105">IF($AL$7=0,0,IF(AND(C73&lt;=$E$5-1,C73&lt;&gt;0), VLOOKUP(L73,Mortality,11,FALSE)*(1+$V$3), 0))</f>
        <v>0</v>
      </c>
      <c r="Q73" s="185">
        <f t="shared" ref="Q73:Q127" si="106">IF($AM$7=0,0,IF(AND(C73&lt;=$E$5-1,C73&lt;&gt;0), VLOOKUP(L73,Mortality,13,FALSE)*(1+$V$3), 0))</f>
        <v>0</v>
      </c>
      <c r="R73" s="185">
        <f t="shared" ref="R73:R127" si="107">IF($AP$7=0,0,IF(AND(C73&lt;=$E$5-1,C73&lt;&gt;0), VLOOKUP(L73,Mortality,15,FALSE)*(1+$V$3), 0))</f>
        <v>0</v>
      </c>
      <c r="S73" s="185">
        <f t="shared" ref="S73:S127" si="108">IF($AQ$7=0,0,IF(AND(C73&lt;=$E$5-1,C73&lt;&gt;0), VLOOKUP(L73,Mortality,17,FALSE)*(1+$V$3), 0))</f>
        <v>0</v>
      </c>
      <c r="T73" s="185">
        <f t="shared" ref="T73:T127" si="109">IF($AR$7=0,0,IF(AND(C73&lt;=$E$5-1,C73&lt;&gt;0), VLOOKUP(L73,Mortality,19,FALSE)*(1+$V$3), 0))</f>
        <v>0</v>
      </c>
      <c r="U73" s="196">
        <f>(C73&gt;0)*(C73&lt;$E$5)*VLOOKUP(MPP,ASUMSI!$BN$77:$CR$108,B73+1)*(1+$V$4)</f>
        <v>0</v>
      </c>
      <c r="V73" s="185">
        <f t="shared" ref="V73:V127" si="110">IF(C73=$E$5,1,0)</f>
        <v>0</v>
      </c>
      <c r="W73" s="185">
        <f t="shared" ref="W73:W127" si="111">AA72</f>
        <v>0</v>
      </c>
      <c r="X73" s="185">
        <f t="shared" ref="X73:X127" si="112">M73*$W73</f>
        <v>0</v>
      </c>
      <c r="Y73" s="185">
        <f t="shared" ref="Y73:Y127" si="113">U73*W73</f>
        <v>0</v>
      </c>
      <c r="Z73" s="185">
        <f t="shared" ref="Z73:Z127" si="114">V73*W73</f>
        <v>0</v>
      </c>
      <c r="AA73" s="197">
        <f t="shared" ref="AA73:AA127" si="115">IF(C73=0,0,W73-SUM(X73:Z73))</f>
        <v>0</v>
      </c>
      <c r="AB73" s="185">
        <f t="shared" ref="AB73:AD127" si="116">N73*$AA72</f>
        <v>0</v>
      </c>
      <c r="AC73" s="185">
        <f t="shared" si="116"/>
        <v>0</v>
      </c>
      <c r="AD73" s="185">
        <f t="shared" si="116"/>
        <v>0</v>
      </c>
      <c r="AE73" s="185">
        <f t="shared" ref="AE73:AE127" si="117">Q73*$AA72</f>
        <v>0</v>
      </c>
      <c r="AF73" s="185">
        <f t="shared" ref="AF73:AF127" si="118">R73*$AA72</f>
        <v>0</v>
      </c>
      <c r="AG73" s="185">
        <f t="shared" ref="AG73:AG127" si="119">S73*$AA72</f>
        <v>0</v>
      </c>
      <c r="AH73" s="185">
        <f t="shared" ref="AH73:AH127" si="120">T73*$AA72</f>
        <v>0</v>
      </c>
      <c r="AI73" s="125">
        <f>BEL!AI73</f>
        <v>0</v>
      </c>
      <c r="AJ73" s="125">
        <f>BEL!AJ73</f>
        <v>0</v>
      </c>
      <c r="AK73" s="125">
        <f>BEL!AK73</f>
        <v>0</v>
      </c>
      <c r="AL73" s="125">
        <f>BEL!AL73</f>
        <v>0</v>
      </c>
      <c r="AM73" s="125">
        <f>BEL!AM73</f>
        <v>0</v>
      </c>
      <c r="AN73" s="125">
        <f>BEL!AN73</f>
        <v>0</v>
      </c>
      <c r="AO73" s="198">
        <f t="shared" ref="AO73:AO127" si="121">AN73+AO74/(1+$BS$5)</f>
        <v>0</v>
      </c>
      <c r="AP73" s="125">
        <f>BEL!AP73</f>
        <v>0</v>
      </c>
      <c r="AQ73" s="125">
        <f>BEL!AQ73</f>
        <v>0</v>
      </c>
      <c r="AR73" s="125">
        <f>BEL!AR73</f>
        <v>0</v>
      </c>
      <c r="AS73" s="125">
        <f>BEL!AS73</f>
        <v>0</v>
      </c>
      <c r="AT73" s="125">
        <f>BEL!AT73</f>
        <v>0</v>
      </c>
      <c r="AU73" s="127">
        <f>BEL!AU73</f>
        <v>0</v>
      </c>
      <c r="AV73" s="127">
        <f>BEL!AV73</f>
        <v>0</v>
      </c>
      <c r="AW73" s="127">
        <f>BEL!AW73</f>
        <v>0</v>
      </c>
      <c r="AX73" s="127">
        <f t="shared" ref="AX73:AX127" si="122">IF(AI73=0,0,(AI73+AT73)*X73)</f>
        <v>0</v>
      </c>
      <c r="AY73" s="127">
        <f t="shared" ref="AY73:AY127" si="123">IF(AJ73=0,0,AJ73*X73)</f>
        <v>0</v>
      </c>
      <c r="AZ73" s="127">
        <f t="shared" ref="AZ73:AZ127" si="124">AK73*AC73</f>
        <v>0</v>
      </c>
      <c r="BA73" s="127">
        <f t="shared" ref="BA73:BA127" si="125">AL73*AD73</f>
        <v>0</v>
      </c>
      <c r="BB73" s="127">
        <f t="shared" ref="BB73:BB127" si="126">AM73*AE73</f>
        <v>0</v>
      </c>
      <c r="BC73" s="127">
        <f t="shared" ref="BC73:BC127" si="127">AO73*X73</f>
        <v>0</v>
      </c>
      <c r="BD73" s="127">
        <f t="shared" ref="BD73:BD127" si="128">AP73*AF73</f>
        <v>0</v>
      </c>
      <c r="BE73" s="127">
        <f t="shared" ref="BE73:BE127" si="129">AQ73*AG73</f>
        <v>0</v>
      </c>
      <c r="BF73" s="127">
        <f t="shared" ref="BF73:BF127" si="130">AR73*AH73</f>
        <v>0</v>
      </c>
      <c r="BG73" s="127">
        <f t="shared" ref="BG73:BG127" si="131">(AU73+AT73)*Y73</f>
        <v>0</v>
      </c>
      <c r="BH73" s="127">
        <f t="shared" ref="BH73:BH127" si="132">AV73*AA73</f>
        <v>0</v>
      </c>
      <c r="BI73" s="127">
        <f t="shared" ref="BI73:BI127" si="133">(AW73+AT73)*Z73</f>
        <v>0</v>
      </c>
      <c r="BJ73" s="189">
        <f t="shared" ref="BJ73:BJ127" si="134">SUM(AX73:BF73)+SUM(BH73:BI73)</f>
        <v>0</v>
      </c>
      <c r="BK73" s="189">
        <f t="shared" ref="BK73:BK127" si="135">BG73</f>
        <v>0</v>
      </c>
      <c r="BL73" s="192">
        <f t="shared" ref="BL73:BL127" si="136">E73*$W73</f>
        <v>0</v>
      </c>
      <c r="BM73" s="192">
        <f t="shared" ref="BM73:BM127" si="137">F73*$W73</f>
        <v>0</v>
      </c>
      <c r="BN73" s="192">
        <f t="shared" ref="BN73:BN127" si="138">G73*$W73</f>
        <v>0</v>
      </c>
      <c r="BO73" s="192">
        <f t="shared" ref="BO73:BO127" si="139">I73*$W73</f>
        <v>0</v>
      </c>
      <c r="BP73" s="192">
        <f t="shared" ref="BP73:BP127" si="140">SUM(BN73:BO73)</f>
        <v>0</v>
      </c>
      <c r="BQ73" s="193">
        <f t="shared" ref="BQ73:BQ127" si="141">(SUM(E73:G73)+I73)*$W73</f>
        <v>0</v>
      </c>
      <c r="BR73" s="193">
        <f t="shared" ref="BR73:BR127" si="142">D73*W73</f>
        <v>0</v>
      </c>
      <c r="BS73" s="188">
        <f t="shared" si="48"/>
        <v>0</v>
      </c>
      <c r="BT73" s="188">
        <f t="shared" si="49"/>
        <v>0</v>
      </c>
      <c r="BU73" s="188">
        <f t="shared" si="50"/>
        <v>0</v>
      </c>
      <c r="BV73" s="188">
        <f t="shared" si="51"/>
        <v>0</v>
      </c>
      <c r="BW73" s="188">
        <f t="shared" si="52"/>
        <v>0</v>
      </c>
      <c r="BX73" s="188">
        <f t="shared" si="53"/>
        <v>0</v>
      </c>
      <c r="BY73" s="188">
        <f t="shared" si="54"/>
        <v>0</v>
      </c>
      <c r="BZ73" s="188">
        <f t="shared" si="55"/>
        <v>0</v>
      </c>
      <c r="CA73" s="188">
        <f t="shared" si="56"/>
        <v>0</v>
      </c>
      <c r="CB73" s="149">
        <f t="shared" si="57"/>
        <v>0</v>
      </c>
      <c r="CC73" s="149">
        <f>CB73-BEL!CB73</f>
        <v>0</v>
      </c>
      <c r="CD73" s="189">
        <f>IF(AND(C73=0,C74=0),0,CB73/W73) - BEL!CC73</f>
        <v>0</v>
      </c>
      <c r="CF73" s="195">
        <f t="shared" ref="CF73:CF127" si="143">CJ72</f>
        <v>0</v>
      </c>
      <c r="CG73" s="127">
        <f t="shared" ref="CG73:CG127" si="144">CF73*$CG$8</f>
        <v>0</v>
      </c>
      <c r="CH73" s="128">
        <f>'DATA INPUT - DETAIL'!AH64</f>
        <v>0</v>
      </c>
      <c r="CI73" s="125">
        <f t="shared" ref="CI73:CI127" si="145">-(CF73+CG73)*CH73</f>
        <v>0</v>
      </c>
      <c r="CJ73" s="199">
        <f t="shared" ref="CJ73:CJ127" si="146">CF73+CG73+CI73</f>
        <v>0</v>
      </c>
      <c r="CL73" s="189">
        <f t="shared" ref="CL73:CL127" si="147">CP72</f>
        <v>0</v>
      </c>
      <c r="CM73" s="149">
        <f t="shared" ref="CM73:CM127" si="148">CL73*$CM$8</f>
        <v>0</v>
      </c>
      <c r="CN73" s="128">
        <f>'DATA INPUT - DETAIL'!AH64</f>
        <v>0</v>
      </c>
      <c r="CO73" s="149">
        <f t="shared" ref="CO73:CO127" si="149">-(CL73+CM73)*CN73</f>
        <v>0</v>
      </c>
      <c r="CP73" s="149">
        <f t="shared" si="60"/>
        <v>0</v>
      </c>
      <c r="CR73" s="126">
        <f t="shared" si="77"/>
        <v>61</v>
      </c>
      <c r="CS73" s="189">
        <f t="shared" si="78"/>
        <v>0</v>
      </c>
      <c r="CT73" s="200">
        <f>CS73/(BEL!CE73+BEL!CA73-BEL!BU73+'RA CSM'!CF73)</f>
        <v>0</v>
      </c>
      <c r="CU73" s="149">
        <f>$CT73*BEL!CH73</f>
        <v>0</v>
      </c>
      <c r="CV73" s="149">
        <f>$CT73*BEL!CI73</f>
        <v>0</v>
      </c>
      <c r="CW73" s="149">
        <f>$CT73*BEL!CJ73</f>
        <v>0</v>
      </c>
      <c r="CX73" s="149">
        <f>$CT73*BEL!CK73</f>
        <v>0</v>
      </c>
      <c r="CY73" s="149">
        <f t="shared" si="61"/>
        <v>0</v>
      </c>
      <c r="CZ73" s="149">
        <f>$CT73*(BEL!CL73+'RA CSM'!CG73)</f>
        <v>0</v>
      </c>
      <c r="DA73" s="149">
        <f t="shared" si="62"/>
        <v>0</v>
      </c>
    </row>
    <row r="74" spans="2:105" x14ac:dyDescent="0.2">
      <c r="B74" s="130">
        <f>BEL!B74</f>
        <v>0</v>
      </c>
      <c r="C74" s="130">
        <f>BEL!C74</f>
        <v>0</v>
      </c>
      <c r="D74" s="190">
        <f>BEL!D74</f>
        <v>0</v>
      </c>
      <c r="E74" s="190">
        <f>BEL!E74</f>
        <v>0</v>
      </c>
      <c r="F74" s="190">
        <f>BEL!F74</f>
        <v>0</v>
      </c>
      <c r="G74" s="190">
        <f>BEL!G74*(1+$V$5)</f>
        <v>0</v>
      </c>
      <c r="H74" s="190">
        <f>BEL!H74*(1+$V$5)</f>
        <v>0</v>
      </c>
      <c r="I74" s="179">
        <f t="shared" si="102"/>
        <v>0</v>
      </c>
      <c r="J74" s="130">
        <f>BEL!J74</f>
        <v>0</v>
      </c>
      <c r="K74" s="130">
        <f>BEL!K74</f>
        <v>0</v>
      </c>
      <c r="L74" s="130">
        <f>BEL!L74</f>
        <v>0</v>
      </c>
      <c r="M74" s="185">
        <f t="shared" si="79"/>
        <v>0</v>
      </c>
      <c r="N74" s="185">
        <f t="shared" si="103"/>
        <v>0</v>
      </c>
      <c r="O74" s="185">
        <f t="shared" si="104"/>
        <v>0</v>
      </c>
      <c r="P74" s="185">
        <f t="shared" si="105"/>
        <v>0</v>
      </c>
      <c r="Q74" s="185">
        <f t="shared" si="106"/>
        <v>0</v>
      </c>
      <c r="R74" s="185">
        <f t="shared" si="107"/>
        <v>0</v>
      </c>
      <c r="S74" s="185">
        <f t="shared" si="108"/>
        <v>0</v>
      </c>
      <c r="T74" s="185">
        <f t="shared" si="109"/>
        <v>0</v>
      </c>
      <c r="U74" s="196">
        <f>(C74&gt;0)*(C74&lt;$E$5)*VLOOKUP(MPP,ASUMSI!$BN$77:$CR$108,B74+1)*(1+$V$4)</f>
        <v>0</v>
      </c>
      <c r="V74" s="185">
        <f t="shared" si="110"/>
        <v>0</v>
      </c>
      <c r="W74" s="185">
        <f t="shared" si="111"/>
        <v>0</v>
      </c>
      <c r="X74" s="185">
        <f t="shared" si="112"/>
        <v>0</v>
      </c>
      <c r="Y74" s="185">
        <f t="shared" si="113"/>
        <v>0</v>
      </c>
      <c r="Z74" s="185">
        <f t="shared" si="114"/>
        <v>0</v>
      </c>
      <c r="AA74" s="197">
        <f t="shared" si="115"/>
        <v>0</v>
      </c>
      <c r="AB74" s="185">
        <f t="shared" si="116"/>
        <v>0</v>
      </c>
      <c r="AC74" s="185">
        <f t="shared" si="116"/>
        <v>0</v>
      </c>
      <c r="AD74" s="185">
        <f t="shared" si="116"/>
        <v>0</v>
      </c>
      <c r="AE74" s="185">
        <f t="shared" si="117"/>
        <v>0</v>
      </c>
      <c r="AF74" s="185">
        <f t="shared" si="118"/>
        <v>0</v>
      </c>
      <c r="AG74" s="185">
        <f t="shared" si="119"/>
        <v>0</v>
      </c>
      <c r="AH74" s="185">
        <f t="shared" si="120"/>
        <v>0</v>
      </c>
      <c r="AI74" s="125">
        <f>BEL!AI74</f>
        <v>0</v>
      </c>
      <c r="AJ74" s="125">
        <f>BEL!AJ74</f>
        <v>0</v>
      </c>
      <c r="AK74" s="125">
        <f>BEL!AK74</f>
        <v>0</v>
      </c>
      <c r="AL74" s="125">
        <f>BEL!AL74</f>
        <v>0</v>
      </c>
      <c r="AM74" s="125">
        <f>BEL!AM74</f>
        <v>0</v>
      </c>
      <c r="AN74" s="125">
        <f>BEL!AN74</f>
        <v>0</v>
      </c>
      <c r="AO74" s="198">
        <f t="shared" si="121"/>
        <v>0</v>
      </c>
      <c r="AP74" s="125">
        <f>BEL!AP74</f>
        <v>0</v>
      </c>
      <c r="AQ74" s="125">
        <f>BEL!AQ74</f>
        <v>0</v>
      </c>
      <c r="AR74" s="125">
        <f>BEL!AR74</f>
        <v>0</v>
      </c>
      <c r="AS74" s="125">
        <f>BEL!AS74</f>
        <v>0</v>
      </c>
      <c r="AT74" s="125">
        <f>BEL!AT74</f>
        <v>0</v>
      </c>
      <c r="AU74" s="127">
        <f>BEL!AU74</f>
        <v>0</v>
      </c>
      <c r="AV74" s="127">
        <f>BEL!AV74</f>
        <v>0</v>
      </c>
      <c r="AW74" s="127">
        <f>BEL!AW74</f>
        <v>0</v>
      </c>
      <c r="AX74" s="127">
        <f t="shared" si="122"/>
        <v>0</v>
      </c>
      <c r="AY74" s="127">
        <f t="shared" si="123"/>
        <v>0</v>
      </c>
      <c r="AZ74" s="127">
        <f t="shared" si="124"/>
        <v>0</v>
      </c>
      <c r="BA74" s="127">
        <f t="shared" si="125"/>
        <v>0</v>
      </c>
      <c r="BB74" s="127">
        <f t="shared" si="126"/>
        <v>0</v>
      </c>
      <c r="BC74" s="127">
        <f t="shared" si="127"/>
        <v>0</v>
      </c>
      <c r="BD74" s="127">
        <f t="shared" si="128"/>
        <v>0</v>
      </c>
      <c r="BE74" s="127">
        <f t="shared" si="129"/>
        <v>0</v>
      </c>
      <c r="BF74" s="127">
        <f t="shared" si="130"/>
        <v>0</v>
      </c>
      <c r="BG74" s="127">
        <f t="shared" si="131"/>
        <v>0</v>
      </c>
      <c r="BH74" s="127">
        <f t="shared" si="132"/>
        <v>0</v>
      </c>
      <c r="BI74" s="127">
        <f t="shared" si="133"/>
        <v>0</v>
      </c>
      <c r="BJ74" s="189">
        <f t="shared" si="134"/>
        <v>0</v>
      </c>
      <c r="BK74" s="189">
        <f t="shared" si="135"/>
        <v>0</v>
      </c>
      <c r="BL74" s="192">
        <f t="shared" si="136"/>
        <v>0</v>
      </c>
      <c r="BM74" s="192">
        <f t="shared" si="137"/>
        <v>0</v>
      </c>
      <c r="BN74" s="192">
        <f t="shared" si="138"/>
        <v>0</v>
      </c>
      <c r="BO74" s="192">
        <f t="shared" si="139"/>
        <v>0</v>
      </c>
      <c r="BP74" s="192">
        <f t="shared" si="140"/>
        <v>0</v>
      </c>
      <c r="BQ74" s="193">
        <f t="shared" si="141"/>
        <v>0</v>
      </c>
      <c r="BR74" s="193">
        <f t="shared" si="142"/>
        <v>0</v>
      </c>
      <c r="BS74" s="188">
        <f t="shared" si="48"/>
        <v>0</v>
      </c>
      <c r="BT74" s="188">
        <f t="shared" si="49"/>
        <v>0</v>
      </c>
      <c r="BU74" s="188">
        <f t="shared" si="50"/>
        <v>0</v>
      </c>
      <c r="BV74" s="188">
        <f t="shared" si="51"/>
        <v>0</v>
      </c>
      <c r="BW74" s="188">
        <f t="shared" si="52"/>
        <v>0</v>
      </c>
      <c r="BX74" s="188">
        <f t="shared" si="53"/>
        <v>0</v>
      </c>
      <c r="BY74" s="188">
        <f t="shared" si="54"/>
        <v>0</v>
      </c>
      <c r="BZ74" s="188">
        <f t="shared" si="55"/>
        <v>0</v>
      </c>
      <c r="CA74" s="188">
        <f t="shared" si="56"/>
        <v>0</v>
      </c>
      <c r="CB74" s="149">
        <f t="shared" si="57"/>
        <v>0</v>
      </c>
      <c r="CC74" s="149">
        <f>CB74-BEL!CB74</f>
        <v>0</v>
      </c>
      <c r="CD74" s="189">
        <f>IF(AND(C74=0,C75=0),0,CB74/W74) - BEL!CC74</f>
        <v>0</v>
      </c>
      <c r="CF74" s="195">
        <f t="shared" si="143"/>
        <v>0</v>
      </c>
      <c r="CG74" s="127">
        <f t="shared" si="144"/>
        <v>0</v>
      </c>
      <c r="CH74" s="128">
        <f>'DATA INPUT - DETAIL'!AH65</f>
        <v>0</v>
      </c>
      <c r="CI74" s="125">
        <f t="shared" si="145"/>
        <v>0</v>
      </c>
      <c r="CJ74" s="199">
        <f t="shared" si="146"/>
        <v>0</v>
      </c>
      <c r="CL74" s="189">
        <f t="shared" si="147"/>
        <v>0</v>
      </c>
      <c r="CM74" s="149">
        <f t="shared" si="148"/>
        <v>0</v>
      </c>
      <c r="CN74" s="128">
        <f>'DATA INPUT - DETAIL'!AH65</f>
        <v>0</v>
      </c>
      <c r="CO74" s="149">
        <f t="shared" si="149"/>
        <v>0</v>
      </c>
      <c r="CP74" s="149">
        <f t="shared" si="60"/>
        <v>0</v>
      </c>
      <c r="CR74" s="126">
        <f t="shared" si="77"/>
        <v>62</v>
      </c>
      <c r="CS74" s="189">
        <f t="shared" si="78"/>
        <v>0</v>
      </c>
      <c r="CT74" s="200">
        <f>CS74/(BEL!CE74+BEL!CA74-BEL!BU74+'RA CSM'!CF74)</f>
        <v>0</v>
      </c>
      <c r="CU74" s="149">
        <f>$CT74*BEL!CH74</f>
        <v>0</v>
      </c>
      <c r="CV74" s="149">
        <f>$CT74*BEL!CI74</f>
        <v>0</v>
      </c>
      <c r="CW74" s="149">
        <f>$CT74*BEL!CJ74</f>
        <v>0</v>
      </c>
      <c r="CX74" s="149">
        <f>$CT74*BEL!CK74</f>
        <v>0</v>
      </c>
      <c r="CY74" s="149">
        <f t="shared" si="61"/>
        <v>0</v>
      </c>
      <c r="CZ74" s="149">
        <f>$CT74*(BEL!CL74+'RA CSM'!CG74)</f>
        <v>0</v>
      </c>
      <c r="DA74" s="149">
        <f t="shared" si="62"/>
        <v>0</v>
      </c>
    </row>
    <row r="75" spans="2:105" x14ac:dyDescent="0.2">
      <c r="B75" s="130">
        <f>BEL!B75</f>
        <v>0</v>
      </c>
      <c r="C75" s="130">
        <f>BEL!C75</f>
        <v>0</v>
      </c>
      <c r="D75" s="190">
        <f>BEL!D75</f>
        <v>0</v>
      </c>
      <c r="E75" s="190">
        <f>BEL!E75</f>
        <v>0</v>
      </c>
      <c r="F75" s="190">
        <f>BEL!F75</f>
        <v>0</v>
      </c>
      <c r="G75" s="190">
        <f>BEL!G75*(1+$V$5)</f>
        <v>0</v>
      </c>
      <c r="H75" s="190">
        <f>BEL!H75*(1+$V$5)</f>
        <v>0</v>
      </c>
      <c r="I75" s="179">
        <f t="shared" si="102"/>
        <v>0</v>
      </c>
      <c r="J75" s="130">
        <f>BEL!J75</f>
        <v>0</v>
      </c>
      <c r="K75" s="130">
        <f>BEL!K75</f>
        <v>0</v>
      </c>
      <c r="L75" s="130">
        <f>BEL!L75</f>
        <v>0</v>
      </c>
      <c r="M75" s="185">
        <f t="shared" si="79"/>
        <v>0</v>
      </c>
      <c r="N75" s="185">
        <f t="shared" si="103"/>
        <v>0</v>
      </c>
      <c r="O75" s="185">
        <f t="shared" si="104"/>
        <v>0</v>
      </c>
      <c r="P75" s="185">
        <f t="shared" si="105"/>
        <v>0</v>
      </c>
      <c r="Q75" s="185">
        <f t="shared" si="106"/>
        <v>0</v>
      </c>
      <c r="R75" s="185">
        <f t="shared" si="107"/>
        <v>0</v>
      </c>
      <c r="S75" s="185">
        <f t="shared" si="108"/>
        <v>0</v>
      </c>
      <c r="T75" s="185">
        <f t="shared" si="109"/>
        <v>0</v>
      </c>
      <c r="U75" s="196">
        <f>(C75&gt;0)*(C75&lt;$E$5)*VLOOKUP(MPP,ASUMSI!$BN$77:$CR$108,B75+1)*(1+$V$4)</f>
        <v>0</v>
      </c>
      <c r="V75" s="185">
        <f t="shared" si="110"/>
        <v>0</v>
      </c>
      <c r="W75" s="185">
        <f t="shared" si="111"/>
        <v>0</v>
      </c>
      <c r="X75" s="185">
        <f t="shared" si="112"/>
        <v>0</v>
      </c>
      <c r="Y75" s="185">
        <f t="shared" si="113"/>
        <v>0</v>
      </c>
      <c r="Z75" s="185">
        <f t="shared" si="114"/>
        <v>0</v>
      </c>
      <c r="AA75" s="197">
        <f t="shared" si="115"/>
        <v>0</v>
      </c>
      <c r="AB75" s="185">
        <f t="shared" si="116"/>
        <v>0</v>
      </c>
      <c r="AC75" s="185">
        <f t="shared" si="116"/>
        <v>0</v>
      </c>
      <c r="AD75" s="185">
        <f t="shared" si="116"/>
        <v>0</v>
      </c>
      <c r="AE75" s="185">
        <f t="shared" si="117"/>
        <v>0</v>
      </c>
      <c r="AF75" s="185">
        <f t="shared" si="118"/>
        <v>0</v>
      </c>
      <c r="AG75" s="185">
        <f t="shared" si="119"/>
        <v>0</v>
      </c>
      <c r="AH75" s="185">
        <f t="shared" si="120"/>
        <v>0</v>
      </c>
      <c r="AI75" s="125">
        <f>BEL!AI75</f>
        <v>0</v>
      </c>
      <c r="AJ75" s="125">
        <f>BEL!AJ75</f>
        <v>0</v>
      </c>
      <c r="AK75" s="125">
        <f>BEL!AK75</f>
        <v>0</v>
      </c>
      <c r="AL75" s="125">
        <f>BEL!AL75</f>
        <v>0</v>
      </c>
      <c r="AM75" s="125">
        <f>BEL!AM75</f>
        <v>0</v>
      </c>
      <c r="AN75" s="125">
        <f>BEL!AN75</f>
        <v>0</v>
      </c>
      <c r="AO75" s="198">
        <f t="shared" si="121"/>
        <v>0</v>
      </c>
      <c r="AP75" s="125">
        <f>BEL!AP75</f>
        <v>0</v>
      </c>
      <c r="AQ75" s="125">
        <f>BEL!AQ75</f>
        <v>0</v>
      </c>
      <c r="AR75" s="125">
        <f>BEL!AR75</f>
        <v>0</v>
      </c>
      <c r="AS75" s="125">
        <f>BEL!AS75</f>
        <v>0</v>
      </c>
      <c r="AT75" s="125">
        <f>BEL!AT75</f>
        <v>0</v>
      </c>
      <c r="AU75" s="127">
        <f>BEL!AU75</f>
        <v>0</v>
      </c>
      <c r="AV75" s="127">
        <f>BEL!AV75</f>
        <v>0</v>
      </c>
      <c r="AW75" s="127">
        <f>BEL!AW75</f>
        <v>0</v>
      </c>
      <c r="AX75" s="127">
        <f t="shared" si="122"/>
        <v>0</v>
      </c>
      <c r="AY75" s="127">
        <f t="shared" si="123"/>
        <v>0</v>
      </c>
      <c r="AZ75" s="127">
        <f t="shared" si="124"/>
        <v>0</v>
      </c>
      <c r="BA75" s="127">
        <f t="shared" si="125"/>
        <v>0</v>
      </c>
      <c r="BB75" s="127">
        <f t="shared" si="126"/>
        <v>0</v>
      </c>
      <c r="BC75" s="127">
        <f t="shared" si="127"/>
        <v>0</v>
      </c>
      <c r="BD75" s="127">
        <f t="shared" si="128"/>
        <v>0</v>
      </c>
      <c r="BE75" s="127">
        <f t="shared" si="129"/>
        <v>0</v>
      </c>
      <c r="BF75" s="127">
        <f t="shared" si="130"/>
        <v>0</v>
      </c>
      <c r="BG75" s="127">
        <f t="shared" si="131"/>
        <v>0</v>
      </c>
      <c r="BH75" s="127">
        <f t="shared" si="132"/>
        <v>0</v>
      </c>
      <c r="BI75" s="127">
        <f t="shared" si="133"/>
        <v>0</v>
      </c>
      <c r="BJ75" s="189">
        <f t="shared" si="134"/>
        <v>0</v>
      </c>
      <c r="BK75" s="189">
        <f t="shared" si="135"/>
        <v>0</v>
      </c>
      <c r="BL75" s="192">
        <f t="shared" si="136"/>
        <v>0</v>
      </c>
      <c r="BM75" s="192">
        <f t="shared" si="137"/>
        <v>0</v>
      </c>
      <c r="BN75" s="192">
        <f t="shared" si="138"/>
        <v>0</v>
      </c>
      <c r="BO75" s="192">
        <f t="shared" si="139"/>
        <v>0</v>
      </c>
      <c r="BP75" s="192">
        <f t="shared" si="140"/>
        <v>0</v>
      </c>
      <c r="BQ75" s="193">
        <f t="shared" si="141"/>
        <v>0</v>
      </c>
      <c r="BR75" s="193">
        <f t="shared" si="142"/>
        <v>0</v>
      </c>
      <c r="BS75" s="188">
        <f t="shared" si="48"/>
        <v>0</v>
      </c>
      <c r="BT75" s="188">
        <f t="shared" si="49"/>
        <v>0</v>
      </c>
      <c r="BU75" s="188">
        <f t="shared" si="50"/>
        <v>0</v>
      </c>
      <c r="BV75" s="188">
        <f t="shared" si="51"/>
        <v>0</v>
      </c>
      <c r="BW75" s="188">
        <f t="shared" si="52"/>
        <v>0</v>
      </c>
      <c r="BX75" s="188">
        <f t="shared" si="53"/>
        <v>0</v>
      </c>
      <c r="BY75" s="188">
        <f t="shared" si="54"/>
        <v>0</v>
      </c>
      <c r="BZ75" s="188">
        <f t="shared" si="55"/>
        <v>0</v>
      </c>
      <c r="CA75" s="188">
        <f t="shared" si="56"/>
        <v>0</v>
      </c>
      <c r="CB75" s="149">
        <f t="shared" si="57"/>
        <v>0</v>
      </c>
      <c r="CC75" s="149">
        <f>CB75-BEL!CB75</f>
        <v>0</v>
      </c>
      <c r="CD75" s="189">
        <f>IF(AND(C75=0,C76=0),0,CB75/W75) - BEL!CC75</f>
        <v>0</v>
      </c>
      <c r="CF75" s="195">
        <f t="shared" si="143"/>
        <v>0</v>
      </c>
      <c r="CG75" s="127">
        <f t="shared" si="144"/>
        <v>0</v>
      </c>
      <c r="CH75" s="128">
        <f>'DATA INPUT - DETAIL'!AH66</f>
        <v>0</v>
      </c>
      <c r="CI75" s="125">
        <f t="shared" si="145"/>
        <v>0</v>
      </c>
      <c r="CJ75" s="199">
        <f t="shared" si="146"/>
        <v>0</v>
      </c>
      <c r="CL75" s="189">
        <f t="shared" si="147"/>
        <v>0</v>
      </c>
      <c r="CM75" s="149">
        <f t="shared" si="148"/>
        <v>0</v>
      </c>
      <c r="CN75" s="128">
        <f>'DATA INPUT - DETAIL'!AH66</f>
        <v>0</v>
      </c>
      <c r="CO75" s="149">
        <f t="shared" si="149"/>
        <v>0</v>
      </c>
      <c r="CP75" s="149">
        <f t="shared" si="60"/>
        <v>0</v>
      </c>
      <c r="CR75" s="126">
        <f t="shared" si="77"/>
        <v>63</v>
      </c>
      <c r="CS75" s="189">
        <f t="shared" si="78"/>
        <v>0</v>
      </c>
      <c r="CT75" s="200">
        <f>CS75/(BEL!CE75+BEL!CA75-BEL!BU75+'RA CSM'!CF75)</f>
        <v>0</v>
      </c>
      <c r="CU75" s="149">
        <f>$CT75*BEL!CH75</f>
        <v>0</v>
      </c>
      <c r="CV75" s="149">
        <f>$CT75*BEL!CI75</f>
        <v>0</v>
      </c>
      <c r="CW75" s="149">
        <f>$CT75*BEL!CJ75</f>
        <v>0</v>
      </c>
      <c r="CX75" s="149">
        <f>$CT75*BEL!CK75</f>
        <v>0</v>
      </c>
      <c r="CY75" s="149">
        <f t="shared" si="61"/>
        <v>0</v>
      </c>
      <c r="CZ75" s="149">
        <f>$CT75*(BEL!CL75+'RA CSM'!CG75)</f>
        <v>0</v>
      </c>
      <c r="DA75" s="149">
        <f t="shared" si="62"/>
        <v>0</v>
      </c>
    </row>
    <row r="76" spans="2:105" x14ac:dyDescent="0.2">
      <c r="B76" s="130">
        <f>BEL!B76</f>
        <v>0</v>
      </c>
      <c r="C76" s="130">
        <f>BEL!C76</f>
        <v>0</v>
      </c>
      <c r="D76" s="190">
        <f>BEL!D76</f>
        <v>0</v>
      </c>
      <c r="E76" s="190">
        <f>BEL!E76</f>
        <v>0</v>
      </c>
      <c r="F76" s="190">
        <f>BEL!F76</f>
        <v>0</v>
      </c>
      <c r="G76" s="190">
        <f>BEL!G76*(1+$V$5)</f>
        <v>0</v>
      </c>
      <c r="H76" s="190">
        <f>BEL!H76*(1+$V$5)</f>
        <v>0</v>
      </c>
      <c r="I76" s="179">
        <f t="shared" si="102"/>
        <v>0</v>
      </c>
      <c r="J76" s="130">
        <f>BEL!J76</f>
        <v>0</v>
      </c>
      <c r="K76" s="130">
        <f>BEL!K76</f>
        <v>0</v>
      </c>
      <c r="L76" s="130">
        <f>BEL!L76</f>
        <v>0</v>
      </c>
      <c r="M76" s="185">
        <f t="shared" si="79"/>
        <v>0</v>
      </c>
      <c r="N76" s="185">
        <f t="shared" si="103"/>
        <v>0</v>
      </c>
      <c r="O76" s="185">
        <f t="shared" si="104"/>
        <v>0</v>
      </c>
      <c r="P76" s="185">
        <f t="shared" si="105"/>
        <v>0</v>
      </c>
      <c r="Q76" s="185">
        <f t="shared" si="106"/>
        <v>0</v>
      </c>
      <c r="R76" s="185">
        <f t="shared" si="107"/>
        <v>0</v>
      </c>
      <c r="S76" s="185">
        <f t="shared" si="108"/>
        <v>0</v>
      </c>
      <c r="T76" s="185">
        <f t="shared" si="109"/>
        <v>0</v>
      </c>
      <c r="U76" s="196">
        <f>(C76&gt;0)*(C76&lt;$E$5)*VLOOKUP(MPP,ASUMSI!$BN$77:$CR$108,B76+1)*(1+$V$4)</f>
        <v>0</v>
      </c>
      <c r="V76" s="185">
        <f t="shared" si="110"/>
        <v>0</v>
      </c>
      <c r="W76" s="185">
        <f t="shared" si="111"/>
        <v>0</v>
      </c>
      <c r="X76" s="185">
        <f t="shared" si="112"/>
        <v>0</v>
      </c>
      <c r="Y76" s="185">
        <f t="shared" si="113"/>
        <v>0</v>
      </c>
      <c r="Z76" s="185">
        <f t="shared" si="114"/>
        <v>0</v>
      </c>
      <c r="AA76" s="197">
        <f t="shared" si="115"/>
        <v>0</v>
      </c>
      <c r="AB76" s="185">
        <f t="shared" si="116"/>
        <v>0</v>
      </c>
      <c r="AC76" s="185">
        <f t="shared" si="116"/>
        <v>0</v>
      </c>
      <c r="AD76" s="185">
        <f t="shared" si="116"/>
        <v>0</v>
      </c>
      <c r="AE76" s="185">
        <f t="shared" si="117"/>
        <v>0</v>
      </c>
      <c r="AF76" s="185">
        <f t="shared" si="118"/>
        <v>0</v>
      </c>
      <c r="AG76" s="185">
        <f t="shared" si="119"/>
        <v>0</v>
      </c>
      <c r="AH76" s="185">
        <f t="shared" si="120"/>
        <v>0</v>
      </c>
      <c r="AI76" s="125">
        <f>BEL!AI76</f>
        <v>0</v>
      </c>
      <c r="AJ76" s="125">
        <f>BEL!AJ76</f>
        <v>0</v>
      </c>
      <c r="AK76" s="125">
        <f>BEL!AK76</f>
        <v>0</v>
      </c>
      <c r="AL76" s="125">
        <f>BEL!AL76</f>
        <v>0</v>
      </c>
      <c r="AM76" s="125">
        <f>BEL!AM76</f>
        <v>0</v>
      </c>
      <c r="AN76" s="125">
        <f>BEL!AN76</f>
        <v>0</v>
      </c>
      <c r="AO76" s="198">
        <f t="shared" si="121"/>
        <v>0</v>
      </c>
      <c r="AP76" s="125">
        <f>BEL!AP76</f>
        <v>0</v>
      </c>
      <c r="AQ76" s="125">
        <f>BEL!AQ76</f>
        <v>0</v>
      </c>
      <c r="AR76" s="125">
        <f>BEL!AR76</f>
        <v>0</v>
      </c>
      <c r="AS76" s="125">
        <f>BEL!AS76</f>
        <v>0</v>
      </c>
      <c r="AT76" s="125">
        <f>BEL!AT76</f>
        <v>0</v>
      </c>
      <c r="AU76" s="127">
        <f>BEL!AU76</f>
        <v>0</v>
      </c>
      <c r="AV76" s="127">
        <f>BEL!AV76</f>
        <v>0</v>
      </c>
      <c r="AW76" s="127">
        <f>BEL!AW76</f>
        <v>0</v>
      </c>
      <c r="AX76" s="127">
        <f t="shared" si="122"/>
        <v>0</v>
      </c>
      <c r="AY76" s="127">
        <f t="shared" si="123"/>
        <v>0</v>
      </c>
      <c r="AZ76" s="127">
        <f t="shared" si="124"/>
        <v>0</v>
      </c>
      <c r="BA76" s="127">
        <f t="shared" si="125"/>
        <v>0</v>
      </c>
      <c r="BB76" s="127">
        <f t="shared" si="126"/>
        <v>0</v>
      </c>
      <c r="BC76" s="127">
        <f t="shared" si="127"/>
        <v>0</v>
      </c>
      <c r="BD76" s="127">
        <f t="shared" si="128"/>
        <v>0</v>
      </c>
      <c r="BE76" s="127">
        <f t="shared" si="129"/>
        <v>0</v>
      </c>
      <c r="BF76" s="127">
        <f t="shared" si="130"/>
        <v>0</v>
      </c>
      <c r="BG76" s="127">
        <f t="shared" si="131"/>
        <v>0</v>
      </c>
      <c r="BH76" s="127">
        <f t="shared" si="132"/>
        <v>0</v>
      </c>
      <c r="BI76" s="127">
        <f t="shared" si="133"/>
        <v>0</v>
      </c>
      <c r="BJ76" s="189">
        <f t="shared" si="134"/>
        <v>0</v>
      </c>
      <c r="BK76" s="189">
        <f t="shared" si="135"/>
        <v>0</v>
      </c>
      <c r="BL76" s="192">
        <f t="shared" si="136"/>
        <v>0</v>
      </c>
      <c r="BM76" s="192">
        <f t="shared" si="137"/>
        <v>0</v>
      </c>
      <c r="BN76" s="192">
        <f t="shared" si="138"/>
        <v>0</v>
      </c>
      <c r="BO76" s="192">
        <f t="shared" si="139"/>
        <v>0</v>
      </c>
      <c r="BP76" s="192">
        <f t="shared" si="140"/>
        <v>0</v>
      </c>
      <c r="BQ76" s="193">
        <f t="shared" si="141"/>
        <v>0</v>
      </c>
      <c r="BR76" s="193">
        <f t="shared" si="142"/>
        <v>0</v>
      </c>
      <c r="BS76" s="188">
        <f t="shared" si="48"/>
        <v>0</v>
      </c>
      <c r="BT76" s="188">
        <f t="shared" si="49"/>
        <v>0</v>
      </c>
      <c r="BU76" s="188">
        <f t="shared" si="50"/>
        <v>0</v>
      </c>
      <c r="BV76" s="188">
        <f t="shared" si="51"/>
        <v>0</v>
      </c>
      <c r="BW76" s="188">
        <f t="shared" si="52"/>
        <v>0</v>
      </c>
      <c r="BX76" s="188">
        <f t="shared" si="53"/>
        <v>0</v>
      </c>
      <c r="BY76" s="188">
        <f t="shared" si="54"/>
        <v>0</v>
      </c>
      <c r="BZ76" s="188">
        <f t="shared" si="55"/>
        <v>0</v>
      </c>
      <c r="CA76" s="188">
        <f t="shared" si="56"/>
        <v>0</v>
      </c>
      <c r="CB76" s="149">
        <f t="shared" si="57"/>
        <v>0</v>
      </c>
      <c r="CC76" s="149">
        <f>CB76-BEL!CB76</f>
        <v>0</v>
      </c>
      <c r="CD76" s="189">
        <f>IF(AND(C76=0,C77=0),0,CB76/W76) - BEL!CC76</f>
        <v>0</v>
      </c>
      <c r="CF76" s="195">
        <f t="shared" si="143"/>
        <v>0</v>
      </c>
      <c r="CG76" s="127">
        <f t="shared" si="144"/>
        <v>0</v>
      </c>
      <c r="CH76" s="128">
        <f>'DATA INPUT - DETAIL'!AH67</f>
        <v>0</v>
      </c>
      <c r="CI76" s="125">
        <f t="shared" si="145"/>
        <v>0</v>
      </c>
      <c r="CJ76" s="199">
        <f t="shared" si="146"/>
        <v>0</v>
      </c>
      <c r="CL76" s="189">
        <f t="shared" si="147"/>
        <v>0</v>
      </c>
      <c r="CM76" s="149">
        <f t="shared" si="148"/>
        <v>0</v>
      </c>
      <c r="CN76" s="128">
        <f>'DATA INPUT - DETAIL'!AH67</f>
        <v>0</v>
      </c>
      <c r="CO76" s="149">
        <f t="shared" si="149"/>
        <v>0</v>
      </c>
      <c r="CP76" s="149">
        <f t="shared" si="60"/>
        <v>0</v>
      </c>
      <c r="CR76" s="126">
        <f t="shared" si="77"/>
        <v>64</v>
      </c>
      <c r="CS76" s="189">
        <f t="shared" si="78"/>
        <v>0</v>
      </c>
      <c r="CT76" s="200">
        <f>CS76/(BEL!CE76+BEL!CA76-BEL!BU76+'RA CSM'!CF76)</f>
        <v>0</v>
      </c>
      <c r="CU76" s="149">
        <f>$CT76*BEL!CH76</f>
        <v>0</v>
      </c>
      <c r="CV76" s="149">
        <f>$CT76*BEL!CI76</f>
        <v>0</v>
      </c>
      <c r="CW76" s="149">
        <f>$CT76*BEL!CJ76</f>
        <v>0</v>
      </c>
      <c r="CX76" s="149">
        <f>$CT76*BEL!CK76</f>
        <v>0</v>
      </c>
      <c r="CY76" s="149">
        <f t="shared" si="61"/>
        <v>0</v>
      </c>
      <c r="CZ76" s="149">
        <f>$CT76*(BEL!CL76+'RA CSM'!CG76)</f>
        <v>0</v>
      </c>
      <c r="DA76" s="149">
        <f t="shared" si="62"/>
        <v>0</v>
      </c>
    </row>
    <row r="77" spans="2:105" x14ac:dyDescent="0.2">
      <c r="B77" s="130">
        <f>BEL!B77</f>
        <v>0</v>
      </c>
      <c r="C77" s="130">
        <f>BEL!C77</f>
        <v>0</v>
      </c>
      <c r="D77" s="190">
        <f>BEL!D77</f>
        <v>0</v>
      </c>
      <c r="E77" s="190">
        <f>BEL!E77</f>
        <v>0</v>
      </c>
      <c r="F77" s="190">
        <f>BEL!F77</f>
        <v>0</v>
      </c>
      <c r="G77" s="190">
        <f>BEL!G77*(1+$V$5)</f>
        <v>0</v>
      </c>
      <c r="H77" s="190">
        <f>BEL!H77*(1+$V$5)</f>
        <v>0</v>
      </c>
      <c r="I77" s="179">
        <f t="shared" si="102"/>
        <v>0</v>
      </c>
      <c r="J77" s="130">
        <f>BEL!J77</f>
        <v>0</v>
      </c>
      <c r="K77" s="130">
        <f>BEL!K77</f>
        <v>0</v>
      </c>
      <c r="L77" s="130">
        <f>BEL!L77</f>
        <v>0</v>
      </c>
      <c r="M77" s="185">
        <f t="shared" ref="M77:M108" si="150">IF(AND(C77&lt;=$E$5-1,C77&lt;&gt;0),VLOOKUP(L77,Mortality,5,FALSE)*(1+$V$3),0)</f>
        <v>0</v>
      </c>
      <c r="N77" s="185">
        <f t="shared" si="103"/>
        <v>0</v>
      </c>
      <c r="O77" s="185">
        <f t="shared" si="104"/>
        <v>0</v>
      </c>
      <c r="P77" s="185">
        <f t="shared" si="105"/>
        <v>0</v>
      </c>
      <c r="Q77" s="185">
        <f t="shared" si="106"/>
        <v>0</v>
      </c>
      <c r="R77" s="185">
        <f t="shared" si="107"/>
        <v>0</v>
      </c>
      <c r="S77" s="185">
        <f t="shared" si="108"/>
        <v>0</v>
      </c>
      <c r="T77" s="185">
        <f t="shared" si="109"/>
        <v>0</v>
      </c>
      <c r="U77" s="196">
        <f>(C77&gt;0)*(C77&lt;$E$5)*VLOOKUP(MPP,ASUMSI!$BN$77:$CR$108,B77+1)*(1+$V$4)</f>
        <v>0</v>
      </c>
      <c r="V77" s="185">
        <f t="shared" si="110"/>
        <v>0</v>
      </c>
      <c r="W77" s="185">
        <f t="shared" si="111"/>
        <v>0</v>
      </c>
      <c r="X77" s="185">
        <f t="shared" si="112"/>
        <v>0</v>
      </c>
      <c r="Y77" s="185">
        <f t="shared" si="113"/>
        <v>0</v>
      </c>
      <c r="Z77" s="185">
        <f t="shared" si="114"/>
        <v>0</v>
      </c>
      <c r="AA77" s="197">
        <f t="shared" si="115"/>
        <v>0</v>
      </c>
      <c r="AB77" s="185">
        <f t="shared" si="116"/>
        <v>0</v>
      </c>
      <c r="AC77" s="185">
        <f t="shared" si="116"/>
        <v>0</v>
      </c>
      <c r="AD77" s="185">
        <f t="shared" si="116"/>
        <v>0</v>
      </c>
      <c r="AE77" s="185">
        <f t="shared" si="117"/>
        <v>0</v>
      </c>
      <c r="AF77" s="185">
        <f t="shared" si="118"/>
        <v>0</v>
      </c>
      <c r="AG77" s="185">
        <f t="shared" si="119"/>
        <v>0</v>
      </c>
      <c r="AH77" s="185">
        <f t="shared" si="120"/>
        <v>0</v>
      </c>
      <c r="AI77" s="125">
        <f>BEL!AI77</f>
        <v>0</v>
      </c>
      <c r="AJ77" s="125">
        <f>BEL!AJ77</f>
        <v>0</v>
      </c>
      <c r="AK77" s="125">
        <f>BEL!AK77</f>
        <v>0</v>
      </c>
      <c r="AL77" s="125">
        <f>BEL!AL77</f>
        <v>0</v>
      </c>
      <c r="AM77" s="125">
        <f>BEL!AM77</f>
        <v>0</v>
      </c>
      <c r="AN77" s="125">
        <f>BEL!AN77</f>
        <v>0</v>
      </c>
      <c r="AO77" s="198">
        <f t="shared" si="121"/>
        <v>0</v>
      </c>
      <c r="AP77" s="125">
        <f>BEL!AP77</f>
        <v>0</v>
      </c>
      <c r="AQ77" s="125">
        <f>BEL!AQ77</f>
        <v>0</v>
      </c>
      <c r="AR77" s="125">
        <f>BEL!AR77</f>
        <v>0</v>
      </c>
      <c r="AS77" s="125">
        <f>BEL!AS77</f>
        <v>0</v>
      </c>
      <c r="AT77" s="125">
        <f>BEL!AT77</f>
        <v>0</v>
      </c>
      <c r="AU77" s="127">
        <f>BEL!AU77</f>
        <v>0</v>
      </c>
      <c r="AV77" s="127">
        <f>BEL!AV77</f>
        <v>0</v>
      </c>
      <c r="AW77" s="127">
        <f>BEL!AW77</f>
        <v>0</v>
      </c>
      <c r="AX77" s="127">
        <f t="shared" si="122"/>
        <v>0</v>
      </c>
      <c r="AY77" s="127">
        <f t="shared" si="123"/>
        <v>0</v>
      </c>
      <c r="AZ77" s="127">
        <f t="shared" si="124"/>
        <v>0</v>
      </c>
      <c r="BA77" s="127">
        <f t="shared" si="125"/>
        <v>0</v>
      </c>
      <c r="BB77" s="127">
        <f t="shared" si="126"/>
        <v>0</v>
      </c>
      <c r="BC77" s="127">
        <f t="shared" si="127"/>
        <v>0</v>
      </c>
      <c r="BD77" s="127">
        <f t="shared" si="128"/>
        <v>0</v>
      </c>
      <c r="BE77" s="127">
        <f t="shared" si="129"/>
        <v>0</v>
      </c>
      <c r="BF77" s="127">
        <f t="shared" si="130"/>
        <v>0</v>
      </c>
      <c r="BG77" s="127">
        <f t="shared" si="131"/>
        <v>0</v>
      </c>
      <c r="BH77" s="127">
        <f t="shared" si="132"/>
        <v>0</v>
      </c>
      <c r="BI77" s="127">
        <f t="shared" si="133"/>
        <v>0</v>
      </c>
      <c r="BJ77" s="189">
        <f t="shared" si="134"/>
        <v>0</v>
      </c>
      <c r="BK77" s="189">
        <f t="shared" si="135"/>
        <v>0</v>
      </c>
      <c r="BL77" s="192">
        <f t="shared" si="136"/>
        <v>0</v>
      </c>
      <c r="BM77" s="192">
        <f t="shared" si="137"/>
        <v>0</v>
      </c>
      <c r="BN77" s="192">
        <f t="shared" si="138"/>
        <v>0</v>
      </c>
      <c r="BO77" s="192">
        <f t="shared" si="139"/>
        <v>0</v>
      </c>
      <c r="BP77" s="192">
        <f t="shared" si="140"/>
        <v>0</v>
      </c>
      <c r="BQ77" s="193">
        <f t="shared" si="141"/>
        <v>0</v>
      </c>
      <c r="BR77" s="193">
        <f t="shared" si="142"/>
        <v>0</v>
      </c>
      <c r="BS77" s="188">
        <f t="shared" si="48"/>
        <v>0</v>
      </c>
      <c r="BT77" s="188">
        <f t="shared" si="49"/>
        <v>0</v>
      </c>
      <c r="BU77" s="188">
        <f t="shared" si="50"/>
        <v>0</v>
      </c>
      <c r="BV77" s="188">
        <f t="shared" si="51"/>
        <v>0</v>
      </c>
      <c r="BW77" s="188">
        <f t="shared" si="52"/>
        <v>0</v>
      </c>
      <c r="BX77" s="188">
        <f t="shared" si="53"/>
        <v>0</v>
      </c>
      <c r="BY77" s="188">
        <f t="shared" si="54"/>
        <v>0</v>
      </c>
      <c r="BZ77" s="188">
        <f t="shared" si="55"/>
        <v>0</v>
      </c>
      <c r="CA77" s="188">
        <f t="shared" si="56"/>
        <v>0</v>
      </c>
      <c r="CB77" s="149">
        <f t="shared" si="57"/>
        <v>0</v>
      </c>
      <c r="CC77" s="149">
        <f>CB77-BEL!CB77</f>
        <v>0</v>
      </c>
      <c r="CD77" s="189">
        <f>IF(AND(C77=0,C78=0),0,CB77/W77) - BEL!CC77</f>
        <v>0</v>
      </c>
      <c r="CF77" s="195">
        <f t="shared" si="143"/>
        <v>0</v>
      </c>
      <c r="CG77" s="127">
        <f t="shared" si="144"/>
        <v>0</v>
      </c>
      <c r="CH77" s="128">
        <f>'DATA INPUT - DETAIL'!AH68</f>
        <v>0</v>
      </c>
      <c r="CI77" s="125">
        <f t="shared" si="145"/>
        <v>0</v>
      </c>
      <c r="CJ77" s="199">
        <f t="shared" si="146"/>
        <v>0</v>
      </c>
      <c r="CL77" s="189">
        <f t="shared" si="147"/>
        <v>0</v>
      </c>
      <c r="CM77" s="149">
        <f t="shared" si="148"/>
        <v>0</v>
      </c>
      <c r="CN77" s="128">
        <f>'DATA INPUT - DETAIL'!AH68</f>
        <v>0</v>
      </c>
      <c r="CO77" s="149">
        <f t="shared" si="149"/>
        <v>0</v>
      </c>
      <c r="CP77" s="149">
        <f t="shared" si="60"/>
        <v>0</v>
      </c>
      <c r="CR77" s="126">
        <f t="shared" si="77"/>
        <v>65</v>
      </c>
      <c r="CS77" s="189">
        <f t="shared" si="78"/>
        <v>0</v>
      </c>
      <c r="CT77" s="200">
        <f>CS77/(BEL!CE77+BEL!CA77-BEL!BU77+'RA CSM'!CF77)</f>
        <v>0</v>
      </c>
      <c r="CU77" s="149">
        <f>$CT77*BEL!CH77</f>
        <v>0</v>
      </c>
      <c r="CV77" s="149">
        <f>$CT77*BEL!CI77</f>
        <v>0</v>
      </c>
      <c r="CW77" s="149">
        <f>$CT77*BEL!CJ77</f>
        <v>0</v>
      </c>
      <c r="CX77" s="149">
        <f>$CT77*BEL!CK77</f>
        <v>0</v>
      </c>
      <c r="CY77" s="149">
        <f t="shared" si="61"/>
        <v>0</v>
      </c>
      <c r="CZ77" s="149">
        <f>$CT77*(BEL!CL77+'RA CSM'!CG77)</f>
        <v>0</v>
      </c>
      <c r="DA77" s="149">
        <f t="shared" si="62"/>
        <v>0</v>
      </c>
    </row>
    <row r="78" spans="2:105" x14ac:dyDescent="0.2">
      <c r="B78" s="130">
        <f>BEL!B78</f>
        <v>0</v>
      </c>
      <c r="C78" s="130">
        <f>BEL!C78</f>
        <v>0</v>
      </c>
      <c r="D78" s="190">
        <f>BEL!D78</f>
        <v>0</v>
      </c>
      <c r="E78" s="190">
        <f>BEL!E78</f>
        <v>0</v>
      </c>
      <c r="F78" s="190">
        <f>BEL!F78</f>
        <v>0</v>
      </c>
      <c r="G78" s="190">
        <f>BEL!G78*(1+$V$5)</f>
        <v>0</v>
      </c>
      <c r="H78" s="190">
        <f>BEL!H78*(1+$V$5)</f>
        <v>0</v>
      </c>
      <c r="I78" s="179">
        <f t="shared" si="102"/>
        <v>0</v>
      </c>
      <c r="J78" s="130">
        <f>BEL!J78</f>
        <v>0</v>
      </c>
      <c r="K78" s="130">
        <f>BEL!K78</f>
        <v>0</v>
      </c>
      <c r="L78" s="130">
        <f>BEL!L78</f>
        <v>0</v>
      </c>
      <c r="M78" s="185">
        <f t="shared" si="150"/>
        <v>0</v>
      </c>
      <c r="N78" s="185">
        <f t="shared" si="103"/>
        <v>0</v>
      </c>
      <c r="O78" s="185">
        <f t="shared" si="104"/>
        <v>0</v>
      </c>
      <c r="P78" s="185">
        <f t="shared" si="105"/>
        <v>0</v>
      </c>
      <c r="Q78" s="185">
        <f t="shared" si="106"/>
        <v>0</v>
      </c>
      <c r="R78" s="185">
        <f t="shared" si="107"/>
        <v>0</v>
      </c>
      <c r="S78" s="185">
        <f t="shared" si="108"/>
        <v>0</v>
      </c>
      <c r="T78" s="185">
        <f t="shared" si="109"/>
        <v>0</v>
      </c>
      <c r="U78" s="196">
        <f>(C78&gt;0)*(C78&lt;$E$5)*VLOOKUP(MPP,ASUMSI!$BN$77:$CR$108,B78+1)*(1+$V$4)</f>
        <v>0</v>
      </c>
      <c r="V78" s="185">
        <f t="shared" si="110"/>
        <v>0</v>
      </c>
      <c r="W78" s="185">
        <f t="shared" si="111"/>
        <v>0</v>
      </c>
      <c r="X78" s="185">
        <f t="shared" si="112"/>
        <v>0</v>
      </c>
      <c r="Y78" s="185">
        <f t="shared" si="113"/>
        <v>0</v>
      </c>
      <c r="Z78" s="185">
        <f t="shared" si="114"/>
        <v>0</v>
      </c>
      <c r="AA78" s="197">
        <f t="shared" si="115"/>
        <v>0</v>
      </c>
      <c r="AB78" s="185">
        <f t="shared" si="116"/>
        <v>0</v>
      </c>
      <c r="AC78" s="185">
        <f t="shared" si="116"/>
        <v>0</v>
      </c>
      <c r="AD78" s="185">
        <f t="shared" si="116"/>
        <v>0</v>
      </c>
      <c r="AE78" s="185">
        <f t="shared" si="117"/>
        <v>0</v>
      </c>
      <c r="AF78" s="185">
        <f t="shared" si="118"/>
        <v>0</v>
      </c>
      <c r="AG78" s="185">
        <f t="shared" si="119"/>
        <v>0</v>
      </c>
      <c r="AH78" s="185">
        <f t="shared" si="120"/>
        <v>0</v>
      </c>
      <c r="AI78" s="125">
        <f>BEL!AI78</f>
        <v>0</v>
      </c>
      <c r="AJ78" s="125">
        <f>BEL!AJ78</f>
        <v>0</v>
      </c>
      <c r="AK78" s="125">
        <f>BEL!AK78</f>
        <v>0</v>
      </c>
      <c r="AL78" s="125">
        <f>BEL!AL78</f>
        <v>0</v>
      </c>
      <c r="AM78" s="125">
        <f>BEL!AM78</f>
        <v>0</v>
      </c>
      <c r="AN78" s="125">
        <f>BEL!AN78</f>
        <v>0</v>
      </c>
      <c r="AO78" s="198">
        <f t="shared" si="121"/>
        <v>0</v>
      </c>
      <c r="AP78" s="125">
        <f>BEL!AP78</f>
        <v>0</v>
      </c>
      <c r="AQ78" s="125">
        <f>BEL!AQ78</f>
        <v>0</v>
      </c>
      <c r="AR78" s="125">
        <f>BEL!AR78</f>
        <v>0</v>
      </c>
      <c r="AS78" s="125">
        <f>BEL!AS78</f>
        <v>0</v>
      </c>
      <c r="AT78" s="125">
        <f>BEL!AT78</f>
        <v>0</v>
      </c>
      <c r="AU78" s="127">
        <f>BEL!AU78</f>
        <v>0</v>
      </c>
      <c r="AV78" s="127">
        <f>BEL!AV78</f>
        <v>0</v>
      </c>
      <c r="AW78" s="127">
        <f>BEL!AW78</f>
        <v>0</v>
      </c>
      <c r="AX78" s="127">
        <f t="shared" si="122"/>
        <v>0</v>
      </c>
      <c r="AY78" s="127">
        <f t="shared" si="123"/>
        <v>0</v>
      </c>
      <c r="AZ78" s="127">
        <f t="shared" si="124"/>
        <v>0</v>
      </c>
      <c r="BA78" s="127">
        <f t="shared" si="125"/>
        <v>0</v>
      </c>
      <c r="BB78" s="127">
        <f t="shared" si="126"/>
        <v>0</v>
      </c>
      <c r="BC78" s="127">
        <f t="shared" si="127"/>
        <v>0</v>
      </c>
      <c r="BD78" s="127">
        <f t="shared" si="128"/>
        <v>0</v>
      </c>
      <c r="BE78" s="127">
        <f t="shared" si="129"/>
        <v>0</v>
      </c>
      <c r="BF78" s="127">
        <f t="shared" si="130"/>
        <v>0</v>
      </c>
      <c r="BG78" s="127">
        <f t="shared" si="131"/>
        <v>0</v>
      </c>
      <c r="BH78" s="127">
        <f t="shared" si="132"/>
        <v>0</v>
      </c>
      <c r="BI78" s="127">
        <f t="shared" si="133"/>
        <v>0</v>
      </c>
      <c r="BJ78" s="189">
        <f t="shared" si="134"/>
        <v>0</v>
      </c>
      <c r="BK78" s="189">
        <f t="shared" si="135"/>
        <v>0</v>
      </c>
      <c r="BL78" s="192">
        <f t="shared" si="136"/>
        <v>0</v>
      </c>
      <c r="BM78" s="192">
        <f t="shared" si="137"/>
        <v>0</v>
      </c>
      <c r="BN78" s="192">
        <f t="shared" si="138"/>
        <v>0</v>
      </c>
      <c r="BO78" s="192">
        <f t="shared" si="139"/>
        <v>0</v>
      </c>
      <c r="BP78" s="192">
        <f t="shared" si="140"/>
        <v>0</v>
      </c>
      <c r="BQ78" s="193">
        <f t="shared" si="141"/>
        <v>0</v>
      </c>
      <c r="BR78" s="193">
        <f t="shared" si="142"/>
        <v>0</v>
      </c>
      <c r="BS78" s="188">
        <f t="shared" ref="BS78:BS127" si="151">(BJ78+BS79)/(1+$BS$5)</f>
        <v>0</v>
      </c>
      <c r="BT78" s="188">
        <f t="shared" ref="BT78:BT127" si="152">(BK78+BT79)/(1+$BS$5)</f>
        <v>0</v>
      </c>
      <c r="BU78" s="188">
        <f t="shared" ref="BU78:BU127" si="153">BL78+BU79/(1+$BS$5)</f>
        <v>0</v>
      </c>
      <c r="BV78" s="188">
        <f t="shared" ref="BV78:BV127" si="154">BM78+BV79/(1+$BS$5)</f>
        <v>0</v>
      </c>
      <c r="BW78" s="188">
        <f t="shared" ref="BW78:BW127" si="155">BN78+BW79/(1+$BS$5)</f>
        <v>0</v>
      </c>
      <c r="BX78" s="188">
        <f t="shared" ref="BX78:BX127" si="156">BO78+BX79/(1+$BS$5)</f>
        <v>0</v>
      </c>
      <c r="BY78" s="188">
        <f t="shared" ref="BY78:BY127" si="157">BP78+BY79/(1+$BS$5)</f>
        <v>0</v>
      </c>
      <c r="BZ78" s="188">
        <f t="shared" ref="BZ78:BZ127" si="158">BQ78+BZ79/(1+$BS$5)</f>
        <v>0</v>
      </c>
      <c r="CA78" s="188">
        <f t="shared" ref="CA78:CA127" si="159">BR78+CA79/(1+$BS$5)</f>
        <v>0</v>
      </c>
      <c r="CB78" s="149">
        <f t="shared" ref="CB78:CB127" si="160">BS78+BT78+BZ78-CA78</f>
        <v>0</v>
      </c>
      <c r="CC78" s="149">
        <f>CB78-BEL!CB78</f>
        <v>0</v>
      </c>
      <c r="CD78" s="189">
        <f>IF(AND(C78=0,C79=0),0,CB78/W78) - BEL!CC78</f>
        <v>0</v>
      </c>
      <c r="CF78" s="195">
        <f t="shared" si="143"/>
        <v>0</v>
      </c>
      <c r="CG78" s="127">
        <f t="shared" si="144"/>
        <v>0</v>
      </c>
      <c r="CH78" s="128">
        <f>'DATA INPUT - DETAIL'!AH69</f>
        <v>0</v>
      </c>
      <c r="CI78" s="125">
        <f t="shared" si="145"/>
        <v>0</v>
      </c>
      <c r="CJ78" s="199">
        <f t="shared" si="146"/>
        <v>0</v>
      </c>
      <c r="CL78" s="189">
        <f t="shared" si="147"/>
        <v>0</v>
      </c>
      <c r="CM78" s="149">
        <f t="shared" si="148"/>
        <v>0</v>
      </c>
      <c r="CN78" s="128">
        <f>'DATA INPUT - DETAIL'!AH69</f>
        <v>0</v>
      </c>
      <c r="CO78" s="149">
        <f t="shared" si="149"/>
        <v>0</v>
      </c>
      <c r="CP78" s="149">
        <f t="shared" ref="CP78:CP127" si="161">CL78+CM78+CO78</f>
        <v>0</v>
      </c>
      <c r="CR78" s="126">
        <f t="shared" si="77"/>
        <v>66</v>
      </c>
      <c r="CS78" s="189">
        <f t="shared" si="78"/>
        <v>0</v>
      </c>
      <c r="CT78" s="200">
        <f>CS78/(BEL!CE78+BEL!CA78-BEL!BU78+'RA CSM'!CF78)</f>
        <v>0</v>
      </c>
      <c r="CU78" s="149">
        <f>$CT78*BEL!CH78</f>
        <v>0</v>
      </c>
      <c r="CV78" s="149">
        <f>$CT78*BEL!CI78</f>
        <v>0</v>
      </c>
      <c r="CW78" s="149">
        <f>$CT78*BEL!CJ78</f>
        <v>0</v>
      </c>
      <c r="CX78" s="149">
        <f>$CT78*BEL!CK78</f>
        <v>0</v>
      </c>
      <c r="CY78" s="149">
        <f t="shared" ref="CY78:CY141" si="162">$CT78*CF78</f>
        <v>0</v>
      </c>
      <c r="CZ78" s="149">
        <f>$CT78*(BEL!CL78+'RA CSM'!CG78)</f>
        <v>0</v>
      </c>
      <c r="DA78" s="149">
        <f t="shared" ref="DA78:DA141" si="163">CS78+SUM(CU78:CZ78)</f>
        <v>0</v>
      </c>
    </row>
    <row r="79" spans="2:105" x14ac:dyDescent="0.2">
      <c r="B79" s="130">
        <f>BEL!B79</f>
        <v>0</v>
      </c>
      <c r="C79" s="130">
        <f>BEL!C79</f>
        <v>0</v>
      </c>
      <c r="D79" s="190">
        <f>BEL!D79</f>
        <v>0</v>
      </c>
      <c r="E79" s="190">
        <f>BEL!E79</f>
        <v>0</v>
      </c>
      <c r="F79" s="190">
        <f>BEL!F79</f>
        <v>0</v>
      </c>
      <c r="G79" s="190">
        <f>BEL!G79*(1+$V$5)</f>
        <v>0</v>
      </c>
      <c r="H79" s="190">
        <f>BEL!H79*(1+$V$5)</f>
        <v>0</v>
      </c>
      <c r="I79" s="179">
        <f t="shared" si="102"/>
        <v>0</v>
      </c>
      <c r="J79" s="130">
        <f>BEL!J79</f>
        <v>0</v>
      </c>
      <c r="K79" s="130">
        <f>BEL!K79</f>
        <v>0</v>
      </c>
      <c r="L79" s="130">
        <f>BEL!L79</f>
        <v>0</v>
      </c>
      <c r="M79" s="185">
        <f t="shared" si="150"/>
        <v>0</v>
      </c>
      <c r="N79" s="185">
        <f t="shared" si="103"/>
        <v>0</v>
      </c>
      <c r="O79" s="185">
        <f t="shared" si="104"/>
        <v>0</v>
      </c>
      <c r="P79" s="185">
        <f t="shared" si="105"/>
        <v>0</v>
      </c>
      <c r="Q79" s="185">
        <f t="shared" si="106"/>
        <v>0</v>
      </c>
      <c r="R79" s="185">
        <f t="shared" si="107"/>
        <v>0</v>
      </c>
      <c r="S79" s="185">
        <f t="shared" si="108"/>
        <v>0</v>
      </c>
      <c r="T79" s="185">
        <f t="shared" si="109"/>
        <v>0</v>
      </c>
      <c r="U79" s="196">
        <f>(C79&gt;0)*(C79&lt;$E$5)*VLOOKUP(MPP,ASUMSI!$BN$77:$CR$108,B79+1)*(1+$V$4)</f>
        <v>0</v>
      </c>
      <c r="V79" s="185">
        <f t="shared" si="110"/>
        <v>0</v>
      </c>
      <c r="W79" s="185">
        <f t="shared" si="111"/>
        <v>0</v>
      </c>
      <c r="X79" s="185">
        <f t="shared" si="112"/>
        <v>0</v>
      </c>
      <c r="Y79" s="185">
        <f t="shared" si="113"/>
        <v>0</v>
      </c>
      <c r="Z79" s="185">
        <f t="shared" si="114"/>
        <v>0</v>
      </c>
      <c r="AA79" s="197">
        <f t="shared" si="115"/>
        <v>0</v>
      </c>
      <c r="AB79" s="185">
        <f t="shared" si="116"/>
        <v>0</v>
      </c>
      <c r="AC79" s="185">
        <f t="shared" si="116"/>
        <v>0</v>
      </c>
      <c r="AD79" s="185">
        <f t="shared" si="116"/>
        <v>0</v>
      </c>
      <c r="AE79" s="185">
        <f t="shared" si="117"/>
        <v>0</v>
      </c>
      <c r="AF79" s="185">
        <f t="shared" si="118"/>
        <v>0</v>
      </c>
      <c r="AG79" s="185">
        <f t="shared" si="119"/>
        <v>0</v>
      </c>
      <c r="AH79" s="185">
        <f t="shared" si="120"/>
        <v>0</v>
      </c>
      <c r="AI79" s="125">
        <f>BEL!AI79</f>
        <v>0</v>
      </c>
      <c r="AJ79" s="125">
        <f>BEL!AJ79</f>
        <v>0</v>
      </c>
      <c r="AK79" s="125">
        <f>BEL!AK79</f>
        <v>0</v>
      </c>
      <c r="AL79" s="125">
        <f>BEL!AL79</f>
        <v>0</v>
      </c>
      <c r="AM79" s="125">
        <f>BEL!AM79</f>
        <v>0</v>
      </c>
      <c r="AN79" s="125">
        <f>BEL!AN79</f>
        <v>0</v>
      </c>
      <c r="AO79" s="198">
        <f t="shared" si="121"/>
        <v>0</v>
      </c>
      <c r="AP79" s="125">
        <f>BEL!AP79</f>
        <v>0</v>
      </c>
      <c r="AQ79" s="125">
        <f>BEL!AQ79</f>
        <v>0</v>
      </c>
      <c r="AR79" s="125">
        <f>BEL!AR79</f>
        <v>0</v>
      </c>
      <c r="AS79" s="125">
        <f>BEL!AS79</f>
        <v>0</v>
      </c>
      <c r="AT79" s="125">
        <f>BEL!AT79</f>
        <v>0</v>
      </c>
      <c r="AU79" s="127">
        <f>BEL!AU79</f>
        <v>0</v>
      </c>
      <c r="AV79" s="127">
        <f>BEL!AV79</f>
        <v>0</v>
      </c>
      <c r="AW79" s="127">
        <f>BEL!AW79</f>
        <v>0</v>
      </c>
      <c r="AX79" s="127">
        <f t="shared" si="122"/>
        <v>0</v>
      </c>
      <c r="AY79" s="127">
        <f t="shared" si="123"/>
        <v>0</v>
      </c>
      <c r="AZ79" s="127">
        <f t="shared" si="124"/>
        <v>0</v>
      </c>
      <c r="BA79" s="127">
        <f t="shared" si="125"/>
        <v>0</v>
      </c>
      <c r="BB79" s="127">
        <f t="shared" si="126"/>
        <v>0</v>
      </c>
      <c r="BC79" s="127">
        <f t="shared" si="127"/>
        <v>0</v>
      </c>
      <c r="BD79" s="127">
        <f t="shared" si="128"/>
        <v>0</v>
      </c>
      <c r="BE79" s="127">
        <f t="shared" si="129"/>
        <v>0</v>
      </c>
      <c r="BF79" s="127">
        <f t="shared" si="130"/>
        <v>0</v>
      </c>
      <c r="BG79" s="127">
        <f t="shared" si="131"/>
        <v>0</v>
      </c>
      <c r="BH79" s="127">
        <f t="shared" si="132"/>
        <v>0</v>
      </c>
      <c r="BI79" s="127">
        <f t="shared" si="133"/>
        <v>0</v>
      </c>
      <c r="BJ79" s="189">
        <f t="shared" si="134"/>
        <v>0</v>
      </c>
      <c r="BK79" s="189">
        <f t="shared" si="135"/>
        <v>0</v>
      </c>
      <c r="BL79" s="192">
        <f t="shared" si="136"/>
        <v>0</v>
      </c>
      <c r="BM79" s="192">
        <f t="shared" si="137"/>
        <v>0</v>
      </c>
      <c r="BN79" s="192">
        <f t="shared" si="138"/>
        <v>0</v>
      </c>
      <c r="BO79" s="192">
        <f t="shared" si="139"/>
        <v>0</v>
      </c>
      <c r="BP79" s="192">
        <f t="shared" si="140"/>
        <v>0</v>
      </c>
      <c r="BQ79" s="193">
        <f t="shared" si="141"/>
        <v>0</v>
      </c>
      <c r="BR79" s="193">
        <f t="shared" si="142"/>
        <v>0</v>
      </c>
      <c r="BS79" s="188">
        <f t="shared" si="151"/>
        <v>0</v>
      </c>
      <c r="BT79" s="188">
        <f t="shared" si="152"/>
        <v>0</v>
      </c>
      <c r="BU79" s="188">
        <f t="shared" si="153"/>
        <v>0</v>
      </c>
      <c r="BV79" s="188">
        <f t="shared" si="154"/>
        <v>0</v>
      </c>
      <c r="BW79" s="188">
        <f t="shared" si="155"/>
        <v>0</v>
      </c>
      <c r="BX79" s="188">
        <f t="shared" si="156"/>
        <v>0</v>
      </c>
      <c r="BY79" s="188">
        <f t="shared" si="157"/>
        <v>0</v>
      </c>
      <c r="BZ79" s="188">
        <f t="shared" si="158"/>
        <v>0</v>
      </c>
      <c r="CA79" s="188">
        <f t="shared" si="159"/>
        <v>0</v>
      </c>
      <c r="CB79" s="149">
        <f t="shared" si="160"/>
        <v>0</v>
      </c>
      <c r="CC79" s="149">
        <f>CB79-BEL!CB79</f>
        <v>0</v>
      </c>
      <c r="CD79" s="189">
        <f>IF(AND(C79=0,C80=0),0,CB79/W79) - BEL!CC79</f>
        <v>0</v>
      </c>
      <c r="CF79" s="195">
        <f t="shared" si="143"/>
        <v>0</v>
      </c>
      <c r="CG79" s="127">
        <f t="shared" si="144"/>
        <v>0</v>
      </c>
      <c r="CH79" s="128">
        <f>'DATA INPUT - DETAIL'!AH70</f>
        <v>0</v>
      </c>
      <c r="CI79" s="125">
        <f t="shared" si="145"/>
        <v>0</v>
      </c>
      <c r="CJ79" s="199">
        <f t="shared" si="146"/>
        <v>0</v>
      </c>
      <c r="CL79" s="189">
        <f t="shared" si="147"/>
        <v>0</v>
      </c>
      <c r="CM79" s="149">
        <f t="shared" si="148"/>
        <v>0</v>
      </c>
      <c r="CN79" s="128">
        <f>'DATA INPUT - DETAIL'!AH70</f>
        <v>0</v>
      </c>
      <c r="CO79" s="149">
        <f t="shared" si="149"/>
        <v>0</v>
      </c>
      <c r="CP79" s="149">
        <f t="shared" si="161"/>
        <v>0</v>
      </c>
      <c r="CR79" s="126">
        <f t="shared" ref="CR79:CR142" si="164">+CR78+1</f>
        <v>67</v>
      </c>
      <c r="CS79" s="189">
        <f t="shared" ref="CS79:CS142" si="165">DA78</f>
        <v>0</v>
      </c>
      <c r="CT79" s="200">
        <f>CS79/(BEL!CE79+BEL!CA79-BEL!BU79+'RA CSM'!CF79)</f>
        <v>0</v>
      </c>
      <c r="CU79" s="149">
        <f>$CT79*BEL!CH79</f>
        <v>0</v>
      </c>
      <c r="CV79" s="149">
        <f>$CT79*BEL!CI79</f>
        <v>0</v>
      </c>
      <c r="CW79" s="149">
        <f>$CT79*BEL!CJ79</f>
        <v>0</v>
      </c>
      <c r="CX79" s="149">
        <f>$CT79*BEL!CK79</f>
        <v>0</v>
      </c>
      <c r="CY79" s="149">
        <f t="shared" si="162"/>
        <v>0</v>
      </c>
      <c r="CZ79" s="149">
        <f>$CT79*(BEL!CL79+'RA CSM'!CG79)</f>
        <v>0</v>
      </c>
      <c r="DA79" s="149">
        <f t="shared" si="163"/>
        <v>0</v>
      </c>
    </row>
    <row r="80" spans="2:105" x14ac:dyDescent="0.2">
      <c r="B80" s="130">
        <f>BEL!B80</f>
        <v>0</v>
      </c>
      <c r="C80" s="130">
        <f>BEL!C80</f>
        <v>0</v>
      </c>
      <c r="D80" s="190">
        <f>BEL!D80</f>
        <v>0</v>
      </c>
      <c r="E80" s="190">
        <f>BEL!E80</f>
        <v>0</v>
      </c>
      <c r="F80" s="190">
        <f>BEL!F80</f>
        <v>0</v>
      </c>
      <c r="G80" s="190">
        <f>BEL!G80*(1+$V$5)</f>
        <v>0</v>
      </c>
      <c r="H80" s="190">
        <f>BEL!H80*(1+$V$5)</f>
        <v>0</v>
      </c>
      <c r="I80" s="179">
        <f t="shared" si="102"/>
        <v>0</v>
      </c>
      <c r="J80" s="130">
        <f>BEL!J80</f>
        <v>0</v>
      </c>
      <c r="K80" s="130">
        <f>BEL!K80</f>
        <v>0</v>
      </c>
      <c r="L80" s="130">
        <f>BEL!L80</f>
        <v>0</v>
      </c>
      <c r="M80" s="185">
        <f t="shared" si="150"/>
        <v>0</v>
      </c>
      <c r="N80" s="185">
        <f t="shared" si="103"/>
        <v>0</v>
      </c>
      <c r="O80" s="185">
        <f t="shared" si="104"/>
        <v>0</v>
      </c>
      <c r="P80" s="185">
        <f t="shared" si="105"/>
        <v>0</v>
      </c>
      <c r="Q80" s="185">
        <f t="shared" si="106"/>
        <v>0</v>
      </c>
      <c r="R80" s="185">
        <f t="shared" si="107"/>
        <v>0</v>
      </c>
      <c r="S80" s="185">
        <f t="shared" si="108"/>
        <v>0</v>
      </c>
      <c r="T80" s="185">
        <f t="shared" si="109"/>
        <v>0</v>
      </c>
      <c r="U80" s="196">
        <f>(C80&gt;0)*(C80&lt;$E$5)*VLOOKUP(MPP,ASUMSI!$BN$77:$CR$108,B80+1)*(1+$V$4)</f>
        <v>0</v>
      </c>
      <c r="V80" s="185">
        <f t="shared" si="110"/>
        <v>0</v>
      </c>
      <c r="W80" s="185">
        <f t="shared" si="111"/>
        <v>0</v>
      </c>
      <c r="X80" s="185">
        <f t="shared" si="112"/>
        <v>0</v>
      </c>
      <c r="Y80" s="185">
        <f t="shared" si="113"/>
        <v>0</v>
      </c>
      <c r="Z80" s="185">
        <f t="shared" si="114"/>
        <v>0</v>
      </c>
      <c r="AA80" s="197">
        <f t="shared" si="115"/>
        <v>0</v>
      </c>
      <c r="AB80" s="185">
        <f t="shared" si="116"/>
        <v>0</v>
      </c>
      <c r="AC80" s="185">
        <f t="shared" si="116"/>
        <v>0</v>
      </c>
      <c r="AD80" s="185">
        <f t="shared" si="116"/>
        <v>0</v>
      </c>
      <c r="AE80" s="185">
        <f t="shared" si="117"/>
        <v>0</v>
      </c>
      <c r="AF80" s="185">
        <f t="shared" si="118"/>
        <v>0</v>
      </c>
      <c r="AG80" s="185">
        <f t="shared" si="119"/>
        <v>0</v>
      </c>
      <c r="AH80" s="185">
        <f t="shared" si="120"/>
        <v>0</v>
      </c>
      <c r="AI80" s="125">
        <f>BEL!AI80</f>
        <v>0</v>
      </c>
      <c r="AJ80" s="125">
        <f>BEL!AJ80</f>
        <v>0</v>
      </c>
      <c r="AK80" s="125">
        <f>BEL!AK80</f>
        <v>0</v>
      </c>
      <c r="AL80" s="125">
        <f>BEL!AL80</f>
        <v>0</v>
      </c>
      <c r="AM80" s="125">
        <f>BEL!AM80</f>
        <v>0</v>
      </c>
      <c r="AN80" s="125">
        <f>BEL!AN80</f>
        <v>0</v>
      </c>
      <c r="AO80" s="198">
        <f t="shared" si="121"/>
        <v>0</v>
      </c>
      <c r="AP80" s="125">
        <f>BEL!AP80</f>
        <v>0</v>
      </c>
      <c r="AQ80" s="125">
        <f>BEL!AQ80</f>
        <v>0</v>
      </c>
      <c r="AR80" s="125">
        <f>BEL!AR80</f>
        <v>0</v>
      </c>
      <c r="AS80" s="125">
        <f>BEL!AS80</f>
        <v>0</v>
      </c>
      <c r="AT80" s="125">
        <f>BEL!AT80</f>
        <v>0</v>
      </c>
      <c r="AU80" s="127">
        <f>BEL!AU80</f>
        <v>0</v>
      </c>
      <c r="AV80" s="127">
        <f>BEL!AV80</f>
        <v>0</v>
      </c>
      <c r="AW80" s="127">
        <f>BEL!AW80</f>
        <v>0</v>
      </c>
      <c r="AX80" s="127">
        <f t="shared" si="122"/>
        <v>0</v>
      </c>
      <c r="AY80" s="127">
        <f t="shared" si="123"/>
        <v>0</v>
      </c>
      <c r="AZ80" s="127">
        <f t="shared" si="124"/>
        <v>0</v>
      </c>
      <c r="BA80" s="127">
        <f t="shared" si="125"/>
        <v>0</v>
      </c>
      <c r="BB80" s="127">
        <f t="shared" si="126"/>
        <v>0</v>
      </c>
      <c r="BC80" s="127">
        <f t="shared" si="127"/>
        <v>0</v>
      </c>
      <c r="BD80" s="127">
        <f t="shared" si="128"/>
        <v>0</v>
      </c>
      <c r="BE80" s="127">
        <f t="shared" si="129"/>
        <v>0</v>
      </c>
      <c r="BF80" s="127">
        <f t="shared" si="130"/>
        <v>0</v>
      </c>
      <c r="BG80" s="127">
        <f t="shared" si="131"/>
        <v>0</v>
      </c>
      <c r="BH80" s="127">
        <f t="shared" si="132"/>
        <v>0</v>
      </c>
      <c r="BI80" s="127">
        <f t="shared" si="133"/>
        <v>0</v>
      </c>
      <c r="BJ80" s="189">
        <f t="shared" si="134"/>
        <v>0</v>
      </c>
      <c r="BK80" s="189">
        <f t="shared" si="135"/>
        <v>0</v>
      </c>
      <c r="BL80" s="192">
        <f t="shared" si="136"/>
        <v>0</v>
      </c>
      <c r="BM80" s="192">
        <f t="shared" si="137"/>
        <v>0</v>
      </c>
      <c r="BN80" s="192">
        <f t="shared" si="138"/>
        <v>0</v>
      </c>
      <c r="BO80" s="192">
        <f t="shared" si="139"/>
        <v>0</v>
      </c>
      <c r="BP80" s="192">
        <f t="shared" si="140"/>
        <v>0</v>
      </c>
      <c r="BQ80" s="193">
        <f t="shared" si="141"/>
        <v>0</v>
      </c>
      <c r="BR80" s="193">
        <f t="shared" si="142"/>
        <v>0</v>
      </c>
      <c r="BS80" s="188">
        <f t="shared" si="151"/>
        <v>0</v>
      </c>
      <c r="BT80" s="188">
        <f t="shared" si="152"/>
        <v>0</v>
      </c>
      <c r="BU80" s="188">
        <f t="shared" si="153"/>
        <v>0</v>
      </c>
      <c r="BV80" s="188">
        <f t="shared" si="154"/>
        <v>0</v>
      </c>
      <c r="BW80" s="188">
        <f t="shared" si="155"/>
        <v>0</v>
      </c>
      <c r="BX80" s="188">
        <f t="shared" si="156"/>
        <v>0</v>
      </c>
      <c r="BY80" s="188">
        <f t="shared" si="157"/>
        <v>0</v>
      </c>
      <c r="BZ80" s="188">
        <f t="shared" si="158"/>
        <v>0</v>
      </c>
      <c r="CA80" s="188">
        <f t="shared" si="159"/>
        <v>0</v>
      </c>
      <c r="CB80" s="149">
        <f t="shared" si="160"/>
        <v>0</v>
      </c>
      <c r="CC80" s="149">
        <f>CB80-BEL!CB80</f>
        <v>0</v>
      </c>
      <c r="CD80" s="189">
        <f>IF(AND(C80=0,C81=0),0,CB80/W80) - BEL!CC80</f>
        <v>0</v>
      </c>
      <c r="CF80" s="195">
        <f t="shared" si="143"/>
        <v>0</v>
      </c>
      <c r="CG80" s="127">
        <f t="shared" si="144"/>
        <v>0</v>
      </c>
      <c r="CH80" s="128">
        <f>'DATA INPUT - DETAIL'!AH71</f>
        <v>0</v>
      </c>
      <c r="CI80" s="125">
        <f t="shared" si="145"/>
        <v>0</v>
      </c>
      <c r="CJ80" s="199">
        <f t="shared" si="146"/>
        <v>0</v>
      </c>
      <c r="CL80" s="189">
        <f t="shared" si="147"/>
        <v>0</v>
      </c>
      <c r="CM80" s="149">
        <f t="shared" si="148"/>
        <v>0</v>
      </c>
      <c r="CN80" s="128">
        <f>'DATA INPUT - DETAIL'!AH71</f>
        <v>0</v>
      </c>
      <c r="CO80" s="149">
        <f t="shared" si="149"/>
        <v>0</v>
      </c>
      <c r="CP80" s="149">
        <f t="shared" si="161"/>
        <v>0</v>
      </c>
      <c r="CR80" s="126">
        <f t="shared" si="164"/>
        <v>68</v>
      </c>
      <c r="CS80" s="189">
        <f t="shared" si="165"/>
        <v>0</v>
      </c>
      <c r="CT80" s="200">
        <f>CS80/(BEL!CE80+BEL!CA80-BEL!BU80+'RA CSM'!CF80)</f>
        <v>0</v>
      </c>
      <c r="CU80" s="149">
        <f>$CT80*BEL!CH80</f>
        <v>0</v>
      </c>
      <c r="CV80" s="149">
        <f>$CT80*BEL!CI80</f>
        <v>0</v>
      </c>
      <c r="CW80" s="149">
        <f>$CT80*BEL!CJ80</f>
        <v>0</v>
      </c>
      <c r="CX80" s="149">
        <f>$CT80*BEL!CK80</f>
        <v>0</v>
      </c>
      <c r="CY80" s="149">
        <f t="shared" si="162"/>
        <v>0</v>
      </c>
      <c r="CZ80" s="149">
        <f>$CT80*(BEL!CL80+'RA CSM'!CG80)</f>
        <v>0</v>
      </c>
      <c r="DA80" s="149">
        <f t="shared" si="163"/>
        <v>0</v>
      </c>
    </row>
    <row r="81" spans="2:105" x14ac:dyDescent="0.2">
      <c r="B81" s="130">
        <f>BEL!B81</f>
        <v>0</v>
      </c>
      <c r="C81" s="130">
        <f>BEL!C81</f>
        <v>0</v>
      </c>
      <c r="D81" s="190">
        <f>BEL!D81</f>
        <v>0</v>
      </c>
      <c r="E81" s="190">
        <f>BEL!E81</f>
        <v>0</v>
      </c>
      <c r="F81" s="190">
        <f>BEL!F81</f>
        <v>0</v>
      </c>
      <c r="G81" s="190">
        <f>BEL!G81*(1+$V$5)</f>
        <v>0</v>
      </c>
      <c r="H81" s="190">
        <f>BEL!H81*(1+$V$5)</f>
        <v>0</v>
      </c>
      <c r="I81" s="179">
        <f t="shared" si="102"/>
        <v>0</v>
      </c>
      <c r="J81" s="130">
        <f>BEL!J81</f>
        <v>0</v>
      </c>
      <c r="K81" s="130">
        <f>BEL!K81</f>
        <v>0</v>
      </c>
      <c r="L81" s="130">
        <f>BEL!L81</f>
        <v>0</v>
      </c>
      <c r="M81" s="185">
        <f t="shared" si="150"/>
        <v>0</v>
      </c>
      <c r="N81" s="185">
        <f t="shared" si="103"/>
        <v>0</v>
      </c>
      <c r="O81" s="185">
        <f t="shared" si="104"/>
        <v>0</v>
      </c>
      <c r="P81" s="185">
        <f t="shared" si="105"/>
        <v>0</v>
      </c>
      <c r="Q81" s="185">
        <f t="shared" si="106"/>
        <v>0</v>
      </c>
      <c r="R81" s="185">
        <f t="shared" si="107"/>
        <v>0</v>
      </c>
      <c r="S81" s="185">
        <f t="shared" si="108"/>
        <v>0</v>
      </c>
      <c r="T81" s="185">
        <f t="shared" si="109"/>
        <v>0</v>
      </c>
      <c r="U81" s="196">
        <f>(C81&gt;0)*(C81&lt;$E$5)*VLOOKUP(MPP,ASUMSI!$BN$77:$CR$108,B81+1)*(1+$V$4)</f>
        <v>0</v>
      </c>
      <c r="V81" s="185">
        <f t="shared" si="110"/>
        <v>0</v>
      </c>
      <c r="W81" s="185">
        <f t="shared" si="111"/>
        <v>0</v>
      </c>
      <c r="X81" s="185">
        <f t="shared" si="112"/>
        <v>0</v>
      </c>
      <c r="Y81" s="185">
        <f t="shared" si="113"/>
        <v>0</v>
      </c>
      <c r="Z81" s="185">
        <f t="shared" si="114"/>
        <v>0</v>
      </c>
      <c r="AA81" s="197">
        <f t="shared" si="115"/>
        <v>0</v>
      </c>
      <c r="AB81" s="185">
        <f t="shared" si="116"/>
        <v>0</v>
      </c>
      <c r="AC81" s="185">
        <f t="shared" si="116"/>
        <v>0</v>
      </c>
      <c r="AD81" s="185">
        <f t="shared" si="116"/>
        <v>0</v>
      </c>
      <c r="AE81" s="185">
        <f t="shared" si="117"/>
        <v>0</v>
      </c>
      <c r="AF81" s="185">
        <f t="shared" si="118"/>
        <v>0</v>
      </c>
      <c r="AG81" s="185">
        <f t="shared" si="119"/>
        <v>0</v>
      </c>
      <c r="AH81" s="185">
        <f t="shared" si="120"/>
        <v>0</v>
      </c>
      <c r="AI81" s="125">
        <f>BEL!AI81</f>
        <v>0</v>
      </c>
      <c r="AJ81" s="125">
        <f>BEL!AJ81</f>
        <v>0</v>
      </c>
      <c r="AK81" s="125">
        <f>BEL!AK81</f>
        <v>0</v>
      </c>
      <c r="AL81" s="125">
        <f>BEL!AL81</f>
        <v>0</v>
      </c>
      <c r="AM81" s="125">
        <f>BEL!AM81</f>
        <v>0</v>
      </c>
      <c r="AN81" s="125">
        <f>BEL!AN81</f>
        <v>0</v>
      </c>
      <c r="AO81" s="198">
        <f t="shared" si="121"/>
        <v>0</v>
      </c>
      <c r="AP81" s="125">
        <f>BEL!AP81</f>
        <v>0</v>
      </c>
      <c r="AQ81" s="125">
        <f>BEL!AQ81</f>
        <v>0</v>
      </c>
      <c r="AR81" s="125">
        <f>BEL!AR81</f>
        <v>0</v>
      </c>
      <c r="AS81" s="125">
        <f>BEL!AS81</f>
        <v>0</v>
      </c>
      <c r="AT81" s="125">
        <f>BEL!AT81</f>
        <v>0</v>
      </c>
      <c r="AU81" s="127">
        <f>BEL!AU81</f>
        <v>0</v>
      </c>
      <c r="AV81" s="127">
        <f>BEL!AV81</f>
        <v>0</v>
      </c>
      <c r="AW81" s="127">
        <f>BEL!AW81</f>
        <v>0</v>
      </c>
      <c r="AX81" s="127">
        <f t="shared" si="122"/>
        <v>0</v>
      </c>
      <c r="AY81" s="127">
        <f t="shared" si="123"/>
        <v>0</v>
      </c>
      <c r="AZ81" s="127">
        <f t="shared" si="124"/>
        <v>0</v>
      </c>
      <c r="BA81" s="127">
        <f t="shared" si="125"/>
        <v>0</v>
      </c>
      <c r="BB81" s="127">
        <f t="shared" si="126"/>
        <v>0</v>
      </c>
      <c r="BC81" s="127">
        <f t="shared" si="127"/>
        <v>0</v>
      </c>
      <c r="BD81" s="127">
        <f t="shared" si="128"/>
        <v>0</v>
      </c>
      <c r="BE81" s="127">
        <f t="shared" si="129"/>
        <v>0</v>
      </c>
      <c r="BF81" s="127">
        <f t="shared" si="130"/>
        <v>0</v>
      </c>
      <c r="BG81" s="127">
        <f t="shared" si="131"/>
        <v>0</v>
      </c>
      <c r="BH81" s="127">
        <f t="shared" si="132"/>
        <v>0</v>
      </c>
      <c r="BI81" s="127">
        <f t="shared" si="133"/>
        <v>0</v>
      </c>
      <c r="BJ81" s="189">
        <f t="shared" si="134"/>
        <v>0</v>
      </c>
      <c r="BK81" s="189">
        <f t="shared" si="135"/>
        <v>0</v>
      </c>
      <c r="BL81" s="192">
        <f t="shared" si="136"/>
        <v>0</v>
      </c>
      <c r="BM81" s="192">
        <f t="shared" si="137"/>
        <v>0</v>
      </c>
      <c r="BN81" s="192">
        <f t="shared" si="138"/>
        <v>0</v>
      </c>
      <c r="BO81" s="192">
        <f t="shared" si="139"/>
        <v>0</v>
      </c>
      <c r="BP81" s="192">
        <f t="shared" si="140"/>
        <v>0</v>
      </c>
      <c r="BQ81" s="193">
        <f t="shared" si="141"/>
        <v>0</v>
      </c>
      <c r="BR81" s="193">
        <f t="shared" si="142"/>
        <v>0</v>
      </c>
      <c r="BS81" s="188">
        <f t="shared" si="151"/>
        <v>0</v>
      </c>
      <c r="BT81" s="188">
        <f t="shared" si="152"/>
        <v>0</v>
      </c>
      <c r="BU81" s="188">
        <f t="shared" si="153"/>
        <v>0</v>
      </c>
      <c r="BV81" s="188">
        <f t="shared" si="154"/>
        <v>0</v>
      </c>
      <c r="BW81" s="188">
        <f t="shared" si="155"/>
        <v>0</v>
      </c>
      <c r="BX81" s="188">
        <f t="shared" si="156"/>
        <v>0</v>
      </c>
      <c r="BY81" s="188">
        <f t="shared" si="157"/>
        <v>0</v>
      </c>
      <c r="BZ81" s="188">
        <f t="shared" si="158"/>
        <v>0</v>
      </c>
      <c r="CA81" s="188">
        <f t="shared" si="159"/>
        <v>0</v>
      </c>
      <c r="CB81" s="149">
        <f t="shared" si="160"/>
        <v>0</v>
      </c>
      <c r="CC81" s="149">
        <f>CB81-BEL!CB81</f>
        <v>0</v>
      </c>
      <c r="CD81" s="189">
        <f>IF(AND(C81=0,C82=0),0,CB81/W81) - BEL!CC81</f>
        <v>0</v>
      </c>
      <c r="CF81" s="195">
        <f t="shared" si="143"/>
        <v>0</v>
      </c>
      <c r="CG81" s="127">
        <f t="shared" si="144"/>
        <v>0</v>
      </c>
      <c r="CH81" s="128">
        <f>'DATA INPUT - DETAIL'!AH72</f>
        <v>0</v>
      </c>
      <c r="CI81" s="125">
        <f t="shared" si="145"/>
        <v>0</v>
      </c>
      <c r="CJ81" s="199">
        <f t="shared" si="146"/>
        <v>0</v>
      </c>
      <c r="CL81" s="189">
        <f t="shared" si="147"/>
        <v>0</v>
      </c>
      <c r="CM81" s="149">
        <f t="shared" si="148"/>
        <v>0</v>
      </c>
      <c r="CN81" s="128">
        <f>'DATA INPUT - DETAIL'!AH72</f>
        <v>0</v>
      </c>
      <c r="CO81" s="149">
        <f t="shared" si="149"/>
        <v>0</v>
      </c>
      <c r="CP81" s="149">
        <f t="shared" si="161"/>
        <v>0</v>
      </c>
      <c r="CR81" s="126">
        <f t="shared" si="164"/>
        <v>69</v>
      </c>
      <c r="CS81" s="189">
        <f t="shared" si="165"/>
        <v>0</v>
      </c>
      <c r="CT81" s="200">
        <f>CS81/(BEL!CE81+BEL!CA81-BEL!BU81+'RA CSM'!CF81)</f>
        <v>0</v>
      </c>
      <c r="CU81" s="149">
        <f>$CT81*BEL!CH81</f>
        <v>0</v>
      </c>
      <c r="CV81" s="149">
        <f>$CT81*BEL!CI81</f>
        <v>0</v>
      </c>
      <c r="CW81" s="149">
        <f>$CT81*BEL!CJ81</f>
        <v>0</v>
      </c>
      <c r="CX81" s="149">
        <f>$CT81*BEL!CK81</f>
        <v>0</v>
      </c>
      <c r="CY81" s="149">
        <f t="shared" si="162"/>
        <v>0</v>
      </c>
      <c r="CZ81" s="149">
        <f>$CT81*(BEL!CL81+'RA CSM'!CG81)</f>
        <v>0</v>
      </c>
      <c r="DA81" s="149">
        <f t="shared" si="163"/>
        <v>0</v>
      </c>
    </row>
    <row r="82" spans="2:105" x14ac:dyDescent="0.2">
      <c r="B82" s="130">
        <f>BEL!B82</f>
        <v>0</v>
      </c>
      <c r="C82" s="130">
        <f>BEL!C82</f>
        <v>0</v>
      </c>
      <c r="D82" s="190">
        <f>BEL!D82</f>
        <v>0</v>
      </c>
      <c r="E82" s="190">
        <f>BEL!E82</f>
        <v>0</v>
      </c>
      <c r="F82" s="190">
        <f>BEL!F82</f>
        <v>0</v>
      </c>
      <c r="G82" s="190">
        <f>BEL!G82*(1+$V$5)</f>
        <v>0</v>
      </c>
      <c r="H82" s="190">
        <f>BEL!H82*(1+$V$5)</f>
        <v>0</v>
      </c>
      <c r="I82" s="179">
        <f t="shared" si="102"/>
        <v>0</v>
      </c>
      <c r="J82" s="130">
        <f>BEL!J82</f>
        <v>0</v>
      </c>
      <c r="K82" s="130">
        <f>BEL!K82</f>
        <v>0</v>
      </c>
      <c r="L82" s="130">
        <f>BEL!L82</f>
        <v>0</v>
      </c>
      <c r="M82" s="185">
        <f t="shared" si="150"/>
        <v>0</v>
      </c>
      <c r="N82" s="185">
        <f t="shared" si="103"/>
        <v>0</v>
      </c>
      <c r="O82" s="185">
        <f t="shared" si="104"/>
        <v>0</v>
      </c>
      <c r="P82" s="185">
        <f t="shared" si="105"/>
        <v>0</v>
      </c>
      <c r="Q82" s="185">
        <f t="shared" si="106"/>
        <v>0</v>
      </c>
      <c r="R82" s="185">
        <f t="shared" si="107"/>
        <v>0</v>
      </c>
      <c r="S82" s="185">
        <f t="shared" si="108"/>
        <v>0</v>
      </c>
      <c r="T82" s="185">
        <f t="shared" si="109"/>
        <v>0</v>
      </c>
      <c r="U82" s="196">
        <f>(C82&gt;0)*(C82&lt;$E$5)*VLOOKUP(MPP,ASUMSI!$BN$77:$CR$108,B82+1)*(1+$V$4)</f>
        <v>0</v>
      </c>
      <c r="V82" s="185">
        <f t="shared" si="110"/>
        <v>0</v>
      </c>
      <c r="W82" s="185">
        <f t="shared" si="111"/>
        <v>0</v>
      </c>
      <c r="X82" s="185">
        <f t="shared" si="112"/>
        <v>0</v>
      </c>
      <c r="Y82" s="185">
        <f t="shared" si="113"/>
        <v>0</v>
      </c>
      <c r="Z82" s="185">
        <f t="shared" si="114"/>
        <v>0</v>
      </c>
      <c r="AA82" s="197">
        <f t="shared" si="115"/>
        <v>0</v>
      </c>
      <c r="AB82" s="185">
        <f t="shared" si="116"/>
        <v>0</v>
      </c>
      <c r="AC82" s="185">
        <f t="shared" si="116"/>
        <v>0</v>
      </c>
      <c r="AD82" s="185">
        <f t="shared" si="116"/>
        <v>0</v>
      </c>
      <c r="AE82" s="185">
        <f t="shared" si="117"/>
        <v>0</v>
      </c>
      <c r="AF82" s="185">
        <f t="shared" si="118"/>
        <v>0</v>
      </c>
      <c r="AG82" s="185">
        <f t="shared" si="119"/>
        <v>0</v>
      </c>
      <c r="AH82" s="185">
        <f t="shared" si="120"/>
        <v>0</v>
      </c>
      <c r="AI82" s="125">
        <f>BEL!AI82</f>
        <v>0</v>
      </c>
      <c r="AJ82" s="125">
        <f>BEL!AJ82</f>
        <v>0</v>
      </c>
      <c r="AK82" s="125">
        <f>BEL!AK82</f>
        <v>0</v>
      </c>
      <c r="AL82" s="125">
        <f>BEL!AL82</f>
        <v>0</v>
      </c>
      <c r="AM82" s="125">
        <f>BEL!AM82</f>
        <v>0</v>
      </c>
      <c r="AN82" s="125">
        <f>BEL!AN82</f>
        <v>0</v>
      </c>
      <c r="AO82" s="198">
        <f t="shared" si="121"/>
        <v>0</v>
      </c>
      <c r="AP82" s="125">
        <f>BEL!AP82</f>
        <v>0</v>
      </c>
      <c r="AQ82" s="125">
        <f>BEL!AQ82</f>
        <v>0</v>
      </c>
      <c r="AR82" s="125">
        <f>BEL!AR82</f>
        <v>0</v>
      </c>
      <c r="AS82" s="125">
        <f>BEL!AS82</f>
        <v>0</v>
      </c>
      <c r="AT82" s="125">
        <f>BEL!AT82</f>
        <v>0</v>
      </c>
      <c r="AU82" s="127">
        <f>BEL!AU82</f>
        <v>0</v>
      </c>
      <c r="AV82" s="127">
        <f>BEL!AV82</f>
        <v>0</v>
      </c>
      <c r="AW82" s="127">
        <f>BEL!AW82</f>
        <v>0</v>
      </c>
      <c r="AX82" s="127">
        <f t="shared" si="122"/>
        <v>0</v>
      </c>
      <c r="AY82" s="127">
        <f t="shared" si="123"/>
        <v>0</v>
      </c>
      <c r="AZ82" s="127">
        <f t="shared" si="124"/>
        <v>0</v>
      </c>
      <c r="BA82" s="127">
        <f t="shared" si="125"/>
        <v>0</v>
      </c>
      <c r="BB82" s="127">
        <f t="shared" si="126"/>
        <v>0</v>
      </c>
      <c r="BC82" s="127">
        <f t="shared" si="127"/>
        <v>0</v>
      </c>
      <c r="BD82" s="127">
        <f t="shared" si="128"/>
        <v>0</v>
      </c>
      <c r="BE82" s="127">
        <f t="shared" si="129"/>
        <v>0</v>
      </c>
      <c r="BF82" s="127">
        <f t="shared" si="130"/>
        <v>0</v>
      </c>
      <c r="BG82" s="127">
        <f t="shared" si="131"/>
        <v>0</v>
      </c>
      <c r="BH82" s="127">
        <f t="shared" si="132"/>
        <v>0</v>
      </c>
      <c r="BI82" s="127">
        <f t="shared" si="133"/>
        <v>0</v>
      </c>
      <c r="BJ82" s="189">
        <f t="shared" si="134"/>
        <v>0</v>
      </c>
      <c r="BK82" s="189">
        <f t="shared" si="135"/>
        <v>0</v>
      </c>
      <c r="BL82" s="192">
        <f t="shared" si="136"/>
        <v>0</v>
      </c>
      <c r="BM82" s="192">
        <f t="shared" si="137"/>
        <v>0</v>
      </c>
      <c r="BN82" s="192">
        <f t="shared" si="138"/>
        <v>0</v>
      </c>
      <c r="BO82" s="192">
        <f t="shared" si="139"/>
        <v>0</v>
      </c>
      <c r="BP82" s="192">
        <f t="shared" si="140"/>
        <v>0</v>
      </c>
      <c r="BQ82" s="193">
        <f t="shared" si="141"/>
        <v>0</v>
      </c>
      <c r="BR82" s="193">
        <f t="shared" si="142"/>
        <v>0</v>
      </c>
      <c r="BS82" s="188">
        <f t="shared" si="151"/>
        <v>0</v>
      </c>
      <c r="BT82" s="188">
        <f t="shared" si="152"/>
        <v>0</v>
      </c>
      <c r="BU82" s="188">
        <f t="shared" si="153"/>
        <v>0</v>
      </c>
      <c r="BV82" s="188">
        <f t="shared" si="154"/>
        <v>0</v>
      </c>
      <c r="BW82" s="188">
        <f t="shared" si="155"/>
        <v>0</v>
      </c>
      <c r="BX82" s="188">
        <f t="shared" si="156"/>
        <v>0</v>
      </c>
      <c r="BY82" s="188">
        <f t="shared" si="157"/>
        <v>0</v>
      </c>
      <c r="BZ82" s="188">
        <f t="shared" si="158"/>
        <v>0</v>
      </c>
      <c r="CA82" s="188">
        <f t="shared" si="159"/>
        <v>0</v>
      </c>
      <c r="CB82" s="149">
        <f t="shared" si="160"/>
        <v>0</v>
      </c>
      <c r="CC82" s="149">
        <f>CB82-BEL!CB82</f>
        <v>0</v>
      </c>
      <c r="CD82" s="189">
        <f>IF(AND(C82=0,C83=0),0,CB82/W82) - BEL!CC82</f>
        <v>0</v>
      </c>
      <c r="CF82" s="195">
        <f t="shared" si="143"/>
        <v>0</v>
      </c>
      <c r="CG82" s="127">
        <f t="shared" si="144"/>
        <v>0</v>
      </c>
      <c r="CH82" s="128">
        <f>'DATA INPUT - DETAIL'!AH73</f>
        <v>0</v>
      </c>
      <c r="CI82" s="125">
        <f t="shared" si="145"/>
        <v>0</v>
      </c>
      <c r="CJ82" s="199">
        <f t="shared" si="146"/>
        <v>0</v>
      </c>
      <c r="CL82" s="189">
        <f t="shared" si="147"/>
        <v>0</v>
      </c>
      <c r="CM82" s="149">
        <f t="shared" si="148"/>
        <v>0</v>
      </c>
      <c r="CN82" s="128">
        <f>'DATA INPUT - DETAIL'!AH73</f>
        <v>0</v>
      </c>
      <c r="CO82" s="149">
        <f t="shared" si="149"/>
        <v>0</v>
      </c>
      <c r="CP82" s="149">
        <f t="shared" si="161"/>
        <v>0</v>
      </c>
      <c r="CR82" s="126">
        <f t="shared" si="164"/>
        <v>70</v>
      </c>
      <c r="CS82" s="189">
        <f t="shared" si="165"/>
        <v>0</v>
      </c>
      <c r="CT82" s="200">
        <f>CS82/(BEL!CE82+BEL!CA82-BEL!BU82+'RA CSM'!CF82)</f>
        <v>0</v>
      </c>
      <c r="CU82" s="149">
        <f>$CT82*BEL!CH82</f>
        <v>0</v>
      </c>
      <c r="CV82" s="149">
        <f>$CT82*BEL!CI82</f>
        <v>0</v>
      </c>
      <c r="CW82" s="149">
        <f>$CT82*BEL!CJ82</f>
        <v>0</v>
      </c>
      <c r="CX82" s="149">
        <f>$CT82*BEL!CK82</f>
        <v>0</v>
      </c>
      <c r="CY82" s="149">
        <f t="shared" si="162"/>
        <v>0</v>
      </c>
      <c r="CZ82" s="149">
        <f>$CT82*(BEL!CL82+'RA CSM'!CG82)</f>
        <v>0</v>
      </c>
      <c r="DA82" s="149">
        <f t="shared" si="163"/>
        <v>0</v>
      </c>
    </row>
    <row r="83" spans="2:105" x14ac:dyDescent="0.2">
      <c r="B83" s="130">
        <f>BEL!B83</f>
        <v>0</v>
      </c>
      <c r="C83" s="130">
        <f>BEL!C83</f>
        <v>0</v>
      </c>
      <c r="D83" s="190">
        <f>BEL!D83</f>
        <v>0</v>
      </c>
      <c r="E83" s="190">
        <f>BEL!E83</f>
        <v>0</v>
      </c>
      <c r="F83" s="190">
        <f>BEL!F83</f>
        <v>0</v>
      </c>
      <c r="G83" s="190">
        <f>BEL!G83*(1+$V$5)</f>
        <v>0</v>
      </c>
      <c r="H83" s="190">
        <f>BEL!H83*(1+$V$5)</f>
        <v>0</v>
      </c>
      <c r="I83" s="179">
        <f t="shared" si="102"/>
        <v>0</v>
      </c>
      <c r="J83" s="130">
        <f>BEL!J83</f>
        <v>0</v>
      </c>
      <c r="K83" s="130">
        <f>BEL!K83</f>
        <v>0</v>
      </c>
      <c r="L83" s="130">
        <f>BEL!L83</f>
        <v>0</v>
      </c>
      <c r="M83" s="185">
        <f t="shared" si="150"/>
        <v>0</v>
      </c>
      <c r="N83" s="185">
        <f t="shared" si="103"/>
        <v>0</v>
      </c>
      <c r="O83" s="185">
        <f t="shared" si="104"/>
        <v>0</v>
      </c>
      <c r="P83" s="185">
        <f t="shared" si="105"/>
        <v>0</v>
      </c>
      <c r="Q83" s="185">
        <f t="shared" si="106"/>
        <v>0</v>
      </c>
      <c r="R83" s="185">
        <f t="shared" si="107"/>
        <v>0</v>
      </c>
      <c r="S83" s="185">
        <f t="shared" si="108"/>
        <v>0</v>
      </c>
      <c r="T83" s="185">
        <f t="shared" si="109"/>
        <v>0</v>
      </c>
      <c r="U83" s="196">
        <f>(C83&gt;0)*(C83&lt;$E$5)*VLOOKUP(MPP,ASUMSI!$BN$77:$CR$108,B83+1)*(1+$V$4)</f>
        <v>0</v>
      </c>
      <c r="V83" s="185">
        <f t="shared" si="110"/>
        <v>0</v>
      </c>
      <c r="W83" s="185">
        <f t="shared" si="111"/>
        <v>0</v>
      </c>
      <c r="X83" s="185">
        <f t="shared" si="112"/>
        <v>0</v>
      </c>
      <c r="Y83" s="185">
        <f t="shared" si="113"/>
        <v>0</v>
      </c>
      <c r="Z83" s="185">
        <f t="shared" si="114"/>
        <v>0</v>
      </c>
      <c r="AA83" s="197">
        <f t="shared" si="115"/>
        <v>0</v>
      </c>
      <c r="AB83" s="185">
        <f t="shared" si="116"/>
        <v>0</v>
      </c>
      <c r="AC83" s="185">
        <f t="shared" si="116"/>
        <v>0</v>
      </c>
      <c r="AD83" s="185">
        <f t="shared" si="116"/>
        <v>0</v>
      </c>
      <c r="AE83" s="185">
        <f t="shared" si="117"/>
        <v>0</v>
      </c>
      <c r="AF83" s="185">
        <f t="shared" si="118"/>
        <v>0</v>
      </c>
      <c r="AG83" s="185">
        <f t="shared" si="119"/>
        <v>0</v>
      </c>
      <c r="AH83" s="185">
        <f t="shared" si="120"/>
        <v>0</v>
      </c>
      <c r="AI83" s="125">
        <f>BEL!AI83</f>
        <v>0</v>
      </c>
      <c r="AJ83" s="125">
        <f>BEL!AJ83</f>
        <v>0</v>
      </c>
      <c r="AK83" s="125">
        <f>BEL!AK83</f>
        <v>0</v>
      </c>
      <c r="AL83" s="125">
        <f>BEL!AL83</f>
        <v>0</v>
      </c>
      <c r="AM83" s="125">
        <f>BEL!AM83</f>
        <v>0</v>
      </c>
      <c r="AN83" s="125">
        <f>BEL!AN83</f>
        <v>0</v>
      </c>
      <c r="AO83" s="198">
        <f t="shared" si="121"/>
        <v>0</v>
      </c>
      <c r="AP83" s="125">
        <f>BEL!AP83</f>
        <v>0</v>
      </c>
      <c r="AQ83" s="125">
        <f>BEL!AQ83</f>
        <v>0</v>
      </c>
      <c r="AR83" s="125">
        <f>BEL!AR83</f>
        <v>0</v>
      </c>
      <c r="AS83" s="125">
        <f>BEL!AS83</f>
        <v>0</v>
      </c>
      <c r="AT83" s="125">
        <f>BEL!AT83</f>
        <v>0</v>
      </c>
      <c r="AU83" s="127">
        <f>BEL!AU83</f>
        <v>0</v>
      </c>
      <c r="AV83" s="127">
        <f>BEL!AV83</f>
        <v>0</v>
      </c>
      <c r="AW83" s="127">
        <f>BEL!AW83</f>
        <v>0</v>
      </c>
      <c r="AX83" s="127">
        <f t="shared" si="122"/>
        <v>0</v>
      </c>
      <c r="AY83" s="127">
        <f t="shared" si="123"/>
        <v>0</v>
      </c>
      <c r="AZ83" s="127">
        <f t="shared" si="124"/>
        <v>0</v>
      </c>
      <c r="BA83" s="127">
        <f t="shared" si="125"/>
        <v>0</v>
      </c>
      <c r="BB83" s="127">
        <f t="shared" si="126"/>
        <v>0</v>
      </c>
      <c r="BC83" s="127">
        <f t="shared" si="127"/>
        <v>0</v>
      </c>
      <c r="BD83" s="127">
        <f t="shared" si="128"/>
        <v>0</v>
      </c>
      <c r="BE83" s="127">
        <f t="shared" si="129"/>
        <v>0</v>
      </c>
      <c r="BF83" s="127">
        <f t="shared" si="130"/>
        <v>0</v>
      </c>
      <c r="BG83" s="127">
        <f t="shared" si="131"/>
        <v>0</v>
      </c>
      <c r="BH83" s="127">
        <f t="shared" si="132"/>
        <v>0</v>
      </c>
      <c r="BI83" s="127">
        <f t="shared" si="133"/>
        <v>0</v>
      </c>
      <c r="BJ83" s="189">
        <f t="shared" si="134"/>
        <v>0</v>
      </c>
      <c r="BK83" s="189">
        <f t="shared" si="135"/>
        <v>0</v>
      </c>
      <c r="BL83" s="192">
        <f t="shared" si="136"/>
        <v>0</v>
      </c>
      <c r="BM83" s="192">
        <f t="shared" si="137"/>
        <v>0</v>
      </c>
      <c r="BN83" s="192">
        <f t="shared" si="138"/>
        <v>0</v>
      </c>
      <c r="BO83" s="192">
        <f t="shared" si="139"/>
        <v>0</v>
      </c>
      <c r="BP83" s="192">
        <f t="shared" si="140"/>
        <v>0</v>
      </c>
      <c r="BQ83" s="193">
        <f t="shared" si="141"/>
        <v>0</v>
      </c>
      <c r="BR83" s="193">
        <f t="shared" si="142"/>
        <v>0</v>
      </c>
      <c r="BS83" s="188">
        <f t="shared" si="151"/>
        <v>0</v>
      </c>
      <c r="BT83" s="188">
        <f t="shared" si="152"/>
        <v>0</v>
      </c>
      <c r="BU83" s="188">
        <f t="shared" si="153"/>
        <v>0</v>
      </c>
      <c r="BV83" s="188">
        <f t="shared" si="154"/>
        <v>0</v>
      </c>
      <c r="BW83" s="188">
        <f t="shared" si="155"/>
        <v>0</v>
      </c>
      <c r="BX83" s="188">
        <f t="shared" si="156"/>
        <v>0</v>
      </c>
      <c r="BY83" s="188">
        <f t="shared" si="157"/>
        <v>0</v>
      </c>
      <c r="BZ83" s="188">
        <f t="shared" si="158"/>
        <v>0</v>
      </c>
      <c r="CA83" s="188">
        <f t="shared" si="159"/>
        <v>0</v>
      </c>
      <c r="CB83" s="149">
        <f t="shared" si="160"/>
        <v>0</v>
      </c>
      <c r="CC83" s="149">
        <f>CB83-BEL!CB83</f>
        <v>0</v>
      </c>
      <c r="CD83" s="189">
        <f>IF(AND(C83=0,C84=0),0,CB83/W83) - BEL!CC83</f>
        <v>0</v>
      </c>
      <c r="CF83" s="195">
        <f t="shared" si="143"/>
        <v>0</v>
      </c>
      <c r="CG83" s="127">
        <f t="shared" si="144"/>
        <v>0</v>
      </c>
      <c r="CH83" s="128">
        <f>'DATA INPUT - DETAIL'!AH74</f>
        <v>0</v>
      </c>
      <c r="CI83" s="125">
        <f t="shared" si="145"/>
        <v>0</v>
      </c>
      <c r="CJ83" s="199">
        <f t="shared" si="146"/>
        <v>0</v>
      </c>
      <c r="CL83" s="189">
        <f t="shared" si="147"/>
        <v>0</v>
      </c>
      <c r="CM83" s="149">
        <f t="shared" si="148"/>
        <v>0</v>
      </c>
      <c r="CN83" s="128">
        <f>'DATA INPUT - DETAIL'!AH74</f>
        <v>0</v>
      </c>
      <c r="CO83" s="149">
        <f t="shared" si="149"/>
        <v>0</v>
      </c>
      <c r="CP83" s="149">
        <f t="shared" si="161"/>
        <v>0</v>
      </c>
      <c r="CR83" s="126">
        <f t="shared" si="164"/>
        <v>71</v>
      </c>
      <c r="CS83" s="189">
        <f t="shared" si="165"/>
        <v>0</v>
      </c>
      <c r="CT83" s="200">
        <f>CS83/(BEL!CE83+BEL!CA83-BEL!BU83+'RA CSM'!CF83)</f>
        <v>0</v>
      </c>
      <c r="CU83" s="149">
        <f>$CT83*BEL!CH83</f>
        <v>0</v>
      </c>
      <c r="CV83" s="149">
        <f>$CT83*BEL!CI83</f>
        <v>0</v>
      </c>
      <c r="CW83" s="149">
        <f>$CT83*BEL!CJ83</f>
        <v>0</v>
      </c>
      <c r="CX83" s="149">
        <f>$CT83*BEL!CK83</f>
        <v>0</v>
      </c>
      <c r="CY83" s="149">
        <f t="shared" si="162"/>
        <v>0</v>
      </c>
      <c r="CZ83" s="149">
        <f>$CT83*(BEL!CL83+'RA CSM'!CG83)</f>
        <v>0</v>
      </c>
      <c r="DA83" s="149">
        <f t="shared" si="163"/>
        <v>0</v>
      </c>
    </row>
    <row r="84" spans="2:105" x14ac:dyDescent="0.2">
      <c r="B84" s="130">
        <f>BEL!B84</f>
        <v>0</v>
      </c>
      <c r="C84" s="130">
        <f>BEL!C84</f>
        <v>0</v>
      </c>
      <c r="D84" s="190">
        <f>BEL!D84</f>
        <v>0</v>
      </c>
      <c r="E84" s="190">
        <f>BEL!E84</f>
        <v>0</v>
      </c>
      <c r="F84" s="190">
        <f>BEL!F84</f>
        <v>0</v>
      </c>
      <c r="G84" s="190">
        <f>BEL!G84*(1+$V$5)</f>
        <v>0</v>
      </c>
      <c r="H84" s="190">
        <f>BEL!H84*(1+$V$5)</f>
        <v>0</v>
      </c>
      <c r="I84" s="179">
        <f t="shared" si="102"/>
        <v>0</v>
      </c>
      <c r="J84" s="130">
        <f>BEL!J84</f>
        <v>0</v>
      </c>
      <c r="K84" s="130">
        <f>BEL!K84</f>
        <v>0</v>
      </c>
      <c r="L84" s="130">
        <f>BEL!L84</f>
        <v>0</v>
      </c>
      <c r="M84" s="185">
        <f t="shared" si="150"/>
        <v>0</v>
      </c>
      <c r="N84" s="185">
        <f t="shared" si="103"/>
        <v>0</v>
      </c>
      <c r="O84" s="185">
        <f t="shared" si="104"/>
        <v>0</v>
      </c>
      <c r="P84" s="185">
        <f t="shared" si="105"/>
        <v>0</v>
      </c>
      <c r="Q84" s="185">
        <f t="shared" si="106"/>
        <v>0</v>
      </c>
      <c r="R84" s="185">
        <f t="shared" si="107"/>
        <v>0</v>
      </c>
      <c r="S84" s="185">
        <f t="shared" si="108"/>
        <v>0</v>
      </c>
      <c r="T84" s="185">
        <f t="shared" si="109"/>
        <v>0</v>
      </c>
      <c r="U84" s="196">
        <f>(C84&gt;0)*(C84&lt;$E$5)*VLOOKUP(MPP,ASUMSI!$BN$77:$CR$108,B84+1)*(1+$V$4)</f>
        <v>0</v>
      </c>
      <c r="V84" s="185">
        <f t="shared" si="110"/>
        <v>0</v>
      </c>
      <c r="W84" s="185">
        <f t="shared" si="111"/>
        <v>0</v>
      </c>
      <c r="X84" s="185">
        <f t="shared" si="112"/>
        <v>0</v>
      </c>
      <c r="Y84" s="185">
        <f t="shared" si="113"/>
        <v>0</v>
      </c>
      <c r="Z84" s="185">
        <f t="shared" si="114"/>
        <v>0</v>
      </c>
      <c r="AA84" s="197">
        <f t="shared" si="115"/>
        <v>0</v>
      </c>
      <c r="AB84" s="185">
        <f t="shared" si="116"/>
        <v>0</v>
      </c>
      <c r="AC84" s="185">
        <f t="shared" si="116"/>
        <v>0</v>
      </c>
      <c r="AD84" s="185">
        <f t="shared" si="116"/>
        <v>0</v>
      </c>
      <c r="AE84" s="185">
        <f t="shared" si="117"/>
        <v>0</v>
      </c>
      <c r="AF84" s="185">
        <f t="shared" si="118"/>
        <v>0</v>
      </c>
      <c r="AG84" s="185">
        <f t="shared" si="119"/>
        <v>0</v>
      </c>
      <c r="AH84" s="185">
        <f t="shared" si="120"/>
        <v>0</v>
      </c>
      <c r="AI84" s="125">
        <f>BEL!AI84</f>
        <v>0</v>
      </c>
      <c r="AJ84" s="125">
        <f>BEL!AJ84</f>
        <v>0</v>
      </c>
      <c r="AK84" s="125">
        <f>BEL!AK84</f>
        <v>0</v>
      </c>
      <c r="AL84" s="125">
        <f>BEL!AL84</f>
        <v>0</v>
      </c>
      <c r="AM84" s="125">
        <f>BEL!AM84</f>
        <v>0</v>
      </c>
      <c r="AN84" s="125">
        <f>BEL!AN84</f>
        <v>0</v>
      </c>
      <c r="AO84" s="198">
        <f t="shared" si="121"/>
        <v>0</v>
      </c>
      <c r="AP84" s="125">
        <f>BEL!AP84</f>
        <v>0</v>
      </c>
      <c r="AQ84" s="125">
        <f>BEL!AQ84</f>
        <v>0</v>
      </c>
      <c r="AR84" s="125">
        <f>BEL!AR84</f>
        <v>0</v>
      </c>
      <c r="AS84" s="125">
        <f>BEL!AS84</f>
        <v>0</v>
      </c>
      <c r="AT84" s="125">
        <f>BEL!AT84</f>
        <v>0</v>
      </c>
      <c r="AU84" s="127">
        <f>BEL!AU84</f>
        <v>0</v>
      </c>
      <c r="AV84" s="127">
        <f>BEL!AV84</f>
        <v>0</v>
      </c>
      <c r="AW84" s="127">
        <f>BEL!AW84</f>
        <v>0</v>
      </c>
      <c r="AX84" s="127">
        <f t="shared" si="122"/>
        <v>0</v>
      </c>
      <c r="AY84" s="127">
        <f t="shared" si="123"/>
        <v>0</v>
      </c>
      <c r="AZ84" s="127">
        <f t="shared" si="124"/>
        <v>0</v>
      </c>
      <c r="BA84" s="127">
        <f t="shared" si="125"/>
        <v>0</v>
      </c>
      <c r="BB84" s="127">
        <f t="shared" si="126"/>
        <v>0</v>
      </c>
      <c r="BC84" s="127">
        <f t="shared" si="127"/>
        <v>0</v>
      </c>
      <c r="BD84" s="127">
        <f t="shared" si="128"/>
        <v>0</v>
      </c>
      <c r="BE84" s="127">
        <f t="shared" si="129"/>
        <v>0</v>
      </c>
      <c r="BF84" s="127">
        <f t="shared" si="130"/>
        <v>0</v>
      </c>
      <c r="BG84" s="127">
        <f t="shared" si="131"/>
        <v>0</v>
      </c>
      <c r="BH84" s="127">
        <f t="shared" si="132"/>
        <v>0</v>
      </c>
      <c r="BI84" s="127">
        <f t="shared" si="133"/>
        <v>0</v>
      </c>
      <c r="BJ84" s="189">
        <f t="shared" si="134"/>
        <v>0</v>
      </c>
      <c r="BK84" s="189">
        <f t="shared" si="135"/>
        <v>0</v>
      </c>
      <c r="BL84" s="192">
        <f t="shared" si="136"/>
        <v>0</v>
      </c>
      <c r="BM84" s="192">
        <f t="shared" si="137"/>
        <v>0</v>
      </c>
      <c r="BN84" s="192">
        <f t="shared" si="138"/>
        <v>0</v>
      </c>
      <c r="BO84" s="192">
        <f t="shared" si="139"/>
        <v>0</v>
      </c>
      <c r="BP84" s="192">
        <f t="shared" si="140"/>
        <v>0</v>
      </c>
      <c r="BQ84" s="193">
        <f t="shared" si="141"/>
        <v>0</v>
      </c>
      <c r="BR84" s="193">
        <f t="shared" si="142"/>
        <v>0</v>
      </c>
      <c r="BS84" s="188">
        <f t="shared" si="151"/>
        <v>0</v>
      </c>
      <c r="BT84" s="188">
        <f t="shared" si="152"/>
        <v>0</v>
      </c>
      <c r="BU84" s="188">
        <f t="shared" si="153"/>
        <v>0</v>
      </c>
      <c r="BV84" s="188">
        <f t="shared" si="154"/>
        <v>0</v>
      </c>
      <c r="BW84" s="188">
        <f t="shared" si="155"/>
        <v>0</v>
      </c>
      <c r="BX84" s="188">
        <f t="shared" si="156"/>
        <v>0</v>
      </c>
      <c r="BY84" s="188">
        <f t="shared" si="157"/>
        <v>0</v>
      </c>
      <c r="BZ84" s="188">
        <f t="shared" si="158"/>
        <v>0</v>
      </c>
      <c r="CA84" s="188">
        <f t="shared" si="159"/>
        <v>0</v>
      </c>
      <c r="CB84" s="149">
        <f t="shared" si="160"/>
        <v>0</v>
      </c>
      <c r="CC84" s="149">
        <f>CB84-BEL!CB84</f>
        <v>0</v>
      </c>
      <c r="CD84" s="189">
        <f>IF(AND(C84=0,C85=0),0,CB84/W84) - BEL!CC84</f>
        <v>0</v>
      </c>
      <c r="CF84" s="195">
        <f t="shared" si="143"/>
        <v>0</v>
      </c>
      <c r="CG84" s="127">
        <f t="shared" si="144"/>
        <v>0</v>
      </c>
      <c r="CH84" s="128">
        <f>'DATA INPUT - DETAIL'!AH75</f>
        <v>0</v>
      </c>
      <c r="CI84" s="125">
        <f t="shared" si="145"/>
        <v>0</v>
      </c>
      <c r="CJ84" s="199">
        <f t="shared" si="146"/>
        <v>0</v>
      </c>
      <c r="CL84" s="189">
        <f t="shared" si="147"/>
        <v>0</v>
      </c>
      <c r="CM84" s="149">
        <f t="shared" si="148"/>
        <v>0</v>
      </c>
      <c r="CN84" s="128">
        <f>'DATA INPUT - DETAIL'!AH75</f>
        <v>0</v>
      </c>
      <c r="CO84" s="149">
        <f t="shared" si="149"/>
        <v>0</v>
      </c>
      <c r="CP84" s="149">
        <f t="shared" si="161"/>
        <v>0</v>
      </c>
      <c r="CR84" s="126">
        <f t="shared" si="164"/>
        <v>72</v>
      </c>
      <c r="CS84" s="189">
        <f t="shared" si="165"/>
        <v>0</v>
      </c>
      <c r="CT84" s="200">
        <f>CS84/(BEL!CE84+BEL!CA84-BEL!BU84+'RA CSM'!CF84)</f>
        <v>0</v>
      </c>
      <c r="CU84" s="149">
        <f>$CT84*BEL!CH84</f>
        <v>0</v>
      </c>
      <c r="CV84" s="149">
        <f>$CT84*BEL!CI84</f>
        <v>0</v>
      </c>
      <c r="CW84" s="149">
        <f>$CT84*BEL!CJ84</f>
        <v>0</v>
      </c>
      <c r="CX84" s="149">
        <f>$CT84*BEL!CK84</f>
        <v>0</v>
      </c>
      <c r="CY84" s="149">
        <f t="shared" si="162"/>
        <v>0</v>
      </c>
      <c r="CZ84" s="149">
        <f>$CT84*(BEL!CL84+'RA CSM'!CG84)</f>
        <v>0</v>
      </c>
      <c r="DA84" s="149">
        <f t="shared" si="163"/>
        <v>0</v>
      </c>
    </row>
    <row r="85" spans="2:105" x14ac:dyDescent="0.2">
      <c r="B85" s="130">
        <f>BEL!B85</f>
        <v>0</v>
      </c>
      <c r="C85" s="130">
        <f>BEL!C85</f>
        <v>0</v>
      </c>
      <c r="D85" s="190">
        <f>BEL!D85</f>
        <v>0</v>
      </c>
      <c r="E85" s="190">
        <f>BEL!E85</f>
        <v>0</v>
      </c>
      <c r="F85" s="190">
        <f>BEL!F85</f>
        <v>0</v>
      </c>
      <c r="G85" s="190">
        <f>BEL!G85*(1+$V$5)</f>
        <v>0</v>
      </c>
      <c r="H85" s="190">
        <f>BEL!H85*(1+$V$5)</f>
        <v>0</v>
      </c>
      <c r="I85" s="179">
        <f t="shared" si="102"/>
        <v>0</v>
      </c>
      <c r="J85" s="130">
        <f>BEL!J85</f>
        <v>0</v>
      </c>
      <c r="K85" s="130">
        <f>BEL!K85</f>
        <v>0</v>
      </c>
      <c r="L85" s="130">
        <f>BEL!L85</f>
        <v>0</v>
      </c>
      <c r="M85" s="185">
        <f t="shared" si="150"/>
        <v>0</v>
      </c>
      <c r="N85" s="185">
        <f t="shared" si="103"/>
        <v>0</v>
      </c>
      <c r="O85" s="185">
        <f t="shared" si="104"/>
        <v>0</v>
      </c>
      <c r="P85" s="185">
        <f t="shared" si="105"/>
        <v>0</v>
      </c>
      <c r="Q85" s="185">
        <f t="shared" si="106"/>
        <v>0</v>
      </c>
      <c r="R85" s="185">
        <f t="shared" si="107"/>
        <v>0</v>
      </c>
      <c r="S85" s="185">
        <f t="shared" si="108"/>
        <v>0</v>
      </c>
      <c r="T85" s="185">
        <f t="shared" si="109"/>
        <v>0</v>
      </c>
      <c r="U85" s="196">
        <f>(C85&gt;0)*(C85&lt;$E$5)*VLOOKUP(MPP,ASUMSI!$BN$77:$CR$108,B85+1)*(1+$V$4)</f>
        <v>0</v>
      </c>
      <c r="V85" s="185">
        <f t="shared" si="110"/>
        <v>0</v>
      </c>
      <c r="W85" s="185">
        <f t="shared" si="111"/>
        <v>0</v>
      </c>
      <c r="X85" s="185">
        <f t="shared" si="112"/>
        <v>0</v>
      </c>
      <c r="Y85" s="185">
        <f t="shared" si="113"/>
        <v>0</v>
      </c>
      <c r="Z85" s="185">
        <f t="shared" si="114"/>
        <v>0</v>
      </c>
      <c r="AA85" s="197">
        <f t="shared" si="115"/>
        <v>0</v>
      </c>
      <c r="AB85" s="185">
        <f t="shared" si="116"/>
        <v>0</v>
      </c>
      <c r="AC85" s="185">
        <f t="shared" si="116"/>
        <v>0</v>
      </c>
      <c r="AD85" s="185">
        <f t="shared" si="116"/>
        <v>0</v>
      </c>
      <c r="AE85" s="185">
        <f t="shared" si="117"/>
        <v>0</v>
      </c>
      <c r="AF85" s="185">
        <f t="shared" si="118"/>
        <v>0</v>
      </c>
      <c r="AG85" s="185">
        <f t="shared" si="119"/>
        <v>0</v>
      </c>
      <c r="AH85" s="185">
        <f t="shared" si="120"/>
        <v>0</v>
      </c>
      <c r="AI85" s="125">
        <f>BEL!AI85</f>
        <v>0</v>
      </c>
      <c r="AJ85" s="125">
        <f>BEL!AJ85</f>
        <v>0</v>
      </c>
      <c r="AK85" s="125">
        <f>BEL!AK85</f>
        <v>0</v>
      </c>
      <c r="AL85" s="125">
        <f>BEL!AL85</f>
        <v>0</v>
      </c>
      <c r="AM85" s="125">
        <f>BEL!AM85</f>
        <v>0</v>
      </c>
      <c r="AN85" s="125">
        <f>BEL!AN85</f>
        <v>0</v>
      </c>
      <c r="AO85" s="198">
        <f t="shared" si="121"/>
        <v>0</v>
      </c>
      <c r="AP85" s="125">
        <f>BEL!AP85</f>
        <v>0</v>
      </c>
      <c r="AQ85" s="125">
        <f>BEL!AQ85</f>
        <v>0</v>
      </c>
      <c r="AR85" s="125">
        <f>BEL!AR85</f>
        <v>0</v>
      </c>
      <c r="AS85" s="125">
        <f>BEL!AS85</f>
        <v>0</v>
      </c>
      <c r="AT85" s="125">
        <f>BEL!AT85</f>
        <v>0</v>
      </c>
      <c r="AU85" s="127">
        <f>BEL!AU85</f>
        <v>0</v>
      </c>
      <c r="AV85" s="127">
        <f>BEL!AV85</f>
        <v>0</v>
      </c>
      <c r="AW85" s="127">
        <f>BEL!AW85</f>
        <v>0</v>
      </c>
      <c r="AX85" s="127">
        <f t="shared" si="122"/>
        <v>0</v>
      </c>
      <c r="AY85" s="127">
        <f t="shared" si="123"/>
        <v>0</v>
      </c>
      <c r="AZ85" s="127">
        <f t="shared" si="124"/>
        <v>0</v>
      </c>
      <c r="BA85" s="127">
        <f t="shared" si="125"/>
        <v>0</v>
      </c>
      <c r="BB85" s="127">
        <f t="shared" si="126"/>
        <v>0</v>
      </c>
      <c r="BC85" s="127">
        <f t="shared" si="127"/>
        <v>0</v>
      </c>
      <c r="BD85" s="127">
        <f t="shared" si="128"/>
        <v>0</v>
      </c>
      <c r="BE85" s="127">
        <f t="shared" si="129"/>
        <v>0</v>
      </c>
      <c r="BF85" s="127">
        <f t="shared" si="130"/>
        <v>0</v>
      </c>
      <c r="BG85" s="127">
        <f t="shared" si="131"/>
        <v>0</v>
      </c>
      <c r="BH85" s="127">
        <f t="shared" si="132"/>
        <v>0</v>
      </c>
      <c r="BI85" s="127">
        <f t="shared" si="133"/>
        <v>0</v>
      </c>
      <c r="BJ85" s="189">
        <f t="shared" si="134"/>
        <v>0</v>
      </c>
      <c r="BK85" s="189">
        <f t="shared" si="135"/>
        <v>0</v>
      </c>
      <c r="BL85" s="192">
        <f t="shared" si="136"/>
        <v>0</v>
      </c>
      <c r="BM85" s="192">
        <f t="shared" si="137"/>
        <v>0</v>
      </c>
      <c r="BN85" s="192">
        <f t="shared" si="138"/>
        <v>0</v>
      </c>
      <c r="BO85" s="192">
        <f t="shared" si="139"/>
        <v>0</v>
      </c>
      <c r="BP85" s="192">
        <f t="shared" si="140"/>
        <v>0</v>
      </c>
      <c r="BQ85" s="193">
        <f t="shared" si="141"/>
        <v>0</v>
      </c>
      <c r="BR85" s="193">
        <f t="shared" si="142"/>
        <v>0</v>
      </c>
      <c r="BS85" s="188">
        <f t="shared" si="151"/>
        <v>0</v>
      </c>
      <c r="BT85" s="188">
        <f t="shared" si="152"/>
        <v>0</v>
      </c>
      <c r="BU85" s="188">
        <f t="shared" si="153"/>
        <v>0</v>
      </c>
      <c r="BV85" s="188">
        <f t="shared" si="154"/>
        <v>0</v>
      </c>
      <c r="BW85" s="188">
        <f t="shared" si="155"/>
        <v>0</v>
      </c>
      <c r="BX85" s="188">
        <f t="shared" si="156"/>
        <v>0</v>
      </c>
      <c r="BY85" s="188">
        <f t="shared" si="157"/>
        <v>0</v>
      </c>
      <c r="BZ85" s="188">
        <f t="shared" si="158"/>
        <v>0</v>
      </c>
      <c r="CA85" s="188">
        <f t="shared" si="159"/>
        <v>0</v>
      </c>
      <c r="CB85" s="149">
        <f t="shared" si="160"/>
        <v>0</v>
      </c>
      <c r="CC85" s="149">
        <f>CB85-BEL!CB85</f>
        <v>0</v>
      </c>
      <c r="CD85" s="189">
        <f>IF(AND(C85=0,C86=0),0,CB85/W85) - BEL!CC85</f>
        <v>0</v>
      </c>
      <c r="CF85" s="195">
        <f t="shared" si="143"/>
        <v>0</v>
      </c>
      <c r="CG85" s="127">
        <f t="shared" si="144"/>
        <v>0</v>
      </c>
      <c r="CH85" s="128">
        <f>'DATA INPUT - DETAIL'!AH76</f>
        <v>0</v>
      </c>
      <c r="CI85" s="125">
        <f t="shared" si="145"/>
        <v>0</v>
      </c>
      <c r="CJ85" s="199">
        <f t="shared" si="146"/>
        <v>0</v>
      </c>
      <c r="CL85" s="189">
        <f t="shared" si="147"/>
        <v>0</v>
      </c>
      <c r="CM85" s="149">
        <f t="shared" si="148"/>
        <v>0</v>
      </c>
      <c r="CN85" s="128">
        <f>'DATA INPUT - DETAIL'!AH76</f>
        <v>0</v>
      </c>
      <c r="CO85" s="149">
        <f t="shared" si="149"/>
        <v>0</v>
      </c>
      <c r="CP85" s="149">
        <f t="shared" si="161"/>
        <v>0</v>
      </c>
      <c r="CR85" s="126">
        <f t="shared" si="164"/>
        <v>73</v>
      </c>
      <c r="CS85" s="189">
        <f t="shared" si="165"/>
        <v>0</v>
      </c>
      <c r="CT85" s="200">
        <f>CS85/(BEL!CE85+BEL!CA85-BEL!BU85+'RA CSM'!CF85)</f>
        <v>0</v>
      </c>
      <c r="CU85" s="149">
        <f>$CT85*BEL!CH85</f>
        <v>0</v>
      </c>
      <c r="CV85" s="149">
        <f>$CT85*BEL!CI85</f>
        <v>0</v>
      </c>
      <c r="CW85" s="149">
        <f>$CT85*BEL!CJ85</f>
        <v>0</v>
      </c>
      <c r="CX85" s="149">
        <f>$CT85*BEL!CK85</f>
        <v>0</v>
      </c>
      <c r="CY85" s="149">
        <f t="shared" si="162"/>
        <v>0</v>
      </c>
      <c r="CZ85" s="149">
        <f>$CT85*(BEL!CL85+'RA CSM'!CG85)</f>
        <v>0</v>
      </c>
      <c r="DA85" s="149">
        <f t="shared" si="163"/>
        <v>0</v>
      </c>
    </row>
    <row r="86" spans="2:105" x14ac:dyDescent="0.2">
      <c r="B86" s="130">
        <f>BEL!B86</f>
        <v>0</v>
      </c>
      <c r="C86" s="130">
        <f>BEL!C86</f>
        <v>0</v>
      </c>
      <c r="D86" s="190">
        <f>BEL!D86</f>
        <v>0</v>
      </c>
      <c r="E86" s="190">
        <f>BEL!E86</f>
        <v>0</v>
      </c>
      <c r="F86" s="190">
        <f>BEL!F86</f>
        <v>0</v>
      </c>
      <c r="G86" s="190">
        <f>BEL!G86*(1+$V$5)</f>
        <v>0</v>
      </c>
      <c r="H86" s="190">
        <f>BEL!H86*(1+$V$5)</f>
        <v>0</v>
      </c>
      <c r="I86" s="179">
        <f t="shared" si="102"/>
        <v>0</v>
      </c>
      <c r="J86" s="130">
        <f>BEL!J86</f>
        <v>0</v>
      </c>
      <c r="K86" s="130">
        <f>BEL!K86</f>
        <v>0</v>
      </c>
      <c r="L86" s="130">
        <f>BEL!L86</f>
        <v>0</v>
      </c>
      <c r="M86" s="185">
        <f t="shared" si="150"/>
        <v>0</v>
      </c>
      <c r="N86" s="185">
        <f t="shared" si="103"/>
        <v>0</v>
      </c>
      <c r="O86" s="185">
        <f t="shared" si="104"/>
        <v>0</v>
      </c>
      <c r="P86" s="185">
        <f t="shared" si="105"/>
        <v>0</v>
      </c>
      <c r="Q86" s="185">
        <f t="shared" si="106"/>
        <v>0</v>
      </c>
      <c r="R86" s="185">
        <f t="shared" si="107"/>
        <v>0</v>
      </c>
      <c r="S86" s="185">
        <f t="shared" si="108"/>
        <v>0</v>
      </c>
      <c r="T86" s="185">
        <f t="shared" si="109"/>
        <v>0</v>
      </c>
      <c r="U86" s="196">
        <f>(C86&gt;0)*(C86&lt;$E$5)*VLOOKUP(MPP,ASUMSI!$BN$77:$CR$108,B86+1)*(1+$V$4)</f>
        <v>0</v>
      </c>
      <c r="V86" s="185">
        <f t="shared" si="110"/>
        <v>0</v>
      </c>
      <c r="W86" s="185">
        <f t="shared" si="111"/>
        <v>0</v>
      </c>
      <c r="X86" s="185">
        <f t="shared" si="112"/>
        <v>0</v>
      </c>
      <c r="Y86" s="185">
        <f t="shared" si="113"/>
        <v>0</v>
      </c>
      <c r="Z86" s="185">
        <f t="shared" si="114"/>
        <v>0</v>
      </c>
      <c r="AA86" s="197">
        <f t="shared" si="115"/>
        <v>0</v>
      </c>
      <c r="AB86" s="185">
        <f t="shared" si="116"/>
        <v>0</v>
      </c>
      <c r="AC86" s="185">
        <f t="shared" si="116"/>
        <v>0</v>
      </c>
      <c r="AD86" s="185">
        <f t="shared" si="116"/>
        <v>0</v>
      </c>
      <c r="AE86" s="185">
        <f t="shared" si="117"/>
        <v>0</v>
      </c>
      <c r="AF86" s="185">
        <f t="shared" si="118"/>
        <v>0</v>
      </c>
      <c r="AG86" s="185">
        <f t="shared" si="119"/>
        <v>0</v>
      </c>
      <c r="AH86" s="185">
        <f t="shared" si="120"/>
        <v>0</v>
      </c>
      <c r="AI86" s="125">
        <f>BEL!AI86</f>
        <v>0</v>
      </c>
      <c r="AJ86" s="125">
        <f>BEL!AJ86</f>
        <v>0</v>
      </c>
      <c r="AK86" s="125">
        <f>BEL!AK86</f>
        <v>0</v>
      </c>
      <c r="AL86" s="125">
        <f>BEL!AL86</f>
        <v>0</v>
      </c>
      <c r="AM86" s="125">
        <f>BEL!AM86</f>
        <v>0</v>
      </c>
      <c r="AN86" s="125">
        <f>BEL!AN86</f>
        <v>0</v>
      </c>
      <c r="AO86" s="198">
        <f t="shared" si="121"/>
        <v>0</v>
      </c>
      <c r="AP86" s="125">
        <f>BEL!AP86</f>
        <v>0</v>
      </c>
      <c r="AQ86" s="125">
        <f>BEL!AQ86</f>
        <v>0</v>
      </c>
      <c r="AR86" s="125">
        <f>BEL!AR86</f>
        <v>0</v>
      </c>
      <c r="AS86" s="125">
        <f>BEL!AS86</f>
        <v>0</v>
      </c>
      <c r="AT86" s="125">
        <f>BEL!AT86</f>
        <v>0</v>
      </c>
      <c r="AU86" s="127">
        <f>BEL!AU86</f>
        <v>0</v>
      </c>
      <c r="AV86" s="127">
        <f>BEL!AV86</f>
        <v>0</v>
      </c>
      <c r="AW86" s="127">
        <f>BEL!AW86</f>
        <v>0</v>
      </c>
      <c r="AX86" s="127">
        <f t="shared" si="122"/>
        <v>0</v>
      </c>
      <c r="AY86" s="127">
        <f t="shared" si="123"/>
        <v>0</v>
      </c>
      <c r="AZ86" s="127">
        <f t="shared" si="124"/>
        <v>0</v>
      </c>
      <c r="BA86" s="127">
        <f t="shared" si="125"/>
        <v>0</v>
      </c>
      <c r="BB86" s="127">
        <f t="shared" si="126"/>
        <v>0</v>
      </c>
      <c r="BC86" s="127">
        <f t="shared" si="127"/>
        <v>0</v>
      </c>
      <c r="BD86" s="127">
        <f t="shared" si="128"/>
        <v>0</v>
      </c>
      <c r="BE86" s="127">
        <f t="shared" si="129"/>
        <v>0</v>
      </c>
      <c r="BF86" s="127">
        <f t="shared" si="130"/>
        <v>0</v>
      </c>
      <c r="BG86" s="127">
        <f t="shared" si="131"/>
        <v>0</v>
      </c>
      <c r="BH86" s="127">
        <f t="shared" si="132"/>
        <v>0</v>
      </c>
      <c r="BI86" s="127">
        <f t="shared" si="133"/>
        <v>0</v>
      </c>
      <c r="BJ86" s="189">
        <f t="shared" si="134"/>
        <v>0</v>
      </c>
      <c r="BK86" s="189">
        <f t="shared" si="135"/>
        <v>0</v>
      </c>
      <c r="BL86" s="192">
        <f t="shared" si="136"/>
        <v>0</v>
      </c>
      <c r="BM86" s="192">
        <f t="shared" si="137"/>
        <v>0</v>
      </c>
      <c r="BN86" s="192">
        <f t="shared" si="138"/>
        <v>0</v>
      </c>
      <c r="BO86" s="192">
        <f t="shared" si="139"/>
        <v>0</v>
      </c>
      <c r="BP86" s="192">
        <f t="shared" si="140"/>
        <v>0</v>
      </c>
      <c r="BQ86" s="193">
        <f t="shared" si="141"/>
        <v>0</v>
      </c>
      <c r="BR86" s="193">
        <f t="shared" si="142"/>
        <v>0</v>
      </c>
      <c r="BS86" s="188">
        <f t="shared" si="151"/>
        <v>0</v>
      </c>
      <c r="BT86" s="188">
        <f t="shared" si="152"/>
        <v>0</v>
      </c>
      <c r="BU86" s="188">
        <f t="shared" si="153"/>
        <v>0</v>
      </c>
      <c r="BV86" s="188">
        <f t="shared" si="154"/>
        <v>0</v>
      </c>
      <c r="BW86" s="188">
        <f t="shared" si="155"/>
        <v>0</v>
      </c>
      <c r="BX86" s="188">
        <f t="shared" si="156"/>
        <v>0</v>
      </c>
      <c r="BY86" s="188">
        <f t="shared" si="157"/>
        <v>0</v>
      </c>
      <c r="BZ86" s="188">
        <f t="shared" si="158"/>
        <v>0</v>
      </c>
      <c r="CA86" s="188">
        <f t="shared" si="159"/>
        <v>0</v>
      </c>
      <c r="CB86" s="149">
        <f t="shared" si="160"/>
        <v>0</v>
      </c>
      <c r="CC86" s="149">
        <f>CB86-BEL!CB86</f>
        <v>0</v>
      </c>
      <c r="CD86" s="189">
        <f>IF(AND(C86=0,C87=0),0,CB86/W86) - BEL!CC86</f>
        <v>0</v>
      </c>
      <c r="CF86" s="195">
        <f t="shared" si="143"/>
        <v>0</v>
      </c>
      <c r="CG86" s="127">
        <f t="shared" si="144"/>
        <v>0</v>
      </c>
      <c r="CH86" s="128">
        <f>'DATA INPUT - DETAIL'!AH77</f>
        <v>0</v>
      </c>
      <c r="CI86" s="125">
        <f t="shared" si="145"/>
        <v>0</v>
      </c>
      <c r="CJ86" s="199">
        <f t="shared" si="146"/>
        <v>0</v>
      </c>
      <c r="CL86" s="189">
        <f t="shared" si="147"/>
        <v>0</v>
      </c>
      <c r="CM86" s="149">
        <f t="shared" si="148"/>
        <v>0</v>
      </c>
      <c r="CN86" s="128">
        <f>'DATA INPUT - DETAIL'!AH77</f>
        <v>0</v>
      </c>
      <c r="CO86" s="149">
        <f t="shared" si="149"/>
        <v>0</v>
      </c>
      <c r="CP86" s="149">
        <f t="shared" si="161"/>
        <v>0</v>
      </c>
      <c r="CR86" s="126">
        <f t="shared" si="164"/>
        <v>74</v>
      </c>
      <c r="CS86" s="189">
        <f t="shared" si="165"/>
        <v>0</v>
      </c>
      <c r="CT86" s="200">
        <f>CS86/(BEL!CE86+BEL!CA86-BEL!BU86+'RA CSM'!CF86)</f>
        <v>0</v>
      </c>
      <c r="CU86" s="149">
        <f>$CT86*BEL!CH86</f>
        <v>0</v>
      </c>
      <c r="CV86" s="149">
        <f>$CT86*BEL!CI86</f>
        <v>0</v>
      </c>
      <c r="CW86" s="149">
        <f>$CT86*BEL!CJ86</f>
        <v>0</v>
      </c>
      <c r="CX86" s="149">
        <f>$CT86*BEL!CK86</f>
        <v>0</v>
      </c>
      <c r="CY86" s="149">
        <f t="shared" si="162"/>
        <v>0</v>
      </c>
      <c r="CZ86" s="149">
        <f>$CT86*(BEL!CL86+'RA CSM'!CG86)</f>
        <v>0</v>
      </c>
      <c r="DA86" s="149">
        <f t="shared" si="163"/>
        <v>0</v>
      </c>
    </row>
    <row r="87" spans="2:105" x14ac:dyDescent="0.2">
      <c r="B87" s="130">
        <f>BEL!B87</f>
        <v>0</v>
      </c>
      <c r="C87" s="130">
        <f>BEL!C87</f>
        <v>0</v>
      </c>
      <c r="D87" s="190">
        <f>BEL!D87</f>
        <v>0</v>
      </c>
      <c r="E87" s="190">
        <f>BEL!E87</f>
        <v>0</v>
      </c>
      <c r="F87" s="190">
        <f>BEL!F87</f>
        <v>0</v>
      </c>
      <c r="G87" s="190">
        <f>BEL!G87*(1+$V$5)</f>
        <v>0</v>
      </c>
      <c r="H87" s="190">
        <f>BEL!H87*(1+$V$5)</f>
        <v>0</v>
      </c>
      <c r="I87" s="179">
        <f t="shared" si="102"/>
        <v>0</v>
      </c>
      <c r="J87" s="130">
        <f>BEL!J87</f>
        <v>0</v>
      </c>
      <c r="K87" s="130">
        <f>BEL!K87</f>
        <v>0</v>
      </c>
      <c r="L87" s="130">
        <f>BEL!L87</f>
        <v>0</v>
      </c>
      <c r="M87" s="185">
        <f t="shared" si="150"/>
        <v>0</v>
      </c>
      <c r="N87" s="185">
        <f t="shared" si="103"/>
        <v>0</v>
      </c>
      <c r="O87" s="185">
        <f t="shared" si="104"/>
        <v>0</v>
      </c>
      <c r="P87" s="185">
        <f t="shared" si="105"/>
        <v>0</v>
      </c>
      <c r="Q87" s="185">
        <f t="shared" si="106"/>
        <v>0</v>
      </c>
      <c r="R87" s="185">
        <f t="shared" si="107"/>
        <v>0</v>
      </c>
      <c r="S87" s="185">
        <f t="shared" si="108"/>
        <v>0</v>
      </c>
      <c r="T87" s="185">
        <f t="shared" si="109"/>
        <v>0</v>
      </c>
      <c r="U87" s="196">
        <f>(C87&gt;0)*(C87&lt;$E$5)*VLOOKUP(MPP,ASUMSI!$BN$77:$CR$108,B87+1)*(1+$V$4)</f>
        <v>0</v>
      </c>
      <c r="V87" s="185">
        <f t="shared" si="110"/>
        <v>0</v>
      </c>
      <c r="W87" s="185">
        <f t="shared" si="111"/>
        <v>0</v>
      </c>
      <c r="X87" s="185">
        <f t="shared" si="112"/>
        <v>0</v>
      </c>
      <c r="Y87" s="185">
        <f t="shared" si="113"/>
        <v>0</v>
      </c>
      <c r="Z87" s="185">
        <f t="shared" si="114"/>
        <v>0</v>
      </c>
      <c r="AA87" s="197">
        <f t="shared" si="115"/>
        <v>0</v>
      </c>
      <c r="AB87" s="185">
        <f t="shared" si="116"/>
        <v>0</v>
      </c>
      <c r="AC87" s="185">
        <f t="shared" si="116"/>
        <v>0</v>
      </c>
      <c r="AD87" s="185">
        <f t="shared" si="116"/>
        <v>0</v>
      </c>
      <c r="AE87" s="185">
        <f t="shared" si="117"/>
        <v>0</v>
      </c>
      <c r="AF87" s="185">
        <f t="shared" si="118"/>
        <v>0</v>
      </c>
      <c r="AG87" s="185">
        <f t="shared" si="119"/>
        <v>0</v>
      </c>
      <c r="AH87" s="185">
        <f t="shared" si="120"/>
        <v>0</v>
      </c>
      <c r="AI87" s="125">
        <f>BEL!AI87</f>
        <v>0</v>
      </c>
      <c r="AJ87" s="125">
        <f>BEL!AJ87</f>
        <v>0</v>
      </c>
      <c r="AK87" s="125">
        <f>BEL!AK87</f>
        <v>0</v>
      </c>
      <c r="AL87" s="125">
        <f>BEL!AL87</f>
        <v>0</v>
      </c>
      <c r="AM87" s="125">
        <f>BEL!AM87</f>
        <v>0</v>
      </c>
      <c r="AN87" s="125">
        <f>BEL!AN87</f>
        <v>0</v>
      </c>
      <c r="AO87" s="198">
        <f t="shared" si="121"/>
        <v>0</v>
      </c>
      <c r="AP87" s="125">
        <f>BEL!AP87</f>
        <v>0</v>
      </c>
      <c r="AQ87" s="125">
        <f>BEL!AQ87</f>
        <v>0</v>
      </c>
      <c r="AR87" s="125">
        <f>BEL!AR87</f>
        <v>0</v>
      </c>
      <c r="AS87" s="125">
        <f>BEL!AS87</f>
        <v>0</v>
      </c>
      <c r="AT87" s="125">
        <f>BEL!AT87</f>
        <v>0</v>
      </c>
      <c r="AU87" s="127">
        <f>BEL!AU87</f>
        <v>0</v>
      </c>
      <c r="AV87" s="127">
        <f>BEL!AV87</f>
        <v>0</v>
      </c>
      <c r="AW87" s="127">
        <f>BEL!AW87</f>
        <v>0</v>
      </c>
      <c r="AX87" s="127">
        <f t="shared" si="122"/>
        <v>0</v>
      </c>
      <c r="AY87" s="127">
        <f t="shared" si="123"/>
        <v>0</v>
      </c>
      <c r="AZ87" s="127">
        <f t="shared" si="124"/>
        <v>0</v>
      </c>
      <c r="BA87" s="127">
        <f t="shared" si="125"/>
        <v>0</v>
      </c>
      <c r="BB87" s="127">
        <f t="shared" si="126"/>
        <v>0</v>
      </c>
      <c r="BC87" s="127">
        <f t="shared" si="127"/>
        <v>0</v>
      </c>
      <c r="BD87" s="127">
        <f t="shared" si="128"/>
        <v>0</v>
      </c>
      <c r="BE87" s="127">
        <f t="shared" si="129"/>
        <v>0</v>
      </c>
      <c r="BF87" s="127">
        <f t="shared" si="130"/>
        <v>0</v>
      </c>
      <c r="BG87" s="127">
        <f t="shared" si="131"/>
        <v>0</v>
      </c>
      <c r="BH87" s="127">
        <f t="shared" si="132"/>
        <v>0</v>
      </c>
      <c r="BI87" s="127">
        <f t="shared" si="133"/>
        <v>0</v>
      </c>
      <c r="BJ87" s="189">
        <f t="shared" si="134"/>
        <v>0</v>
      </c>
      <c r="BK87" s="189">
        <f t="shared" si="135"/>
        <v>0</v>
      </c>
      <c r="BL87" s="192">
        <f t="shared" si="136"/>
        <v>0</v>
      </c>
      <c r="BM87" s="192">
        <f t="shared" si="137"/>
        <v>0</v>
      </c>
      <c r="BN87" s="192">
        <f t="shared" si="138"/>
        <v>0</v>
      </c>
      <c r="BO87" s="192">
        <f t="shared" si="139"/>
        <v>0</v>
      </c>
      <c r="BP87" s="192">
        <f t="shared" si="140"/>
        <v>0</v>
      </c>
      <c r="BQ87" s="193">
        <f t="shared" si="141"/>
        <v>0</v>
      </c>
      <c r="BR87" s="193">
        <f t="shared" si="142"/>
        <v>0</v>
      </c>
      <c r="BS87" s="188">
        <f t="shared" si="151"/>
        <v>0</v>
      </c>
      <c r="BT87" s="188">
        <f t="shared" si="152"/>
        <v>0</v>
      </c>
      <c r="BU87" s="188">
        <f t="shared" si="153"/>
        <v>0</v>
      </c>
      <c r="BV87" s="188">
        <f t="shared" si="154"/>
        <v>0</v>
      </c>
      <c r="BW87" s="188">
        <f t="shared" si="155"/>
        <v>0</v>
      </c>
      <c r="BX87" s="188">
        <f t="shared" si="156"/>
        <v>0</v>
      </c>
      <c r="BY87" s="188">
        <f t="shared" si="157"/>
        <v>0</v>
      </c>
      <c r="BZ87" s="188">
        <f t="shared" si="158"/>
        <v>0</v>
      </c>
      <c r="CA87" s="188">
        <f t="shared" si="159"/>
        <v>0</v>
      </c>
      <c r="CB87" s="149">
        <f t="shared" si="160"/>
        <v>0</v>
      </c>
      <c r="CC87" s="149">
        <f>CB87-BEL!CB87</f>
        <v>0</v>
      </c>
      <c r="CD87" s="189">
        <f>IF(AND(C87=0,C88=0),0,CB87/W87) - BEL!CC87</f>
        <v>0</v>
      </c>
      <c r="CF87" s="195">
        <f t="shared" si="143"/>
        <v>0</v>
      </c>
      <c r="CG87" s="127">
        <f t="shared" si="144"/>
        <v>0</v>
      </c>
      <c r="CH87" s="128">
        <f>'DATA INPUT - DETAIL'!AH78</f>
        <v>0</v>
      </c>
      <c r="CI87" s="125">
        <f t="shared" si="145"/>
        <v>0</v>
      </c>
      <c r="CJ87" s="199">
        <f t="shared" si="146"/>
        <v>0</v>
      </c>
      <c r="CL87" s="189">
        <f t="shared" si="147"/>
        <v>0</v>
      </c>
      <c r="CM87" s="149">
        <f t="shared" si="148"/>
        <v>0</v>
      </c>
      <c r="CN87" s="128">
        <f>'DATA INPUT - DETAIL'!AH78</f>
        <v>0</v>
      </c>
      <c r="CO87" s="149">
        <f t="shared" si="149"/>
        <v>0</v>
      </c>
      <c r="CP87" s="149">
        <f t="shared" si="161"/>
        <v>0</v>
      </c>
      <c r="CR87" s="126">
        <f t="shared" si="164"/>
        <v>75</v>
      </c>
      <c r="CS87" s="189">
        <f t="shared" si="165"/>
        <v>0</v>
      </c>
      <c r="CT87" s="200">
        <f>CS87/(BEL!CE87+BEL!CA87-BEL!BU87+'RA CSM'!CF87)</f>
        <v>0</v>
      </c>
      <c r="CU87" s="149">
        <f>$CT87*BEL!CH87</f>
        <v>0</v>
      </c>
      <c r="CV87" s="149">
        <f>$CT87*BEL!CI87</f>
        <v>0</v>
      </c>
      <c r="CW87" s="149">
        <f>$CT87*BEL!CJ87</f>
        <v>0</v>
      </c>
      <c r="CX87" s="149">
        <f>$CT87*BEL!CK87</f>
        <v>0</v>
      </c>
      <c r="CY87" s="149">
        <f t="shared" si="162"/>
        <v>0</v>
      </c>
      <c r="CZ87" s="149">
        <f>$CT87*(BEL!CL87+'RA CSM'!CG87)</f>
        <v>0</v>
      </c>
      <c r="DA87" s="149">
        <f t="shared" si="163"/>
        <v>0</v>
      </c>
    </row>
    <row r="88" spans="2:105" x14ac:dyDescent="0.2">
      <c r="B88" s="130">
        <f>BEL!B88</f>
        <v>0</v>
      </c>
      <c r="C88" s="130">
        <f>BEL!C88</f>
        <v>0</v>
      </c>
      <c r="D88" s="190">
        <f>BEL!D88</f>
        <v>0</v>
      </c>
      <c r="E88" s="190">
        <f>BEL!E88</f>
        <v>0</v>
      </c>
      <c r="F88" s="190">
        <f>BEL!F88</f>
        <v>0</v>
      </c>
      <c r="G88" s="190">
        <f>BEL!G88*(1+$V$5)</f>
        <v>0</v>
      </c>
      <c r="H88" s="190">
        <f>BEL!H88*(1+$V$5)</f>
        <v>0</v>
      </c>
      <c r="I88" s="179">
        <f t="shared" si="102"/>
        <v>0</v>
      </c>
      <c r="J88" s="130">
        <f>BEL!J88</f>
        <v>0</v>
      </c>
      <c r="K88" s="130">
        <f>BEL!K88</f>
        <v>0</v>
      </c>
      <c r="L88" s="130">
        <f>BEL!L88</f>
        <v>0</v>
      </c>
      <c r="M88" s="185">
        <f t="shared" si="150"/>
        <v>0</v>
      </c>
      <c r="N88" s="185">
        <f t="shared" si="103"/>
        <v>0</v>
      </c>
      <c r="O88" s="185">
        <f t="shared" si="104"/>
        <v>0</v>
      </c>
      <c r="P88" s="185">
        <f t="shared" si="105"/>
        <v>0</v>
      </c>
      <c r="Q88" s="185">
        <f t="shared" si="106"/>
        <v>0</v>
      </c>
      <c r="R88" s="185">
        <f t="shared" si="107"/>
        <v>0</v>
      </c>
      <c r="S88" s="185">
        <f t="shared" si="108"/>
        <v>0</v>
      </c>
      <c r="T88" s="185">
        <f t="shared" si="109"/>
        <v>0</v>
      </c>
      <c r="U88" s="196">
        <f>(C88&gt;0)*(C88&lt;$E$5)*VLOOKUP(MPP,ASUMSI!$BN$77:$CR$108,B88+1)*(1+$V$4)</f>
        <v>0</v>
      </c>
      <c r="V88" s="185">
        <f t="shared" si="110"/>
        <v>0</v>
      </c>
      <c r="W88" s="185">
        <f t="shared" si="111"/>
        <v>0</v>
      </c>
      <c r="X88" s="185">
        <f t="shared" si="112"/>
        <v>0</v>
      </c>
      <c r="Y88" s="185">
        <f t="shared" si="113"/>
        <v>0</v>
      </c>
      <c r="Z88" s="185">
        <f t="shared" si="114"/>
        <v>0</v>
      </c>
      <c r="AA88" s="197">
        <f t="shared" si="115"/>
        <v>0</v>
      </c>
      <c r="AB88" s="185">
        <f t="shared" si="116"/>
        <v>0</v>
      </c>
      <c r="AC88" s="185">
        <f t="shared" si="116"/>
        <v>0</v>
      </c>
      <c r="AD88" s="185">
        <f t="shared" si="116"/>
        <v>0</v>
      </c>
      <c r="AE88" s="185">
        <f t="shared" si="117"/>
        <v>0</v>
      </c>
      <c r="AF88" s="185">
        <f t="shared" si="118"/>
        <v>0</v>
      </c>
      <c r="AG88" s="185">
        <f t="shared" si="119"/>
        <v>0</v>
      </c>
      <c r="AH88" s="185">
        <f t="shared" si="120"/>
        <v>0</v>
      </c>
      <c r="AI88" s="125">
        <f>BEL!AI88</f>
        <v>0</v>
      </c>
      <c r="AJ88" s="125">
        <f>BEL!AJ88</f>
        <v>0</v>
      </c>
      <c r="AK88" s="125">
        <f>BEL!AK88</f>
        <v>0</v>
      </c>
      <c r="AL88" s="125">
        <f>BEL!AL88</f>
        <v>0</v>
      </c>
      <c r="AM88" s="125">
        <f>BEL!AM88</f>
        <v>0</v>
      </c>
      <c r="AN88" s="125">
        <f>BEL!AN88</f>
        <v>0</v>
      </c>
      <c r="AO88" s="198">
        <f t="shared" si="121"/>
        <v>0</v>
      </c>
      <c r="AP88" s="125">
        <f>BEL!AP88</f>
        <v>0</v>
      </c>
      <c r="AQ88" s="125">
        <f>BEL!AQ88</f>
        <v>0</v>
      </c>
      <c r="AR88" s="125">
        <f>BEL!AR88</f>
        <v>0</v>
      </c>
      <c r="AS88" s="125">
        <f>BEL!AS88</f>
        <v>0</v>
      </c>
      <c r="AT88" s="125">
        <f>BEL!AT88</f>
        <v>0</v>
      </c>
      <c r="AU88" s="127">
        <f>BEL!AU88</f>
        <v>0</v>
      </c>
      <c r="AV88" s="127">
        <f>BEL!AV88</f>
        <v>0</v>
      </c>
      <c r="AW88" s="127">
        <f>BEL!AW88</f>
        <v>0</v>
      </c>
      <c r="AX88" s="127">
        <f t="shared" si="122"/>
        <v>0</v>
      </c>
      <c r="AY88" s="127">
        <f t="shared" si="123"/>
        <v>0</v>
      </c>
      <c r="AZ88" s="127">
        <f t="shared" si="124"/>
        <v>0</v>
      </c>
      <c r="BA88" s="127">
        <f t="shared" si="125"/>
        <v>0</v>
      </c>
      <c r="BB88" s="127">
        <f t="shared" si="126"/>
        <v>0</v>
      </c>
      <c r="BC88" s="127">
        <f t="shared" si="127"/>
        <v>0</v>
      </c>
      <c r="BD88" s="127">
        <f t="shared" si="128"/>
        <v>0</v>
      </c>
      <c r="BE88" s="127">
        <f t="shared" si="129"/>
        <v>0</v>
      </c>
      <c r="BF88" s="127">
        <f t="shared" si="130"/>
        <v>0</v>
      </c>
      <c r="BG88" s="127">
        <f t="shared" si="131"/>
        <v>0</v>
      </c>
      <c r="BH88" s="127">
        <f t="shared" si="132"/>
        <v>0</v>
      </c>
      <c r="BI88" s="127">
        <f t="shared" si="133"/>
        <v>0</v>
      </c>
      <c r="BJ88" s="189">
        <f t="shared" si="134"/>
        <v>0</v>
      </c>
      <c r="BK88" s="189">
        <f t="shared" si="135"/>
        <v>0</v>
      </c>
      <c r="BL88" s="192">
        <f t="shared" si="136"/>
        <v>0</v>
      </c>
      <c r="BM88" s="192">
        <f t="shared" si="137"/>
        <v>0</v>
      </c>
      <c r="BN88" s="192">
        <f t="shared" si="138"/>
        <v>0</v>
      </c>
      <c r="BO88" s="192">
        <f t="shared" si="139"/>
        <v>0</v>
      </c>
      <c r="BP88" s="192">
        <f t="shared" si="140"/>
        <v>0</v>
      </c>
      <c r="BQ88" s="193">
        <f t="shared" si="141"/>
        <v>0</v>
      </c>
      <c r="BR88" s="193">
        <f t="shared" si="142"/>
        <v>0</v>
      </c>
      <c r="BS88" s="188">
        <f t="shared" si="151"/>
        <v>0</v>
      </c>
      <c r="BT88" s="188">
        <f t="shared" si="152"/>
        <v>0</v>
      </c>
      <c r="BU88" s="188">
        <f t="shared" si="153"/>
        <v>0</v>
      </c>
      <c r="BV88" s="188">
        <f t="shared" si="154"/>
        <v>0</v>
      </c>
      <c r="BW88" s="188">
        <f t="shared" si="155"/>
        <v>0</v>
      </c>
      <c r="BX88" s="188">
        <f t="shared" si="156"/>
        <v>0</v>
      </c>
      <c r="BY88" s="188">
        <f t="shared" si="157"/>
        <v>0</v>
      </c>
      <c r="BZ88" s="188">
        <f t="shared" si="158"/>
        <v>0</v>
      </c>
      <c r="CA88" s="188">
        <f t="shared" si="159"/>
        <v>0</v>
      </c>
      <c r="CB88" s="149">
        <f t="shared" si="160"/>
        <v>0</v>
      </c>
      <c r="CC88" s="149">
        <f>CB88-BEL!CB88</f>
        <v>0</v>
      </c>
      <c r="CD88" s="189">
        <f>IF(AND(C88=0,C89=0),0,CB88/W88) - BEL!CC88</f>
        <v>0</v>
      </c>
      <c r="CF88" s="195">
        <f t="shared" si="143"/>
        <v>0</v>
      </c>
      <c r="CG88" s="127">
        <f t="shared" si="144"/>
        <v>0</v>
      </c>
      <c r="CH88" s="128">
        <f>'DATA INPUT - DETAIL'!AH79</f>
        <v>0</v>
      </c>
      <c r="CI88" s="125">
        <f t="shared" si="145"/>
        <v>0</v>
      </c>
      <c r="CJ88" s="199">
        <f t="shared" si="146"/>
        <v>0</v>
      </c>
      <c r="CL88" s="189">
        <f t="shared" si="147"/>
        <v>0</v>
      </c>
      <c r="CM88" s="149">
        <f t="shared" si="148"/>
        <v>0</v>
      </c>
      <c r="CN88" s="128">
        <f>'DATA INPUT - DETAIL'!AH79</f>
        <v>0</v>
      </c>
      <c r="CO88" s="149">
        <f t="shared" si="149"/>
        <v>0</v>
      </c>
      <c r="CP88" s="149">
        <f t="shared" si="161"/>
        <v>0</v>
      </c>
      <c r="CR88" s="126">
        <f t="shared" si="164"/>
        <v>76</v>
      </c>
      <c r="CS88" s="189">
        <f t="shared" si="165"/>
        <v>0</v>
      </c>
      <c r="CT88" s="200">
        <f>CS88/(BEL!CE88+BEL!CA88-BEL!BU88+'RA CSM'!CF88)</f>
        <v>0</v>
      </c>
      <c r="CU88" s="149">
        <f>$CT88*BEL!CH88</f>
        <v>0</v>
      </c>
      <c r="CV88" s="149">
        <f>$CT88*BEL!CI88</f>
        <v>0</v>
      </c>
      <c r="CW88" s="149">
        <f>$CT88*BEL!CJ88</f>
        <v>0</v>
      </c>
      <c r="CX88" s="149">
        <f>$CT88*BEL!CK88</f>
        <v>0</v>
      </c>
      <c r="CY88" s="149">
        <f t="shared" si="162"/>
        <v>0</v>
      </c>
      <c r="CZ88" s="149">
        <f>$CT88*(BEL!CL88+'RA CSM'!CG88)</f>
        <v>0</v>
      </c>
      <c r="DA88" s="149">
        <f t="shared" si="163"/>
        <v>0</v>
      </c>
    </row>
    <row r="89" spans="2:105" x14ac:dyDescent="0.2">
      <c r="B89" s="130">
        <f>BEL!B89</f>
        <v>0</v>
      </c>
      <c r="C89" s="130">
        <f>BEL!C89</f>
        <v>0</v>
      </c>
      <c r="D89" s="190">
        <f>BEL!D89</f>
        <v>0</v>
      </c>
      <c r="E89" s="190">
        <f>BEL!E89</f>
        <v>0</v>
      </c>
      <c r="F89" s="190">
        <f>BEL!F89</f>
        <v>0</v>
      </c>
      <c r="G89" s="190">
        <f>BEL!G89*(1+$V$5)</f>
        <v>0</v>
      </c>
      <c r="H89" s="190">
        <f>BEL!H89*(1+$V$5)</f>
        <v>0</v>
      </c>
      <c r="I89" s="179">
        <f t="shared" si="102"/>
        <v>0</v>
      </c>
      <c r="J89" s="130">
        <f>BEL!J89</f>
        <v>0</v>
      </c>
      <c r="K89" s="130">
        <f>BEL!K89</f>
        <v>0</v>
      </c>
      <c r="L89" s="130">
        <f>BEL!L89</f>
        <v>0</v>
      </c>
      <c r="M89" s="185">
        <f t="shared" si="150"/>
        <v>0</v>
      </c>
      <c r="N89" s="185">
        <f t="shared" si="103"/>
        <v>0</v>
      </c>
      <c r="O89" s="185">
        <f t="shared" si="104"/>
        <v>0</v>
      </c>
      <c r="P89" s="185">
        <f t="shared" si="105"/>
        <v>0</v>
      </c>
      <c r="Q89" s="185">
        <f t="shared" si="106"/>
        <v>0</v>
      </c>
      <c r="R89" s="185">
        <f t="shared" si="107"/>
        <v>0</v>
      </c>
      <c r="S89" s="185">
        <f t="shared" si="108"/>
        <v>0</v>
      </c>
      <c r="T89" s="185">
        <f t="shared" si="109"/>
        <v>0</v>
      </c>
      <c r="U89" s="196">
        <f>(C89&gt;0)*(C89&lt;$E$5)*VLOOKUP(MPP,ASUMSI!$BN$77:$CR$108,B89+1)*(1+$V$4)</f>
        <v>0</v>
      </c>
      <c r="V89" s="185">
        <f t="shared" si="110"/>
        <v>0</v>
      </c>
      <c r="W89" s="185">
        <f t="shared" si="111"/>
        <v>0</v>
      </c>
      <c r="X89" s="185">
        <f t="shared" si="112"/>
        <v>0</v>
      </c>
      <c r="Y89" s="185">
        <f t="shared" si="113"/>
        <v>0</v>
      </c>
      <c r="Z89" s="185">
        <f t="shared" si="114"/>
        <v>0</v>
      </c>
      <c r="AA89" s="197">
        <f t="shared" si="115"/>
        <v>0</v>
      </c>
      <c r="AB89" s="185">
        <f t="shared" si="116"/>
        <v>0</v>
      </c>
      <c r="AC89" s="185">
        <f t="shared" si="116"/>
        <v>0</v>
      </c>
      <c r="AD89" s="185">
        <f t="shared" si="116"/>
        <v>0</v>
      </c>
      <c r="AE89" s="185">
        <f t="shared" si="117"/>
        <v>0</v>
      </c>
      <c r="AF89" s="185">
        <f t="shared" si="118"/>
        <v>0</v>
      </c>
      <c r="AG89" s="185">
        <f t="shared" si="119"/>
        <v>0</v>
      </c>
      <c r="AH89" s="185">
        <f t="shared" si="120"/>
        <v>0</v>
      </c>
      <c r="AI89" s="125">
        <f>BEL!AI89</f>
        <v>0</v>
      </c>
      <c r="AJ89" s="125">
        <f>BEL!AJ89</f>
        <v>0</v>
      </c>
      <c r="AK89" s="125">
        <f>BEL!AK89</f>
        <v>0</v>
      </c>
      <c r="AL89" s="125">
        <f>BEL!AL89</f>
        <v>0</v>
      </c>
      <c r="AM89" s="125">
        <f>BEL!AM89</f>
        <v>0</v>
      </c>
      <c r="AN89" s="125">
        <f>BEL!AN89</f>
        <v>0</v>
      </c>
      <c r="AO89" s="198">
        <f t="shared" si="121"/>
        <v>0</v>
      </c>
      <c r="AP89" s="125">
        <f>BEL!AP89</f>
        <v>0</v>
      </c>
      <c r="AQ89" s="125">
        <f>BEL!AQ89</f>
        <v>0</v>
      </c>
      <c r="AR89" s="125">
        <f>BEL!AR89</f>
        <v>0</v>
      </c>
      <c r="AS89" s="125">
        <f>BEL!AS89</f>
        <v>0</v>
      </c>
      <c r="AT89" s="125">
        <f>BEL!AT89</f>
        <v>0</v>
      </c>
      <c r="AU89" s="127">
        <f>BEL!AU89</f>
        <v>0</v>
      </c>
      <c r="AV89" s="127">
        <f>BEL!AV89</f>
        <v>0</v>
      </c>
      <c r="AW89" s="127">
        <f>BEL!AW89</f>
        <v>0</v>
      </c>
      <c r="AX89" s="127">
        <f t="shared" si="122"/>
        <v>0</v>
      </c>
      <c r="AY89" s="127">
        <f t="shared" si="123"/>
        <v>0</v>
      </c>
      <c r="AZ89" s="127">
        <f t="shared" si="124"/>
        <v>0</v>
      </c>
      <c r="BA89" s="127">
        <f t="shared" si="125"/>
        <v>0</v>
      </c>
      <c r="BB89" s="127">
        <f t="shared" si="126"/>
        <v>0</v>
      </c>
      <c r="BC89" s="127">
        <f t="shared" si="127"/>
        <v>0</v>
      </c>
      <c r="BD89" s="127">
        <f t="shared" si="128"/>
        <v>0</v>
      </c>
      <c r="BE89" s="127">
        <f t="shared" si="129"/>
        <v>0</v>
      </c>
      <c r="BF89" s="127">
        <f t="shared" si="130"/>
        <v>0</v>
      </c>
      <c r="BG89" s="127">
        <f t="shared" si="131"/>
        <v>0</v>
      </c>
      <c r="BH89" s="127">
        <f t="shared" si="132"/>
        <v>0</v>
      </c>
      <c r="BI89" s="127">
        <f t="shared" si="133"/>
        <v>0</v>
      </c>
      <c r="BJ89" s="189">
        <f t="shared" si="134"/>
        <v>0</v>
      </c>
      <c r="BK89" s="189">
        <f t="shared" si="135"/>
        <v>0</v>
      </c>
      <c r="BL89" s="192">
        <f t="shared" si="136"/>
        <v>0</v>
      </c>
      <c r="BM89" s="192">
        <f t="shared" si="137"/>
        <v>0</v>
      </c>
      <c r="BN89" s="192">
        <f t="shared" si="138"/>
        <v>0</v>
      </c>
      <c r="BO89" s="192">
        <f t="shared" si="139"/>
        <v>0</v>
      </c>
      <c r="BP89" s="192">
        <f t="shared" si="140"/>
        <v>0</v>
      </c>
      <c r="BQ89" s="193">
        <f t="shared" si="141"/>
        <v>0</v>
      </c>
      <c r="BR89" s="193">
        <f t="shared" si="142"/>
        <v>0</v>
      </c>
      <c r="BS89" s="188">
        <f t="shared" si="151"/>
        <v>0</v>
      </c>
      <c r="BT89" s="188">
        <f t="shared" si="152"/>
        <v>0</v>
      </c>
      <c r="BU89" s="188">
        <f t="shared" si="153"/>
        <v>0</v>
      </c>
      <c r="BV89" s="188">
        <f t="shared" si="154"/>
        <v>0</v>
      </c>
      <c r="BW89" s="188">
        <f t="shared" si="155"/>
        <v>0</v>
      </c>
      <c r="BX89" s="188">
        <f t="shared" si="156"/>
        <v>0</v>
      </c>
      <c r="BY89" s="188">
        <f t="shared" si="157"/>
        <v>0</v>
      </c>
      <c r="BZ89" s="188">
        <f t="shared" si="158"/>
        <v>0</v>
      </c>
      <c r="CA89" s="188">
        <f t="shared" si="159"/>
        <v>0</v>
      </c>
      <c r="CB89" s="149">
        <f t="shared" si="160"/>
        <v>0</v>
      </c>
      <c r="CC89" s="149">
        <f>CB89-BEL!CB89</f>
        <v>0</v>
      </c>
      <c r="CD89" s="189">
        <f>IF(AND(C89=0,C90=0),0,CB89/W89) - BEL!CC89</f>
        <v>0</v>
      </c>
      <c r="CF89" s="195">
        <f t="shared" si="143"/>
        <v>0</v>
      </c>
      <c r="CG89" s="127">
        <f t="shared" si="144"/>
        <v>0</v>
      </c>
      <c r="CH89" s="128">
        <f>'DATA INPUT - DETAIL'!AH80</f>
        <v>0</v>
      </c>
      <c r="CI89" s="125">
        <f t="shared" si="145"/>
        <v>0</v>
      </c>
      <c r="CJ89" s="199">
        <f t="shared" si="146"/>
        <v>0</v>
      </c>
      <c r="CL89" s="189">
        <f t="shared" si="147"/>
        <v>0</v>
      </c>
      <c r="CM89" s="149">
        <f t="shared" si="148"/>
        <v>0</v>
      </c>
      <c r="CN89" s="128">
        <f>'DATA INPUT - DETAIL'!AH80</f>
        <v>0</v>
      </c>
      <c r="CO89" s="149">
        <f t="shared" si="149"/>
        <v>0</v>
      </c>
      <c r="CP89" s="149">
        <f t="shared" si="161"/>
        <v>0</v>
      </c>
      <c r="CR89" s="126">
        <f t="shared" si="164"/>
        <v>77</v>
      </c>
      <c r="CS89" s="189">
        <f t="shared" si="165"/>
        <v>0</v>
      </c>
      <c r="CT89" s="200">
        <f>CS89/(BEL!CE89+BEL!CA89-BEL!BU89+'RA CSM'!CF89)</f>
        <v>0</v>
      </c>
      <c r="CU89" s="149">
        <f>$CT89*BEL!CH89</f>
        <v>0</v>
      </c>
      <c r="CV89" s="149">
        <f>$CT89*BEL!CI89</f>
        <v>0</v>
      </c>
      <c r="CW89" s="149">
        <f>$CT89*BEL!CJ89</f>
        <v>0</v>
      </c>
      <c r="CX89" s="149">
        <f>$CT89*BEL!CK89</f>
        <v>0</v>
      </c>
      <c r="CY89" s="149">
        <f t="shared" si="162"/>
        <v>0</v>
      </c>
      <c r="CZ89" s="149">
        <f>$CT89*(BEL!CL89+'RA CSM'!CG89)</f>
        <v>0</v>
      </c>
      <c r="DA89" s="149">
        <f t="shared" si="163"/>
        <v>0</v>
      </c>
    </row>
    <row r="90" spans="2:105" x14ac:dyDescent="0.2">
      <c r="B90" s="130">
        <f>BEL!B90</f>
        <v>0</v>
      </c>
      <c r="C90" s="130">
        <f>BEL!C90</f>
        <v>0</v>
      </c>
      <c r="D90" s="190">
        <f>BEL!D90</f>
        <v>0</v>
      </c>
      <c r="E90" s="190">
        <f>BEL!E90</f>
        <v>0</v>
      </c>
      <c r="F90" s="190">
        <f>BEL!F90</f>
        <v>0</v>
      </c>
      <c r="G90" s="190">
        <f>BEL!G90*(1+$V$5)</f>
        <v>0</v>
      </c>
      <c r="H90" s="190">
        <f>BEL!H90*(1+$V$5)</f>
        <v>0</v>
      </c>
      <c r="I90" s="179">
        <f t="shared" si="102"/>
        <v>0</v>
      </c>
      <c r="J90" s="130">
        <f>BEL!J90</f>
        <v>0</v>
      </c>
      <c r="K90" s="130">
        <f>BEL!K90</f>
        <v>0</v>
      </c>
      <c r="L90" s="130">
        <f>BEL!L90</f>
        <v>0</v>
      </c>
      <c r="M90" s="185">
        <f t="shared" si="150"/>
        <v>0</v>
      </c>
      <c r="N90" s="185">
        <f t="shared" si="103"/>
        <v>0</v>
      </c>
      <c r="O90" s="185">
        <f t="shared" si="104"/>
        <v>0</v>
      </c>
      <c r="P90" s="185">
        <f t="shared" si="105"/>
        <v>0</v>
      </c>
      <c r="Q90" s="185">
        <f t="shared" si="106"/>
        <v>0</v>
      </c>
      <c r="R90" s="185">
        <f t="shared" si="107"/>
        <v>0</v>
      </c>
      <c r="S90" s="185">
        <f t="shared" si="108"/>
        <v>0</v>
      </c>
      <c r="T90" s="185">
        <f t="shared" si="109"/>
        <v>0</v>
      </c>
      <c r="U90" s="196">
        <f>(C90&gt;0)*(C90&lt;$E$5)*VLOOKUP(MPP,ASUMSI!$BN$77:$CR$108,B90+1)*(1+$V$4)</f>
        <v>0</v>
      </c>
      <c r="V90" s="185">
        <f t="shared" si="110"/>
        <v>0</v>
      </c>
      <c r="W90" s="185">
        <f t="shared" si="111"/>
        <v>0</v>
      </c>
      <c r="X90" s="185">
        <f t="shared" si="112"/>
        <v>0</v>
      </c>
      <c r="Y90" s="185">
        <f t="shared" si="113"/>
        <v>0</v>
      </c>
      <c r="Z90" s="185">
        <f t="shared" si="114"/>
        <v>0</v>
      </c>
      <c r="AA90" s="197">
        <f t="shared" si="115"/>
        <v>0</v>
      </c>
      <c r="AB90" s="185">
        <f t="shared" si="116"/>
        <v>0</v>
      </c>
      <c r="AC90" s="185">
        <f t="shared" si="116"/>
        <v>0</v>
      </c>
      <c r="AD90" s="185">
        <f t="shared" si="116"/>
        <v>0</v>
      </c>
      <c r="AE90" s="185">
        <f t="shared" si="117"/>
        <v>0</v>
      </c>
      <c r="AF90" s="185">
        <f t="shared" si="118"/>
        <v>0</v>
      </c>
      <c r="AG90" s="185">
        <f t="shared" si="119"/>
        <v>0</v>
      </c>
      <c r="AH90" s="185">
        <f t="shared" si="120"/>
        <v>0</v>
      </c>
      <c r="AI90" s="125">
        <f>BEL!AI90</f>
        <v>0</v>
      </c>
      <c r="AJ90" s="125">
        <f>BEL!AJ90</f>
        <v>0</v>
      </c>
      <c r="AK90" s="125">
        <f>BEL!AK90</f>
        <v>0</v>
      </c>
      <c r="AL90" s="125">
        <f>BEL!AL90</f>
        <v>0</v>
      </c>
      <c r="AM90" s="125">
        <f>BEL!AM90</f>
        <v>0</v>
      </c>
      <c r="AN90" s="125">
        <f>BEL!AN90</f>
        <v>0</v>
      </c>
      <c r="AO90" s="198">
        <f t="shared" si="121"/>
        <v>0</v>
      </c>
      <c r="AP90" s="125">
        <f>BEL!AP90</f>
        <v>0</v>
      </c>
      <c r="AQ90" s="125">
        <f>BEL!AQ90</f>
        <v>0</v>
      </c>
      <c r="AR90" s="125">
        <f>BEL!AR90</f>
        <v>0</v>
      </c>
      <c r="AS90" s="125">
        <f>BEL!AS90</f>
        <v>0</v>
      </c>
      <c r="AT90" s="125">
        <f>BEL!AT90</f>
        <v>0</v>
      </c>
      <c r="AU90" s="127">
        <f>BEL!AU90</f>
        <v>0</v>
      </c>
      <c r="AV90" s="127">
        <f>BEL!AV90</f>
        <v>0</v>
      </c>
      <c r="AW90" s="127">
        <f>BEL!AW90</f>
        <v>0</v>
      </c>
      <c r="AX90" s="127">
        <f t="shared" si="122"/>
        <v>0</v>
      </c>
      <c r="AY90" s="127">
        <f t="shared" si="123"/>
        <v>0</v>
      </c>
      <c r="AZ90" s="127">
        <f t="shared" si="124"/>
        <v>0</v>
      </c>
      <c r="BA90" s="127">
        <f t="shared" si="125"/>
        <v>0</v>
      </c>
      <c r="BB90" s="127">
        <f t="shared" si="126"/>
        <v>0</v>
      </c>
      <c r="BC90" s="127">
        <f t="shared" si="127"/>
        <v>0</v>
      </c>
      <c r="BD90" s="127">
        <f t="shared" si="128"/>
        <v>0</v>
      </c>
      <c r="BE90" s="127">
        <f t="shared" si="129"/>
        <v>0</v>
      </c>
      <c r="BF90" s="127">
        <f t="shared" si="130"/>
        <v>0</v>
      </c>
      <c r="BG90" s="127">
        <f t="shared" si="131"/>
        <v>0</v>
      </c>
      <c r="BH90" s="127">
        <f t="shared" si="132"/>
        <v>0</v>
      </c>
      <c r="BI90" s="127">
        <f t="shared" si="133"/>
        <v>0</v>
      </c>
      <c r="BJ90" s="189">
        <f t="shared" si="134"/>
        <v>0</v>
      </c>
      <c r="BK90" s="189">
        <f t="shared" si="135"/>
        <v>0</v>
      </c>
      <c r="BL90" s="192">
        <f t="shared" si="136"/>
        <v>0</v>
      </c>
      <c r="BM90" s="192">
        <f t="shared" si="137"/>
        <v>0</v>
      </c>
      <c r="BN90" s="192">
        <f t="shared" si="138"/>
        <v>0</v>
      </c>
      <c r="BO90" s="192">
        <f t="shared" si="139"/>
        <v>0</v>
      </c>
      <c r="BP90" s="192">
        <f t="shared" si="140"/>
        <v>0</v>
      </c>
      <c r="BQ90" s="193">
        <f t="shared" si="141"/>
        <v>0</v>
      </c>
      <c r="BR90" s="193">
        <f t="shared" si="142"/>
        <v>0</v>
      </c>
      <c r="BS90" s="188">
        <f t="shared" si="151"/>
        <v>0</v>
      </c>
      <c r="BT90" s="188">
        <f t="shared" si="152"/>
        <v>0</v>
      </c>
      <c r="BU90" s="188">
        <f t="shared" si="153"/>
        <v>0</v>
      </c>
      <c r="BV90" s="188">
        <f t="shared" si="154"/>
        <v>0</v>
      </c>
      <c r="BW90" s="188">
        <f t="shared" si="155"/>
        <v>0</v>
      </c>
      <c r="BX90" s="188">
        <f t="shared" si="156"/>
        <v>0</v>
      </c>
      <c r="BY90" s="188">
        <f t="shared" si="157"/>
        <v>0</v>
      </c>
      <c r="BZ90" s="188">
        <f t="shared" si="158"/>
        <v>0</v>
      </c>
      <c r="CA90" s="188">
        <f t="shared" si="159"/>
        <v>0</v>
      </c>
      <c r="CB90" s="149">
        <f t="shared" si="160"/>
        <v>0</v>
      </c>
      <c r="CC90" s="149">
        <f>CB90-BEL!CB90</f>
        <v>0</v>
      </c>
      <c r="CD90" s="189">
        <f>IF(AND(C90=0,C91=0),0,CB90/W90) - BEL!CC90</f>
        <v>0</v>
      </c>
      <c r="CF90" s="195">
        <f t="shared" si="143"/>
        <v>0</v>
      </c>
      <c r="CG90" s="127">
        <f t="shared" si="144"/>
        <v>0</v>
      </c>
      <c r="CH90" s="128">
        <f>'DATA INPUT - DETAIL'!AH81</f>
        <v>0</v>
      </c>
      <c r="CI90" s="125">
        <f t="shared" si="145"/>
        <v>0</v>
      </c>
      <c r="CJ90" s="199">
        <f t="shared" si="146"/>
        <v>0</v>
      </c>
      <c r="CL90" s="189">
        <f t="shared" si="147"/>
        <v>0</v>
      </c>
      <c r="CM90" s="149">
        <f t="shared" si="148"/>
        <v>0</v>
      </c>
      <c r="CN90" s="128">
        <f>'DATA INPUT - DETAIL'!AH81</f>
        <v>0</v>
      </c>
      <c r="CO90" s="149">
        <f t="shared" si="149"/>
        <v>0</v>
      </c>
      <c r="CP90" s="149">
        <f t="shared" si="161"/>
        <v>0</v>
      </c>
      <c r="CR90" s="126">
        <f t="shared" si="164"/>
        <v>78</v>
      </c>
      <c r="CS90" s="189">
        <f t="shared" si="165"/>
        <v>0</v>
      </c>
      <c r="CT90" s="200">
        <f>CS90/(BEL!CE90+BEL!CA90-BEL!BU90+'RA CSM'!CF90)</f>
        <v>0</v>
      </c>
      <c r="CU90" s="149">
        <f>$CT90*BEL!CH90</f>
        <v>0</v>
      </c>
      <c r="CV90" s="149">
        <f>$CT90*BEL!CI90</f>
        <v>0</v>
      </c>
      <c r="CW90" s="149">
        <f>$CT90*BEL!CJ90</f>
        <v>0</v>
      </c>
      <c r="CX90" s="149">
        <f>$CT90*BEL!CK90</f>
        <v>0</v>
      </c>
      <c r="CY90" s="149">
        <f t="shared" si="162"/>
        <v>0</v>
      </c>
      <c r="CZ90" s="149">
        <f>$CT90*(BEL!CL90+'RA CSM'!CG90)</f>
        <v>0</v>
      </c>
      <c r="DA90" s="149">
        <f t="shared" si="163"/>
        <v>0</v>
      </c>
    </row>
    <row r="91" spans="2:105" x14ac:dyDescent="0.2">
      <c r="B91" s="130">
        <f>BEL!B91</f>
        <v>0</v>
      </c>
      <c r="C91" s="130">
        <f>BEL!C91</f>
        <v>0</v>
      </c>
      <c r="D91" s="190">
        <f>BEL!D91</f>
        <v>0</v>
      </c>
      <c r="E91" s="190">
        <f>BEL!E91</f>
        <v>0</v>
      </c>
      <c r="F91" s="190">
        <f>BEL!F91</f>
        <v>0</v>
      </c>
      <c r="G91" s="190">
        <f>BEL!G91*(1+$V$5)</f>
        <v>0</v>
      </c>
      <c r="H91" s="190">
        <f>BEL!H91*(1+$V$5)</f>
        <v>0</v>
      </c>
      <c r="I91" s="179">
        <f t="shared" si="102"/>
        <v>0</v>
      </c>
      <c r="J91" s="130">
        <f>BEL!J91</f>
        <v>0</v>
      </c>
      <c r="K91" s="130">
        <f>BEL!K91</f>
        <v>0</v>
      </c>
      <c r="L91" s="130">
        <f>BEL!L91</f>
        <v>0</v>
      </c>
      <c r="M91" s="185">
        <f t="shared" si="150"/>
        <v>0</v>
      </c>
      <c r="N91" s="185">
        <f t="shared" si="103"/>
        <v>0</v>
      </c>
      <c r="O91" s="185">
        <f t="shared" si="104"/>
        <v>0</v>
      </c>
      <c r="P91" s="185">
        <f t="shared" si="105"/>
        <v>0</v>
      </c>
      <c r="Q91" s="185">
        <f t="shared" si="106"/>
        <v>0</v>
      </c>
      <c r="R91" s="185">
        <f t="shared" si="107"/>
        <v>0</v>
      </c>
      <c r="S91" s="185">
        <f t="shared" si="108"/>
        <v>0</v>
      </c>
      <c r="T91" s="185">
        <f t="shared" si="109"/>
        <v>0</v>
      </c>
      <c r="U91" s="196">
        <f>(C91&gt;0)*(C91&lt;$E$5)*VLOOKUP(MPP,ASUMSI!$BN$77:$CR$108,B91+1)*(1+$V$4)</f>
        <v>0</v>
      </c>
      <c r="V91" s="185">
        <f t="shared" si="110"/>
        <v>0</v>
      </c>
      <c r="W91" s="185">
        <f t="shared" si="111"/>
        <v>0</v>
      </c>
      <c r="X91" s="185">
        <f t="shared" si="112"/>
        <v>0</v>
      </c>
      <c r="Y91" s="185">
        <f t="shared" si="113"/>
        <v>0</v>
      </c>
      <c r="Z91" s="185">
        <f t="shared" si="114"/>
        <v>0</v>
      </c>
      <c r="AA91" s="197">
        <f t="shared" si="115"/>
        <v>0</v>
      </c>
      <c r="AB91" s="185">
        <f t="shared" si="116"/>
        <v>0</v>
      </c>
      <c r="AC91" s="185">
        <f t="shared" si="116"/>
        <v>0</v>
      </c>
      <c r="AD91" s="185">
        <f t="shared" si="116"/>
        <v>0</v>
      </c>
      <c r="AE91" s="185">
        <f t="shared" si="117"/>
        <v>0</v>
      </c>
      <c r="AF91" s="185">
        <f t="shared" si="118"/>
        <v>0</v>
      </c>
      <c r="AG91" s="185">
        <f t="shared" si="119"/>
        <v>0</v>
      </c>
      <c r="AH91" s="185">
        <f t="shared" si="120"/>
        <v>0</v>
      </c>
      <c r="AI91" s="125">
        <f>BEL!AI91</f>
        <v>0</v>
      </c>
      <c r="AJ91" s="125">
        <f>BEL!AJ91</f>
        <v>0</v>
      </c>
      <c r="AK91" s="125">
        <f>BEL!AK91</f>
        <v>0</v>
      </c>
      <c r="AL91" s="125">
        <f>BEL!AL91</f>
        <v>0</v>
      </c>
      <c r="AM91" s="125">
        <f>BEL!AM91</f>
        <v>0</v>
      </c>
      <c r="AN91" s="125">
        <f>BEL!AN91</f>
        <v>0</v>
      </c>
      <c r="AO91" s="198">
        <f t="shared" si="121"/>
        <v>0</v>
      </c>
      <c r="AP91" s="125">
        <f>BEL!AP91</f>
        <v>0</v>
      </c>
      <c r="AQ91" s="125">
        <f>BEL!AQ91</f>
        <v>0</v>
      </c>
      <c r="AR91" s="125">
        <f>BEL!AR91</f>
        <v>0</v>
      </c>
      <c r="AS91" s="125">
        <f>BEL!AS91</f>
        <v>0</v>
      </c>
      <c r="AT91" s="125">
        <f>BEL!AT91</f>
        <v>0</v>
      </c>
      <c r="AU91" s="127">
        <f>BEL!AU91</f>
        <v>0</v>
      </c>
      <c r="AV91" s="127">
        <f>BEL!AV91</f>
        <v>0</v>
      </c>
      <c r="AW91" s="127">
        <f>BEL!AW91</f>
        <v>0</v>
      </c>
      <c r="AX91" s="127">
        <f t="shared" si="122"/>
        <v>0</v>
      </c>
      <c r="AY91" s="127">
        <f t="shared" si="123"/>
        <v>0</v>
      </c>
      <c r="AZ91" s="127">
        <f t="shared" si="124"/>
        <v>0</v>
      </c>
      <c r="BA91" s="127">
        <f t="shared" si="125"/>
        <v>0</v>
      </c>
      <c r="BB91" s="127">
        <f t="shared" si="126"/>
        <v>0</v>
      </c>
      <c r="BC91" s="127">
        <f t="shared" si="127"/>
        <v>0</v>
      </c>
      <c r="BD91" s="127">
        <f t="shared" si="128"/>
        <v>0</v>
      </c>
      <c r="BE91" s="127">
        <f t="shared" si="129"/>
        <v>0</v>
      </c>
      <c r="BF91" s="127">
        <f t="shared" si="130"/>
        <v>0</v>
      </c>
      <c r="BG91" s="127">
        <f t="shared" si="131"/>
        <v>0</v>
      </c>
      <c r="BH91" s="127">
        <f t="shared" si="132"/>
        <v>0</v>
      </c>
      <c r="BI91" s="127">
        <f t="shared" si="133"/>
        <v>0</v>
      </c>
      <c r="BJ91" s="189">
        <f t="shared" si="134"/>
        <v>0</v>
      </c>
      <c r="BK91" s="189">
        <f t="shared" si="135"/>
        <v>0</v>
      </c>
      <c r="BL91" s="192">
        <f t="shared" si="136"/>
        <v>0</v>
      </c>
      <c r="BM91" s="192">
        <f t="shared" si="137"/>
        <v>0</v>
      </c>
      <c r="BN91" s="192">
        <f t="shared" si="138"/>
        <v>0</v>
      </c>
      <c r="BO91" s="192">
        <f t="shared" si="139"/>
        <v>0</v>
      </c>
      <c r="BP91" s="192">
        <f t="shared" si="140"/>
        <v>0</v>
      </c>
      <c r="BQ91" s="193">
        <f t="shared" si="141"/>
        <v>0</v>
      </c>
      <c r="BR91" s="193">
        <f t="shared" si="142"/>
        <v>0</v>
      </c>
      <c r="BS91" s="188">
        <f t="shared" si="151"/>
        <v>0</v>
      </c>
      <c r="BT91" s="188">
        <f t="shared" si="152"/>
        <v>0</v>
      </c>
      <c r="BU91" s="188">
        <f t="shared" si="153"/>
        <v>0</v>
      </c>
      <c r="BV91" s="188">
        <f t="shared" si="154"/>
        <v>0</v>
      </c>
      <c r="BW91" s="188">
        <f t="shared" si="155"/>
        <v>0</v>
      </c>
      <c r="BX91" s="188">
        <f t="shared" si="156"/>
        <v>0</v>
      </c>
      <c r="BY91" s="188">
        <f t="shared" si="157"/>
        <v>0</v>
      </c>
      <c r="BZ91" s="188">
        <f t="shared" si="158"/>
        <v>0</v>
      </c>
      <c r="CA91" s="188">
        <f t="shared" si="159"/>
        <v>0</v>
      </c>
      <c r="CB91" s="149">
        <f t="shared" si="160"/>
        <v>0</v>
      </c>
      <c r="CC91" s="149">
        <f>CB91-BEL!CB91</f>
        <v>0</v>
      </c>
      <c r="CD91" s="189">
        <f>IF(AND(C91=0,C92=0),0,CB91/W91) - BEL!CC91</f>
        <v>0</v>
      </c>
      <c r="CF91" s="195">
        <f t="shared" si="143"/>
        <v>0</v>
      </c>
      <c r="CG91" s="127">
        <f t="shared" si="144"/>
        <v>0</v>
      </c>
      <c r="CH91" s="128">
        <f>'DATA INPUT - DETAIL'!AH82</f>
        <v>0</v>
      </c>
      <c r="CI91" s="125">
        <f t="shared" si="145"/>
        <v>0</v>
      </c>
      <c r="CJ91" s="199">
        <f t="shared" si="146"/>
        <v>0</v>
      </c>
      <c r="CL91" s="189">
        <f t="shared" si="147"/>
        <v>0</v>
      </c>
      <c r="CM91" s="149">
        <f t="shared" si="148"/>
        <v>0</v>
      </c>
      <c r="CN91" s="128">
        <f>'DATA INPUT - DETAIL'!AH82</f>
        <v>0</v>
      </c>
      <c r="CO91" s="149">
        <f t="shared" si="149"/>
        <v>0</v>
      </c>
      <c r="CP91" s="149">
        <f t="shared" si="161"/>
        <v>0</v>
      </c>
      <c r="CR91" s="126">
        <f t="shared" si="164"/>
        <v>79</v>
      </c>
      <c r="CS91" s="189">
        <f t="shared" si="165"/>
        <v>0</v>
      </c>
      <c r="CT91" s="200">
        <f>CS91/(BEL!CE91+BEL!CA91-BEL!BU91+'RA CSM'!CF91)</f>
        <v>0</v>
      </c>
      <c r="CU91" s="149">
        <f>$CT91*BEL!CH91</f>
        <v>0</v>
      </c>
      <c r="CV91" s="149">
        <f>$CT91*BEL!CI91</f>
        <v>0</v>
      </c>
      <c r="CW91" s="149">
        <f>$CT91*BEL!CJ91</f>
        <v>0</v>
      </c>
      <c r="CX91" s="149">
        <f>$CT91*BEL!CK91</f>
        <v>0</v>
      </c>
      <c r="CY91" s="149">
        <f t="shared" si="162"/>
        <v>0</v>
      </c>
      <c r="CZ91" s="149">
        <f>$CT91*(BEL!CL91+'RA CSM'!CG91)</f>
        <v>0</v>
      </c>
      <c r="DA91" s="149">
        <f t="shared" si="163"/>
        <v>0</v>
      </c>
    </row>
    <row r="92" spans="2:105" x14ac:dyDescent="0.2">
      <c r="B92" s="130">
        <f>BEL!B92</f>
        <v>0</v>
      </c>
      <c r="C92" s="130">
        <f>BEL!C92</f>
        <v>0</v>
      </c>
      <c r="D92" s="190">
        <f>BEL!D92</f>
        <v>0</v>
      </c>
      <c r="E92" s="190">
        <f>BEL!E92</f>
        <v>0</v>
      </c>
      <c r="F92" s="190">
        <f>BEL!F92</f>
        <v>0</v>
      </c>
      <c r="G92" s="190">
        <f>BEL!G92*(1+$V$5)</f>
        <v>0</v>
      </c>
      <c r="H92" s="190">
        <f>BEL!H92*(1+$V$5)</f>
        <v>0</v>
      </c>
      <c r="I92" s="179">
        <f t="shared" si="102"/>
        <v>0</v>
      </c>
      <c r="J92" s="130">
        <f>BEL!J92</f>
        <v>0</v>
      </c>
      <c r="K92" s="130">
        <f>BEL!K92</f>
        <v>0</v>
      </c>
      <c r="L92" s="130">
        <f>BEL!L92</f>
        <v>0</v>
      </c>
      <c r="M92" s="185">
        <f t="shared" si="150"/>
        <v>0</v>
      </c>
      <c r="N92" s="185">
        <f t="shared" si="103"/>
        <v>0</v>
      </c>
      <c r="O92" s="185">
        <f t="shared" si="104"/>
        <v>0</v>
      </c>
      <c r="P92" s="185">
        <f t="shared" si="105"/>
        <v>0</v>
      </c>
      <c r="Q92" s="185">
        <f t="shared" si="106"/>
        <v>0</v>
      </c>
      <c r="R92" s="185">
        <f t="shared" si="107"/>
        <v>0</v>
      </c>
      <c r="S92" s="185">
        <f t="shared" si="108"/>
        <v>0</v>
      </c>
      <c r="T92" s="185">
        <f t="shared" si="109"/>
        <v>0</v>
      </c>
      <c r="U92" s="196">
        <f>(C92&gt;0)*(C92&lt;$E$5)*VLOOKUP(MPP,ASUMSI!$BN$77:$CR$108,B92+1)*(1+$V$4)</f>
        <v>0</v>
      </c>
      <c r="V92" s="185">
        <f t="shared" si="110"/>
        <v>0</v>
      </c>
      <c r="W92" s="185">
        <f t="shared" si="111"/>
        <v>0</v>
      </c>
      <c r="X92" s="185">
        <f t="shared" si="112"/>
        <v>0</v>
      </c>
      <c r="Y92" s="185">
        <f t="shared" si="113"/>
        <v>0</v>
      </c>
      <c r="Z92" s="185">
        <f t="shared" si="114"/>
        <v>0</v>
      </c>
      <c r="AA92" s="197">
        <f t="shared" si="115"/>
        <v>0</v>
      </c>
      <c r="AB92" s="185">
        <f t="shared" si="116"/>
        <v>0</v>
      </c>
      <c r="AC92" s="185">
        <f t="shared" si="116"/>
        <v>0</v>
      </c>
      <c r="AD92" s="185">
        <f t="shared" si="116"/>
        <v>0</v>
      </c>
      <c r="AE92" s="185">
        <f t="shared" si="117"/>
        <v>0</v>
      </c>
      <c r="AF92" s="185">
        <f t="shared" si="118"/>
        <v>0</v>
      </c>
      <c r="AG92" s="185">
        <f t="shared" si="119"/>
        <v>0</v>
      </c>
      <c r="AH92" s="185">
        <f t="shared" si="120"/>
        <v>0</v>
      </c>
      <c r="AI92" s="125">
        <f>BEL!AI92</f>
        <v>0</v>
      </c>
      <c r="AJ92" s="125">
        <f>BEL!AJ92</f>
        <v>0</v>
      </c>
      <c r="AK92" s="125">
        <f>BEL!AK92</f>
        <v>0</v>
      </c>
      <c r="AL92" s="125">
        <f>BEL!AL92</f>
        <v>0</v>
      </c>
      <c r="AM92" s="125">
        <f>BEL!AM92</f>
        <v>0</v>
      </c>
      <c r="AN92" s="125">
        <f>BEL!AN92</f>
        <v>0</v>
      </c>
      <c r="AO92" s="198">
        <f t="shared" si="121"/>
        <v>0</v>
      </c>
      <c r="AP92" s="125">
        <f>BEL!AP92</f>
        <v>0</v>
      </c>
      <c r="AQ92" s="125">
        <f>BEL!AQ92</f>
        <v>0</v>
      </c>
      <c r="AR92" s="125">
        <f>BEL!AR92</f>
        <v>0</v>
      </c>
      <c r="AS92" s="125">
        <f>BEL!AS92</f>
        <v>0</v>
      </c>
      <c r="AT92" s="125">
        <f>BEL!AT92</f>
        <v>0</v>
      </c>
      <c r="AU92" s="127">
        <f>BEL!AU92</f>
        <v>0</v>
      </c>
      <c r="AV92" s="127">
        <f>BEL!AV92</f>
        <v>0</v>
      </c>
      <c r="AW92" s="127">
        <f>BEL!AW92</f>
        <v>0</v>
      </c>
      <c r="AX92" s="127">
        <f t="shared" si="122"/>
        <v>0</v>
      </c>
      <c r="AY92" s="127">
        <f t="shared" si="123"/>
        <v>0</v>
      </c>
      <c r="AZ92" s="127">
        <f t="shared" si="124"/>
        <v>0</v>
      </c>
      <c r="BA92" s="127">
        <f t="shared" si="125"/>
        <v>0</v>
      </c>
      <c r="BB92" s="127">
        <f t="shared" si="126"/>
        <v>0</v>
      </c>
      <c r="BC92" s="127">
        <f t="shared" si="127"/>
        <v>0</v>
      </c>
      <c r="BD92" s="127">
        <f t="shared" si="128"/>
        <v>0</v>
      </c>
      <c r="BE92" s="127">
        <f t="shared" si="129"/>
        <v>0</v>
      </c>
      <c r="BF92" s="127">
        <f t="shared" si="130"/>
        <v>0</v>
      </c>
      <c r="BG92" s="127">
        <f t="shared" si="131"/>
        <v>0</v>
      </c>
      <c r="BH92" s="127">
        <f t="shared" si="132"/>
        <v>0</v>
      </c>
      <c r="BI92" s="127">
        <f t="shared" si="133"/>
        <v>0</v>
      </c>
      <c r="BJ92" s="189">
        <f t="shared" si="134"/>
        <v>0</v>
      </c>
      <c r="BK92" s="189">
        <f t="shared" si="135"/>
        <v>0</v>
      </c>
      <c r="BL92" s="192">
        <f t="shared" si="136"/>
        <v>0</v>
      </c>
      <c r="BM92" s="192">
        <f t="shared" si="137"/>
        <v>0</v>
      </c>
      <c r="BN92" s="192">
        <f t="shared" si="138"/>
        <v>0</v>
      </c>
      <c r="BO92" s="192">
        <f t="shared" si="139"/>
        <v>0</v>
      </c>
      <c r="BP92" s="192">
        <f t="shared" si="140"/>
        <v>0</v>
      </c>
      <c r="BQ92" s="193">
        <f t="shared" si="141"/>
        <v>0</v>
      </c>
      <c r="BR92" s="193">
        <f t="shared" si="142"/>
        <v>0</v>
      </c>
      <c r="BS92" s="188">
        <f t="shared" si="151"/>
        <v>0</v>
      </c>
      <c r="BT92" s="188">
        <f t="shared" si="152"/>
        <v>0</v>
      </c>
      <c r="BU92" s="188">
        <f t="shared" si="153"/>
        <v>0</v>
      </c>
      <c r="BV92" s="188">
        <f t="shared" si="154"/>
        <v>0</v>
      </c>
      <c r="BW92" s="188">
        <f t="shared" si="155"/>
        <v>0</v>
      </c>
      <c r="BX92" s="188">
        <f t="shared" si="156"/>
        <v>0</v>
      </c>
      <c r="BY92" s="188">
        <f t="shared" si="157"/>
        <v>0</v>
      </c>
      <c r="BZ92" s="188">
        <f t="shared" si="158"/>
        <v>0</v>
      </c>
      <c r="CA92" s="188">
        <f t="shared" si="159"/>
        <v>0</v>
      </c>
      <c r="CB92" s="149">
        <f t="shared" si="160"/>
        <v>0</v>
      </c>
      <c r="CC92" s="149">
        <f>CB92-BEL!CB92</f>
        <v>0</v>
      </c>
      <c r="CD92" s="189">
        <f>IF(AND(C92=0,C93=0),0,CB92/W92) - BEL!CC92</f>
        <v>0</v>
      </c>
      <c r="CF92" s="195">
        <f t="shared" si="143"/>
        <v>0</v>
      </c>
      <c r="CG92" s="127">
        <f t="shared" si="144"/>
        <v>0</v>
      </c>
      <c r="CH92" s="128">
        <f>'DATA INPUT - DETAIL'!AH83</f>
        <v>0</v>
      </c>
      <c r="CI92" s="125">
        <f t="shared" si="145"/>
        <v>0</v>
      </c>
      <c r="CJ92" s="199">
        <f t="shared" si="146"/>
        <v>0</v>
      </c>
      <c r="CL92" s="189">
        <f t="shared" si="147"/>
        <v>0</v>
      </c>
      <c r="CM92" s="149">
        <f t="shared" si="148"/>
        <v>0</v>
      </c>
      <c r="CN92" s="128">
        <f>'DATA INPUT - DETAIL'!AH83</f>
        <v>0</v>
      </c>
      <c r="CO92" s="149">
        <f t="shared" si="149"/>
        <v>0</v>
      </c>
      <c r="CP92" s="149">
        <f t="shared" si="161"/>
        <v>0</v>
      </c>
      <c r="CR92" s="126">
        <f t="shared" si="164"/>
        <v>80</v>
      </c>
      <c r="CS92" s="189">
        <f t="shared" si="165"/>
        <v>0</v>
      </c>
      <c r="CT92" s="200">
        <f>CS92/(BEL!CE92+BEL!CA92-BEL!BU92+'RA CSM'!CF92)</f>
        <v>0</v>
      </c>
      <c r="CU92" s="149">
        <f>$CT92*BEL!CH92</f>
        <v>0</v>
      </c>
      <c r="CV92" s="149">
        <f>$CT92*BEL!CI92</f>
        <v>0</v>
      </c>
      <c r="CW92" s="149">
        <f>$CT92*BEL!CJ92</f>
        <v>0</v>
      </c>
      <c r="CX92" s="149">
        <f>$CT92*BEL!CK92</f>
        <v>0</v>
      </c>
      <c r="CY92" s="149">
        <f t="shared" si="162"/>
        <v>0</v>
      </c>
      <c r="CZ92" s="149">
        <f>$CT92*(BEL!CL92+'RA CSM'!CG92)</f>
        <v>0</v>
      </c>
      <c r="DA92" s="149">
        <f t="shared" si="163"/>
        <v>0</v>
      </c>
    </row>
    <row r="93" spans="2:105" x14ac:dyDescent="0.2">
      <c r="B93" s="130">
        <f>BEL!B93</f>
        <v>0</v>
      </c>
      <c r="C93" s="130">
        <f>BEL!C93</f>
        <v>0</v>
      </c>
      <c r="D93" s="190">
        <f>BEL!D93</f>
        <v>0</v>
      </c>
      <c r="E93" s="190">
        <f>BEL!E93</f>
        <v>0</v>
      </c>
      <c r="F93" s="190">
        <f>BEL!F93</f>
        <v>0</v>
      </c>
      <c r="G93" s="190">
        <f>BEL!G93*(1+$V$5)</f>
        <v>0</v>
      </c>
      <c r="H93" s="190">
        <f>BEL!H93*(1+$V$5)</f>
        <v>0</v>
      </c>
      <c r="I93" s="179">
        <f t="shared" si="102"/>
        <v>0</v>
      </c>
      <c r="J93" s="130">
        <f>BEL!J93</f>
        <v>0</v>
      </c>
      <c r="K93" s="130">
        <f>BEL!K93</f>
        <v>0</v>
      </c>
      <c r="L93" s="130">
        <f>BEL!L93</f>
        <v>0</v>
      </c>
      <c r="M93" s="185">
        <f t="shared" si="150"/>
        <v>0</v>
      </c>
      <c r="N93" s="185">
        <f t="shared" si="103"/>
        <v>0</v>
      </c>
      <c r="O93" s="185">
        <f t="shared" si="104"/>
        <v>0</v>
      </c>
      <c r="P93" s="185">
        <f t="shared" si="105"/>
        <v>0</v>
      </c>
      <c r="Q93" s="185">
        <f t="shared" si="106"/>
        <v>0</v>
      </c>
      <c r="R93" s="185">
        <f t="shared" si="107"/>
        <v>0</v>
      </c>
      <c r="S93" s="185">
        <f t="shared" si="108"/>
        <v>0</v>
      </c>
      <c r="T93" s="185">
        <f t="shared" si="109"/>
        <v>0</v>
      </c>
      <c r="U93" s="196">
        <f>(C93&gt;0)*(C93&lt;$E$5)*VLOOKUP(MPP,ASUMSI!$BN$77:$CR$108,B93+1)*(1+$V$4)</f>
        <v>0</v>
      </c>
      <c r="V93" s="185">
        <f t="shared" si="110"/>
        <v>0</v>
      </c>
      <c r="W93" s="185">
        <f t="shared" si="111"/>
        <v>0</v>
      </c>
      <c r="X93" s="185">
        <f t="shared" si="112"/>
        <v>0</v>
      </c>
      <c r="Y93" s="185">
        <f t="shared" si="113"/>
        <v>0</v>
      </c>
      <c r="Z93" s="185">
        <f t="shared" si="114"/>
        <v>0</v>
      </c>
      <c r="AA93" s="197">
        <f t="shared" si="115"/>
        <v>0</v>
      </c>
      <c r="AB93" s="185">
        <f t="shared" si="116"/>
        <v>0</v>
      </c>
      <c r="AC93" s="185">
        <f t="shared" si="116"/>
        <v>0</v>
      </c>
      <c r="AD93" s="185">
        <f t="shared" si="116"/>
        <v>0</v>
      </c>
      <c r="AE93" s="185">
        <f t="shared" si="117"/>
        <v>0</v>
      </c>
      <c r="AF93" s="185">
        <f t="shared" si="118"/>
        <v>0</v>
      </c>
      <c r="AG93" s="185">
        <f t="shared" si="119"/>
        <v>0</v>
      </c>
      <c r="AH93" s="185">
        <f t="shared" si="120"/>
        <v>0</v>
      </c>
      <c r="AI93" s="125">
        <f>BEL!AI93</f>
        <v>0</v>
      </c>
      <c r="AJ93" s="125">
        <f>BEL!AJ93</f>
        <v>0</v>
      </c>
      <c r="AK93" s="125">
        <f>BEL!AK93</f>
        <v>0</v>
      </c>
      <c r="AL93" s="125">
        <f>BEL!AL93</f>
        <v>0</v>
      </c>
      <c r="AM93" s="125">
        <f>BEL!AM93</f>
        <v>0</v>
      </c>
      <c r="AN93" s="125">
        <f>BEL!AN93</f>
        <v>0</v>
      </c>
      <c r="AO93" s="198">
        <f t="shared" si="121"/>
        <v>0</v>
      </c>
      <c r="AP93" s="125">
        <f>BEL!AP93</f>
        <v>0</v>
      </c>
      <c r="AQ93" s="125">
        <f>BEL!AQ93</f>
        <v>0</v>
      </c>
      <c r="AR93" s="125">
        <f>BEL!AR93</f>
        <v>0</v>
      </c>
      <c r="AS93" s="125">
        <f>BEL!AS93</f>
        <v>0</v>
      </c>
      <c r="AT93" s="125">
        <f>BEL!AT93</f>
        <v>0</v>
      </c>
      <c r="AU93" s="127">
        <f>BEL!AU93</f>
        <v>0</v>
      </c>
      <c r="AV93" s="127">
        <f>BEL!AV93</f>
        <v>0</v>
      </c>
      <c r="AW93" s="127">
        <f>BEL!AW93</f>
        <v>0</v>
      </c>
      <c r="AX93" s="127">
        <f t="shared" si="122"/>
        <v>0</v>
      </c>
      <c r="AY93" s="127">
        <f t="shared" si="123"/>
        <v>0</v>
      </c>
      <c r="AZ93" s="127">
        <f t="shared" si="124"/>
        <v>0</v>
      </c>
      <c r="BA93" s="127">
        <f t="shared" si="125"/>
        <v>0</v>
      </c>
      <c r="BB93" s="127">
        <f t="shared" si="126"/>
        <v>0</v>
      </c>
      <c r="BC93" s="127">
        <f t="shared" si="127"/>
        <v>0</v>
      </c>
      <c r="BD93" s="127">
        <f t="shared" si="128"/>
        <v>0</v>
      </c>
      <c r="BE93" s="127">
        <f t="shared" si="129"/>
        <v>0</v>
      </c>
      <c r="BF93" s="127">
        <f t="shared" si="130"/>
        <v>0</v>
      </c>
      <c r="BG93" s="127">
        <f t="shared" si="131"/>
        <v>0</v>
      </c>
      <c r="BH93" s="127">
        <f t="shared" si="132"/>
        <v>0</v>
      </c>
      <c r="BI93" s="127">
        <f t="shared" si="133"/>
        <v>0</v>
      </c>
      <c r="BJ93" s="189">
        <f t="shared" si="134"/>
        <v>0</v>
      </c>
      <c r="BK93" s="189">
        <f t="shared" si="135"/>
        <v>0</v>
      </c>
      <c r="BL93" s="192">
        <f t="shared" si="136"/>
        <v>0</v>
      </c>
      <c r="BM93" s="192">
        <f t="shared" si="137"/>
        <v>0</v>
      </c>
      <c r="BN93" s="192">
        <f t="shared" si="138"/>
        <v>0</v>
      </c>
      <c r="BO93" s="192">
        <f t="shared" si="139"/>
        <v>0</v>
      </c>
      <c r="BP93" s="192">
        <f t="shared" si="140"/>
        <v>0</v>
      </c>
      <c r="BQ93" s="193">
        <f t="shared" si="141"/>
        <v>0</v>
      </c>
      <c r="BR93" s="193">
        <f t="shared" si="142"/>
        <v>0</v>
      </c>
      <c r="BS93" s="188">
        <f t="shared" si="151"/>
        <v>0</v>
      </c>
      <c r="BT93" s="188">
        <f t="shared" si="152"/>
        <v>0</v>
      </c>
      <c r="BU93" s="188">
        <f t="shared" si="153"/>
        <v>0</v>
      </c>
      <c r="BV93" s="188">
        <f t="shared" si="154"/>
        <v>0</v>
      </c>
      <c r="BW93" s="188">
        <f t="shared" si="155"/>
        <v>0</v>
      </c>
      <c r="BX93" s="188">
        <f t="shared" si="156"/>
        <v>0</v>
      </c>
      <c r="BY93" s="188">
        <f t="shared" si="157"/>
        <v>0</v>
      </c>
      <c r="BZ93" s="188">
        <f t="shared" si="158"/>
        <v>0</v>
      </c>
      <c r="CA93" s="188">
        <f t="shared" si="159"/>
        <v>0</v>
      </c>
      <c r="CB93" s="149">
        <f t="shared" si="160"/>
        <v>0</v>
      </c>
      <c r="CC93" s="149">
        <f>CB93-BEL!CB93</f>
        <v>0</v>
      </c>
      <c r="CD93" s="189">
        <f>IF(AND(C93=0,C94=0),0,CB93/W93) - BEL!CC93</f>
        <v>0</v>
      </c>
      <c r="CF93" s="195">
        <f t="shared" si="143"/>
        <v>0</v>
      </c>
      <c r="CG93" s="127">
        <f t="shared" si="144"/>
        <v>0</v>
      </c>
      <c r="CH93" s="128">
        <f>'DATA INPUT - DETAIL'!AH84</f>
        <v>0</v>
      </c>
      <c r="CI93" s="125">
        <f t="shared" si="145"/>
        <v>0</v>
      </c>
      <c r="CJ93" s="199">
        <f t="shared" si="146"/>
        <v>0</v>
      </c>
      <c r="CL93" s="189">
        <f t="shared" si="147"/>
        <v>0</v>
      </c>
      <c r="CM93" s="149">
        <f t="shared" si="148"/>
        <v>0</v>
      </c>
      <c r="CN93" s="128">
        <f>'DATA INPUT - DETAIL'!AH84</f>
        <v>0</v>
      </c>
      <c r="CO93" s="149">
        <f t="shared" si="149"/>
        <v>0</v>
      </c>
      <c r="CP93" s="149">
        <f t="shared" si="161"/>
        <v>0</v>
      </c>
      <c r="CR93" s="126">
        <f t="shared" si="164"/>
        <v>81</v>
      </c>
      <c r="CS93" s="189">
        <f t="shared" si="165"/>
        <v>0</v>
      </c>
      <c r="CT93" s="200">
        <f>CS93/(BEL!CE93+BEL!CA93-BEL!BU93+'RA CSM'!CF93)</f>
        <v>0</v>
      </c>
      <c r="CU93" s="149">
        <f>$CT93*BEL!CH93</f>
        <v>0</v>
      </c>
      <c r="CV93" s="149">
        <f>$CT93*BEL!CI93</f>
        <v>0</v>
      </c>
      <c r="CW93" s="149">
        <f>$CT93*BEL!CJ93</f>
        <v>0</v>
      </c>
      <c r="CX93" s="149">
        <f>$CT93*BEL!CK93</f>
        <v>0</v>
      </c>
      <c r="CY93" s="149">
        <f t="shared" si="162"/>
        <v>0</v>
      </c>
      <c r="CZ93" s="149">
        <f>$CT93*(BEL!CL93+'RA CSM'!CG93)</f>
        <v>0</v>
      </c>
      <c r="DA93" s="149">
        <f t="shared" si="163"/>
        <v>0</v>
      </c>
    </row>
    <row r="94" spans="2:105" x14ac:dyDescent="0.2">
      <c r="B94" s="130">
        <f>BEL!B94</f>
        <v>0</v>
      </c>
      <c r="C94" s="130">
        <f>BEL!C94</f>
        <v>0</v>
      </c>
      <c r="D94" s="190">
        <f>BEL!D94</f>
        <v>0</v>
      </c>
      <c r="E94" s="190">
        <f>BEL!E94</f>
        <v>0</v>
      </c>
      <c r="F94" s="190">
        <f>BEL!F94</f>
        <v>0</v>
      </c>
      <c r="G94" s="190">
        <f>BEL!G94*(1+$V$5)</f>
        <v>0</v>
      </c>
      <c r="H94" s="190">
        <f>BEL!H94*(1+$V$5)</f>
        <v>0</v>
      </c>
      <c r="I94" s="179">
        <f t="shared" si="102"/>
        <v>0</v>
      </c>
      <c r="J94" s="130">
        <f>BEL!J94</f>
        <v>0</v>
      </c>
      <c r="K94" s="130">
        <f>BEL!K94</f>
        <v>0</v>
      </c>
      <c r="L94" s="130">
        <f>BEL!L94</f>
        <v>0</v>
      </c>
      <c r="M94" s="185">
        <f t="shared" si="150"/>
        <v>0</v>
      </c>
      <c r="N94" s="185">
        <f t="shared" si="103"/>
        <v>0</v>
      </c>
      <c r="O94" s="185">
        <f t="shared" si="104"/>
        <v>0</v>
      </c>
      <c r="P94" s="185">
        <f t="shared" si="105"/>
        <v>0</v>
      </c>
      <c r="Q94" s="185">
        <f t="shared" si="106"/>
        <v>0</v>
      </c>
      <c r="R94" s="185">
        <f t="shared" si="107"/>
        <v>0</v>
      </c>
      <c r="S94" s="185">
        <f t="shared" si="108"/>
        <v>0</v>
      </c>
      <c r="T94" s="185">
        <f t="shared" si="109"/>
        <v>0</v>
      </c>
      <c r="U94" s="196">
        <f>(C94&gt;0)*(C94&lt;$E$5)*VLOOKUP(MPP,ASUMSI!$BN$77:$CR$108,B94+1)*(1+$V$4)</f>
        <v>0</v>
      </c>
      <c r="V94" s="185">
        <f t="shared" si="110"/>
        <v>0</v>
      </c>
      <c r="W94" s="185">
        <f t="shared" si="111"/>
        <v>0</v>
      </c>
      <c r="X94" s="185">
        <f t="shared" si="112"/>
        <v>0</v>
      </c>
      <c r="Y94" s="185">
        <f t="shared" si="113"/>
        <v>0</v>
      </c>
      <c r="Z94" s="185">
        <f t="shared" si="114"/>
        <v>0</v>
      </c>
      <c r="AA94" s="197">
        <f t="shared" si="115"/>
        <v>0</v>
      </c>
      <c r="AB94" s="185">
        <f t="shared" si="116"/>
        <v>0</v>
      </c>
      <c r="AC94" s="185">
        <f t="shared" si="116"/>
        <v>0</v>
      </c>
      <c r="AD94" s="185">
        <f t="shared" si="116"/>
        <v>0</v>
      </c>
      <c r="AE94" s="185">
        <f t="shared" si="117"/>
        <v>0</v>
      </c>
      <c r="AF94" s="185">
        <f t="shared" si="118"/>
        <v>0</v>
      </c>
      <c r="AG94" s="185">
        <f t="shared" si="119"/>
        <v>0</v>
      </c>
      <c r="AH94" s="185">
        <f t="shared" si="120"/>
        <v>0</v>
      </c>
      <c r="AI94" s="125">
        <f>BEL!AI94</f>
        <v>0</v>
      </c>
      <c r="AJ94" s="125">
        <f>BEL!AJ94</f>
        <v>0</v>
      </c>
      <c r="AK94" s="125">
        <f>BEL!AK94</f>
        <v>0</v>
      </c>
      <c r="AL94" s="125">
        <f>BEL!AL94</f>
        <v>0</v>
      </c>
      <c r="AM94" s="125">
        <f>BEL!AM94</f>
        <v>0</v>
      </c>
      <c r="AN94" s="125">
        <f>BEL!AN94</f>
        <v>0</v>
      </c>
      <c r="AO94" s="198">
        <f t="shared" si="121"/>
        <v>0</v>
      </c>
      <c r="AP94" s="125">
        <f>BEL!AP94</f>
        <v>0</v>
      </c>
      <c r="AQ94" s="125">
        <f>BEL!AQ94</f>
        <v>0</v>
      </c>
      <c r="AR94" s="125">
        <f>BEL!AR94</f>
        <v>0</v>
      </c>
      <c r="AS94" s="125">
        <f>BEL!AS94</f>
        <v>0</v>
      </c>
      <c r="AT94" s="125">
        <f>BEL!AT94</f>
        <v>0</v>
      </c>
      <c r="AU94" s="127">
        <f>BEL!AU94</f>
        <v>0</v>
      </c>
      <c r="AV94" s="127">
        <f>BEL!AV94</f>
        <v>0</v>
      </c>
      <c r="AW94" s="127">
        <f>BEL!AW94</f>
        <v>0</v>
      </c>
      <c r="AX94" s="127">
        <f t="shared" si="122"/>
        <v>0</v>
      </c>
      <c r="AY94" s="127">
        <f t="shared" si="123"/>
        <v>0</v>
      </c>
      <c r="AZ94" s="127">
        <f t="shared" si="124"/>
        <v>0</v>
      </c>
      <c r="BA94" s="127">
        <f t="shared" si="125"/>
        <v>0</v>
      </c>
      <c r="BB94" s="127">
        <f t="shared" si="126"/>
        <v>0</v>
      </c>
      <c r="BC94" s="127">
        <f t="shared" si="127"/>
        <v>0</v>
      </c>
      <c r="BD94" s="127">
        <f t="shared" si="128"/>
        <v>0</v>
      </c>
      <c r="BE94" s="127">
        <f t="shared" si="129"/>
        <v>0</v>
      </c>
      <c r="BF94" s="127">
        <f t="shared" si="130"/>
        <v>0</v>
      </c>
      <c r="BG94" s="127">
        <f t="shared" si="131"/>
        <v>0</v>
      </c>
      <c r="BH94" s="127">
        <f t="shared" si="132"/>
        <v>0</v>
      </c>
      <c r="BI94" s="127">
        <f t="shared" si="133"/>
        <v>0</v>
      </c>
      <c r="BJ94" s="189">
        <f t="shared" si="134"/>
        <v>0</v>
      </c>
      <c r="BK94" s="189">
        <f t="shared" si="135"/>
        <v>0</v>
      </c>
      <c r="BL94" s="192">
        <f t="shared" si="136"/>
        <v>0</v>
      </c>
      <c r="BM94" s="192">
        <f t="shared" si="137"/>
        <v>0</v>
      </c>
      <c r="BN94" s="192">
        <f t="shared" si="138"/>
        <v>0</v>
      </c>
      <c r="BO94" s="192">
        <f t="shared" si="139"/>
        <v>0</v>
      </c>
      <c r="BP94" s="192">
        <f t="shared" si="140"/>
        <v>0</v>
      </c>
      <c r="BQ94" s="193">
        <f t="shared" si="141"/>
        <v>0</v>
      </c>
      <c r="BR94" s="193">
        <f t="shared" si="142"/>
        <v>0</v>
      </c>
      <c r="BS94" s="188">
        <f t="shared" si="151"/>
        <v>0</v>
      </c>
      <c r="BT94" s="188">
        <f t="shared" si="152"/>
        <v>0</v>
      </c>
      <c r="BU94" s="188">
        <f t="shared" si="153"/>
        <v>0</v>
      </c>
      <c r="BV94" s="188">
        <f t="shared" si="154"/>
        <v>0</v>
      </c>
      <c r="BW94" s="188">
        <f t="shared" si="155"/>
        <v>0</v>
      </c>
      <c r="BX94" s="188">
        <f t="shared" si="156"/>
        <v>0</v>
      </c>
      <c r="BY94" s="188">
        <f t="shared" si="157"/>
        <v>0</v>
      </c>
      <c r="BZ94" s="188">
        <f t="shared" si="158"/>
        <v>0</v>
      </c>
      <c r="CA94" s="188">
        <f t="shared" si="159"/>
        <v>0</v>
      </c>
      <c r="CB94" s="149">
        <f t="shared" si="160"/>
        <v>0</v>
      </c>
      <c r="CC94" s="149">
        <f>CB94-BEL!CB94</f>
        <v>0</v>
      </c>
      <c r="CD94" s="189">
        <f>IF(AND(C94=0,C95=0),0,CB94/W94) - BEL!CC94</f>
        <v>0</v>
      </c>
      <c r="CF94" s="195">
        <f t="shared" si="143"/>
        <v>0</v>
      </c>
      <c r="CG94" s="127">
        <f t="shared" si="144"/>
        <v>0</v>
      </c>
      <c r="CH94" s="128">
        <f>'DATA INPUT - DETAIL'!AH85</f>
        <v>0</v>
      </c>
      <c r="CI94" s="125">
        <f t="shared" si="145"/>
        <v>0</v>
      </c>
      <c r="CJ94" s="199">
        <f t="shared" si="146"/>
        <v>0</v>
      </c>
      <c r="CL94" s="189">
        <f t="shared" si="147"/>
        <v>0</v>
      </c>
      <c r="CM94" s="149">
        <f t="shared" si="148"/>
        <v>0</v>
      </c>
      <c r="CN94" s="128">
        <f>'DATA INPUT - DETAIL'!AH85</f>
        <v>0</v>
      </c>
      <c r="CO94" s="149">
        <f t="shared" si="149"/>
        <v>0</v>
      </c>
      <c r="CP94" s="149">
        <f t="shared" si="161"/>
        <v>0</v>
      </c>
      <c r="CR94" s="126">
        <f t="shared" si="164"/>
        <v>82</v>
      </c>
      <c r="CS94" s="189">
        <f t="shared" si="165"/>
        <v>0</v>
      </c>
      <c r="CT94" s="200">
        <f>CS94/(BEL!CE94+BEL!CA94-BEL!BU94+'RA CSM'!CF94)</f>
        <v>0</v>
      </c>
      <c r="CU94" s="149">
        <f>$CT94*BEL!CH94</f>
        <v>0</v>
      </c>
      <c r="CV94" s="149">
        <f>$CT94*BEL!CI94</f>
        <v>0</v>
      </c>
      <c r="CW94" s="149">
        <f>$CT94*BEL!CJ94</f>
        <v>0</v>
      </c>
      <c r="CX94" s="149">
        <f>$CT94*BEL!CK94</f>
        <v>0</v>
      </c>
      <c r="CY94" s="149">
        <f t="shared" si="162"/>
        <v>0</v>
      </c>
      <c r="CZ94" s="149">
        <f>$CT94*(BEL!CL94+'RA CSM'!CG94)</f>
        <v>0</v>
      </c>
      <c r="DA94" s="149">
        <f t="shared" si="163"/>
        <v>0</v>
      </c>
    </row>
    <row r="95" spans="2:105" x14ac:dyDescent="0.2">
      <c r="B95" s="130">
        <f>BEL!B95</f>
        <v>0</v>
      </c>
      <c r="C95" s="130">
        <f>BEL!C95</f>
        <v>0</v>
      </c>
      <c r="D95" s="190">
        <f>BEL!D95</f>
        <v>0</v>
      </c>
      <c r="E95" s="190">
        <f>BEL!E95</f>
        <v>0</v>
      </c>
      <c r="F95" s="190">
        <f>BEL!F95</f>
        <v>0</v>
      </c>
      <c r="G95" s="190">
        <f>BEL!G95*(1+$V$5)</f>
        <v>0</v>
      </c>
      <c r="H95" s="190">
        <f>BEL!H95*(1+$V$5)</f>
        <v>0</v>
      </c>
      <c r="I95" s="179">
        <f t="shared" si="102"/>
        <v>0</v>
      </c>
      <c r="J95" s="130">
        <f>BEL!J95</f>
        <v>0</v>
      </c>
      <c r="K95" s="130">
        <f>BEL!K95</f>
        <v>0</v>
      </c>
      <c r="L95" s="130">
        <f>BEL!L95</f>
        <v>0</v>
      </c>
      <c r="M95" s="185">
        <f t="shared" si="150"/>
        <v>0</v>
      </c>
      <c r="N95" s="185">
        <f t="shared" si="103"/>
        <v>0</v>
      </c>
      <c r="O95" s="185">
        <f t="shared" si="104"/>
        <v>0</v>
      </c>
      <c r="P95" s="185">
        <f t="shared" si="105"/>
        <v>0</v>
      </c>
      <c r="Q95" s="185">
        <f t="shared" si="106"/>
        <v>0</v>
      </c>
      <c r="R95" s="185">
        <f t="shared" si="107"/>
        <v>0</v>
      </c>
      <c r="S95" s="185">
        <f t="shared" si="108"/>
        <v>0</v>
      </c>
      <c r="T95" s="185">
        <f t="shared" si="109"/>
        <v>0</v>
      </c>
      <c r="U95" s="196">
        <f>(C95&gt;0)*(C95&lt;$E$5)*VLOOKUP(MPP,ASUMSI!$BN$77:$CR$108,B95+1)*(1+$V$4)</f>
        <v>0</v>
      </c>
      <c r="V95" s="185">
        <f t="shared" si="110"/>
        <v>0</v>
      </c>
      <c r="W95" s="185">
        <f t="shared" si="111"/>
        <v>0</v>
      </c>
      <c r="X95" s="185">
        <f t="shared" si="112"/>
        <v>0</v>
      </c>
      <c r="Y95" s="185">
        <f t="shared" si="113"/>
        <v>0</v>
      </c>
      <c r="Z95" s="185">
        <f t="shared" si="114"/>
        <v>0</v>
      </c>
      <c r="AA95" s="197">
        <f t="shared" si="115"/>
        <v>0</v>
      </c>
      <c r="AB95" s="185">
        <f t="shared" si="116"/>
        <v>0</v>
      </c>
      <c r="AC95" s="185">
        <f t="shared" si="116"/>
        <v>0</v>
      </c>
      <c r="AD95" s="185">
        <f t="shared" si="116"/>
        <v>0</v>
      </c>
      <c r="AE95" s="185">
        <f t="shared" si="117"/>
        <v>0</v>
      </c>
      <c r="AF95" s="185">
        <f t="shared" si="118"/>
        <v>0</v>
      </c>
      <c r="AG95" s="185">
        <f t="shared" si="119"/>
        <v>0</v>
      </c>
      <c r="AH95" s="185">
        <f t="shared" si="120"/>
        <v>0</v>
      </c>
      <c r="AI95" s="125">
        <f>BEL!AI95</f>
        <v>0</v>
      </c>
      <c r="AJ95" s="125">
        <f>BEL!AJ95</f>
        <v>0</v>
      </c>
      <c r="AK95" s="125">
        <f>BEL!AK95</f>
        <v>0</v>
      </c>
      <c r="AL95" s="125">
        <f>BEL!AL95</f>
        <v>0</v>
      </c>
      <c r="AM95" s="125">
        <f>BEL!AM95</f>
        <v>0</v>
      </c>
      <c r="AN95" s="125">
        <f>BEL!AN95</f>
        <v>0</v>
      </c>
      <c r="AO95" s="198">
        <f t="shared" si="121"/>
        <v>0</v>
      </c>
      <c r="AP95" s="125">
        <f>BEL!AP95</f>
        <v>0</v>
      </c>
      <c r="AQ95" s="125">
        <f>BEL!AQ95</f>
        <v>0</v>
      </c>
      <c r="AR95" s="125">
        <f>BEL!AR95</f>
        <v>0</v>
      </c>
      <c r="AS95" s="125">
        <f>BEL!AS95</f>
        <v>0</v>
      </c>
      <c r="AT95" s="125">
        <f>BEL!AT95</f>
        <v>0</v>
      </c>
      <c r="AU95" s="127">
        <f>BEL!AU95</f>
        <v>0</v>
      </c>
      <c r="AV95" s="127">
        <f>BEL!AV95</f>
        <v>0</v>
      </c>
      <c r="AW95" s="127">
        <f>BEL!AW95</f>
        <v>0</v>
      </c>
      <c r="AX95" s="127">
        <f t="shared" si="122"/>
        <v>0</v>
      </c>
      <c r="AY95" s="127">
        <f t="shared" si="123"/>
        <v>0</v>
      </c>
      <c r="AZ95" s="127">
        <f t="shared" si="124"/>
        <v>0</v>
      </c>
      <c r="BA95" s="127">
        <f t="shared" si="125"/>
        <v>0</v>
      </c>
      <c r="BB95" s="127">
        <f t="shared" si="126"/>
        <v>0</v>
      </c>
      <c r="BC95" s="127">
        <f t="shared" si="127"/>
        <v>0</v>
      </c>
      <c r="BD95" s="127">
        <f t="shared" si="128"/>
        <v>0</v>
      </c>
      <c r="BE95" s="127">
        <f t="shared" si="129"/>
        <v>0</v>
      </c>
      <c r="BF95" s="127">
        <f t="shared" si="130"/>
        <v>0</v>
      </c>
      <c r="BG95" s="127">
        <f t="shared" si="131"/>
        <v>0</v>
      </c>
      <c r="BH95" s="127">
        <f t="shared" si="132"/>
        <v>0</v>
      </c>
      <c r="BI95" s="127">
        <f t="shared" si="133"/>
        <v>0</v>
      </c>
      <c r="BJ95" s="189">
        <f t="shared" si="134"/>
        <v>0</v>
      </c>
      <c r="BK95" s="189">
        <f t="shared" si="135"/>
        <v>0</v>
      </c>
      <c r="BL95" s="192">
        <f t="shared" si="136"/>
        <v>0</v>
      </c>
      <c r="BM95" s="192">
        <f t="shared" si="137"/>
        <v>0</v>
      </c>
      <c r="BN95" s="192">
        <f t="shared" si="138"/>
        <v>0</v>
      </c>
      <c r="BO95" s="192">
        <f t="shared" si="139"/>
        <v>0</v>
      </c>
      <c r="BP95" s="192">
        <f t="shared" si="140"/>
        <v>0</v>
      </c>
      <c r="BQ95" s="193">
        <f t="shared" si="141"/>
        <v>0</v>
      </c>
      <c r="BR95" s="193">
        <f t="shared" si="142"/>
        <v>0</v>
      </c>
      <c r="BS95" s="188">
        <f t="shared" si="151"/>
        <v>0</v>
      </c>
      <c r="BT95" s="188">
        <f t="shared" si="152"/>
        <v>0</v>
      </c>
      <c r="BU95" s="188">
        <f t="shared" si="153"/>
        <v>0</v>
      </c>
      <c r="BV95" s="188">
        <f t="shared" si="154"/>
        <v>0</v>
      </c>
      <c r="BW95" s="188">
        <f t="shared" si="155"/>
        <v>0</v>
      </c>
      <c r="BX95" s="188">
        <f t="shared" si="156"/>
        <v>0</v>
      </c>
      <c r="BY95" s="188">
        <f t="shared" si="157"/>
        <v>0</v>
      </c>
      <c r="BZ95" s="188">
        <f t="shared" si="158"/>
        <v>0</v>
      </c>
      <c r="CA95" s="188">
        <f t="shared" si="159"/>
        <v>0</v>
      </c>
      <c r="CB95" s="149">
        <f t="shared" si="160"/>
        <v>0</v>
      </c>
      <c r="CC95" s="149">
        <f>CB95-BEL!CB95</f>
        <v>0</v>
      </c>
      <c r="CD95" s="189">
        <f>IF(AND(C95=0,C96=0),0,CB95/W95) - BEL!CC95</f>
        <v>0</v>
      </c>
      <c r="CF95" s="195">
        <f t="shared" si="143"/>
        <v>0</v>
      </c>
      <c r="CG95" s="127">
        <f t="shared" si="144"/>
        <v>0</v>
      </c>
      <c r="CH95" s="128">
        <f>'DATA INPUT - DETAIL'!AH86</f>
        <v>0</v>
      </c>
      <c r="CI95" s="125">
        <f t="shared" si="145"/>
        <v>0</v>
      </c>
      <c r="CJ95" s="199">
        <f t="shared" si="146"/>
        <v>0</v>
      </c>
      <c r="CL95" s="189">
        <f t="shared" si="147"/>
        <v>0</v>
      </c>
      <c r="CM95" s="149">
        <f t="shared" si="148"/>
        <v>0</v>
      </c>
      <c r="CN95" s="128">
        <f>'DATA INPUT - DETAIL'!AH86</f>
        <v>0</v>
      </c>
      <c r="CO95" s="149">
        <f t="shared" si="149"/>
        <v>0</v>
      </c>
      <c r="CP95" s="149">
        <f t="shared" si="161"/>
        <v>0</v>
      </c>
      <c r="CR95" s="126">
        <f t="shared" si="164"/>
        <v>83</v>
      </c>
      <c r="CS95" s="189">
        <f t="shared" si="165"/>
        <v>0</v>
      </c>
      <c r="CT95" s="200">
        <f>CS95/(BEL!CE95+BEL!CA95-BEL!BU95+'RA CSM'!CF95)</f>
        <v>0</v>
      </c>
      <c r="CU95" s="149">
        <f>$CT95*BEL!CH95</f>
        <v>0</v>
      </c>
      <c r="CV95" s="149">
        <f>$CT95*BEL!CI95</f>
        <v>0</v>
      </c>
      <c r="CW95" s="149">
        <f>$CT95*BEL!CJ95</f>
        <v>0</v>
      </c>
      <c r="CX95" s="149">
        <f>$CT95*BEL!CK95</f>
        <v>0</v>
      </c>
      <c r="CY95" s="149">
        <f t="shared" si="162"/>
        <v>0</v>
      </c>
      <c r="CZ95" s="149">
        <f>$CT95*(BEL!CL95+'RA CSM'!CG95)</f>
        <v>0</v>
      </c>
      <c r="DA95" s="149">
        <f t="shared" si="163"/>
        <v>0</v>
      </c>
    </row>
    <row r="96" spans="2:105" x14ac:dyDescent="0.2">
      <c r="B96" s="130">
        <f>BEL!B96</f>
        <v>0</v>
      </c>
      <c r="C96" s="130">
        <f>BEL!C96</f>
        <v>0</v>
      </c>
      <c r="D96" s="190">
        <f>BEL!D96</f>
        <v>0</v>
      </c>
      <c r="E96" s="190">
        <f>BEL!E96</f>
        <v>0</v>
      </c>
      <c r="F96" s="190">
        <f>BEL!F96</f>
        <v>0</v>
      </c>
      <c r="G96" s="190">
        <f>BEL!G96*(1+$V$5)</f>
        <v>0</v>
      </c>
      <c r="H96" s="190">
        <f>BEL!H96*(1+$V$5)</f>
        <v>0</v>
      </c>
      <c r="I96" s="179">
        <f t="shared" si="102"/>
        <v>0</v>
      </c>
      <c r="J96" s="130">
        <f>BEL!J96</f>
        <v>0</v>
      </c>
      <c r="K96" s="130">
        <f>BEL!K96</f>
        <v>0</v>
      </c>
      <c r="L96" s="130">
        <f>BEL!L96</f>
        <v>0</v>
      </c>
      <c r="M96" s="185">
        <f t="shared" si="150"/>
        <v>0</v>
      </c>
      <c r="N96" s="185">
        <f t="shared" si="103"/>
        <v>0</v>
      </c>
      <c r="O96" s="185">
        <f t="shared" si="104"/>
        <v>0</v>
      </c>
      <c r="P96" s="185">
        <f t="shared" si="105"/>
        <v>0</v>
      </c>
      <c r="Q96" s="185">
        <f t="shared" si="106"/>
        <v>0</v>
      </c>
      <c r="R96" s="185">
        <f t="shared" si="107"/>
        <v>0</v>
      </c>
      <c r="S96" s="185">
        <f t="shared" si="108"/>
        <v>0</v>
      </c>
      <c r="T96" s="185">
        <f t="shared" si="109"/>
        <v>0</v>
      </c>
      <c r="U96" s="196">
        <f>(C96&gt;0)*(C96&lt;$E$5)*VLOOKUP(MPP,ASUMSI!$BN$77:$CR$108,B96+1)*(1+$V$4)</f>
        <v>0</v>
      </c>
      <c r="V96" s="185">
        <f t="shared" si="110"/>
        <v>0</v>
      </c>
      <c r="W96" s="185">
        <f t="shared" si="111"/>
        <v>0</v>
      </c>
      <c r="X96" s="185">
        <f t="shared" si="112"/>
        <v>0</v>
      </c>
      <c r="Y96" s="185">
        <f t="shared" si="113"/>
        <v>0</v>
      </c>
      <c r="Z96" s="185">
        <f t="shared" si="114"/>
        <v>0</v>
      </c>
      <c r="AA96" s="197">
        <f t="shared" si="115"/>
        <v>0</v>
      </c>
      <c r="AB96" s="185">
        <f t="shared" si="116"/>
        <v>0</v>
      </c>
      <c r="AC96" s="185">
        <f t="shared" si="116"/>
        <v>0</v>
      </c>
      <c r="AD96" s="185">
        <f t="shared" si="116"/>
        <v>0</v>
      </c>
      <c r="AE96" s="185">
        <f t="shared" si="117"/>
        <v>0</v>
      </c>
      <c r="AF96" s="185">
        <f t="shared" si="118"/>
        <v>0</v>
      </c>
      <c r="AG96" s="185">
        <f t="shared" si="119"/>
        <v>0</v>
      </c>
      <c r="AH96" s="185">
        <f t="shared" si="120"/>
        <v>0</v>
      </c>
      <c r="AI96" s="125">
        <f>BEL!AI96</f>
        <v>0</v>
      </c>
      <c r="AJ96" s="125">
        <f>BEL!AJ96</f>
        <v>0</v>
      </c>
      <c r="AK96" s="125">
        <f>BEL!AK96</f>
        <v>0</v>
      </c>
      <c r="AL96" s="125">
        <f>BEL!AL96</f>
        <v>0</v>
      </c>
      <c r="AM96" s="125">
        <f>BEL!AM96</f>
        <v>0</v>
      </c>
      <c r="AN96" s="125">
        <f>BEL!AN96</f>
        <v>0</v>
      </c>
      <c r="AO96" s="198">
        <f t="shared" si="121"/>
        <v>0</v>
      </c>
      <c r="AP96" s="125">
        <f>BEL!AP96</f>
        <v>0</v>
      </c>
      <c r="AQ96" s="125">
        <f>BEL!AQ96</f>
        <v>0</v>
      </c>
      <c r="AR96" s="125">
        <f>BEL!AR96</f>
        <v>0</v>
      </c>
      <c r="AS96" s="125">
        <f>BEL!AS96</f>
        <v>0</v>
      </c>
      <c r="AT96" s="125">
        <f>BEL!AT96</f>
        <v>0</v>
      </c>
      <c r="AU96" s="127">
        <f>BEL!AU96</f>
        <v>0</v>
      </c>
      <c r="AV96" s="127">
        <f>BEL!AV96</f>
        <v>0</v>
      </c>
      <c r="AW96" s="127">
        <f>BEL!AW96</f>
        <v>0</v>
      </c>
      <c r="AX96" s="127">
        <f t="shared" si="122"/>
        <v>0</v>
      </c>
      <c r="AY96" s="127">
        <f t="shared" si="123"/>
        <v>0</v>
      </c>
      <c r="AZ96" s="127">
        <f t="shared" si="124"/>
        <v>0</v>
      </c>
      <c r="BA96" s="127">
        <f t="shared" si="125"/>
        <v>0</v>
      </c>
      <c r="BB96" s="127">
        <f t="shared" si="126"/>
        <v>0</v>
      </c>
      <c r="BC96" s="127">
        <f t="shared" si="127"/>
        <v>0</v>
      </c>
      <c r="BD96" s="127">
        <f t="shared" si="128"/>
        <v>0</v>
      </c>
      <c r="BE96" s="127">
        <f t="shared" si="129"/>
        <v>0</v>
      </c>
      <c r="BF96" s="127">
        <f t="shared" si="130"/>
        <v>0</v>
      </c>
      <c r="BG96" s="127">
        <f t="shared" si="131"/>
        <v>0</v>
      </c>
      <c r="BH96" s="127">
        <f t="shared" si="132"/>
        <v>0</v>
      </c>
      <c r="BI96" s="127">
        <f t="shared" si="133"/>
        <v>0</v>
      </c>
      <c r="BJ96" s="189">
        <f t="shared" si="134"/>
        <v>0</v>
      </c>
      <c r="BK96" s="189">
        <f t="shared" si="135"/>
        <v>0</v>
      </c>
      <c r="BL96" s="192">
        <f t="shared" si="136"/>
        <v>0</v>
      </c>
      <c r="BM96" s="192">
        <f t="shared" si="137"/>
        <v>0</v>
      </c>
      <c r="BN96" s="192">
        <f t="shared" si="138"/>
        <v>0</v>
      </c>
      <c r="BO96" s="192">
        <f t="shared" si="139"/>
        <v>0</v>
      </c>
      <c r="BP96" s="192">
        <f t="shared" si="140"/>
        <v>0</v>
      </c>
      <c r="BQ96" s="193">
        <f t="shared" si="141"/>
        <v>0</v>
      </c>
      <c r="BR96" s="193">
        <f t="shared" si="142"/>
        <v>0</v>
      </c>
      <c r="BS96" s="188">
        <f t="shared" si="151"/>
        <v>0</v>
      </c>
      <c r="BT96" s="188">
        <f t="shared" si="152"/>
        <v>0</v>
      </c>
      <c r="BU96" s="188">
        <f t="shared" si="153"/>
        <v>0</v>
      </c>
      <c r="BV96" s="188">
        <f t="shared" si="154"/>
        <v>0</v>
      </c>
      <c r="BW96" s="188">
        <f t="shared" si="155"/>
        <v>0</v>
      </c>
      <c r="BX96" s="188">
        <f t="shared" si="156"/>
        <v>0</v>
      </c>
      <c r="BY96" s="188">
        <f t="shared" si="157"/>
        <v>0</v>
      </c>
      <c r="BZ96" s="188">
        <f t="shared" si="158"/>
        <v>0</v>
      </c>
      <c r="CA96" s="188">
        <f t="shared" si="159"/>
        <v>0</v>
      </c>
      <c r="CB96" s="149">
        <f t="shared" si="160"/>
        <v>0</v>
      </c>
      <c r="CC96" s="149">
        <f>CB96-BEL!CB96</f>
        <v>0</v>
      </c>
      <c r="CD96" s="189">
        <f>IF(AND(C96=0,C97=0),0,CB96/W96) - BEL!CC96</f>
        <v>0</v>
      </c>
      <c r="CF96" s="195">
        <f t="shared" si="143"/>
        <v>0</v>
      </c>
      <c r="CG96" s="127">
        <f t="shared" si="144"/>
        <v>0</v>
      </c>
      <c r="CH96" s="128">
        <f>'DATA INPUT - DETAIL'!AH87</f>
        <v>0</v>
      </c>
      <c r="CI96" s="125">
        <f t="shared" si="145"/>
        <v>0</v>
      </c>
      <c r="CJ96" s="199">
        <f t="shared" si="146"/>
        <v>0</v>
      </c>
      <c r="CL96" s="189">
        <f t="shared" si="147"/>
        <v>0</v>
      </c>
      <c r="CM96" s="149">
        <f t="shared" si="148"/>
        <v>0</v>
      </c>
      <c r="CN96" s="128">
        <f>'DATA INPUT - DETAIL'!AH87</f>
        <v>0</v>
      </c>
      <c r="CO96" s="149">
        <f t="shared" si="149"/>
        <v>0</v>
      </c>
      <c r="CP96" s="149">
        <f t="shared" si="161"/>
        <v>0</v>
      </c>
      <c r="CR96" s="126">
        <f t="shared" si="164"/>
        <v>84</v>
      </c>
      <c r="CS96" s="189">
        <f t="shared" si="165"/>
        <v>0</v>
      </c>
      <c r="CT96" s="200">
        <f>CS96/(BEL!CE96+BEL!CA96-BEL!BU96+'RA CSM'!CF96)</f>
        <v>0</v>
      </c>
      <c r="CU96" s="149">
        <f>$CT96*BEL!CH96</f>
        <v>0</v>
      </c>
      <c r="CV96" s="149">
        <f>$CT96*BEL!CI96</f>
        <v>0</v>
      </c>
      <c r="CW96" s="149">
        <f>$CT96*BEL!CJ96</f>
        <v>0</v>
      </c>
      <c r="CX96" s="149">
        <f>$CT96*BEL!CK96</f>
        <v>0</v>
      </c>
      <c r="CY96" s="149">
        <f t="shared" si="162"/>
        <v>0</v>
      </c>
      <c r="CZ96" s="149">
        <f>$CT96*(BEL!CL96+'RA CSM'!CG96)</f>
        <v>0</v>
      </c>
      <c r="DA96" s="149">
        <f t="shared" si="163"/>
        <v>0</v>
      </c>
    </row>
    <row r="97" spans="2:105" x14ac:dyDescent="0.2">
      <c r="B97" s="130">
        <f>BEL!B97</f>
        <v>0</v>
      </c>
      <c r="C97" s="130">
        <f>BEL!C97</f>
        <v>0</v>
      </c>
      <c r="D97" s="190">
        <f>BEL!D97</f>
        <v>0</v>
      </c>
      <c r="E97" s="190">
        <f>BEL!E97</f>
        <v>0</v>
      </c>
      <c r="F97" s="190">
        <f>BEL!F97</f>
        <v>0</v>
      </c>
      <c r="G97" s="190">
        <f>BEL!G97*(1+$V$5)</f>
        <v>0</v>
      </c>
      <c r="H97" s="190">
        <f>BEL!H97*(1+$V$5)</f>
        <v>0</v>
      </c>
      <c r="I97" s="179">
        <f t="shared" si="102"/>
        <v>0</v>
      </c>
      <c r="J97" s="130">
        <f>BEL!J97</f>
        <v>0</v>
      </c>
      <c r="K97" s="130">
        <f>BEL!K97</f>
        <v>0</v>
      </c>
      <c r="L97" s="130">
        <f>BEL!L97</f>
        <v>0</v>
      </c>
      <c r="M97" s="185">
        <f t="shared" si="150"/>
        <v>0</v>
      </c>
      <c r="N97" s="185">
        <f t="shared" si="103"/>
        <v>0</v>
      </c>
      <c r="O97" s="185">
        <f t="shared" si="104"/>
        <v>0</v>
      </c>
      <c r="P97" s="185">
        <f t="shared" si="105"/>
        <v>0</v>
      </c>
      <c r="Q97" s="185">
        <f t="shared" si="106"/>
        <v>0</v>
      </c>
      <c r="R97" s="185">
        <f t="shared" si="107"/>
        <v>0</v>
      </c>
      <c r="S97" s="185">
        <f t="shared" si="108"/>
        <v>0</v>
      </c>
      <c r="T97" s="185">
        <f t="shared" si="109"/>
        <v>0</v>
      </c>
      <c r="U97" s="196">
        <f>(C97&gt;0)*(C97&lt;$E$5)*VLOOKUP(MPP,ASUMSI!$BN$77:$CR$108,B97+1)*(1+$V$4)</f>
        <v>0</v>
      </c>
      <c r="V97" s="185">
        <f t="shared" si="110"/>
        <v>0</v>
      </c>
      <c r="W97" s="185">
        <f t="shared" si="111"/>
        <v>0</v>
      </c>
      <c r="X97" s="185">
        <f t="shared" si="112"/>
        <v>0</v>
      </c>
      <c r="Y97" s="185">
        <f t="shared" si="113"/>
        <v>0</v>
      </c>
      <c r="Z97" s="185">
        <f t="shared" si="114"/>
        <v>0</v>
      </c>
      <c r="AA97" s="197">
        <f t="shared" si="115"/>
        <v>0</v>
      </c>
      <c r="AB97" s="185">
        <f t="shared" si="116"/>
        <v>0</v>
      </c>
      <c r="AC97" s="185">
        <f t="shared" si="116"/>
        <v>0</v>
      </c>
      <c r="AD97" s="185">
        <f t="shared" si="116"/>
        <v>0</v>
      </c>
      <c r="AE97" s="185">
        <f t="shared" si="117"/>
        <v>0</v>
      </c>
      <c r="AF97" s="185">
        <f t="shared" si="118"/>
        <v>0</v>
      </c>
      <c r="AG97" s="185">
        <f t="shared" si="119"/>
        <v>0</v>
      </c>
      <c r="AH97" s="185">
        <f t="shared" si="120"/>
        <v>0</v>
      </c>
      <c r="AI97" s="125">
        <f>BEL!AI97</f>
        <v>0</v>
      </c>
      <c r="AJ97" s="125">
        <f>BEL!AJ97</f>
        <v>0</v>
      </c>
      <c r="AK97" s="125">
        <f>BEL!AK97</f>
        <v>0</v>
      </c>
      <c r="AL97" s="125">
        <f>BEL!AL97</f>
        <v>0</v>
      </c>
      <c r="AM97" s="125">
        <f>BEL!AM97</f>
        <v>0</v>
      </c>
      <c r="AN97" s="125">
        <f>BEL!AN97</f>
        <v>0</v>
      </c>
      <c r="AO97" s="198">
        <f t="shared" si="121"/>
        <v>0</v>
      </c>
      <c r="AP97" s="125">
        <f>BEL!AP97</f>
        <v>0</v>
      </c>
      <c r="AQ97" s="125">
        <f>BEL!AQ97</f>
        <v>0</v>
      </c>
      <c r="AR97" s="125">
        <f>BEL!AR97</f>
        <v>0</v>
      </c>
      <c r="AS97" s="125">
        <f>BEL!AS97</f>
        <v>0</v>
      </c>
      <c r="AT97" s="125">
        <f>BEL!AT97</f>
        <v>0</v>
      </c>
      <c r="AU97" s="127">
        <f>BEL!AU97</f>
        <v>0</v>
      </c>
      <c r="AV97" s="127">
        <f>BEL!AV97</f>
        <v>0</v>
      </c>
      <c r="AW97" s="127">
        <f>BEL!AW97</f>
        <v>0</v>
      </c>
      <c r="AX97" s="127">
        <f t="shared" si="122"/>
        <v>0</v>
      </c>
      <c r="AY97" s="127">
        <f t="shared" si="123"/>
        <v>0</v>
      </c>
      <c r="AZ97" s="127">
        <f t="shared" si="124"/>
        <v>0</v>
      </c>
      <c r="BA97" s="127">
        <f t="shared" si="125"/>
        <v>0</v>
      </c>
      <c r="BB97" s="127">
        <f t="shared" si="126"/>
        <v>0</v>
      </c>
      <c r="BC97" s="127">
        <f t="shared" si="127"/>
        <v>0</v>
      </c>
      <c r="BD97" s="127">
        <f t="shared" si="128"/>
        <v>0</v>
      </c>
      <c r="BE97" s="127">
        <f t="shared" si="129"/>
        <v>0</v>
      </c>
      <c r="BF97" s="127">
        <f t="shared" si="130"/>
        <v>0</v>
      </c>
      <c r="BG97" s="127">
        <f t="shared" si="131"/>
        <v>0</v>
      </c>
      <c r="BH97" s="127">
        <f t="shared" si="132"/>
        <v>0</v>
      </c>
      <c r="BI97" s="127">
        <f t="shared" si="133"/>
        <v>0</v>
      </c>
      <c r="BJ97" s="189">
        <f t="shared" si="134"/>
        <v>0</v>
      </c>
      <c r="BK97" s="189">
        <f t="shared" si="135"/>
        <v>0</v>
      </c>
      <c r="BL97" s="192">
        <f t="shared" si="136"/>
        <v>0</v>
      </c>
      <c r="BM97" s="192">
        <f t="shared" si="137"/>
        <v>0</v>
      </c>
      <c r="BN97" s="192">
        <f t="shared" si="138"/>
        <v>0</v>
      </c>
      <c r="BO97" s="192">
        <f t="shared" si="139"/>
        <v>0</v>
      </c>
      <c r="BP97" s="192">
        <f t="shared" si="140"/>
        <v>0</v>
      </c>
      <c r="BQ97" s="193">
        <f t="shared" si="141"/>
        <v>0</v>
      </c>
      <c r="BR97" s="193">
        <f t="shared" si="142"/>
        <v>0</v>
      </c>
      <c r="BS97" s="188">
        <f t="shared" si="151"/>
        <v>0</v>
      </c>
      <c r="BT97" s="188">
        <f t="shared" si="152"/>
        <v>0</v>
      </c>
      <c r="BU97" s="188">
        <f t="shared" si="153"/>
        <v>0</v>
      </c>
      <c r="BV97" s="188">
        <f t="shared" si="154"/>
        <v>0</v>
      </c>
      <c r="BW97" s="188">
        <f t="shared" si="155"/>
        <v>0</v>
      </c>
      <c r="BX97" s="188">
        <f t="shared" si="156"/>
        <v>0</v>
      </c>
      <c r="BY97" s="188">
        <f t="shared" si="157"/>
        <v>0</v>
      </c>
      <c r="BZ97" s="188">
        <f t="shared" si="158"/>
        <v>0</v>
      </c>
      <c r="CA97" s="188">
        <f t="shared" si="159"/>
        <v>0</v>
      </c>
      <c r="CB97" s="149">
        <f t="shared" si="160"/>
        <v>0</v>
      </c>
      <c r="CC97" s="149">
        <f>CB97-BEL!CB97</f>
        <v>0</v>
      </c>
      <c r="CD97" s="189">
        <f>IF(AND(C97=0,C98=0),0,CB97/W97) - BEL!CC97</f>
        <v>0</v>
      </c>
      <c r="CF97" s="195">
        <f t="shared" si="143"/>
        <v>0</v>
      </c>
      <c r="CG97" s="127">
        <f t="shared" si="144"/>
        <v>0</v>
      </c>
      <c r="CH97" s="128">
        <f>'DATA INPUT - DETAIL'!AH88</f>
        <v>0</v>
      </c>
      <c r="CI97" s="125">
        <f t="shared" si="145"/>
        <v>0</v>
      </c>
      <c r="CJ97" s="199">
        <f t="shared" si="146"/>
        <v>0</v>
      </c>
      <c r="CL97" s="189">
        <f t="shared" si="147"/>
        <v>0</v>
      </c>
      <c r="CM97" s="149">
        <f t="shared" si="148"/>
        <v>0</v>
      </c>
      <c r="CN97" s="128">
        <f>'DATA INPUT - DETAIL'!AH88</f>
        <v>0</v>
      </c>
      <c r="CO97" s="149">
        <f t="shared" si="149"/>
        <v>0</v>
      </c>
      <c r="CP97" s="149">
        <f t="shared" si="161"/>
        <v>0</v>
      </c>
      <c r="CR97" s="126">
        <f t="shared" si="164"/>
        <v>85</v>
      </c>
      <c r="CS97" s="189">
        <f t="shared" si="165"/>
        <v>0</v>
      </c>
      <c r="CT97" s="200">
        <f>CS97/(BEL!CE97+BEL!CA97-BEL!BU97+'RA CSM'!CF97)</f>
        <v>0</v>
      </c>
      <c r="CU97" s="149">
        <f>$CT97*BEL!CH97</f>
        <v>0</v>
      </c>
      <c r="CV97" s="149">
        <f>$CT97*BEL!CI97</f>
        <v>0</v>
      </c>
      <c r="CW97" s="149">
        <f>$CT97*BEL!CJ97</f>
        <v>0</v>
      </c>
      <c r="CX97" s="149">
        <f>$CT97*BEL!CK97</f>
        <v>0</v>
      </c>
      <c r="CY97" s="149">
        <f t="shared" si="162"/>
        <v>0</v>
      </c>
      <c r="CZ97" s="149">
        <f>$CT97*(BEL!CL97+'RA CSM'!CG97)</f>
        <v>0</v>
      </c>
      <c r="DA97" s="149">
        <f t="shared" si="163"/>
        <v>0</v>
      </c>
    </row>
    <row r="98" spans="2:105" x14ac:dyDescent="0.2">
      <c r="B98" s="130">
        <f>BEL!B98</f>
        <v>0</v>
      </c>
      <c r="C98" s="130">
        <f>BEL!C98</f>
        <v>0</v>
      </c>
      <c r="D98" s="190">
        <f>BEL!D98</f>
        <v>0</v>
      </c>
      <c r="E98" s="190">
        <f>BEL!E98</f>
        <v>0</v>
      </c>
      <c r="F98" s="190">
        <f>BEL!F98</f>
        <v>0</v>
      </c>
      <c r="G98" s="190">
        <f>BEL!G98*(1+$V$5)</f>
        <v>0</v>
      </c>
      <c r="H98" s="190">
        <f>BEL!H98*(1+$V$5)</f>
        <v>0</v>
      </c>
      <c r="I98" s="179">
        <f t="shared" si="102"/>
        <v>0</v>
      </c>
      <c r="J98" s="130">
        <f>BEL!J98</f>
        <v>0</v>
      </c>
      <c r="K98" s="130">
        <f>BEL!K98</f>
        <v>0</v>
      </c>
      <c r="L98" s="130">
        <f>BEL!L98</f>
        <v>0</v>
      </c>
      <c r="M98" s="185">
        <f t="shared" si="150"/>
        <v>0</v>
      </c>
      <c r="N98" s="185">
        <f t="shared" si="103"/>
        <v>0</v>
      </c>
      <c r="O98" s="185">
        <f t="shared" si="104"/>
        <v>0</v>
      </c>
      <c r="P98" s="185">
        <f t="shared" si="105"/>
        <v>0</v>
      </c>
      <c r="Q98" s="185">
        <f t="shared" si="106"/>
        <v>0</v>
      </c>
      <c r="R98" s="185">
        <f t="shared" si="107"/>
        <v>0</v>
      </c>
      <c r="S98" s="185">
        <f t="shared" si="108"/>
        <v>0</v>
      </c>
      <c r="T98" s="185">
        <f t="shared" si="109"/>
        <v>0</v>
      </c>
      <c r="U98" s="196">
        <f>(C98&gt;0)*(C98&lt;$E$5)*VLOOKUP(MPP,ASUMSI!$BN$77:$CR$108,B98+1)*(1+$V$4)</f>
        <v>0</v>
      </c>
      <c r="V98" s="185">
        <f t="shared" si="110"/>
        <v>0</v>
      </c>
      <c r="W98" s="185">
        <f t="shared" si="111"/>
        <v>0</v>
      </c>
      <c r="X98" s="185">
        <f t="shared" si="112"/>
        <v>0</v>
      </c>
      <c r="Y98" s="185">
        <f t="shared" si="113"/>
        <v>0</v>
      </c>
      <c r="Z98" s="185">
        <f t="shared" si="114"/>
        <v>0</v>
      </c>
      <c r="AA98" s="197">
        <f t="shared" si="115"/>
        <v>0</v>
      </c>
      <c r="AB98" s="185">
        <f t="shared" si="116"/>
        <v>0</v>
      </c>
      <c r="AC98" s="185">
        <f t="shared" si="116"/>
        <v>0</v>
      </c>
      <c r="AD98" s="185">
        <f t="shared" si="116"/>
        <v>0</v>
      </c>
      <c r="AE98" s="185">
        <f t="shared" si="117"/>
        <v>0</v>
      </c>
      <c r="AF98" s="185">
        <f t="shared" si="118"/>
        <v>0</v>
      </c>
      <c r="AG98" s="185">
        <f t="shared" si="119"/>
        <v>0</v>
      </c>
      <c r="AH98" s="185">
        <f t="shared" si="120"/>
        <v>0</v>
      </c>
      <c r="AI98" s="125">
        <f>BEL!AI98</f>
        <v>0</v>
      </c>
      <c r="AJ98" s="125">
        <f>BEL!AJ98</f>
        <v>0</v>
      </c>
      <c r="AK98" s="125">
        <f>BEL!AK98</f>
        <v>0</v>
      </c>
      <c r="AL98" s="125">
        <f>BEL!AL98</f>
        <v>0</v>
      </c>
      <c r="AM98" s="125">
        <f>BEL!AM98</f>
        <v>0</v>
      </c>
      <c r="AN98" s="125">
        <f>BEL!AN98</f>
        <v>0</v>
      </c>
      <c r="AO98" s="198">
        <f t="shared" si="121"/>
        <v>0</v>
      </c>
      <c r="AP98" s="125">
        <f>BEL!AP98</f>
        <v>0</v>
      </c>
      <c r="AQ98" s="125">
        <f>BEL!AQ98</f>
        <v>0</v>
      </c>
      <c r="AR98" s="125">
        <f>BEL!AR98</f>
        <v>0</v>
      </c>
      <c r="AS98" s="125">
        <f>BEL!AS98</f>
        <v>0</v>
      </c>
      <c r="AT98" s="125">
        <f>BEL!AT98</f>
        <v>0</v>
      </c>
      <c r="AU98" s="127">
        <f>BEL!AU98</f>
        <v>0</v>
      </c>
      <c r="AV98" s="127">
        <f>BEL!AV98</f>
        <v>0</v>
      </c>
      <c r="AW98" s="127">
        <f>BEL!AW98</f>
        <v>0</v>
      </c>
      <c r="AX98" s="127">
        <f t="shared" si="122"/>
        <v>0</v>
      </c>
      <c r="AY98" s="127">
        <f t="shared" si="123"/>
        <v>0</v>
      </c>
      <c r="AZ98" s="127">
        <f t="shared" si="124"/>
        <v>0</v>
      </c>
      <c r="BA98" s="127">
        <f t="shared" si="125"/>
        <v>0</v>
      </c>
      <c r="BB98" s="127">
        <f t="shared" si="126"/>
        <v>0</v>
      </c>
      <c r="BC98" s="127">
        <f t="shared" si="127"/>
        <v>0</v>
      </c>
      <c r="BD98" s="127">
        <f t="shared" si="128"/>
        <v>0</v>
      </c>
      <c r="BE98" s="127">
        <f t="shared" si="129"/>
        <v>0</v>
      </c>
      <c r="BF98" s="127">
        <f t="shared" si="130"/>
        <v>0</v>
      </c>
      <c r="BG98" s="127">
        <f t="shared" si="131"/>
        <v>0</v>
      </c>
      <c r="BH98" s="127">
        <f t="shared" si="132"/>
        <v>0</v>
      </c>
      <c r="BI98" s="127">
        <f t="shared" si="133"/>
        <v>0</v>
      </c>
      <c r="BJ98" s="189">
        <f t="shared" si="134"/>
        <v>0</v>
      </c>
      <c r="BK98" s="189">
        <f t="shared" si="135"/>
        <v>0</v>
      </c>
      <c r="BL98" s="192">
        <f t="shared" si="136"/>
        <v>0</v>
      </c>
      <c r="BM98" s="192">
        <f t="shared" si="137"/>
        <v>0</v>
      </c>
      <c r="BN98" s="192">
        <f t="shared" si="138"/>
        <v>0</v>
      </c>
      <c r="BO98" s="192">
        <f t="shared" si="139"/>
        <v>0</v>
      </c>
      <c r="BP98" s="192">
        <f t="shared" si="140"/>
        <v>0</v>
      </c>
      <c r="BQ98" s="193">
        <f t="shared" si="141"/>
        <v>0</v>
      </c>
      <c r="BR98" s="193">
        <f t="shared" si="142"/>
        <v>0</v>
      </c>
      <c r="BS98" s="188">
        <f t="shared" si="151"/>
        <v>0</v>
      </c>
      <c r="BT98" s="188">
        <f t="shared" si="152"/>
        <v>0</v>
      </c>
      <c r="BU98" s="188">
        <f t="shared" si="153"/>
        <v>0</v>
      </c>
      <c r="BV98" s="188">
        <f t="shared" si="154"/>
        <v>0</v>
      </c>
      <c r="BW98" s="188">
        <f t="shared" si="155"/>
        <v>0</v>
      </c>
      <c r="BX98" s="188">
        <f t="shared" si="156"/>
        <v>0</v>
      </c>
      <c r="BY98" s="188">
        <f t="shared" si="157"/>
        <v>0</v>
      </c>
      <c r="BZ98" s="188">
        <f t="shared" si="158"/>
        <v>0</v>
      </c>
      <c r="CA98" s="188">
        <f t="shared" si="159"/>
        <v>0</v>
      </c>
      <c r="CB98" s="149">
        <f t="shared" si="160"/>
        <v>0</v>
      </c>
      <c r="CC98" s="149">
        <f>CB98-BEL!CB98</f>
        <v>0</v>
      </c>
      <c r="CD98" s="189">
        <f>IF(AND(C98=0,C99=0),0,CB98/W98) - BEL!CC98</f>
        <v>0</v>
      </c>
      <c r="CF98" s="195">
        <f t="shared" si="143"/>
        <v>0</v>
      </c>
      <c r="CG98" s="127">
        <f t="shared" si="144"/>
        <v>0</v>
      </c>
      <c r="CH98" s="128">
        <f>'DATA INPUT - DETAIL'!AH89</f>
        <v>0</v>
      </c>
      <c r="CI98" s="125">
        <f t="shared" si="145"/>
        <v>0</v>
      </c>
      <c r="CJ98" s="199">
        <f t="shared" si="146"/>
        <v>0</v>
      </c>
      <c r="CL98" s="189">
        <f t="shared" si="147"/>
        <v>0</v>
      </c>
      <c r="CM98" s="149">
        <f t="shared" si="148"/>
        <v>0</v>
      </c>
      <c r="CN98" s="128">
        <f>'DATA INPUT - DETAIL'!AH89</f>
        <v>0</v>
      </c>
      <c r="CO98" s="149">
        <f t="shared" si="149"/>
        <v>0</v>
      </c>
      <c r="CP98" s="149">
        <f t="shared" si="161"/>
        <v>0</v>
      </c>
      <c r="CR98" s="126">
        <f t="shared" si="164"/>
        <v>86</v>
      </c>
      <c r="CS98" s="189">
        <f t="shared" si="165"/>
        <v>0</v>
      </c>
      <c r="CT98" s="200">
        <f>CS98/(BEL!CE98+BEL!CA98-BEL!BU98+'RA CSM'!CF98)</f>
        <v>0</v>
      </c>
      <c r="CU98" s="149">
        <f>$CT98*BEL!CH98</f>
        <v>0</v>
      </c>
      <c r="CV98" s="149">
        <f>$CT98*BEL!CI98</f>
        <v>0</v>
      </c>
      <c r="CW98" s="149">
        <f>$CT98*BEL!CJ98</f>
        <v>0</v>
      </c>
      <c r="CX98" s="149">
        <f>$CT98*BEL!CK98</f>
        <v>0</v>
      </c>
      <c r="CY98" s="149">
        <f t="shared" si="162"/>
        <v>0</v>
      </c>
      <c r="CZ98" s="149">
        <f>$CT98*(BEL!CL98+'RA CSM'!CG98)</f>
        <v>0</v>
      </c>
      <c r="DA98" s="149">
        <f t="shared" si="163"/>
        <v>0</v>
      </c>
    </row>
    <row r="99" spans="2:105" x14ac:dyDescent="0.2">
      <c r="B99" s="130">
        <f>BEL!B99</f>
        <v>0</v>
      </c>
      <c r="C99" s="130">
        <f>BEL!C99</f>
        <v>0</v>
      </c>
      <c r="D99" s="190">
        <f>BEL!D99</f>
        <v>0</v>
      </c>
      <c r="E99" s="190">
        <f>BEL!E99</f>
        <v>0</v>
      </c>
      <c r="F99" s="190">
        <f>BEL!F99</f>
        <v>0</v>
      </c>
      <c r="G99" s="190">
        <f>BEL!G99*(1+$V$5)</f>
        <v>0</v>
      </c>
      <c r="H99" s="190">
        <f>BEL!H99*(1+$V$5)</f>
        <v>0</v>
      </c>
      <c r="I99" s="179">
        <f t="shared" si="102"/>
        <v>0</v>
      </c>
      <c r="J99" s="130">
        <f>BEL!J99</f>
        <v>0</v>
      </c>
      <c r="K99" s="130">
        <f>BEL!K99</f>
        <v>0</v>
      </c>
      <c r="L99" s="130">
        <f>BEL!L99</f>
        <v>0</v>
      </c>
      <c r="M99" s="185">
        <f t="shared" si="150"/>
        <v>0</v>
      </c>
      <c r="N99" s="185">
        <f t="shared" si="103"/>
        <v>0</v>
      </c>
      <c r="O99" s="185">
        <f t="shared" si="104"/>
        <v>0</v>
      </c>
      <c r="P99" s="185">
        <f t="shared" si="105"/>
        <v>0</v>
      </c>
      <c r="Q99" s="185">
        <f t="shared" si="106"/>
        <v>0</v>
      </c>
      <c r="R99" s="185">
        <f t="shared" si="107"/>
        <v>0</v>
      </c>
      <c r="S99" s="185">
        <f t="shared" si="108"/>
        <v>0</v>
      </c>
      <c r="T99" s="185">
        <f t="shared" si="109"/>
        <v>0</v>
      </c>
      <c r="U99" s="196">
        <f>(C99&gt;0)*(C99&lt;$E$5)*VLOOKUP(MPP,ASUMSI!$BN$77:$CR$108,B99+1)*(1+$V$4)</f>
        <v>0</v>
      </c>
      <c r="V99" s="185">
        <f t="shared" si="110"/>
        <v>0</v>
      </c>
      <c r="W99" s="185">
        <f t="shared" si="111"/>
        <v>0</v>
      </c>
      <c r="X99" s="185">
        <f t="shared" si="112"/>
        <v>0</v>
      </c>
      <c r="Y99" s="185">
        <f t="shared" si="113"/>
        <v>0</v>
      </c>
      <c r="Z99" s="185">
        <f t="shared" si="114"/>
        <v>0</v>
      </c>
      <c r="AA99" s="197">
        <f t="shared" si="115"/>
        <v>0</v>
      </c>
      <c r="AB99" s="185">
        <f t="shared" si="116"/>
        <v>0</v>
      </c>
      <c r="AC99" s="185">
        <f t="shared" si="116"/>
        <v>0</v>
      </c>
      <c r="AD99" s="185">
        <f t="shared" si="116"/>
        <v>0</v>
      </c>
      <c r="AE99" s="185">
        <f t="shared" si="117"/>
        <v>0</v>
      </c>
      <c r="AF99" s="185">
        <f t="shared" si="118"/>
        <v>0</v>
      </c>
      <c r="AG99" s="185">
        <f t="shared" si="119"/>
        <v>0</v>
      </c>
      <c r="AH99" s="185">
        <f t="shared" si="120"/>
        <v>0</v>
      </c>
      <c r="AI99" s="125">
        <f>BEL!AI99</f>
        <v>0</v>
      </c>
      <c r="AJ99" s="125">
        <f>BEL!AJ99</f>
        <v>0</v>
      </c>
      <c r="AK99" s="125">
        <f>BEL!AK99</f>
        <v>0</v>
      </c>
      <c r="AL99" s="125">
        <f>BEL!AL99</f>
        <v>0</v>
      </c>
      <c r="AM99" s="125">
        <f>BEL!AM99</f>
        <v>0</v>
      </c>
      <c r="AN99" s="125">
        <f>BEL!AN99</f>
        <v>0</v>
      </c>
      <c r="AO99" s="198">
        <f t="shared" si="121"/>
        <v>0</v>
      </c>
      <c r="AP99" s="125">
        <f>BEL!AP99</f>
        <v>0</v>
      </c>
      <c r="AQ99" s="125">
        <f>BEL!AQ99</f>
        <v>0</v>
      </c>
      <c r="AR99" s="125">
        <f>BEL!AR99</f>
        <v>0</v>
      </c>
      <c r="AS99" s="125">
        <f>BEL!AS99</f>
        <v>0</v>
      </c>
      <c r="AT99" s="125">
        <f>BEL!AT99</f>
        <v>0</v>
      </c>
      <c r="AU99" s="127">
        <f>BEL!AU99</f>
        <v>0</v>
      </c>
      <c r="AV99" s="127">
        <f>BEL!AV99</f>
        <v>0</v>
      </c>
      <c r="AW99" s="127">
        <f>BEL!AW99</f>
        <v>0</v>
      </c>
      <c r="AX99" s="127">
        <f t="shared" si="122"/>
        <v>0</v>
      </c>
      <c r="AY99" s="127">
        <f t="shared" si="123"/>
        <v>0</v>
      </c>
      <c r="AZ99" s="127">
        <f t="shared" si="124"/>
        <v>0</v>
      </c>
      <c r="BA99" s="127">
        <f t="shared" si="125"/>
        <v>0</v>
      </c>
      <c r="BB99" s="127">
        <f t="shared" si="126"/>
        <v>0</v>
      </c>
      <c r="BC99" s="127">
        <f t="shared" si="127"/>
        <v>0</v>
      </c>
      <c r="BD99" s="127">
        <f t="shared" si="128"/>
        <v>0</v>
      </c>
      <c r="BE99" s="127">
        <f t="shared" si="129"/>
        <v>0</v>
      </c>
      <c r="BF99" s="127">
        <f t="shared" si="130"/>
        <v>0</v>
      </c>
      <c r="BG99" s="127">
        <f t="shared" si="131"/>
        <v>0</v>
      </c>
      <c r="BH99" s="127">
        <f t="shared" si="132"/>
        <v>0</v>
      </c>
      <c r="BI99" s="127">
        <f t="shared" si="133"/>
        <v>0</v>
      </c>
      <c r="BJ99" s="189">
        <f t="shared" si="134"/>
        <v>0</v>
      </c>
      <c r="BK99" s="189">
        <f t="shared" si="135"/>
        <v>0</v>
      </c>
      <c r="BL99" s="192">
        <f t="shared" si="136"/>
        <v>0</v>
      </c>
      <c r="BM99" s="192">
        <f t="shared" si="137"/>
        <v>0</v>
      </c>
      <c r="BN99" s="192">
        <f t="shared" si="138"/>
        <v>0</v>
      </c>
      <c r="BO99" s="192">
        <f t="shared" si="139"/>
        <v>0</v>
      </c>
      <c r="BP99" s="192">
        <f t="shared" si="140"/>
        <v>0</v>
      </c>
      <c r="BQ99" s="193">
        <f t="shared" si="141"/>
        <v>0</v>
      </c>
      <c r="BR99" s="193">
        <f t="shared" si="142"/>
        <v>0</v>
      </c>
      <c r="BS99" s="188">
        <f t="shared" si="151"/>
        <v>0</v>
      </c>
      <c r="BT99" s="188">
        <f t="shared" si="152"/>
        <v>0</v>
      </c>
      <c r="BU99" s="188">
        <f t="shared" si="153"/>
        <v>0</v>
      </c>
      <c r="BV99" s="188">
        <f t="shared" si="154"/>
        <v>0</v>
      </c>
      <c r="BW99" s="188">
        <f t="shared" si="155"/>
        <v>0</v>
      </c>
      <c r="BX99" s="188">
        <f t="shared" si="156"/>
        <v>0</v>
      </c>
      <c r="BY99" s="188">
        <f t="shared" si="157"/>
        <v>0</v>
      </c>
      <c r="BZ99" s="188">
        <f t="shared" si="158"/>
        <v>0</v>
      </c>
      <c r="CA99" s="188">
        <f t="shared" si="159"/>
        <v>0</v>
      </c>
      <c r="CB99" s="149">
        <f t="shared" si="160"/>
        <v>0</v>
      </c>
      <c r="CC99" s="149">
        <f>CB99-BEL!CB99</f>
        <v>0</v>
      </c>
      <c r="CD99" s="189">
        <f>IF(AND(C99=0,C100=0),0,CB99/W99) - BEL!CC99</f>
        <v>0</v>
      </c>
      <c r="CF99" s="195">
        <f t="shared" si="143"/>
        <v>0</v>
      </c>
      <c r="CG99" s="127">
        <f t="shared" si="144"/>
        <v>0</v>
      </c>
      <c r="CH99" s="128">
        <f>'DATA INPUT - DETAIL'!AH90</f>
        <v>0</v>
      </c>
      <c r="CI99" s="125">
        <f t="shared" si="145"/>
        <v>0</v>
      </c>
      <c r="CJ99" s="199">
        <f t="shared" si="146"/>
        <v>0</v>
      </c>
      <c r="CL99" s="189">
        <f t="shared" si="147"/>
        <v>0</v>
      </c>
      <c r="CM99" s="149">
        <f t="shared" si="148"/>
        <v>0</v>
      </c>
      <c r="CN99" s="128">
        <f>'DATA INPUT - DETAIL'!AH90</f>
        <v>0</v>
      </c>
      <c r="CO99" s="149">
        <f t="shared" si="149"/>
        <v>0</v>
      </c>
      <c r="CP99" s="149">
        <f t="shared" si="161"/>
        <v>0</v>
      </c>
      <c r="CR99" s="126">
        <f t="shared" si="164"/>
        <v>87</v>
      </c>
      <c r="CS99" s="189">
        <f t="shared" si="165"/>
        <v>0</v>
      </c>
      <c r="CT99" s="200">
        <f>CS99/(BEL!CE99+BEL!CA99-BEL!BU99+'RA CSM'!CF99)</f>
        <v>0</v>
      </c>
      <c r="CU99" s="149">
        <f>$CT99*BEL!CH99</f>
        <v>0</v>
      </c>
      <c r="CV99" s="149">
        <f>$CT99*BEL!CI99</f>
        <v>0</v>
      </c>
      <c r="CW99" s="149">
        <f>$CT99*BEL!CJ99</f>
        <v>0</v>
      </c>
      <c r="CX99" s="149">
        <f>$CT99*BEL!CK99</f>
        <v>0</v>
      </c>
      <c r="CY99" s="149">
        <f t="shared" si="162"/>
        <v>0</v>
      </c>
      <c r="CZ99" s="149">
        <f>$CT99*(BEL!CL99+'RA CSM'!CG99)</f>
        <v>0</v>
      </c>
      <c r="DA99" s="149">
        <f t="shared" si="163"/>
        <v>0</v>
      </c>
    </row>
    <row r="100" spans="2:105" x14ac:dyDescent="0.2">
      <c r="B100" s="130">
        <f>BEL!B100</f>
        <v>0</v>
      </c>
      <c r="C100" s="130">
        <f>BEL!C100</f>
        <v>0</v>
      </c>
      <c r="D100" s="190">
        <f>BEL!D100</f>
        <v>0</v>
      </c>
      <c r="E100" s="190">
        <f>BEL!E100</f>
        <v>0</v>
      </c>
      <c r="F100" s="190">
        <f>BEL!F100</f>
        <v>0</v>
      </c>
      <c r="G100" s="190">
        <f>BEL!G100*(1+$V$5)</f>
        <v>0</v>
      </c>
      <c r="H100" s="190">
        <f>BEL!H100*(1+$V$5)</f>
        <v>0</v>
      </c>
      <c r="I100" s="179">
        <f t="shared" si="102"/>
        <v>0</v>
      </c>
      <c r="J100" s="130">
        <f>BEL!J100</f>
        <v>0</v>
      </c>
      <c r="K100" s="130">
        <f>BEL!K100</f>
        <v>0</v>
      </c>
      <c r="L100" s="130">
        <f>BEL!L100</f>
        <v>0</v>
      </c>
      <c r="M100" s="185">
        <f t="shared" si="150"/>
        <v>0</v>
      </c>
      <c r="N100" s="185">
        <f t="shared" si="103"/>
        <v>0</v>
      </c>
      <c r="O100" s="185">
        <f t="shared" si="104"/>
        <v>0</v>
      </c>
      <c r="P100" s="185">
        <f t="shared" si="105"/>
        <v>0</v>
      </c>
      <c r="Q100" s="185">
        <f t="shared" si="106"/>
        <v>0</v>
      </c>
      <c r="R100" s="185">
        <f t="shared" si="107"/>
        <v>0</v>
      </c>
      <c r="S100" s="185">
        <f t="shared" si="108"/>
        <v>0</v>
      </c>
      <c r="T100" s="185">
        <f t="shared" si="109"/>
        <v>0</v>
      </c>
      <c r="U100" s="196">
        <f>(C100&gt;0)*(C100&lt;$E$5)*VLOOKUP(MPP,ASUMSI!$BN$77:$CR$108,B100+1)*(1+$V$4)</f>
        <v>0</v>
      </c>
      <c r="V100" s="185">
        <f t="shared" si="110"/>
        <v>0</v>
      </c>
      <c r="W100" s="185">
        <f t="shared" si="111"/>
        <v>0</v>
      </c>
      <c r="X100" s="185">
        <f t="shared" si="112"/>
        <v>0</v>
      </c>
      <c r="Y100" s="185">
        <f t="shared" si="113"/>
        <v>0</v>
      </c>
      <c r="Z100" s="185">
        <f t="shared" si="114"/>
        <v>0</v>
      </c>
      <c r="AA100" s="197">
        <f t="shared" si="115"/>
        <v>0</v>
      </c>
      <c r="AB100" s="185">
        <f t="shared" si="116"/>
        <v>0</v>
      </c>
      <c r="AC100" s="185">
        <f t="shared" si="116"/>
        <v>0</v>
      </c>
      <c r="AD100" s="185">
        <f t="shared" si="116"/>
        <v>0</v>
      </c>
      <c r="AE100" s="185">
        <f t="shared" si="117"/>
        <v>0</v>
      </c>
      <c r="AF100" s="185">
        <f t="shared" si="118"/>
        <v>0</v>
      </c>
      <c r="AG100" s="185">
        <f t="shared" si="119"/>
        <v>0</v>
      </c>
      <c r="AH100" s="185">
        <f t="shared" si="120"/>
        <v>0</v>
      </c>
      <c r="AI100" s="125">
        <f>BEL!AI100</f>
        <v>0</v>
      </c>
      <c r="AJ100" s="125">
        <f>BEL!AJ100</f>
        <v>0</v>
      </c>
      <c r="AK100" s="125">
        <f>BEL!AK100</f>
        <v>0</v>
      </c>
      <c r="AL100" s="125">
        <f>BEL!AL100</f>
        <v>0</v>
      </c>
      <c r="AM100" s="125">
        <f>BEL!AM100</f>
        <v>0</v>
      </c>
      <c r="AN100" s="125">
        <f>BEL!AN100</f>
        <v>0</v>
      </c>
      <c r="AO100" s="198">
        <f t="shared" si="121"/>
        <v>0</v>
      </c>
      <c r="AP100" s="125">
        <f>BEL!AP100</f>
        <v>0</v>
      </c>
      <c r="AQ100" s="125">
        <f>BEL!AQ100</f>
        <v>0</v>
      </c>
      <c r="AR100" s="125">
        <f>BEL!AR100</f>
        <v>0</v>
      </c>
      <c r="AS100" s="125">
        <f>BEL!AS100</f>
        <v>0</v>
      </c>
      <c r="AT100" s="125">
        <f>BEL!AT100</f>
        <v>0</v>
      </c>
      <c r="AU100" s="127">
        <f>BEL!AU100</f>
        <v>0</v>
      </c>
      <c r="AV100" s="127">
        <f>BEL!AV100</f>
        <v>0</v>
      </c>
      <c r="AW100" s="127">
        <f>BEL!AW100</f>
        <v>0</v>
      </c>
      <c r="AX100" s="127">
        <f t="shared" si="122"/>
        <v>0</v>
      </c>
      <c r="AY100" s="127">
        <f t="shared" si="123"/>
        <v>0</v>
      </c>
      <c r="AZ100" s="127">
        <f t="shared" si="124"/>
        <v>0</v>
      </c>
      <c r="BA100" s="127">
        <f t="shared" si="125"/>
        <v>0</v>
      </c>
      <c r="BB100" s="127">
        <f t="shared" si="126"/>
        <v>0</v>
      </c>
      <c r="BC100" s="127">
        <f t="shared" si="127"/>
        <v>0</v>
      </c>
      <c r="BD100" s="127">
        <f t="shared" si="128"/>
        <v>0</v>
      </c>
      <c r="BE100" s="127">
        <f t="shared" si="129"/>
        <v>0</v>
      </c>
      <c r="BF100" s="127">
        <f t="shared" si="130"/>
        <v>0</v>
      </c>
      <c r="BG100" s="127">
        <f t="shared" si="131"/>
        <v>0</v>
      </c>
      <c r="BH100" s="127">
        <f t="shared" si="132"/>
        <v>0</v>
      </c>
      <c r="BI100" s="127">
        <f t="shared" si="133"/>
        <v>0</v>
      </c>
      <c r="BJ100" s="189">
        <f t="shared" si="134"/>
        <v>0</v>
      </c>
      <c r="BK100" s="189">
        <f t="shared" si="135"/>
        <v>0</v>
      </c>
      <c r="BL100" s="192">
        <f t="shared" si="136"/>
        <v>0</v>
      </c>
      <c r="BM100" s="192">
        <f t="shared" si="137"/>
        <v>0</v>
      </c>
      <c r="BN100" s="192">
        <f t="shared" si="138"/>
        <v>0</v>
      </c>
      <c r="BO100" s="192">
        <f t="shared" si="139"/>
        <v>0</v>
      </c>
      <c r="BP100" s="192">
        <f t="shared" si="140"/>
        <v>0</v>
      </c>
      <c r="BQ100" s="193">
        <f t="shared" si="141"/>
        <v>0</v>
      </c>
      <c r="BR100" s="193">
        <f t="shared" si="142"/>
        <v>0</v>
      </c>
      <c r="BS100" s="188">
        <f t="shared" si="151"/>
        <v>0</v>
      </c>
      <c r="BT100" s="188">
        <f t="shared" si="152"/>
        <v>0</v>
      </c>
      <c r="BU100" s="188">
        <f t="shared" si="153"/>
        <v>0</v>
      </c>
      <c r="BV100" s="188">
        <f t="shared" si="154"/>
        <v>0</v>
      </c>
      <c r="BW100" s="188">
        <f t="shared" si="155"/>
        <v>0</v>
      </c>
      <c r="BX100" s="188">
        <f t="shared" si="156"/>
        <v>0</v>
      </c>
      <c r="BY100" s="188">
        <f t="shared" si="157"/>
        <v>0</v>
      </c>
      <c r="BZ100" s="188">
        <f t="shared" si="158"/>
        <v>0</v>
      </c>
      <c r="CA100" s="188">
        <f t="shared" si="159"/>
        <v>0</v>
      </c>
      <c r="CB100" s="149">
        <f t="shared" si="160"/>
        <v>0</v>
      </c>
      <c r="CC100" s="149">
        <f>CB100-BEL!CB100</f>
        <v>0</v>
      </c>
      <c r="CD100" s="189">
        <f>IF(AND(C100=0,C101=0),0,CB100/W100) - BEL!CC100</f>
        <v>0</v>
      </c>
      <c r="CF100" s="195">
        <f t="shared" si="143"/>
        <v>0</v>
      </c>
      <c r="CG100" s="127">
        <f t="shared" si="144"/>
        <v>0</v>
      </c>
      <c r="CH100" s="128">
        <f>'DATA INPUT - DETAIL'!AH91</f>
        <v>0</v>
      </c>
      <c r="CI100" s="125">
        <f t="shared" si="145"/>
        <v>0</v>
      </c>
      <c r="CJ100" s="199">
        <f t="shared" si="146"/>
        <v>0</v>
      </c>
      <c r="CL100" s="189">
        <f t="shared" si="147"/>
        <v>0</v>
      </c>
      <c r="CM100" s="149">
        <f t="shared" si="148"/>
        <v>0</v>
      </c>
      <c r="CN100" s="128">
        <f>'DATA INPUT - DETAIL'!AH91</f>
        <v>0</v>
      </c>
      <c r="CO100" s="149">
        <f t="shared" si="149"/>
        <v>0</v>
      </c>
      <c r="CP100" s="149">
        <f t="shared" si="161"/>
        <v>0</v>
      </c>
      <c r="CR100" s="126">
        <f t="shared" si="164"/>
        <v>88</v>
      </c>
      <c r="CS100" s="189">
        <f t="shared" si="165"/>
        <v>0</v>
      </c>
      <c r="CT100" s="200">
        <f>CS100/(BEL!CE100+BEL!CA100-BEL!BU100+'RA CSM'!CF100)</f>
        <v>0</v>
      </c>
      <c r="CU100" s="149">
        <f>$CT100*BEL!CH100</f>
        <v>0</v>
      </c>
      <c r="CV100" s="149">
        <f>$CT100*BEL!CI100</f>
        <v>0</v>
      </c>
      <c r="CW100" s="149">
        <f>$CT100*BEL!CJ100</f>
        <v>0</v>
      </c>
      <c r="CX100" s="149">
        <f>$CT100*BEL!CK100</f>
        <v>0</v>
      </c>
      <c r="CY100" s="149">
        <f t="shared" si="162"/>
        <v>0</v>
      </c>
      <c r="CZ100" s="149">
        <f>$CT100*(BEL!CL100+'RA CSM'!CG100)</f>
        <v>0</v>
      </c>
      <c r="DA100" s="149">
        <f t="shared" si="163"/>
        <v>0</v>
      </c>
    </row>
    <row r="101" spans="2:105" x14ac:dyDescent="0.2">
      <c r="B101" s="130">
        <f>BEL!B101</f>
        <v>0</v>
      </c>
      <c r="C101" s="130">
        <f>BEL!C101</f>
        <v>0</v>
      </c>
      <c r="D101" s="190">
        <f>BEL!D101</f>
        <v>0</v>
      </c>
      <c r="E101" s="190">
        <f>BEL!E101</f>
        <v>0</v>
      </c>
      <c r="F101" s="190">
        <f>BEL!F101</f>
        <v>0</v>
      </c>
      <c r="G101" s="190">
        <f>BEL!G101*(1+$V$5)</f>
        <v>0</v>
      </c>
      <c r="H101" s="190">
        <f>BEL!H101*(1+$V$5)</f>
        <v>0</v>
      </c>
      <c r="I101" s="179">
        <f t="shared" si="102"/>
        <v>0</v>
      </c>
      <c r="J101" s="130">
        <f>BEL!J101</f>
        <v>0</v>
      </c>
      <c r="K101" s="130">
        <f>BEL!K101</f>
        <v>0</v>
      </c>
      <c r="L101" s="130">
        <f>BEL!L101</f>
        <v>0</v>
      </c>
      <c r="M101" s="185">
        <f t="shared" si="150"/>
        <v>0</v>
      </c>
      <c r="N101" s="185">
        <f t="shared" si="103"/>
        <v>0</v>
      </c>
      <c r="O101" s="185">
        <f t="shared" si="104"/>
        <v>0</v>
      </c>
      <c r="P101" s="185">
        <f t="shared" si="105"/>
        <v>0</v>
      </c>
      <c r="Q101" s="185">
        <f t="shared" si="106"/>
        <v>0</v>
      </c>
      <c r="R101" s="185">
        <f t="shared" si="107"/>
        <v>0</v>
      </c>
      <c r="S101" s="185">
        <f t="shared" si="108"/>
        <v>0</v>
      </c>
      <c r="T101" s="185">
        <f t="shared" si="109"/>
        <v>0</v>
      </c>
      <c r="U101" s="196">
        <f>(C101&gt;0)*(C101&lt;$E$5)*VLOOKUP(MPP,ASUMSI!$BN$77:$CR$108,B101+1)*(1+$V$4)</f>
        <v>0</v>
      </c>
      <c r="V101" s="185">
        <f t="shared" si="110"/>
        <v>0</v>
      </c>
      <c r="W101" s="185">
        <f t="shared" si="111"/>
        <v>0</v>
      </c>
      <c r="X101" s="185">
        <f t="shared" si="112"/>
        <v>0</v>
      </c>
      <c r="Y101" s="185">
        <f t="shared" si="113"/>
        <v>0</v>
      </c>
      <c r="Z101" s="185">
        <f t="shared" si="114"/>
        <v>0</v>
      </c>
      <c r="AA101" s="197">
        <f t="shared" si="115"/>
        <v>0</v>
      </c>
      <c r="AB101" s="185">
        <f t="shared" si="116"/>
        <v>0</v>
      </c>
      <c r="AC101" s="185">
        <f t="shared" si="116"/>
        <v>0</v>
      </c>
      <c r="AD101" s="185">
        <f t="shared" si="116"/>
        <v>0</v>
      </c>
      <c r="AE101" s="185">
        <f t="shared" si="117"/>
        <v>0</v>
      </c>
      <c r="AF101" s="185">
        <f t="shared" si="118"/>
        <v>0</v>
      </c>
      <c r="AG101" s="185">
        <f t="shared" si="119"/>
        <v>0</v>
      </c>
      <c r="AH101" s="185">
        <f t="shared" si="120"/>
        <v>0</v>
      </c>
      <c r="AI101" s="125">
        <f>BEL!AI101</f>
        <v>0</v>
      </c>
      <c r="AJ101" s="125">
        <f>BEL!AJ101</f>
        <v>0</v>
      </c>
      <c r="AK101" s="125">
        <f>BEL!AK101</f>
        <v>0</v>
      </c>
      <c r="AL101" s="125">
        <f>BEL!AL101</f>
        <v>0</v>
      </c>
      <c r="AM101" s="125">
        <f>BEL!AM101</f>
        <v>0</v>
      </c>
      <c r="AN101" s="125">
        <f>BEL!AN101</f>
        <v>0</v>
      </c>
      <c r="AO101" s="198">
        <f t="shared" si="121"/>
        <v>0</v>
      </c>
      <c r="AP101" s="125">
        <f>BEL!AP101</f>
        <v>0</v>
      </c>
      <c r="AQ101" s="125">
        <f>BEL!AQ101</f>
        <v>0</v>
      </c>
      <c r="AR101" s="125">
        <f>BEL!AR101</f>
        <v>0</v>
      </c>
      <c r="AS101" s="125">
        <f>BEL!AS101</f>
        <v>0</v>
      </c>
      <c r="AT101" s="125">
        <f>BEL!AT101</f>
        <v>0</v>
      </c>
      <c r="AU101" s="127">
        <f>BEL!AU101</f>
        <v>0</v>
      </c>
      <c r="AV101" s="127">
        <f>BEL!AV101</f>
        <v>0</v>
      </c>
      <c r="AW101" s="127">
        <f>BEL!AW101</f>
        <v>0</v>
      </c>
      <c r="AX101" s="127">
        <f t="shared" si="122"/>
        <v>0</v>
      </c>
      <c r="AY101" s="127">
        <f t="shared" si="123"/>
        <v>0</v>
      </c>
      <c r="AZ101" s="127">
        <f t="shared" si="124"/>
        <v>0</v>
      </c>
      <c r="BA101" s="127">
        <f t="shared" si="125"/>
        <v>0</v>
      </c>
      <c r="BB101" s="127">
        <f t="shared" si="126"/>
        <v>0</v>
      </c>
      <c r="BC101" s="127">
        <f t="shared" si="127"/>
        <v>0</v>
      </c>
      <c r="BD101" s="127">
        <f t="shared" si="128"/>
        <v>0</v>
      </c>
      <c r="BE101" s="127">
        <f t="shared" si="129"/>
        <v>0</v>
      </c>
      <c r="BF101" s="127">
        <f t="shared" si="130"/>
        <v>0</v>
      </c>
      <c r="BG101" s="127">
        <f t="shared" si="131"/>
        <v>0</v>
      </c>
      <c r="BH101" s="127">
        <f t="shared" si="132"/>
        <v>0</v>
      </c>
      <c r="BI101" s="127">
        <f t="shared" si="133"/>
        <v>0</v>
      </c>
      <c r="BJ101" s="189">
        <f t="shared" si="134"/>
        <v>0</v>
      </c>
      <c r="BK101" s="189">
        <f t="shared" si="135"/>
        <v>0</v>
      </c>
      <c r="BL101" s="192">
        <f t="shared" si="136"/>
        <v>0</v>
      </c>
      <c r="BM101" s="192">
        <f t="shared" si="137"/>
        <v>0</v>
      </c>
      <c r="BN101" s="192">
        <f t="shared" si="138"/>
        <v>0</v>
      </c>
      <c r="BO101" s="192">
        <f t="shared" si="139"/>
        <v>0</v>
      </c>
      <c r="BP101" s="192">
        <f t="shared" si="140"/>
        <v>0</v>
      </c>
      <c r="BQ101" s="193">
        <f t="shared" si="141"/>
        <v>0</v>
      </c>
      <c r="BR101" s="193">
        <f t="shared" si="142"/>
        <v>0</v>
      </c>
      <c r="BS101" s="188">
        <f t="shared" si="151"/>
        <v>0</v>
      </c>
      <c r="BT101" s="188">
        <f t="shared" si="152"/>
        <v>0</v>
      </c>
      <c r="BU101" s="188">
        <f t="shared" si="153"/>
        <v>0</v>
      </c>
      <c r="BV101" s="188">
        <f t="shared" si="154"/>
        <v>0</v>
      </c>
      <c r="BW101" s="188">
        <f t="shared" si="155"/>
        <v>0</v>
      </c>
      <c r="BX101" s="188">
        <f t="shared" si="156"/>
        <v>0</v>
      </c>
      <c r="BY101" s="188">
        <f t="shared" si="157"/>
        <v>0</v>
      </c>
      <c r="BZ101" s="188">
        <f t="shared" si="158"/>
        <v>0</v>
      </c>
      <c r="CA101" s="188">
        <f t="shared" si="159"/>
        <v>0</v>
      </c>
      <c r="CB101" s="149">
        <f t="shared" si="160"/>
        <v>0</v>
      </c>
      <c r="CC101" s="149">
        <f>CB101-BEL!CB101</f>
        <v>0</v>
      </c>
      <c r="CD101" s="189">
        <f>IF(AND(C101=0,C102=0),0,CB101/W101) - BEL!CC101</f>
        <v>0</v>
      </c>
      <c r="CF101" s="195">
        <f t="shared" si="143"/>
        <v>0</v>
      </c>
      <c r="CG101" s="127">
        <f t="shared" si="144"/>
        <v>0</v>
      </c>
      <c r="CH101" s="128">
        <f>'DATA INPUT - DETAIL'!AH92</f>
        <v>0</v>
      </c>
      <c r="CI101" s="125">
        <f t="shared" si="145"/>
        <v>0</v>
      </c>
      <c r="CJ101" s="199">
        <f t="shared" si="146"/>
        <v>0</v>
      </c>
      <c r="CL101" s="189">
        <f t="shared" si="147"/>
        <v>0</v>
      </c>
      <c r="CM101" s="149">
        <f t="shared" si="148"/>
        <v>0</v>
      </c>
      <c r="CN101" s="128">
        <f>'DATA INPUT - DETAIL'!AH92</f>
        <v>0</v>
      </c>
      <c r="CO101" s="149">
        <f t="shared" si="149"/>
        <v>0</v>
      </c>
      <c r="CP101" s="149">
        <f t="shared" si="161"/>
        <v>0</v>
      </c>
      <c r="CR101" s="126">
        <f t="shared" si="164"/>
        <v>89</v>
      </c>
      <c r="CS101" s="189">
        <f t="shared" si="165"/>
        <v>0</v>
      </c>
      <c r="CT101" s="200">
        <f>CS101/(BEL!CE101+BEL!CA101-BEL!BU101+'RA CSM'!CF101)</f>
        <v>0</v>
      </c>
      <c r="CU101" s="149">
        <f>$CT101*BEL!CH101</f>
        <v>0</v>
      </c>
      <c r="CV101" s="149">
        <f>$CT101*BEL!CI101</f>
        <v>0</v>
      </c>
      <c r="CW101" s="149">
        <f>$CT101*BEL!CJ101</f>
        <v>0</v>
      </c>
      <c r="CX101" s="149">
        <f>$CT101*BEL!CK101</f>
        <v>0</v>
      </c>
      <c r="CY101" s="149">
        <f t="shared" si="162"/>
        <v>0</v>
      </c>
      <c r="CZ101" s="149">
        <f>$CT101*(BEL!CL101+'RA CSM'!CG101)</f>
        <v>0</v>
      </c>
      <c r="DA101" s="149">
        <f t="shared" si="163"/>
        <v>0</v>
      </c>
    </row>
    <row r="102" spans="2:105" x14ac:dyDescent="0.2">
      <c r="B102" s="130">
        <f>BEL!B102</f>
        <v>0</v>
      </c>
      <c r="C102" s="130">
        <f>BEL!C102</f>
        <v>0</v>
      </c>
      <c r="D102" s="190">
        <f>BEL!D102</f>
        <v>0</v>
      </c>
      <c r="E102" s="190">
        <f>BEL!E102</f>
        <v>0</v>
      </c>
      <c r="F102" s="190">
        <f>BEL!F102</f>
        <v>0</v>
      </c>
      <c r="G102" s="190">
        <f>BEL!G102*(1+$V$5)</f>
        <v>0</v>
      </c>
      <c r="H102" s="190">
        <f>BEL!H102*(1+$V$5)</f>
        <v>0</v>
      </c>
      <c r="I102" s="179">
        <f t="shared" si="102"/>
        <v>0</v>
      </c>
      <c r="J102" s="130">
        <f>BEL!J102</f>
        <v>0</v>
      </c>
      <c r="K102" s="130">
        <f>BEL!K102</f>
        <v>0</v>
      </c>
      <c r="L102" s="130">
        <f>BEL!L102</f>
        <v>0</v>
      </c>
      <c r="M102" s="185">
        <f t="shared" si="150"/>
        <v>0</v>
      </c>
      <c r="N102" s="185">
        <f t="shared" si="103"/>
        <v>0</v>
      </c>
      <c r="O102" s="185">
        <f t="shared" si="104"/>
        <v>0</v>
      </c>
      <c r="P102" s="185">
        <f t="shared" si="105"/>
        <v>0</v>
      </c>
      <c r="Q102" s="185">
        <f t="shared" si="106"/>
        <v>0</v>
      </c>
      <c r="R102" s="185">
        <f t="shared" si="107"/>
        <v>0</v>
      </c>
      <c r="S102" s="185">
        <f t="shared" si="108"/>
        <v>0</v>
      </c>
      <c r="T102" s="185">
        <f t="shared" si="109"/>
        <v>0</v>
      </c>
      <c r="U102" s="196">
        <f>(C102&gt;0)*(C102&lt;$E$5)*VLOOKUP(MPP,ASUMSI!$BN$77:$CR$108,B102+1)*(1+$V$4)</f>
        <v>0</v>
      </c>
      <c r="V102" s="185">
        <f t="shared" si="110"/>
        <v>0</v>
      </c>
      <c r="W102" s="185">
        <f t="shared" si="111"/>
        <v>0</v>
      </c>
      <c r="X102" s="185">
        <f t="shared" si="112"/>
        <v>0</v>
      </c>
      <c r="Y102" s="185">
        <f t="shared" si="113"/>
        <v>0</v>
      </c>
      <c r="Z102" s="185">
        <f t="shared" si="114"/>
        <v>0</v>
      </c>
      <c r="AA102" s="197">
        <f t="shared" si="115"/>
        <v>0</v>
      </c>
      <c r="AB102" s="185">
        <f t="shared" si="116"/>
        <v>0</v>
      </c>
      <c r="AC102" s="185">
        <f t="shared" si="116"/>
        <v>0</v>
      </c>
      <c r="AD102" s="185">
        <f t="shared" si="116"/>
        <v>0</v>
      </c>
      <c r="AE102" s="185">
        <f t="shared" si="117"/>
        <v>0</v>
      </c>
      <c r="AF102" s="185">
        <f t="shared" si="118"/>
        <v>0</v>
      </c>
      <c r="AG102" s="185">
        <f t="shared" si="119"/>
        <v>0</v>
      </c>
      <c r="AH102" s="185">
        <f t="shared" si="120"/>
        <v>0</v>
      </c>
      <c r="AI102" s="125">
        <f>BEL!AI102</f>
        <v>0</v>
      </c>
      <c r="AJ102" s="125">
        <f>BEL!AJ102</f>
        <v>0</v>
      </c>
      <c r="AK102" s="125">
        <f>BEL!AK102</f>
        <v>0</v>
      </c>
      <c r="AL102" s="125">
        <f>BEL!AL102</f>
        <v>0</v>
      </c>
      <c r="AM102" s="125">
        <f>BEL!AM102</f>
        <v>0</v>
      </c>
      <c r="AN102" s="125">
        <f>BEL!AN102</f>
        <v>0</v>
      </c>
      <c r="AO102" s="198">
        <f t="shared" si="121"/>
        <v>0</v>
      </c>
      <c r="AP102" s="125">
        <f>BEL!AP102</f>
        <v>0</v>
      </c>
      <c r="AQ102" s="125">
        <f>BEL!AQ102</f>
        <v>0</v>
      </c>
      <c r="AR102" s="125">
        <f>BEL!AR102</f>
        <v>0</v>
      </c>
      <c r="AS102" s="125">
        <f>BEL!AS102</f>
        <v>0</v>
      </c>
      <c r="AT102" s="125">
        <f>BEL!AT102</f>
        <v>0</v>
      </c>
      <c r="AU102" s="127">
        <f>BEL!AU102</f>
        <v>0</v>
      </c>
      <c r="AV102" s="127">
        <f>BEL!AV102</f>
        <v>0</v>
      </c>
      <c r="AW102" s="127">
        <f>BEL!AW102</f>
        <v>0</v>
      </c>
      <c r="AX102" s="127">
        <f t="shared" si="122"/>
        <v>0</v>
      </c>
      <c r="AY102" s="127">
        <f t="shared" si="123"/>
        <v>0</v>
      </c>
      <c r="AZ102" s="127">
        <f t="shared" si="124"/>
        <v>0</v>
      </c>
      <c r="BA102" s="127">
        <f t="shared" si="125"/>
        <v>0</v>
      </c>
      <c r="BB102" s="127">
        <f t="shared" si="126"/>
        <v>0</v>
      </c>
      <c r="BC102" s="127">
        <f t="shared" si="127"/>
        <v>0</v>
      </c>
      <c r="BD102" s="127">
        <f t="shared" si="128"/>
        <v>0</v>
      </c>
      <c r="BE102" s="127">
        <f t="shared" si="129"/>
        <v>0</v>
      </c>
      <c r="BF102" s="127">
        <f t="shared" si="130"/>
        <v>0</v>
      </c>
      <c r="BG102" s="127">
        <f t="shared" si="131"/>
        <v>0</v>
      </c>
      <c r="BH102" s="127">
        <f t="shared" si="132"/>
        <v>0</v>
      </c>
      <c r="BI102" s="127">
        <f t="shared" si="133"/>
        <v>0</v>
      </c>
      <c r="BJ102" s="189">
        <f t="shared" si="134"/>
        <v>0</v>
      </c>
      <c r="BK102" s="189">
        <f t="shared" si="135"/>
        <v>0</v>
      </c>
      <c r="BL102" s="192">
        <f t="shared" si="136"/>
        <v>0</v>
      </c>
      <c r="BM102" s="192">
        <f t="shared" si="137"/>
        <v>0</v>
      </c>
      <c r="BN102" s="192">
        <f t="shared" si="138"/>
        <v>0</v>
      </c>
      <c r="BO102" s="192">
        <f t="shared" si="139"/>
        <v>0</v>
      </c>
      <c r="BP102" s="192">
        <f t="shared" si="140"/>
        <v>0</v>
      </c>
      <c r="BQ102" s="193">
        <f t="shared" si="141"/>
        <v>0</v>
      </c>
      <c r="BR102" s="193">
        <f t="shared" si="142"/>
        <v>0</v>
      </c>
      <c r="BS102" s="188">
        <f t="shared" si="151"/>
        <v>0</v>
      </c>
      <c r="BT102" s="188">
        <f t="shared" si="152"/>
        <v>0</v>
      </c>
      <c r="BU102" s="188">
        <f t="shared" si="153"/>
        <v>0</v>
      </c>
      <c r="BV102" s="188">
        <f t="shared" si="154"/>
        <v>0</v>
      </c>
      <c r="BW102" s="188">
        <f t="shared" si="155"/>
        <v>0</v>
      </c>
      <c r="BX102" s="188">
        <f t="shared" si="156"/>
        <v>0</v>
      </c>
      <c r="BY102" s="188">
        <f t="shared" si="157"/>
        <v>0</v>
      </c>
      <c r="BZ102" s="188">
        <f t="shared" si="158"/>
        <v>0</v>
      </c>
      <c r="CA102" s="188">
        <f t="shared" si="159"/>
        <v>0</v>
      </c>
      <c r="CB102" s="149">
        <f t="shared" si="160"/>
        <v>0</v>
      </c>
      <c r="CC102" s="149">
        <f>CB102-BEL!CB102</f>
        <v>0</v>
      </c>
      <c r="CD102" s="189">
        <f>IF(AND(C102=0,C103=0),0,CB102/W102) - BEL!CC102</f>
        <v>0</v>
      </c>
      <c r="CF102" s="195">
        <f t="shared" si="143"/>
        <v>0</v>
      </c>
      <c r="CG102" s="127">
        <f t="shared" si="144"/>
        <v>0</v>
      </c>
      <c r="CH102" s="128">
        <f>'DATA INPUT - DETAIL'!AH93</f>
        <v>0</v>
      </c>
      <c r="CI102" s="125">
        <f t="shared" si="145"/>
        <v>0</v>
      </c>
      <c r="CJ102" s="199">
        <f t="shared" si="146"/>
        <v>0</v>
      </c>
      <c r="CL102" s="189">
        <f t="shared" si="147"/>
        <v>0</v>
      </c>
      <c r="CM102" s="149">
        <f t="shared" si="148"/>
        <v>0</v>
      </c>
      <c r="CN102" s="128">
        <f>'DATA INPUT - DETAIL'!AH93</f>
        <v>0</v>
      </c>
      <c r="CO102" s="149">
        <f t="shared" si="149"/>
        <v>0</v>
      </c>
      <c r="CP102" s="149">
        <f t="shared" si="161"/>
        <v>0</v>
      </c>
      <c r="CR102" s="126">
        <f t="shared" si="164"/>
        <v>90</v>
      </c>
      <c r="CS102" s="189">
        <f t="shared" si="165"/>
        <v>0</v>
      </c>
      <c r="CT102" s="200">
        <f>CS102/(BEL!CE102+BEL!CA102-BEL!BU102+'RA CSM'!CF102)</f>
        <v>0</v>
      </c>
      <c r="CU102" s="149">
        <f>$CT102*BEL!CH102</f>
        <v>0</v>
      </c>
      <c r="CV102" s="149">
        <f>$CT102*BEL!CI102</f>
        <v>0</v>
      </c>
      <c r="CW102" s="149">
        <f>$CT102*BEL!CJ102</f>
        <v>0</v>
      </c>
      <c r="CX102" s="149">
        <f>$CT102*BEL!CK102</f>
        <v>0</v>
      </c>
      <c r="CY102" s="149">
        <f t="shared" si="162"/>
        <v>0</v>
      </c>
      <c r="CZ102" s="149">
        <f>$CT102*(BEL!CL102+'RA CSM'!CG102)</f>
        <v>0</v>
      </c>
      <c r="DA102" s="149">
        <f t="shared" si="163"/>
        <v>0</v>
      </c>
    </row>
    <row r="103" spans="2:105" x14ac:dyDescent="0.2">
      <c r="B103" s="130">
        <f>BEL!B103</f>
        <v>0</v>
      </c>
      <c r="C103" s="130">
        <f>BEL!C103</f>
        <v>0</v>
      </c>
      <c r="D103" s="190">
        <f>BEL!D103</f>
        <v>0</v>
      </c>
      <c r="E103" s="190">
        <f>BEL!E103</f>
        <v>0</v>
      </c>
      <c r="F103" s="190">
        <f>BEL!F103</f>
        <v>0</v>
      </c>
      <c r="G103" s="190">
        <f>BEL!G103*(1+$V$5)</f>
        <v>0</v>
      </c>
      <c r="H103" s="190">
        <f>BEL!H103*(1+$V$5)</f>
        <v>0</v>
      </c>
      <c r="I103" s="179">
        <f t="shared" si="102"/>
        <v>0</v>
      </c>
      <c r="J103" s="130">
        <f>BEL!J103</f>
        <v>0</v>
      </c>
      <c r="K103" s="130">
        <f>BEL!K103</f>
        <v>0</v>
      </c>
      <c r="L103" s="130">
        <f>BEL!L103</f>
        <v>0</v>
      </c>
      <c r="M103" s="185">
        <f t="shared" si="150"/>
        <v>0</v>
      </c>
      <c r="N103" s="185">
        <f t="shared" si="103"/>
        <v>0</v>
      </c>
      <c r="O103" s="185">
        <f t="shared" si="104"/>
        <v>0</v>
      </c>
      <c r="P103" s="185">
        <f t="shared" si="105"/>
        <v>0</v>
      </c>
      <c r="Q103" s="185">
        <f t="shared" si="106"/>
        <v>0</v>
      </c>
      <c r="R103" s="185">
        <f t="shared" si="107"/>
        <v>0</v>
      </c>
      <c r="S103" s="185">
        <f t="shared" si="108"/>
        <v>0</v>
      </c>
      <c r="T103" s="185">
        <f t="shared" si="109"/>
        <v>0</v>
      </c>
      <c r="U103" s="196">
        <f>(C103&gt;0)*(C103&lt;$E$5)*VLOOKUP(MPP,ASUMSI!$BN$77:$CR$108,B103+1)*(1+$V$4)</f>
        <v>0</v>
      </c>
      <c r="V103" s="185">
        <f t="shared" si="110"/>
        <v>0</v>
      </c>
      <c r="W103" s="185">
        <f t="shared" si="111"/>
        <v>0</v>
      </c>
      <c r="X103" s="185">
        <f t="shared" si="112"/>
        <v>0</v>
      </c>
      <c r="Y103" s="185">
        <f t="shared" si="113"/>
        <v>0</v>
      </c>
      <c r="Z103" s="185">
        <f t="shared" si="114"/>
        <v>0</v>
      </c>
      <c r="AA103" s="197">
        <f t="shared" si="115"/>
        <v>0</v>
      </c>
      <c r="AB103" s="185">
        <f t="shared" si="116"/>
        <v>0</v>
      </c>
      <c r="AC103" s="185">
        <f t="shared" si="116"/>
        <v>0</v>
      </c>
      <c r="AD103" s="185">
        <f t="shared" si="116"/>
        <v>0</v>
      </c>
      <c r="AE103" s="185">
        <f t="shared" si="117"/>
        <v>0</v>
      </c>
      <c r="AF103" s="185">
        <f t="shared" si="118"/>
        <v>0</v>
      </c>
      <c r="AG103" s="185">
        <f t="shared" si="119"/>
        <v>0</v>
      </c>
      <c r="AH103" s="185">
        <f t="shared" si="120"/>
        <v>0</v>
      </c>
      <c r="AI103" s="125">
        <f>BEL!AI103</f>
        <v>0</v>
      </c>
      <c r="AJ103" s="125">
        <f>BEL!AJ103</f>
        <v>0</v>
      </c>
      <c r="AK103" s="125">
        <f>BEL!AK103</f>
        <v>0</v>
      </c>
      <c r="AL103" s="125">
        <f>BEL!AL103</f>
        <v>0</v>
      </c>
      <c r="AM103" s="125">
        <f>BEL!AM103</f>
        <v>0</v>
      </c>
      <c r="AN103" s="125">
        <f>BEL!AN103</f>
        <v>0</v>
      </c>
      <c r="AO103" s="198">
        <f t="shared" si="121"/>
        <v>0</v>
      </c>
      <c r="AP103" s="125">
        <f>BEL!AP103</f>
        <v>0</v>
      </c>
      <c r="AQ103" s="125">
        <f>BEL!AQ103</f>
        <v>0</v>
      </c>
      <c r="AR103" s="125">
        <f>BEL!AR103</f>
        <v>0</v>
      </c>
      <c r="AS103" s="125">
        <f>BEL!AS103</f>
        <v>0</v>
      </c>
      <c r="AT103" s="125">
        <f>BEL!AT103</f>
        <v>0</v>
      </c>
      <c r="AU103" s="127">
        <f>BEL!AU103</f>
        <v>0</v>
      </c>
      <c r="AV103" s="127">
        <f>BEL!AV103</f>
        <v>0</v>
      </c>
      <c r="AW103" s="127">
        <f>BEL!AW103</f>
        <v>0</v>
      </c>
      <c r="AX103" s="127">
        <f t="shared" si="122"/>
        <v>0</v>
      </c>
      <c r="AY103" s="127">
        <f t="shared" si="123"/>
        <v>0</v>
      </c>
      <c r="AZ103" s="127">
        <f t="shared" si="124"/>
        <v>0</v>
      </c>
      <c r="BA103" s="127">
        <f t="shared" si="125"/>
        <v>0</v>
      </c>
      <c r="BB103" s="127">
        <f t="shared" si="126"/>
        <v>0</v>
      </c>
      <c r="BC103" s="127">
        <f t="shared" si="127"/>
        <v>0</v>
      </c>
      <c r="BD103" s="127">
        <f t="shared" si="128"/>
        <v>0</v>
      </c>
      <c r="BE103" s="127">
        <f t="shared" si="129"/>
        <v>0</v>
      </c>
      <c r="BF103" s="127">
        <f t="shared" si="130"/>
        <v>0</v>
      </c>
      <c r="BG103" s="127">
        <f t="shared" si="131"/>
        <v>0</v>
      </c>
      <c r="BH103" s="127">
        <f t="shared" si="132"/>
        <v>0</v>
      </c>
      <c r="BI103" s="127">
        <f t="shared" si="133"/>
        <v>0</v>
      </c>
      <c r="BJ103" s="189">
        <f t="shared" si="134"/>
        <v>0</v>
      </c>
      <c r="BK103" s="189">
        <f t="shared" si="135"/>
        <v>0</v>
      </c>
      <c r="BL103" s="192">
        <f t="shared" si="136"/>
        <v>0</v>
      </c>
      <c r="BM103" s="192">
        <f t="shared" si="137"/>
        <v>0</v>
      </c>
      <c r="BN103" s="192">
        <f t="shared" si="138"/>
        <v>0</v>
      </c>
      <c r="BO103" s="192">
        <f t="shared" si="139"/>
        <v>0</v>
      </c>
      <c r="BP103" s="192">
        <f t="shared" si="140"/>
        <v>0</v>
      </c>
      <c r="BQ103" s="193">
        <f t="shared" si="141"/>
        <v>0</v>
      </c>
      <c r="BR103" s="193">
        <f t="shared" si="142"/>
        <v>0</v>
      </c>
      <c r="BS103" s="188">
        <f t="shared" si="151"/>
        <v>0</v>
      </c>
      <c r="BT103" s="188">
        <f t="shared" si="152"/>
        <v>0</v>
      </c>
      <c r="BU103" s="188">
        <f t="shared" si="153"/>
        <v>0</v>
      </c>
      <c r="BV103" s="188">
        <f t="shared" si="154"/>
        <v>0</v>
      </c>
      <c r="BW103" s="188">
        <f t="shared" si="155"/>
        <v>0</v>
      </c>
      <c r="BX103" s="188">
        <f t="shared" si="156"/>
        <v>0</v>
      </c>
      <c r="BY103" s="188">
        <f t="shared" si="157"/>
        <v>0</v>
      </c>
      <c r="BZ103" s="188">
        <f t="shared" si="158"/>
        <v>0</v>
      </c>
      <c r="CA103" s="188">
        <f t="shared" si="159"/>
        <v>0</v>
      </c>
      <c r="CB103" s="149">
        <f t="shared" si="160"/>
        <v>0</v>
      </c>
      <c r="CC103" s="149">
        <f>CB103-BEL!CB103</f>
        <v>0</v>
      </c>
      <c r="CD103" s="189">
        <f>IF(AND(C103=0,C104=0),0,CB103/W103) - BEL!CC103</f>
        <v>0</v>
      </c>
      <c r="CF103" s="195">
        <f t="shared" si="143"/>
        <v>0</v>
      </c>
      <c r="CG103" s="127">
        <f t="shared" si="144"/>
        <v>0</v>
      </c>
      <c r="CH103" s="128">
        <f>'DATA INPUT - DETAIL'!AH94</f>
        <v>0</v>
      </c>
      <c r="CI103" s="125">
        <f t="shared" si="145"/>
        <v>0</v>
      </c>
      <c r="CJ103" s="199">
        <f t="shared" si="146"/>
        <v>0</v>
      </c>
      <c r="CL103" s="189">
        <f t="shared" si="147"/>
        <v>0</v>
      </c>
      <c r="CM103" s="149">
        <f t="shared" si="148"/>
        <v>0</v>
      </c>
      <c r="CN103" s="128">
        <f>'DATA INPUT - DETAIL'!AH94</f>
        <v>0</v>
      </c>
      <c r="CO103" s="149">
        <f t="shared" si="149"/>
        <v>0</v>
      </c>
      <c r="CP103" s="149">
        <f t="shared" si="161"/>
        <v>0</v>
      </c>
      <c r="CR103" s="126">
        <f t="shared" si="164"/>
        <v>91</v>
      </c>
      <c r="CS103" s="189">
        <f t="shared" si="165"/>
        <v>0</v>
      </c>
      <c r="CT103" s="200">
        <f>CS103/(BEL!CE103+BEL!CA103-BEL!BU103+'RA CSM'!CF103)</f>
        <v>0</v>
      </c>
      <c r="CU103" s="149">
        <f>$CT103*BEL!CH103</f>
        <v>0</v>
      </c>
      <c r="CV103" s="149">
        <f>$CT103*BEL!CI103</f>
        <v>0</v>
      </c>
      <c r="CW103" s="149">
        <f>$CT103*BEL!CJ103</f>
        <v>0</v>
      </c>
      <c r="CX103" s="149">
        <f>$CT103*BEL!CK103</f>
        <v>0</v>
      </c>
      <c r="CY103" s="149">
        <f t="shared" si="162"/>
        <v>0</v>
      </c>
      <c r="CZ103" s="149">
        <f>$CT103*(BEL!CL103+'RA CSM'!CG103)</f>
        <v>0</v>
      </c>
      <c r="DA103" s="149">
        <f t="shared" si="163"/>
        <v>0</v>
      </c>
    </row>
    <row r="104" spans="2:105" x14ac:dyDescent="0.2">
      <c r="B104" s="130">
        <f>BEL!B104</f>
        <v>0</v>
      </c>
      <c r="C104" s="130">
        <f>BEL!C104</f>
        <v>0</v>
      </c>
      <c r="D104" s="190">
        <f>BEL!D104</f>
        <v>0</v>
      </c>
      <c r="E104" s="190">
        <f>BEL!E104</f>
        <v>0</v>
      </c>
      <c r="F104" s="190">
        <f>BEL!F104</f>
        <v>0</v>
      </c>
      <c r="G104" s="190">
        <f>BEL!G104*(1+$V$5)</f>
        <v>0</v>
      </c>
      <c r="H104" s="190">
        <f>BEL!H104*(1+$V$5)</f>
        <v>0</v>
      </c>
      <c r="I104" s="179">
        <f t="shared" si="102"/>
        <v>0</v>
      </c>
      <c r="J104" s="130">
        <f>BEL!J104</f>
        <v>0</v>
      </c>
      <c r="K104" s="130">
        <f>BEL!K104</f>
        <v>0</v>
      </c>
      <c r="L104" s="130">
        <f>BEL!L104</f>
        <v>0</v>
      </c>
      <c r="M104" s="185">
        <f t="shared" si="150"/>
        <v>0</v>
      </c>
      <c r="N104" s="185">
        <f t="shared" si="103"/>
        <v>0</v>
      </c>
      <c r="O104" s="185">
        <f t="shared" si="104"/>
        <v>0</v>
      </c>
      <c r="P104" s="185">
        <f t="shared" si="105"/>
        <v>0</v>
      </c>
      <c r="Q104" s="185">
        <f t="shared" si="106"/>
        <v>0</v>
      </c>
      <c r="R104" s="185">
        <f t="shared" si="107"/>
        <v>0</v>
      </c>
      <c r="S104" s="185">
        <f t="shared" si="108"/>
        <v>0</v>
      </c>
      <c r="T104" s="185">
        <f t="shared" si="109"/>
        <v>0</v>
      </c>
      <c r="U104" s="196">
        <f>(C104&gt;0)*(C104&lt;$E$5)*VLOOKUP(MPP,ASUMSI!$BN$77:$CR$108,B104+1)*(1+$V$4)</f>
        <v>0</v>
      </c>
      <c r="V104" s="185">
        <f t="shared" si="110"/>
        <v>0</v>
      </c>
      <c r="W104" s="185">
        <f t="shared" si="111"/>
        <v>0</v>
      </c>
      <c r="X104" s="185">
        <f t="shared" si="112"/>
        <v>0</v>
      </c>
      <c r="Y104" s="185">
        <f t="shared" si="113"/>
        <v>0</v>
      </c>
      <c r="Z104" s="185">
        <f t="shared" si="114"/>
        <v>0</v>
      </c>
      <c r="AA104" s="197">
        <f t="shared" si="115"/>
        <v>0</v>
      </c>
      <c r="AB104" s="185">
        <f t="shared" si="116"/>
        <v>0</v>
      </c>
      <c r="AC104" s="185">
        <f t="shared" si="116"/>
        <v>0</v>
      </c>
      <c r="AD104" s="185">
        <f t="shared" si="116"/>
        <v>0</v>
      </c>
      <c r="AE104" s="185">
        <f t="shared" si="117"/>
        <v>0</v>
      </c>
      <c r="AF104" s="185">
        <f t="shared" si="118"/>
        <v>0</v>
      </c>
      <c r="AG104" s="185">
        <f t="shared" si="119"/>
        <v>0</v>
      </c>
      <c r="AH104" s="185">
        <f t="shared" si="120"/>
        <v>0</v>
      </c>
      <c r="AI104" s="125">
        <f>BEL!AI104</f>
        <v>0</v>
      </c>
      <c r="AJ104" s="125">
        <f>BEL!AJ104</f>
        <v>0</v>
      </c>
      <c r="AK104" s="125">
        <f>BEL!AK104</f>
        <v>0</v>
      </c>
      <c r="AL104" s="125">
        <f>BEL!AL104</f>
        <v>0</v>
      </c>
      <c r="AM104" s="125">
        <f>BEL!AM104</f>
        <v>0</v>
      </c>
      <c r="AN104" s="125">
        <f>BEL!AN104</f>
        <v>0</v>
      </c>
      <c r="AO104" s="198">
        <f t="shared" si="121"/>
        <v>0</v>
      </c>
      <c r="AP104" s="125">
        <f>BEL!AP104</f>
        <v>0</v>
      </c>
      <c r="AQ104" s="125">
        <f>BEL!AQ104</f>
        <v>0</v>
      </c>
      <c r="AR104" s="125">
        <f>BEL!AR104</f>
        <v>0</v>
      </c>
      <c r="AS104" s="125">
        <f>BEL!AS104</f>
        <v>0</v>
      </c>
      <c r="AT104" s="125">
        <f>BEL!AT104</f>
        <v>0</v>
      </c>
      <c r="AU104" s="127">
        <f>BEL!AU104</f>
        <v>0</v>
      </c>
      <c r="AV104" s="127">
        <f>BEL!AV104</f>
        <v>0</v>
      </c>
      <c r="AW104" s="127">
        <f>BEL!AW104</f>
        <v>0</v>
      </c>
      <c r="AX104" s="127">
        <f t="shared" si="122"/>
        <v>0</v>
      </c>
      <c r="AY104" s="127">
        <f t="shared" si="123"/>
        <v>0</v>
      </c>
      <c r="AZ104" s="127">
        <f t="shared" si="124"/>
        <v>0</v>
      </c>
      <c r="BA104" s="127">
        <f t="shared" si="125"/>
        <v>0</v>
      </c>
      <c r="BB104" s="127">
        <f t="shared" si="126"/>
        <v>0</v>
      </c>
      <c r="BC104" s="127">
        <f t="shared" si="127"/>
        <v>0</v>
      </c>
      <c r="BD104" s="127">
        <f t="shared" si="128"/>
        <v>0</v>
      </c>
      <c r="BE104" s="127">
        <f t="shared" si="129"/>
        <v>0</v>
      </c>
      <c r="BF104" s="127">
        <f t="shared" si="130"/>
        <v>0</v>
      </c>
      <c r="BG104" s="127">
        <f t="shared" si="131"/>
        <v>0</v>
      </c>
      <c r="BH104" s="127">
        <f t="shared" si="132"/>
        <v>0</v>
      </c>
      <c r="BI104" s="127">
        <f t="shared" si="133"/>
        <v>0</v>
      </c>
      <c r="BJ104" s="189">
        <f t="shared" si="134"/>
        <v>0</v>
      </c>
      <c r="BK104" s="189">
        <f t="shared" si="135"/>
        <v>0</v>
      </c>
      <c r="BL104" s="192">
        <f t="shared" si="136"/>
        <v>0</v>
      </c>
      <c r="BM104" s="192">
        <f t="shared" si="137"/>
        <v>0</v>
      </c>
      <c r="BN104" s="192">
        <f t="shared" si="138"/>
        <v>0</v>
      </c>
      <c r="BO104" s="192">
        <f t="shared" si="139"/>
        <v>0</v>
      </c>
      <c r="BP104" s="192">
        <f t="shared" si="140"/>
        <v>0</v>
      </c>
      <c r="BQ104" s="193">
        <f t="shared" si="141"/>
        <v>0</v>
      </c>
      <c r="BR104" s="193">
        <f t="shared" si="142"/>
        <v>0</v>
      </c>
      <c r="BS104" s="188">
        <f t="shared" si="151"/>
        <v>0</v>
      </c>
      <c r="BT104" s="188">
        <f t="shared" si="152"/>
        <v>0</v>
      </c>
      <c r="BU104" s="188">
        <f t="shared" si="153"/>
        <v>0</v>
      </c>
      <c r="BV104" s="188">
        <f t="shared" si="154"/>
        <v>0</v>
      </c>
      <c r="BW104" s="188">
        <f t="shared" si="155"/>
        <v>0</v>
      </c>
      <c r="BX104" s="188">
        <f t="shared" si="156"/>
        <v>0</v>
      </c>
      <c r="BY104" s="188">
        <f t="shared" si="157"/>
        <v>0</v>
      </c>
      <c r="BZ104" s="188">
        <f t="shared" si="158"/>
        <v>0</v>
      </c>
      <c r="CA104" s="188">
        <f t="shared" si="159"/>
        <v>0</v>
      </c>
      <c r="CB104" s="149">
        <f t="shared" si="160"/>
        <v>0</v>
      </c>
      <c r="CC104" s="149">
        <f>CB104-BEL!CB104</f>
        <v>0</v>
      </c>
      <c r="CD104" s="189">
        <f>IF(AND(C104=0,C105=0),0,CB104/W104) - BEL!CC104</f>
        <v>0</v>
      </c>
      <c r="CF104" s="195">
        <f t="shared" si="143"/>
        <v>0</v>
      </c>
      <c r="CG104" s="127">
        <f t="shared" si="144"/>
        <v>0</v>
      </c>
      <c r="CH104" s="128">
        <f>'DATA INPUT - DETAIL'!AH95</f>
        <v>0</v>
      </c>
      <c r="CI104" s="125">
        <f t="shared" si="145"/>
        <v>0</v>
      </c>
      <c r="CJ104" s="199">
        <f t="shared" si="146"/>
        <v>0</v>
      </c>
      <c r="CL104" s="189">
        <f t="shared" si="147"/>
        <v>0</v>
      </c>
      <c r="CM104" s="149">
        <f t="shared" si="148"/>
        <v>0</v>
      </c>
      <c r="CN104" s="128">
        <f>'DATA INPUT - DETAIL'!AH95</f>
        <v>0</v>
      </c>
      <c r="CO104" s="149">
        <f t="shared" si="149"/>
        <v>0</v>
      </c>
      <c r="CP104" s="149">
        <f t="shared" si="161"/>
        <v>0</v>
      </c>
      <c r="CR104" s="126">
        <f t="shared" si="164"/>
        <v>92</v>
      </c>
      <c r="CS104" s="189">
        <f t="shared" si="165"/>
        <v>0</v>
      </c>
      <c r="CT104" s="200">
        <f>CS104/(BEL!CE104+BEL!CA104-BEL!BU104+'RA CSM'!CF104)</f>
        <v>0</v>
      </c>
      <c r="CU104" s="149">
        <f>$CT104*BEL!CH104</f>
        <v>0</v>
      </c>
      <c r="CV104" s="149">
        <f>$CT104*BEL!CI104</f>
        <v>0</v>
      </c>
      <c r="CW104" s="149">
        <f>$CT104*BEL!CJ104</f>
        <v>0</v>
      </c>
      <c r="CX104" s="149">
        <f>$CT104*BEL!CK104</f>
        <v>0</v>
      </c>
      <c r="CY104" s="149">
        <f t="shared" si="162"/>
        <v>0</v>
      </c>
      <c r="CZ104" s="149">
        <f>$CT104*(BEL!CL104+'RA CSM'!CG104)</f>
        <v>0</v>
      </c>
      <c r="DA104" s="149">
        <f t="shared" si="163"/>
        <v>0</v>
      </c>
    </row>
    <row r="105" spans="2:105" x14ac:dyDescent="0.2">
      <c r="B105" s="130">
        <f>BEL!B105</f>
        <v>0</v>
      </c>
      <c r="C105" s="130">
        <f>BEL!C105</f>
        <v>0</v>
      </c>
      <c r="D105" s="190">
        <f>BEL!D105</f>
        <v>0</v>
      </c>
      <c r="E105" s="190">
        <f>BEL!E105</f>
        <v>0</v>
      </c>
      <c r="F105" s="190">
        <f>BEL!F105</f>
        <v>0</v>
      </c>
      <c r="G105" s="190">
        <f>BEL!G105*(1+$V$5)</f>
        <v>0</v>
      </c>
      <c r="H105" s="190">
        <f>BEL!H105*(1+$V$5)</f>
        <v>0</v>
      </c>
      <c r="I105" s="179">
        <f t="shared" si="102"/>
        <v>0</v>
      </c>
      <c r="J105" s="130">
        <f>BEL!J105</f>
        <v>0</v>
      </c>
      <c r="K105" s="130">
        <f>BEL!K105</f>
        <v>0</v>
      </c>
      <c r="L105" s="130">
        <f>BEL!L105</f>
        <v>0</v>
      </c>
      <c r="M105" s="185">
        <f t="shared" si="150"/>
        <v>0</v>
      </c>
      <c r="N105" s="185">
        <f t="shared" si="103"/>
        <v>0</v>
      </c>
      <c r="O105" s="185">
        <f t="shared" si="104"/>
        <v>0</v>
      </c>
      <c r="P105" s="185">
        <f t="shared" si="105"/>
        <v>0</v>
      </c>
      <c r="Q105" s="185">
        <f t="shared" si="106"/>
        <v>0</v>
      </c>
      <c r="R105" s="185">
        <f t="shared" si="107"/>
        <v>0</v>
      </c>
      <c r="S105" s="185">
        <f t="shared" si="108"/>
        <v>0</v>
      </c>
      <c r="T105" s="185">
        <f t="shared" si="109"/>
        <v>0</v>
      </c>
      <c r="U105" s="196">
        <f>(C105&gt;0)*(C105&lt;$E$5)*VLOOKUP(MPP,ASUMSI!$BN$77:$CR$108,B105+1)*(1+$V$4)</f>
        <v>0</v>
      </c>
      <c r="V105" s="185">
        <f t="shared" si="110"/>
        <v>0</v>
      </c>
      <c r="W105" s="185">
        <f t="shared" si="111"/>
        <v>0</v>
      </c>
      <c r="X105" s="185">
        <f t="shared" si="112"/>
        <v>0</v>
      </c>
      <c r="Y105" s="185">
        <f t="shared" si="113"/>
        <v>0</v>
      </c>
      <c r="Z105" s="185">
        <f t="shared" si="114"/>
        <v>0</v>
      </c>
      <c r="AA105" s="197">
        <f t="shared" si="115"/>
        <v>0</v>
      </c>
      <c r="AB105" s="185">
        <f t="shared" si="116"/>
        <v>0</v>
      </c>
      <c r="AC105" s="185">
        <f t="shared" si="116"/>
        <v>0</v>
      </c>
      <c r="AD105" s="185">
        <f t="shared" si="116"/>
        <v>0</v>
      </c>
      <c r="AE105" s="185">
        <f t="shared" si="117"/>
        <v>0</v>
      </c>
      <c r="AF105" s="185">
        <f t="shared" si="118"/>
        <v>0</v>
      </c>
      <c r="AG105" s="185">
        <f t="shared" si="119"/>
        <v>0</v>
      </c>
      <c r="AH105" s="185">
        <f t="shared" si="120"/>
        <v>0</v>
      </c>
      <c r="AI105" s="125">
        <f>BEL!AI105</f>
        <v>0</v>
      </c>
      <c r="AJ105" s="125">
        <f>BEL!AJ105</f>
        <v>0</v>
      </c>
      <c r="AK105" s="125">
        <f>BEL!AK105</f>
        <v>0</v>
      </c>
      <c r="AL105" s="125">
        <f>BEL!AL105</f>
        <v>0</v>
      </c>
      <c r="AM105" s="125">
        <f>BEL!AM105</f>
        <v>0</v>
      </c>
      <c r="AN105" s="125">
        <f>BEL!AN105</f>
        <v>0</v>
      </c>
      <c r="AO105" s="198">
        <f t="shared" si="121"/>
        <v>0</v>
      </c>
      <c r="AP105" s="125">
        <f>BEL!AP105</f>
        <v>0</v>
      </c>
      <c r="AQ105" s="125">
        <f>BEL!AQ105</f>
        <v>0</v>
      </c>
      <c r="AR105" s="125">
        <f>BEL!AR105</f>
        <v>0</v>
      </c>
      <c r="AS105" s="125">
        <f>BEL!AS105</f>
        <v>0</v>
      </c>
      <c r="AT105" s="125">
        <f>BEL!AT105</f>
        <v>0</v>
      </c>
      <c r="AU105" s="127">
        <f>BEL!AU105</f>
        <v>0</v>
      </c>
      <c r="AV105" s="127">
        <f>BEL!AV105</f>
        <v>0</v>
      </c>
      <c r="AW105" s="127">
        <f>BEL!AW105</f>
        <v>0</v>
      </c>
      <c r="AX105" s="127">
        <f t="shared" si="122"/>
        <v>0</v>
      </c>
      <c r="AY105" s="127">
        <f t="shared" si="123"/>
        <v>0</v>
      </c>
      <c r="AZ105" s="127">
        <f t="shared" si="124"/>
        <v>0</v>
      </c>
      <c r="BA105" s="127">
        <f t="shared" si="125"/>
        <v>0</v>
      </c>
      <c r="BB105" s="127">
        <f t="shared" si="126"/>
        <v>0</v>
      </c>
      <c r="BC105" s="127">
        <f t="shared" si="127"/>
        <v>0</v>
      </c>
      <c r="BD105" s="127">
        <f t="shared" si="128"/>
        <v>0</v>
      </c>
      <c r="BE105" s="127">
        <f t="shared" si="129"/>
        <v>0</v>
      </c>
      <c r="BF105" s="127">
        <f t="shared" si="130"/>
        <v>0</v>
      </c>
      <c r="BG105" s="127">
        <f t="shared" si="131"/>
        <v>0</v>
      </c>
      <c r="BH105" s="127">
        <f t="shared" si="132"/>
        <v>0</v>
      </c>
      <c r="BI105" s="127">
        <f t="shared" si="133"/>
        <v>0</v>
      </c>
      <c r="BJ105" s="189">
        <f t="shared" si="134"/>
        <v>0</v>
      </c>
      <c r="BK105" s="189">
        <f t="shared" si="135"/>
        <v>0</v>
      </c>
      <c r="BL105" s="192">
        <f t="shared" si="136"/>
        <v>0</v>
      </c>
      <c r="BM105" s="192">
        <f t="shared" si="137"/>
        <v>0</v>
      </c>
      <c r="BN105" s="192">
        <f t="shared" si="138"/>
        <v>0</v>
      </c>
      <c r="BO105" s="192">
        <f t="shared" si="139"/>
        <v>0</v>
      </c>
      <c r="BP105" s="192">
        <f t="shared" si="140"/>
        <v>0</v>
      </c>
      <c r="BQ105" s="193">
        <f t="shared" si="141"/>
        <v>0</v>
      </c>
      <c r="BR105" s="193">
        <f t="shared" si="142"/>
        <v>0</v>
      </c>
      <c r="BS105" s="188">
        <f t="shared" si="151"/>
        <v>0</v>
      </c>
      <c r="BT105" s="188">
        <f t="shared" si="152"/>
        <v>0</v>
      </c>
      <c r="BU105" s="188">
        <f t="shared" si="153"/>
        <v>0</v>
      </c>
      <c r="BV105" s="188">
        <f t="shared" si="154"/>
        <v>0</v>
      </c>
      <c r="BW105" s="188">
        <f t="shared" si="155"/>
        <v>0</v>
      </c>
      <c r="BX105" s="188">
        <f t="shared" si="156"/>
        <v>0</v>
      </c>
      <c r="BY105" s="188">
        <f t="shared" si="157"/>
        <v>0</v>
      </c>
      <c r="BZ105" s="188">
        <f t="shared" si="158"/>
        <v>0</v>
      </c>
      <c r="CA105" s="188">
        <f t="shared" si="159"/>
        <v>0</v>
      </c>
      <c r="CB105" s="149">
        <f t="shared" si="160"/>
        <v>0</v>
      </c>
      <c r="CC105" s="149">
        <f>CB105-BEL!CB105</f>
        <v>0</v>
      </c>
      <c r="CD105" s="189">
        <f>IF(AND(C105=0,C106=0),0,CB105/W105) - BEL!CC105</f>
        <v>0</v>
      </c>
      <c r="CF105" s="195">
        <f t="shared" si="143"/>
        <v>0</v>
      </c>
      <c r="CG105" s="127">
        <f t="shared" si="144"/>
        <v>0</v>
      </c>
      <c r="CH105" s="128">
        <f>'DATA INPUT - DETAIL'!AH96</f>
        <v>0</v>
      </c>
      <c r="CI105" s="125">
        <f t="shared" si="145"/>
        <v>0</v>
      </c>
      <c r="CJ105" s="199">
        <f t="shared" si="146"/>
        <v>0</v>
      </c>
      <c r="CL105" s="189">
        <f t="shared" si="147"/>
        <v>0</v>
      </c>
      <c r="CM105" s="149">
        <f t="shared" si="148"/>
        <v>0</v>
      </c>
      <c r="CN105" s="128">
        <f>'DATA INPUT - DETAIL'!AH96</f>
        <v>0</v>
      </c>
      <c r="CO105" s="149">
        <f t="shared" si="149"/>
        <v>0</v>
      </c>
      <c r="CP105" s="149">
        <f t="shared" si="161"/>
        <v>0</v>
      </c>
      <c r="CR105" s="126">
        <f t="shared" si="164"/>
        <v>93</v>
      </c>
      <c r="CS105" s="189">
        <f t="shared" si="165"/>
        <v>0</v>
      </c>
      <c r="CT105" s="200">
        <f>CS105/(BEL!CE105+BEL!CA105-BEL!BU105+'RA CSM'!CF105)</f>
        <v>0</v>
      </c>
      <c r="CU105" s="149">
        <f>$CT105*BEL!CH105</f>
        <v>0</v>
      </c>
      <c r="CV105" s="149">
        <f>$CT105*BEL!CI105</f>
        <v>0</v>
      </c>
      <c r="CW105" s="149">
        <f>$CT105*BEL!CJ105</f>
        <v>0</v>
      </c>
      <c r="CX105" s="149">
        <f>$CT105*BEL!CK105</f>
        <v>0</v>
      </c>
      <c r="CY105" s="149">
        <f t="shared" si="162"/>
        <v>0</v>
      </c>
      <c r="CZ105" s="149">
        <f>$CT105*(BEL!CL105+'RA CSM'!CG105)</f>
        <v>0</v>
      </c>
      <c r="DA105" s="149">
        <f t="shared" si="163"/>
        <v>0</v>
      </c>
    </row>
    <row r="106" spans="2:105" x14ac:dyDescent="0.2">
      <c r="B106" s="130">
        <f>BEL!B106</f>
        <v>0</v>
      </c>
      <c r="C106" s="130">
        <f>BEL!C106</f>
        <v>0</v>
      </c>
      <c r="D106" s="190">
        <f>BEL!D106</f>
        <v>0</v>
      </c>
      <c r="E106" s="190">
        <f>BEL!E106</f>
        <v>0</v>
      </c>
      <c r="F106" s="190">
        <f>BEL!F106</f>
        <v>0</v>
      </c>
      <c r="G106" s="190">
        <f>BEL!G106*(1+$V$5)</f>
        <v>0</v>
      </c>
      <c r="H106" s="190">
        <f>BEL!H106*(1+$V$5)</f>
        <v>0</v>
      </c>
      <c r="I106" s="179">
        <f t="shared" si="102"/>
        <v>0</v>
      </c>
      <c r="J106" s="130">
        <f>BEL!J106</f>
        <v>0</v>
      </c>
      <c r="K106" s="130">
        <f>BEL!K106</f>
        <v>0</v>
      </c>
      <c r="L106" s="130">
        <f>BEL!L106</f>
        <v>0</v>
      </c>
      <c r="M106" s="185">
        <f t="shared" si="150"/>
        <v>0</v>
      </c>
      <c r="N106" s="185">
        <f t="shared" si="103"/>
        <v>0</v>
      </c>
      <c r="O106" s="185">
        <f t="shared" si="104"/>
        <v>0</v>
      </c>
      <c r="P106" s="185">
        <f t="shared" si="105"/>
        <v>0</v>
      </c>
      <c r="Q106" s="185">
        <f t="shared" si="106"/>
        <v>0</v>
      </c>
      <c r="R106" s="185">
        <f t="shared" si="107"/>
        <v>0</v>
      </c>
      <c r="S106" s="185">
        <f t="shared" si="108"/>
        <v>0</v>
      </c>
      <c r="T106" s="185">
        <f t="shared" si="109"/>
        <v>0</v>
      </c>
      <c r="U106" s="196">
        <f>(C106&gt;0)*(C106&lt;$E$5)*VLOOKUP(MPP,ASUMSI!$BN$77:$CR$108,B106+1)*(1+$V$4)</f>
        <v>0</v>
      </c>
      <c r="V106" s="185">
        <f t="shared" si="110"/>
        <v>0</v>
      </c>
      <c r="W106" s="185">
        <f t="shared" si="111"/>
        <v>0</v>
      </c>
      <c r="X106" s="185">
        <f t="shared" si="112"/>
        <v>0</v>
      </c>
      <c r="Y106" s="185">
        <f t="shared" si="113"/>
        <v>0</v>
      </c>
      <c r="Z106" s="185">
        <f t="shared" si="114"/>
        <v>0</v>
      </c>
      <c r="AA106" s="197">
        <f t="shared" si="115"/>
        <v>0</v>
      </c>
      <c r="AB106" s="185">
        <f t="shared" si="116"/>
        <v>0</v>
      </c>
      <c r="AC106" s="185">
        <f t="shared" si="116"/>
        <v>0</v>
      </c>
      <c r="AD106" s="185">
        <f t="shared" si="116"/>
        <v>0</v>
      </c>
      <c r="AE106" s="185">
        <f t="shared" si="117"/>
        <v>0</v>
      </c>
      <c r="AF106" s="185">
        <f t="shared" si="118"/>
        <v>0</v>
      </c>
      <c r="AG106" s="185">
        <f t="shared" si="119"/>
        <v>0</v>
      </c>
      <c r="AH106" s="185">
        <f t="shared" si="120"/>
        <v>0</v>
      </c>
      <c r="AI106" s="125">
        <f>BEL!AI106</f>
        <v>0</v>
      </c>
      <c r="AJ106" s="125">
        <f>BEL!AJ106</f>
        <v>0</v>
      </c>
      <c r="AK106" s="125">
        <f>BEL!AK106</f>
        <v>0</v>
      </c>
      <c r="AL106" s="125">
        <f>BEL!AL106</f>
        <v>0</v>
      </c>
      <c r="AM106" s="125">
        <f>BEL!AM106</f>
        <v>0</v>
      </c>
      <c r="AN106" s="125">
        <f>BEL!AN106</f>
        <v>0</v>
      </c>
      <c r="AO106" s="198">
        <f t="shared" si="121"/>
        <v>0</v>
      </c>
      <c r="AP106" s="125">
        <f>BEL!AP106</f>
        <v>0</v>
      </c>
      <c r="AQ106" s="125">
        <f>BEL!AQ106</f>
        <v>0</v>
      </c>
      <c r="AR106" s="125">
        <f>BEL!AR106</f>
        <v>0</v>
      </c>
      <c r="AS106" s="125">
        <f>BEL!AS106</f>
        <v>0</v>
      </c>
      <c r="AT106" s="125">
        <f>BEL!AT106</f>
        <v>0</v>
      </c>
      <c r="AU106" s="127">
        <f>BEL!AU106</f>
        <v>0</v>
      </c>
      <c r="AV106" s="127">
        <f>BEL!AV106</f>
        <v>0</v>
      </c>
      <c r="AW106" s="127">
        <f>BEL!AW106</f>
        <v>0</v>
      </c>
      <c r="AX106" s="127">
        <f t="shared" si="122"/>
        <v>0</v>
      </c>
      <c r="AY106" s="127">
        <f t="shared" si="123"/>
        <v>0</v>
      </c>
      <c r="AZ106" s="127">
        <f t="shared" si="124"/>
        <v>0</v>
      </c>
      <c r="BA106" s="127">
        <f t="shared" si="125"/>
        <v>0</v>
      </c>
      <c r="BB106" s="127">
        <f t="shared" si="126"/>
        <v>0</v>
      </c>
      <c r="BC106" s="127">
        <f t="shared" si="127"/>
        <v>0</v>
      </c>
      <c r="BD106" s="127">
        <f t="shared" si="128"/>
        <v>0</v>
      </c>
      <c r="BE106" s="127">
        <f t="shared" si="129"/>
        <v>0</v>
      </c>
      <c r="BF106" s="127">
        <f t="shared" si="130"/>
        <v>0</v>
      </c>
      <c r="BG106" s="127">
        <f t="shared" si="131"/>
        <v>0</v>
      </c>
      <c r="BH106" s="127">
        <f t="shared" si="132"/>
        <v>0</v>
      </c>
      <c r="BI106" s="127">
        <f t="shared" si="133"/>
        <v>0</v>
      </c>
      <c r="BJ106" s="189">
        <f t="shared" si="134"/>
        <v>0</v>
      </c>
      <c r="BK106" s="189">
        <f t="shared" si="135"/>
        <v>0</v>
      </c>
      <c r="BL106" s="192">
        <f t="shared" si="136"/>
        <v>0</v>
      </c>
      <c r="BM106" s="192">
        <f t="shared" si="137"/>
        <v>0</v>
      </c>
      <c r="BN106" s="192">
        <f t="shared" si="138"/>
        <v>0</v>
      </c>
      <c r="BO106" s="192">
        <f t="shared" si="139"/>
        <v>0</v>
      </c>
      <c r="BP106" s="192">
        <f t="shared" si="140"/>
        <v>0</v>
      </c>
      <c r="BQ106" s="193">
        <f t="shared" si="141"/>
        <v>0</v>
      </c>
      <c r="BR106" s="193">
        <f t="shared" si="142"/>
        <v>0</v>
      </c>
      <c r="BS106" s="188">
        <f t="shared" si="151"/>
        <v>0</v>
      </c>
      <c r="BT106" s="188">
        <f t="shared" si="152"/>
        <v>0</v>
      </c>
      <c r="BU106" s="188">
        <f t="shared" si="153"/>
        <v>0</v>
      </c>
      <c r="BV106" s="188">
        <f t="shared" si="154"/>
        <v>0</v>
      </c>
      <c r="BW106" s="188">
        <f t="shared" si="155"/>
        <v>0</v>
      </c>
      <c r="BX106" s="188">
        <f t="shared" si="156"/>
        <v>0</v>
      </c>
      <c r="BY106" s="188">
        <f t="shared" si="157"/>
        <v>0</v>
      </c>
      <c r="BZ106" s="188">
        <f t="shared" si="158"/>
        <v>0</v>
      </c>
      <c r="CA106" s="188">
        <f t="shared" si="159"/>
        <v>0</v>
      </c>
      <c r="CB106" s="149">
        <f t="shared" si="160"/>
        <v>0</v>
      </c>
      <c r="CC106" s="149">
        <f>CB106-BEL!CB106</f>
        <v>0</v>
      </c>
      <c r="CD106" s="189">
        <f>IF(AND(C106=0,C107=0),0,CB106/W106) - BEL!CC106</f>
        <v>0</v>
      </c>
      <c r="CF106" s="195">
        <f t="shared" si="143"/>
        <v>0</v>
      </c>
      <c r="CG106" s="127">
        <f t="shared" si="144"/>
        <v>0</v>
      </c>
      <c r="CH106" s="128">
        <f>'DATA INPUT - DETAIL'!AH97</f>
        <v>0</v>
      </c>
      <c r="CI106" s="125">
        <f t="shared" si="145"/>
        <v>0</v>
      </c>
      <c r="CJ106" s="199">
        <f t="shared" si="146"/>
        <v>0</v>
      </c>
      <c r="CL106" s="189">
        <f t="shared" si="147"/>
        <v>0</v>
      </c>
      <c r="CM106" s="149">
        <f t="shared" si="148"/>
        <v>0</v>
      </c>
      <c r="CN106" s="128">
        <f>'DATA INPUT - DETAIL'!AH97</f>
        <v>0</v>
      </c>
      <c r="CO106" s="149">
        <f t="shared" si="149"/>
        <v>0</v>
      </c>
      <c r="CP106" s="149">
        <f t="shared" si="161"/>
        <v>0</v>
      </c>
      <c r="CR106" s="126">
        <f t="shared" si="164"/>
        <v>94</v>
      </c>
      <c r="CS106" s="189">
        <f t="shared" si="165"/>
        <v>0</v>
      </c>
      <c r="CT106" s="200">
        <f>CS106/(BEL!CE106+BEL!CA106-BEL!BU106+'RA CSM'!CF106)</f>
        <v>0</v>
      </c>
      <c r="CU106" s="149">
        <f>$CT106*BEL!CH106</f>
        <v>0</v>
      </c>
      <c r="CV106" s="149">
        <f>$CT106*BEL!CI106</f>
        <v>0</v>
      </c>
      <c r="CW106" s="149">
        <f>$CT106*BEL!CJ106</f>
        <v>0</v>
      </c>
      <c r="CX106" s="149">
        <f>$CT106*BEL!CK106</f>
        <v>0</v>
      </c>
      <c r="CY106" s="149">
        <f t="shared" si="162"/>
        <v>0</v>
      </c>
      <c r="CZ106" s="149">
        <f>$CT106*(BEL!CL106+'RA CSM'!CG106)</f>
        <v>0</v>
      </c>
      <c r="DA106" s="149">
        <f t="shared" si="163"/>
        <v>0</v>
      </c>
    </row>
    <row r="107" spans="2:105" x14ac:dyDescent="0.2">
      <c r="B107" s="130">
        <f>BEL!B107</f>
        <v>0</v>
      </c>
      <c r="C107" s="130">
        <f>BEL!C107</f>
        <v>0</v>
      </c>
      <c r="D107" s="190">
        <f>BEL!D107</f>
        <v>0</v>
      </c>
      <c r="E107" s="190">
        <f>BEL!E107</f>
        <v>0</v>
      </c>
      <c r="F107" s="190">
        <f>BEL!F107</f>
        <v>0</v>
      </c>
      <c r="G107" s="190">
        <f>BEL!G107*(1+$V$5)</f>
        <v>0</v>
      </c>
      <c r="H107" s="190">
        <f>BEL!H107*(1+$V$5)</f>
        <v>0</v>
      </c>
      <c r="I107" s="179">
        <f t="shared" si="102"/>
        <v>0</v>
      </c>
      <c r="J107" s="130">
        <f>BEL!J107</f>
        <v>0</v>
      </c>
      <c r="K107" s="130">
        <f>BEL!K107</f>
        <v>0</v>
      </c>
      <c r="L107" s="130">
        <f>BEL!L107</f>
        <v>0</v>
      </c>
      <c r="M107" s="185">
        <f t="shared" si="150"/>
        <v>0</v>
      </c>
      <c r="N107" s="185">
        <f t="shared" si="103"/>
        <v>0</v>
      </c>
      <c r="O107" s="185">
        <f t="shared" si="104"/>
        <v>0</v>
      </c>
      <c r="P107" s="185">
        <f t="shared" si="105"/>
        <v>0</v>
      </c>
      <c r="Q107" s="185">
        <f t="shared" si="106"/>
        <v>0</v>
      </c>
      <c r="R107" s="185">
        <f t="shared" si="107"/>
        <v>0</v>
      </c>
      <c r="S107" s="185">
        <f t="shared" si="108"/>
        <v>0</v>
      </c>
      <c r="T107" s="185">
        <f t="shared" si="109"/>
        <v>0</v>
      </c>
      <c r="U107" s="196">
        <f>(C107&gt;0)*(C107&lt;$E$5)*VLOOKUP(MPP,ASUMSI!$BN$77:$CR$108,B107+1)*(1+$V$4)</f>
        <v>0</v>
      </c>
      <c r="V107" s="185">
        <f t="shared" si="110"/>
        <v>0</v>
      </c>
      <c r="W107" s="185">
        <f t="shared" si="111"/>
        <v>0</v>
      </c>
      <c r="X107" s="185">
        <f t="shared" si="112"/>
        <v>0</v>
      </c>
      <c r="Y107" s="185">
        <f t="shared" si="113"/>
        <v>0</v>
      </c>
      <c r="Z107" s="185">
        <f t="shared" si="114"/>
        <v>0</v>
      </c>
      <c r="AA107" s="197">
        <f t="shared" si="115"/>
        <v>0</v>
      </c>
      <c r="AB107" s="185">
        <f t="shared" si="116"/>
        <v>0</v>
      </c>
      <c r="AC107" s="185">
        <f t="shared" si="116"/>
        <v>0</v>
      </c>
      <c r="AD107" s="185">
        <f t="shared" si="116"/>
        <v>0</v>
      </c>
      <c r="AE107" s="185">
        <f t="shared" si="117"/>
        <v>0</v>
      </c>
      <c r="AF107" s="185">
        <f t="shared" si="118"/>
        <v>0</v>
      </c>
      <c r="AG107" s="185">
        <f t="shared" si="119"/>
        <v>0</v>
      </c>
      <c r="AH107" s="185">
        <f t="shared" si="120"/>
        <v>0</v>
      </c>
      <c r="AI107" s="125">
        <f>BEL!AI107</f>
        <v>0</v>
      </c>
      <c r="AJ107" s="125">
        <f>BEL!AJ107</f>
        <v>0</v>
      </c>
      <c r="AK107" s="125">
        <f>BEL!AK107</f>
        <v>0</v>
      </c>
      <c r="AL107" s="125">
        <f>BEL!AL107</f>
        <v>0</v>
      </c>
      <c r="AM107" s="125">
        <f>BEL!AM107</f>
        <v>0</v>
      </c>
      <c r="AN107" s="125">
        <f>BEL!AN107</f>
        <v>0</v>
      </c>
      <c r="AO107" s="198">
        <f t="shared" si="121"/>
        <v>0</v>
      </c>
      <c r="AP107" s="125">
        <f>BEL!AP107</f>
        <v>0</v>
      </c>
      <c r="AQ107" s="125">
        <f>BEL!AQ107</f>
        <v>0</v>
      </c>
      <c r="AR107" s="125">
        <f>BEL!AR107</f>
        <v>0</v>
      </c>
      <c r="AS107" s="125">
        <f>BEL!AS107</f>
        <v>0</v>
      </c>
      <c r="AT107" s="125">
        <f>BEL!AT107</f>
        <v>0</v>
      </c>
      <c r="AU107" s="127">
        <f>BEL!AU107</f>
        <v>0</v>
      </c>
      <c r="AV107" s="127">
        <f>BEL!AV107</f>
        <v>0</v>
      </c>
      <c r="AW107" s="127">
        <f>BEL!AW107</f>
        <v>0</v>
      </c>
      <c r="AX107" s="127">
        <f t="shared" si="122"/>
        <v>0</v>
      </c>
      <c r="AY107" s="127">
        <f t="shared" si="123"/>
        <v>0</v>
      </c>
      <c r="AZ107" s="127">
        <f t="shared" si="124"/>
        <v>0</v>
      </c>
      <c r="BA107" s="127">
        <f t="shared" si="125"/>
        <v>0</v>
      </c>
      <c r="BB107" s="127">
        <f t="shared" si="126"/>
        <v>0</v>
      </c>
      <c r="BC107" s="127">
        <f t="shared" si="127"/>
        <v>0</v>
      </c>
      <c r="BD107" s="127">
        <f t="shared" si="128"/>
        <v>0</v>
      </c>
      <c r="BE107" s="127">
        <f t="shared" si="129"/>
        <v>0</v>
      </c>
      <c r="BF107" s="127">
        <f t="shared" si="130"/>
        <v>0</v>
      </c>
      <c r="BG107" s="127">
        <f t="shared" si="131"/>
        <v>0</v>
      </c>
      <c r="BH107" s="127">
        <f t="shared" si="132"/>
        <v>0</v>
      </c>
      <c r="BI107" s="127">
        <f t="shared" si="133"/>
        <v>0</v>
      </c>
      <c r="BJ107" s="189">
        <f t="shared" si="134"/>
        <v>0</v>
      </c>
      <c r="BK107" s="189">
        <f t="shared" si="135"/>
        <v>0</v>
      </c>
      <c r="BL107" s="192">
        <f t="shared" si="136"/>
        <v>0</v>
      </c>
      <c r="BM107" s="192">
        <f t="shared" si="137"/>
        <v>0</v>
      </c>
      <c r="BN107" s="192">
        <f t="shared" si="138"/>
        <v>0</v>
      </c>
      <c r="BO107" s="192">
        <f t="shared" si="139"/>
        <v>0</v>
      </c>
      <c r="BP107" s="192">
        <f t="shared" si="140"/>
        <v>0</v>
      </c>
      <c r="BQ107" s="193">
        <f t="shared" si="141"/>
        <v>0</v>
      </c>
      <c r="BR107" s="193">
        <f t="shared" si="142"/>
        <v>0</v>
      </c>
      <c r="BS107" s="188">
        <f t="shared" si="151"/>
        <v>0</v>
      </c>
      <c r="BT107" s="188">
        <f t="shared" si="152"/>
        <v>0</v>
      </c>
      <c r="BU107" s="188">
        <f t="shared" si="153"/>
        <v>0</v>
      </c>
      <c r="BV107" s="188">
        <f t="shared" si="154"/>
        <v>0</v>
      </c>
      <c r="BW107" s="188">
        <f t="shared" si="155"/>
        <v>0</v>
      </c>
      <c r="BX107" s="188">
        <f t="shared" si="156"/>
        <v>0</v>
      </c>
      <c r="BY107" s="188">
        <f t="shared" si="157"/>
        <v>0</v>
      </c>
      <c r="BZ107" s="188">
        <f t="shared" si="158"/>
        <v>0</v>
      </c>
      <c r="CA107" s="188">
        <f t="shared" si="159"/>
        <v>0</v>
      </c>
      <c r="CB107" s="149">
        <f t="shared" si="160"/>
        <v>0</v>
      </c>
      <c r="CC107" s="149">
        <f>CB107-BEL!CB107</f>
        <v>0</v>
      </c>
      <c r="CD107" s="189">
        <f>IF(AND(C107=0,C108=0),0,CB107/W107) - BEL!CC107</f>
        <v>0</v>
      </c>
      <c r="CF107" s="195">
        <f t="shared" si="143"/>
        <v>0</v>
      </c>
      <c r="CG107" s="127">
        <f t="shared" si="144"/>
        <v>0</v>
      </c>
      <c r="CH107" s="128">
        <f>'DATA INPUT - DETAIL'!AH98</f>
        <v>0</v>
      </c>
      <c r="CI107" s="125">
        <f t="shared" si="145"/>
        <v>0</v>
      </c>
      <c r="CJ107" s="199">
        <f t="shared" si="146"/>
        <v>0</v>
      </c>
      <c r="CL107" s="189">
        <f t="shared" si="147"/>
        <v>0</v>
      </c>
      <c r="CM107" s="149">
        <f t="shared" si="148"/>
        <v>0</v>
      </c>
      <c r="CN107" s="128">
        <f>'DATA INPUT - DETAIL'!AH98</f>
        <v>0</v>
      </c>
      <c r="CO107" s="149">
        <f t="shared" si="149"/>
        <v>0</v>
      </c>
      <c r="CP107" s="149">
        <f t="shared" si="161"/>
        <v>0</v>
      </c>
      <c r="CR107" s="126">
        <f t="shared" si="164"/>
        <v>95</v>
      </c>
      <c r="CS107" s="189">
        <f t="shared" si="165"/>
        <v>0</v>
      </c>
      <c r="CT107" s="200">
        <f>CS107/(BEL!CE107+BEL!CA107-BEL!BU107+'RA CSM'!CF107)</f>
        <v>0</v>
      </c>
      <c r="CU107" s="149">
        <f>$CT107*BEL!CH107</f>
        <v>0</v>
      </c>
      <c r="CV107" s="149">
        <f>$CT107*BEL!CI107</f>
        <v>0</v>
      </c>
      <c r="CW107" s="149">
        <f>$CT107*BEL!CJ107</f>
        <v>0</v>
      </c>
      <c r="CX107" s="149">
        <f>$CT107*BEL!CK107</f>
        <v>0</v>
      </c>
      <c r="CY107" s="149">
        <f t="shared" si="162"/>
        <v>0</v>
      </c>
      <c r="CZ107" s="149">
        <f>$CT107*(BEL!CL107+'RA CSM'!CG107)</f>
        <v>0</v>
      </c>
      <c r="DA107" s="149">
        <f t="shared" si="163"/>
        <v>0</v>
      </c>
    </row>
    <row r="108" spans="2:105" x14ac:dyDescent="0.2">
      <c r="B108" s="130">
        <f>BEL!B108</f>
        <v>0</v>
      </c>
      <c r="C108" s="130">
        <f>BEL!C108</f>
        <v>0</v>
      </c>
      <c r="D108" s="190">
        <f>BEL!D108</f>
        <v>0</v>
      </c>
      <c r="E108" s="190">
        <f>BEL!E108</f>
        <v>0</v>
      </c>
      <c r="F108" s="190">
        <f>BEL!F108</f>
        <v>0</v>
      </c>
      <c r="G108" s="190">
        <f>BEL!G108*(1+$V$5)</f>
        <v>0</v>
      </c>
      <c r="H108" s="190">
        <f>BEL!H108*(1+$V$5)</f>
        <v>0</v>
      </c>
      <c r="I108" s="179">
        <f t="shared" si="102"/>
        <v>0</v>
      </c>
      <c r="J108" s="130">
        <f>BEL!J108</f>
        <v>0</v>
      </c>
      <c r="K108" s="130">
        <f>BEL!K108</f>
        <v>0</v>
      </c>
      <c r="L108" s="130">
        <f>BEL!L108</f>
        <v>0</v>
      </c>
      <c r="M108" s="185">
        <f t="shared" si="150"/>
        <v>0</v>
      </c>
      <c r="N108" s="185">
        <f t="shared" si="103"/>
        <v>0</v>
      </c>
      <c r="O108" s="185">
        <f t="shared" si="104"/>
        <v>0</v>
      </c>
      <c r="P108" s="185">
        <f t="shared" si="105"/>
        <v>0</v>
      </c>
      <c r="Q108" s="185">
        <f t="shared" si="106"/>
        <v>0</v>
      </c>
      <c r="R108" s="185">
        <f t="shared" si="107"/>
        <v>0</v>
      </c>
      <c r="S108" s="185">
        <f t="shared" si="108"/>
        <v>0</v>
      </c>
      <c r="T108" s="185">
        <f t="shared" si="109"/>
        <v>0</v>
      </c>
      <c r="U108" s="196">
        <f>(C108&gt;0)*(C108&lt;$E$5)*VLOOKUP(MPP,ASUMSI!$BN$77:$CR$108,B108+1)*(1+$V$4)</f>
        <v>0</v>
      </c>
      <c r="V108" s="185">
        <f t="shared" si="110"/>
        <v>0</v>
      </c>
      <c r="W108" s="185">
        <f t="shared" si="111"/>
        <v>0</v>
      </c>
      <c r="X108" s="185">
        <f t="shared" si="112"/>
        <v>0</v>
      </c>
      <c r="Y108" s="185">
        <f t="shared" si="113"/>
        <v>0</v>
      </c>
      <c r="Z108" s="185">
        <f t="shared" si="114"/>
        <v>0</v>
      </c>
      <c r="AA108" s="197">
        <f t="shared" si="115"/>
        <v>0</v>
      </c>
      <c r="AB108" s="185">
        <f t="shared" si="116"/>
        <v>0</v>
      </c>
      <c r="AC108" s="185">
        <f t="shared" si="116"/>
        <v>0</v>
      </c>
      <c r="AD108" s="185">
        <f t="shared" si="116"/>
        <v>0</v>
      </c>
      <c r="AE108" s="185">
        <f t="shared" si="117"/>
        <v>0</v>
      </c>
      <c r="AF108" s="185">
        <f t="shared" si="118"/>
        <v>0</v>
      </c>
      <c r="AG108" s="185">
        <f t="shared" si="119"/>
        <v>0</v>
      </c>
      <c r="AH108" s="185">
        <f t="shared" si="120"/>
        <v>0</v>
      </c>
      <c r="AI108" s="125">
        <f>BEL!AI108</f>
        <v>0</v>
      </c>
      <c r="AJ108" s="125">
        <f>BEL!AJ108</f>
        <v>0</v>
      </c>
      <c r="AK108" s="125">
        <f>BEL!AK108</f>
        <v>0</v>
      </c>
      <c r="AL108" s="125">
        <f>BEL!AL108</f>
        <v>0</v>
      </c>
      <c r="AM108" s="125">
        <f>BEL!AM108</f>
        <v>0</v>
      </c>
      <c r="AN108" s="125">
        <f>BEL!AN108</f>
        <v>0</v>
      </c>
      <c r="AO108" s="198">
        <f t="shared" si="121"/>
        <v>0</v>
      </c>
      <c r="AP108" s="125">
        <f>BEL!AP108</f>
        <v>0</v>
      </c>
      <c r="AQ108" s="125">
        <f>BEL!AQ108</f>
        <v>0</v>
      </c>
      <c r="AR108" s="125">
        <f>BEL!AR108</f>
        <v>0</v>
      </c>
      <c r="AS108" s="125">
        <f>BEL!AS108</f>
        <v>0</v>
      </c>
      <c r="AT108" s="125">
        <f>BEL!AT108</f>
        <v>0</v>
      </c>
      <c r="AU108" s="127">
        <f>BEL!AU108</f>
        <v>0</v>
      </c>
      <c r="AV108" s="127">
        <f>BEL!AV108</f>
        <v>0</v>
      </c>
      <c r="AW108" s="127">
        <f>BEL!AW108</f>
        <v>0</v>
      </c>
      <c r="AX108" s="127">
        <f t="shared" si="122"/>
        <v>0</v>
      </c>
      <c r="AY108" s="127">
        <f t="shared" si="123"/>
        <v>0</v>
      </c>
      <c r="AZ108" s="127">
        <f t="shared" si="124"/>
        <v>0</v>
      </c>
      <c r="BA108" s="127">
        <f t="shared" si="125"/>
        <v>0</v>
      </c>
      <c r="BB108" s="127">
        <f t="shared" si="126"/>
        <v>0</v>
      </c>
      <c r="BC108" s="127">
        <f t="shared" si="127"/>
        <v>0</v>
      </c>
      <c r="BD108" s="127">
        <f t="shared" si="128"/>
        <v>0</v>
      </c>
      <c r="BE108" s="127">
        <f t="shared" si="129"/>
        <v>0</v>
      </c>
      <c r="BF108" s="127">
        <f t="shared" si="130"/>
        <v>0</v>
      </c>
      <c r="BG108" s="127">
        <f t="shared" si="131"/>
        <v>0</v>
      </c>
      <c r="BH108" s="127">
        <f t="shared" si="132"/>
        <v>0</v>
      </c>
      <c r="BI108" s="127">
        <f t="shared" si="133"/>
        <v>0</v>
      </c>
      <c r="BJ108" s="189">
        <f t="shared" si="134"/>
        <v>0</v>
      </c>
      <c r="BK108" s="189">
        <f t="shared" si="135"/>
        <v>0</v>
      </c>
      <c r="BL108" s="192">
        <f t="shared" si="136"/>
        <v>0</v>
      </c>
      <c r="BM108" s="192">
        <f t="shared" si="137"/>
        <v>0</v>
      </c>
      <c r="BN108" s="192">
        <f t="shared" si="138"/>
        <v>0</v>
      </c>
      <c r="BO108" s="192">
        <f t="shared" si="139"/>
        <v>0</v>
      </c>
      <c r="BP108" s="192">
        <f t="shared" si="140"/>
        <v>0</v>
      </c>
      <c r="BQ108" s="193">
        <f t="shared" si="141"/>
        <v>0</v>
      </c>
      <c r="BR108" s="193">
        <f t="shared" si="142"/>
        <v>0</v>
      </c>
      <c r="BS108" s="188">
        <f t="shared" si="151"/>
        <v>0</v>
      </c>
      <c r="BT108" s="188">
        <f t="shared" si="152"/>
        <v>0</v>
      </c>
      <c r="BU108" s="188">
        <f t="shared" si="153"/>
        <v>0</v>
      </c>
      <c r="BV108" s="188">
        <f t="shared" si="154"/>
        <v>0</v>
      </c>
      <c r="BW108" s="188">
        <f t="shared" si="155"/>
        <v>0</v>
      </c>
      <c r="BX108" s="188">
        <f t="shared" si="156"/>
        <v>0</v>
      </c>
      <c r="BY108" s="188">
        <f t="shared" si="157"/>
        <v>0</v>
      </c>
      <c r="BZ108" s="188">
        <f t="shared" si="158"/>
        <v>0</v>
      </c>
      <c r="CA108" s="188">
        <f t="shared" si="159"/>
        <v>0</v>
      </c>
      <c r="CB108" s="149">
        <f t="shared" si="160"/>
        <v>0</v>
      </c>
      <c r="CC108" s="149">
        <f>CB108-BEL!CB108</f>
        <v>0</v>
      </c>
      <c r="CD108" s="189">
        <f>IF(AND(C108=0,C109=0),0,CB108/W108) - BEL!CC108</f>
        <v>0</v>
      </c>
      <c r="CF108" s="195">
        <f t="shared" si="143"/>
        <v>0</v>
      </c>
      <c r="CG108" s="127">
        <f t="shared" si="144"/>
        <v>0</v>
      </c>
      <c r="CH108" s="128">
        <f>'DATA INPUT - DETAIL'!AH99</f>
        <v>0</v>
      </c>
      <c r="CI108" s="125">
        <f t="shared" si="145"/>
        <v>0</v>
      </c>
      <c r="CJ108" s="199">
        <f t="shared" si="146"/>
        <v>0</v>
      </c>
      <c r="CL108" s="189">
        <f t="shared" si="147"/>
        <v>0</v>
      </c>
      <c r="CM108" s="149">
        <f t="shared" si="148"/>
        <v>0</v>
      </c>
      <c r="CN108" s="128">
        <f>'DATA INPUT - DETAIL'!AH99</f>
        <v>0</v>
      </c>
      <c r="CO108" s="149">
        <f t="shared" si="149"/>
        <v>0</v>
      </c>
      <c r="CP108" s="149">
        <f t="shared" si="161"/>
        <v>0</v>
      </c>
      <c r="CR108" s="126">
        <f t="shared" si="164"/>
        <v>96</v>
      </c>
      <c r="CS108" s="189">
        <f t="shared" si="165"/>
        <v>0</v>
      </c>
      <c r="CT108" s="200">
        <f>CS108/(BEL!CE108+BEL!CA108-BEL!BU108+'RA CSM'!CF108)</f>
        <v>0</v>
      </c>
      <c r="CU108" s="149">
        <f>$CT108*BEL!CH108</f>
        <v>0</v>
      </c>
      <c r="CV108" s="149">
        <f>$CT108*BEL!CI108</f>
        <v>0</v>
      </c>
      <c r="CW108" s="149">
        <f>$CT108*BEL!CJ108</f>
        <v>0</v>
      </c>
      <c r="CX108" s="149">
        <f>$CT108*BEL!CK108</f>
        <v>0</v>
      </c>
      <c r="CY108" s="149">
        <f t="shared" si="162"/>
        <v>0</v>
      </c>
      <c r="CZ108" s="149">
        <f>$CT108*(BEL!CL108+'RA CSM'!CG108)</f>
        <v>0</v>
      </c>
      <c r="DA108" s="149">
        <f t="shared" si="163"/>
        <v>0</v>
      </c>
    </row>
    <row r="109" spans="2:105" x14ac:dyDescent="0.2">
      <c r="B109" s="130">
        <f>BEL!B109</f>
        <v>0</v>
      </c>
      <c r="C109" s="130">
        <f>BEL!C109</f>
        <v>0</v>
      </c>
      <c r="D109" s="190">
        <f>BEL!D109</f>
        <v>0</v>
      </c>
      <c r="E109" s="190">
        <f>BEL!E109</f>
        <v>0</v>
      </c>
      <c r="F109" s="190">
        <f>BEL!F109</f>
        <v>0</v>
      </c>
      <c r="G109" s="190">
        <f>BEL!G109*(1+$V$5)</f>
        <v>0</v>
      </c>
      <c r="H109" s="190">
        <f>BEL!H109*(1+$V$5)</f>
        <v>0</v>
      </c>
      <c r="I109" s="179">
        <f t="shared" si="102"/>
        <v>0</v>
      </c>
      <c r="J109" s="130">
        <f>BEL!J109</f>
        <v>0</v>
      </c>
      <c r="K109" s="130">
        <f>BEL!K109</f>
        <v>0</v>
      </c>
      <c r="L109" s="130">
        <f>BEL!L109</f>
        <v>0</v>
      </c>
      <c r="M109" s="185">
        <f t="shared" ref="M109:M140" si="166">IF(AND(C109&lt;=$E$5-1,C109&lt;&gt;0),VLOOKUP(L109,Mortality,5,FALSE)*(1+$V$3),0)</f>
        <v>0</v>
      </c>
      <c r="N109" s="185">
        <f t="shared" si="103"/>
        <v>0</v>
      </c>
      <c r="O109" s="185">
        <f t="shared" si="104"/>
        <v>0</v>
      </c>
      <c r="P109" s="185">
        <f t="shared" si="105"/>
        <v>0</v>
      </c>
      <c r="Q109" s="185">
        <f t="shared" si="106"/>
        <v>0</v>
      </c>
      <c r="R109" s="185">
        <f t="shared" si="107"/>
        <v>0</v>
      </c>
      <c r="S109" s="185">
        <f t="shared" si="108"/>
        <v>0</v>
      </c>
      <c r="T109" s="185">
        <f t="shared" si="109"/>
        <v>0</v>
      </c>
      <c r="U109" s="196">
        <f>(C109&gt;0)*(C109&lt;$E$5)*VLOOKUP(MPP,ASUMSI!$BN$77:$CR$108,B109+1)*(1+$V$4)</f>
        <v>0</v>
      </c>
      <c r="V109" s="185">
        <f t="shared" si="110"/>
        <v>0</v>
      </c>
      <c r="W109" s="185">
        <f t="shared" si="111"/>
        <v>0</v>
      </c>
      <c r="X109" s="185">
        <f t="shared" si="112"/>
        <v>0</v>
      </c>
      <c r="Y109" s="185">
        <f t="shared" si="113"/>
        <v>0</v>
      </c>
      <c r="Z109" s="185">
        <f t="shared" si="114"/>
        <v>0</v>
      </c>
      <c r="AA109" s="197">
        <f t="shared" si="115"/>
        <v>0</v>
      </c>
      <c r="AB109" s="185">
        <f t="shared" si="116"/>
        <v>0</v>
      </c>
      <c r="AC109" s="185">
        <f t="shared" si="116"/>
        <v>0</v>
      </c>
      <c r="AD109" s="185">
        <f t="shared" si="116"/>
        <v>0</v>
      </c>
      <c r="AE109" s="185">
        <f t="shared" si="117"/>
        <v>0</v>
      </c>
      <c r="AF109" s="185">
        <f t="shared" si="118"/>
        <v>0</v>
      </c>
      <c r="AG109" s="185">
        <f t="shared" si="119"/>
        <v>0</v>
      </c>
      <c r="AH109" s="185">
        <f t="shared" si="120"/>
        <v>0</v>
      </c>
      <c r="AI109" s="125">
        <f>BEL!AI109</f>
        <v>0</v>
      </c>
      <c r="AJ109" s="125">
        <f>BEL!AJ109</f>
        <v>0</v>
      </c>
      <c r="AK109" s="125">
        <f>BEL!AK109</f>
        <v>0</v>
      </c>
      <c r="AL109" s="125">
        <f>BEL!AL109</f>
        <v>0</v>
      </c>
      <c r="AM109" s="125">
        <f>BEL!AM109</f>
        <v>0</v>
      </c>
      <c r="AN109" s="125">
        <f>BEL!AN109</f>
        <v>0</v>
      </c>
      <c r="AO109" s="198">
        <f t="shared" si="121"/>
        <v>0</v>
      </c>
      <c r="AP109" s="125">
        <f>BEL!AP109</f>
        <v>0</v>
      </c>
      <c r="AQ109" s="125">
        <f>BEL!AQ109</f>
        <v>0</v>
      </c>
      <c r="AR109" s="125">
        <f>BEL!AR109</f>
        <v>0</v>
      </c>
      <c r="AS109" s="125">
        <f>BEL!AS109</f>
        <v>0</v>
      </c>
      <c r="AT109" s="125">
        <f>BEL!AT109</f>
        <v>0</v>
      </c>
      <c r="AU109" s="127">
        <f>BEL!AU109</f>
        <v>0</v>
      </c>
      <c r="AV109" s="127">
        <f>BEL!AV109</f>
        <v>0</v>
      </c>
      <c r="AW109" s="127">
        <f>BEL!AW109</f>
        <v>0</v>
      </c>
      <c r="AX109" s="127">
        <f t="shared" si="122"/>
        <v>0</v>
      </c>
      <c r="AY109" s="127">
        <f t="shared" si="123"/>
        <v>0</v>
      </c>
      <c r="AZ109" s="127">
        <f t="shared" si="124"/>
        <v>0</v>
      </c>
      <c r="BA109" s="127">
        <f t="shared" si="125"/>
        <v>0</v>
      </c>
      <c r="BB109" s="127">
        <f t="shared" si="126"/>
        <v>0</v>
      </c>
      <c r="BC109" s="127">
        <f t="shared" si="127"/>
        <v>0</v>
      </c>
      <c r="BD109" s="127">
        <f t="shared" si="128"/>
        <v>0</v>
      </c>
      <c r="BE109" s="127">
        <f t="shared" si="129"/>
        <v>0</v>
      </c>
      <c r="BF109" s="127">
        <f t="shared" si="130"/>
        <v>0</v>
      </c>
      <c r="BG109" s="127">
        <f t="shared" si="131"/>
        <v>0</v>
      </c>
      <c r="BH109" s="127">
        <f t="shared" si="132"/>
        <v>0</v>
      </c>
      <c r="BI109" s="127">
        <f t="shared" si="133"/>
        <v>0</v>
      </c>
      <c r="BJ109" s="189">
        <f t="shared" si="134"/>
        <v>0</v>
      </c>
      <c r="BK109" s="189">
        <f t="shared" si="135"/>
        <v>0</v>
      </c>
      <c r="BL109" s="192">
        <f t="shared" si="136"/>
        <v>0</v>
      </c>
      <c r="BM109" s="192">
        <f t="shared" si="137"/>
        <v>0</v>
      </c>
      <c r="BN109" s="192">
        <f t="shared" si="138"/>
        <v>0</v>
      </c>
      <c r="BO109" s="192">
        <f t="shared" si="139"/>
        <v>0</v>
      </c>
      <c r="BP109" s="192">
        <f t="shared" si="140"/>
        <v>0</v>
      </c>
      <c r="BQ109" s="193">
        <f t="shared" si="141"/>
        <v>0</v>
      </c>
      <c r="BR109" s="193">
        <f t="shared" si="142"/>
        <v>0</v>
      </c>
      <c r="BS109" s="188">
        <f t="shared" si="151"/>
        <v>0</v>
      </c>
      <c r="BT109" s="188">
        <f t="shared" si="152"/>
        <v>0</v>
      </c>
      <c r="BU109" s="188">
        <f t="shared" si="153"/>
        <v>0</v>
      </c>
      <c r="BV109" s="188">
        <f t="shared" si="154"/>
        <v>0</v>
      </c>
      <c r="BW109" s="188">
        <f t="shared" si="155"/>
        <v>0</v>
      </c>
      <c r="BX109" s="188">
        <f t="shared" si="156"/>
        <v>0</v>
      </c>
      <c r="BY109" s="188">
        <f t="shared" si="157"/>
        <v>0</v>
      </c>
      <c r="BZ109" s="188">
        <f t="shared" si="158"/>
        <v>0</v>
      </c>
      <c r="CA109" s="188">
        <f t="shared" si="159"/>
        <v>0</v>
      </c>
      <c r="CB109" s="149">
        <f t="shared" si="160"/>
        <v>0</v>
      </c>
      <c r="CC109" s="149">
        <f>CB109-BEL!CB109</f>
        <v>0</v>
      </c>
      <c r="CD109" s="189">
        <f>IF(AND(C109=0,C110=0),0,CB109/W109) - BEL!CC109</f>
        <v>0</v>
      </c>
      <c r="CF109" s="195">
        <f t="shared" si="143"/>
        <v>0</v>
      </c>
      <c r="CG109" s="127">
        <f t="shared" si="144"/>
        <v>0</v>
      </c>
      <c r="CH109" s="128">
        <f>'DATA INPUT - DETAIL'!AH100</f>
        <v>0</v>
      </c>
      <c r="CI109" s="125">
        <f t="shared" si="145"/>
        <v>0</v>
      </c>
      <c r="CJ109" s="199">
        <f t="shared" si="146"/>
        <v>0</v>
      </c>
      <c r="CL109" s="189">
        <f t="shared" si="147"/>
        <v>0</v>
      </c>
      <c r="CM109" s="149">
        <f t="shared" si="148"/>
        <v>0</v>
      </c>
      <c r="CN109" s="128">
        <f>'DATA INPUT - DETAIL'!AH100</f>
        <v>0</v>
      </c>
      <c r="CO109" s="149">
        <f t="shared" si="149"/>
        <v>0</v>
      </c>
      <c r="CP109" s="149">
        <f t="shared" si="161"/>
        <v>0</v>
      </c>
      <c r="CR109" s="126">
        <f t="shared" si="164"/>
        <v>97</v>
      </c>
      <c r="CS109" s="189">
        <f t="shared" si="165"/>
        <v>0</v>
      </c>
      <c r="CT109" s="200">
        <f>CS109/(BEL!CE109+BEL!CA109-BEL!BU109+'RA CSM'!CF109)</f>
        <v>0</v>
      </c>
      <c r="CU109" s="149">
        <f>$CT109*BEL!CH109</f>
        <v>0</v>
      </c>
      <c r="CV109" s="149">
        <f>$CT109*BEL!CI109</f>
        <v>0</v>
      </c>
      <c r="CW109" s="149">
        <f>$CT109*BEL!CJ109</f>
        <v>0</v>
      </c>
      <c r="CX109" s="149">
        <f>$CT109*BEL!CK109</f>
        <v>0</v>
      </c>
      <c r="CY109" s="149">
        <f t="shared" si="162"/>
        <v>0</v>
      </c>
      <c r="CZ109" s="149">
        <f>$CT109*(BEL!CL109+'RA CSM'!CG109)</f>
        <v>0</v>
      </c>
      <c r="DA109" s="149">
        <f t="shared" si="163"/>
        <v>0</v>
      </c>
    </row>
    <row r="110" spans="2:105" x14ac:dyDescent="0.2">
      <c r="B110" s="130">
        <f>BEL!B110</f>
        <v>0</v>
      </c>
      <c r="C110" s="130">
        <f>BEL!C110</f>
        <v>0</v>
      </c>
      <c r="D110" s="190">
        <f>BEL!D110</f>
        <v>0</v>
      </c>
      <c r="E110" s="190">
        <f>BEL!E110</f>
        <v>0</v>
      </c>
      <c r="F110" s="190">
        <f>BEL!F110</f>
        <v>0</v>
      </c>
      <c r="G110" s="190">
        <f>BEL!G110*(1+$V$5)</f>
        <v>0</v>
      </c>
      <c r="H110" s="190">
        <f>BEL!H110*(1+$V$5)</f>
        <v>0</v>
      </c>
      <c r="I110" s="179">
        <f t="shared" si="102"/>
        <v>0</v>
      </c>
      <c r="J110" s="130">
        <f>BEL!J110</f>
        <v>0</v>
      </c>
      <c r="K110" s="130">
        <f>BEL!K110</f>
        <v>0</v>
      </c>
      <c r="L110" s="130">
        <f>BEL!L110</f>
        <v>0</v>
      </c>
      <c r="M110" s="185">
        <f t="shared" si="166"/>
        <v>0</v>
      </c>
      <c r="N110" s="185">
        <f t="shared" si="103"/>
        <v>0</v>
      </c>
      <c r="O110" s="185">
        <f t="shared" si="104"/>
        <v>0</v>
      </c>
      <c r="P110" s="185">
        <f t="shared" si="105"/>
        <v>0</v>
      </c>
      <c r="Q110" s="185">
        <f t="shared" si="106"/>
        <v>0</v>
      </c>
      <c r="R110" s="185">
        <f t="shared" si="107"/>
        <v>0</v>
      </c>
      <c r="S110" s="185">
        <f t="shared" si="108"/>
        <v>0</v>
      </c>
      <c r="T110" s="185">
        <f t="shared" si="109"/>
        <v>0</v>
      </c>
      <c r="U110" s="196">
        <f>(C110&gt;0)*(C110&lt;$E$5)*VLOOKUP(MPP,ASUMSI!$BN$77:$CR$108,B110+1)*(1+$V$4)</f>
        <v>0</v>
      </c>
      <c r="V110" s="185">
        <f t="shared" si="110"/>
        <v>0</v>
      </c>
      <c r="W110" s="185">
        <f t="shared" si="111"/>
        <v>0</v>
      </c>
      <c r="X110" s="185">
        <f t="shared" si="112"/>
        <v>0</v>
      </c>
      <c r="Y110" s="185">
        <f t="shared" si="113"/>
        <v>0</v>
      </c>
      <c r="Z110" s="185">
        <f t="shared" si="114"/>
        <v>0</v>
      </c>
      <c r="AA110" s="197">
        <f t="shared" si="115"/>
        <v>0</v>
      </c>
      <c r="AB110" s="185">
        <f t="shared" si="116"/>
        <v>0</v>
      </c>
      <c r="AC110" s="185">
        <f t="shared" si="116"/>
        <v>0</v>
      </c>
      <c r="AD110" s="185">
        <f t="shared" si="116"/>
        <v>0</v>
      </c>
      <c r="AE110" s="185">
        <f t="shared" si="117"/>
        <v>0</v>
      </c>
      <c r="AF110" s="185">
        <f t="shared" si="118"/>
        <v>0</v>
      </c>
      <c r="AG110" s="185">
        <f t="shared" si="119"/>
        <v>0</v>
      </c>
      <c r="AH110" s="185">
        <f t="shared" si="120"/>
        <v>0</v>
      </c>
      <c r="AI110" s="125">
        <f>BEL!AI110</f>
        <v>0</v>
      </c>
      <c r="AJ110" s="125">
        <f>BEL!AJ110</f>
        <v>0</v>
      </c>
      <c r="AK110" s="125">
        <f>BEL!AK110</f>
        <v>0</v>
      </c>
      <c r="AL110" s="125">
        <f>BEL!AL110</f>
        <v>0</v>
      </c>
      <c r="AM110" s="125">
        <f>BEL!AM110</f>
        <v>0</v>
      </c>
      <c r="AN110" s="125">
        <f>BEL!AN110</f>
        <v>0</v>
      </c>
      <c r="AO110" s="198">
        <f t="shared" si="121"/>
        <v>0</v>
      </c>
      <c r="AP110" s="125">
        <f>BEL!AP110</f>
        <v>0</v>
      </c>
      <c r="AQ110" s="125">
        <f>BEL!AQ110</f>
        <v>0</v>
      </c>
      <c r="AR110" s="125">
        <f>BEL!AR110</f>
        <v>0</v>
      </c>
      <c r="AS110" s="125">
        <f>BEL!AS110</f>
        <v>0</v>
      </c>
      <c r="AT110" s="125">
        <f>BEL!AT110</f>
        <v>0</v>
      </c>
      <c r="AU110" s="127">
        <f>BEL!AU110</f>
        <v>0</v>
      </c>
      <c r="AV110" s="127">
        <f>BEL!AV110</f>
        <v>0</v>
      </c>
      <c r="AW110" s="127">
        <f>BEL!AW110</f>
        <v>0</v>
      </c>
      <c r="AX110" s="127">
        <f t="shared" si="122"/>
        <v>0</v>
      </c>
      <c r="AY110" s="127">
        <f t="shared" si="123"/>
        <v>0</v>
      </c>
      <c r="AZ110" s="127">
        <f t="shared" si="124"/>
        <v>0</v>
      </c>
      <c r="BA110" s="127">
        <f t="shared" si="125"/>
        <v>0</v>
      </c>
      <c r="BB110" s="127">
        <f t="shared" si="126"/>
        <v>0</v>
      </c>
      <c r="BC110" s="127">
        <f t="shared" si="127"/>
        <v>0</v>
      </c>
      <c r="BD110" s="127">
        <f t="shared" si="128"/>
        <v>0</v>
      </c>
      <c r="BE110" s="127">
        <f t="shared" si="129"/>
        <v>0</v>
      </c>
      <c r="BF110" s="127">
        <f t="shared" si="130"/>
        <v>0</v>
      </c>
      <c r="BG110" s="127">
        <f t="shared" si="131"/>
        <v>0</v>
      </c>
      <c r="BH110" s="127">
        <f t="shared" si="132"/>
        <v>0</v>
      </c>
      <c r="BI110" s="127">
        <f t="shared" si="133"/>
        <v>0</v>
      </c>
      <c r="BJ110" s="189">
        <f t="shared" si="134"/>
        <v>0</v>
      </c>
      <c r="BK110" s="189">
        <f t="shared" si="135"/>
        <v>0</v>
      </c>
      <c r="BL110" s="192">
        <f t="shared" si="136"/>
        <v>0</v>
      </c>
      <c r="BM110" s="192">
        <f t="shared" si="137"/>
        <v>0</v>
      </c>
      <c r="BN110" s="192">
        <f t="shared" si="138"/>
        <v>0</v>
      </c>
      <c r="BO110" s="192">
        <f t="shared" si="139"/>
        <v>0</v>
      </c>
      <c r="BP110" s="192">
        <f t="shared" si="140"/>
        <v>0</v>
      </c>
      <c r="BQ110" s="193">
        <f t="shared" si="141"/>
        <v>0</v>
      </c>
      <c r="BR110" s="193">
        <f t="shared" si="142"/>
        <v>0</v>
      </c>
      <c r="BS110" s="188">
        <f t="shared" si="151"/>
        <v>0</v>
      </c>
      <c r="BT110" s="188">
        <f t="shared" si="152"/>
        <v>0</v>
      </c>
      <c r="BU110" s="188">
        <f t="shared" si="153"/>
        <v>0</v>
      </c>
      <c r="BV110" s="188">
        <f t="shared" si="154"/>
        <v>0</v>
      </c>
      <c r="BW110" s="188">
        <f t="shared" si="155"/>
        <v>0</v>
      </c>
      <c r="BX110" s="188">
        <f t="shared" si="156"/>
        <v>0</v>
      </c>
      <c r="BY110" s="188">
        <f t="shared" si="157"/>
        <v>0</v>
      </c>
      <c r="BZ110" s="188">
        <f t="shared" si="158"/>
        <v>0</v>
      </c>
      <c r="CA110" s="188">
        <f t="shared" si="159"/>
        <v>0</v>
      </c>
      <c r="CB110" s="149">
        <f t="shared" si="160"/>
        <v>0</v>
      </c>
      <c r="CC110" s="149">
        <f>CB110-BEL!CB110</f>
        <v>0</v>
      </c>
      <c r="CD110" s="189">
        <f>IF(AND(C110=0,C111=0),0,CB110/W110) - BEL!CC110</f>
        <v>0</v>
      </c>
      <c r="CF110" s="195">
        <f t="shared" si="143"/>
        <v>0</v>
      </c>
      <c r="CG110" s="127">
        <f t="shared" si="144"/>
        <v>0</v>
      </c>
      <c r="CH110" s="128">
        <f>'DATA INPUT - DETAIL'!AH101</f>
        <v>0</v>
      </c>
      <c r="CI110" s="125">
        <f t="shared" si="145"/>
        <v>0</v>
      </c>
      <c r="CJ110" s="199">
        <f t="shared" si="146"/>
        <v>0</v>
      </c>
      <c r="CL110" s="189">
        <f t="shared" si="147"/>
        <v>0</v>
      </c>
      <c r="CM110" s="149">
        <f t="shared" si="148"/>
        <v>0</v>
      </c>
      <c r="CN110" s="128">
        <f>'DATA INPUT - DETAIL'!AH101</f>
        <v>0</v>
      </c>
      <c r="CO110" s="149">
        <f t="shared" si="149"/>
        <v>0</v>
      </c>
      <c r="CP110" s="149">
        <f t="shared" si="161"/>
        <v>0</v>
      </c>
      <c r="CR110" s="126">
        <f t="shared" si="164"/>
        <v>98</v>
      </c>
      <c r="CS110" s="189">
        <f t="shared" si="165"/>
        <v>0</v>
      </c>
      <c r="CT110" s="200">
        <f>CS110/(BEL!CE110+BEL!CA110-BEL!BU110+'RA CSM'!CF110)</f>
        <v>0</v>
      </c>
      <c r="CU110" s="149">
        <f>$CT110*BEL!CH110</f>
        <v>0</v>
      </c>
      <c r="CV110" s="149">
        <f>$CT110*BEL!CI110</f>
        <v>0</v>
      </c>
      <c r="CW110" s="149">
        <f>$CT110*BEL!CJ110</f>
        <v>0</v>
      </c>
      <c r="CX110" s="149">
        <f>$CT110*BEL!CK110</f>
        <v>0</v>
      </c>
      <c r="CY110" s="149">
        <f t="shared" si="162"/>
        <v>0</v>
      </c>
      <c r="CZ110" s="149">
        <f>$CT110*(BEL!CL110+'RA CSM'!CG110)</f>
        <v>0</v>
      </c>
      <c r="DA110" s="149">
        <f t="shared" si="163"/>
        <v>0</v>
      </c>
    </row>
    <row r="111" spans="2:105" x14ac:dyDescent="0.2">
      <c r="B111" s="130">
        <f>BEL!B111</f>
        <v>0</v>
      </c>
      <c r="C111" s="130">
        <f>BEL!C111</f>
        <v>0</v>
      </c>
      <c r="D111" s="190">
        <f>BEL!D111</f>
        <v>0</v>
      </c>
      <c r="E111" s="190">
        <f>BEL!E111</f>
        <v>0</v>
      </c>
      <c r="F111" s="190">
        <f>BEL!F111</f>
        <v>0</v>
      </c>
      <c r="G111" s="190">
        <f>BEL!G111*(1+$V$5)</f>
        <v>0</v>
      </c>
      <c r="H111" s="190">
        <f>BEL!H111*(1+$V$5)</f>
        <v>0</v>
      </c>
      <c r="I111" s="179">
        <f t="shared" si="102"/>
        <v>0</v>
      </c>
      <c r="J111" s="130">
        <f>BEL!J111</f>
        <v>0</v>
      </c>
      <c r="K111" s="130">
        <f>BEL!K111</f>
        <v>0</v>
      </c>
      <c r="L111" s="130">
        <f>BEL!L111</f>
        <v>0</v>
      </c>
      <c r="M111" s="185">
        <f t="shared" si="166"/>
        <v>0</v>
      </c>
      <c r="N111" s="185">
        <f t="shared" si="103"/>
        <v>0</v>
      </c>
      <c r="O111" s="185">
        <f t="shared" si="104"/>
        <v>0</v>
      </c>
      <c r="P111" s="185">
        <f t="shared" si="105"/>
        <v>0</v>
      </c>
      <c r="Q111" s="185">
        <f t="shared" si="106"/>
        <v>0</v>
      </c>
      <c r="R111" s="185">
        <f t="shared" si="107"/>
        <v>0</v>
      </c>
      <c r="S111" s="185">
        <f t="shared" si="108"/>
        <v>0</v>
      </c>
      <c r="T111" s="185">
        <f t="shared" si="109"/>
        <v>0</v>
      </c>
      <c r="U111" s="196">
        <f>(C111&gt;0)*(C111&lt;$E$5)*VLOOKUP(MPP,ASUMSI!$BN$77:$CR$108,B111+1)*(1+$V$4)</f>
        <v>0</v>
      </c>
      <c r="V111" s="185">
        <f t="shared" si="110"/>
        <v>0</v>
      </c>
      <c r="W111" s="185">
        <f t="shared" si="111"/>
        <v>0</v>
      </c>
      <c r="X111" s="185">
        <f t="shared" si="112"/>
        <v>0</v>
      </c>
      <c r="Y111" s="185">
        <f t="shared" si="113"/>
        <v>0</v>
      </c>
      <c r="Z111" s="185">
        <f t="shared" si="114"/>
        <v>0</v>
      </c>
      <c r="AA111" s="197">
        <f t="shared" si="115"/>
        <v>0</v>
      </c>
      <c r="AB111" s="185">
        <f t="shared" si="116"/>
        <v>0</v>
      </c>
      <c r="AC111" s="185">
        <f t="shared" si="116"/>
        <v>0</v>
      </c>
      <c r="AD111" s="185">
        <f t="shared" si="116"/>
        <v>0</v>
      </c>
      <c r="AE111" s="185">
        <f t="shared" si="117"/>
        <v>0</v>
      </c>
      <c r="AF111" s="185">
        <f t="shared" si="118"/>
        <v>0</v>
      </c>
      <c r="AG111" s="185">
        <f t="shared" si="119"/>
        <v>0</v>
      </c>
      <c r="AH111" s="185">
        <f t="shared" si="120"/>
        <v>0</v>
      </c>
      <c r="AI111" s="125">
        <f>BEL!AI111</f>
        <v>0</v>
      </c>
      <c r="AJ111" s="125">
        <f>BEL!AJ111</f>
        <v>0</v>
      </c>
      <c r="AK111" s="125">
        <f>BEL!AK111</f>
        <v>0</v>
      </c>
      <c r="AL111" s="125">
        <f>BEL!AL111</f>
        <v>0</v>
      </c>
      <c r="AM111" s="125">
        <f>BEL!AM111</f>
        <v>0</v>
      </c>
      <c r="AN111" s="125">
        <f>BEL!AN111</f>
        <v>0</v>
      </c>
      <c r="AO111" s="198">
        <f t="shared" si="121"/>
        <v>0</v>
      </c>
      <c r="AP111" s="125">
        <f>BEL!AP111</f>
        <v>0</v>
      </c>
      <c r="AQ111" s="125">
        <f>BEL!AQ111</f>
        <v>0</v>
      </c>
      <c r="AR111" s="125">
        <f>BEL!AR111</f>
        <v>0</v>
      </c>
      <c r="AS111" s="125">
        <f>BEL!AS111</f>
        <v>0</v>
      </c>
      <c r="AT111" s="125">
        <f>BEL!AT111</f>
        <v>0</v>
      </c>
      <c r="AU111" s="127">
        <f>BEL!AU111</f>
        <v>0</v>
      </c>
      <c r="AV111" s="127">
        <f>BEL!AV111</f>
        <v>0</v>
      </c>
      <c r="AW111" s="127">
        <f>BEL!AW111</f>
        <v>0</v>
      </c>
      <c r="AX111" s="127">
        <f t="shared" si="122"/>
        <v>0</v>
      </c>
      <c r="AY111" s="127">
        <f t="shared" si="123"/>
        <v>0</v>
      </c>
      <c r="AZ111" s="127">
        <f t="shared" si="124"/>
        <v>0</v>
      </c>
      <c r="BA111" s="127">
        <f t="shared" si="125"/>
        <v>0</v>
      </c>
      <c r="BB111" s="127">
        <f t="shared" si="126"/>
        <v>0</v>
      </c>
      <c r="BC111" s="127">
        <f t="shared" si="127"/>
        <v>0</v>
      </c>
      <c r="BD111" s="127">
        <f t="shared" si="128"/>
        <v>0</v>
      </c>
      <c r="BE111" s="127">
        <f t="shared" si="129"/>
        <v>0</v>
      </c>
      <c r="BF111" s="127">
        <f t="shared" si="130"/>
        <v>0</v>
      </c>
      <c r="BG111" s="127">
        <f t="shared" si="131"/>
        <v>0</v>
      </c>
      <c r="BH111" s="127">
        <f t="shared" si="132"/>
        <v>0</v>
      </c>
      <c r="BI111" s="127">
        <f t="shared" si="133"/>
        <v>0</v>
      </c>
      <c r="BJ111" s="189">
        <f t="shared" si="134"/>
        <v>0</v>
      </c>
      <c r="BK111" s="189">
        <f t="shared" si="135"/>
        <v>0</v>
      </c>
      <c r="BL111" s="192">
        <f t="shared" si="136"/>
        <v>0</v>
      </c>
      <c r="BM111" s="192">
        <f t="shared" si="137"/>
        <v>0</v>
      </c>
      <c r="BN111" s="192">
        <f t="shared" si="138"/>
        <v>0</v>
      </c>
      <c r="BO111" s="192">
        <f t="shared" si="139"/>
        <v>0</v>
      </c>
      <c r="BP111" s="192">
        <f t="shared" si="140"/>
        <v>0</v>
      </c>
      <c r="BQ111" s="193">
        <f t="shared" si="141"/>
        <v>0</v>
      </c>
      <c r="BR111" s="193">
        <f t="shared" si="142"/>
        <v>0</v>
      </c>
      <c r="BS111" s="188">
        <f t="shared" si="151"/>
        <v>0</v>
      </c>
      <c r="BT111" s="188">
        <f t="shared" si="152"/>
        <v>0</v>
      </c>
      <c r="BU111" s="188">
        <f t="shared" si="153"/>
        <v>0</v>
      </c>
      <c r="BV111" s="188">
        <f t="shared" si="154"/>
        <v>0</v>
      </c>
      <c r="BW111" s="188">
        <f t="shared" si="155"/>
        <v>0</v>
      </c>
      <c r="BX111" s="188">
        <f t="shared" si="156"/>
        <v>0</v>
      </c>
      <c r="BY111" s="188">
        <f t="shared" si="157"/>
        <v>0</v>
      </c>
      <c r="BZ111" s="188">
        <f t="shared" si="158"/>
        <v>0</v>
      </c>
      <c r="CA111" s="188">
        <f t="shared" si="159"/>
        <v>0</v>
      </c>
      <c r="CB111" s="149">
        <f t="shared" si="160"/>
        <v>0</v>
      </c>
      <c r="CC111" s="149">
        <f>CB111-BEL!CB111</f>
        <v>0</v>
      </c>
      <c r="CD111" s="189">
        <f>IF(AND(C111=0,C112=0),0,CB111/W111) - BEL!CC111</f>
        <v>0</v>
      </c>
      <c r="CF111" s="195">
        <f t="shared" si="143"/>
        <v>0</v>
      </c>
      <c r="CG111" s="127">
        <f t="shared" si="144"/>
        <v>0</v>
      </c>
      <c r="CH111" s="128">
        <f>'DATA INPUT - DETAIL'!AH102</f>
        <v>0</v>
      </c>
      <c r="CI111" s="125">
        <f t="shared" si="145"/>
        <v>0</v>
      </c>
      <c r="CJ111" s="199">
        <f t="shared" si="146"/>
        <v>0</v>
      </c>
      <c r="CL111" s="189">
        <f t="shared" si="147"/>
        <v>0</v>
      </c>
      <c r="CM111" s="149">
        <f t="shared" si="148"/>
        <v>0</v>
      </c>
      <c r="CN111" s="128">
        <f>'DATA INPUT - DETAIL'!AH102</f>
        <v>0</v>
      </c>
      <c r="CO111" s="149">
        <f t="shared" si="149"/>
        <v>0</v>
      </c>
      <c r="CP111" s="149">
        <f t="shared" si="161"/>
        <v>0</v>
      </c>
      <c r="CR111" s="126">
        <f t="shared" si="164"/>
        <v>99</v>
      </c>
      <c r="CS111" s="189">
        <f t="shared" si="165"/>
        <v>0</v>
      </c>
      <c r="CT111" s="200">
        <f>CS111/(BEL!CE111+BEL!CA111-BEL!BU111+'RA CSM'!CF111)</f>
        <v>0</v>
      </c>
      <c r="CU111" s="149">
        <f>$CT111*BEL!CH111</f>
        <v>0</v>
      </c>
      <c r="CV111" s="149">
        <f>$CT111*BEL!CI111</f>
        <v>0</v>
      </c>
      <c r="CW111" s="149">
        <f>$CT111*BEL!CJ111</f>
        <v>0</v>
      </c>
      <c r="CX111" s="149">
        <f>$CT111*BEL!CK111</f>
        <v>0</v>
      </c>
      <c r="CY111" s="149">
        <f t="shared" si="162"/>
        <v>0</v>
      </c>
      <c r="CZ111" s="149">
        <f>$CT111*(BEL!CL111+'RA CSM'!CG111)</f>
        <v>0</v>
      </c>
      <c r="DA111" s="149">
        <f t="shared" si="163"/>
        <v>0</v>
      </c>
    </row>
    <row r="112" spans="2:105" x14ac:dyDescent="0.2">
      <c r="B112" s="130">
        <f>BEL!B112</f>
        <v>0</v>
      </c>
      <c r="C112" s="130">
        <f>BEL!C112</f>
        <v>0</v>
      </c>
      <c r="D112" s="190">
        <f>BEL!D112</f>
        <v>0</v>
      </c>
      <c r="E112" s="190">
        <f>BEL!E112</f>
        <v>0</v>
      </c>
      <c r="F112" s="190">
        <f>BEL!F112</f>
        <v>0</v>
      </c>
      <c r="G112" s="190">
        <f>BEL!G112*(1+$V$5)</f>
        <v>0</v>
      </c>
      <c r="H112" s="190">
        <f>BEL!H112*(1+$V$5)</f>
        <v>0</v>
      </c>
      <c r="I112" s="179">
        <f t="shared" si="102"/>
        <v>0</v>
      </c>
      <c r="J112" s="130">
        <f>BEL!J112</f>
        <v>0</v>
      </c>
      <c r="K112" s="130">
        <f>BEL!K112</f>
        <v>0</v>
      </c>
      <c r="L112" s="130">
        <f>BEL!L112</f>
        <v>0</v>
      </c>
      <c r="M112" s="185">
        <f t="shared" si="166"/>
        <v>0</v>
      </c>
      <c r="N112" s="185">
        <f t="shared" si="103"/>
        <v>0</v>
      </c>
      <c r="O112" s="185">
        <f t="shared" si="104"/>
        <v>0</v>
      </c>
      <c r="P112" s="185">
        <f t="shared" si="105"/>
        <v>0</v>
      </c>
      <c r="Q112" s="185">
        <f t="shared" si="106"/>
        <v>0</v>
      </c>
      <c r="R112" s="185">
        <f t="shared" si="107"/>
        <v>0</v>
      </c>
      <c r="S112" s="185">
        <f t="shared" si="108"/>
        <v>0</v>
      </c>
      <c r="T112" s="185">
        <f t="shared" si="109"/>
        <v>0</v>
      </c>
      <c r="U112" s="196">
        <f>(C112&gt;0)*(C112&lt;$E$5)*VLOOKUP(MPP,ASUMSI!$BN$77:$CR$108,B112+1)*(1+$V$4)</f>
        <v>0</v>
      </c>
      <c r="V112" s="185">
        <f t="shared" si="110"/>
        <v>0</v>
      </c>
      <c r="W112" s="185">
        <f t="shared" si="111"/>
        <v>0</v>
      </c>
      <c r="X112" s="185">
        <f t="shared" si="112"/>
        <v>0</v>
      </c>
      <c r="Y112" s="185">
        <f t="shared" si="113"/>
        <v>0</v>
      </c>
      <c r="Z112" s="185">
        <f t="shared" si="114"/>
        <v>0</v>
      </c>
      <c r="AA112" s="197">
        <f t="shared" si="115"/>
        <v>0</v>
      </c>
      <c r="AB112" s="185">
        <f t="shared" si="116"/>
        <v>0</v>
      </c>
      <c r="AC112" s="185">
        <f t="shared" si="116"/>
        <v>0</v>
      </c>
      <c r="AD112" s="185">
        <f t="shared" si="116"/>
        <v>0</v>
      </c>
      <c r="AE112" s="185">
        <f t="shared" si="117"/>
        <v>0</v>
      </c>
      <c r="AF112" s="185">
        <f t="shared" si="118"/>
        <v>0</v>
      </c>
      <c r="AG112" s="185">
        <f t="shared" si="119"/>
        <v>0</v>
      </c>
      <c r="AH112" s="185">
        <f t="shared" si="120"/>
        <v>0</v>
      </c>
      <c r="AI112" s="125">
        <f>BEL!AI112</f>
        <v>0</v>
      </c>
      <c r="AJ112" s="125">
        <f>BEL!AJ112</f>
        <v>0</v>
      </c>
      <c r="AK112" s="125">
        <f>BEL!AK112</f>
        <v>0</v>
      </c>
      <c r="AL112" s="125">
        <f>BEL!AL112</f>
        <v>0</v>
      </c>
      <c r="AM112" s="125">
        <f>BEL!AM112</f>
        <v>0</v>
      </c>
      <c r="AN112" s="125">
        <f>BEL!AN112</f>
        <v>0</v>
      </c>
      <c r="AO112" s="198">
        <f t="shared" si="121"/>
        <v>0</v>
      </c>
      <c r="AP112" s="125">
        <f>BEL!AP112</f>
        <v>0</v>
      </c>
      <c r="AQ112" s="125">
        <f>BEL!AQ112</f>
        <v>0</v>
      </c>
      <c r="AR112" s="125">
        <f>BEL!AR112</f>
        <v>0</v>
      </c>
      <c r="AS112" s="125">
        <f>BEL!AS112</f>
        <v>0</v>
      </c>
      <c r="AT112" s="125">
        <f>BEL!AT112</f>
        <v>0</v>
      </c>
      <c r="AU112" s="127">
        <f>BEL!AU112</f>
        <v>0</v>
      </c>
      <c r="AV112" s="127">
        <f>BEL!AV112</f>
        <v>0</v>
      </c>
      <c r="AW112" s="127">
        <f>BEL!AW112</f>
        <v>0</v>
      </c>
      <c r="AX112" s="127">
        <f t="shared" si="122"/>
        <v>0</v>
      </c>
      <c r="AY112" s="127">
        <f t="shared" si="123"/>
        <v>0</v>
      </c>
      <c r="AZ112" s="127">
        <f t="shared" si="124"/>
        <v>0</v>
      </c>
      <c r="BA112" s="127">
        <f t="shared" si="125"/>
        <v>0</v>
      </c>
      <c r="BB112" s="127">
        <f t="shared" si="126"/>
        <v>0</v>
      </c>
      <c r="BC112" s="127">
        <f t="shared" si="127"/>
        <v>0</v>
      </c>
      <c r="BD112" s="127">
        <f t="shared" si="128"/>
        <v>0</v>
      </c>
      <c r="BE112" s="127">
        <f t="shared" si="129"/>
        <v>0</v>
      </c>
      <c r="BF112" s="127">
        <f t="shared" si="130"/>
        <v>0</v>
      </c>
      <c r="BG112" s="127">
        <f t="shared" si="131"/>
        <v>0</v>
      </c>
      <c r="BH112" s="127">
        <f t="shared" si="132"/>
        <v>0</v>
      </c>
      <c r="BI112" s="127">
        <f t="shared" si="133"/>
        <v>0</v>
      </c>
      <c r="BJ112" s="189">
        <f t="shared" si="134"/>
        <v>0</v>
      </c>
      <c r="BK112" s="189">
        <f t="shared" si="135"/>
        <v>0</v>
      </c>
      <c r="BL112" s="192">
        <f t="shared" si="136"/>
        <v>0</v>
      </c>
      <c r="BM112" s="192">
        <f t="shared" si="137"/>
        <v>0</v>
      </c>
      <c r="BN112" s="192">
        <f t="shared" si="138"/>
        <v>0</v>
      </c>
      <c r="BO112" s="192">
        <f t="shared" si="139"/>
        <v>0</v>
      </c>
      <c r="BP112" s="192">
        <f t="shared" si="140"/>
        <v>0</v>
      </c>
      <c r="BQ112" s="193">
        <f t="shared" si="141"/>
        <v>0</v>
      </c>
      <c r="BR112" s="193">
        <f t="shared" si="142"/>
        <v>0</v>
      </c>
      <c r="BS112" s="188">
        <f t="shared" si="151"/>
        <v>0</v>
      </c>
      <c r="BT112" s="188">
        <f t="shared" si="152"/>
        <v>0</v>
      </c>
      <c r="BU112" s="188">
        <f t="shared" si="153"/>
        <v>0</v>
      </c>
      <c r="BV112" s="188">
        <f t="shared" si="154"/>
        <v>0</v>
      </c>
      <c r="BW112" s="188">
        <f t="shared" si="155"/>
        <v>0</v>
      </c>
      <c r="BX112" s="188">
        <f t="shared" si="156"/>
        <v>0</v>
      </c>
      <c r="BY112" s="188">
        <f t="shared" si="157"/>
        <v>0</v>
      </c>
      <c r="BZ112" s="188">
        <f t="shared" si="158"/>
        <v>0</v>
      </c>
      <c r="CA112" s="188">
        <f t="shared" si="159"/>
        <v>0</v>
      </c>
      <c r="CB112" s="149">
        <f t="shared" si="160"/>
        <v>0</v>
      </c>
      <c r="CC112" s="149">
        <f>CB112-BEL!CB112</f>
        <v>0</v>
      </c>
      <c r="CD112" s="189">
        <f>IF(AND(C112=0,C113=0),0,CB112/W112) - BEL!CC112</f>
        <v>0</v>
      </c>
      <c r="CF112" s="195">
        <f t="shared" si="143"/>
        <v>0</v>
      </c>
      <c r="CG112" s="127">
        <f t="shared" si="144"/>
        <v>0</v>
      </c>
      <c r="CH112" s="128">
        <f>'DATA INPUT - DETAIL'!AH103</f>
        <v>0</v>
      </c>
      <c r="CI112" s="125">
        <f t="shared" si="145"/>
        <v>0</v>
      </c>
      <c r="CJ112" s="199">
        <f t="shared" si="146"/>
        <v>0</v>
      </c>
      <c r="CL112" s="189">
        <f t="shared" si="147"/>
        <v>0</v>
      </c>
      <c r="CM112" s="149">
        <f t="shared" si="148"/>
        <v>0</v>
      </c>
      <c r="CN112" s="128">
        <f>'DATA INPUT - DETAIL'!AH103</f>
        <v>0</v>
      </c>
      <c r="CO112" s="149">
        <f t="shared" si="149"/>
        <v>0</v>
      </c>
      <c r="CP112" s="149">
        <f t="shared" si="161"/>
        <v>0</v>
      </c>
      <c r="CR112" s="126">
        <f t="shared" si="164"/>
        <v>100</v>
      </c>
      <c r="CS112" s="189">
        <f t="shared" si="165"/>
        <v>0</v>
      </c>
      <c r="CT112" s="200">
        <f>CS112/(BEL!CE112+BEL!CA112-BEL!BU112+'RA CSM'!CF112)</f>
        <v>0</v>
      </c>
      <c r="CU112" s="149">
        <f>$CT112*BEL!CH112</f>
        <v>0</v>
      </c>
      <c r="CV112" s="149">
        <f>$CT112*BEL!CI112</f>
        <v>0</v>
      </c>
      <c r="CW112" s="149">
        <f>$CT112*BEL!CJ112</f>
        <v>0</v>
      </c>
      <c r="CX112" s="149">
        <f>$CT112*BEL!CK112</f>
        <v>0</v>
      </c>
      <c r="CY112" s="149">
        <f t="shared" si="162"/>
        <v>0</v>
      </c>
      <c r="CZ112" s="149">
        <f>$CT112*(BEL!CL112+'RA CSM'!CG112)</f>
        <v>0</v>
      </c>
      <c r="DA112" s="149">
        <f t="shared" si="163"/>
        <v>0</v>
      </c>
    </row>
    <row r="113" spans="2:105" x14ac:dyDescent="0.2">
      <c r="B113" s="130">
        <f>BEL!B113</f>
        <v>0</v>
      </c>
      <c r="C113" s="130">
        <f>BEL!C113</f>
        <v>0</v>
      </c>
      <c r="D113" s="190">
        <f>BEL!D113</f>
        <v>0</v>
      </c>
      <c r="E113" s="190">
        <f>BEL!E113</f>
        <v>0</v>
      </c>
      <c r="F113" s="190">
        <f>BEL!F113</f>
        <v>0</v>
      </c>
      <c r="G113" s="190">
        <f>BEL!G113*(1+$V$5)</f>
        <v>0</v>
      </c>
      <c r="H113" s="190">
        <f>BEL!H113*(1+$V$5)</f>
        <v>0</v>
      </c>
      <c r="I113" s="179">
        <f t="shared" si="102"/>
        <v>0</v>
      </c>
      <c r="J113" s="130">
        <f>BEL!J113</f>
        <v>0</v>
      </c>
      <c r="K113" s="130">
        <f>BEL!K113</f>
        <v>0</v>
      </c>
      <c r="L113" s="130">
        <f>BEL!L113</f>
        <v>0</v>
      </c>
      <c r="M113" s="185">
        <f t="shared" si="166"/>
        <v>0</v>
      </c>
      <c r="N113" s="185">
        <f t="shared" si="103"/>
        <v>0</v>
      </c>
      <c r="O113" s="185">
        <f t="shared" si="104"/>
        <v>0</v>
      </c>
      <c r="P113" s="185">
        <f t="shared" si="105"/>
        <v>0</v>
      </c>
      <c r="Q113" s="185">
        <f t="shared" si="106"/>
        <v>0</v>
      </c>
      <c r="R113" s="185">
        <f t="shared" si="107"/>
        <v>0</v>
      </c>
      <c r="S113" s="185">
        <f t="shared" si="108"/>
        <v>0</v>
      </c>
      <c r="T113" s="185">
        <f t="shared" si="109"/>
        <v>0</v>
      </c>
      <c r="U113" s="196">
        <f>(C113&gt;0)*(C113&lt;$E$5)*VLOOKUP(MPP,ASUMSI!$BN$77:$CR$108,B113+1)*(1+$V$4)</f>
        <v>0</v>
      </c>
      <c r="V113" s="185">
        <f t="shared" si="110"/>
        <v>0</v>
      </c>
      <c r="W113" s="185">
        <f t="shared" si="111"/>
        <v>0</v>
      </c>
      <c r="X113" s="185">
        <f t="shared" si="112"/>
        <v>0</v>
      </c>
      <c r="Y113" s="185">
        <f t="shared" si="113"/>
        <v>0</v>
      </c>
      <c r="Z113" s="185">
        <f t="shared" si="114"/>
        <v>0</v>
      </c>
      <c r="AA113" s="197">
        <f t="shared" si="115"/>
        <v>0</v>
      </c>
      <c r="AB113" s="185">
        <f t="shared" si="116"/>
        <v>0</v>
      </c>
      <c r="AC113" s="185">
        <f t="shared" si="116"/>
        <v>0</v>
      </c>
      <c r="AD113" s="185">
        <f t="shared" si="116"/>
        <v>0</v>
      </c>
      <c r="AE113" s="185">
        <f t="shared" si="117"/>
        <v>0</v>
      </c>
      <c r="AF113" s="185">
        <f t="shared" si="118"/>
        <v>0</v>
      </c>
      <c r="AG113" s="185">
        <f t="shared" si="119"/>
        <v>0</v>
      </c>
      <c r="AH113" s="185">
        <f t="shared" si="120"/>
        <v>0</v>
      </c>
      <c r="AI113" s="125">
        <f>BEL!AI113</f>
        <v>0</v>
      </c>
      <c r="AJ113" s="125">
        <f>BEL!AJ113</f>
        <v>0</v>
      </c>
      <c r="AK113" s="125">
        <f>BEL!AK113</f>
        <v>0</v>
      </c>
      <c r="AL113" s="125">
        <f>BEL!AL113</f>
        <v>0</v>
      </c>
      <c r="AM113" s="125">
        <f>BEL!AM113</f>
        <v>0</v>
      </c>
      <c r="AN113" s="125">
        <f>BEL!AN113</f>
        <v>0</v>
      </c>
      <c r="AO113" s="198">
        <f t="shared" si="121"/>
        <v>0</v>
      </c>
      <c r="AP113" s="125">
        <f>BEL!AP113</f>
        <v>0</v>
      </c>
      <c r="AQ113" s="125">
        <f>BEL!AQ113</f>
        <v>0</v>
      </c>
      <c r="AR113" s="125">
        <f>BEL!AR113</f>
        <v>0</v>
      </c>
      <c r="AS113" s="125">
        <f>BEL!AS113</f>
        <v>0</v>
      </c>
      <c r="AT113" s="125">
        <f>BEL!AT113</f>
        <v>0</v>
      </c>
      <c r="AU113" s="127">
        <f>BEL!AU113</f>
        <v>0</v>
      </c>
      <c r="AV113" s="127">
        <f>BEL!AV113</f>
        <v>0</v>
      </c>
      <c r="AW113" s="127">
        <f>BEL!AW113</f>
        <v>0</v>
      </c>
      <c r="AX113" s="127">
        <f t="shared" si="122"/>
        <v>0</v>
      </c>
      <c r="AY113" s="127">
        <f t="shared" si="123"/>
        <v>0</v>
      </c>
      <c r="AZ113" s="127">
        <f t="shared" si="124"/>
        <v>0</v>
      </c>
      <c r="BA113" s="127">
        <f t="shared" si="125"/>
        <v>0</v>
      </c>
      <c r="BB113" s="127">
        <f t="shared" si="126"/>
        <v>0</v>
      </c>
      <c r="BC113" s="127">
        <f t="shared" si="127"/>
        <v>0</v>
      </c>
      <c r="BD113" s="127">
        <f t="shared" si="128"/>
        <v>0</v>
      </c>
      <c r="BE113" s="127">
        <f t="shared" si="129"/>
        <v>0</v>
      </c>
      <c r="BF113" s="127">
        <f t="shared" si="130"/>
        <v>0</v>
      </c>
      <c r="BG113" s="127">
        <f t="shared" si="131"/>
        <v>0</v>
      </c>
      <c r="BH113" s="127">
        <f t="shared" si="132"/>
        <v>0</v>
      </c>
      <c r="BI113" s="127">
        <f t="shared" si="133"/>
        <v>0</v>
      </c>
      <c r="BJ113" s="189">
        <f t="shared" si="134"/>
        <v>0</v>
      </c>
      <c r="BK113" s="189">
        <f t="shared" si="135"/>
        <v>0</v>
      </c>
      <c r="BL113" s="192">
        <f t="shared" si="136"/>
        <v>0</v>
      </c>
      <c r="BM113" s="192">
        <f t="shared" si="137"/>
        <v>0</v>
      </c>
      <c r="BN113" s="192">
        <f t="shared" si="138"/>
        <v>0</v>
      </c>
      <c r="BO113" s="192">
        <f t="shared" si="139"/>
        <v>0</v>
      </c>
      <c r="BP113" s="192">
        <f t="shared" si="140"/>
        <v>0</v>
      </c>
      <c r="BQ113" s="193">
        <f t="shared" si="141"/>
        <v>0</v>
      </c>
      <c r="BR113" s="193">
        <f t="shared" si="142"/>
        <v>0</v>
      </c>
      <c r="BS113" s="188">
        <f t="shared" si="151"/>
        <v>0</v>
      </c>
      <c r="BT113" s="188">
        <f t="shared" si="152"/>
        <v>0</v>
      </c>
      <c r="BU113" s="188">
        <f t="shared" si="153"/>
        <v>0</v>
      </c>
      <c r="BV113" s="188">
        <f t="shared" si="154"/>
        <v>0</v>
      </c>
      <c r="BW113" s="188">
        <f t="shared" si="155"/>
        <v>0</v>
      </c>
      <c r="BX113" s="188">
        <f t="shared" si="156"/>
        <v>0</v>
      </c>
      <c r="BY113" s="188">
        <f t="shared" si="157"/>
        <v>0</v>
      </c>
      <c r="BZ113" s="188">
        <f t="shared" si="158"/>
        <v>0</v>
      </c>
      <c r="CA113" s="188">
        <f t="shared" si="159"/>
        <v>0</v>
      </c>
      <c r="CB113" s="149">
        <f t="shared" si="160"/>
        <v>0</v>
      </c>
      <c r="CC113" s="149">
        <f>CB113-BEL!CB113</f>
        <v>0</v>
      </c>
      <c r="CD113" s="189">
        <f>IF(AND(C113=0,C114=0),0,CB113/W113) - BEL!CC113</f>
        <v>0</v>
      </c>
      <c r="CF113" s="195">
        <f t="shared" si="143"/>
        <v>0</v>
      </c>
      <c r="CG113" s="127">
        <f t="shared" si="144"/>
        <v>0</v>
      </c>
      <c r="CH113" s="128">
        <f>'DATA INPUT - DETAIL'!AH104</f>
        <v>0</v>
      </c>
      <c r="CI113" s="125">
        <f t="shared" si="145"/>
        <v>0</v>
      </c>
      <c r="CJ113" s="199">
        <f t="shared" si="146"/>
        <v>0</v>
      </c>
      <c r="CL113" s="189">
        <f t="shared" si="147"/>
        <v>0</v>
      </c>
      <c r="CM113" s="149">
        <f t="shared" si="148"/>
        <v>0</v>
      </c>
      <c r="CN113" s="128">
        <f>'DATA INPUT - DETAIL'!AH104</f>
        <v>0</v>
      </c>
      <c r="CO113" s="149">
        <f t="shared" si="149"/>
        <v>0</v>
      </c>
      <c r="CP113" s="149">
        <f t="shared" si="161"/>
        <v>0</v>
      </c>
      <c r="CR113" s="126">
        <f t="shared" si="164"/>
        <v>101</v>
      </c>
      <c r="CS113" s="189">
        <f t="shared" si="165"/>
        <v>0</v>
      </c>
      <c r="CT113" s="200">
        <f>CS113/(BEL!CE113+BEL!CA113-BEL!BU113+'RA CSM'!CF113)</f>
        <v>0</v>
      </c>
      <c r="CU113" s="149">
        <f>$CT113*BEL!CH113</f>
        <v>0</v>
      </c>
      <c r="CV113" s="149">
        <f>$CT113*BEL!CI113</f>
        <v>0</v>
      </c>
      <c r="CW113" s="149">
        <f>$CT113*BEL!CJ113</f>
        <v>0</v>
      </c>
      <c r="CX113" s="149">
        <f>$CT113*BEL!CK113</f>
        <v>0</v>
      </c>
      <c r="CY113" s="149">
        <f t="shared" si="162"/>
        <v>0</v>
      </c>
      <c r="CZ113" s="149">
        <f>$CT113*(BEL!CL113+'RA CSM'!CG113)</f>
        <v>0</v>
      </c>
      <c r="DA113" s="149">
        <f t="shared" si="163"/>
        <v>0</v>
      </c>
    </row>
    <row r="114" spans="2:105" x14ac:dyDescent="0.2">
      <c r="B114" s="130">
        <f>BEL!B114</f>
        <v>0</v>
      </c>
      <c r="C114" s="130">
        <f>BEL!C114</f>
        <v>0</v>
      </c>
      <c r="D114" s="190">
        <f>BEL!D114</f>
        <v>0</v>
      </c>
      <c r="E114" s="190">
        <f>BEL!E114</f>
        <v>0</v>
      </c>
      <c r="F114" s="190">
        <f>BEL!F114</f>
        <v>0</v>
      </c>
      <c r="G114" s="190">
        <f>BEL!G114*(1+$V$5)</f>
        <v>0</v>
      </c>
      <c r="H114" s="190">
        <f>BEL!H114*(1+$V$5)</f>
        <v>0</v>
      </c>
      <c r="I114" s="179">
        <f t="shared" si="102"/>
        <v>0</v>
      </c>
      <c r="J114" s="130">
        <f>BEL!J114</f>
        <v>0</v>
      </c>
      <c r="K114" s="130">
        <f>BEL!K114</f>
        <v>0</v>
      </c>
      <c r="L114" s="130">
        <f>BEL!L114</f>
        <v>0</v>
      </c>
      <c r="M114" s="185">
        <f t="shared" si="166"/>
        <v>0</v>
      </c>
      <c r="N114" s="185">
        <f t="shared" si="103"/>
        <v>0</v>
      </c>
      <c r="O114" s="185">
        <f t="shared" si="104"/>
        <v>0</v>
      </c>
      <c r="P114" s="185">
        <f t="shared" si="105"/>
        <v>0</v>
      </c>
      <c r="Q114" s="185">
        <f t="shared" si="106"/>
        <v>0</v>
      </c>
      <c r="R114" s="185">
        <f t="shared" si="107"/>
        <v>0</v>
      </c>
      <c r="S114" s="185">
        <f t="shared" si="108"/>
        <v>0</v>
      </c>
      <c r="T114" s="185">
        <f t="shared" si="109"/>
        <v>0</v>
      </c>
      <c r="U114" s="196">
        <f>(C114&gt;0)*(C114&lt;$E$5)*VLOOKUP(MPP,ASUMSI!$BN$77:$CR$108,B114+1)*(1+$V$4)</f>
        <v>0</v>
      </c>
      <c r="V114" s="185">
        <f t="shared" si="110"/>
        <v>0</v>
      </c>
      <c r="W114" s="185">
        <f t="shared" si="111"/>
        <v>0</v>
      </c>
      <c r="X114" s="185">
        <f t="shared" si="112"/>
        <v>0</v>
      </c>
      <c r="Y114" s="185">
        <f t="shared" si="113"/>
        <v>0</v>
      </c>
      <c r="Z114" s="185">
        <f t="shared" si="114"/>
        <v>0</v>
      </c>
      <c r="AA114" s="197">
        <f t="shared" si="115"/>
        <v>0</v>
      </c>
      <c r="AB114" s="185">
        <f t="shared" si="116"/>
        <v>0</v>
      </c>
      <c r="AC114" s="185">
        <f t="shared" si="116"/>
        <v>0</v>
      </c>
      <c r="AD114" s="185">
        <f t="shared" si="116"/>
        <v>0</v>
      </c>
      <c r="AE114" s="185">
        <f t="shared" si="117"/>
        <v>0</v>
      </c>
      <c r="AF114" s="185">
        <f t="shared" si="118"/>
        <v>0</v>
      </c>
      <c r="AG114" s="185">
        <f t="shared" si="119"/>
        <v>0</v>
      </c>
      <c r="AH114" s="185">
        <f t="shared" si="120"/>
        <v>0</v>
      </c>
      <c r="AI114" s="125">
        <f>BEL!AI114</f>
        <v>0</v>
      </c>
      <c r="AJ114" s="125">
        <f>BEL!AJ114</f>
        <v>0</v>
      </c>
      <c r="AK114" s="125">
        <f>BEL!AK114</f>
        <v>0</v>
      </c>
      <c r="AL114" s="125">
        <f>BEL!AL114</f>
        <v>0</v>
      </c>
      <c r="AM114" s="125">
        <f>BEL!AM114</f>
        <v>0</v>
      </c>
      <c r="AN114" s="125">
        <f>BEL!AN114</f>
        <v>0</v>
      </c>
      <c r="AO114" s="198">
        <f t="shared" si="121"/>
        <v>0</v>
      </c>
      <c r="AP114" s="125">
        <f>BEL!AP114</f>
        <v>0</v>
      </c>
      <c r="AQ114" s="125">
        <f>BEL!AQ114</f>
        <v>0</v>
      </c>
      <c r="AR114" s="125">
        <f>BEL!AR114</f>
        <v>0</v>
      </c>
      <c r="AS114" s="125">
        <f>BEL!AS114</f>
        <v>0</v>
      </c>
      <c r="AT114" s="125">
        <f>BEL!AT114</f>
        <v>0</v>
      </c>
      <c r="AU114" s="127">
        <f>BEL!AU114</f>
        <v>0</v>
      </c>
      <c r="AV114" s="127">
        <f>BEL!AV114</f>
        <v>0</v>
      </c>
      <c r="AW114" s="127">
        <f>BEL!AW114</f>
        <v>0</v>
      </c>
      <c r="AX114" s="127">
        <f t="shared" si="122"/>
        <v>0</v>
      </c>
      <c r="AY114" s="127">
        <f t="shared" si="123"/>
        <v>0</v>
      </c>
      <c r="AZ114" s="127">
        <f t="shared" si="124"/>
        <v>0</v>
      </c>
      <c r="BA114" s="127">
        <f t="shared" si="125"/>
        <v>0</v>
      </c>
      <c r="BB114" s="127">
        <f t="shared" si="126"/>
        <v>0</v>
      </c>
      <c r="BC114" s="127">
        <f t="shared" si="127"/>
        <v>0</v>
      </c>
      <c r="BD114" s="127">
        <f t="shared" si="128"/>
        <v>0</v>
      </c>
      <c r="BE114" s="127">
        <f t="shared" si="129"/>
        <v>0</v>
      </c>
      <c r="BF114" s="127">
        <f t="shared" si="130"/>
        <v>0</v>
      </c>
      <c r="BG114" s="127">
        <f t="shared" si="131"/>
        <v>0</v>
      </c>
      <c r="BH114" s="127">
        <f t="shared" si="132"/>
        <v>0</v>
      </c>
      <c r="BI114" s="127">
        <f t="shared" si="133"/>
        <v>0</v>
      </c>
      <c r="BJ114" s="189">
        <f t="shared" si="134"/>
        <v>0</v>
      </c>
      <c r="BK114" s="189">
        <f t="shared" si="135"/>
        <v>0</v>
      </c>
      <c r="BL114" s="192">
        <f t="shared" si="136"/>
        <v>0</v>
      </c>
      <c r="BM114" s="192">
        <f t="shared" si="137"/>
        <v>0</v>
      </c>
      <c r="BN114" s="192">
        <f t="shared" si="138"/>
        <v>0</v>
      </c>
      <c r="BO114" s="192">
        <f t="shared" si="139"/>
        <v>0</v>
      </c>
      <c r="BP114" s="192">
        <f t="shared" si="140"/>
        <v>0</v>
      </c>
      <c r="BQ114" s="193">
        <f t="shared" si="141"/>
        <v>0</v>
      </c>
      <c r="BR114" s="193">
        <f t="shared" si="142"/>
        <v>0</v>
      </c>
      <c r="BS114" s="188">
        <f t="shared" si="151"/>
        <v>0</v>
      </c>
      <c r="BT114" s="188">
        <f t="shared" si="152"/>
        <v>0</v>
      </c>
      <c r="BU114" s="188">
        <f t="shared" si="153"/>
        <v>0</v>
      </c>
      <c r="BV114" s="188">
        <f t="shared" si="154"/>
        <v>0</v>
      </c>
      <c r="BW114" s="188">
        <f t="shared" si="155"/>
        <v>0</v>
      </c>
      <c r="BX114" s="188">
        <f t="shared" si="156"/>
        <v>0</v>
      </c>
      <c r="BY114" s="188">
        <f t="shared" si="157"/>
        <v>0</v>
      </c>
      <c r="BZ114" s="188">
        <f t="shared" si="158"/>
        <v>0</v>
      </c>
      <c r="CA114" s="188">
        <f t="shared" si="159"/>
        <v>0</v>
      </c>
      <c r="CB114" s="149">
        <f t="shared" si="160"/>
        <v>0</v>
      </c>
      <c r="CC114" s="149">
        <f>CB114-BEL!CB114</f>
        <v>0</v>
      </c>
      <c r="CD114" s="189">
        <f>IF(AND(C114=0,C115=0),0,CB114/W114) - BEL!CC114</f>
        <v>0</v>
      </c>
      <c r="CF114" s="195">
        <f t="shared" si="143"/>
        <v>0</v>
      </c>
      <c r="CG114" s="127">
        <f t="shared" si="144"/>
        <v>0</v>
      </c>
      <c r="CH114" s="128">
        <f>'DATA INPUT - DETAIL'!AH105</f>
        <v>0</v>
      </c>
      <c r="CI114" s="125">
        <f t="shared" si="145"/>
        <v>0</v>
      </c>
      <c r="CJ114" s="199">
        <f t="shared" si="146"/>
        <v>0</v>
      </c>
      <c r="CL114" s="189">
        <f t="shared" si="147"/>
        <v>0</v>
      </c>
      <c r="CM114" s="149">
        <f t="shared" si="148"/>
        <v>0</v>
      </c>
      <c r="CN114" s="128">
        <f>'DATA INPUT - DETAIL'!AH105</f>
        <v>0</v>
      </c>
      <c r="CO114" s="149">
        <f t="shared" si="149"/>
        <v>0</v>
      </c>
      <c r="CP114" s="149">
        <f t="shared" si="161"/>
        <v>0</v>
      </c>
      <c r="CR114" s="126">
        <f t="shared" si="164"/>
        <v>102</v>
      </c>
      <c r="CS114" s="189">
        <f t="shared" si="165"/>
        <v>0</v>
      </c>
      <c r="CT114" s="200">
        <f>CS114/(BEL!CE114+BEL!CA114-BEL!BU114+'RA CSM'!CF114)</f>
        <v>0</v>
      </c>
      <c r="CU114" s="149">
        <f>$CT114*BEL!CH114</f>
        <v>0</v>
      </c>
      <c r="CV114" s="149">
        <f>$CT114*BEL!CI114</f>
        <v>0</v>
      </c>
      <c r="CW114" s="149">
        <f>$CT114*BEL!CJ114</f>
        <v>0</v>
      </c>
      <c r="CX114" s="149">
        <f>$CT114*BEL!CK114</f>
        <v>0</v>
      </c>
      <c r="CY114" s="149">
        <f t="shared" si="162"/>
        <v>0</v>
      </c>
      <c r="CZ114" s="149">
        <f>$CT114*(BEL!CL114+'RA CSM'!CG114)</f>
        <v>0</v>
      </c>
      <c r="DA114" s="149">
        <f t="shared" si="163"/>
        <v>0</v>
      </c>
    </row>
    <row r="115" spans="2:105" x14ac:dyDescent="0.2">
      <c r="B115" s="130">
        <f>BEL!B115</f>
        <v>0</v>
      </c>
      <c r="C115" s="130">
        <f>BEL!C115</f>
        <v>0</v>
      </c>
      <c r="D115" s="190">
        <f>BEL!D115</f>
        <v>0</v>
      </c>
      <c r="E115" s="190">
        <f>BEL!E115</f>
        <v>0</v>
      </c>
      <c r="F115" s="190">
        <f>BEL!F115</f>
        <v>0</v>
      </c>
      <c r="G115" s="190">
        <f>BEL!G115*(1+$V$5)</f>
        <v>0</v>
      </c>
      <c r="H115" s="190">
        <f>BEL!H115*(1+$V$5)</f>
        <v>0</v>
      </c>
      <c r="I115" s="179">
        <f t="shared" si="102"/>
        <v>0</v>
      </c>
      <c r="J115" s="130">
        <f>BEL!J115</f>
        <v>0</v>
      </c>
      <c r="K115" s="130">
        <f>BEL!K115</f>
        <v>0</v>
      </c>
      <c r="L115" s="130">
        <f>BEL!L115</f>
        <v>0</v>
      </c>
      <c r="M115" s="185">
        <f t="shared" si="166"/>
        <v>0</v>
      </c>
      <c r="N115" s="185">
        <f t="shared" si="103"/>
        <v>0</v>
      </c>
      <c r="O115" s="185">
        <f t="shared" si="104"/>
        <v>0</v>
      </c>
      <c r="P115" s="185">
        <f t="shared" si="105"/>
        <v>0</v>
      </c>
      <c r="Q115" s="185">
        <f t="shared" si="106"/>
        <v>0</v>
      </c>
      <c r="R115" s="185">
        <f t="shared" si="107"/>
        <v>0</v>
      </c>
      <c r="S115" s="185">
        <f t="shared" si="108"/>
        <v>0</v>
      </c>
      <c r="T115" s="185">
        <f t="shared" si="109"/>
        <v>0</v>
      </c>
      <c r="U115" s="196">
        <f>(C115&gt;0)*(C115&lt;$E$5)*VLOOKUP(MPP,ASUMSI!$BN$77:$CR$108,B115+1)*(1+$V$4)</f>
        <v>0</v>
      </c>
      <c r="V115" s="185">
        <f t="shared" si="110"/>
        <v>0</v>
      </c>
      <c r="W115" s="185">
        <f t="shared" si="111"/>
        <v>0</v>
      </c>
      <c r="X115" s="185">
        <f t="shared" si="112"/>
        <v>0</v>
      </c>
      <c r="Y115" s="185">
        <f t="shared" si="113"/>
        <v>0</v>
      </c>
      <c r="Z115" s="185">
        <f t="shared" si="114"/>
        <v>0</v>
      </c>
      <c r="AA115" s="197">
        <f t="shared" si="115"/>
        <v>0</v>
      </c>
      <c r="AB115" s="185">
        <f t="shared" si="116"/>
        <v>0</v>
      </c>
      <c r="AC115" s="185">
        <f t="shared" si="116"/>
        <v>0</v>
      </c>
      <c r="AD115" s="185">
        <f t="shared" si="116"/>
        <v>0</v>
      </c>
      <c r="AE115" s="185">
        <f t="shared" si="117"/>
        <v>0</v>
      </c>
      <c r="AF115" s="185">
        <f t="shared" si="118"/>
        <v>0</v>
      </c>
      <c r="AG115" s="185">
        <f t="shared" si="119"/>
        <v>0</v>
      </c>
      <c r="AH115" s="185">
        <f t="shared" si="120"/>
        <v>0</v>
      </c>
      <c r="AI115" s="125">
        <f>BEL!AI115</f>
        <v>0</v>
      </c>
      <c r="AJ115" s="125">
        <f>BEL!AJ115</f>
        <v>0</v>
      </c>
      <c r="AK115" s="125">
        <f>BEL!AK115</f>
        <v>0</v>
      </c>
      <c r="AL115" s="125">
        <f>BEL!AL115</f>
        <v>0</v>
      </c>
      <c r="AM115" s="125">
        <f>BEL!AM115</f>
        <v>0</v>
      </c>
      <c r="AN115" s="125">
        <f>BEL!AN115</f>
        <v>0</v>
      </c>
      <c r="AO115" s="198">
        <f t="shared" si="121"/>
        <v>0</v>
      </c>
      <c r="AP115" s="125">
        <f>BEL!AP115</f>
        <v>0</v>
      </c>
      <c r="AQ115" s="125">
        <f>BEL!AQ115</f>
        <v>0</v>
      </c>
      <c r="AR115" s="125">
        <f>BEL!AR115</f>
        <v>0</v>
      </c>
      <c r="AS115" s="125">
        <f>BEL!AS115</f>
        <v>0</v>
      </c>
      <c r="AT115" s="125">
        <f>BEL!AT115</f>
        <v>0</v>
      </c>
      <c r="AU115" s="127">
        <f>BEL!AU115</f>
        <v>0</v>
      </c>
      <c r="AV115" s="127">
        <f>BEL!AV115</f>
        <v>0</v>
      </c>
      <c r="AW115" s="127">
        <f>BEL!AW115</f>
        <v>0</v>
      </c>
      <c r="AX115" s="127">
        <f t="shared" si="122"/>
        <v>0</v>
      </c>
      <c r="AY115" s="127">
        <f t="shared" si="123"/>
        <v>0</v>
      </c>
      <c r="AZ115" s="127">
        <f t="shared" si="124"/>
        <v>0</v>
      </c>
      <c r="BA115" s="127">
        <f t="shared" si="125"/>
        <v>0</v>
      </c>
      <c r="BB115" s="127">
        <f t="shared" si="126"/>
        <v>0</v>
      </c>
      <c r="BC115" s="127">
        <f t="shared" si="127"/>
        <v>0</v>
      </c>
      <c r="BD115" s="127">
        <f t="shared" si="128"/>
        <v>0</v>
      </c>
      <c r="BE115" s="127">
        <f t="shared" si="129"/>
        <v>0</v>
      </c>
      <c r="BF115" s="127">
        <f t="shared" si="130"/>
        <v>0</v>
      </c>
      <c r="BG115" s="127">
        <f t="shared" si="131"/>
        <v>0</v>
      </c>
      <c r="BH115" s="127">
        <f t="shared" si="132"/>
        <v>0</v>
      </c>
      <c r="BI115" s="127">
        <f t="shared" si="133"/>
        <v>0</v>
      </c>
      <c r="BJ115" s="189">
        <f t="shared" si="134"/>
        <v>0</v>
      </c>
      <c r="BK115" s="189">
        <f t="shared" si="135"/>
        <v>0</v>
      </c>
      <c r="BL115" s="192">
        <f t="shared" si="136"/>
        <v>0</v>
      </c>
      <c r="BM115" s="192">
        <f t="shared" si="137"/>
        <v>0</v>
      </c>
      <c r="BN115" s="192">
        <f t="shared" si="138"/>
        <v>0</v>
      </c>
      <c r="BO115" s="192">
        <f t="shared" si="139"/>
        <v>0</v>
      </c>
      <c r="BP115" s="192">
        <f t="shared" si="140"/>
        <v>0</v>
      </c>
      <c r="BQ115" s="193">
        <f t="shared" si="141"/>
        <v>0</v>
      </c>
      <c r="BR115" s="193">
        <f t="shared" si="142"/>
        <v>0</v>
      </c>
      <c r="BS115" s="188">
        <f t="shared" si="151"/>
        <v>0</v>
      </c>
      <c r="BT115" s="188">
        <f t="shared" si="152"/>
        <v>0</v>
      </c>
      <c r="BU115" s="188">
        <f t="shared" si="153"/>
        <v>0</v>
      </c>
      <c r="BV115" s="188">
        <f t="shared" si="154"/>
        <v>0</v>
      </c>
      <c r="BW115" s="188">
        <f t="shared" si="155"/>
        <v>0</v>
      </c>
      <c r="BX115" s="188">
        <f t="shared" si="156"/>
        <v>0</v>
      </c>
      <c r="BY115" s="188">
        <f t="shared" si="157"/>
        <v>0</v>
      </c>
      <c r="BZ115" s="188">
        <f t="shared" si="158"/>
        <v>0</v>
      </c>
      <c r="CA115" s="188">
        <f t="shared" si="159"/>
        <v>0</v>
      </c>
      <c r="CB115" s="149">
        <f t="shared" si="160"/>
        <v>0</v>
      </c>
      <c r="CC115" s="149">
        <f>CB115-BEL!CB115</f>
        <v>0</v>
      </c>
      <c r="CD115" s="189">
        <f>IF(AND(C115=0,C116=0),0,CB115/W115) - BEL!CC115</f>
        <v>0</v>
      </c>
      <c r="CF115" s="195">
        <f t="shared" si="143"/>
        <v>0</v>
      </c>
      <c r="CG115" s="127">
        <f t="shared" si="144"/>
        <v>0</v>
      </c>
      <c r="CH115" s="128">
        <f>'DATA INPUT - DETAIL'!AH106</f>
        <v>0</v>
      </c>
      <c r="CI115" s="125">
        <f t="shared" si="145"/>
        <v>0</v>
      </c>
      <c r="CJ115" s="199">
        <f t="shared" si="146"/>
        <v>0</v>
      </c>
      <c r="CL115" s="189">
        <f t="shared" si="147"/>
        <v>0</v>
      </c>
      <c r="CM115" s="149">
        <f t="shared" si="148"/>
        <v>0</v>
      </c>
      <c r="CN115" s="128">
        <f>'DATA INPUT - DETAIL'!AH106</f>
        <v>0</v>
      </c>
      <c r="CO115" s="149">
        <f t="shared" si="149"/>
        <v>0</v>
      </c>
      <c r="CP115" s="149">
        <f t="shared" si="161"/>
        <v>0</v>
      </c>
      <c r="CR115" s="126">
        <f t="shared" si="164"/>
        <v>103</v>
      </c>
      <c r="CS115" s="189">
        <f t="shared" si="165"/>
        <v>0</v>
      </c>
      <c r="CT115" s="200">
        <f>CS115/(BEL!CE115+BEL!CA115-BEL!BU115+'RA CSM'!CF115)</f>
        <v>0</v>
      </c>
      <c r="CU115" s="149">
        <f>$CT115*BEL!CH115</f>
        <v>0</v>
      </c>
      <c r="CV115" s="149">
        <f>$CT115*BEL!CI115</f>
        <v>0</v>
      </c>
      <c r="CW115" s="149">
        <f>$CT115*BEL!CJ115</f>
        <v>0</v>
      </c>
      <c r="CX115" s="149">
        <f>$CT115*BEL!CK115</f>
        <v>0</v>
      </c>
      <c r="CY115" s="149">
        <f t="shared" si="162"/>
        <v>0</v>
      </c>
      <c r="CZ115" s="149">
        <f>$CT115*(BEL!CL115+'RA CSM'!CG115)</f>
        <v>0</v>
      </c>
      <c r="DA115" s="149">
        <f t="shared" si="163"/>
        <v>0</v>
      </c>
    </row>
    <row r="116" spans="2:105" x14ac:dyDescent="0.2">
      <c r="B116" s="130">
        <f>BEL!B116</f>
        <v>0</v>
      </c>
      <c r="C116" s="130">
        <f>BEL!C116</f>
        <v>0</v>
      </c>
      <c r="D116" s="190">
        <f>BEL!D116</f>
        <v>0</v>
      </c>
      <c r="E116" s="190">
        <f>BEL!E116</f>
        <v>0</v>
      </c>
      <c r="F116" s="190">
        <f>BEL!F116</f>
        <v>0</v>
      </c>
      <c r="G116" s="190">
        <f>BEL!G116*(1+$V$5)</f>
        <v>0</v>
      </c>
      <c r="H116" s="190">
        <f>BEL!H116*(1+$V$5)</f>
        <v>0</v>
      </c>
      <c r="I116" s="179">
        <f t="shared" si="102"/>
        <v>0</v>
      </c>
      <c r="J116" s="130">
        <f>BEL!J116</f>
        <v>0</v>
      </c>
      <c r="K116" s="130">
        <f>BEL!K116</f>
        <v>0</v>
      </c>
      <c r="L116" s="130">
        <f>BEL!L116</f>
        <v>0</v>
      </c>
      <c r="M116" s="185">
        <f t="shared" si="166"/>
        <v>0</v>
      </c>
      <c r="N116" s="185">
        <f t="shared" si="103"/>
        <v>0</v>
      </c>
      <c r="O116" s="185">
        <f t="shared" si="104"/>
        <v>0</v>
      </c>
      <c r="P116" s="185">
        <f t="shared" si="105"/>
        <v>0</v>
      </c>
      <c r="Q116" s="185">
        <f t="shared" si="106"/>
        <v>0</v>
      </c>
      <c r="R116" s="185">
        <f t="shared" si="107"/>
        <v>0</v>
      </c>
      <c r="S116" s="185">
        <f t="shared" si="108"/>
        <v>0</v>
      </c>
      <c r="T116" s="185">
        <f t="shared" si="109"/>
        <v>0</v>
      </c>
      <c r="U116" s="196">
        <f>(C116&gt;0)*(C116&lt;$E$5)*VLOOKUP(MPP,ASUMSI!$BN$77:$CR$108,B116+1)*(1+$V$4)</f>
        <v>0</v>
      </c>
      <c r="V116" s="185">
        <f t="shared" si="110"/>
        <v>0</v>
      </c>
      <c r="W116" s="185">
        <f t="shared" si="111"/>
        <v>0</v>
      </c>
      <c r="X116" s="185">
        <f t="shared" si="112"/>
        <v>0</v>
      </c>
      <c r="Y116" s="185">
        <f t="shared" si="113"/>
        <v>0</v>
      </c>
      <c r="Z116" s="185">
        <f t="shared" si="114"/>
        <v>0</v>
      </c>
      <c r="AA116" s="197">
        <f t="shared" si="115"/>
        <v>0</v>
      </c>
      <c r="AB116" s="185">
        <f t="shared" si="116"/>
        <v>0</v>
      </c>
      <c r="AC116" s="185">
        <f t="shared" si="116"/>
        <v>0</v>
      </c>
      <c r="AD116" s="185">
        <f t="shared" si="116"/>
        <v>0</v>
      </c>
      <c r="AE116" s="185">
        <f t="shared" si="117"/>
        <v>0</v>
      </c>
      <c r="AF116" s="185">
        <f t="shared" si="118"/>
        <v>0</v>
      </c>
      <c r="AG116" s="185">
        <f t="shared" si="119"/>
        <v>0</v>
      </c>
      <c r="AH116" s="185">
        <f t="shared" si="120"/>
        <v>0</v>
      </c>
      <c r="AI116" s="125">
        <f>BEL!AI116</f>
        <v>0</v>
      </c>
      <c r="AJ116" s="125">
        <f>BEL!AJ116</f>
        <v>0</v>
      </c>
      <c r="AK116" s="125">
        <f>BEL!AK116</f>
        <v>0</v>
      </c>
      <c r="AL116" s="125">
        <f>BEL!AL116</f>
        <v>0</v>
      </c>
      <c r="AM116" s="125">
        <f>BEL!AM116</f>
        <v>0</v>
      </c>
      <c r="AN116" s="125">
        <f>BEL!AN116</f>
        <v>0</v>
      </c>
      <c r="AO116" s="198">
        <f t="shared" si="121"/>
        <v>0</v>
      </c>
      <c r="AP116" s="125">
        <f>BEL!AP116</f>
        <v>0</v>
      </c>
      <c r="AQ116" s="125">
        <f>BEL!AQ116</f>
        <v>0</v>
      </c>
      <c r="AR116" s="125">
        <f>BEL!AR116</f>
        <v>0</v>
      </c>
      <c r="AS116" s="125">
        <f>BEL!AS116</f>
        <v>0</v>
      </c>
      <c r="AT116" s="125">
        <f>BEL!AT116</f>
        <v>0</v>
      </c>
      <c r="AU116" s="127">
        <f>BEL!AU116</f>
        <v>0</v>
      </c>
      <c r="AV116" s="127">
        <f>BEL!AV116</f>
        <v>0</v>
      </c>
      <c r="AW116" s="127">
        <f>BEL!AW116</f>
        <v>0</v>
      </c>
      <c r="AX116" s="127">
        <f t="shared" si="122"/>
        <v>0</v>
      </c>
      <c r="AY116" s="127">
        <f t="shared" si="123"/>
        <v>0</v>
      </c>
      <c r="AZ116" s="127">
        <f t="shared" si="124"/>
        <v>0</v>
      </c>
      <c r="BA116" s="127">
        <f t="shared" si="125"/>
        <v>0</v>
      </c>
      <c r="BB116" s="127">
        <f t="shared" si="126"/>
        <v>0</v>
      </c>
      <c r="BC116" s="127">
        <f t="shared" si="127"/>
        <v>0</v>
      </c>
      <c r="BD116" s="127">
        <f t="shared" si="128"/>
        <v>0</v>
      </c>
      <c r="BE116" s="127">
        <f t="shared" si="129"/>
        <v>0</v>
      </c>
      <c r="BF116" s="127">
        <f t="shared" si="130"/>
        <v>0</v>
      </c>
      <c r="BG116" s="127">
        <f t="shared" si="131"/>
        <v>0</v>
      </c>
      <c r="BH116" s="127">
        <f t="shared" si="132"/>
        <v>0</v>
      </c>
      <c r="BI116" s="127">
        <f t="shared" si="133"/>
        <v>0</v>
      </c>
      <c r="BJ116" s="189">
        <f t="shared" si="134"/>
        <v>0</v>
      </c>
      <c r="BK116" s="189">
        <f t="shared" si="135"/>
        <v>0</v>
      </c>
      <c r="BL116" s="192">
        <f t="shared" si="136"/>
        <v>0</v>
      </c>
      <c r="BM116" s="192">
        <f t="shared" si="137"/>
        <v>0</v>
      </c>
      <c r="BN116" s="192">
        <f t="shared" si="138"/>
        <v>0</v>
      </c>
      <c r="BO116" s="192">
        <f t="shared" si="139"/>
        <v>0</v>
      </c>
      <c r="BP116" s="192">
        <f t="shared" si="140"/>
        <v>0</v>
      </c>
      <c r="BQ116" s="193">
        <f t="shared" si="141"/>
        <v>0</v>
      </c>
      <c r="BR116" s="193">
        <f t="shared" si="142"/>
        <v>0</v>
      </c>
      <c r="BS116" s="188">
        <f t="shared" si="151"/>
        <v>0</v>
      </c>
      <c r="BT116" s="188">
        <f t="shared" si="152"/>
        <v>0</v>
      </c>
      <c r="BU116" s="188">
        <f t="shared" si="153"/>
        <v>0</v>
      </c>
      <c r="BV116" s="188">
        <f t="shared" si="154"/>
        <v>0</v>
      </c>
      <c r="BW116" s="188">
        <f t="shared" si="155"/>
        <v>0</v>
      </c>
      <c r="BX116" s="188">
        <f t="shared" si="156"/>
        <v>0</v>
      </c>
      <c r="BY116" s="188">
        <f t="shared" si="157"/>
        <v>0</v>
      </c>
      <c r="BZ116" s="188">
        <f t="shared" si="158"/>
        <v>0</v>
      </c>
      <c r="CA116" s="188">
        <f t="shared" si="159"/>
        <v>0</v>
      </c>
      <c r="CB116" s="149">
        <f t="shared" si="160"/>
        <v>0</v>
      </c>
      <c r="CC116" s="149">
        <f>CB116-BEL!CB116</f>
        <v>0</v>
      </c>
      <c r="CD116" s="189">
        <f>IF(AND(C116=0,C117=0),0,CB116/W116) - BEL!CC116</f>
        <v>0</v>
      </c>
      <c r="CF116" s="195">
        <f t="shared" si="143"/>
        <v>0</v>
      </c>
      <c r="CG116" s="127">
        <f t="shared" si="144"/>
        <v>0</v>
      </c>
      <c r="CH116" s="128">
        <f>'DATA INPUT - DETAIL'!AH107</f>
        <v>0</v>
      </c>
      <c r="CI116" s="125">
        <f t="shared" si="145"/>
        <v>0</v>
      </c>
      <c r="CJ116" s="199">
        <f t="shared" si="146"/>
        <v>0</v>
      </c>
      <c r="CL116" s="189">
        <f t="shared" si="147"/>
        <v>0</v>
      </c>
      <c r="CM116" s="149">
        <f t="shared" si="148"/>
        <v>0</v>
      </c>
      <c r="CN116" s="128">
        <f>'DATA INPUT - DETAIL'!AH107</f>
        <v>0</v>
      </c>
      <c r="CO116" s="149">
        <f t="shared" si="149"/>
        <v>0</v>
      </c>
      <c r="CP116" s="149">
        <f t="shared" si="161"/>
        <v>0</v>
      </c>
      <c r="CR116" s="126">
        <f t="shared" si="164"/>
        <v>104</v>
      </c>
      <c r="CS116" s="189">
        <f t="shared" si="165"/>
        <v>0</v>
      </c>
      <c r="CT116" s="200">
        <f>CS116/(BEL!CE116+BEL!CA116-BEL!BU116+'RA CSM'!CF116)</f>
        <v>0</v>
      </c>
      <c r="CU116" s="149">
        <f>$CT116*BEL!CH116</f>
        <v>0</v>
      </c>
      <c r="CV116" s="149">
        <f>$CT116*BEL!CI116</f>
        <v>0</v>
      </c>
      <c r="CW116" s="149">
        <f>$CT116*BEL!CJ116</f>
        <v>0</v>
      </c>
      <c r="CX116" s="149">
        <f>$CT116*BEL!CK116</f>
        <v>0</v>
      </c>
      <c r="CY116" s="149">
        <f t="shared" si="162"/>
        <v>0</v>
      </c>
      <c r="CZ116" s="149">
        <f>$CT116*(BEL!CL116+'RA CSM'!CG116)</f>
        <v>0</v>
      </c>
      <c r="DA116" s="149">
        <f t="shared" si="163"/>
        <v>0</v>
      </c>
    </row>
    <row r="117" spans="2:105" x14ac:dyDescent="0.2">
      <c r="B117" s="130">
        <f>BEL!B117</f>
        <v>0</v>
      </c>
      <c r="C117" s="130">
        <f>BEL!C117</f>
        <v>0</v>
      </c>
      <c r="D117" s="190">
        <f>BEL!D117</f>
        <v>0</v>
      </c>
      <c r="E117" s="190">
        <f>BEL!E117</f>
        <v>0</v>
      </c>
      <c r="F117" s="190">
        <f>BEL!F117</f>
        <v>0</v>
      </c>
      <c r="G117" s="190">
        <f>BEL!G117*(1+$V$5)</f>
        <v>0</v>
      </c>
      <c r="H117" s="190">
        <f>BEL!H117*(1+$V$5)</f>
        <v>0</v>
      </c>
      <c r="I117" s="179">
        <f t="shared" si="102"/>
        <v>0</v>
      </c>
      <c r="J117" s="130">
        <f>BEL!J117</f>
        <v>0</v>
      </c>
      <c r="K117" s="130">
        <f>BEL!K117</f>
        <v>0</v>
      </c>
      <c r="L117" s="130">
        <f>BEL!L117</f>
        <v>0</v>
      </c>
      <c r="M117" s="185">
        <f t="shared" si="166"/>
        <v>0</v>
      </c>
      <c r="N117" s="185">
        <f t="shared" si="103"/>
        <v>0</v>
      </c>
      <c r="O117" s="185">
        <f t="shared" si="104"/>
        <v>0</v>
      </c>
      <c r="P117" s="185">
        <f t="shared" si="105"/>
        <v>0</v>
      </c>
      <c r="Q117" s="185">
        <f t="shared" si="106"/>
        <v>0</v>
      </c>
      <c r="R117" s="185">
        <f t="shared" si="107"/>
        <v>0</v>
      </c>
      <c r="S117" s="185">
        <f t="shared" si="108"/>
        <v>0</v>
      </c>
      <c r="T117" s="185">
        <f t="shared" si="109"/>
        <v>0</v>
      </c>
      <c r="U117" s="196">
        <f>(C117&gt;0)*(C117&lt;$E$5)*VLOOKUP(MPP,ASUMSI!$BN$77:$CR$108,B117+1)*(1+$V$4)</f>
        <v>0</v>
      </c>
      <c r="V117" s="185">
        <f t="shared" si="110"/>
        <v>0</v>
      </c>
      <c r="W117" s="185">
        <f t="shared" si="111"/>
        <v>0</v>
      </c>
      <c r="X117" s="185">
        <f t="shared" si="112"/>
        <v>0</v>
      </c>
      <c r="Y117" s="185">
        <f t="shared" si="113"/>
        <v>0</v>
      </c>
      <c r="Z117" s="185">
        <f t="shared" si="114"/>
        <v>0</v>
      </c>
      <c r="AA117" s="197">
        <f t="shared" si="115"/>
        <v>0</v>
      </c>
      <c r="AB117" s="185">
        <f t="shared" si="116"/>
        <v>0</v>
      </c>
      <c r="AC117" s="185">
        <f t="shared" si="116"/>
        <v>0</v>
      </c>
      <c r="AD117" s="185">
        <f t="shared" si="116"/>
        <v>0</v>
      </c>
      <c r="AE117" s="185">
        <f t="shared" si="117"/>
        <v>0</v>
      </c>
      <c r="AF117" s="185">
        <f t="shared" si="118"/>
        <v>0</v>
      </c>
      <c r="AG117" s="185">
        <f t="shared" si="119"/>
        <v>0</v>
      </c>
      <c r="AH117" s="185">
        <f t="shared" si="120"/>
        <v>0</v>
      </c>
      <c r="AI117" s="125">
        <f>BEL!AI117</f>
        <v>0</v>
      </c>
      <c r="AJ117" s="125">
        <f>BEL!AJ117</f>
        <v>0</v>
      </c>
      <c r="AK117" s="125">
        <f>BEL!AK117</f>
        <v>0</v>
      </c>
      <c r="AL117" s="125">
        <f>BEL!AL117</f>
        <v>0</v>
      </c>
      <c r="AM117" s="125">
        <f>BEL!AM117</f>
        <v>0</v>
      </c>
      <c r="AN117" s="125">
        <f>BEL!AN117</f>
        <v>0</v>
      </c>
      <c r="AO117" s="198">
        <f t="shared" si="121"/>
        <v>0</v>
      </c>
      <c r="AP117" s="125">
        <f>BEL!AP117</f>
        <v>0</v>
      </c>
      <c r="AQ117" s="125">
        <f>BEL!AQ117</f>
        <v>0</v>
      </c>
      <c r="AR117" s="125">
        <f>BEL!AR117</f>
        <v>0</v>
      </c>
      <c r="AS117" s="125">
        <f>BEL!AS117</f>
        <v>0</v>
      </c>
      <c r="AT117" s="125">
        <f>BEL!AT117</f>
        <v>0</v>
      </c>
      <c r="AU117" s="127">
        <f>BEL!AU117</f>
        <v>0</v>
      </c>
      <c r="AV117" s="127">
        <f>BEL!AV117</f>
        <v>0</v>
      </c>
      <c r="AW117" s="127">
        <f>BEL!AW117</f>
        <v>0</v>
      </c>
      <c r="AX117" s="127">
        <f t="shared" si="122"/>
        <v>0</v>
      </c>
      <c r="AY117" s="127">
        <f t="shared" si="123"/>
        <v>0</v>
      </c>
      <c r="AZ117" s="127">
        <f t="shared" si="124"/>
        <v>0</v>
      </c>
      <c r="BA117" s="127">
        <f t="shared" si="125"/>
        <v>0</v>
      </c>
      <c r="BB117" s="127">
        <f t="shared" si="126"/>
        <v>0</v>
      </c>
      <c r="BC117" s="127">
        <f t="shared" si="127"/>
        <v>0</v>
      </c>
      <c r="BD117" s="127">
        <f t="shared" si="128"/>
        <v>0</v>
      </c>
      <c r="BE117" s="127">
        <f t="shared" si="129"/>
        <v>0</v>
      </c>
      <c r="BF117" s="127">
        <f t="shared" si="130"/>
        <v>0</v>
      </c>
      <c r="BG117" s="127">
        <f t="shared" si="131"/>
        <v>0</v>
      </c>
      <c r="BH117" s="127">
        <f t="shared" si="132"/>
        <v>0</v>
      </c>
      <c r="BI117" s="127">
        <f t="shared" si="133"/>
        <v>0</v>
      </c>
      <c r="BJ117" s="189">
        <f t="shared" si="134"/>
        <v>0</v>
      </c>
      <c r="BK117" s="189">
        <f t="shared" si="135"/>
        <v>0</v>
      </c>
      <c r="BL117" s="192">
        <f t="shared" si="136"/>
        <v>0</v>
      </c>
      <c r="BM117" s="192">
        <f t="shared" si="137"/>
        <v>0</v>
      </c>
      <c r="BN117" s="192">
        <f t="shared" si="138"/>
        <v>0</v>
      </c>
      <c r="BO117" s="192">
        <f t="shared" si="139"/>
        <v>0</v>
      </c>
      <c r="BP117" s="192">
        <f t="shared" si="140"/>
        <v>0</v>
      </c>
      <c r="BQ117" s="193">
        <f t="shared" si="141"/>
        <v>0</v>
      </c>
      <c r="BR117" s="193">
        <f t="shared" si="142"/>
        <v>0</v>
      </c>
      <c r="BS117" s="188">
        <f t="shared" si="151"/>
        <v>0</v>
      </c>
      <c r="BT117" s="188">
        <f t="shared" si="152"/>
        <v>0</v>
      </c>
      <c r="BU117" s="188">
        <f t="shared" si="153"/>
        <v>0</v>
      </c>
      <c r="BV117" s="188">
        <f t="shared" si="154"/>
        <v>0</v>
      </c>
      <c r="BW117" s="188">
        <f t="shared" si="155"/>
        <v>0</v>
      </c>
      <c r="BX117" s="188">
        <f t="shared" si="156"/>
        <v>0</v>
      </c>
      <c r="BY117" s="188">
        <f t="shared" si="157"/>
        <v>0</v>
      </c>
      <c r="BZ117" s="188">
        <f t="shared" si="158"/>
        <v>0</v>
      </c>
      <c r="CA117" s="188">
        <f t="shared" si="159"/>
        <v>0</v>
      </c>
      <c r="CB117" s="149">
        <f t="shared" si="160"/>
        <v>0</v>
      </c>
      <c r="CC117" s="149">
        <f>CB117-BEL!CB117</f>
        <v>0</v>
      </c>
      <c r="CD117" s="189">
        <f>IF(AND(C117=0,C118=0),0,CB117/W117) - BEL!CC117</f>
        <v>0</v>
      </c>
      <c r="CF117" s="195">
        <f t="shared" si="143"/>
        <v>0</v>
      </c>
      <c r="CG117" s="127">
        <f t="shared" si="144"/>
        <v>0</v>
      </c>
      <c r="CH117" s="128">
        <f>'DATA INPUT - DETAIL'!AH108</f>
        <v>0</v>
      </c>
      <c r="CI117" s="125">
        <f t="shared" si="145"/>
        <v>0</v>
      </c>
      <c r="CJ117" s="199">
        <f t="shared" si="146"/>
        <v>0</v>
      </c>
      <c r="CL117" s="189">
        <f t="shared" si="147"/>
        <v>0</v>
      </c>
      <c r="CM117" s="149">
        <f t="shared" si="148"/>
        <v>0</v>
      </c>
      <c r="CN117" s="128">
        <f>'DATA INPUT - DETAIL'!AH108</f>
        <v>0</v>
      </c>
      <c r="CO117" s="149">
        <f t="shared" si="149"/>
        <v>0</v>
      </c>
      <c r="CP117" s="149">
        <f t="shared" si="161"/>
        <v>0</v>
      </c>
      <c r="CR117" s="126">
        <f t="shared" si="164"/>
        <v>105</v>
      </c>
      <c r="CS117" s="189">
        <f t="shared" si="165"/>
        <v>0</v>
      </c>
      <c r="CT117" s="200">
        <f>CS117/(BEL!CE117+BEL!CA117-BEL!BU117+'RA CSM'!CF117)</f>
        <v>0</v>
      </c>
      <c r="CU117" s="149">
        <f>$CT117*BEL!CH117</f>
        <v>0</v>
      </c>
      <c r="CV117" s="149">
        <f>$CT117*BEL!CI117</f>
        <v>0</v>
      </c>
      <c r="CW117" s="149">
        <f>$CT117*BEL!CJ117</f>
        <v>0</v>
      </c>
      <c r="CX117" s="149">
        <f>$CT117*BEL!CK117</f>
        <v>0</v>
      </c>
      <c r="CY117" s="149">
        <f t="shared" si="162"/>
        <v>0</v>
      </c>
      <c r="CZ117" s="149">
        <f>$CT117*(BEL!CL117+'RA CSM'!CG117)</f>
        <v>0</v>
      </c>
      <c r="DA117" s="149">
        <f t="shared" si="163"/>
        <v>0</v>
      </c>
    </row>
    <row r="118" spans="2:105" x14ac:dyDescent="0.2">
      <c r="B118" s="130">
        <f>BEL!B118</f>
        <v>0</v>
      </c>
      <c r="C118" s="130">
        <f>BEL!C118</f>
        <v>0</v>
      </c>
      <c r="D118" s="190">
        <f>BEL!D118</f>
        <v>0</v>
      </c>
      <c r="E118" s="190">
        <f>BEL!E118</f>
        <v>0</v>
      </c>
      <c r="F118" s="190">
        <f>BEL!F118</f>
        <v>0</v>
      </c>
      <c r="G118" s="190">
        <f>BEL!G118*(1+$V$5)</f>
        <v>0</v>
      </c>
      <c r="H118" s="190">
        <f>BEL!H118*(1+$V$5)</f>
        <v>0</v>
      </c>
      <c r="I118" s="179">
        <f t="shared" si="102"/>
        <v>0</v>
      </c>
      <c r="J118" s="130">
        <f>BEL!J118</f>
        <v>0</v>
      </c>
      <c r="K118" s="130">
        <f>BEL!K118</f>
        <v>0</v>
      </c>
      <c r="L118" s="130">
        <f>BEL!L118</f>
        <v>0</v>
      </c>
      <c r="M118" s="185">
        <f t="shared" si="166"/>
        <v>0</v>
      </c>
      <c r="N118" s="185">
        <f t="shared" si="103"/>
        <v>0</v>
      </c>
      <c r="O118" s="185">
        <f t="shared" si="104"/>
        <v>0</v>
      </c>
      <c r="P118" s="185">
        <f t="shared" si="105"/>
        <v>0</v>
      </c>
      <c r="Q118" s="185">
        <f t="shared" si="106"/>
        <v>0</v>
      </c>
      <c r="R118" s="185">
        <f t="shared" si="107"/>
        <v>0</v>
      </c>
      <c r="S118" s="185">
        <f t="shared" si="108"/>
        <v>0</v>
      </c>
      <c r="T118" s="185">
        <f t="shared" si="109"/>
        <v>0</v>
      </c>
      <c r="U118" s="196">
        <f>(C118&gt;0)*(C118&lt;$E$5)*VLOOKUP(MPP,ASUMSI!$BN$77:$CR$108,B118+1)*(1+$V$4)</f>
        <v>0</v>
      </c>
      <c r="V118" s="185">
        <f t="shared" si="110"/>
        <v>0</v>
      </c>
      <c r="W118" s="185">
        <f t="shared" si="111"/>
        <v>0</v>
      </c>
      <c r="X118" s="185">
        <f t="shared" si="112"/>
        <v>0</v>
      </c>
      <c r="Y118" s="185">
        <f t="shared" si="113"/>
        <v>0</v>
      </c>
      <c r="Z118" s="185">
        <f t="shared" si="114"/>
        <v>0</v>
      </c>
      <c r="AA118" s="197">
        <f t="shared" si="115"/>
        <v>0</v>
      </c>
      <c r="AB118" s="185">
        <f t="shared" si="116"/>
        <v>0</v>
      </c>
      <c r="AC118" s="185">
        <f t="shared" si="116"/>
        <v>0</v>
      </c>
      <c r="AD118" s="185">
        <f t="shared" si="116"/>
        <v>0</v>
      </c>
      <c r="AE118" s="185">
        <f t="shared" si="117"/>
        <v>0</v>
      </c>
      <c r="AF118" s="185">
        <f t="shared" si="118"/>
        <v>0</v>
      </c>
      <c r="AG118" s="185">
        <f t="shared" si="119"/>
        <v>0</v>
      </c>
      <c r="AH118" s="185">
        <f t="shared" si="120"/>
        <v>0</v>
      </c>
      <c r="AI118" s="125">
        <f>BEL!AI118</f>
        <v>0</v>
      </c>
      <c r="AJ118" s="125">
        <f>BEL!AJ118</f>
        <v>0</v>
      </c>
      <c r="AK118" s="125">
        <f>BEL!AK118</f>
        <v>0</v>
      </c>
      <c r="AL118" s="125">
        <f>BEL!AL118</f>
        <v>0</v>
      </c>
      <c r="AM118" s="125">
        <f>BEL!AM118</f>
        <v>0</v>
      </c>
      <c r="AN118" s="125">
        <f>BEL!AN118</f>
        <v>0</v>
      </c>
      <c r="AO118" s="198">
        <f t="shared" si="121"/>
        <v>0</v>
      </c>
      <c r="AP118" s="125">
        <f>BEL!AP118</f>
        <v>0</v>
      </c>
      <c r="AQ118" s="125">
        <f>BEL!AQ118</f>
        <v>0</v>
      </c>
      <c r="AR118" s="125">
        <f>BEL!AR118</f>
        <v>0</v>
      </c>
      <c r="AS118" s="125">
        <f>BEL!AS118</f>
        <v>0</v>
      </c>
      <c r="AT118" s="125">
        <f>BEL!AT118</f>
        <v>0</v>
      </c>
      <c r="AU118" s="127">
        <f>BEL!AU118</f>
        <v>0</v>
      </c>
      <c r="AV118" s="127">
        <f>BEL!AV118</f>
        <v>0</v>
      </c>
      <c r="AW118" s="127">
        <f>BEL!AW118</f>
        <v>0</v>
      </c>
      <c r="AX118" s="127">
        <f t="shared" si="122"/>
        <v>0</v>
      </c>
      <c r="AY118" s="127">
        <f t="shared" si="123"/>
        <v>0</v>
      </c>
      <c r="AZ118" s="127">
        <f t="shared" si="124"/>
        <v>0</v>
      </c>
      <c r="BA118" s="127">
        <f t="shared" si="125"/>
        <v>0</v>
      </c>
      <c r="BB118" s="127">
        <f t="shared" si="126"/>
        <v>0</v>
      </c>
      <c r="BC118" s="127">
        <f t="shared" si="127"/>
        <v>0</v>
      </c>
      <c r="BD118" s="127">
        <f t="shared" si="128"/>
        <v>0</v>
      </c>
      <c r="BE118" s="127">
        <f t="shared" si="129"/>
        <v>0</v>
      </c>
      <c r="BF118" s="127">
        <f t="shared" si="130"/>
        <v>0</v>
      </c>
      <c r="BG118" s="127">
        <f t="shared" si="131"/>
        <v>0</v>
      </c>
      <c r="BH118" s="127">
        <f t="shared" si="132"/>
        <v>0</v>
      </c>
      <c r="BI118" s="127">
        <f t="shared" si="133"/>
        <v>0</v>
      </c>
      <c r="BJ118" s="189">
        <f t="shared" si="134"/>
        <v>0</v>
      </c>
      <c r="BK118" s="189">
        <f t="shared" si="135"/>
        <v>0</v>
      </c>
      <c r="BL118" s="192">
        <f t="shared" si="136"/>
        <v>0</v>
      </c>
      <c r="BM118" s="192">
        <f t="shared" si="137"/>
        <v>0</v>
      </c>
      <c r="BN118" s="192">
        <f t="shared" si="138"/>
        <v>0</v>
      </c>
      <c r="BO118" s="192">
        <f t="shared" si="139"/>
        <v>0</v>
      </c>
      <c r="BP118" s="192">
        <f t="shared" si="140"/>
        <v>0</v>
      </c>
      <c r="BQ118" s="193">
        <f t="shared" si="141"/>
        <v>0</v>
      </c>
      <c r="BR118" s="193">
        <f t="shared" si="142"/>
        <v>0</v>
      </c>
      <c r="BS118" s="188">
        <f t="shared" si="151"/>
        <v>0</v>
      </c>
      <c r="BT118" s="188">
        <f t="shared" si="152"/>
        <v>0</v>
      </c>
      <c r="BU118" s="188">
        <f t="shared" si="153"/>
        <v>0</v>
      </c>
      <c r="BV118" s="188">
        <f t="shared" si="154"/>
        <v>0</v>
      </c>
      <c r="BW118" s="188">
        <f t="shared" si="155"/>
        <v>0</v>
      </c>
      <c r="BX118" s="188">
        <f t="shared" si="156"/>
        <v>0</v>
      </c>
      <c r="BY118" s="188">
        <f t="shared" si="157"/>
        <v>0</v>
      </c>
      <c r="BZ118" s="188">
        <f t="shared" si="158"/>
        <v>0</v>
      </c>
      <c r="CA118" s="188">
        <f t="shared" si="159"/>
        <v>0</v>
      </c>
      <c r="CB118" s="149">
        <f t="shared" si="160"/>
        <v>0</v>
      </c>
      <c r="CC118" s="149">
        <f>CB118-BEL!CB118</f>
        <v>0</v>
      </c>
      <c r="CD118" s="189">
        <f>IF(AND(C118=0,C119=0),0,CB118/W118) - BEL!CC118</f>
        <v>0</v>
      </c>
      <c r="CF118" s="195">
        <f t="shared" si="143"/>
        <v>0</v>
      </c>
      <c r="CG118" s="127">
        <f t="shared" si="144"/>
        <v>0</v>
      </c>
      <c r="CH118" s="128">
        <f>'DATA INPUT - DETAIL'!AH109</f>
        <v>0</v>
      </c>
      <c r="CI118" s="125">
        <f t="shared" si="145"/>
        <v>0</v>
      </c>
      <c r="CJ118" s="199">
        <f t="shared" si="146"/>
        <v>0</v>
      </c>
      <c r="CL118" s="189">
        <f t="shared" si="147"/>
        <v>0</v>
      </c>
      <c r="CM118" s="149">
        <f t="shared" si="148"/>
        <v>0</v>
      </c>
      <c r="CN118" s="128">
        <f>'DATA INPUT - DETAIL'!AH109</f>
        <v>0</v>
      </c>
      <c r="CO118" s="149">
        <f t="shared" si="149"/>
        <v>0</v>
      </c>
      <c r="CP118" s="149">
        <f t="shared" si="161"/>
        <v>0</v>
      </c>
      <c r="CR118" s="126">
        <f t="shared" si="164"/>
        <v>106</v>
      </c>
      <c r="CS118" s="189">
        <f t="shared" si="165"/>
        <v>0</v>
      </c>
      <c r="CT118" s="200">
        <f>CS118/(BEL!CE118+BEL!CA118-BEL!BU118+'RA CSM'!CF118)</f>
        <v>0</v>
      </c>
      <c r="CU118" s="149">
        <f>$CT118*BEL!CH118</f>
        <v>0</v>
      </c>
      <c r="CV118" s="149">
        <f>$CT118*BEL!CI118</f>
        <v>0</v>
      </c>
      <c r="CW118" s="149">
        <f>$CT118*BEL!CJ118</f>
        <v>0</v>
      </c>
      <c r="CX118" s="149">
        <f>$CT118*BEL!CK118</f>
        <v>0</v>
      </c>
      <c r="CY118" s="149">
        <f t="shared" si="162"/>
        <v>0</v>
      </c>
      <c r="CZ118" s="149">
        <f>$CT118*(BEL!CL118+'RA CSM'!CG118)</f>
        <v>0</v>
      </c>
      <c r="DA118" s="149">
        <f t="shared" si="163"/>
        <v>0</v>
      </c>
    </row>
    <row r="119" spans="2:105" x14ac:dyDescent="0.2">
      <c r="B119" s="130">
        <f>BEL!B119</f>
        <v>0</v>
      </c>
      <c r="C119" s="130">
        <f>BEL!C119</f>
        <v>0</v>
      </c>
      <c r="D119" s="190">
        <f>BEL!D119</f>
        <v>0</v>
      </c>
      <c r="E119" s="190">
        <f>BEL!E119</f>
        <v>0</v>
      </c>
      <c r="F119" s="190">
        <f>BEL!F119</f>
        <v>0</v>
      </c>
      <c r="G119" s="190">
        <f>BEL!G119*(1+$V$5)</f>
        <v>0</v>
      </c>
      <c r="H119" s="190">
        <f>BEL!H119*(1+$V$5)</f>
        <v>0</v>
      </c>
      <c r="I119" s="179">
        <f t="shared" si="102"/>
        <v>0</v>
      </c>
      <c r="J119" s="130">
        <f>BEL!J119</f>
        <v>0</v>
      </c>
      <c r="K119" s="130">
        <f>BEL!K119</f>
        <v>0</v>
      </c>
      <c r="L119" s="130">
        <f>BEL!L119</f>
        <v>0</v>
      </c>
      <c r="M119" s="185">
        <f t="shared" si="166"/>
        <v>0</v>
      </c>
      <c r="N119" s="185">
        <f t="shared" si="103"/>
        <v>0</v>
      </c>
      <c r="O119" s="185">
        <f t="shared" si="104"/>
        <v>0</v>
      </c>
      <c r="P119" s="185">
        <f t="shared" si="105"/>
        <v>0</v>
      </c>
      <c r="Q119" s="185">
        <f t="shared" si="106"/>
        <v>0</v>
      </c>
      <c r="R119" s="185">
        <f t="shared" si="107"/>
        <v>0</v>
      </c>
      <c r="S119" s="185">
        <f t="shared" si="108"/>
        <v>0</v>
      </c>
      <c r="T119" s="185">
        <f t="shared" si="109"/>
        <v>0</v>
      </c>
      <c r="U119" s="196">
        <f>(C119&gt;0)*(C119&lt;$E$5)*VLOOKUP(MPP,ASUMSI!$BN$77:$CR$108,B119+1)*(1+$V$4)</f>
        <v>0</v>
      </c>
      <c r="V119" s="185">
        <f t="shared" si="110"/>
        <v>0</v>
      </c>
      <c r="W119" s="185">
        <f t="shared" si="111"/>
        <v>0</v>
      </c>
      <c r="X119" s="185">
        <f t="shared" si="112"/>
        <v>0</v>
      </c>
      <c r="Y119" s="185">
        <f t="shared" si="113"/>
        <v>0</v>
      </c>
      <c r="Z119" s="185">
        <f t="shared" si="114"/>
        <v>0</v>
      </c>
      <c r="AA119" s="197">
        <f t="shared" si="115"/>
        <v>0</v>
      </c>
      <c r="AB119" s="185">
        <f t="shared" si="116"/>
        <v>0</v>
      </c>
      <c r="AC119" s="185">
        <f t="shared" si="116"/>
        <v>0</v>
      </c>
      <c r="AD119" s="185">
        <f t="shared" si="116"/>
        <v>0</v>
      </c>
      <c r="AE119" s="185">
        <f t="shared" si="117"/>
        <v>0</v>
      </c>
      <c r="AF119" s="185">
        <f t="shared" si="118"/>
        <v>0</v>
      </c>
      <c r="AG119" s="185">
        <f t="shared" si="119"/>
        <v>0</v>
      </c>
      <c r="AH119" s="185">
        <f t="shared" si="120"/>
        <v>0</v>
      </c>
      <c r="AI119" s="125">
        <f>BEL!AI119</f>
        <v>0</v>
      </c>
      <c r="AJ119" s="125">
        <f>BEL!AJ119</f>
        <v>0</v>
      </c>
      <c r="AK119" s="125">
        <f>BEL!AK119</f>
        <v>0</v>
      </c>
      <c r="AL119" s="125">
        <f>BEL!AL119</f>
        <v>0</v>
      </c>
      <c r="AM119" s="125">
        <f>BEL!AM119</f>
        <v>0</v>
      </c>
      <c r="AN119" s="125">
        <f>BEL!AN119</f>
        <v>0</v>
      </c>
      <c r="AO119" s="198">
        <f t="shared" si="121"/>
        <v>0</v>
      </c>
      <c r="AP119" s="125">
        <f>BEL!AP119</f>
        <v>0</v>
      </c>
      <c r="AQ119" s="125">
        <f>BEL!AQ119</f>
        <v>0</v>
      </c>
      <c r="AR119" s="125">
        <f>BEL!AR119</f>
        <v>0</v>
      </c>
      <c r="AS119" s="125">
        <f>BEL!AS119</f>
        <v>0</v>
      </c>
      <c r="AT119" s="125">
        <f>BEL!AT119</f>
        <v>0</v>
      </c>
      <c r="AU119" s="127">
        <f>BEL!AU119</f>
        <v>0</v>
      </c>
      <c r="AV119" s="127">
        <f>BEL!AV119</f>
        <v>0</v>
      </c>
      <c r="AW119" s="127">
        <f>BEL!AW119</f>
        <v>0</v>
      </c>
      <c r="AX119" s="127">
        <f t="shared" si="122"/>
        <v>0</v>
      </c>
      <c r="AY119" s="127">
        <f t="shared" si="123"/>
        <v>0</v>
      </c>
      <c r="AZ119" s="127">
        <f t="shared" si="124"/>
        <v>0</v>
      </c>
      <c r="BA119" s="127">
        <f t="shared" si="125"/>
        <v>0</v>
      </c>
      <c r="BB119" s="127">
        <f t="shared" si="126"/>
        <v>0</v>
      </c>
      <c r="BC119" s="127">
        <f t="shared" si="127"/>
        <v>0</v>
      </c>
      <c r="BD119" s="127">
        <f t="shared" si="128"/>
        <v>0</v>
      </c>
      <c r="BE119" s="127">
        <f t="shared" si="129"/>
        <v>0</v>
      </c>
      <c r="BF119" s="127">
        <f t="shared" si="130"/>
        <v>0</v>
      </c>
      <c r="BG119" s="127">
        <f t="shared" si="131"/>
        <v>0</v>
      </c>
      <c r="BH119" s="127">
        <f t="shared" si="132"/>
        <v>0</v>
      </c>
      <c r="BI119" s="127">
        <f t="shared" si="133"/>
        <v>0</v>
      </c>
      <c r="BJ119" s="189">
        <f t="shared" si="134"/>
        <v>0</v>
      </c>
      <c r="BK119" s="189">
        <f t="shared" si="135"/>
        <v>0</v>
      </c>
      <c r="BL119" s="192">
        <f t="shared" si="136"/>
        <v>0</v>
      </c>
      <c r="BM119" s="192">
        <f t="shared" si="137"/>
        <v>0</v>
      </c>
      <c r="BN119" s="192">
        <f t="shared" si="138"/>
        <v>0</v>
      </c>
      <c r="BO119" s="192">
        <f t="shared" si="139"/>
        <v>0</v>
      </c>
      <c r="BP119" s="192">
        <f t="shared" si="140"/>
        <v>0</v>
      </c>
      <c r="BQ119" s="193">
        <f t="shared" si="141"/>
        <v>0</v>
      </c>
      <c r="BR119" s="193">
        <f t="shared" si="142"/>
        <v>0</v>
      </c>
      <c r="BS119" s="188">
        <f t="shared" si="151"/>
        <v>0</v>
      </c>
      <c r="BT119" s="188">
        <f t="shared" si="152"/>
        <v>0</v>
      </c>
      <c r="BU119" s="188">
        <f t="shared" si="153"/>
        <v>0</v>
      </c>
      <c r="BV119" s="188">
        <f t="shared" si="154"/>
        <v>0</v>
      </c>
      <c r="BW119" s="188">
        <f t="shared" si="155"/>
        <v>0</v>
      </c>
      <c r="BX119" s="188">
        <f t="shared" si="156"/>
        <v>0</v>
      </c>
      <c r="BY119" s="188">
        <f t="shared" si="157"/>
        <v>0</v>
      </c>
      <c r="BZ119" s="188">
        <f t="shared" si="158"/>
        <v>0</v>
      </c>
      <c r="CA119" s="188">
        <f t="shared" si="159"/>
        <v>0</v>
      </c>
      <c r="CB119" s="149">
        <f t="shared" si="160"/>
        <v>0</v>
      </c>
      <c r="CC119" s="149">
        <f>CB119-BEL!CB119</f>
        <v>0</v>
      </c>
      <c r="CD119" s="189">
        <f>IF(AND(C119=0,C120=0),0,CB119/W119) - BEL!CC119</f>
        <v>0</v>
      </c>
      <c r="CF119" s="195">
        <f t="shared" si="143"/>
        <v>0</v>
      </c>
      <c r="CG119" s="127">
        <f t="shared" si="144"/>
        <v>0</v>
      </c>
      <c r="CH119" s="128">
        <f>'DATA INPUT - DETAIL'!AH110</f>
        <v>0</v>
      </c>
      <c r="CI119" s="125">
        <f t="shared" si="145"/>
        <v>0</v>
      </c>
      <c r="CJ119" s="199">
        <f t="shared" si="146"/>
        <v>0</v>
      </c>
      <c r="CL119" s="189">
        <f t="shared" si="147"/>
        <v>0</v>
      </c>
      <c r="CM119" s="149">
        <f t="shared" si="148"/>
        <v>0</v>
      </c>
      <c r="CN119" s="128">
        <f>'DATA INPUT - DETAIL'!AH110</f>
        <v>0</v>
      </c>
      <c r="CO119" s="149">
        <f t="shared" si="149"/>
        <v>0</v>
      </c>
      <c r="CP119" s="149">
        <f t="shared" si="161"/>
        <v>0</v>
      </c>
      <c r="CR119" s="126">
        <f t="shared" si="164"/>
        <v>107</v>
      </c>
      <c r="CS119" s="189">
        <f t="shared" si="165"/>
        <v>0</v>
      </c>
      <c r="CT119" s="200">
        <f>CS119/(BEL!CE119+BEL!CA119-BEL!BU119+'RA CSM'!CF119)</f>
        <v>0</v>
      </c>
      <c r="CU119" s="149">
        <f>$CT119*BEL!CH119</f>
        <v>0</v>
      </c>
      <c r="CV119" s="149">
        <f>$CT119*BEL!CI119</f>
        <v>0</v>
      </c>
      <c r="CW119" s="149">
        <f>$CT119*BEL!CJ119</f>
        <v>0</v>
      </c>
      <c r="CX119" s="149">
        <f>$CT119*BEL!CK119</f>
        <v>0</v>
      </c>
      <c r="CY119" s="149">
        <f t="shared" si="162"/>
        <v>0</v>
      </c>
      <c r="CZ119" s="149">
        <f>$CT119*(BEL!CL119+'RA CSM'!CG119)</f>
        <v>0</v>
      </c>
      <c r="DA119" s="149">
        <f t="shared" si="163"/>
        <v>0</v>
      </c>
    </row>
    <row r="120" spans="2:105" x14ac:dyDescent="0.2">
      <c r="B120" s="130">
        <f>BEL!B120</f>
        <v>0</v>
      </c>
      <c r="C120" s="130">
        <f>BEL!C120</f>
        <v>0</v>
      </c>
      <c r="D120" s="190">
        <f>BEL!D120</f>
        <v>0</v>
      </c>
      <c r="E120" s="190">
        <f>BEL!E120</f>
        <v>0</v>
      </c>
      <c r="F120" s="190">
        <f>BEL!F120</f>
        <v>0</v>
      </c>
      <c r="G120" s="190">
        <f>BEL!G120*(1+$V$5)</f>
        <v>0</v>
      </c>
      <c r="H120" s="190">
        <f>BEL!H120*(1+$V$5)</f>
        <v>0</v>
      </c>
      <c r="I120" s="179">
        <f t="shared" si="102"/>
        <v>0</v>
      </c>
      <c r="J120" s="130">
        <f>BEL!J120</f>
        <v>0</v>
      </c>
      <c r="K120" s="130">
        <f>BEL!K120</f>
        <v>0</v>
      </c>
      <c r="L120" s="130">
        <f>BEL!L120</f>
        <v>0</v>
      </c>
      <c r="M120" s="185">
        <f t="shared" si="166"/>
        <v>0</v>
      </c>
      <c r="N120" s="185">
        <f t="shared" si="103"/>
        <v>0</v>
      </c>
      <c r="O120" s="185">
        <f t="shared" si="104"/>
        <v>0</v>
      </c>
      <c r="P120" s="185">
        <f t="shared" si="105"/>
        <v>0</v>
      </c>
      <c r="Q120" s="185">
        <f t="shared" si="106"/>
        <v>0</v>
      </c>
      <c r="R120" s="185">
        <f t="shared" si="107"/>
        <v>0</v>
      </c>
      <c r="S120" s="185">
        <f t="shared" si="108"/>
        <v>0</v>
      </c>
      <c r="T120" s="185">
        <f t="shared" si="109"/>
        <v>0</v>
      </c>
      <c r="U120" s="196">
        <f>(C120&gt;0)*(C120&lt;$E$5)*VLOOKUP(MPP,ASUMSI!$BN$77:$CR$108,B120+1)*(1+$V$4)</f>
        <v>0</v>
      </c>
      <c r="V120" s="185">
        <f t="shared" si="110"/>
        <v>0</v>
      </c>
      <c r="W120" s="185">
        <f t="shared" si="111"/>
        <v>0</v>
      </c>
      <c r="X120" s="185">
        <f t="shared" si="112"/>
        <v>0</v>
      </c>
      <c r="Y120" s="185">
        <f t="shared" si="113"/>
        <v>0</v>
      </c>
      <c r="Z120" s="185">
        <f t="shared" si="114"/>
        <v>0</v>
      </c>
      <c r="AA120" s="197">
        <f t="shared" si="115"/>
        <v>0</v>
      </c>
      <c r="AB120" s="185">
        <f t="shared" si="116"/>
        <v>0</v>
      </c>
      <c r="AC120" s="185">
        <f t="shared" si="116"/>
        <v>0</v>
      </c>
      <c r="AD120" s="185">
        <f t="shared" si="116"/>
        <v>0</v>
      </c>
      <c r="AE120" s="185">
        <f t="shared" si="117"/>
        <v>0</v>
      </c>
      <c r="AF120" s="185">
        <f t="shared" si="118"/>
        <v>0</v>
      </c>
      <c r="AG120" s="185">
        <f t="shared" si="119"/>
        <v>0</v>
      </c>
      <c r="AH120" s="185">
        <f t="shared" si="120"/>
        <v>0</v>
      </c>
      <c r="AI120" s="125">
        <f>BEL!AI120</f>
        <v>0</v>
      </c>
      <c r="AJ120" s="125">
        <f>BEL!AJ120</f>
        <v>0</v>
      </c>
      <c r="AK120" s="125">
        <f>BEL!AK120</f>
        <v>0</v>
      </c>
      <c r="AL120" s="125">
        <f>BEL!AL120</f>
        <v>0</v>
      </c>
      <c r="AM120" s="125">
        <f>BEL!AM120</f>
        <v>0</v>
      </c>
      <c r="AN120" s="125">
        <f>BEL!AN120</f>
        <v>0</v>
      </c>
      <c r="AO120" s="198">
        <f t="shared" si="121"/>
        <v>0</v>
      </c>
      <c r="AP120" s="125">
        <f>BEL!AP120</f>
        <v>0</v>
      </c>
      <c r="AQ120" s="125">
        <f>BEL!AQ120</f>
        <v>0</v>
      </c>
      <c r="AR120" s="125">
        <f>BEL!AR120</f>
        <v>0</v>
      </c>
      <c r="AS120" s="125">
        <f>BEL!AS120</f>
        <v>0</v>
      </c>
      <c r="AT120" s="125">
        <f>BEL!AT120</f>
        <v>0</v>
      </c>
      <c r="AU120" s="127">
        <f>BEL!AU120</f>
        <v>0</v>
      </c>
      <c r="AV120" s="127">
        <f>BEL!AV120</f>
        <v>0</v>
      </c>
      <c r="AW120" s="127">
        <f>BEL!AW120</f>
        <v>0</v>
      </c>
      <c r="AX120" s="127">
        <f t="shared" si="122"/>
        <v>0</v>
      </c>
      <c r="AY120" s="127">
        <f t="shared" si="123"/>
        <v>0</v>
      </c>
      <c r="AZ120" s="127">
        <f t="shared" si="124"/>
        <v>0</v>
      </c>
      <c r="BA120" s="127">
        <f t="shared" si="125"/>
        <v>0</v>
      </c>
      <c r="BB120" s="127">
        <f t="shared" si="126"/>
        <v>0</v>
      </c>
      <c r="BC120" s="127">
        <f t="shared" si="127"/>
        <v>0</v>
      </c>
      <c r="BD120" s="127">
        <f t="shared" si="128"/>
        <v>0</v>
      </c>
      <c r="BE120" s="127">
        <f t="shared" si="129"/>
        <v>0</v>
      </c>
      <c r="BF120" s="127">
        <f t="shared" si="130"/>
        <v>0</v>
      </c>
      <c r="BG120" s="127">
        <f t="shared" si="131"/>
        <v>0</v>
      </c>
      <c r="BH120" s="127">
        <f t="shared" si="132"/>
        <v>0</v>
      </c>
      <c r="BI120" s="127">
        <f t="shared" si="133"/>
        <v>0</v>
      </c>
      <c r="BJ120" s="189">
        <f t="shared" si="134"/>
        <v>0</v>
      </c>
      <c r="BK120" s="189">
        <f t="shared" si="135"/>
        <v>0</v>
      </c>
      <c r="BL120" s="192">
        <f t="shared" si="136"/>
        <v>0</v>
      </c>
      <c r="BM120" s="192">
        <f t="shared" si="137"/>
        <v>0</v>
      </c>
      <c r="BN120" s="192">
        <f t="shared" si="138"/>
        <v>0</v>
      </c>
      <c r="BO120" s="192">
        <f t="shared" si="139"/>
        <v>0</v>
      </c>
      <c r="BP120" s="192">
        <f t="shared" si="140"/>
        <v>0</v>
      </c>
      <c r="BQ120" s="193">
        <f t="shared" si="141"/>
        <v>0</v>
      </c>
      <c r="BR120" s="193">
        <f t="shared" si="142"/>
        <v>0</v>
      </c>
      <c r="BS120" s="188">
        <f t="shared" si="151"/>
        <v>0</v>
      </c>
      <c r="BT120" s="188">
        <f t="shared" si="152"/>
        <v>0</v>
      </c>
      <c r="BU120" s="188">
        <f t="shared" si="153"/>
        <v>0</v>
      </c>
      <c r="BV120" s="188">
        <f t="shared" si="154"/>
        <v>0</v>
      </c>
      <c r="BW120" s="188">
        <f t="shared" si="155"/>
        <v>0</v>
      </c>
      <c r="BX120" s="188">
        <f t="shared" si="156"/>
        <v>0</v>
      </c>
      <c r="BY120" s="188">
        <f t="shared" si="157"/>
        <v>0</v>
      </c>
      <c r="BZ120" s="188">
        <f t="shared" si="158"/>
        <v>0</v>
      </c>
      <c r="CA120" s="188">
        <f t="shared" si="159"/>
        <v>0</v>
      </c>
      <c r="CB120" s="149">
        <f t="shared" si="160"/>
        <v>0</v>
      </c>
      <c r="CC120" s="149">
        <f>CB120-BEL!CB120</f>
        <v>0</v>
      </c>
      <c r="CD120" s="189">
        <f>IF(AND(C120=0,C121=0),0,CB120/W120) - BEL!CC120</f>
        <v>0</v>
      </c>
      <c r="CF120" s="195">
        <f t="shared" si="143"/>
        <v>0</v>
      </c>
      <c r="CG120" s="127">
        <f t="shared" si="144"/>
        <v>0</v>
      </c>
      <c r="CH120" s="128">
        <f>'DATA INPUT - DETAIL'!AH111</f>
        <v>0</v>
      </c>
      <c r="CI120" s="125">
        <f t="shared" si="145"/>
        <v>0</v>
      </c>
      <c r="CJ120" s="199">
        <f t="shared" si="146"/>
        <v>0</v>
      </c>
      <c r="CL120" s="189">
        <f t="shared" si="147"/>
        <v>0</v>
      </c>
      <c r="CM120" s="149">
        <f t="shared" si="148"/>
        <v>0</v>
      </c>
      <c r="CN120" s="128">
        <f>'DATA INPUT - DETAIL'!AH111</f>
        <v>0</v>
      </c>
      <c r="CO120" s="149">
        <f t="shared" si="149"/>
        <v>0</v>
      </c>
      <c r="CP120" s="149">
        <f t="shared" si="161"/>
        <v>0</v>
      </c>
      <c r="CR120" s="126">
        <f t="shared" si="164"/>
        <v>108</v>
      </c>
      <c r="CS120" s="189">
        <f t="shared" si="165"/>
        <v>0</v>
      </c>
      <c r="CT120" s="200">
        <f>CS120/(BEL!CE120+BEL!CA120-BEL!BU120+'RA CSM'!CF120)</f>
        <v>0</v>
      </c>
      <c r="CU120" s="149">
        <f>$CT120*BEL!CH120</f>
        <v>0</v>
      </c>
      <c r="CV120" s="149">
        <f>$CT120*BEL!CI120</f>
        <v>0</v>
      </c>
      <c r="CW120" s="149">
        <f>$CT120*BEL!CJ120</f>
        <v>0</v>
      </c>
      <c r="CX120" s="149">
        <f>$CT120*BEL!CK120</f>
        <v>0</v>
      </c>
      <c r="CY120" s="149">
        <f t="shared" si="162"/>
        <v>0</v>
      </c>
      <c r="CZ120" s="149">
        <f>$CT120*(BEL!CL120+'RA CSM'!CG120)</f>
        <v>0</v>
      </c>
      <c r="DA120" s="149">
        <f t="shared" si="163"/>
        <v>0</v>
      </c>
    </row>
    <row r="121" spans="2:105" x14ac:dyDescent="0.2">
      <c r="B121" s="130">
        <f>BEL!B121</f>
        <v>0</v>
      </c>
      <c r="C121" s="130">
        <f>BEL!C121</f>
        <v>0</v>
      </c>
      <c r="D121" s="190">
        <f>BEL!D121</f>
        <v>0</v>
      </c>
      <c r="E121" s="190">
        <f>BEL!E121</f>
        <v>0</v>
      </c>
      <c r="F121" s="190">
        <f>BEL!F121</f>
        <v>0</v>
      </c>
      <c r="G121" s="190">
        <f>BEL!G121*(1+$V$5)</f>
        <v>0</v>
      </c>
      <c r="H121" s="190">
        <f>BEL!H121*(1+$V$5)</f>
        <v>0</v>
      </c>
      <c r="I121" s="179">
        <f t="shared" si="102"/>
        <v>0</v>
      </c>
      <c r="J121" s="130">
        <f>BEL!J121</f>
        <v>0</v>
      </c>
      <c r="K121" s="130">
        <f>BEL!K121</f>
        <v>0</v>
      </c>
      <c r="L121" s="130">
        <f>BEL!L121</f>
        <v>0</v>
      </c>
      <c r="M121" s="185">
        <f t="shared" si="166"/>
        <v>0</v>
      </c>
      <c r="N121" s="185">
        <f t="shared" si="103"/>
        <v>0</v>
      </c>
      <c r="O121" s="185">
        <f t="shared" si="104"/>
        <v>0</v>
      </c>
      <c r="P121" s="185">
        <f t="shared" si="105"/>
        <v>0</v>
      </c>
      <c r="Q121" s="185">
        <f t="shared" si="106"/>
        <v>0</v>
      </c>
      <c r="R121" s="185">
        <f t="shared" si="107"/>
        <v>0</v>
      </c>
      <c r="S121" s="185">
        <f t="shared" si="108"/>
        <v>0</v>
      </c>
      <c r="T121" s="185">
        <f t="shared" si="109"/>
        <v>0</v>
      </c>
      <c r="U121" s="196">
        <f>(C121&gt;0)*(C121&lt;$E$5)*VLOOKUP(MPP,ASUMSI!$BN$77:$CR$108,B121+1)*(1+$V$4)</f>
        <v>0</v>
      </c>
      <c r="V121" s="185">
        <f t="shared" si="110"/>
        <v>0</v>
      </c>
      <c r="W121" s="185">
        <f t="shared" si="111"/>
        <v>0</v>
      </c>
      <c r="X121" s="185">
        <f t="shared" si="112"/>
        <v>0</v>
      </c>
      <c r="Y121" s="185">
        <f t="shared" si="113"/>
        <v>0</v>
      </c>
      <c r="Z121" s="185">
        <f t="shared" si="114"/>
        <v>0</v>
      </c>
      <c r="AA121" s="197">
        <f t="shared" si="115"/>
        <v>0</v>
      </c>
      <c r="AB121" s="185">
        <f t="shared" si="116"/>
        <v>0</v>
      </c>
      <c r="AC121" s="185">
        <f t="shared" si="116"/>
        <v>0</v>
      </c>
      <c r="AD121" s="185">
        <f t="shared" si="116"/>
        <v>0</v>
      </c>
      <c r="AE121" s="185">
        <f t="shared" si="117"/>
        <v>0</v>
      </c>
      <c r="AF121" s="185">
        <f t="shared" si="118"/>
        <v>0</v>
      </c>
      <c r="AG121" s="185">
        <f t="shared" si="119"/>
        <v>0</v>
      </c>
      <c r="AH121" s="185">
        <f t="shared" si="120"/>
        <v>0</v>
      </c>
      <c r="AI121" s="125">
        <f>BEL!AI121</f>
        <v>0</v>
      </c>
      <c r="AJ121" s="125">
        <f>BEL!AJ121</f>
        <v>0</v>
      </c>
      <c r="AK121" s="125">
        <f>BEL!AK121</f>
        <v>0</v>
      </c>
      <c r="AL121" s="125">
        <f>BEL!AL121</f>
        <v>0</v>
      </c>
      <c r="AM121" s="125">
        <f>BEL!AM121</f>
        <v>0</v>
      </c>
      <c r="AN121" s="125">
        <f>BEL!AN121</f>
        <v>0</v>
      </c>
      <c r="AO121" s="198">
        <f t="shared" si="121"/>
        <v>0</v>
      </c>
      <c r="AP121" s="125">
        <f>BEL!AP121</f>
        <v>0</v>
      </c>
      <c r="AQ121" s="125">
        <f>BEL!AQ121</f>
        <v>0</v>
      </c>
      <c r="AR121" s="125">
        <f>BEL!AR121</f>
        <v>0</v>
      </c>
      <c r="AS121" s="125">
        <f>BEL!AS121</f>
        <v>0</v>
      </c>
      <c r="AT121" s="125">
        <f>BEL!AT121</f>
        <v>0</v>
      </c>
      <c r="AU121" s="127">
        <f>BEL!AU121</f>
        <v>0</v>
      </c>
      <c r="AV121" s="127">
        <f>BEL!AV121</f>
        <v>0</v>
      </c>
      <c r="AW121" s="127">
        <f>BEL!AW121</f>
        <v>0</v>
      </c>
      <c r="AX121" s="127">
        <f t="shared" si="122"/>
        <v>0</v>
      </c>
      <c r="AY121" s="127">
        <f t="shared" si="123"/>
        <v>0</v>
      </c>
      <c r="AZ121" s="127">
        <f t="shared" si="124"/>
        <v>0</v>
      </c>
      <c r="BA121" s="127">
        <f t="shared" si="125"/>
        <v>0</v>
      </c>
      <c r="BB121" s="127">
        <f t="shared" si="126"/>
        <v>0</v>
      </c>
      <c r="BC121" s="127">
        <f t="shared" si="127"/>
        <v>0</v>
      </c>
      <c r="BD121" s="127">
        <f t="shared" si="128"/>
        <v>0</v>
      </c>
      <c r="BE121" s="127">
        <f t="shared" si="129"/>
        <v>0</v>
      </c>
      <c r="BF121" s="127">
        <f t="shared" si="130"/>
        <v>0</v>
      </c>
      <c r="BG121" s="127">
        <f t="shared" si="131"/>
        <v>0</v>
      </c>
      <c r="BH121" s="127">
        <f t="shared" si="132"/>
        <v>0</v>
      </c>
      <c r="BI121" s="127">
        <f t="shared" si="133"/>
        <v>0</v>
      </c>
      <c r="BJ121" s="189">
        <f t="shared" si="134"/>
        <v>0</v>
      </c>
      <c r="BK121" s="189">
        <f t="shared" si="135"/>
        <v>0</v>
      </c>
      <c r="BL121" s="192">
        <f t="shared" si="136"/>
        <v>0</v>
      </c>
      <c r="BM121" s="192">
        <f t="shared" si="137"/>
        <v>0</v>
      </c>
      <c r="BN121" s="192">
        <f t="shared" si="138"/>
        <v>0</v>
      </c>
      <c r="BO121" s="192">
        <f t="shared" si="139"/>
        <v>0</v>
      </c>
      <c r="BP121" s="192">
        <f t="shared" si="140"/>
        <v>0</v>
      </c>
      <c r="BQ121" s="193">
        <f t="shared" si="141"/>
        <v>0</v>
      </c>
      <c r="BR121" s="193">
        <f t="shared" si="142"/>
        <v>0</v>
      </c>
      <c r="BS121" s="188">
        <f t="shared" si="151"/>
        <v>0</v>
      </c>
      <c r="BT121" s="188">
        <f t="shared" si="152"/>
        <v>0</v>
      </c>
      <c r="BU121" s="188">
        <f t="shared" si="153"/>
        <v>0</v>
      </c>
      <c r="BV121" s="188">
        <f t="shared" si="154"/>
        <v>0</v>
      </c>
      <c r="BW121" s="188">
        <f t="shared" si="155"/>
        <v>0</v>
      </c>
      <c r="BX121" s="188">
        <f t="shared" si="156"/>
        <v>0</v>
      </c>
      <c r="BY121" s="188">
        <f t="shared" si="157"/>
        <v>0</v>
      </c>
      <c r="BZ121" s="188">
        <f t="shared" si="158"/>
        <v>0</v>
      </c>
      <c r="CA121" s="188">
        <f t="shared" si="159"/>
        <v>0</v>
      </c>
      <c r="CB121" s="149">
        <f t="shared" si="160"/>
        <v>0</v>
      </c>
      <c r="CC121" s="149">
        <f>CB121-BEL!CB121</f>
        <v>0</v>
      </c>
      <c r="CD121" s="189">
        <f>IF(AND(C121=0,C122=0),0,CB121/W121) - BEL!CC121</f>
        <v>0</v>
      </c>
      <c r="CF121" s="195">
        <f t="shared" si="143"/>
        <v>0</v>
      </c>
      <c r="CG121" s="127">
        <f t="shared" si="144"/>
        <v>0</v>
      </c>
      <c r="CH121" s="128">
        <f>'DATA INPUT - DETAIL'!AH112</f>
        <v>0</v>
      </c>
      <c r="CI121" s="125">
        <f t="shared" si="145"/>
        <v>0</v>
      </c>
      <c r="CJ121" s="199">
        <f t="shared" si="146"/>
        <v>0</v>
      </c>
      <c r="CL121" s="189">
        <f t="shared" si="147"/>
        <v>0</v>
      </c>
      <c r="CM121" s="149">
        <f t="shared" si="148"/>
        <v>0</v>
      </c>
      <c r="CN121" s="128">
        <f>'DATA INPUT - DETAIL'!AH112</f>
        <v>0</v>
      </c>
      <c r="CO121" s="149">
        <f t="shared" si="149"/>
        <v>0</v>
      </c>
      <c r="CP121" s="149">
        <f t="shared" si="161"/>
        <v>0</v>
      </c>
      <c r="CR121" s="126">
        <f t="shared" si="164"/>
        <v>109</v>
      </c>
      <c r="CS121" s="189">
        <f t="shared" si="165"/>
        <v>0</v>
      </c>
      <c r="CT121" s="200">
        <f>CS121/(BEL!CE121+BEL!CA121-BEL!BU121+'RA CSM'!CF121)</f>
        <v>0</v>
      </c>
      <c r="CU121" s="149">
        <f>$CT121*BEL!CH121</f>
        <v>0</v>
      </c>
      <c r="CV121" s="149">
        <f>$CT121*BEL!CI121</f>
        <v>0</v>
      </c>
      <c r="CW121" s="149">
        <f>$CT121*BEL!CJ121</f>
        <v>0</v>
      </c>
      <c r="CX121" s="149">
        <f>$CT121*BEL!CK121</f>
        <v>0</v>
      </c>
      <c r="CY121" s="149">
        <f t="shared" si="162"/>
        <v>0</v>
      </c>
      <c r="CZ121" s="149">
        <f>$CT121*(BEL!CL121+'RA CSM'!CG121)</f>
        <v>0</v>
      </c>
      <c r="DA121" s="149">
        <f t="shared" si="163"/>
        <v>0</v>
      </c>
    </row>
    <row r="122" spans="2:105" x14ac:dyDescent="0.2">
      <c r="B122" s="130">
        <f>BEL!B122</f>
        <v>0</v>
      </c>
      <c r="C122" s="130">
        <f>BEL!C122</f>
        <v>0</v>
      </c>
      <c r="D122" s="190">
        <f>BEL!D122</f>
        <v>0</v>
      </c>
      <c r="E122" s="190">
        <f>BEL!E122</f>
        <v>0</v>
      </c>
      <c r="F122" s="190">
        <f>BEL!F122</f>
        <v>0</v>
      </c>
      <c r="G122" s="190">
        <f>BEL!G122*(1+$V$5)</f>
        <v>0</v>
      </c>
      <c r="H122" s="190">
        <f>BEL!H122*(1+$V$5)</f>
        <v>0</v>
      </c>
      <c r="I122" s="179">
        <f t="shared" si="102"/>
        <v>0</v>
      </c>
      <c r="J122" s="130">
        <f>BEL!J122</f>
        <v>0</v>
      </c>
      <c r="K122" s="130">
        <f>BEL!K122</f>
        <v>0</v>
      </c>
      <c r="L122" s="130">
        <f>BEL!L122</f>
        <v>0</v>
      </c>
      <c r="M122" s="185">
        <f t="shared" si="166"/>
        <v>0</v>
      </c>
      <c r="N122" s="185">
        <f t="shared" si="103"/>
        <v>0</v>
      </c>
      <c r="O122" s="185">
        <f t="shared" si="104"/>
        <v>0</v>
      </c>
      <c r="P122" s="185">
        <f t="shared" si="105"/>
        <v>0</v>
      </c>
      <c r="Q122" s="185">
        <f t="shared" si="106"/>
        <v>0</v>
      </c>
      <c r="R122" s="185">
        <f t="shared" si="107"/>
        <v>0</v>
      </c>
      <c r="S122" s="185">
        <f t="shared" si="108"/>
        <v>0</v>
      </c>
      <c r="T122" s="185">
        <f t="shared" si="109"/>
        <v>0</v>
      </c>
      <c r="U122" s="196">
        <f>(C122&gt;0)*(C122&lt;$E$5)*VLOOKUP(MPP,ASUMSI!$BN$77:$CR$108,B122+1)*(1+$V$4)</f>
        <v>0</v>
      </c>
      <c r="V122" s="185">
        <f t="shared" si="110"/>
        <v>0</v>
      </c>
      <c r="W122" s="185">
        <f t="shared" si="111"/>
        <v>0</v>
      </c>
      <c r="X122" s="185">
        <f t="shared" si="112"/>
        <v>0</v>
      </c>
      <c r="Y122" s="185">
        <f t="shared" si="113"/>
        <v>0</v>
      </c>
      <c r="Z122" s="185">
        <f t="shared" si="114"/>
        <v>0</v>
      </c>
      <c r="AA122" s="197">
        <f t="shared" si="115"/>
        <v>0</v>
      </c>
      <c r="AB122" s="185">
        <f t="shared" si="116"/>
        <v>0</v>
      </c>
      <c r="AC122" s="185">
        <f t="shared" si="116"/>
        <v>0</v>
      </c>
      <c r="AD122" s="185">
        <f t="shared" si="116"/>
        <v>0</v>
      </c>
      <c r="AE122" s="185">
        <f t="shared" si="117"/>
        <v>0</v>
      </c>
      <c r="AF122" s="185">
        <f t="shared" si="118"/>
        <v>0</v>
      </c>
      <c r="AG122" s="185">
        <f t="shared" si="119"/>
        <v>0</v>
      </c>
      <c r="AH122" s="185">
        <f t="shared" si="120"/>
        <v>0</v>
      </c>
      <c r="AI122" s="125">
        <f>BEL!AI122</f>
        <v>0</v>
      </c>
      <c r="AJ122" s="125">
        <f>BEL!AJ122</f>
        <v>0</v>
      </c>
      <c r="AK122" s="125">
        <f>BEL!AK122</f>
        <v>0</v>
      </c>
      <c r="AL122" s="125">
        <f>BEL!AL122</f>
        <v>0</v>
      </c>
      <c r="AM122" s="125">
        <f>BEL!AM122</f>
        <v>0</v>
      </c>
      <c r="AN122" s="125">
        <f>BEL!AN122</f>
        <v>0</v>
      </c>
      <c r="AO122" s="198">
        <f t="shared" si="121"/>
        <v>0</v>
      </c>
      <c r="AP122" s="125">
        <f>BEL!AP122</f>
        <v>0</v>
      </c>
      <c r="AQ122" s="125">
        <f>BEL!AQ122</f>
        <v>0</v>
      </c>
      <c r="AR122" s="125">
        <f>BEL!AR122</f>
        <v>0</v>
      </c>
      <c r="AS122" s="125">
        <f>BEL!AS122</f>
        <v>0</v>
      </c>
      <c r="AT122" s="125">
        <f>BEL!AT122</f>
        <v>0</v>
      </c>
      <c r="AU122" s="127">
        <f>BEL!AU122</f>
        <v>0</v>
      </c>
      <c r="AV122" s="127">
        <f>BEL!AV122</f>
        <v>0</v>
      </c>
      <c r="AW122" s="127">
        <f>BEL!AW122</f>
        <v>0</v>
      </c>
      <c r="AX122" s="127">
        <f t="shared" si="122"/>
        <v>0</v>
      </c>
      <c r="AY122" s="127">
        <f t="shared" si="123"/>
        <v>0</v>
      </c>
      <c r="AZ122" s="127">
        <f t="shared" si="124"/>
        <v>0</v>
      </c>
      <c r="BA122" s="127">
        <f t="shared" si="125"/>
        <v>0</v>
      </c>
      <c r="BB122" s="127">
        <f t="shared" si="126"/>
        <v>0</v>
      </c>
      <c r="BC122" s="127">
        <f t="shared" si="127"/>
        <v>0</v>
      </c>
      <c r="BD122" s="127">
        <f t="shared" si="128"/>
        <v>0</v>
      </c>
      <c r="BE122" s="127">
        <f t="shared" si="129"/>
        <v>0</v>
      </c>
      <c r="BF122" s="127">
        <f t="shared" si="130"/>
        <v>0</v>
      </c>
      <c r="BG122" s="127">
        <f t="shared" si="131"/>
        <v>0</v>
      </c>
      <c r="BH122" s="127">
        <f t="shared" si="132"/>
        <v>0</v>
      </c>
      <c r="BI122" s="127">
        <f t="shared" si="133"/>
        <v>0</v>
      </c>
      <c r="BJ122" s="189">
        <f t="shared" si="134"/>
        <v>0</v>
      </c>
      <c r="BK122" s="189">
        <f t="shared" si="135"/>
        <v>0</v>
      </c>
      <c r="BL122" s="192">
        <f t="shared" si="136"/>
        <v>0</v>
      </c>
      <c r="BM122" s="192">
        <f t="shared" si="137"/>
        <v>0</v>
      </c>
      <c r="BN122" s="192">
        <f t="shared" si="138"/>
        <v>0</v>
      </c>
      <c r="BO122" s="192">
        <f t="shared" si="139"/>
        <v>0</v>
      </c>
      <c r="BP122" s="192">
        <f t="shared" si="140"/>
        <v>0</v>
      </c>
      <c r="BQ122" s="193">
        <f t="shared" si="141"/>
        <v>0</v>
      </c>
      <c r="BR122" s="193">
        <f t="shared" si="142"/>
        <v>0</v>
      </c>
      <c r="BS122" s="188">
        <f t="shared" si="151"/>
        <v>0</v>
      </c>
      <c r="BT122" s="188">
        <f t="shared" si="152"/>
        <v>0</v>
      </c>
      <c r="BU122" s="188">
        <f t="shared" si="153"/>
        <v>0</v>
      </c>
      <c r="BV122" s="188">
        <f t="shared" si="154"/>
        <v>0</v>
      </c>
      <c r="BW122" s="188">
        <f t="shared" si="155"/>
        <v>0</v>
      </c>
      <c r="BX122" s="188">
        <f t="shared" si="156"/>
        <v>0</v>
      </c>
      <c r="BY122" s="188">
        <f t="shared" si="157"/>
        <v>0</v>
      </c>
      <c r="BZ122" s="188">
        <f t="shared" si="158"/>
        <v>0</v>
      </c>
      <c r="CA122" s="188">
        <f t="shared" si="159"/>
        <v>0</v>
      </c>
      <c r="CB122" s="149">
        <f t="shared" si="160"/>
        <v>0</v>
      </c>
      <c r="CC122" s="149">
        <f>CB122-BEL!CB122</f>
        <v>0</v>
      </c>
      <c r="CD122" s="189">
        <f>IF(AND(C122=0,C123=0),0,CB122/W122) - BEL!CC122</f>
        <v>0</v>
      </c>
      <c r="CF122" s="195">
        <f t="shared" si="143"/>
        <v>0</v>
      </c>
      <c r="CG122" s="127">
        <f t="shared" si="144"/>
        <v>0</v>
      </c>
      <c r="CH122" s="128">
        <f>'DATA INPUT - DETAIL'!AH113</f>
        <v>0</v>
      </c>
      <c r="CI122" s="125">
        <f t="shared" si="145"/>
        <v>0</v>
      </c>
      <c r="CJ122" s="199">
        <f t="shared" si="146"/>
        <v>0</v>
      </c>
      <c r="CL122" s="189">
        <f t="shared" si="147"/>
        <v>0</v>
      </c>
      <c r="CM122" s="149">
        <f t="shared" si="148"/>
        <v>0</v>
      </c>
      <c r="CN122" s="128">
        <f>'DATA INPUT - DETAIL'!AH113</f>
        <v>0</v>
      </c>
      <c r="CO122" s="149">
        <f t="shared" si="149"/>
        <v>0</v>
      </c>
      <c r="CP122" s="149">
        <f t="shared" si="161"/>
        <v>0</v>
      </c>
      <c r="CR122" s="126">
        <f t="shared" si="164"/>
        <v>110</v>
      </c>
      <c r="CS122" s="189">
        <f t="shared" si="165"/>
        <v>0</v>
      </c>
      <c r="CT122" s="200">
        <f>CS122/(BEL!CE122+BEL!CA122-BEL!BU122+'RA CSM'!CF122)</f>
        <v>0</v>
      </c>
      <c r="CU122" s="149">
        <f>$CT122*BEL!CH122</f>
        <v>0</v>
      </c>
      <c r="CV122" s="149">
        <f>$CT122*BEL!CI122</f>
        <v>0</v>
      </c>
      <c r="CW122" s="149">
        <f>$CT122*BEL!CJ122</f>
        <v>0</v>
      </c>
      <c r="CX122" s="149">
        <f>$CT122*BEL!CK122</f>
        <v>0</v>
      </c>
      <c r="CY122" s="149">
        <f t="shared" si="162"/>
        <v>0</v>
      </c>
      <c r="CZ122" s="149">
        <f>$CT122*(BEL!CL122+'RA CSM'!CG122)</f>
        <v>0</v>
      </c>
      <c r="DA122" s="149">
        <f t="shared" si="163"/>
        <v>0</v>
      </c>
    </row>
    <row r="123" spans="2:105" x14ac:dyDescent="0.2">
      <c r="B123" s="130">
        <f>BEL!B123</f>
        <v>0</v>
      </c>
      <c r="C123" s="130">
        <f>BEL!C123</f>
        <v>0</v>
      </c>
      <c r="D123" s="190">
        <f>BEL!D123</f>
        <v>0</v>
      </c>
      <c r="E123" s="190">
        <f>BEL!E123</f>
        <v>0</v>
      </c>
      <c r="F123" s="190">
        <f>BEL!F123</f>
        <v>0</v>
      </c>
      <c r="G123" s="190">
        <f>BEL!G123*(1+$V$5)</f>
        <v>0</v>
      </c>
      <c r="H123" s="190">
        <f>BEL!H123*(1+$V$5)</f>
        <v>0</v>
      </c>
      <c r="I123" s="179">
        <f t="shared" si="102"/>
        <v>0</v>
      </c>
      <c r="J123" s="130">
        <f>BEL!J123</f>
        <v>0</v>
      </c>
      <c r="K123" s="130">
        <f>BEL!K123</f>
        <v>0</v>
      </c>
      <c r="L123" s="130">
        <f>BEL!L123</f>
        <v>0</v>
      </c>
      <c r="M123" s="185">
        <f t="shared" si="166"/>
        <v>0</v>
      </c>
      <c r="N123" s="185">
        <f t="shared" si="103"/>
        <v>0</v>
      </c>
      <c r="O123" s="185">
        <f t="shared" si="104"/>
        <v>0</v>
      </c>
      <c r="P123" s="185">
        <f t="shared" si="105"/>
        <v>0</v>
      </c>
      <c r="Q123" s="185">
        <f t="shared" si="106"/>
        <v>0</v>
      </c>
      <c r="R123" s="185">
        <f t="shared" si="107"/>
        <v>0</v>
      </c>
      <c r="S123" s="185">
        <f t="shared" si="108"/>
        <v>0</v>
      </c>
      <c r="T123" s="185">
        <f t="shared" si="109"/>
        <v>0</v>
      </c>
      <c r="U123" s="196">
        <f>(C123&gt;0)*(C123&lt;$E$5)*VLOOKUP(MPP,ASUMSI!$BN$77:$CR$108,B123+1)*(1+$V$4)</f>
        <v>0</v>
      </c>
      <c r="V123" s="185">
        <f t="shared" si="110"/>
        <v>0</v>
      </c>
      <c r="W123" s="185">
        <f t="shared" si="111"/>
        <v>0</v>
      </c>
      <c r="X123" s="185">
        <f t="shared" si="112"/>
        <v>0</v>
      </c>
      <c r="Y123" s="185">
        <f t="shared" si="113"/>
        <v>0</v>
      </c>
      <c r="Z123" s="185">
        <f t="shared" si="114"/>
        <v>0</v>
      </c>
      <c r="AA123" s="197">
        <f t="shared" si="115"/>
        <v>0</v>
      </c>
      <c r="AB123" s="185">
        <f t="shared" si="116"/>
        <v>0</v>
      </c>
      <c r="AC123" s="185">
        <f t="shared" si="116"/>
        <v>0</v>
      </c>
      <c r="AD123" s="185">
        <f t="shared" si="116"/>
        <v>0</v>
      </c>
      <c r="AE123" s="185">
        <f t="shared" si="117"/>
        <v>0</v>
      </c>
      <c r="AF123" s="185">
        <f t="shared" si="118"/>
        <v>0</v>
      </c>
      <c r="AG123" s="185">
        <f t="shared" si="119"/>
        <v>0</v>
      </c>
      <c r="AH123" s="185">
        <f t="shared" si="120"/>
        <v>0</v>
      </c>
      <c r="AI123" s="125">
        <f>BEL!AI123</f>
        <v>0</v>
      </c>
      <c r="AJ123" s="125">
        <f>BEL!AJ123</f>
        <v>0</v>
      </c>
      <c r="AK123" s="125">
        <f>BEL!AK123</f>
        <v>0</v>
      </c>
      <c r="AL123" s="125">
        <f>BEL!AL123</f>
        <v>0</v>
      </c>
      <c r="AM123" s="125">
        <f>BEL!AM123</f>
        <v>0</v>
      </c>
      <c r="AN123" s="125">
        <f>BEL!AN123</f>
        <v>0</v>
      </c>
      <c r="AO123" s="198">
        <f t="shared" si="121"/>
        <v>0</v>
      </c>
      <c r="AP123" s="125">
        <f>BEL!AP123</f>
        <v>0</v>
      </c>
      <c r="AQ123" s="125">
        <f>BEL!AQ123</f>
        <v>0</v>
      </c>
      <c r="AR123" s="125">
        <f>BEL!AR123</f>
        <v>0</v>
      </c>
      <c r="AS123" s="125">
        <f>BEL!AS123</f>
        <v>0</v>
      </c>
      <c r="AT123" s="125">
        <f>BEL!AT123</f>
        <v>0</v>
      </c>
      <c r="AU123" s="127">
        <f>BEL!AU123</f>
        <v>0</v>
      </c>
      <c r="AV123" s="127">
        <f>BEL!AV123</f>
        <v>0</v>
      </c>
      <c r="AW123" s="127">
        <f>BEL!AW123</f>
        <v>0</v>
      </c>
      <c r="AX123" s="127">
        <f t="shared" si="122"/>
        <v>0</v>
      </c>
      <c r="AY123" s="127">
        <f t="shared" si="123"/>
        <v>0</v>
      </c>
      <c r="AZ123" s="127">
        <f t="shared" si="124"/>
        <v>0</v>
      </c>
      <c r="BA123" s="127">
        <f t="shared" si="125"/>
        <v>0</v>
      </c>
      <c r="BB123" s="127">
        <f t="shared" si="126"/>
        <v>0</v>
      </c>
      <c r="BC123" s="127">
        <f t="shared" si="127"/>
        <v>0</v>
      </c>
      <c r="BD123" s="127">
        <f t="shared" si="128"/>
        <v>0</v>
      </c>
      <c r="BE123" s="127">
        <f t="shared" si="129"/>
        <v>0</v>
      </c>
      <c r="BF123" s="127">
        <f t="shared" si="130"/>
        <v>0</v>
      </c>
      <c r="BG123" s="127">
        <f t="shared" si="131"/>
        <v>0</v>
      </c>
      <c r="BH123" s="127">
        <f t="shared" si="132"/>
        <v>0</v>
      </c>
      <c r="BI123" s="127">
        <f t="shared" si="133"/>
        <v>0</v>
      </c>
      <c r="BJ123" s="189">
        <f t="shared" si="134"/>
        <v>0</v>
      </c>
      <c r="BK123" s="189">
        <f t="shared" si="135"/>
        <v>0</v>
      </c>
      <c r="BL123" s="192">
        <f t="shared" si="136"/>
        <v>0</v>
      </c>
      <c r="BM123" s="192">
        <f t="shared" si="137"/>
        <v>0</v>
      </c>
      <c r="BN123" s="192">
        <f t="shared" si="138"/>
        <v>0</v>
      </c>
      <c r="BO123" s="192">
        <f t="shared" si="139"/>
        <v>0</v>
      </c>
      <c r="BP123" s="192">
        <f t="shared" si="140"/>
        <v>0</v>
      </c>
      <c r="BQ123" s="193">
        <f t="shared" si="141"/>
        <v>0</v>
      </c>
      <c r="BR123" s="193">
        <f t="shared" si="142"/>
        <v>0</v>
      </c>
      <c r="BS123" s="188">
        <f t="shared" si="151"/>
        <v>0</v>
      </c>
      <c r="BT123" s="188">
        <f t="shared" si="152"/>
        <v>0</v>
      </c>
      <c r="BU123" s="188">
        <f t="shared" si="153"/>
        <v>0</v>
      </c>
      <c r="BV123" s="188">
        <f t="shared" si="154"/>
        <v>0</v>
      </c>
      <c r="BW123" s="188">
        <f t="shared" si="155"/>
        <v>0</v>
      </c>
      <c r="BX123" s="188">
        <f t="shared" si="156"/>
        <v>0</v>
      </c>
      <c r="BY123" s="188">
        <f t="shared" si="157"/>
        <v>0</v>
      </c>
      <c r="BZ123" s="188">
        <f t="shared" si="158"/>
        <v>0</v>
      </c>
      <c r="CA123" s="188">
        <f t="shared" si="159"/>
        <v>0</v>
      </c>
      <c r="CB123" s="149">
        <f t="shared" si="160"/>
        <v>0</v>
      </c>
      <c r="CC123" s="149">
        <f>CB123-BEL!CB123</f>
        <v>0</v>
      </c>
      <c r="CD123" s="189">
        <f>IF(AND(C123=0,C124=0),0,CB123/W123) - BEL!CC123</f>
        <v>0</v>
      </c>
      <c r="CF123" s="195">
        <f t="shared" si="143"/>
        <v>0</v>
      </c>
      <c r="CG123" s="127">
        <f t="shared" si="144"/>
        <v>0</v>
      </c>
      <c r="CH123" s="128">
        <f>'DATA INPUT - DETAIL'!AH114</f>
        <v>0</v>
      </c>
      <c r="CI123" s="125">
        <f t="shared" si="145"/>
        <v>0</v>
      </c>
      <c r="CJ123" s="199">
        <f t="shared" si="146"/>
        <v>0</v>
      </c>
      <c r="CL123" s="189">
        <f t="shared" si="147"/>
        <v>0</v>
      </c>
      <c r="CM123" s="149">
        <f t="shared" si="148"/>
        <v>0</v>
      </c>
      <c r="CN123" s="128">
        <f>'DATA INPUT - DETAIL'!AH114</f>
        <v>0</v>
      </c>
      <c r="CO123" s="149">
        <f t="shared" si="149"/>
        <v>0</v>
      </c>
      <c r="CP123" s="149">
        <f t="shared" si="161"/>
        <v>0</v>
      </c>
      <c r="CR123" s="126">
        <f t="shared" si="164"/>
        <v>111</v>
      </c>
      <c r="CS123" s="189">
        <f t="shared" si="165"/>
        <v>0</v>
      </c>
      <c r="CT123" s="200">
        <f>CS123/(BEL!CE123+BEL!CA123-BEL!BU123+'RA CSM'!CF123)</f>
        <v>0</v>
      </c>
      <c r="CU123" s="149">
        <f>$CT123*BEL!CH123</f>
        <v>0</v>
      </c>
      <c r="CV123" s="149">
        <f>$CT123*BEL!CI123</f>
        <v>0</v>
      </c>
      <c r="CW123" s="149">
        <f>$CT123*BEL!CJ123</f>
        <v>0</v>
      </c>
      <c r="CX123" s="149">
        <f>$CT123*BEL!CK123</f>
        <v>0</v>
      </c>
      <c r="CY123" s="149">
        <f t="shared" si="162"/>
        <v>0</v>
      </c>
      <c r="CZ123" s="149">
        <f>$CT123*(BEL!CL123+'RA CSM'!CG123)</f>
        <v>0</v>
      </c>
      <c r="DA123" s="149">
        <f t="shared" si="163"/>
        <v>0</v>
      </c>
    </row>
    <row r="124" spans="2:105" x14ac:dyDescent="0.2">
      <c r="B124" s="130">
        <f>BEL!B124</f>
        <v>0</v>
      </c>
      <c r="C124" s="130">
        <f>BEL!C124</f>
        <v>0</v>
      </c>
      <c r="D124" s="190">
        <f>BEL!D124</f>
        <v>0</v>
      </c>
      <c r="E124" s="190">
        <f>BEL!E124</f>
        <v>0</v>
      </c>
      <c r="F124" s="190">
        <f>BEL!F124</f>
        <v>0</v>
      </c>
      <c r="G124" s="190">
        <f>BEL!G124*(1+$V$5)</f>
        <v>0</v>
      </c>
      <c r="H124" s="190">
        <f>BEL!H124*(1+$V$5)</f>
        <v>0</v>
      </c>
      <c r="I124" s="179">
        <f t="shared" si="102"/>
        <v>0</v>
      </c>
      <c r="J124" s="130">
        <f>BEL!J124</f>
        <v>0</v>
      </c>
      <c r="K124" s="130">
        <f>BEL!K124</f>
        <v>0</v>
      </c>
      <c r="L124" s="130">
        <f>BEL!L124</f>
        <v>0</v>
      </c>
      <c r="M124" s="185">
        <f t="shared" si="166"/>
        <v>0</v>
      </c>
      <c r="N124" s="185">
        <f t="shared" si="103"/>
        <v>0</v>
      </c>
      <c r="O124" s="185">
        <f t="shared" si="104"/>
        <v>0</v>
      </c>
      <c r="P124" s="185">
        <f t="shared" si="105"/>
        <v>0</v>
      </c>
      <c r="Q124" s="185">
        <f t="shared" si="106"/>
        <v>0</v>
      </c>
      <c r="R124" s="185">
        <f t="shared" si="107"/>
        <v>0</v>
      </c>
      <c r="S124" s="185">
        <f t="shared" si="108"/>
        <v>0</v>
      </c>
      <c r="T124" s="185">
        <f t="shared" si="109"/>
        <v>0</v>
      </c>
      <c r="U124" s="196">
        <f>(C124&gt;0)*(C124&lt;$E$5)*VLOOKUP(MPP,ASUMSI!$BN$77:$CR$108,B124+1)*(1+$V$4)</f>
        <v>0</v>
      </c>
      <c r="V124" s="185">
        <f t="shared" si="110"/>
        <v>0</v>
      </c>
      <c r="W124" s="185">
        <f t="shared" si="111"/>
        <v>0</v>
      </c>
      <c r="X124" s="185">
        <f t="shared" si="112"/>
        <v>0</v>
      </c>
      <c r="Y124" s="185">
        <f t="shared" si="113"/>
        <v>0</v>
      </c>
      <c r="Z124" s="185">
        <f t="shared" si="114"/>
        <v>0</v>
      </c>
      <c r="AA124" s="197">
        <f t="shared" si="115"/>
        <v>0</v>
      </c>
      <c r="AB124" s="185">
        <f t="shared" si="116"/>
        <v>0</v>
      </c>
      <c r="AC124" s="185">
        <f t="shared" si="116"/>
        <v>0</v>
      </c>
      <c r="AD124" s="185">
        <f t="shared" si="116"/>
        <v>0</v>
      </c>
      <c r="AE124" s="185">
        <f t="shared" si="117"/>
        <v>0</v>
      </c>
      <c r="AF124" s="185">
        <f t="shared" si="118"/>
        <v>0</v>
      </c>
      <c r="AG124" s="185">
        <f t="shared" si="119"/>
        <v>0</v>
      </c>
      <c r="AH124" s="185">
        <f t="shared" si="120"/>
        <v>0</v>
      </c>
      <c r="AI124" s="125">
        <f>BEL!AI124</f>
        <v>0</v>
      </c>
      <c r="AJ124" s="125">
        <f>BEL!AJ124</f>
        <v>0</v>
      </c>
      <c r="AK124" s="125">
        <f>BEL!AK124</f>
        <v>0</v>
      </c>
      <c r="AL124" s="125">
        <f>BEL!AL124</f>
        <v>0</v>
      </c>
      <c r="AM124" s="125">
        <f>BEL!AM124</f>
        <v>0</v>
      </c>
      <c r="AN124" s="125">
        <f>BEL!AN124</f>
        <v>0</v>
      </c>
      <c r="AO124" s="198">
        <f t="shared" si="121"/>
        <v>0</v>
      </c>
      <c r="AP124" s="125">
        <f>BEL!AP124</f>
        <v>0</v>
      </c>
      <c r="AQ124" s="125">
        <f>BEL!AQ124</f>
        <v>0</v>
      </c>
      <c r="AR124" s="125">
        <f>BEL!AR124</f>
        <v>0</v>
      </c>
      <c r="AS124" s="125">
        <f>BEL!AS124</f>
        <v>0</v>
      </c>
      <c r="AT124" s="125">
        <f>BEL!AT124</f>
        <v>0</v>
      </c>
      <c r="AU124" s="127">
        <f>BEL!AU124</f>
        <v>0</v>
      </c>
      <c r="AV124" s="127">
        <f>BEL!AV124</f>
        <v>0</v>
      </c>
      <c r="AW124" s="127">
        <f>BEL!AW124</f>
        <v>0</v>
      </c>
      <c r="AX124" s="127">
        <f t="shared" si="122"/>
        <v>0</v>
      </c>
      <c r="AY124" s="127">
        <f t="shared" si="123"/>
        <v>0</v>
      </c>
      <c r="AZ124" s="127">
        <f t="shared" si="124"/>
        <v>0</v>
      </c>
      <c r="BA124" s="127">
        <f t="shared" si="125"/>
        <v>0</v>
      </c>
      <c r="BB124" s="127">
        <f t="shared" si="126"/>
        <v>0</v>
      </c>
      <c r="BC124" s="127">
        <f t="shared" si="127"/>
        <v>0</v>
      </c>
      <c r="BD124" s="127">
        <f t="shared" si="128"/>
        <v>0</v>
      </c>
      <c r="BE124" s="127">
        <f t="shared" si="129"/>
        <v>0</v>
      </c>
      <c r="BF124" s="127">
        <f t="shared" si="130"/>
        <v>0</v>
      </c>
      <c r="BG124" s="127">
        <f t="shared" si="131"/>
        <v>0</v>
      </c>
      <c r="BH124" s="127">
        <f t="shared" si="132"/>
        <v>0</v>
      </c>
      <c r="BI124" s="127">
        <f t="shared" si="133"/>
        <v>0</v>
      </c>
      <c r="BJ124" s="189">
        <f t="shared" si="134"/>
        <v>0</v>
      </c>
      <c r="BK124" s="189">
        <f t="shared" si="135"/>
        <v>0</v>
      </c>
      <c r="BL124" s="192">
        <f t="shared" si="136"/>
        <v>0</v>
      </c>
      <c r="BM124" s="192">
        <f t="shared" si="137"/>
        <v>0</v>
      </c>
      <c r="BN124" s="192">
        <f t="shared" si="138"/>
        <v>0</v>
      </c>
      <c r="BO124" s="192">
        <f t="shared" si="139"/>
        <v>0</v>
      </c>
      <c r="BP124" s="192">
        <f t="shared" si="140"/>
        <v>0</v>
      </c>
      <c r="BQ124" s="193">
        <f t="shared" si="141"/>
        <v>0</v>
      </c>
      <c r="BR124" s="193">
        <f t="shared" si="142"/>
        <v>0</v>
      </c>
      <c r="BS124" s="188">
        <f t="shared" si="151"/>
        <v>0</v>
      </c>
      <c r="BT124" s="188">
        <f t="shared" si="152"/>
        <v>0</v>
      </c>
      <c r="BU124" s="188">
        <f t="shared" si="153"/>
        <v>0</v>
      </c>
      <c r="BV124" s="188">
        <f t="shared" si="154"/>
        <v>0</v>
      </c>
      <c r="BW124" s="188">
        <f t="shared" si="155"/>
        <v>0</v>
      </c>
      <c r="BX124" s="188">
        <f t="shared" si="156"/>
        <v>0</v>
      </c>
      <c r="BY124" s="188">
        <f t="shared" si="157"/>
        <v>0</v>
      </c>
      <c r="BZ124" s="188">
        <f t="shared" si="158"/>
        <v>0</v>
      </c>
      <c r="CA124" s="188">
        <f t="shared" si="159"/>
        <v>0</v>
      </c>
      <c r="CB124" s="149">
        <f t="shared" si="160"/>
        <v>0</v>
      </c>
      <c r="CC124" s="149">
        <f>CB124-BEL!CB124</f>
        <v>0</v>
      </c>
      <c r="CD124" s="189">
        <f>IF(AND(C124=0,C125=0),0,CB124/W124) - BEL!CC124</f>
        <v>0</v>
      </c>
      <c r="CF124" s="195">
        <f t="shared" si="143"/>
        <v>0</v>
      </c>
      <c r="CG124" s="127">
        <f t="shared" si="144"/>
        <v>0</v>
      </c>
      <c r="CH124" s="128">
        <f>'DATA INPUT - DETAIL'!AH115</f>
        <v>0</v>
      </c>
      <c r="CI124" s="125">
        <f t="shared" si="145"/>
        <v>0</v>
      </c>
      <c r="CJ124" s="199">
        <f t="shared" si="146"/>
        <v>0</v>
      </c>
      <c r="CL124" s="189">
        <f t="shared" si="147"/>
        <v>0</v>
      </c>
      <c r="CM124" s="149">
        <f t="shared" si="148"/>
        <v>0</v>
      </c>
      <c r="CN124" s="128">
        <f>'DATA INPUT - DETAIL'!AH115</f>
        <v>0</v>
      </c>
      <c r="CO124" s="149">
        <f t="shared" si="149"/>
        <v>0</v>
      </c>
      <c r="CP124" s="149">
        <f t="shared" si="161"/>
        <v>0</v>
      </c>
      <c r="CR124" s="126">
        <f t="shared" si="164"/>
        <v>112</v>
      </c>
      <c r="CS124" s="189">
        <f t="shared" si="165"/>
        <v>0</v>
      </c>
      <c r="CT124" s="200">
        <f>CS124/(BEL!CE124+BEL!CA124-BEL!BU124+'RA CSM'!CF124)</f>
        <v>0</v>
      </c>
      <c r="CU124" s="149">
        <f>$CT124*BEL!CH124</f>
        <v>0</v>
      </c>
      <c r="CV124" s="149">
        <f>$CT124*BEL!CI124</f>
        <v>0</v>
      </c>
      <c r="CW124" s="149">
        <f>$CT124*BEL!CJ124</f>
        <v>0</v>
      </c>
      <c r="CX124" s="149">
        <f>$CT124*BEL!CK124</f>
        <v>0</v>
      </c>
      <c r="CY124" s="149">
        <f t="shared" si="162"/>
        <v>0</v>
      </c>
      <c r="CZ124" s="149">
        <f>$CT124*(BEL!CL124+'RA CSM'!CG124)</f>
        <v>0</v>
      </c>
      <c r="DA124" s="149">
        <f t="shared" si="163"/>
        <v>0</v>
      </c>
    </row>
    <row r="125" spans="2:105" x14ac:dyDescent="0.2">
      <c r="B125" s="130">
        <f>BEL!B125</f>
        <v>0</v>
      </c>
      <c r="C125" s="130">
        <f>BEL!C125</f>
        <v>0</v>
      </c>
      <c r="D125" s="190">
        <f>BEL!D125</f>
        <v>0</v>
      </c>
      <c r="E125" s="190">
        <f>BEL!E125</f>
        <v>0</v>
      </c>
      <c r="F125" s="190">
        <f>BEL!F125</f>
        <v>0</v>
      </c>
      <c r="G125" s="190">
        <f>BEL!G125*(1+$V$5)</f>
        <v>0</v>
      </c>
      <c r="H125" s="190">
        <f>BEL!H125*(1+$V$5)</f>
        <v>0</v>
      </c>
      <c r="I125" s="179">
        <f t="shared" si="102"/>
        <v>0</v>
      </c>
      <c r="J125" s="130">
        <f>BEL!J125</f>
        <v>0</v>
      </c>
      <c r="K125" s="130">
        <f>BEL!K125</f>
        <v>0</v>
      </c>
      <c r="L125" s="130">
        <f>BEL!L125</f>
        <v>0</v>
      </c>
      <c r="M125" s="185">
        <f t="shared" si="166"/>
        <v>0</v>
      </c>
      <c r="N125" s="185">
        <f t="shared" si="103"/>
        <v>0</v>
      </c>
      <c r="O125" s="185">
        <f t="shared" si="104"/>
        <v>0</v>
      </c>
      <c r="P125" s="185">
        <f t="shared" si="105"/>
        <v>0</v>
      </c>
      <c r="Q125" s="185">
        <f t="shared" si="106"/>
        <v>0</v>
      </c>
      <c r="R125" s="185">
        <f t="shared" si="107"/>
        <v>0</v>
      </c>
      <c r="S125" s="185">
        <f t="shared" si="108"/>
        <v>0</v>
      </c>
      <c r="T125" s="185">
        <f t="shared" si="109"/>
        <v>0</v>
      </c>
      <c r="U125" s="196">
        <f>(C125&gt;0)*(C125&lt;$E$5)*VLOOKUP(MPP,ASUMSI!$BN$77:$CR$108,B125+1)*(1+$V$4)</f>
        <v>0</v>
      </c>
      <c r="V125" s="185">
        <f t="shared" si="110"/>
        <v>0</v>
      </c>
      <c r="W125" s="185">
        <f t="shared" si="111"/>
        <v>0</v>
      </c>
      <c r="X125" s="185">
        <f t="shared" si="112"/>
        <v>0</v>
      </c>
      <c r="Y125" s="185">
        <f t="shared" si="113"/>
        <v>0</v>
      </c>
      <c r="Z125" s="185">
        <f t="shared" si="114"/>
        <v>0</v>
      </c>
      <c r="AA125" s="197">
        <f t="shared" si="115"/>
        <v>0</v>
      </c>
      <c r="AB125" s="185">
        <f t="shared" si="116"/>
        <v>0</v>
      </c>
      <c r="AC125" s="185">
        <f t="shared" si="116"/>
        <v>0</v>
      </c>
      <c r="AD125" s="185">
        <f t="shared" si="116"/>
        <v>0</v>
      </c>
      <c r="AE125" s="185">
        <f t="shared" si="117"/>
        <v>0</v>
      </c>
      <c r="AF125" s="185">
        <f t="shared" si="118"/>
        <v>0</v>
      </c>
      <c r="AG125" s="185">
        <f t="shared" si="119"/>
        <v>0</v>
      </c>
      <c r="AH125" s="185">
        <f t="shared" si="120"/>
        <v>0</v>
      </c>
      <c r="AI125" s="125">
        <f>BEL!AI125</f>
        <v>0</v>
      </c>
      <c r="AJ125" s="125">
        <f>BEL!AJ125</f>
        <v>0</v>
      </c>
      <c r="AK125" s="125">
        <f>BEL!AK125</f>
        <v>0</v>
      </c>
      <c r="AL125" s="125">
        <f>BEL!AL125</f>
        <v>0</v>
      </c>
      <c r="AM125" s="125">
        <f>BEL!AM125</f>
        <v>0</v>
      </c>
      <c r="AN125" s="125">
        <f>BEL!AN125</f>
        <v>0</v>
      </c>
      <c r="AO125" s="198">
        <f t="shared" si="121"/>
        <v>0</v>
      </c>
      <c r="AP125" s="125">
        <f>BEL!AP125</f>
        <v>0</v>
      </c>
      <c r="AQ125" s="125">
        <f>BEL!AQ125</f>
        <v>0</v>
      </c>
      <c r="AR125" s="125">
        <f>BEL!AR125</f>
        <v>0</v>
      </c>
      <c r="AS125" s="125">
        <f>BEL!AS125</f>
        <v>0</v>
      </c>
      <c r="AT125" s="125">
        <f>BEL!AT125</f>
        <v>0</v>
      </c>
      <c r="AU125" s="127">
        <f>BEL!AU125</f>
        <v>0</v>
      </c>
      <c r="AV125" s="127">
        <f>BEL!AV125</f>
        <v>0</v>
      </c>
      <c r="AW125" s="127">
        <f>BEL!AW125</f>
        <v>0</v>
      </c>
      <c r="AX125" s="127">
        <f t="shared" si="122"/>
        <v>0</v>
      </c>
      <c r="AY125" s="127">
        <f t="shared" si="123"/>
        <v>0</v>
      </c>
      <c r="AZ125" s="127">
        <f t="shared" si="124"/>
        <v>0</v>
      </c>
      <c r="BA125" s="127">
        <f t="shared" si="125"/>
        <v>0</v>
      </c>
      <c r="BB125" s="127">
        <f t="shared" si="126"/>
        <v>0</v>
      </c>
      <c r="BC125" s="127">
        <f t="shared" si="127"/>
        <v>0</v>
      </c>
      <c r="BD125" s="127">
        <f t="shared" si="128"/>
        <v>0</v>
      </c>
      <c r="BE125" s="127">
        <f t="shared" si="129"/>
        <v>0</v>
      </c>
      <c r="BF125" s="127">
        <f t="shared" si="130"/>
        <v>0</v>
      </c>
      <c r="BG125" s="127">
        <f t="shared" si="131"/>
        <v>0</v>
      </c>
      <c r="BH125" s="127">
        <f t="shared" si="132"/>
        <v>0</v>
      </c>
      <c r="BI125" s="127">
        <f t="shared" si="133"/>
        <v>0</v>
      </c>
      <c r="BJ125" s="189">
        <f t="shared" si="134"/>
        <v>0</v>
      </c>
      <c r="BK125" s="189">
        <f t="shared" si="135"/>
        <v>0</v>
      </c>
      <c r="BL125" s="192">
        <f t="shared" si="136"/>
        <v>0</v>
      </c>
      <c r="BM125" s="192">
        <f t="shared" si="137"/>
        <v>0</v>
      </c>
      <c r="BN125" s="192">
        <f t="shared" si="138"/>
        <v>0</v>
      </c>
      <c r="BO125" s="192">
        <f t="shared" si="139"/>
        <v>0</v>
      </c>
      <c r="BP125" s="192">
        <f t="shared" si="140"/>
        <v>0</v>
      </c>
      <c r="BQ125" s="193">
        <f t="shared" si="141"/>
        <v>0</v>
      </c>
      <c r="BR125" s="193">
        <f t="shared" si="142"/>
        <v>0</v>
      </c>
      <c r="BS125" s="188">
        <f t="shared" si="151"/>
        <v>0</v>
      </c>
      <c r="BT125" s="188">
        <f t="shared" si="152"/>
        <v>0</v>
      </c>
      <c r="BU125" s="188">
        <f t="shared" si="153"/>
        <v>0</v>
      </c>
      <c r="BV125" s="188">
        <f t="shared" si="154"/>
        <v>0</v>
      </c>
      <c r="BW125" s="188">
        <f t="shared" si="155"/>
        <v>0</v>
      </c>
      <c r="BX125" s="188">
        <f t="shared" si="156"/>
        <v>0</v>
      </c>
      <c r="BY125" s="188">
        <f t="shared" si="157"/>
        <v>0</v>
      </c>
      <c r="BZ125" s="188">
        <f t="shared" si="158"/>
        <v>0</v>
      </c>
      <c r="CA125" s="188">
        <f t="shared" si="159"/>
        <v>0</v>
      </c>
      <c r="CB125" s="149">
        <f t="shared" si="160"/>
        <v>0</v>
      </c>
      <c r="CC125" s="149">
        <f>CB125-BEL!CB125</f>
        <v>0</v>
      </c>
      <c r="CD125" s="189">
        <f>IF(AND(C125=0,C126=0),0,CB125/W125) - BEL!CC125</f>
        <v>0</v>
      </c>
      <c r="CF125" s="195">
        <f t="shared" si="143"/>
        <v>0</v>
      </c>
      <c r="CG125" s="127">
        <f t="shared" si="144"/>
        <v>0</v>
      </c>
      <c r="CH125" s="128">
        <f>'DATA INPUT - DETAIL'!AH116</f>
        <v>0</v>
      </c>
      <c r="CI125" s="125">
        <f t="shared" si="145"/>
        <v>0</v>
      </c>
      <c r="CJ125" s="199">
        <f t="shared" si="146"/>
        <v>0</v>
      </c>
      <c r="CL125" s="189">
        <f t="shared" si="147"/>
        <v>0</v>
      </c>
      <c r="CM125" s="149">
        <f t="shared" si="148"/>
        <v>0</v>
      </c>
      <c r="CN125" s="128">
        <f>'DATA INPUT - DETAIL'!AH116</f>
        <v>0</v>
      </c>
      <c r="CO125" s="149">
        <f t="shared" si="149"/>
        <v>0</v>
      </c>
      <c r="CP125" s="149">
        <f t="shared" si="161"/>
        <v>0</v>
      </c>
      <c r="CR125" s="126">
        <f t="shared" si="164"/>
        <v>113</v>
      </c>
      <c r="CS125" s="189">
        <f t="shared" si="165"/>
        <v>0</v>
      </c>
      <c r="CT125" s="200">
        <f>CS125/(BEL!CE125+BEL!CA125-BEL!BU125+'RA CSM'!CF125)</f>
        <v>0</v>
      </c>
      <c r="CU125" s="149">
        <f>$CT125*BEL!CH125</f>
        <v>0</v>
      </c>
      <c r="CV125" s="149">
        <f>$CT125*BEL!CI125</f>
        <v>0</v>
      </c>
      <c r="CW125" s="149">
        <f>$CT125*BEL!CJ125</f>
        <v>0</v>
      </c>
      <c r="CX125" s="149">
        <f>$CT125*BEL!CK125</f>
        <v>0</v>
      </c>
      <c r="CY125" s="149">
        <f t="shared" si="162"/>
        <v>0</v>
      </c>
      <c r="CZ125" s="149">
        <f>$CT125*(BEL!CL125+'RA CSM'!CG125)</f>
        <v>0</v>
      </c>
      <c r="DA125" s="149">
        <f t="shared" si="163"/>
        <v>0</v>
      </c>
    </row>
    <row r="126" spans="2:105" x14ac:dyDescent="0.2">
      <c r="B126" s="130">
        <f>BEL!B126</f>
        <v>0</v>
      </c>
      <c r="C126" s="130">
        <f>BEL!C126</f>
        <v>0</v>
      </c>
      <c r="D126" s="190">
        <f>BEL!D126</f>
        <v>0</v>
      </c>
      <c r="E126" s="190">
        <f>BEL!E126</f>
        <v>0</v>
      </c>
      <c r="F126" s="190">
        <f>BEL!F126</f>
        <v>0</v>
      </c>
      <c r="G126" s="190">
        <f>BEL!G126*(1+$V$5)</f>
        <v>0</v>
      </c>
      <c r="H126" s="190">
        <f>BEL!H126*(1+$V$5)</f>
        <v>0</v>
      </c>
      <c r="I126" s="179">
        <f t="shared" si="102"/>
        <v>0</v>
      </c>
      <c r="J126" s="130">
        <f>BEL!J126</f>
        <v>0</v>
      </c>
      <c r="K126" s="130">
        <f>BEL!K126</f>
        <v>0</v>
      </c>
      <c r="L126" s="130">
        <f>BEL!L126</f>
        <v>0</v>
      </c>
      <c r="M126" s="185">
        <f t="shared" si="166"/>
        <v>0</v>
      </c>
      <c r="N126" s="185">
        <f t="shared" si="103"/>
        <v>0</v>
      </c>
      <c r="O126" s="185">
        <f t="shared" si="104"/>
        <v>0</v>
      </c>
      <c r="P126" s="185">
        <f t="shared" si="105"/>
        <v>0</v>
      </c>
      <c r="Q126" s="185">
        <f t="shared" si="106"/>
        <v>0</v>
      </c>
      <c r="R126" s="185">
        <f t="shared" si="107"/>
        <v>0</v>
      </c>
      <c r="S126" s="185">
        <f t="shared" si="108"/>
        <v>0</v>
      </c>
      <c r="T126" s="185">
        <f t="shared" si="109"/>
        <v>0</v>
      </c>
      <c r="U126" s="196">
        <f>(C126&gt;0)*(C126&lt;$E$5)*VLOOKUP(MPP,ASUMSI!$BN$77:$CR$108,B126+1)*(1+$V$4)</f>
        <v>0</v>
      </c>
      <c r="V126" s="185">
        <f t="shared" si="110"/>
        <v>0</v>
      </c>
      <c r="W126" s="185">
        <f t="shared" si="111"/>
        <v>0</v>
      </c>
      <c r="X126" s="185">
        <f t="shared" si="112"/>
        <v>0</v>
      </c>
      <c r="Y126" s="185">
        <f t="shared" si="113"/>
        <v>0</v>
      </c>
      <c r="Z126" s="185">
        <f t="shared" si="114"/>
        <v>0</v>
      </c>
      <c r="AA126" s="197">
        <f t="shared" si="115"/>
        <v>0</v>
      </c>
      <c r="AB126" s="185">
        <f t="shared" si="116"/>
        <v>0</v>
      </c>
      <c r="AC126" s="185">
        <f t="shared" si="116"/>
        <v>0</v>
      </c>
      <c r="AD126" s="185">
        <f t="shared" si="116"/>
        <v>0</v>
      </c>
      <c r="AE126" s="185">
        <f t="shared" si="117"/>
        <v>0</v>
      </c>
      <c r="AF126" s="185">
        <f t="shared" si="118"/>
        <v>0</v>
      </c>
      <c r="AG126" s="185">
        <f t="shared" si="119"/>
        <v>0</v>
      </c>
      <c r="AH126" s="185">
        <f t="shared" si="120"/>
        <v>0</v>
      </c>
      <c r="AI126" s="125">
        <f>BEL!AI126</f>
        <v>0</v>
      </c>
      <c r="AJ126" s="125">
        <f>BEL!AJ126</f>
        <v>0</v>
      </c>
      <c r="AK126" s="125">
        <f>BEL!AK126</f>
        <v>0</v>
      </c>
      <c r="AL126" s="125">
        <f>BEL!AL126</f>
        <v>0</v>
      </c>
      <c r="AM126" s="125">
        <f>BEL!AM126</f>
        <v>0</v>
      </c>
      <c r="AN126" s="125">
        <f>BEL!AN126</f>
        <v>0</v>
      </c>
      <c r="AO126" s="198">
        <f t="shared" si="121"/>
        <v>0</v>
      </c>
      <c r="AP126" s="125">
        <f>BEL!AP126</f>
        <v>0</v>
      </c>
      <c r="AQ126" s="125">
        <f>BEL!AQ126</f>
        <v>0</v>
      </c>
      <c r="AR126" s="125">
        <f>BEL!AR126</f>
        <v>0</v>
      </c>
      <c r="AS126" s="125">
        <f>BEL!AS126</f>
        <v>0</v>
      </c>
      <c r="AT126" s="125">
        <f>BEL!AT126</f>
        <v>0</v>
      </c>
      <c r="AU126" s="127">
        <f>BEL!AU126</f>
        <v>0</v>
      </c>
      <c r="AV126" s="127">
        <f>BEL!AV126</f>
        <v>0</v>
      </c>
      <c r="AW126" s="127">
        <f>BEL!AW126</f>
        <v>0</v>
      </c>
      <c r="AX126" s="127">
        <f t="shared" si="122"/>
        <v>0</v>
      </c>
      <c r="AY126" s="127">
        <f t="shared" si="123"/>
        <v>0</v>
      </c>
      <c r="AZ126" s="127">
        <f t="shared" si="124"/>
        <v>0</v>
      </c>
      <c r="BA126" s="127">
        <f t="shared" si="125"/>
        <v>0</v>
      </c>
      <c r="BB126" s="127">
        <f t="shared" si="126"/>
        <v>0</v>
      </c>
      <c r="BC126" s="127">
        <f t="shared" si="127"/>
        <v>0</v>
      </c>
      <c r="BD126" s="127">
        <f t="shared" si="128"/>
        <v>0</v>
      </c>
      <c r="BE126" s="127">
        <f t="shared" si="129"/>
        <v>0</v>
      </c>
      <c r="BF126" s="127">
        <f t="shared" si="130"/>
        <v>0</v>
      </c>
      <c r="BG126" s="127">
        <f t="shared" si="131"/>
        <v>0</v>
      </c>
      <c r="BH126" s="127">
        <f t="shared" si="132"/>
        <v>0</v>
      </c>
      <c r="BI126" s="127">
        <f t="shared" si="133"/>
        <v>0</v>
      </c>
      <c r="BJ126" s="189">
        <f t="shared" si="134"/>
        <v>0</v>
      </c>
      <c r="BK126" s="189">
        <f t="shared" si="135"/>
        <v>0</v>
      </c>
      <c r="BL126" s="192">
        <f t="shared" si="136"/>
        <v>0</v>
      </c>
      <c r="BM126" s="192">
        <f t="shared" si="137"/>
        <v>0</v>
      </c>
      <c r="BN126" s="192">
        <f t="shared" si="138"/>
        <v>0</v>
      </c>
      <c r="BO126" s="192">
        <f t="shared" si="139"/>
        <v>0</v>
      </c>
      <c r="BP126" s="192">
        <f t="shared" si="140"/>
        <v>0</v>
      </c>
      <c r="BQ126" s="193">
        <f t="shared" si="141"/>
        <v>0</v>
      </c>
      <c r="BR126" s="193">
        <f t="shared" si="142"/>
        <v>0</v>
      </c>
      <c r="BS126" s="188">
        <f t="shared" si="151"/>
        <v>0</v>
      </c>
      <c r="BT126" s="188">
        <f t="shared" si="152"/>
        <v>0</v>
      </c>
      <c r="BU126" s="188">
        <f t="shared" si="153"/>
        <v>0</v>
      </c>
      <c r="BV126" s="188">
        <f t="shared" si="154"/>
        <v>0</v>
      </c>
      <c r="BW126" s="188">
        <f t="shared" si="155"/>
        <v>0</v>
      </c>
      <c r="BX126" s="188">
        <f t="shared" si="156"/>
        <v>0</v>
      </c>
      <c r="BY126" s="188">
        <f t="shared" si="157"/>
        <v>0</v>
      </c>
      <c r="BZ126" s="188">
        <f t="shared" si="158"/>
        <v>0</v>
      </c>
      <c r="CA126" s="188">
        <f t="shared" si="159"/>
        <v>0</v>
      </c>
      <c r="CB126" s="149">
        <f t="shared" si="160"/>
        <v>0</v>
      </c>
      <c r="CC126" s="149">
        <f>CB126-BEL!CB126</f>
        <v>0</v>
      </c>
      <c r="CD126" s="189">
        <f>IF(AND(C126=0,C127=0),0,CB126/W126) - BEL!CC126</f>
        <v>0</v>
      </c>
      <c r="CF126" s="195">
        <f t="shared" si="143"/>
        <v>0</v>
      </c>
      <c r="CG126" s="127">
        <f t="shared" si="144"/>
        <v>0</v>
      </c>
      <c r="CH126" s="128">
        <f>'DATA INPUT - DETAIL'!AH117</f>
        <v>0</v>
      </c>
      <c r="CI126" s="125">
        <f t="shared" si="145"/>
        <v>0</v>
      </c>
      <c r="CJ126" s="199">
        <f t="shared" si="146"/>
        <v>0</v>
      </c>
      <c r="CL126" s="189">
        <f t="shared" si="147"/>
        <v>0</v>
      </c>
      <c r="CM126" s="149">
        <f t="shared" si="148"/>
        <v>0</v>
      </c>
      <c r="CN126" s="128">
        <f>'DATA INPUT - DETAIL'!AH117</f>
        <v>0</v>
      </c>
      <c r="CO126" s="149">
        <f t="shared" si="149"/>
        <v>0</v>
      </c>
      <c r="CP126" s="149">
        <f t="shared" si="161"/>
        <v>0</v>
      </c>
      <c r="CR126" s="126">
        <f t="shared" si="164"/>
        <v>114</v>
      </c>
      <c r="CS126" s="189">
        <f t="shared" si="165"/>
        <v>0</v>
      </c>
      <c r="CT126" s="200">
        <f>CS126/(BEL!CE126+BEL!CA126-BEL!BU126+'RA CSM'!CF126)</f>
        <v>0</v>
      </c>
      <c r="CU126" s="149">
        <f>$CT126*BEL!CH126</f>
        <v>0</v>
      </c>
      <c r="CV126" s="149">
        <f>$CT126*BEL!CI126</f>
        <v>0</v>
      </c>
      <c r="CW126" s="149">
        <f>$CT126*BEL!CJ126</f>
        <v>0</v>
      </c>
      <c r="CX126" s="149">
        <f>$CT126*BEL!CK126</f>
        <v>0</v>
      </c>
      <c r="CY126" s="149">
        <f t="shared" si="162"/>
        <v>0</v>
      </c>
      <c r="CZ126" s="149">
        <f>$CT126*(BEL!CL126+'RA CSM'!CG126)</f>
        <v>0</v>
      </c>
      <c r="DA126" s="149">
        <f t="shared" si="163"/>
        <v>0</v>
      </c>
    </row>
    <row r="127" spans="2:105" x14ac:dyDescent="0.2">
      <c r="B127" s="130">
        <f>BEL!B127</f>
        <v>0</v>
      </c>
      <c r="C127" s="130">
        <f>BEL!C127</f>
        <v>0</v>
      </c>
      <c r="D127" s="190">
        <f>BEL!D127</f>
        <v>0</v>
      </c>
      <c r="E127" s="190">
        <f>BEL!E127</f>
        <v>0</v>
      </c>
      <c r="F127" s="190">
        <f>BEL!F127</f>
        <v>0</v>
      </c>
      <c r="G127" s="190">
        <f>BEL!G127*(1+$V$5)</f>
        <v>0</v>
      </c>
      <c r="H127" s="190">
        <f>BEL!H127*(1+$V$5)</f>
        <v>0</v>
      </c>
      <c r="I127" s="179">
        <f t="shared" si="102"/>
        <v>0</v>
      </c>
      <c r="J127" s="130">
        <f>BEL!J127</f>
        <v>0</v>
      </c>
      <c r="K127" s="130">
        <f>BEL!K127</f>
        <v>0</v>
      </c>
      <c r="L127" s="130">
        <f>BEL!L127</f>
        <v>0</v>
      </c>
      <c r="M127" s="185">
        <f t="shared" si="166"/>
        <v>0</v>
      </c>
      <c r="N127" s="185">
        <f t="shared" si="103"/>
        <v>0</v>
      </c>
      <c r="O127" s="185">
        <f t="shared" si="104"/>
        <v>0</v>
      </c>
      <c r="P127" s="185">
        <f t="shared" si="105"/>
        <v>0</v>
      </c>
      <c r="Q127" s="185">
        <f t="shared" si="106"/>
        <v>0</v>
      </c>
      <c r="R127" s="185">
        <f t="shared" si="107"/>
        <v>0</v>
      </c>
      <c r="S127" s="185">
        <f t="shared" si="108"/>
        <v>0</v>
      </c>
      <c r="T127" s="185">
        <f t="shared" si="109"/>
        <v>0</v>
      </c>
      <c r="U127" s="196">
        <f>(C127&gt;0)*(C127&lt;$E$5)*VLOOKUP(MPP,ASUMSI!$BN$77:$CR$108,B127+1)*(1+$V$4)</f>
        <v>0</v>
      </c>
      <c r="V127" s="185">
        <f t="shared" si="110"/>
        <v>0</v>
      </c>
      <c r="W127" s="185">
        <f t="shared" si="111"/>
        <v>0</v>
      </c>
      <c r="X127" s="185">
        <f t="shared" si="112"/>
        <v>0</v>
      </c>
      <c r="Y127" s="185">
        <f t="shared" si="113"/>
        <v>0</v>
      </c>
      <c r="Z127" s="185">
        <f t="shared" si="114"/>
        <v>0</v>
      </c>
      <c r="AA127" s="197">
        <f t="shared" si="115"/>
        <v>0</v>
      </c>
      <c r="AB127" s="185">
        <f t="shared" si="116"/>
        <v>0</v>
      </c>
      <c r="AC127" s="185">
        <f t="shared" si="116"/>
        <v>0</v>
      </c>
      <c r="AD127" s="185">
        <f t="shared" si="116"/>
        <v>0</v>
      </c>
      <c r="AE127" s="185">
        <f t="shared" si="117"/>
        <v>0</v>
      </c>
      <c r="AF127" s="185">
        <f t="shared" si="118"/>
        <v>0</v>
      </c>
      <c r="AG127" s="185">
        <f t="shared" si="119"/>
        <v>0</v>
      </c>
      <c r="AH127" s="185">
        <f t="shared" si="120"/>
        <v>0</v>
      </c>
      <c r="AI127" s="125">
        <f>BEL!AI127</f>
        <v>0</v>
      </c>
      <c r="AJ127" s="125">
        <f>BEL!AJ127</f>
        <v>0</v>
      </c>
      <c r="AK127" s="125">
        <f>BEL!AK127</f>
        <v>0</v>
      </c>
      <c r="AL127" s="125">
        <f>BEL!AL127</f>
        <v>0</v>
      </c>
      <c r="AM127" s="125">
        <f>BEL!AM127</f>
        <v>0</v>
      </c>
      <c r="AN127" s="125">
        <f>BEL!AN127</f>
        <v>0</v>
      </c>
      <c r="AO127" s="198">
        <f t="shared" si="121"/>
        <v>0</v>
      </c>
      <c r="AP127" s="125">
        <f>BEL!AP127</f>
        <v>0</v>
      </c>
      <c r="AQ127" s="125">
        <f>BEL!AQ127</f>
        <v>0</v>
      </c>
      <c r="AR127" s="125">
        <f>BEL!AR127</f>
        <v>0</v>
      </c>
      <c r="AS127" s="125">
        <f>BEL!AS127</f>
        <v>0</v>
      </c>
      <c r="AT127" s="125">
        <f>BEL!AT127</f>
        <v>0</v>
      </c>
      <c r="AU127" s="127">
        <f>BEL!AU127</f>
        <v>0</v>
      </c>
      <c r="AV127" s="127">
        <f>BEL!AV127</f>
        <v>0</v>
      </c>
      <c r="AW127" s="127">
        <f>BEL!AW127</f>
        <v>0</v>
      </c>
      <c r="AX127" s="127">
        <f t="shared" si="122"/>
        <v>0</v>
      </c>
      <c r="AY127" s="127">
        <f t="shared" si="123"/>
        <v>0</v>
      </c>
      <c r="AZ127" s="127">
        <f t="shared" si="124"/>
        <v>0</v>
      </c>
      <c r="BA127" s="127">
        <f t="shared" si="125"/>
        <v>0</v>
      </c>
      <c r="BB127" s="127">
        <f t="shared" si="126"/>
        <v>0</v>
      </c>
      <c r="BC127" s="127">
        <f t="shared" si="127"/>
        <v>0</v>
      </c>
      <c r="BD127" s="127">
        <f t="shared" si="128"/>
        <v>0</v>
      </c>
      <c r="BE127" s="127">
        <f t="shared" si="129"/>
        <v>0</v>
      </c>
      <c r="BF127" s="127">
        <f t="shared" si="130"/>
        <v>0</v>
      </c>
      <c r="BG127" s="127">
        <f t="shared" si="131"/>
        <v>0</v>
      </c>
      <c r="BH127" s="127">
        <f t="shared" si="132"/>
        <v>0</v>
      </c>
      <c r="BI127" s="127">
        <f t="shared" si="133"/>
        <v>0</v>
      </c>
      <c r="BJ127" s="189">
        <f t="shared" si="134"/>
        <v>0</v>
      </c>
      <c r="BK127" s="189">
        <f t="shared" si="135"/>
        <v>0</v>
      </c>
      <c r="BL127" s="192">
        <f t="shared" si="136"/>
        <v>0</v>
      </c>
      <c r="BM127" s="192">
        <f t="shared" si="137"/>
        <v>0</v>
      </c>
      <c r="BN127" s="192">
        <f t="shared" si="138"/>
        <v>0</v>
      </c>
      <c r="BO127" s="192">
        <f t="shared" si="139"/>
        <v>0</v>
      </c>
      <c r="BP127" s="192">
        <f t="shared" si="140"/>
        <v>0</v>
      </c>
      <c r="BQ127" s="193">
        <f t="shared" si="141"/>
        <v>0</v>
      </c>
      <c r="BR127" s="193">
        <f t="shared" si="142"/>
        <v>0</v>
      </c>
      <c r="BS127" s="188">
        <f t="shared" si="151"/>
        <v>0</v>
      </c>
      <c r="BT127" s="188">
        <f t="shared" si="152"/>
        <v>0</v>
      </c>
      <c r="BU127" s="188">
        <f t="shared" si="153"/>
        <v>0</v>
      </c>
      <c r="BV127" s="188">
        <f t="shared" si="154"/>
        <v>0</v>
      </c>
      <c r="BW127" s="188">
        <f t="shared" si="155"/>
        <v>0</v>
      </c>
      <c r="BX127" s="188">
        <f t="shared" si="156"/>
        <v>0</v>
      </c>
      <c r="BY127" s="188">
        <f t="shared" si="157"/>
        <v>0</v>
      </c>
      <c r="BZ127" s="188">
        <f t="shared" si="158"/>
        <v>0</v>
      </c>
      <c r="CA127" s="188">
        <f t="shared" si="159"/>
        <v>0</v>
      </c>
      <c r="CB127" s="149">
        <f t="shared" si="160"/>
        <v>0</v>
      </c>
      <c r="CC127" s="149">
        <f>CB127-BEL!CB127</f>
        <v>0</v>
      </c>
      <c r="CD127" s="189">
        <f>IF(AND(C127=0,C128=0),0,CB127/W127) - BEL!CC127</f>
        <v>0</v>
      </c>
      <c r="CF127" s="195">
        <f t="shared" si="143"/>
        <v>0</v>
      </c>
      <c r="CG127" s="127">
        <f t="shared" si="144"/>
        <v>0</v>
      </c>
      <c r="CH127" s="128">
        <f>'DATA INPUT - DETAIL'!AH118</f>
        <v>0</v>
      </c>
      <c r="CI127" s="125">
        <f t="shared" si="145"/>
        <v>0</v>
      </c>
      <c r="CJ127" s="199">
        <f t="shared" si="146"/>
        <v>0</v>
      </c>
      <c r="CL127" s="189">
        <f t="shared" si="147"/>
        <v>0</v>
      </c>
      <c r="CM127" s="149">
        <f t="shared" si="148"/>
        <v>0</v>
      </c>
      <c r="CN127" s="128">
        <f>'DATA INPUT - DETAIL'!AH118</f>
        <v>0</v>
      </c>
      <c r="CO127" s="149">
        <f t="shared" si="149"/>
        <v>0</v>
      </c>
      <c r="CP127" s="149">
        <f t="shared" si="161"/>
        <v>0</v>
      </c>
      <c r="CR127" s="126">
        <f t="shared" si="164"/>
        <v>115</v>
      </c>
      <c r="CS127" s="189">
        <f t="shared" si="165"/>
        <v>0</v>
      </c>
      <c r="CT127" s="200">
        <f>CS127/(BEL!CE127+BEL!CA127-BEL!BU127+'RA CSM'!CF127)</f>
        <v>0</v>
      </c>
      <c r="CU127" s="149">
        <f>$CT127*BEL!CH127</f>
        <v>0</v>
      </c>
      <c r="CV127" s="149">
        <f>$CT127*BEL!CI127</f>
        <v>0</v>
      </c>
      <c r="CW127" s="149">
        <f>$CT127*BEL!CJ127</f>
        <v>0</v>
      </c>
      <c r="CX127" s="149">
        <f>$CT127*BEL!CK127</f>
        <v>0</v>
      </c>
      <c r="CY127" s="149">
        <f t="shared" si="162"/>
        <v>0</v>
      </c>
      <c r="CZ127" s="149">
        <f>$CT127*(BEL!CL127+'RA CSM'!CG127)</f>
        <v>0</v>
      </c>
      <c r="DA127" s="149">
        <f t="shared" si="163"/>
        <v>0</v>
      </c>
    </row>
    <row r="128" spans="2:105" x14ac:dyDescent="0.2">
      <c r="B128" s="130">
        <f>BEL!B128</f>
        <v>0</v>
      </c>
      <c r="C128" s="130">
        <f>BEL!C128</f>
        <v>0</v>
      </c>
      <c r="D128" s="190">
        <f>BEL!D128</f>
        <v>0</v>
      </c>
      <c r="E128" s="190">
        <f>BEL!E128</f>
        <v>0</v>
      </c>
      <c r="F128" s="190">
        <f>BEL!F128</f>
        <v>0</v>
      </c>
      <c r="G128" s="190">
        <f>BEL!G128*(1+$V$5)</f>
        <v>0</v>
      </c>
      <c r="H128" s="190">
        <f>BEL!H128*(1+$V$5)</f>
        <v>0</v>
      </c>
      <c r="I128" s="179">
        <f t="shared" ref="I128:I191" si="167">H128*(1+$M$5)^C128</f>
        <v>0</v>
      </c>
      <c r="J128" s="130">
        <f>BEL!J128</f>
        <v>0</v>
      </c>
      <c r="K128" s="130">
        <f>BEL!K128</f>
        <v>0</v>
      </c>
      <c r="L128" s="130">
        <f>BEL!L128</f>
        <v>0</v>
      </c>
      <c r="M128" s="185">
        <f t="shared" si="166"/>
        <v>0</v>
      </c>
      <c r="N128" s="185">
        <f t="shared" ref="N128:N191" si="168">IF($AJ$7=0,0,IF(AND(C128&lt;=$E$5-1,C128&lt;&gt;0), VLOOKUP(L128,Mortality,7,FALSE)*(1+$V$3), 0))</f>
        <v>0</v>
      </c>
      <c r="O128" s="185">
        <f t="shared" ref="O128:O191" si="169">IF($AK$7=0,0,IF(AND(C128&lt;=$E$5-1,C128&lt;&gt;0), VLOOKUP(L128,Mortality,9,FALSE)*(1+$V$3), 0))</f>
        <v>0</v>
      </c>
      <c r="P128" s="185">
        <f t="shared" ref="P128:P191" si="170">IF($AL$7=0,0,IF(AND(C128&lt;=$E$5-1,C128&lt;&gt;0), VLOOKUP(L128,Mortality,11,FALSE)*(1+$V$3), 0))</f>
        <v>0</v>
      </c>
      <c r="Q128" s="185">
        <f t="shared" ref="Q128:Q191" si="171">IF($AM$7=0,0,IF(AND(C128&lt;=$E$5-1,C128&lt;&gt;0), VLOOKUP(L128,Mortality,13,FALSE)*(1+$V$3), 0))</f>
        <v>0</v>
      </c>
      <c r="R128" s="185">
        <f t="shared" ref="R128:R191" si="172">IF($AP$7=0,0,IF(AND(C128&lt;=$E$5-1,C128&lt;&gt;0), VLOOKUP(L128,Mortality,15,FALSE)*(1+$V$3), 0))</f>
        <v>0</v>
      </c>
      <c r="S128" s="185">
        <f t="shared" ref="S128:S191" si="173">IF($AQ$7=0,0,IF(AND(C128&lt;=$E$5-1,C128&lt;&gt;0), VLOOKUP(L128,Mortality,17,FALSE)*(1+$V$3), 0))</f>
        <v>0</v>
      </c>
      <c r="T128" s="185">
        <f t="shared" ref="T128:T191" si="174">IF($AR$7=0,0,IF(AND(C128&lt;=$E$5-1,C128&lt;&gt;0), VLOOKUP(L128,Mortality,19,FALSE)*(1+$V$3), 0))</f>
        <v>0</v>
      </c>
      <c r="U128" s="196">
        <f>(C128&gt;0)*(C128&lt;$E$5)*VLOOKUP(MPP,ASUMSI!$BN$77:$CR$108,B128+1)*(1+$V$4)</f>
        <v>0</v>
      </c>
      <c r="V128" s="185">
        <f t="shared" ref="V128:V191" si="175">IF(C128=$E$5,1,0)</f>
        <v>0</v>
      </c>
      <c r="W128" s="185">
        <f t="shared" ref="W128:W191" si="176">AA127</f>
        <v>0</v>
      </c>
      <c r="X128" s="185">
        <f t="shared" ref="X128:X191" si="177">M128*$W128</f>
        <v>0</v>
      </c>
      <c r="Y128" s="185">
        <f t="shared" ref="Y128:Y191" si="178">U128*W128</f>
        <v>0</v>
      </c>
      <c r="Z128" s="185">
        <f t="shared" ref="Z128:Z191" si="179">V128*W128</f>
        <v>0</v>
      </c>
      <c r="AA128" s="197">
        <f t="shared" ref="AA128:AA191" si="180">IF(C128=0,0,W128-SUM(X128:Z128))</f>
        <v>0</v>
      </c>
      <c r="AB128" s="185">
        <f t="shared" ref="AB128:AB191" si="181">N128*$AA127</f>
        <v>0</v>
      </c>
      <c r="AC128" s="185">
        <f t="shared" ref="AC128:AC191" si="182">O128*$AA127</f>
        <v>0</v>
      </c>
      <c r="AD128" s="185">
        <f t="shared" ref="AD128:AD191" si="183">P128*$AA127</f>
        <v>0</v>
      </c>
      <c r="AE128" s="185">
        <f t="shared" ref="AE128:AE191" si="184">Q128*$AA127</f>
        <v>0</v>
      </c>
      <c r="AF128" s="185">
        <f t="shared" ref="AF128:AF191" si="185">R128*$AA127</f>
        <v>0</v>
      </c>
      <c r="AG128" s="185">
        <f t="shared" ref="AG128:AG191" si="186">S128*$AA127</f>
        <v>0</v>
      </c>
      <c r="AH128" s="185">
        <f t="shared" ref="AH128:AH191" si="187">T128*$AA127</f>
        <v>0</v>
      </c>
      <c r="AI128" s="125">
        <f>BEL!AI128</f>
        <v>0</v>
      </c>
      <c r="AJ128" s="125">
        <f>BEL!AJ128</f>
        <v>0</v>
      </c>
      <c r="AK128" s="125">
        <f>BEL!AK128</f>
        <v>0</v>
      </c>
      <c r="AL128" s="125">
        <f>BEL!AL128</f>
        <v>0</v>
      </c>
      <c r="AM128" s="125">
        <f>BEL!AM128</f>
        <v>0</v>
      </c>
      <c r="AN128" s="125">
        <f>BEL!AN128</f>
        <v>0</v>
      </c>
      <c r="AO128" s="198">
        <f t="shared" ref="AO128:AO191" si="188">AN128+AO129/(1+$BS$5)</f>
        <v>0</v>
      </c>
      <c r="AP128" s="125">
        <f>BEL!AP128</f>
        <v>0</v>
      </c>
      <c r="AQ128" s="125">
        <f>BEL!AQ128</f>
        <v>0</v>
      </c>
      <c r="AR128" s="125">
        <f>BEL!AR128</f>
        <v>0</v>
      </c>
      <c r="AS128" s="125">
        <f>BEL!AS128</f>
        <v>0</v>
      </c>
      <c r="AT128" s="125">
        <f>BEL!AT128</f>
        <v>0</v>
      </c>
      <c r="AU128" s="127">
        <f>BEL!AU128</f>
        <v>0</v>
      </c>
      <c r="AV128" s="127">
        <f>BEL!AV128</f>
        <v>0</v>
      </c>
      <c r="AW128" s="127">
        <f>BEL!AW128</f>
        <v>0</v>
      </c>
      <c r="AX128" s="127">
        <f t="shared" ref="AX128:AX191" si="189">IF(AI128=0,0,(AI128+AT128)*X128)</f>
        <v>0</v>
      </c>
      <c r="AY128" s="127">
        <f t="shared" ref="AY128:AY191" si="190">IF(AJ128=0,0,AJ128*X128)</f>
        <v>0</v>
      </c>
      <c r="AZ128" s="127">
        <f t="shared" ref="AZ128:AZ191" si="191">AK128*AC128</f>
        <v>0</v>
      </c>
      <c r="BA128" s="127">
        <f t="shared" ref="BA128:BA191" si="192">AL128*AD128</f>
        <v>0</v>
      </c>
      <c r="BB128" s="127">
        <f t="shared" ref="BB128:BB191" si="193">AM128*AE128</f>
        <v>0</v>
      </c>
      <c r="BC128" s="127">
        <f t="shared" ref="BC128:BC191" si="194">AO128*X128</f>
        <v>0</v>
      </c>
      <c r="BD128" s="127">
        <f t="shared" ref="BD128:BD191" si="195">AP128*AF128</f>
        <v>0</v>
      </c>
      <c r="BE128" s="127">
        <f t="shared" ref="BE128:BE191" si="196">AQ128*AG128</f>
        <v>0</v>
      </c>
      <c r="BF128" s="127">
        <f t="shared" ref="BF128:BF191" si="197">AR128*AH128</f>
        <v>0</v>
      </c>
      <c r="BG128" s="127">
        <f t="shared" ref="BG128:BG191" si="198">(AU128+AT128)*Y128</f>
        <v>0</v>
      </c>
      <c r="BH128" s="127">
        <f t="shared" ref="BH128:BH191" si="199">AV128*AA128</f>
        <v>0</v>
      </c>
      <c r="BI128" s="127">
        <f t="shared" ref="BI128:BI191" si="200">(AW128+AT128)*Z128</f>
        <v>0</v>
      </c>
      <c r="BJ128" s="189">
        <f t="shared" ref="BJ128:BJ191" si="201">SUM(AX128:BF128)+SUM(BH128:BI128)</f>
        <v>0</v>
      </c>
      <c r="BK128" s="189">
        <f t="shared" ref="BK128:BK191" si="202">BG128</f>
        <v>0</v>
      </c>
      <c r="BL128" s="192">
        <f t="shared" ref="BL128:BL191" si="203">E128*$W128</f>
        <v>0</v>
      </c>
      <c r="BM128" s="192">
        <f t="shared" ref="BM128:BM191" si="204">F128*$W128</f>
        <v>0</v>
      </c>
      <c r="BN128" s="192">
        <f t="shared" ref="BN128:BN191" si="205">G128*$W128</f>
        <v>0</v>
      </c>
      <c r="BO128" s="192">
        <f t="shared" ref="BO128:BO191" si="206">I128*$W128</f>
        <v>0</v>
      </c>
      <c r="BP128" s="192">
        <f t="shared" ref="BP128:BP191" si="207">SUM(BN128:BO128)</f>
        <v>0</v>
      </c>
      <c r="BQ128" s="193">
        <f t="shared" ref="BQ128:BQ191" si="208">(SUM(E128:G128)+I128)*$W128</f>
        <v>0</v>
      </c>
      <c r="BR128" s="193">
        <f t="shared" ref="BR128:BR191" si="209">D128*W128</f>
        <v>0</v>
      </c>
      <c r="BS128" s="188">
        <f t="shared" ref="BS128:BS191" si="210">(BJ128+BS129)/(1+$BS$5)</f>
        <v>0</v>
      </c>
      <c r="BT128" s="188">
        <f t="shared" ref="BT128:BT191" si="211">(BK128+BT129)/(1+$BS$5)</f>
        <v>0</v>
      </c>
      <c r="BU128" s="188">
        <f t="shared" ref="BU128:BU191" si="212">BL128+BU129/(1+$BS$5)</f>
        <v>0</v>
      </c>
      <c r="BV128" s="188">
        <f t="shared" ref="BV128:BV191" si="213">BM128+BV129/(1+$BS$5)</f>
        <v>0</v>
      </c>
      <c r="BW128" s="188">
        <f t="shared" ref="BW128:BW191" si="214">BN128+BW129/(1+$BS$5)</f>
        <v>0</v>
      </c>
      <c r="BX128" s="188">
        <f t="shared" ref="BX128:BX191" si="215">BO128+BX129/(1+$BS$5)</f>
        <v>0</v>
      </c>
      <c r="BY128" s="188">
        <f t="shared" ref="BY128:BY191" si="216">BP128+BY129/(1+$BS$5)</f>
        <v>0</v>
      </c>
      <c r="BZ128" s="188">
        <f t="shared" ref="BZ128:BZ191" si="217">BQ128+BZ129/(1+$BS$5)</f>
        <v>0</v>
      </c>
      <c r="CA128" s="188">
        <f t="shared" ref="CA128:CA191" si="218">BR128+CA129/(1+$BS$5)</f>
        <v>0</v>
      </c>
      <c r="CB128" s="149">
        <f t="shared" ref="CB128:CB191" si="219">BS128+BT128+BZ128-CA128</f>
        <v>0</v>
      </c>
      <c r="CC128" s="149">
        <f>CB128-BEL!CB128</f>
        <v>0</v>
      </c>
      <c r="CD128" s="189">
        <f>IF(AND(C128=0,C129=0),0,CB128/W128) - BEL!CC128</f>
        <v>0</v>
      </c>
      <c r="CF128" s="195">
        <f t="shared" ref="CF128:CF191" si="220">CJ127</f>
        <v>0</v>
      </c>
      <c r="CG128" s="127">
        <f t="shared" ref="CG128:CG191" si="221">CF128*$CG$8</f>
        <v>0</v>
      </c>
      <c r="CH128" s="128">
        <f>'DATA INPUT - DETAIL'!AH119</f>
        <v>0</v>
      </c>
      <c r="CI128" s="125">
        <f t="shared" ref="CI128:CI191" si="222">-(CF128+CG128)*CH128</f>
        <v>0</v>
      </c>
      <c r="CJ128" s="199">
        <f t="shared" ref="CJ128:CJ191" si="223">CF128+CG128+CI128</f>
        <v>0</v>
      </c>
      <c r="CL128" s="189">
        <f t="shared" ref="CL128:CL191" si="224">CP127</f>
        <v>0</v>
      </c>
      <c r="CM128" s="149">
        <f t="shared" ref="CM128:CM191" si="225">CL128*$CM$8</f>
        <v>0</v>
      </c>
      <c r="CN128" s="128">
        <f>'DATA INPUT - DETAIL'!AH119</f>
        <v>0</v>
      </c>
      <c r="CO128" s="149">
        <f t="shared" ref="CO128:CO191" si="226">-(CL128+CM128)*CN128</f>
        <v>0</v>
      </c>
      <c r="CP128" s="149">
        <f t="shared" ref="CP128:CP191" si="227">CL128+CM128+CO128</f>
        <v>0</v>
      </c>
      <c r="CR128" s="126">
        <f t="shared" si="164"/>
        <v>116</v>
      </c>
      <c r="CS128" s="189">
        <f t="shared" si="165"/>
        <v>0</v>
      </c>
      <c r="CT128" s="200">
        <f>CS128/(BEL!CE128+BEL!CA128-BEL!BU128+'RA CSM'!CF128)</f>
        <v>0</v>
      </c>
      <c r="CU128" s="149">
        <f>$CT128*BEL!CH128</f>
        <v>0</v>
      </c>
      <c r="CV128" s="149">
        <f>$CT128*BEL!CI128</f>
        <v>0</v>
      </c>
      <c r="CW128" s="149">
        <f>$CT128*BEL!CJ128</f>
        <v>0</v>
      </c>
      <c r="CX128" s="149">
        <f>$CT128*BEL!CK128</f>
        <v>0</v>
      </c>
      <c r="CY128" s="149">
        <f t="shared" si="162"/>
        <v>0</v>
      </c>
      <c r="CZ128" s="149">
        <f>$CT128*(BEL!CL128+'RA CSM'!CG128)</f>
        <v>0</v>
      </c>
      <c r="DA128" s="149">
        <f t="shared" si="163"/>
        <v>0</v>
      </c>
    </row>
    <row r="129" spans="2:105" x14ac:dyDescent="0.2">
      <c r="B129" s="130">
        <f>BEL!B129</f>
        <v>0</v>
      </c>
      <c r="C129" s="130">
        <f>BEL!C129</f>
        <v>0</v>
      </c>
      <c r="D129" s="190">
        <f>BEL!D129</f>
        <v>0</v>
      </c>
      <c r="E129" s="190">
        <f>BEL!E129</f>
        <v>0</v>
      </c>
      <c r="F129" s="190">
        <f>BEL!F129</f>
        <v>0</v>
      </c>
      <c r="G129" s="190">
        <f>BEL!G129*(1+$V$5)</f>
        <v>0</v>
      </c>
      <c r="H129" s="190">
        <f>BEL!H129*(1+$V$5)</f>
        <v>0</v>
      </c>
      <c r="I129" s="179">
        <f t="shared" si="167"/>
        <v>0</v>
      </c>
      <c r="J129" s="130">
        <f>BEL!J129</f>
        <v>0</v>
      </c>
      <c r="K129" s="130">
        <f>BEL!K129</f>
        <v>0</v>
      </c>
      <c r="L129" s="130">
        <f>BEL!L129</f>
        <v>0</v>
      </c>
      <c r="M129" s="185">
        <f t="shared" si="166"/>
        <v>0</v>
      </c>
      <c r="N129" s="185">
        <f t="shared" si="168"/>
        <v>0</v>
      </c>
      <c r="O129" s="185">
        <f t="shared" si="169"/>
        <v>0</v>
      </c>
      <c r="P129" s="185">
        <f t="shared" si="170"/>
        <v>0</v>
      </c>
      <c r="Q129" s="185">
        <f t="shared" si="171"/>
        <v>0</v>
      </c>
      <c r="R129" s="185">
        <f t="shared" si="172"/>
        <v>0</v>
      </c>
      <c r="S129" s="185">
        <f t="shared" si="173"/>
        <v>0</v>
      </c>
      <c r="T129" s="185">
        <f t="shared" si="174"/>
        <v>0</v>
      </c>
      <c r="U129" s="196">
        <f>(C129&gt;0)*(C129&lt;$E$5)*VLOOKUP(MPP,ASUMSI!$BN$77:$CR$108,B129+1)*(1+$V$4)</f>
        <v>0</v>
      </c>
      <c r="V129" s="185">
        <f t="shared" si="175"/>
        <v>0</v>
      </c>
      <c r="W129" s="185">
        <f t="shared" si="176"/>
        <v>0</v>
      </c>
      <c r="X129" s="185">
        <f t="shared" si="177"/>
        <v>0</v>
      </c>
      <c r="Y129" s="185">
        <f t="shared" si="178"/>
        <v>0</v>
      </c>
      <c r="Z129" s="185">
        <f t="shared" si="179"/>
        <v>0</v>
      </c>
      <c r="AA129" s="197">
        <f t="shared" si="180"/>
        <v>0</v>
      </c>
      <c r="AB129" s="185">
        <f t="shared" si="181"/>
        <v>0</v>
      </c>
      <c r="AC129" s="185">
        <f t="shared" si="182"/>
        <v>0</v>
      </c>
      <c r="AD129" s="185">
        <f t="shared" si="183"/>
        <v>0</v>
      </c>
      <c r="AE129" s="185">
        <f t="shared" si="184"/>
        <v>0</v>
      </c>
      <c r="AF129" s="185">
        <f t="shared" si="185"/>
        <v>0</v>
      </c>
      <c r="AG129" s="185">
        <f t="shared" si="186"/>
        <v>0</v>
      </c>
      <c r="AH129" s="185">
        <f t="shared" si="187"/>
        <v>0</v>
      </c>
      <c r="AI129" s="125">
        <f>BEL!AI129</f>
        <v>0</v>
      </c>
      <c r="AJ129" s="125">
        <f>BEL!AJ129</f>
        <v>0</v>
      </c>
      <c r="AK129" s="125">
        <f>BEL!AK129</f>
        <v>0</v>
      </c>
      <c r="AL129" s="125">
        <f>BEL!AL129</f>
        <v>0</v>
      </c>
      <c r="AM129" s="125">
        <f>BEL!AM129</f>
        <v>0</v>
      </c>
      <c r="AN129" s="125">
        <f>BEL!AN129</f>
        <v>0</v>
      </c>
      <c r="AO129" s="198">
        <f t="shared" si="188"/>
        <v>0</v>
      </c>
      <c r="AP129" s="125">
        <f>BEL!AP129</f>
        <v>0</v>
      </c>
      <c r="AQ129" s="125">
        <f>BEL!AQ129</f>
        <v>0</v>
      </c>
      <c r="AR129" s="125">
        <f>BEL!AR129</f>
        <v>0</v>
      </c>
      <c r="AS129" s="125">
        <f>BEL!AS129</f>
        <v>0</v>
      </c>
      <c r="AT129" s="125">
        <f>BEL!AT129</f>
        <v>0</v>
      </c>
      <c r="AU129" s="127">
        <f>BEL!AU129</f>
        <v>0</v>
      </c>
      <c r="AV129" s="127">
        <f>BEL!AV129</f>
        <v>0</v>
      </c>
      <c r="AW129" s="127">
        <f>BEL!AW129</f>
        <v>0</v>
      </c>
      <c r="AX129" s="127">
        <f t="shared" si="189"/>
        <v>0</v>
      </c>
      <c r="AY129" s="127">
        <f t="shared" si="190"/>
        <v>0</v>
      </c>
      <c r="AZ129" s="127">
        <f t="shared" si="191"/>
        <v>0</v>
      </c>
      <c r="BA129" s="127">
        <f t="shared" si="192"/>
        <v>0</v>
      </c>
      <c r="BB129" s="127">
        <f t="shared" si="193"/>
        <v>0</v>
      </c>
      <c r="BC129" s="127">
        <f t="shared" si="194"/>
        <v>0</v>
      </c>
      <c r="BD129" s="127">
        <f t="shared" si="195"/>
        <v>0</v>
      </c>
      <c r="BE129" s="127">
        <f t="shared" si="196"/>
        <v>0</v>
      </c>
      <c r="BF129" s="127">
        <f t="shared" si="197"/>
        <v>0</v>
      </c>
      <c r="BG129" s="127">
        <f t="shared" si="198"/>
        <v>0</v>
      </c>
      <c r="BH129" s="127">
        <f t="shared" si="199"/>
        <v>0</v>
      </c>
      <c r="BI129" s="127">
        <f t="shared" si="200"/>
        <v>0</v>
      </c>
      <c r="BJ129" s="189">
        <f t="shared" si="201"/>
        <v>0</v>
      </c>
      <c r="BK129" s="189">
        <f t="shared" si="202"/>
        <v>0</v>
      </c>
      <c r="BL129" s="192">
        <f t="shared" si="203"/>
        <v>0</v>
      </c>
      <c r="BM129" s="192">
        <f t="shared" si="204"/>
        <v>0</v>
      </c>
      <c r="BN129" s="192">
        <f t="shared" si="205"/>
        <v>0</v>
      </c>
      <c r="BO129" s="192">
        <f t="shared" si="206"/>
        <v>0</v>
      </c>
      <c r="BP129" s="192">
        <f t="shared" si="207"/>
        <v>0</v>
      </c>
      <c r="BQ129" s="193">
        <f t="shared" si="208"/>
        <v>0</v>
      </c>
      <c r="BR129" s="193">
        <f t="shared" si="209"/>
        <v>0</v>
      </c>
      <c r="BS129" s="188">
        <f t="shared" si="210"/>
        <v>0</v>
      </c>
      <c r="BT129" s="188">
        <f t="shared" si="211"/>
        <v>0</v>
      </c>
      <c r="BU129" s="188">
        <f t="shared" si="212"/>
        <v>0</v>
      </c>
      <c r="BV129" s="188">
        <f t="shared" si="213"/>
        <v>0</v>
      </c>
      <c r="BW129" s="188">
        <f t="shared" si="214"/>
        <v>0</v>
      </c>
      <c r="BX129" s="188">
        <f t="shared" si="215"/>
        <v>0</v>
      </c>
      <c r="BY129" s="188">
        <f t="shared" si="216"/>
        <v>0</v>
      </c>
      <c r="BZ129" s="188">
        <f t="shared" si="217"/>
        <v>0</v>
      </c>
      <c r="CA129" s="188">
        <f t="shared" si="218"/>
        <v>0</v>
      </c>
      <c r="CB129" s="149">
        <f t="shared" si="219"/>
        <v>0</v>
      </c>
      <c r="CC129" s="149">
        <f>CB129-BEL!CB129</f>
        <v>0</v>
      </c>
      <c r="CD129" s="189">
        <f>IF(AND(C129=0,C130=0),0,CB129/W129) - BEL!CC129</f>
        <v>0</v>
      </c>
      <c r="CF129" s="195">
        <f t="shared" si="220"/>
        <v>0</v>
      </c>
      <c r="CG129" s="127">
        <f t="shared" si="221"/>
        <v>0</v>
      </c>
      <c r="CH129" s="128">
        <f>'DATA INPUT - DETAIL'!AH120</f>
        <v>0</v>
      </c>
      <c r="CI129" s="125">
        <f t="shared" si="222"/>
        <v>0</v>
      </c>
      <c r="CJ129" s="199">
        <f t="shared" si="223"/>
        <v>0</v>
      </c>
      <c r="CL129" s="189">
        <f t="shared" si="224"/>
        <v>0</v>
      </c>
      <c r="CM129" s="149">
        <f t="shared" si="225"/>
        <v>0</v>
      </c>
      <c r="CN129" s="128">
        <f>'DATA INPUT - DETAIL'!AH120</f>
        <v>0</v>
      </c>
      <c r="CO129" s="149">
        <f t="shared" si="226"/>
        <v>0</v>
      </c>
      <c r="CP129" s="149">
        <f t="shared" si="227"/>
        <v>0</v>
      </c>
      <c r="CR129" s="126">
        <f t="shared" si="164"/>
        <v>117</v>
      </c>
      <c r="CS129" s="189">
        <f t="shared" si="165"/>
        <v>0</v>
      </c>
      <c r="CT129" s="200">
        <f>CS129/(BEL!CE129+BEL!CA129-BEL!BU129+'RA CSM'!CF129)</f>
        <v>0</v>
      </c>
      <c r="CU129" s="149">
        <f>$CT129*BEL!CH129</f>
        <v>0</v>
      </c>
      <c r="CV129" s="149">
        <f>$CT129*BEL!CI129</f>
        <v>0</v>
      </c>
      <c r="CW129" s="149">
        <f>$CT129*BEL!CJ129</f>
        <v>0</v>
      </c>
      <c r="CX129" s="149">
        <f>$CT129*BEL!CK129</f>
        <v>0</v>
      </c>
      <c r="CY129" s="149">
        <f t="shared" si="162"/>
        <v>0</v>
      </c>
      <c r="CZ129" s="149">
        <f>$CT129*(BEL!CL129+'RA CSM'!CG129)</f>
        <v>0</v>
      </c>
      <c r="DA129" s="149">
        <f t="shared" si="163"/>
        <v>0</v>
      </c>
    </row>
    <row r="130" spans="2:105" x14ac:dyDescent="0.2">
      <c r="B130" s="130">
        <f>BEL!B130</f>
        <v>0</v>
      </c>
      <c r="C130" s="130">
        <f>BEL!C130</f>
        <v>0</v>
      </c>
      <c r="D130" s="190">
        <f>BEL!D130</f>
        <v>0</v>
      </c>
      <c r="E130" s="190">
        <f>BEL!E130</f>
        <v>0</v>
      </c>
      <c r="F130" s="190">
        <f>BEL!F130</f>
        <v>0</v>
      </c>
      <c r="G130" s="190">
        <f>BEL!G130*(1+$V$5)</f>
        <v>0</v>
      </c>
      <c r="H130" s="190">
        <f>BEL!H130*(1+$V$5)</f>
        <v>0</v>
      </c>
      <c r="I130" s="179">
        <f t="shared" si="167"/>
        <v>0</v>
      </c>
      <c r="J130" s="130">
        <f>BEL!J130</f>
        <v>0</v>
      </c>
      <c r="K130" s="130">
        <f>BEL!K130</f>
        <v>0</v>
      </c>
      <c r="L130" s="130">
        <f>BEL!L130</f>
        <v>0</v>
      </c>
      <c r="M130" s="185">
        <f t="shared" si="166"/>
        <v>0</v>
      </c>
      <c r="N130" s="185">
        <f t="shared" si="168"/>
        <v>0</v>
      </c>
      <c r="O130" s="185">
        <f t="shared" si="169"/>
        <v>0</v>
      </c>
      <c r="P130" s="185">
        <f t="shared" si="170"/>
        <v>0</v>
      </c>
      <c r="Q130" s="185">
        <f t="shared" si="171"/>
        <v>0</v>
      </c>
      <c r="R130" s="185">
        <f t="shared" si="172"/>
        <v>0</v>
      </c>
      <c r="S130" s="185">
        <f t="shared" si="173"/>
        <v>0</v>
      </c>
      <c r="T130" s="185">
        <f t="shared" si="174"/>
        <v>0</v>
      </c>
      <c r="U130" s="196">
        <f>(C130&gt;0)*(C130&lt;$E$5)*VLOOKUP(MPP,ASUMSI!$BN$77:$CR$108,B130+1)*(1+$V$4)</f>
        <v>0</v>
      </c>
      <c r="V130" s="185">
        <f t="shared" si="175"/>
        <v>0</v>
      </c>
      <c r="W130" s="185">
        <f t="shared" si="176"/>
        <v>0</v>
      </c>
      <c r="X130" s="185">
        <f t="shared" si="177"/>
        <v>0</v>
      </c>
      <c r="Y130" s="185">
        <f t="shared" si="178"/>
        <v>0</v>
      </c>
      <c r="Z130" s="185">
        <f t="shared" si="179"/>
        <v>0</v>
      </c>
      <c r="AA130" s="197">
        <f t="shared" si="180"/>
        <v>0</v>
      </c>
      <c r="AB130" s="185">
        <f t="shared" si="181"/>
        <v>0</v>
      </c>
      <c r="AC130" s="185">
        <f t="shared" si="182"/>
        <v>0</v>
      </c>
      <c r="AD130" s="185">
        <f t="shared" si="183"/>
        <v>0</v>
      </c>
      <c r="AE130" s="185">
        <f t="shared" si="184"/>
        <v>0</v>
      </c>
      <c r="AF130" s="185">
        <f t="shared" si="185"/>
        <v>0</v>
      </c>
      <c r="AG130" s="185">
        <f t="shared" si="186"/>
        <v>0</v>
      </c>
      <c r="AH130" s="185">
        <f t="shared" si="187"/>
        <v>0</v>
      </c>
      <c r="AI130" s="125">
        <f>BEL!AI130</f>
        <v>0</v>
      </c>
      <c r="AJ130" s="125">
        <f>BEL!AJ130</f>
        <v>0</v>
      </c>
      <c r="AK130" s="125">
        <f>BEL!AK130</f>
        <v>0</v>
      </c>
      <c r="AL130" s="125">
        <f>BEL!AL130</f>
        <v>0</v>
      </c>
      <c r="AM130" s="125">
        <f>BEL!AM130</f>
        <v>0</v>
      </c>
      <c r="AN130" s="125">
        <f>BEL!AN130</f>
        <v>0</v>
      </c>
      <c r="AO130" s="198">
        <f t="shared" si="188"/>
        <v>0</v>
      </c>
      <c r="AP130" s="125">
        <f>BEL!AP130</f>
        <v>0</v>
      </c>
      <c r="AQ130" s="125">
        <f>BEL!AQ130</f>
        <v>0</v>
      </c>
      <c r="AR130" s="125">
        <f>BEL!AR130</f>
        <v>0</v>
      </c>
      <c r="AS130" s="125">
        <f>BEL!AS130</f>
        <v>0</v>
      </c>
      <c r="AT130" s="125">
        <f>BEL!AT130</f>
        <v>0</v>
      </c>
      <c r="AU130" s="127">
        <f>BEL!AU130</f>
        <v>0</v>
      </c>
      <c r="AV130" s="127">
        <f>BEL!AV130</f>
        <v>0</v>
      </c>
      <c r="AW130" s="127">
        <f>BEL!AW130</f>
        <v>0</v>
      </c>
      <c r="AX130" s="127">
        <f t="shared" si="189"/>
        <v>0</v>
      </c>
      <c r="AY130" s="127">
        <f t="shared" si="190"/>
        <v>0</v>
      </c>
      <c r="AZ130" s="127">
        <f t="shared" si="191"/>
        <v>0</v>
      </c>
      <c r="BA130" s="127">
        <f t="shared" si="192"/>
        <v>0</v>
      </c>
      <c r="BB130" s="127">
        <f t="shared" si="193"/>
        <v>0</v>
      </c>
      <c r="BC130" s="127">
        <f t="shared" si="194"/>
        <v>0</v>
      </c>
      <c r="BD130" s="127">
        <f t="shared" si="195"/>
        <v>0</v>
      </c>
      <c r="BE130" s="127">
        <f t="shared" si="196"/>
        <v>0</v>
      </c>
      <c r="BF130" s="127">
        <f t="shared" si="197"/>
        <v>0</v>
      </c>
      <c r="BG130" s="127">
        <f t="shared" si="198"/>
        <v>0</v>
      </c>
      <c r="BH130" s="127">
        <f t="shared" si="199"/>
        <v>0</v>
      </c>
      <c r="BI130" s="127">
        <f t="shared" si="200"/>
        <v>0</v>
      </c>
      <c r="BJ130" s="189">
        <f t="shared" si="201"/>
        <v>0</v>
      </c>
      <c r="BK130" s="189">
        <f t="shared" si="202"/>
        <v>0</v>
      </c>
      <c r="BL130" s="192">
        <f t="shared" si="203"/>
        <v>0</v>
      </c>
      <c r="BM130" s="192">
        <f t="shared" si="204"/>
        <v>0</v>
      </c>
      <c r="BN130" s="192">
        <f t="shared" si="205"/>
        <v>0</v>
      </c>
      <c r="BO130" s="192">
        <f t="shared" si="206"/>
        <v>0</v>
      </c>
      <c r="BP130" s="192">
        <f t="shared" si="207"/>
        <v>0</v>
      </c>
      <c r="BQ130" s="193">
        <f t="shared" si="208"/>
        <v>0</v>
      </c>
      <c r="BR130" s="193">
        <f t="shared" si="209"/>
        <v>0</v>
      </c>
      <c r="BS130" s="188">
        <f t="shared" si="210"/>
        <v>0</v>
      </c>
      <c r="BT130" s="188">
        <f t="shared" si="211"/>
        <v>0</v>
      </c>
      <c r="BU130" s="188">
        <f t="shared" si="212"/>
        <v>0</v>
      </c>
      <c r="BV130" s="188">
        <f t="shared" si="213"/>
        <v>0</v>
      </c>
      <c r="BW130" s="188">
        <f t="shared" si="214"/>
        <v>0</v>
      </c>
      <c r="BX130" s="188">
        <f t="shared" si="215"/>
        <v>0</v>
      </c>
      <c r="BY130" s="188">
        <f t="shared" si="216"/>
        <v>0</v>
      </c>
      <c r="BZ130" s="188">
        <f t="shared" si="217"/>
        <v>0</v>
      </c>
      <c r="CA130" s="188">
        <f t="shared" si="218"/>
        <v>0</v>
      </c>
      <c r="CB130" s="149">
        <f t="shared" si="219"/>
        <v>0</v>
      </c>
      <c r="CC130" s="149">
        <f>CB130-BEL!CB130</f>
        <v>0</v>
      </c>
      <c r="CD130" s="189">
        <f>IF(AND(C130=0,C131=0),0,CB130/W130) - BEL!CC130</f>
        <v>0</v>
      </c>
      <c r="CF130" s="195">
        <f t="shared" si="220"/>
        <v>0</v>
      </c>
      <c r="CG130" s="127">
        <f t="shared" si="221"/>
        <v>0</v>
      </c>
      <c r="CH130" s="128">
        <f>'DATA INPUT - DETAIL'!AH121</f>
        <v>0</v>
      </c>
      <c r="CI130" s="125">
        <f t="shared" si="222"/>
        <v>0</v>
      </c>
      <c r="CJ130" s="199">
        <f t="shared" si="223"/>
        <v>0</v>
      </c>
      <c r="CL130" s="189">
        <f t="shared" si="224"/>
        <v>0</v>
      </c>
      <c r="CM130" s="149">
        <f t="shared" si="225"/>
        <v>0</v>
      </c>
      <c r="CN130" s="128">
        <f>'DATA INPUT - DETAIL'!AH121</f>
        <v>0</v>
      </c>
      <c r="CO130" s="149">
        <f t="shared" si="226"/>
        <v>0</v>
      </c>
      <c r="CP130" s="149">
        <f t="shared" si="227"/>
        <v>0</v>
      </c>
      <c r="CR130" s="126">
        <f t="shared" si="164"/>
        <v>118</v>
      </c>
      <c r="CS130" s="189">
        <f t="shared" si="165"/>
        <v>0</v>
      </c>
      <c r="CT130" s="200">
        <f>CS130/(BEL!CE130+BEL!CA130-BEL!BU130+'RA CSM'!CF130)</f>
        <v>0</v>
      </c>
      <c r="CU130" s="149">
        <f>$CT130*BEL!CH130</f>
        <v>0</v>
      </c>
      <c r="CV130" s="149">
        <f>$CT130*BEL!CI130</f>
        <v>0</v>
      </c>
      <c r="CW130" s="149">
        <f>$CT130*BEL!CJ130</f>
        <v>0</v>
      </c>
      <c r="CX130" s="149">
        <f>$CT130*BEL!CK130</f>
        <v>0</v>
      </c>
      <c r="CY130" s="149">
        <f t="shared" si="162"/>
        <v>0</v>
      </c>
      <c r="CZ130" s="149">
        <f>$CT130*(BEL!CL130+'RA CSM'!CG130)</f>
        <v>0</v>
      </c>
      <c r="DA130" s="149">
        <f t="shared" si="163"/>
        <v>0</v>
      </c>
    </row>
    <row r="131" spans="2:105" x14ac:dyDescent="0.2">
      <c r="B131" s="130">
        <f>BEL!B131</f>
        <v>0</v>
      </c>
      <c r="C131" s="130">
        <f>BEL!C131</f>
        <v>0</v>
      </c>
      <c r="D131" s="190">
        <f>BEL!D131</f>
        <v>0</v>
      </c>
      <c r="E131" s="190">
        <f>BEL!E131</f>
        <v>0</v>
      </c>
      <c r="F131" s="190">
        <f>BEL!F131</f>
        <v>0</v>
      </c>
      <c r="G131" s="190">
        <f>BEL!G131*(1+$V$5)</f>
        <v>0</v>
      </c>
      <c r="H131" s="190">
        <f>BEL!H131*(1+$V$5)</f>
        <v>0</v>
      </c>
      <c r="I131" s="179">
        <f t="shared" si="167"/>
        <v>0</v>
      </c>
      <c r="J131" s="130">
        <f>BEL!J131</f>
        <v>0</v>
      </c>
      <c r="K131" s="130">
        <f>BEL!K131</f>
        <v>0</v>
      </c>
      <c r="L131" s="130">
        <f>BEL!L131</f>
        <v>0</v>
      </c>
      <c r="M131" s="185">
        <f t="shared" si="166"/>
        <v>0</v>
      </c>
      <c r="N131" s="185">
        <f t="shared" si="168"/>
        <v>0</v>
      </c>
      <c r="O131" s="185">
        <f t="shared" si="169"/>
        <v>0</v>
      </c>
      <c r="P131" s="185">
        <f t="shared" si="170"/>
        <v>0</v>
      </c>
      <c r="Q131" s="185">
        <f t="shared" si="171"/>
        <v>0</v>
      </c>
      <c r="R131" s="185">
        <f t="shared" si="172"/>
        <v>0</v>
      </c>
      <c r="S131" s="185">
        <f t="shared" si="173"/>
        <v>0</v>
      </c>
      <c r="T131" s="185">
        <f t="shared" si="174"/>
        <v>0</v>
      </c>
      <c r="U131" s="196">
        <f>(C131&gt;0)*(C131&lt;$E$5)*VLOOKUP(MPP,ASUMSI!$BN$77:$CR$108,B131+1)*(1+$V$4)</f>
        <v>0</v>
      </c>
      <c r="V131" s="185">
        <f t="shared" si="175"/>
        <v>0</v>
      </c>
      <c r="W131" s="185">
        <f t="shared" si="176"/>
        <v>0</v>
      </c>
      <c r="X131" s="185">
        <f t="shared" si="177"/>
        <v>0</v>
      </c>
      <c r="Y131" s="185">
        <f t="shared" si="178"/>
        <v>0</v>
      </c>
      <c r="Z131" s="185">
        <f t="shared" si="179"/>
        <v>0</v>
      </c>
      <c r="AA131" s="197">
        <f t="shared" si="180"/>
        <v>0</v>
      </c>
      <c r="AB131" s="185">
        <f t="shared" si="181"/>
        <v>0</v>
      </c>
      <c r="AC131" s="185">
        <f t="shared" si="182"/>
        <v>0</v>
      </c>
      <c r="AD131" s="185">
        <f t="shared" si="183"/>
        <v>0</v>
      </c>
      <c r="AE131" s="185">
        <f t="shared" si="184"/>
        <v>0</v>
      </c>
      <c r="AF131" s="185">
        <f t="shared" si="185"/>
        <v>0</v>
      </c>
      <c r="AG131" s="185">
        <f t="shared" si="186"/>
        <v>0</v>
      </c>
      <c r="AH131" s="185">
        <f t="shared" si="187"/>
        <v>0</v>
      </c>
      <c r="AI131" s="125">
        <f>BEL!AI131</f>
        <v>0</v>
      </c>
      <c r="AJ131" s="125">
        <f>BEL!AJ131</f>
        <v>0</v>
      </c>
      <c r="AK131" s="125">
        <f>BEL!AK131</f>
        <v>0</v>
      </c>
      <c r="AL131" s="125">
        <f>BEL!AL131</f>
        <v>0</v>
      </c>
      <c r="AM131" s="125">
        <f>BEL!AM131</f>
        <v>0</v>
      </c>
      <c r="AN131" s="125">
        <f>BEL!AN131</f>
        <v>0</v>
      </c>
      <c r="AO131" s="198">
        <f t="shared" si="188"/>
        <v>0</v>
      </c>
      <c r="AP131" s="125">
        <f>BEL!AP131</f>
        <v>0</v>
      </c>
      <c r="AQ131" s="125">
        <f>BEL!AQ131</f>
        <v>0</v>
      </c>
      <c r="AR131" s="125">
        <f>BEL!AR131</f>
        <v>0</v>
      </c>
      <c r="AS131" s="125">
        <f>BEL!AS131</f>
        <v>0</v>
      </c>
      <c r="AT131" s="125">
        <f>BEL!AT131</f>
        <v>0</v>
      </c>
      <c r="AU131" s="127">
        <f>BEL!AU131</f>
        <v>0</v>
      </c>
      <c r="AV131" s="127">
        <f>BEL!AV131</f>
        <v>0</v>
      </c>
      <c r="AW131" s="127">
        <f>BEL!AW131</f>
        <v>0</v>
      </c>
      <c r="AX131" s="127">
        <f t="shared" si="189"/>
        <v>0</v>
      </c>
      <c r="AY131" s="127">
        <f t="shared" si="190"/>
        <v>0</v>
      </c>
      <c r="AZ131" s="127">
        <f t="shared" si="191"/>
        <v>0</v>
      </c>
      <c r="BA131" s="127">
        <f t="shared" si="192"/>
        <v>0</v>
      </c>
      <c r="BB131" s="127">
        <f t="shared" si="193"/>
        <v>0</v>
      </c>
      <c r="BC131" s="127">
        <f t="shared" si="194"/>
        <v>0</v>
      </c>
      <c r="BD131" s="127">
        <f t="shared" si="195"/>
        <v>0</v>
      </c>
      <c r="BE131" s="127">
        <f t="shared" si="196"/>
        <v>0</v>
      </c>
      <c r="BF131" s="127">
        <f t="shared" si="197"/>
        <v>0</v>
      </c>
      <c r="BG131" s="127">
        <f t="shared" si="198"/>
        <v>0</v>
      </c>
      <c r="BH131" s="127">
        <f t="shared" si="199"/>
        <v>0</v>
      </c>
      <c r="BI131" s="127">
        <f t="shared" si="200"/>
        <v>0</v>
      </c>
      <c r="BJ131" s="189">
        <f t="shared" si="201"/>
        <v>0</v>
      </c>
      <c r="BK131" s="189">
        <f t="shared" si="202"/>
        <v>0</v>
      </c>
      <c r="BL131" s="192">
        <f t="shared" si="203"/>
        <v>0</v>
      </c>
      <c r="BM131" s="192">
        <f t="shared" si="204"/>
        <v>0</v>
      </c>
      <c r="BN131" s="192">
        <f t="shared" si="205"/>
        <v>0</v>
      </c>
      <c r="BO131" s="192">
        <f t="shared" si="206"/>
        <v>0</v>
      </c>
      <c r="BP131" s="192">
        <f t="shared" si="207"/>
        <v>0</v>
      </c>
      <c r="BQ131" s="193">
        <f t="shared" si="208"/>
        <v>0</v>
      </c>
      <c r="BR131" s="193">
        <f t="shared" si="209"/>
        <v>0</v>
      </c>
      <c r="BS131" s="188">
        <f t="shared" si="210"/>
        <v>0</v>
      </c>
      <c r="BT131" s="188">
        <f t="shared" si="211"/>
        <v>0</v>
      </c>
      <c r="BU131" s="188">
        <f t="shared" si="212"/>
        <v>0</v>
      </c>
      <c r="BV131" s="188">
        <f t="shared" si="213"/>
        <v>0</v>
      </c>
      <c r="BW131" s="188">
        <f t="shared" si="214"/>
        <v>0</v>
      </c>
      <c r="BX131" s="188">
        <f t="shared" si="215"/>
        <v>0</v>
      </c>
      <c r="BY131" s="188">
        <f t="shared" si="216"/>
        <v>0</v>
      </c>
      <c r="BZ131" s="188">
        <f t="shared" si="217"/>
        <v>0</v>
      </c>
      <c r="CA131" s="188">
        <f t="shared" si="218"/>
        <v>0</v>
      </c>
      <c r="CB131" s="149">
        <f t="shared" si="219"/>
        <v>0</v>
      </c>
      <c r="CC131" s="149">
        <f>CB131-BEL!CB131</f>
        <v>0</v>
      </c>
      <c r="CD131" s="189">
        <f>IF(AND(C131=0,C132=0),0,CB131/W131) - BEL!CC131</f>
        <v>0</v>
      </c>
      <c r="CF131" s="195">
        <f t="shared" si="220"/>
        <v>0</v>
      </c>
      <c r="CG131" s="127">
        <f t="shared" si="221"/>
        <v>0</v>
      </c>
      <c r="CH131" s="128">
        <f>'DATA INPUT - DETAIL'!AH122</f>
        <v>0</v>
      </c>
      <c r="CI131" s="125">
        <f t="shared" si="222"/>
        <v>0</v>
      </c>
      <c r="CJ131" s="199">
        <f t="shared" si="223"/>
        <v>0</v>
      </c>
      <c r="CL131" s="189">
        <f t="shared" si="224"/>
        <v>0</v>
      </c>
      <c r="CM131" s="149">
        <f t="shared" si="225"/>
        <v>0</v>
      </c>
      <c r="CN131" s="128">
        <f>'DATA INPUT - DETAIL'!AH122</f>
        <v>0</v>
      </c>
      <c r="CO131" s="149">
        <f t="shared" si="226"/>
        <v>0</v>
      </c>
      <c r="CP131" s="149">
        <f t="shared" si="227"/>
        <v>0</v>
      </c>
      <c r="CR131" s="126">
        <f t="shared" si="164"/>
        <v>119</v>
      </c>
      <c r="CS131" s="189">
        <f t="shared" si="165"/>
        <v>0</v>
      </c>
      <c r="CT131" s="200">
        <f>CS131/(BEL!CE131+BEL!CA131-BEL!BU131+'RA CSM'!CF131)</f>
        <v>0</v>
      </c>
      <c r="CU131" s="149">
        <f>$CT131*BEL!CH131</f>
        <v>0</v>
      </c>
      <c r="CV131" s="149">
        <f>$CT131*BEL!CI131</f>
        <v>0</v>
      </c>
      <c r="CW131" s="149">
        <f>$CT131*BEL!CJ131</f>
        <v>0</v>
      </c>
      <c r="CX131" s="149">
        <f>$CT131*BEL!CK131</f>
        <v>0</v>
      </c>
      <c r="CY131" s="149">
        <f t="shared" si="162"/>
        <v>0</v>
      </c>
      <c r="CZ131" s="149">
        <f>$CT131*(BEL!CL131+'RA CSM'!CG131)</f>
        <v>0</v>
      </c>
      <c r="DA131" s="149">
        <f t="shared" si="163"/>
        <v>0</v>
      </c>
    </row>
    <row r="132" spans="2:105" x14ac:dyDescent="0.2">
      <c r="B132" s="130">
        <f>BEL!B132</f>
        <v>0</v>
      </c>
      <c r="C132" s="130">
        <f>BEL!C132</f>
        <v>0</v>
      </c>
      <c r="D132" s="190">
        <f>BEL!D132</f>
        <v>0</v>
      </c>
      <c r="E132" s="190">
        <f>BEL!E132</f>
        <v>0</v>
      </c>
      <c r="F132" s="190">
        <f>BEL!F132</f>
        <v>0</v>
      </c>
      <c r="G132" s="190">
        <f>BEL!G132*(1+$V$5)</f>
        <v>0</v>
      </c>
      <c r="H132" s="190">
        <f>BEL!H132*(1+$V$5)</f>
        <v>0</v>
      </c>
      <c r="I132" s="179">
        <f t="shared" si="167"/>
        <v>0</v>
      </c>
      <c r="J132" s="130">
        <f>BEL!J132</f>
        <v>0</v>
      </c>
      <c r="K132" s="130">
        <f>BEL!K132</f>
        <v>0</v>
      </c>
      <c r="L132" s="130">
        <f>BEL!L132</f>
        <v>0</v>
      </c>
      <c r="M132" s="185">
        <f t="shared" si="166"/>
        <v>0</v>
      </c>
      <c r="N132" s="185">
        <f t="shared" si="168"/>
        <v>0</v>
      </c>
      <c r="O132" s="185">
        <f t="shared" si="169"/>
        <v>0</v>
      </c>
      <c r="P132" s="185">
        <f t="shared" si="170"/>
        <v>0</v>
      </c>
      <c r="Q132" s="185">
        <f t="shared" si="171"/>
        <v>0</v>
      </c>
      <c r="R132" s="185">
        <f t="shared" si="172"/>
        <v>0</v>
      </c>
      <c r="S132" s="185">
        <f t="shared" si="173"/>
        <v>0</v>
      </c>
      <c r="T132" s="185">
        <f t="shared" si="174"/>
        <v>0</v>
      </c>
      <c r="U132" s="196">
        <f>(C132&gt;0)*(C132&lt;$E$5)*VLOOKUP(MPP,ASUMSI!$BN$77:$CR$108,B132+1)*(1+$V$4)</f>
        <v>0</v>
      </c>
      <c r="V132" s="185">
        <f t="shared" si="175"/>
        <v>0</v>
      </c>
      <c r="W132" s="185">
        <f t="shared" si="176"/>
        <v>0</v>
      </c>
      <c r="X132" s="185">
        <f t="shared" si="177"/>
        <v>0</v>
      </c>
      <c r="Y132" s="185">
        <f t="shared" si="178"/>
        <v>0</v>
      </c>
      <c r="Z132" s="185">
        <f t="shared" si="179"/>
        <v>0</v>
      </c>
      <c r="AA132" s="197">
        <f t="shared" si="180"/>
        <v>0</v>
      </c>
      <c r="AB132" s="185">
        <f t="shared" si="181"/>
        <v>0</v>
      </c>
      <c r="AC132" s="185">
        <f t="shared" si="182"/>
        <v>0</v>
      </c>
      <c r="AD132" s="185">
        <f t="shared" si="183"/>
        <v>0</v>
      </c>
      <c r="AE132" s="185">
        <f t="shared" si="184"/>
        <v>0</v>
      </c>
      <c r="AF132" s="185">
        <f t="shared" si="185"/>
        <v>0</v>
      </c>
      <c r="AG132" s="185">
        <f t="shared" si="186"/>
        <v>0</v>
      </c>
      <c r="AH132" s="185">
        <f t="shared" si="187"/>
        <v>0</v>
      </c>
      <c r="AI132" s="125">
        <f>BEL!AI132</f>
        <v>0</v>
      </c>
      <c r="AJ132" s="125">
        <f>BEL!AJ132</f>
        <v>0</v>
      </c>
      <c r="AK132" s="125">
        <f>BEL!AK132</f>
        <v>0</v>
      </c>
      <c r="AL132" s="125">
        <f>BEL!AL132</f>
        <v>0</v>
      </c>
      <c r="AM132" s="125">
        <f>BEL!AM132</f>
        <v>0</v>
      </c>
      <c r="AN132" s="125">
        <f>BEL!AN132</f>
        <v>0</v>
      </c>
      <c r="AO132" s="198">
        <f t="shared" si="188"/>
        <v>0</v>
      </c>
      <c r="AP132" s="125">
        <f>BEL!AP132</f>
        <v>0</v>
      </c>
      <c r="AQ132" s="125">
        <f>BEL!AQ132</f>
        <v>0</v>
      </c>
      <c r="AR132" s="125">
        <f>BEL!AR132</f>
        <v>0</v>
      </c>
      <c r="AS132" s="125">
        <f>BEL!AS132</f>
        <v>0</v>
      </c>
      <c r="AT132" s="125">
        <f>BEL!AT132</f>
        <v>0</v>
      </c>
      <c r="AU132" s="127">
        <f>BEL!AU132</f>
        <v>0</v>
      </c>
      <c r="AV132" s="127">
        <f>BEL!AV132</f>
        <v>0</v>
      </c>
      <c r="AW132" s="127">
        <f>BEL!AW132</f>
        <v>0</v>
      </c>
      <c r="AX132" s="127">
        <f t="shared" si="189"/>
        <v>0</v>
      </c>
      <c r="AY132" s="127">
        <f t="shared" si="190"/>
        <v>0</v>
      </c>
      <c r="AZ132" s="127">
        <f t="shared" si="191"/>
        <v>0</v>
      </c>
      <c r="BA132" s="127">
        <f t="shared" si="192"/>
        <v>0</v>
      </c>
      <c r="BB132" s="127">
        <f t="shared" si="193"/>
        <v>0</v>
      </c>
      <c r="BC132" s="127">
        <f t="shared" si="194"/>
        <v>0</v>
      </c>
      <c r="BD132" s="127">
        <f t="shared" si="195"/>
        <v>0</v>
      </c>
      <c r="BE132" s="127">
        <f t="shared" si="196"/>
        <v>0</v>
      </c>
      <c r="BF132" s="127">
        <f t="shared" si="197"/>
        <v>0</v>
      </c>
      <c r="BG132" s="127">
        <f t="shared" si="198"/>
        <v>0</v>
      </c>
      <c r="BH132" s="127">
        <f t="shared" si="199"/>
        <v>0</v>
      </c>
      <c r="BI132" s="127">
        <f t="shared" si="200"/>
        <v>0</v>
      </c>
      <c r="BJ132" s="189">
        <f t="shared" si="201"/>
        <v>0</v>
      </c>
      <c r="BK132" s="189">
        <f t="shared" si="202"/>
        <v>0</v>
      </c>
      <c r="BL132" s="192">
        <f t="shared" si="203"/>
        <v>0</v>
      </c>
      <c r="BM132" s="192">
        <f t="shared" si="204"/>
        <v>0</v>
      </c>
      <c r="BN132" s="192">
        <f t="shared" si="205"/>
        <v>0</v>
      </c>
      <c r="BO132" s="192">
        <f t="shared" si="206"/>
        <v>0</v>
      </c>
      <c r="BP132" s="192">
        <f t="shared" si="207"/>
        <v>0</v>
      </c>
      <c r="BQ132" s="193">
        <f t="shared" si="208"/>
        <v>0</v>
      </c>
      <c r="BR132" s="193">
        <f t="shared" si="209"/>
        <v>0</v>
      </c>
      <c r="BS132" s="188">
        <f t="shared" si="210"/>
        <v>0</v>
      </c>
      <c r="BT132" s="188">
        <f t="shared" si="211"/>
        <v>0</v>
      </c>
      <c r="BU132" s="188">
        <f t="shared" si="212"/>
        <v>0</v>
      </c>
      <c r="BV132" s="188">
        <f t="shared" si="213"/>
        <v>0</v>
      </c>
      <c r="BW132" s="188">
        <f t="shared" si="214"/>
        <v>0</v>
      </c>
      <c r="BX132" s="188">
        <f t="shared" si="215"/>
        <v>0</v>
      </c>
      <c r="BY132" s="188">
        <f t="shared" si="216"/>
        <v>0</v>
      </c>
      <c r="BZ132" s="188">
        <f t="shared" si="217"/>
        <v>0</v>
      </c>
      <c r="CA132" s="188">
        <f t="shared" si="218"/>
        <v>0</v>
      </c>
      <c r="CB132" s="149">
        <f t="shared" si="219"/>
        <v>0</v>
      </c>
      <c r="CC132" s="149">
        <f>CB132-BEL!CB132</f>
        <v>0</v>
      </c>
      <c r="CD132" s="189">
        <f>IF(AND(C132=0,C133=0),0,CB132/W132) - BEL!CC132</f>
        <v>0</v>
      </c>
      <c r="CF132" s="195">
        <f t="shared" si="220"/>
        <v>0</v>
      </c>
      <c r="CG132" s="127">
        <f t="shared" si="221"/>
        <v>0</v>
      </c>
      <c r="CH132" s="128">
        <f>'DATA INPUT - DETAIL'!AH123</f>
        <v>0</v>
      </c>
      <c r="CI132" s="125">
        <f t="shared" si="222"/>
        <v>0</v>
      </c>
      <c r="CJ132" s="199">
        <f t="shared" si="223"/>
        <v>0</v>
      </c>
      <c r="CL132" s="189">
        <f t="shared" si="224"/>
        <v>0</v>
      </c>
      <c r="CM132" s="149">
        <f t="shared" si="225"/>
        <v>0</v>
      </c>
      <c r="CN132" s="128">
        <f>'DATA INPUT - DETAIL'!AH123</f>
        <v>0</v>
      </c>
      <c r="CO132" s="149">
        <f t="shared" si="226"/>
        <v>0</v>
      </c>
      <c r="CP132" s="149">
        <f t="shared" si="227"/>
        <v>0</v>
      </c>
      <c r="CR132" s="126">
        <f t="shared" si="164"/>
        <v>120</v>
      </c>
      <c r="CS132" s="189">
        <f t="shared" si="165"/>
        <v>0</v>
      </c>
      <c r="CT132" s="200">
        <f>CS132/(BEL!CE132+BEL!CA132-BEL!BU132+'RA CSM'!CF132)</f>
        <v>0</v>
      </c>
      <c r="CU132" s="149">
        <f>$CT132*BEL!CH132</f>
        <v>0</v>
      </c>
      <c r="CV132" s="149">
        <f>$CT132*BEL!CI132</f>
        <v>0</v>
      </c>
      <c r="CW132" s="149">
        <f>$CT132*BEL!CJ132</f>
        <v>0</v>
      </c>
      <c r="CX132" s="149">
        <f>$CT132*BEL!CK132</f>
        <v>0</v>
      </c>
      <c r="CY132" s="149">
        <f t="shared" si="162"/>
        <v>0</v>
      </c>
      <c r="CZ132" s="149">
        <f>$CT132*(BEL!CL132+'RA CSM'!CG132)</f>
        <v>0</v>
      </c>
      <c r="DA132" s="149">
        <f t="shared" si="163"/>
        <v>0</v>
      </c>
    </row>
    <row r="133" spans="2:105" x14ac:dyDescent="0.2">
      <c r="B133" s="130">
        <f>BEL!B133</f>
        <v>0</v>
      </c>
      <c r="C133" s="130">
        <f>BEL!C133</f>
        <v>0</v>
      </c>
      <c r="D133" s="190">
        <f>BEL!D133</f>
        <v>0</v>
      </c>
      <c r="E133" s="190">
        <f>BEL!E133</f>
        <v>0</v>
      </c>
      <c r="F133" s="190">
        <f>BEL!F133</f>
        <v>0</v>
      </c>
      <c r="G133" s="190">
        <f>BEL!G133*(1+$V$5)</f>
        <v>0</v>
      </c>
      <c r="H133" s="190">
        <f>BEL!H133*(1+$V$5)</f>
        <v>0</v>
      </c>
      <c r="I133" s="179">
        <f t="shared" si="167"/>
        <v>0</v>
      </c>
      <c r="J133" s="130">
        <f>BEL!J133</f>
        <v>0</v>
      </c>
      <c r="K133" s="130">
        <f>BEL!K133</f>
        <v>0</v>
      </c>
      <c r="L133" s="130">
        <f>BEL!L133</f>
        <v>0</v>
      </c>
      <c r="M133" s="185">
        <f t="shared" si="166"/>
        <v>0</v>
      </c>
      <c r="N133" s="185">
        <f t="shared" si="168"/>
        <v>0</v>
      </c>
      <c r="O133" s="185">
        <f t="shared" si="169"/>
        <v>0</v>
      </c>
      <c r="P133" s="185">
        <f t="shared" si="170"/>
        <v>0</v>
      </c>
      <c r="Q133" s="185">
        <f t="shared" si="171"/>
        <v>0</v>
      </c>
      <c r="R133" s="185">
        <f t="shared" si="172"/>
        <v>0</v>
      </c>
      <c r="S133" s="185">
        <f t="shared" si="173"/>
        <v>0</v>
      </c>
      <c r="T133" s="185">
        <f t="shared" si="174"/>
        <v>0</v>
      </c>
      <c r="U133" s="196">
        <f>(C133&gt;0)*(C133&lt;$E$5)*VLOOKUP(MPP,ASUMSI!$BN$77:$CR$108,B133+1)*(1+$V$4)</f>
        <v>0</v>
      </c>
      <c r="V133" s="185">
        <f t="shared" si="175"/>
        <v>0</v>
      </c>
      <c r="W133" s="185">
        <f t="shared" si="176"/>
        <v>0</v>
      </c>
      <c r="X133" s="185">
        <f t="shared" si="177"/>
        <v>0</v>
      </c>
      <c r="Y133" s="185">
        <f t="shared" si="178"/>
        <v>0</v>
      </c>
      <c r="Z133" s="185">
        <f t="shared" si="179"/>
        <v>0</v>
      </c>
      <c r="AA133" s="197">
        <f t="shared" si="180"/>
        <v>0</v>
      </c>
      <c r="AB133" s="185">
        <f t="shared" si="181"/>
        <v>0</v>
      </c>
      <c r="AC133" s="185">
        <f t="shared" si="182"/>
        <v>0</v>
      </c>
      <c r="AD133" s="185">
        <f t="shared" si="183"/>
        <v>0</v>
      </c>
      <c r="AE133" s="185">
        <f t="shared" si="184"/>
        <v>0</v>
      </c>
      <c r="AF133" s="185">
        <f t="shared" si="185"/>
        <v>0</v>
      </c>
      <c r="AG133" s="185">
        <f t="shared" si="186"/>
        <v>0</v>
      </c>
      <c r="AH133" s="185">
        <f t="shared" si="187"/>
        <v>0</v>
      </c>
      <c r="AI133" s="125">
        <f>BEL!AI133</f>
        <v>0</v>
      </c>
      <c r="AJ133" s="125">
        <f>BEL!AJ133</f>
        <v>0</v>
      </c>
      <c r="AK133" s="125">
        <f>BEL!AK133</f>
        <v>0</v>
      </c>
      <c r="AL133" s="125">
        <f>BEL!AL133</f>
        <v>0</v>
      </c>
      <c r="AM133" s="125">
        <f>BEL!AM133</f>
        <v>0</v>
      </c>
      <c r="AN133" s="125">
        <f>BEL!AN133</f>
        <v>0</v>
      </c>
      <c r="AO133" s="198">
        <f t="shared" si="188"/>
        <v>0</v>
      </c>
      <c r="AP133" s="125">
        <f>BEL!AP133</f>
        <v>0</v>
      </c>
      <c r="AQ133" s="125">
        <f>BEL!AQ133</f>
        <v>0</v>
      </c>
      <c r="AR133" s="125">
        <f>BEL!AR133</f>
        <v>0</v>
      </c>
      <c r="AS133" s="125">
        <f>BEL!AS133</f>
        <v>0</v>
      </c>
      <c r="AT133" s="125">
        <f>BEL!AT133</f>
        <v>0</v>
      </c>
      <c r="AU133" s="127">
        <f>BEL!AU133</f>
        <v>0</v>
      </c>
      <c r="AV133" s="127">
        <f>BEL!AV133</f>
        <v>0</v>
      </c>
      <c r="AW133" s="127">
        <f>BEL!AW133</f>
        <v>0</v>
      </c>
      <c r="AX133" s="127">
        <f t="shared" si="189"/>
        <v>0</v>
      </c>
      <c r="AY133" s="127">
        <f t="shared" si="190"/>
        <v>0</v>
      </c>
      <c r="AZ133" s="127">
        <f t="shared" si="191"/>
        <v>0</v>
      </c>
      <c r="BA133" s="127">
        <f t="shared" si="192"/>
        <v>0</v>
      </c>
      <c r="BB133" s="127">
        <f t="shared" si="193"/>
        <v>0</v>
      </c>
      <c r="BC133" s="127">
        <f t="shared" si="194"/>
        <v>0</v>
      </c>
      <c r="BD133" s="127">
        <f t="shared" si="195"/>
        <v>0</v>
      </c>
      <c r="BE133" s="127">
        <f t="shared" si="196"/>
        <v>0</v>
      </c>
      <c r="BF133" s="127">
        <f t="shared" si="197"/>
        <v>0</v>
      </c>
      <c r="BG133" s="127">
        <f t="shared" si="198"/>
        <v>0</v>
      </c>
      <c r="BH133" s="127">
        <f t="shared" si="199"/>
        <v>0</v>
      </c>
      <c r="BI133" s="127">
        <f t="shared" si="200"/>
        <v>0</v>
      </c>
      <c r="BJ133" s="189">
        <f t="shared" si="201"/>
        <v>0</v>
      </c>
      <c r="BK133" s="189">
        <f t="shared" si="202"/>
        <v>0</v>
      </c>
      <c r="BL133" s="192">
        <f t="shared" si="203"/>
        <v>0</v>
      </c>
      <c r="BM133" s="192">
        <f t="shared" si="204"/>
        <v>0</v>
      </c>
      <c r="BN133" s="192">
        <f t="shared" si="205"/>
        <v>0</v>
      </c>
      <c r="BO133" s="192">
        <f t="shared" si="206"/>
        <v>0</v>
      </c>
      <c r="BP133" s="192">
        <f t="shared" si="207"/>
        <v>0</v>
      </c>
      <c r="BQ133" s="193">
        <f t="shared" si="208"/>
        <v>0</v>
      </c>
      <c r="BR133" s="193">
        <f t="shared" si="209"/>
        <v>0</v>
      </c>
      <c r="BS133" s="188">
        <f t="shared" si="210"/>
        <v>0</v>
      </c>
      <c r="BT133" s="188">
        <f t="shared" si="211"/>
        <v>0</v>
      </c>
      <c r="BU133" s="188">
        <f t="shared" si="212"/>
        <v>0</v>
      </c>
      <c r="BV133" s="188">
        <f t="shared" si="213"/>
        <v>0</v>
      </c>
      <c r="BW133" s="188">
        <f t="shared" si="214"/>
        <v>0</v>
      </c>
      <c r="BX133" s="188">
        <f t="shared" si="215"/>
        <v>0</v>
      </c>
      <c r="BY133" s="188">
        <f t="shared" si="216"/>
        <v>0</v>
      </c>
      <c r="BZ133" s="188">
        <f t="shared" si="217"/>
        <v>0</v>
      </c>
      <c r="CA133" s="188">
        <f t="shared" si="218"/>
        <v>0</v>
      </c>
      <c r="CB133" s="149">
        <f t="shared" si="219"/>
        <v>0</v>
      </c>
      <c r="CC133" s="149">
        <f>CB133-BEL!CB133</f>
        <v>0</v>
      </c>
      <c r="CD133" s="189">
        <f>IF(AND(C133=0,C134=0),0,CB133/W133) - BEL!CC133</f>
        <v>0</v>
      </c>
      <c r="CF133" s="195">
        <f t="shared" si="220"/>
        <v>0</v>
      </c>
      <c r="CG133" s="127">
        <f t="shared" si="221"/>
        <v>0</v>
      </c>
      <c r="CH133" s="128">
        <f>'DATA INPUT - DETAIL'!AH124</f>
        <v>0</v>
      </c>
      <c r="CI133" s="125">
        <f t="shared" si="222"/>
        <v>0</v>
      </c>
      <c r="CJ133" s="199">
        <f t="shared" si="223"/>
        <v>0</v>
      </c>
      <c r="CL133" s="189">
        <f t="shared" si="224"/>
        <v>0</v>
      </c>
      <c r="CM133" s="149">
        <f t="shared" si="225"/>
        <v>0</v>
      </c>
      <c r="CN133" s="128">
        <f>'DATA INPUT - DETAIL'!AH124</f>
        <v>0</v>
      </c>
      <c r="CO133" s="149">
        <f t="shared" si="226"/>
        <v>0</v>
      </c>
      <c r="CP133" s="149">
        <f t="shared" si="227"/>
        <v>0</v>
      </c>
      <c r="CR133" s="126">
        <f t="shared" si="164"/>
        <v>121</v>
      </c>
      <c r="CS133" s="189">
        <f t="shared" si="165"/>
        <v>0</v>
      </c>
      <c r="CT133" s="200">
        <f>CS133/(BEL!CE133+BEL!CA133-BEL!BU133+'RA CSM'!CF133)</f>
        <v>0</v>
      </c>
      <c r="CU133" s="149">
        <f>$CT133*BEL!CH133</f>
        <v>0</v>
      </c>
      <c r="CV133" s="149">
        <f>$CT133*BEL!CI133</f>
        <v>0</v>
      </c>
      <c r="CW133" s="149">
        <f>$CT133*BEL!CJ133</f>
        <v>0</v>
      </c>
      <c r="CX133" s="149">
        <f>$CT133*BEL!CK133</f>
        <v>0</v>
      </c>
      <c r="CY133" s="149">
        <f t="shared" si="162"/>
        <v>0</v>
      </c>
      <c r="CZ133" s="149">
        <f>$CT133*(BEL!CL133+'RA CSM'!CG133)</f>
        <v>0</v>
      </c>
      <c r="DA133" s="149">
        <f t="shared" si="163"/>
        <v>0</v>
      </c>
    </row>
    <row r="134" spans="2:105" x14ac:dyDescent="0.2">
      <c r="B134" s="130">
        <f>BEL!B134</f>
        <v>0</v>
      </c>
      <c r="C134" s="130">
        <f>BEL!C134</f>
        <v>0</v>
      </c>
      <c r="D134" s="190">
        <f>BEL!D134</f>
        <v>0</v>
      </c>
      <c r="E134" s="190">
        <f>BEL!E134</f>
        <v>0</v>
      </c>
      <c r="F134" s="190">
        <f>BEL!F134</f>
        <v>0</v>
      </c>
      <c r="G134" s="190">
        <f>BEL!G134*(1+$V$5)</f>
        <v>0</v>
      </c>
      <c r="H134" s="190">
        <f>BEL!H134*(1+$V$5)</f>
        <v>0</v>
      </c>
      <c r="I134" s="179">
        <f t="shared" si="167"/>
        <v>0</v>
      </c>
      <c r="J134" s="130">
        <f>BEL!J134</f>
        <v>0</v>
      </c>
      <c r="K134" s="130">
        <f>BEL!K134</f>
        <v>0</v>
      </c>
      <c r="L134" s="130">
        <f>BEL!L134</f>
        <v>0</v>
      </c>
      <c r="M134" s="185">
        <f t="shared" si="166"/>
        <v>0</v>
      </c>
      <c r="N134" s="185">
        <f t="shared" si="168"/>
        <v>0</v>
      </c>
      <c r="O134" s="185">
        <f t="shared" si="169"/>
        <v>0</v>
      </c>
      <c r="P134" s="185">
        <f t="shared" si="170"/>
        <v>0</v>
      </c>
      <c r="Q134" s="185">
        <f t="shared" si="171"/>
        <v>0</v>
      </c>
      <c r="R134" s="185">
        <f t="shared" si="172"/>
        <v>0</v>
      </c>
      <c r="S134" s="185">
        <f t="shared" si="173"/>
        <v>0</v>
      </c>
      <c r="T134" s="185">
        <f t="shared" si="174"/>
        <v>0</v>
      </c>
      <c r="U134" s="196">
        <f>(C134&gt;0)*(C134&lt;$E$5)*VLOOKUP(MPP,ASUMSI!$BN$77:$CR$108,B134+1)*(1+$V$4)</f>
        <v>0</v>
      </c>
      <c r="V134" s="185">
        <f t="shared" si="175"/>
        <v>0</v>
      </c>
      <c r="W134" s="185">
        <f t="shared" si="176"/>
        <v>0</v>
      </c>
      <c r="X134" s="185">
        <f t="shared" si="177"/>
        <v>0</v>
      </c>
      <c r="Y134" s="185">
        <f t="shared" si="178"/>
        <v>0</v>
      </c>
      <c r="Z134" s="185">
        <f t="shared" si="179"/>
        <v>0</v>
      </c>
      <c r="AA134" s="197">
        <f t="shared" si="180"/>
        <v>0</v>
      </c>
      <c r="AB134" s="185">
        <f t="shared" si="181"/>
        <v>0</v>
      </c>
      <c r="AC134" s="185">
        <f t="shared" si="182"/>
        <v>0</v>
      </c>
      <c r="AD134" s="185">
        <f t="shared" si="183"/>
        <v>0</v>
      </c>
      <c r="AE134" s="185">
        <f t="shared" si="184"/>
        <v>0</v>
      </c>
      <c r="AF134" s="185">
        <f t="shared" si="185"/>
        <v>0</v>
      </c>
      <c r="AG134" s="185">
        <f t="shared" si="186"/>
        <v>0</v>
      </c>
      <c r="AH134" s="185">
        <f t="shared" si="187"/>
        <v>0</v>
      </c>
      <c r="AI134" s="125">
        <f>BEL!AI134</f>
        <v>0</v>
      </c>
      <c r="AJ134" s="125">
        <f>BEL!AJ134</f>
        <v>0</v>
      </c>
      <c r="AK134" s="125">
        <f>BEL!AK134</f>
        <v>0</v>
      </c>
      <c r="AL134" s="125">
        <f>BEL!AL134</f>
        <v>0</v>
      </c>
      <c r="AM134" s="125">
        <f>BEL!AM134</f>
        <v>0</v>
      </c>
      <c r="AN134" s="125">
        <f>BEL!AN134</f>
        <v>0</v>
      </c>
      <c r="AO134" s="198">
        <f t="shared" si="188"/>
        <v>0</v>
      </c>
      <c r="AP134" s="125">
        <f>BEL!AP134</f>
        <v>0</v>
      </c>
      <c r="AQ134" s="125">
        <f>BEL!AQ134</f>
        <v>0</v>
      </c>
      <c r="AR134" s="125">
        <f>BEL!AR134</f>
        <v>0</v>
      </c>
      <c r="AS134" s="125">
        <f>BEL!AS134</f>
        <v>0</v>
      </c>
      <c r="AT134" s="125">
        <f>BEL!AT134</f>
        <v>0</v>
      </c>
      <c r="AU134" s="127">
        <f>BEL!AU134</f>
        <v>0</v>
      </c>
      <c r="AV134" s="127">
        <f>BEL!AV134</f>
        <v>0</v>
      </c>
      <c r="AW134" s="127">
        <f>BEL!AW134</f>
        <v>0</v>
      </c>
      <c r="AX134" s="127">
        <f t="shared" si="189"/>
        <v>0</v>
      </c>
      <c r="AY134" s="127">
        <f t="shared" si="190"/>
        <v>0</v>
      </c>
      <c r="AZ134" s="127">
        <f t="shared" si="191"/>
        <v>0</v>
      </c>
      <c r="BA134" s="127">
        <f t="shared" si="192"/>
        <v>0</v>
      </c>
      <c r="BB134" s="127">
        <f t="shared" si="193"/>
        <v>0</v>
      </c>
      <c r="BC134" s="127">
        <f t="shared" si="194"/>
        <v>0</v>
      </c>
      <c r="BD134" s="127">
        <f t="shared" si="195"/>
        <v>0</v>
      </c>
      <c r="BE134" s="127">
        <f t="shared" si="196"/>
        <v>0</v>
      </c>
      <c r="BF134" s="127">
        <f t="shared" si="197"/>
        <v>0</v>
      </c>
      <c r="BG134" s="127">
        <f t="shared" si="198"/>
        <v>0</v>
      </c>
      <c r="BH134" s="127">
        <f t="shared" si="199"/>
        <v>0</v>
      </c>
      <c r="BI134" s="127">
        <f t="shared" si="200"/>
        <v>0</v>
      </c>
      <c r="BJ134" s="189">
        <f t="shared" si="201"/>
        <v>0</v>
      </c>
      <c r="BK134" s="189">
        <f t="shared" si="202"/>
        <v>0</v>
      </c>
      <c r="BL134" s="192">
        <f t="shared" si="203"/>
        <v>0</v>
      </c>
      <c r="BM134" s="192">
        <f t="shared" si="204"/>
        <v>0</v>
      </c>
      <c r="BN134" s="192">
        <f t="shared" si="205"/>
        <v>0</v>
      </c>
      <c r="BO134" s="192">
        <f t="shared" si="206"/>
        <v>0</v>
      </c>
      <c r="BP134" s="192">
        <f t="shared" si="207"/>
        <v>0</v>
      </c>
      <c r="BQ134" s="193">
        <f t="shared" si="208"/>
        <v>0</v>
      </c>
      <c r="BR134" s="193">
        <f t="shared" si="209"/>
        <v>0</v>
      </c>
      <c r="BS134" s="188">
        <f t="shared" si="210"/>
        <v>0</v>
      </c>
      <c r="BT134" s="188">
        <f t="shared" si="211"/>
        <v>0</v>
      </c>
      <c r="BU134" s="188">
        <f t="shared" si="212"/>
        <v>0</v>
      </c>
      <c r="BV134" s="188">
        <f t="shared" si="213"/>
        <v>0</v>
      </c>
      <c r="BW134" s="188">
        <f t="shared" si="214"/>
        <v>0</v>
      </c>
      <c r="BX134" s="188">
        <f t="shared" si="215"/>
        <v>0</v>
      </c>
      <c r="BY134" s="188">
        <f t="shared" si="216"/>
        <v>0</v>
      </c>
      <c r="BZ134" s="188">
        <f t="shared" si="217"/>
        <v>0</v>
      </c>
      <c r="CA134" s="188">
        <f t="shared" si="218"/>
        <v>0</v>
      </c>
      <c r="CB134" s="149">
        <f t="shared" si="219"/>
        <v>0</v>
      </c>
      <c r="CC134" s="149">
        <f>CB134-BEL!CB134</f>
        <v>0</v>
      </c>
      <c r="CD134" s="189">
        <f>IF(AND(C134=0,C135=0),0,CB134/W134) - BEL!CC134</f>
        <v>0</v>
      </c>
      <c r="CF134" s="195">
        <f t="shared" si="220"/>
        <v>0</v>
      </c>
      <c r="CG134" s="127">
        <f t="shared" si="221"/>
        <v>0</v>
      </c>
      <c r="CH134" s="128">
        <f>'DATA INPUT - DETAIL'!AH125</f>
        <v>0</v>
      </c>
      <c r="CI134" s="125">
        <f t="shared" si="222"/>
        <v>0</v>
      </c>
      <c r="CJ134" s="199">
        <f t="shared" si="223"/>
        <v>0</v>
      </c>
      <c r="CL134" s="189">
        <f t="shared" si="224"/>
        <v>0</v>
      </c>
      <c r="CM134" s="149">
        <f t="shared" si="225"/>
        <v>0</v>
      </c>
      <c r="CN134" s="128">
        <f>'DATA INPUT - DETAIL'!AH125</f>
        <v>0</v>
      </c>
      <c r="CO134" s="149">
        <f t="shared" si="226"/>
        <v>0</v>
      </c>
      <c r="CP134" s="149">
        <f t="shared" si="227"/>
        <v>0</v>
      </c>
      <c r="CR134" s="126">
        <f t="shared" si="164"/>
        <v>122</v>
      </c>
      <c r="CS134" s="189">
        <f t="shared" si="165"/>
        <v>0</v>
      </c>
      <c r="CT134" s="200">
        <f>CS134/(BEL!CE134+BEL!CA134-BEL!BU134+'RA CSM'!CF134)</f>
        <v>0</v>
      </c>
      <c r="CU134" s="149">
        <f>$CT134*BEL!CH134</f>
        <v>0</v>
      </c>
      <c r="CV134" s="149">
        <f>$CT134*BEL!CI134</f>
        <v>0</v>
      </c>
      <c r="CW134" s="149">
        <f>$CT134*BEL!CJ134</f>
        <v>0</v>
      </c>
      <c r="CX134" s="149">
        <f>$CT134*BEL!CK134</f>
        <v>0</v>
      </c>
      <c r="CY134" s="149">
        <f t="shared" si="162"/>
        <v>0</v>
      </c>
      <c r="CZ134" s="149">
        <f>$CT134*(BEL!CL134+'RA CSM'!CG134)</f>
        <v>0</v>
      </c>
      <c r="DA134" s="149">
        <f t="shared" si="163"/>
        <v>0</v>
      </c>
    </row>
    <row r="135" spans="2:105" x14ac:dyDescent="0.2">
      <c r="B135" s="130">
        <f>BEL!B135</f>
        <v>0</v>
      </c>
      <c r="C135" s="130">
        <f>BEL!C135</f>
        <v>0</v>
      </c>
      <c r="D135" s="190">
        <f>BEL!D135</f>
        <v>0</v>
      </c>
      <c r="E135" s="190">
        <f>BEL!E135</f>
        <v>0</v>
      </c>
      <c r="F135" s="190">
        <f>BEL!F135</f>
        <v>0</v>
      </c>
      <c r="G135" s="190">
        <f>BEL!G135*(1+$V$5)</f>
        <v>0</v>
      </c>
      <c r="H135" s="190">
        <f>BEL!H135*(1+$V$5)</f>
        <v>0</v>
      </c>
      <c r="I135" s="179">
        <f t="shared" si="167"/>
        <v>0</v>
      </c>
      <c r="J135" s="130">
        <f>BEL!J135</f>
        <v>0</v>
      </c>
      <c r="K135" s="130">
        <f>BEL!K135</f>
        <v>0</v>
      </c>
      <c r="L135" s="130">
        <f>BEL!L135</f>
        <v>0</v>
      </c>
      <c r="M135" s="185">
        <f t="shared" si="166"/>
        <v>0</v>
      </c>
      <c r="N135" s="185">
        <f t="shared" si="168"/>
        <v>0</v>
      </c>
      <c r="O135" s="185">
        <f t="shared" si="169"/>
        <v>0</v>
      </c>
      <c r="P135" s="185">
        <f t="shared" si="170"/>
        <v>0</v>
      </c>
      <c r="Q135" s="185">
        <f t="shared" si="171"/>
        <v>0</v>
      </c>
      <c r="R135" s="185">
        <f t="shared" si="172"/>
        <v>0</v>
      </c>
      <c r="S135" s="185">
        <f t="shared" si="173"/>
        <v>0</v>
      </c>
      <c r="T135" s="185">
        <f t="shared" si="174"/>
        <v>0</v>
      </c>
      <c r="U135" s="196">
        <f>(C135&gt;0)*(C135&lt;$E$5)*VLOOKUP(MPP,ASUMSI!$BN$77:$CR$108,B135+1)*(1+$V$4)</f>
        <v>0</v>
      </c>
      <c r="V135" s="185">
        <f t="shared" si="175"/>
        <v>0</v>
      </c>
      <c r="W135" s="185">
        <f t="shared" si="176"/>
        <v>0</v>
      </c>
      <c r="X135" s="185">
        <f t="shared" si="177"/>
        <v>0</v>
      </c>
      <c r="Y135" s="185">
        <f t="shared" si="178"/>
        <v>0</v>
      </c>
      <c r="Z135" s="185">
        <f t="shared" si="179"/>
        <v>0</v>
      </c>
      <c r="AA135" s="197">
        <f t="shared" si="180"/>
        <v>0</v>
      </c>
      <c r="AB135" s="185">
        <f t="shared" si="181"/>
        <v>0</v>
      </c>
      <c r="AC135" s="185">
        <f t="shared" si="182"/>
        <v>0</v>
      </c>
      <c r="AD135" s="185">
        <f t="shared" si="183"/>
        <v>0</v>
      </c>
      <c r="AE135" s="185">
        <f t="shared" si="184"/>
        <v>0</v>
      </c>
      <c r="AF135" s="185">
        <f t="shared" si="185"/>
        <v>0</v>
      </c>
      <c r="AG135" s="185">
        <f t="shared" si="186"/>
        <v>0</v>
      </c>
      <c r="AH135" s="185">
        <f t="shared" si="187"/>
        <v>0</v>
      </c>
      <c r="AI135" s="125">
        <f>BEL!AI135</f>
        <v>0</v>
      </c>
      <c r="AJ135" s="125">
        <f>BEL!AJ135</f>
        <v>0</v>
      </c>
      <c r="AK135" s="125">
        <f>BEL!AK135</f>
        <v>0</v>
      </c>
      <c r="AL135" s="125">
        <f>BEL!AL135</f>
        <v>0</v>
      </c>
      <c r="AM135" s="125">
        <f>BEL!AM135</f>
        <v>0</v>
      </c>
      <c r="AN135" s="125">
        <f>BEL!AN135</f>
        <v>0</v>
      </c>
      <c r="AO135" s="198">
        <f t="shared" si="188"/>
        <v>0</v>
      </c>
      <c r="AP135" s="125">
        <f>BEL!AP135</f>
        <v>0</v>
      </c>
      <c r="AQ135" s="125">
        <f>BEL!AQ135</f>
        <v>0</v>
      </c>
      <c r="AR135" s="125">
        <f>BEL!AR135</f>
        <v>0</v>
      </c>
      <c r="AS135" s="125">
        <f>BEL!AS135</f>
        <v>0</v>
      </c>
      <c r="AT135" s="125">
        <f>BEL!AT135</f>
        <v>0</v>
      </c>
      <c r="AU135" s="127">
        <f>BEL!AU135</f>
        <v>0</v>
      </c>
      <c r="AV135" s="127">
        <f>BEL!AV135</f>
        <v>0</v>
      </c>
      <c r="AW135" s="127">
        <f>BEL!AW135</f>
        <v>0</v>
      </c>
      <c r="AX135" s="127">
        <f t="shared" si="189"/>
        <v>0</v>
      </c>
      <c r="AY135" s="127">
        <f t="shared" si="190"/>
        <v>0</v>
      </c>
      <c r="AZ135" s="127">
        <f t="shared" si="191"/>
        <v>0</v>
      </c>
      <c r="BA135" s="127">
        <f t="shared" si="192"/>
        <v>0</v>
      </c>
      <c r="BB135" s="127">
        <f t="shared" si="193"/>
        <v>0</v>
      </c>
      <c r="BC135" s="127">
        <f t="shared" si="194"/>
        <v>0</v>
      </c>
      <c r="BD135" s="127">
        <f t="shared" si="195"/>
        <v>0</v>
      </c>
      <c r="BE135" s="127">
        <f t="shared" si="196"/>
        <v>0</v>
      </c>
      <c r="BF135" s="127">
        <f t="shared" si="197"/>
        <v>0</v>
      </c>
      <c r="BG135" s="127">
        <f t="shared" si="198"/>
        <v>0</v>
      </c>
      <c r="BH135" s="127">
        <f t="shared" si="199"/>
        <v>0</v>
      </c>
      <c r="BI135" s="127">
        <f t="shared" si="200"/>
        <v>0</v>
      </c>
      <c r="BJ135" s="189">
        <f t="shared" si="201"/>
        <v>0</v>
      </c>
      <c r="BK135" s="189">
        <f t="shared" si="202"/>
        <v>0</v>
      </c>
      <c r="BL135" s="192">
        <f t="shared" si="203"/>
        <v>0</v>
      </c>
      <c r="BM135" s="192">
        <f t="shared" si="204"/>
        <v>0</v>
      </c>
      <c r="BN135" s="192">
        <f t="shared" si="205"/>
        <v>0</v>
      </c>
      <c r="BO135" s="192">
        <f t="shared" si="206"/>
        <v>0</v>
      </c>
      <c r="BP135" s="192">
        <f t="shared" si="207"/>
        <v>0</v>
      </c>
      <c r="BQ135" s="193">
        <f t="shared" si="208"/>
        <v>0</v>
      </c>
      <c r="BR135" s="193">
        <f t="shared" si="209"/>
        <v>0</v>
      </c>
      <c r="BS135" s="188">
        <f t="shared" si="210"/>
        <v>0</v>
      </c>
      <c r="BT135" s="188">
        <f t="shared" si="211"/>
        <v>0</v>
      </c>
      <c r="BU135" s="188">
        <f t="shared" si="212"/>
        <v>0</v>
      </c>
      <c r="BV135" s="188">
        <f t="shared" si="213"/>
        <v>0</v>
      </c>
      <c r="BW135" s="188">
        <f t="shared" si="214"/>
        <v>0</v>
      </c>
      <c r="BX135" s="188">
        <f t="shared" si="215"/>
        <v>0</v>
      </c>
      <c r="BY135" s="188">
        <f t="shared" si="216"/>
        <v>0</v>
      </c>
      <c r="BZ135" s="188">
        <f t="shared" si="217"/>
        <v>0</v>
      </c>
      <c r="CA135" s="188">
        <f t="shared" si="218"/>
        <v>0</v>
      </c>
      <c r="CB135" s="149">
        <f t="shared" si="219"/>
        <v>0</v>
      </c>
      <c r="CC135" s="149">
        <f>CB135-BEL!CB135</f>
        <v>0</v>
      </c>
      <c r="CD135" s="189">
        <f>IF(AND(C135=0,C136=0),0,CB135/W135) - BEL!CC135</f>
        <v>0</v>
      </c>
      <c r="CF135" s="195">
        <f t="shared" si="220"/>
        <v>0</v>
      </c>
      <c r="CG135" s="127">
        <f t="shared" si="221"/>
        <v>0</v>
      </c>
      <c r="CH135" s="128">
        <f>'DATA INPUT - DETAIL'!AH126</f>
        <v>0</v>
      </c>
      <c r="CI135" s="125">
        <f t="shared" si="222"/>
        <v>0</v>
      </c>
      <c r="CJ135" s="199">
        <f t="shared" si="223"/>
        <v>0</v>
      </c>
      <c r="CL135" s="189">
        <f t="shared" si="224"/>
        <v>0</v>
      </c>
      <c r="CM135" s="149">
        <f t="shared" si="225"/>
        <v>0</v>
      </c>
      <c r="CN135" s="128">
        <f>'DATA INPUT - DETAIL'!AH126</f>
        <v>0</v>
      </c>
      <c r="CO135" s="149">
        <f t="shared" si="226"/>
        <v>0</v>
      </c>
      <c r="CP135" s="149">
        <f t="shared" si="227"/>
        <v>0</v>
      </c>
      <c r="CR135" s="126">
        <f t="shared" si="164"/>
        <v>123</v>
      </c>
      <c r="CS135" s="189">
        <f t="shared" si="165"/>
        <v>0</v>
      </c>
      <c r="CT135" s="200">
        <f>CS135/(BEL!CE135+BEL!CA135-BEL!BU135+'RA CSM'!CF135)</f>
        <v>0</v>
      </c>
      <c r="CU135" s="149">
        <f>$CT135*BEL!CH135</f>
        <v>0</v>
      </c>
      <c r="CV135" s="149">
        <f>$CT135*BEL!CI135</f>
        <v>0</v>
      </c>
      <c r="CW135" s="149">
        <f>$CT135*BEL!CJ135</f>
        <v>0</v>
      </c>
      <c r="CX135" s="149">
        <f>$CT135*BEL!CK135</f>
        <v>0</v>
      </c>
      <c r="CY135" s="149">
        <f t="shared" si="162"/>
        <v>0</v>
      </c>
      <c r="CZ135" s="149">
        <f>$CT135*(BEL!CL135+'RA CSM'!CG135)</f>
        <v>0</v>
      </c>
      <c r="DA135" s="149">
        <f t="shared" si="163"/>
        <v>0</v>
      </c>
    </row>
    <row r="136" spans="2:105" x14ac:dyDescent="0.2">
      <c r="B136" s="130">
        <f>BEL!B136</f>
        <v>0</v>
      </c>
      <c r="C136" s="130">
        <f>BEL!C136</f>
        <v>0</v>
      </c>
      <c r="D136" s="190">
        <f>BEL!D136</f>
        <v>0</v>
      </c>
      <c r="E136" s="190">
        <f>BEL!E136</f>
        <v>0</v>
      </c>
      <c r="F136" s="190">
        <f>BEL!F136</f>
        <v>0</v>
      </c>
      <c r="G136" s="190">
        <f>BEL!G136*(1+$V$5)</f>
        <v>0</v>
      </c>
      <c r="H136" s="190">
        <f>BEL!H136*(1+$V$5)</f>
        <v>0</v>
      </c>
      <c r="I136" s="179">
        <f t="shared" si="167"/>
        <v>0</v>
      </c>
      <c r="J136" s="130">
        <f>BEL!J136</f>
        <v>0</v>
      </c>
      <c r="K136" s="130">
        <f>BEL!K136</f>
        <v>0</v>
      </c>
      <c r="L136" s="130">
        <f>BEL!L136</f>
        <v>0</v>
      </c>
      <c r="M136" s="185">
        <f t="shared" si="166"/>
        <v>0</v>
      </c>
      <c r="N136" s="185">
        <f t="shared" si="168"/>
        <v>0</v>
      </c>
      <c r="O136" s="185">
        <f t="shared" si="169"/>
        <v>0</v>
      </c>
      <c r="P136" s="185">
        <f t="shared" si="170"/>
        <v>0</v>
      </c>
      <c r="Q136" s="185">
        <f t="shared" si="171"/>
        <v>0</v>
      </c>
      <c r="R136" s="185">
        <f t="shared" si="172"/>
        <v>0</v>
      </c>
      <c r="S136" s="185">
        <f t="shared" si="173"/>
        <v>0</v>
      </c>
      <c r="T136" s="185">
        <f t="shared" si="174"/>
        <v>0</v>
      </c>
      <c r="U136" s="196">
        <f>(C136&gt;0)*(C136&lt;$E$5)*VLOOKUP(MPP,ASUMSI!$BN$77:$CR$108,B136+1)*(1+$V$4)</f>
        <v>0</v>
      </c>
      <c r="V136" s="185">
        <f t="shared" si="175"/>
        <v>0</v>
      </c>
      <c r="W136" s="185">
        <f t="shared" si="176"/>
        <v>0</v>
      </c>
      <c r="X136" s="185">
        <f t="shared" si="177"/>
        <v>0</v>
      </c>
      <c r="Y136" s="185">
        <f t="shared" si="178"/>
        <v>0</v>
      </c>
      <c r="Z136" s="185">
        <f t="shared" si="179"/>
        <v>0</v>
      </c>
      <c r="AA136" s="197">
        <f t="shared" si="180"/>
        <v>0</v>
      </c>
      <c r="AB136" s="185">
        <f t="shared" si="181"/>
        <v>0</v>
      </c>
      <c r="AC136" s="185">
        <f t="shared" si="182"/>
        <v>0</v>
      </c>
      <c r="AD136" s="185">
        <f t="shared" si="183"/>
        <v>0</v>
      </c>
      <c r="AE136" s="185">
        <f t="shared" si="184"/>
        <v>0</v>
      </c>
      <c r="AF136" s="185">
        <f t="shared" si="185"/>
        <v>0</v>
      </c>
      <c r="AG136" s="185">
        <f t="shared" si="186"/>
        <v>0</v>
      </c>
      <c r="AH136" s="185">
        <f t="shared" si="187"/>
        <v>0</v>
      </c>
      <c r="AI136" s="125">
        <f>BEL!AI136</f>
        <v>0</v>
      </c>
      <c r="AJ136" s="125">
        <f>BEL!AJ136</f>
        <v>0</v>
      </c>
      <c r="AK136" s="125">
        <f>BEL!AK136</f>
        <v>0</v>
      </c>
      <c r="AL136" s="125">
        <f>BEL!AL136</f>
        <v>0</v>
      </c>
      <c r="AM136" s="125">
        <f>BEL!AM136</f>
        <v>0</v>
      </c>
      <c r="AN136" s="125">
        <f>BEL!AN136</f>
        <v>0</v>
      </c>
      <c r="AO136" s="198">
        <f t="shared" si="188"/>
        <v>0</v>
      </c>
      <c r="AP136" s="125">
        <f>BEL!AP136</f>
        <v>0</v>
      </c>
      <c r="AQ136" s="125">
        <f>BEL!AQ136</f>
        <v>0</v>
      </c>
      <c r="AR136" s="125">
        <f>BEL!AR136</f>
        <v>0</v>
      </c>
      <c r="AS136" s="125">
        <f>BEL!AS136</f>
        <v>0</v>
      </c>
      <c r="AT136" s="125">
        <f>BEL!AT136</f>
        <v>0</v>
      </c>
      <c r="AU136" s="127">
        <f>BEL!AU136</f>
        <v>0</v>
      </c>
      <c r="AV136" s="127">
        <f>BEL!AV136</f>
        <v>0</v>
      </c>
      <c r="AW136" s="127">
        <f>BEL!AW136</f>
        <v>0</v>
      </c>
      <c r="AX136" s="127">
        <f t="shared" si="189"/>
        <v>0</v>
      </c>
      <c r="AY136" s="127">
        <f t="shared" si="190"/>
        <v>0</v>
      </c>
      <c r="AZ136" s="127">
        <f t="shared" si="191"/>
        <v>0</v>
      </c>
      <c r="BA136" s="127">
        <f t="shared" si="192"/>
        <v>0</v>
      </c>
      <c r="BB136" s="127">
        <f t="shared" si="193"/>
        <v>0</v>
      </c>
      <c r="BC136" s="127">
        <f t="shared" si="194"/>
        <v>0</v>
      </c>
      <c r="BD136" s="127">
        <f t="shared" si="195"/>
        <v>0</v>
      </c>
      <c r="BE136" s="127">
        <f t="shared" si="196"/>
        <v>0</v>
      </c>
      <c r="BF136" s="127">
        <f t="shared" si="197"/>
        <v>0</v>
      </c>
      <c r="BG136" s="127">
        <f t="shared" si="198"/>
        <v>0</v>
      </c>
      <c r="BH136" s="127">
        <f t="shared" si="199"/>
        <v>0</v>
      </c>
      <c r="BI136" s="127">
        <f t="shared" si="200"/>
        <v>0</v>
      </c>
      <c r="BJ136" s="189">
        <f t="shared" si="201"/>
        <v>0</v>
      </c>
      <c r="BK136" s="189">
        <f t="shared" si="202"/>
        <v>0</v>
      </c>
      <c r="BL136" s="192">
        <f t="shared" si="203"/>
        <v>0</v>
      </c>
      <c r="BM136" s="192">
        <f t="shared" si="204"/>
        <v>0</v>
      </c>
      <c r="BN136" s="192">
        <f t="shared" si="205"/>
        <v>0</v>
      </c>
      <c r="BO136" s="192">
        <f t="shared" si="206"/>
        <v>0</v>
      </c>
      <c r="BP136" s="192">
        <f t="shared" si="207"/>
        <v>0</v>
      </c>
      <c r="BQ136" s="193">
        <f t="shared" si="208"/>
        <v>0</v>
      </c>
      <c r="BR136" s="193">
        <f t="shared" si="209"/>
        <v>0</v>
      </c>
      <c r="BS136" s="188">
        <f t="shared" si="210"/>
        <v>0</v>
      </c>
      <c r="BT136" s="188">
        <f t="shared" si="211"/>
        <v>0</v>
      </c>
      <c r="BU136" s="188">
        <f t="shared" si="212"/>
        <v>0</v>
      </c>
      <c r="BV136" s="188">
        <f t="shared" si="213"/>
        <v>0</v>
      </c>
      <c r="BW136" s="188">
        <f t="shared" si="214"/>
        <v>0</v>
      </c>
      <c r="BX136" s="188">
        <f t="shared" si="215"/>
        <v>0</v>
      </c>
      <c r="BY136" s="188">
        <f t="shared" si="216"/>
        <v>0</v>
      </c>
      <c r="BZ136" s="188">
        <f t="shared" si="217"/>
        <v>0</v>
      </c>
      <c r="CA136" s="188">
        <f t="shared" si="218"/>
        <v>0</v>
      </c>
      <c r="CB136" s="149">
        <f t="shared" si="219"/>
        <v>0</v>
      </c>
      <c r="CC136" s="149">
        <f>CB136-BEL!CB136</f>
        <v>0</v>
      </c>
      <c r="CD136" s="189">
        <f>IF(AND(C136=0,C137=0),0,CB136/W136) - BEL!CC136</f>
        <v>0</v>
      </c>
      <c r="CF136" s="195">
        <f t="shared" si="220"/>
        <v>0</v>
      </c>
      <c r="CG136" s="127">
        <f t="shared" si="221"/>
        <v>0</v>
      </c>
      <c r="CH136" s="128">
        <f>'DATA INPUT - DETAIL'!AH127</f>
        <v>0</v>
      </c>
      <c r="CI136" s="125">
        <f t="shared" si="222"/>
        <v>0</v>
      </c>
      <c r="CJ136" s="199">
        <f t="shared" si="223"/>
        <v>0</v>
      </c>
      <c r="CL136" s="189">
        <f t="shared" si="224"/>
        <v>0</v>
      </c>
      <c r="CM136" s="149">
        <f t="shared" si="225"/>
        <v>0</v>
      </c>
      <c r="CN136" s="128">
        <f>'DATA INPUT - DETAIL'!AH127</f>
        <v>0</v>
      </c>
      <c r="CO136" s="149">
        <f t="shared" si="226"/>
        <v>0</v>
      </c>
      <c r="CP136" s="149">
        <f t="shared" si="227"/>
        <v>0</v>
      </c>
      <c r="CR136" s="126">
        <f t="shared" si="164"/>
        <v>124</v>
      </c>
      <c r="CS136" s="189">
        <f t="shared" si="165"/>
        <v>0</v>
      </c>
      <c r="CT136" s="200">
        <f>CS136/(BEL!CE136+BEL!CA136-BEL!BU136+'RA CSM'!CF136)</f>
        <v>0</v>
      </c>
      <c r="CU136" s="149">
        <f>$CT136*BEL!CH136</f>
        <v>0</v>
      </c>
      <c r="CV136" s="149">
        <f>$CT136*BEL!CI136</f>
        <v>0</v>
      </c>
      <c r="CW136" s="149">
        <f>$CT136*BEL!CJ136</f>
        <v>0</v>
      </c>
      <c r="CX136" s="149">
        <f>$CT136*BEL!CK136</f>
        <v>0</v>
      </c>
      <c r="CY136" s="149">
        <f t="shared" si="162"/>
        <v>0</v>
      </c>
      <c r="CZ136" s="149">
        <f>$CT136*(BEL!CL136+'RA CSM'!CG136)</f>
        <v>0</v>
      </c>
      <c r="DA136" s="149">
        <f t="shared" si="163"/>
        <v>0</v>
      </c>
    </row>
    <row r="137" spans="2:105" x14ac:dyDescent="0.2">
      <c r="B137" s="130">
        <f>BEL!B137</f>
        <v>0</v>
      </c>
      <c r="C137" s="130">
        <f>BEL!C137</f>
        <v>0</v>
      </c>
      <c r="D137" s="190">
        <f>BEL!D137</f>
        <v>0</v>
      </c>
      <c r="E137" s="190">
        <f>BEL!E137</f>
        <v>0</v>
      </c>
      <c r="F137" s="190">
        <f>BEL!F137</f>
        <v>0</v>
      </c>
      <c r="G137" s="190">
        <f>BEL!G137*(1+$V$5)</f>
        <v>0</v>
      </c>
      <c r="H137" s="190">
        <f>BEL!H137*(1+$V$5)</f>
        <v>0</v>
      </c>
      <c r="I137" s="179">
        <f t="shared" si="167"/>
        <v>0</v>
      </c>
      <c r="J137" s="130">
        <f>BEL!J137</f>
        <v>0</v>
      </c>
      <c r="K137" s="130">
        <f>BEL!K137</f>
        <v>0</v>
      </c>
      <c r="L137" s="130">
        <f>BEL!L137</f>
        <v>0</v>
      </c>
      <c r="M137" s="185">
        <f t="shared" si="166"/>
        <v>0</v>
      </c>
      <c r="N137" s="185">
        <f t="shared" si="168"/>
        <v>0</v>
      </c>
      <c r="O137" s="185">
        <f t="shared" si="169"/>
        <v>0</v>
      </c>
      <c r="P137" s="185">
        <f t="shared" si="170"/>
        <v>0</v>
      </c>
      <c r="Q137" s="185">
        <f t="shared" si="171"/>
        <v>0</v>
      </c>
      <c r="R137" s="185">
        <f t="shared" si="172"/>
        <v>0</v>
      </c>
      <c r="S137" s="185">
        <f t="shared" si="173"/>
        <v>0</v>
      </c>
      <c r="T137" s="185">
        <f t="shared" si="174"/>
        <v>0</v>
      </c>
      <c r="U137" s="196">
        <f>(C137&gt;0)*(C137&lt;$E$5)*VLOOKUP(MPP,ASUMSI!$BN$77:$CR$108,B137+1)*(1+$V$4)</f>
        <v>0</v>
      </c>
      <c r="V137" s="185">
        <f t="shared" si="175"/>
        <v>0</v>
      </c>
      <c r="W137" s="185">
        <f t="shared" si="176"/>
        <v>0</v>
      </c>
      <c r="X137" s="185">
        <f t="shared" si="177"/>
        <v>0</v>
      </c>
      <c r="Y137" s="185">
        <f t="shared" si="178"/>
        <v>0</v>
      </c>
      <c r="Z137" s="185">
        <f t="shared" si="179"/>
        <v>0</v>
      </c>
      <c r="AA137" s="197">
        <f t="shared" si="180"/>
        <v>0</v>
      </c>
      <c r="AB137" s="185">
        <f t="shared" si="181"/>
        <v>0</v>
      </c>
      <c r="AC137" s="185">
        <f t="shared" si="182"/>
        <v>0</v>
      </c>
      <c r="AD137" s="185">
        <f t="shared" si="183"/>
        <v>0</v>
      </c>
      <c r="AE137" s="185">
        <f t="shared" si="184"/>
        <v>0</v>
      </c>
      <c r="AF137" s="185">
        <f t="shared" si="185"/>
        <v>0</v>
      </c>
      <c r="AG137" s="185">
        <f t="shared" si="186"/>
        <v>0</v>
      </c>
      <c r="AH137" s="185">
        <f t="shared" si="187"/>
        <v>0</v>
      </c>
      <c r="AI137" s="125">
        <f>BEL!AI137</f>
        <v>0</v>
      </c>
      <c r="AJ137" s="125">
        <f>BEL!AJ137</f>
        <v>0</v>
      </c>
      <c r="AK137" s="125">
        <f>BEL!AK137</f>
        <v>0</v>
      </c>
      <c r="AL137" s="125">
        <f>BEL!AL137</f>
        <v>0</v>
      </c>
      <c r="AM137" s="125">
        <f>BEL!AM137</f>
        <v>0</v>
      </c>
      <c r="AN137" s="125">
        <f>BEL!AN137</f>
        <v>0</v>
      </c>
      <c r="AO137" s="198">
        <f t="shared" si="188"/>
        <v>0</v>
      </c>
      <c r="AP137" s="125">
        <f>BEL!AP137</f>
        <v>0</v>
      </c>
      <c r="AQ137" s="125">
        <f>BEL!AQ137</f>
        <v>0</v>
      </c>
      <c r="AR137" s="125">
        <f>BEL!AR137</f>
        <v>0</v>
      </c>
      <c r="AS137" s="125">
        <f>BEL!AS137</f>
        <v>0</v>
      </c>
      <c r="AT137" s="125">
        <f>BEL!AT137</f>
        <v>0</v>
      </c>
      <c r="AU137" s="127">
        <f>BEL!AU137</f>
        <v>0</v>
      </c>
      <c r="AV137" s="127">
        <f>BEL!AV137</f>
        <v>0</v>
      </c>
      <c r="AW137" s="127">
        <f>BEL!AW137</f>
        <v>0</v>
      </c>
      <c r="AX137" s="127">
        <f t="shared" si="189"/>
        <v>0</v>
      </c>
      <c r="AY137" s="127">
        <f t="shared" si="190"/>
        <v>0</v>
      </c>
      <c r="AZ137" s="127">
        <f t="shared" si="191"/>
        <v>0</v>
      </c>
      <c r="BA137" s="127">
        <f t="shared" si="192"/>
        <v>0</v>
      </c>
      <c r="BB137" s="127">
        <f t="shared" si="193"/>
        <v>0</v>
      </c>
      <c r="BC137" s="127">
        <f t="shared" si="194"/>
        <v>0</v>
      </c>
      <c r="BD137" s="127">
        <f t="shared" si="195"/>
        <v>0</v>
      </c>
      <c r="BE137" s="127">
        <f t="shared" si="196"/>
        <v>0</v>
      </c>
      <c r="BF137" s="127">
        <f t="shared" si="197"/>
        <v>0</v>
      </c>
      <c r="BG137" s="127">
        <f t="shared" si="198"/>
        <v>0</v>
      </c>
      <c r="BH137" s="127">
        <f t="shared" si="199"/>
        <v>0</v>
      </c>
      <c r="BI137" s="127">
        <f t="shared" si="200"/>
        <v>0</v>
      </c>
      <c r="BJ137" s="189">
        <f t="shared" si="201"/>
        <v>0</v>
      </c>
      <c r="BK137" s="189">
        <f t="shared" si="202"/>
        <v>0</v>
      </c>
      <c r="BL137" s="192">
        <f t="shared" si="203"/>
        <v>0</v>
      </c>
      <c r="BM137" s="192">
        <f t="shared" si="204"/>
        <v>0</v>
      </c>
      <c r="BN137" s="192">
        <f t="shared" si="205"/>
        <v>0</v>
      </c>
      <c r="BO137" s="192">
        <f t="shared" si="206"/>
        <v>0</v>
      </c>
      <c r="BP137" s="192">
        <f t="shared" si="207"/>
        <v>0</v>
      </c>
      <c r="BQ137" s="193">
        <f t="shared" si="208"/>
        <v>0</v>
      </c>
      <c r="BR137" s="193">
        <f t="shared" si="209"/>
        <v>0</v>
      </c>
      <c r="BS137" s="188">
        <f t="shared" si="210"/>
        <v>0</v>
      </c>
      <c r="BT137" s="188">
        <f t="shared" si="211"/>
        <v>0</v>
      </c>
      <c r="BU137" s="188">
        <f t="shared" si="212"/>
        <v>0</v>
      </c>
      <c r="BV137" s="188">
        <f t="shared" si="213"/>
        <v>0</v>
      </c>
      <c r="BW137" s="188">
        <f t="shared" si="214"/>
        <v>0</v>
      </c>
      <c r="BX137" s="188">
        <f t="shared" si="215"/>
        <v>0</v>
      </c>
      <c r="BY137" s="188">
        <f t="shared" si="216"/>
        <v>0</v>
      </c>
      <c r="BZ137" s="188">
        <f t="shared" si="217"/>
        <v>0</v>
      </c>
      <c r="CA137" s="188">
        <f t="shared" si="218"/>
        <v>0</v>
      </c>
      <c r="CB137" s="149">
        <f t="shared" si="219"/>
        <v>0</v>
      </c>
      <c r="CC137" s="149">
        <f>CB137-BEL!CB137</f>
        <v>0</v>
      </c>
      <c r="CD137" s="189">
        <f>IF(AND(C137=0,C138=0),0,CB137/W137) - BEL!CC137</f>
        <v>0</v>
      </c>
      <c r="CF137" s="195">
        <f t="shared" si="220"/>
        <v>0</v>
      </c>
      <c r="CG137" s="127">
        <f t="shared" si="221"/>
        <v>0</v>
      </c>
      <c r="CH137" s="128">
        <f>'DATA INPUT - DETAIL'!AH128</f>
        <v>0</v>
      </c>
      <c r="CI137" s="125">
        <f t="shared" si="222"/>
        <v>0</v>
      </c>
      <c r="CJ137" s="199">
        <f t="shared" si="223"/>
        <v>0</v>
      </c>
      <c r="CL137" s="189">
        <f t="shared" si="224"/>
        <v>0</v>
      </c>
      <c r="CM137" s="149">
        <f t="shared" si="225"/>
        <v>0</v>
      </c>
      <c r="CN137" s="128">
        <f>'DATA INPUT - DETAIL'!AH128</f>
        <v>0</v>
      </c>
      <c r="CO137" s="149">
        <f t="shared" si="226"/>
        <v>0</v>
      </c>
      <c r="CP137" s="149">
        <f t="shared" si="227"/>
        <v>0</v>
      </c>
      <c r="CR137" s="126">
        <f t="shared" si="164"/>
        <v>125</v>
      </c>
      <c r="CS137" s="189">
        <f t="shared" si="165"/>
        <v>0</v>
      </c>
      <c r="CT137" s="200">
        <f>CS137/(BEL!CE137+BEL!CA137-BEL!BU137+'RA CSM'!CF137)</f>
        <v>0</v>
      </c>
      <c r="CU137" s="149">
        <f>$CT137*BEL!CH137</f>
        <v>0</v>
      </c>
      <c r="CV137" s="149">
        <f>$CT137*BEL!CI137</f>
        <v>0</v>
      </c>
      <c r="CW137" s="149">
        <f>$CT137*BEL!CJ137</f>
        <v>0</v>
      </c>
      <c r="CX137" s="149">
        <f>$CT137*BEL!CK137</f>
        <v>0</v>
      </c>
      <c r="CY137" s="149">
        <f t="shared" si="162"/>
        <v>0</v>
      </c>
      <c r="CZ137" s="149">
        <f>$CT137*(BEL!CL137+'RA CSM'!CG137)</f>
        <v>0</v>
      </c>
      <c r="DA137" s="149">
        <f t="shared" si="163"/>
        <v>0</v>
      </c>
    </row>
    <row r="138" spans="2:105" x14ac:dyDescent="0.2">
      <c r="B138" s="130">
        <f>BEL!B138</f>
        <v>0</v>
      </c>
      <c r="C138" s="130">
        <f>BEL!C138</f>
        <v>0</v>
      </c>
      <c r="D138" s="190">
        <f>BEL!D138</f>
        <v>0</v>
      </c>
      <c r="E138" s="190">
        <f>BEL!E138</f>
        <v>0</v>
      </c>
      <c r="F138" s="190">
        <f>BEL!F138</f>
        <v>0</v>
      </c>
      <c r="G138" s="190">
        <f>BEL!G138*(1+$V$5)</f>
        <v>0</v>
      </c>
      <c r="H138" s="190">
        <f>BEL!H138*(1+$V$5)</f>
        <v>0</v>
      </c>
      <c r="I138" s="179">
        <f t="shared" si="167"/>
        <v>0</v>
      </c>
      <c r="J138" s="130">
        <f>BEL!J138</f>
        <v>0</v>
      </c>
      <c r="K138" s="130">
        <f>BEL!K138</f>
        <v>0</v>
      </c>
      <c r="L138" s="130">
        <f>BEL!L138</f>
        <v>0</v>
      </c>
      <c r="M138" s="185">
        <f t="shared" si="166"/>
        <v>0</v>
      </c>
      <c r="N138" s="185">
        <f t="shared" si="168"/>
        <v>0</v>
      </c>
      <c r="O138" s="185">
        <f t="shared" si="169"/>
        <v>0</v>
      </c>
      <c r="P138" s="185">
        <f t="shared" si="170"/>
        <v>0</v>
      </c>
      <c r="Q138" s="185">
        <f t="shared" si="171"/>
        <v>0</v>
      </c>
      <c r="R138" s="185">
        <f t="shared" si="172"/>
        <v>0</v>
      </c>
      <c r="S138" s="185">
        <f t="shared" si="173"/>
        <v>0</v>
      </c>
      <c r="T138" s="185">
        <f t="shared" si="174"/>
        <v>0</v>
      </c>
      <c r="U138" s="196">
        <f>(C138&gt;0)*(C138&lt;$E$5)*VLOOKUP(MPP,ASUMSI!$BN$77:$CR$108,B138+1)*(1+$V$4)</f>
        <v>0</v>
      </c>
      <c r="V138" s="185">
        <f t="shared" si="175"/>
        <v>0</v>
      </c>
      <c r="W138" s="185">
        <f t="shared" si="176"/>
        <v>0</v>
      </c>
      <c r="X138" s="185">
        <f t="shared" si="177"/>
        <v>0</v>
      </c>
      <c r="Y138" s="185">
        <f t="shared" si="178"/>
        <v>0</v>
      </c>
      <c r="Z138" s="185">
        <f t="shared" si="179"/>
        <v>0</v>
      </c>
      <c r="AA138" s="197">
        <f t="shared" si="180"/>
        <v>0</v>
      </c>
      <c r="AB138" s="185">
        <f t="shared" si="181"/>
        <v>0</v>
      </c>
      <c r="AC138" s="185">
        <f t="shared" si="182"/>
        <v>0</v>
      </c>
      <c r="AD138" s="185">
        <f t="shared" si="183"/>
        <v>0</v>
      </c>
      <c r="AE138" s="185">
        <f t="shared" si="184"/>
        <v>0</v>
      </c>
      <c r="AF138" s="185">
        <f t="shared" si="185"/>
        <v>0</v>
      </c>
      <c r="AG138" s="185">
        <f t="shared" si="186"/>
        <v>0</v>
      </c>
      <c r="AH138" s="185">
        <f t="shared" si="187"/>
        <v>0</v>
      </c>
      <c r="AI138" s="125">
        <f>BEL!AI138</f>
        <v>0</v>
      </c>
      <c r="AJ138" s="125">
        <f>BEL!AJ138</f>
        <v>0</v>
      </c>
      <c r="AK138" s="125">
        <f>BEL!AK138</f>
        <v>0</v>
      </c>
      <c r="AL138" s="125">
        <f>BEL!AL138</f>
        <v>0</v>
      </c>
      <c r="AM138" s="125">
        <f>BEL!AM138</f>
        <v>0</v>
      </c>
      <c r="AN138" s="125">
        <f>BEL!AN138</f>
        <v>0</v>
      </c>
      <c r="AO138" s="198">
        <f t="shared" si="188"/>
        <v>0</v>
      </c>
      <c r="AP138" s="125">
        <f>BEL!AP138</f>
        <v>0</v>
      </c>
      <c r="AQ138" s="125">
        <f>BEL!AQ138</f>
        <v>0</v>
      </c>
      <c r="AR138" s="125">
        <f>BEL!AR138</f>
        <v>0</v>
      </c>
      <c r="AS138" s="125">
        <f>BEL!AS138</f>
        <v>0</v>
      </c>
      <c r="AT138" s="125">
        <f>BEL!AT138</f>
        <v>0</v>
      </c>
      <c r="AU138" s="127">
        <f>BEL!AU138</f>
        <v>0</v>
      </c>
      <c r="AV138" s="127">
        <f>BEL!AV138</f>
        <v>0</v>
      </c>
      <c r="AW138" s="127">
        <f>BEL!AW138</f>
        <v>0</v>
      </c>
      <c r="AX138" s="127">
        <f t="shared" si="189"/>
        <v>0</v>
      </c>
      <c r="AY138" s="127">
        <f t="shared" si="190"/>
        <v>0</v>
      </c>
      <c r="AZ138" s="127">
        <f t="shared" si="191"/>
        <v>0</v>
      </c>
      <c r="BA138" s="127">
        <f t="shared" si="192"/>
        <v>0</v>
      </c>
      <c r="BB138" s="127">
        <f t="shared" si="193"/>
        <v>0</v>
      </c>
      <c r="BC138" s="127">
        <f t="shared" si="194"/>
        <v>0</v>
      </c>
      <c r="BD138" s="127">
        <f t="shared" si="195"/>
        <v>0</v>
      </c>
      <c r="BE138" s="127">
        <f t="shared" si="196"/>
        <v>0</v>
      </c>
      <c r="BF138" s="127">
        <f t="shared" si="197"/>
        <v>0</v>
      </c>
      <c r="BG138" s="127">
        <f t="shared" si="198"/>
        <v>0</v>
      </c>
      <c r="BH138" s="127">
        <f t="shared" si="199"/>
        <v>0</v>
      </c>
      <c r="BI138" s="127">
        <f t="shared" si="200"/>
        <v>0</v>
      </c>
      <c r="BJ138" s="189">
        <f t="shared" si="201"/>
        <v>0</v>
      </c>
      <c r="BK138" s="189">
        <f t="shared" si="202"/>
        <v>0</v>
      </c>
      <c r="BL138" s="192">
        <f t="shared" si="203"/>
        <v>0</v>
      </c>
      <c r="BM138" s="192">
        <f t="shared" si="204"/>
        <v>0</v>
      </c>
      <c r="BN138" s="192">
        <f t="shared" si="205"/>
        <v>0</v>
      </c>
      <c r="BO138" s="192">
        <f t="shared" si="206"/>
        <v>0</v>
      </c>
      <c r="BP138" s="192">
        <f t="shared" si="207"/>
        <v>0</v>
      </c>
      <c r="BQ138" s="193">
        <f t="shared" si="208"/>
        <v>0</v>
      </c>
      <c r="BR138" s="193">
        <f t="shared" si="209"/>
        <v>0</v>
      </c>
      <c r="BS138" s="188">
        <f t="shared" si="210"/>
        <v>0</v>
      </c>
      <c r="BT138" s="188">
        <f t="shared" si="211"/>
        <v>0</v>
      </c>
      <c r="BU138" s="188">
        <f t="shared" si="212"/>
        <v>0</v>
      </c>
      <c r="BV138" s="188">
        <f t="shared" si="213"/>
        <v>0</v>
      </c>
      <c r="BW138" s="188">
        <f t="shared" si="214"/>
        <v>0</v>
      </c>
      <c r="BX138" s="188">
        <f t="shared" si="215"/>
        <v>0</v>
      </c>
      <c r="BY138" s="188">
        <f t="shared" si="216"/>
        <v>0</v>
      </c>
      <c r="BZ138" s="188">
        <f t="shared" si="217"/>
        <v>0</v>
      </c>
      <c r="CA138" s="188">
        <f t="shared" si="218"/>
        <v>0</v>
      </c>
      <c r="CB138" s="149">
        <f t="shared" si="219"/>
        <v>0</v>
      </c>
      <c r="CC138" s="149">
        <f>CB138-BEL!CB138</f>
        <v>0</v>
      </c>
      <c r="CD138" s="189">
        <f>IF(AND(C138=0,C139=0),0,CB138/W138) - BEL!CC138</f>
        <v>0</v>
      </c>
      <c r="CF138" s="195">
        <f t="shared" si="220"/>
        <v>0</v>
      </c>
      <c r="CG138" s="127">
        <f t="shared" si="221"/>
        <v>0</v>
      </c>
      <c r="CH138" s="128">
        <f>'DATA INPUT - DETAIL'!AH129</f>
        <v>0</v>
      </c>
      <c r="CI138" s="125">
        <f t="shared" si="222"/>
        <v>0</v>
      </c>
      <c r="CJ138" s="199">
        <f t="shared" si="223"/>
        <v>0</v>
      </c>
      <c r="CL138" s="189">
        <f t="shared" si="224"/>
        <v>0</v>
      </c>
      <c r="CM138" s="149">
        <f t="shared" si="225"/>
        <v>0</v>
      </c>
      <c r="CN138" s="128">
        <f>'DATA INPUT - DETAIL'!AH129</f>
        <v>0</v>
      </c>
      <c r="CO138" s="149">
        <f t="shared" si="226"/>
        <v>0</v>
      </c>
      <c r="CP138" s="149">
        <f t="shared" si="227"/>
        <v>0</v>
      </c>
      <c r="CR138" s="126">
        <f t="shared" si="164"/>
        <v>126</v>
      </c>
      <c r="CS138" s="189">
        <f t="shared" si="165"/>
        <v>0</v>
      </c>
      <c r="CT138" s="200">
        <f>CS138/(BEL!CE138+BEL!CA138-BEL!BU138+'RA CSM'!CF138)</f>
        <v>0</v>
      </c>
      <c r="CU138" s="149">
        <f>$CT138*BEL!CH138</f>
        <v>0</v>
      </c>
      <c r="CV138" s="149">
        <f>$CT138*BEL!CI138</f>
        <v>0</v>
      </c>
      <c r="CW138" s="149">
        <f>$CT138*BEL!CJ138</f>
        <v>0</v>
      </c>
      <c r="CX138" s="149">
        <f>$CT138*BEL!CK138</f>
        <v>0</v>
      </c>
      <c r="CY138" s="149">
        <f t="shared" si="162"/>
        <v>0</v>
      </c>
      <c r="CZ138" s="149">
        <f>$CT138*(BEL!CL138+'RA CSM'!CG138)</f>
        <v>0</v>
      </c>
      <c r="DA138" s="149">
        <f t="shared" si="163"/>
        <v>0</v>
      </c>
    </row>
    <row r="139" spans="2:105" x14ac:dyDescent="0.2">
      <c r="B139" s="130">
        <f>BEL!B139</f>
        <v>0</v>
      </c>
      <c r="C139" s="130">
        <f>BEL!C139</f>
        <v>0</v>
      </c>
      <c r="D139" s="190">
        <f>BEL!D139</f>
        <v>0</v>
      </c>
      <c r="E139" s="190">
        <f>BEL!E139</f>
        <v>0</v>
      </c>
      <c r="F139" s="190">
        <f>BEL!F139</f>
        <v>0</v>
      </c>
      <c r="G139" s="190">
        <f>BEL!G139*(1+$V$5)</f>
        <v>0</v>
      </c>
      <c r="H139" s="190">
        <f>BEL!H139*(1+$V$5)</f>
        <v>0</v>
      </c>
      <c r="I139" s="179">
        <f t="shared" si="167"/>
        <v>0</v>
      </c>
      <c r="J139" s="130">
        <f>BEL!J139</f>
        <v>0</v>
      </c>
      <c r="K139" s="130">
        <f>BEL!K139</f>
        <v>0</v>
      </c>
      <c r="L139" s="130">
        <f>BEL!L139</f>
        <v>0</v>
      </c>
      <c r="M139" s="185">
        <f t="shared" si="166"/>
        <v>0</v>
      </c>
      <c r="N139" s="185">
        <f t="shared" si="168"/>
        <v>0</v>
      </c>
      <c r="O139" s="185">
        <f t="shared" si="169"/>
        <v>0</v>
      </c>
      <c r="P139" s="185">
        <f t="shared" si="170"/>
        <v>0</v>
      </c>
      <c r="Q139" s="185">
        <f t="shared" si="171"/>
        <v>0</v>
      </c>
      <c r="R139" s="185">
        <f t="shared" si="172"/>
        <v>0</v>
      </c>
      <c r="S139" s="185">
        <f t="shared" si="173"/>
        <v>0</v>
      </c>
      <c r="T139" s="185">
        <f t="shared" si="174"/>
        <v>0</v>
      </c>
      <c r="U139" s="196">
        <f>(C139&gt;0)*(C139&lt;$E$5)*VLOOKUP(MPP,ASUMSI!$BN$77:$CR$108,B139+1)*(1+$V$4)</f>
        <v>0</v>
      </c>
      <c r="V139" s="185">
        <f t="shared" si="175"/>
        <v>0</v>
      </c>
      <c r="W139" s="185">
        <f t="shared" si="176"/>
        <v>0</v>
      </c>
      <c r="X139" s="185">
        <f t="shared" si="177"/>
        <v>0</v>
      </c>
      <c r="Y139" s="185">
        <f t="shared" si="178"/>
        <v>0</v>
      </c>
      <c r="Z139" s="185">
        <f t="shared" si="179"/>
        <v>0</v>
      </c>
      <c r="AA139" s="197">
        <f t="shared" si="180"/>
        <v>0</v>
      </c>
      <c r="AB139" s="185">
        <f t="shared" si="181"/>
        <v>0</v>
      </c>
      <c r="AC139" s="185">
        <f t="shared" si="182"/>
        <v>0</v>
      </c>
      <c r="AD139" s="185">
        <f t="shared" si="183"/>
        <v>0</v>
      </c>
      <c r="AE139" s="185">
        <f t="shared" si="184"/>
        <v>0</v>
      </c>
      <c r="AF139" s="185">
        <f t="shared" si="185"/>
        <v>0</v>
      </c>
      <c r="AG139" s="185">
        <f t="shared" si="186"/>
        <v>0</v>
      </c>
      <c r="AH139" s="185">
        <f t="shared" si="187"/>
        <v>0</v>
      </c>
      <c r="AI139" s="125">
        <f>BEL!AI139</f>
        <v>0</v>
      </c>
      <c r="AJ139" s="125">
        <f>BEL!AJ139</f>
        <v>0</v>
      </c>
      <c r="AK139" s="125">
        <f>BEL!AK139</f>
        <v>0</v>
      </c>
      <c r="AL139" s="125">
        <f>BEL!AL139</f>
        <v>0</v>
      </c>
      <c r="AM139" s="125">
        <f>BEL!AM139</f>
        <v>0</v>
      </c>
      <c r="AN139" s="125">
        <f>BEL!AN139</f>
        <v>0</v>
      </c>
      <c r="AO139" s="198">
        <f t="shared" si="188"/>
        <v>0</v>
      </c>
      <c r="AP139" s="125">
        <f>BEL!AP139</f>
        <v>0</v>
      </c>
      <c r="AQ139" s="125">
        <f>BEL!AQ139</f>
        <v>0</v>
      </c>
      <c r="AR139" s="125">
        <f>BEL!AR139</f>
        <v>0</v>
      </c>
      <c r="AS139" s="125">
        <f>BEL!AS139</f>
        <v>0</v>
      </c>
      <c r="AT139" s="125">
        <f>BEL!AT139</f>
        <v>0</v>
      </c>
      <c r="AU139" s="127">
        <f>BEL!AU139</f>
        <v>0</v>
      </c>
      <c r="AV139" s="127">
        <f>BEL!AV139</f>
        <v>0</v>
      </c>
      <c r="AW139" s="127">
        <f>BEL!AW139</f>
        <v>0</v>
      </c>
      <c r="AX139" s="127">
        <f t="shared" si="189"/>
        <v>0</v>
      </c>
      <c r="AY139" s="127">
        <f t="shared" si="190"/>
        <v>0</v>
      </c>
      <c r="AZ139" s="127">
        <f t="shared" si="191"/>
        <v>0</v>
      </c>
      <c r="BA139" s="127">
        <f t="shared" si="192"/>
        <v>0</v>
      </c>
      <c r="BB139" s="127">
        <f t="shared" si="193"/>
        <v>0</v>
      </c>
      <c r="BC139" s="127">
        <f t="shared" si="194"/>
        <v>0</v>
      </c>
      <c r="BD139" s="127">
        <f t="shared" si="195"/>
        <v>0</v>
      </c>
      <c r="BE139" s="127">
        <f t="shared" si="196"/>
        <v>0</v>
      </c>
      <c r="BF139" s="127">
        <f t="shared" si="197"/>
        <v>0</v>
      </c>
      <c r="BG139" s="127">
        <f t="shared" si="198"/>
        <v>0</v>
      </c>
      <c r="BH139" s="127">
        <f t="shared" si="199"/>
        <v>0</v>
      </c>
      <c r="BI139" s="127">
        <f t="shared" si="200"/>
        <v>0</v>
      </c>
      <c r="BJ139" s="189">
        <f t="shared" si="201"/>
        <v>0</v>
      </c>
      <c r="BK139" s="189">
        <f t="shared" si="202"/>
        <v>0</v>
      </c>
      <c r="BL139" s="192">
        <f t="shared" si="203"/>
        <v>0</v>
      </c>
      <c r="BM139" s="192">
        <f t="shared" si="204"/>
        <v>0</v>
      </c>
      <c r="BN139" s="192">
        <f t="shared" si="205"/>
        <v>0</v>
      </c>
      <c r="BO139" s="192">
        <f t="shared" si="206"/>
        <v>0</v>
      </c>
      <c r="BP139" s="192">
        <f t="shared" si="207"/>
        <v>0</v>
      </c>
      <c r="BQ139" s="193">
        <f t="shared" si="208"/>
        <v>0</v>
      </c>
      <c r="BR139" s="193">
        <f t="shared" si="209"/>
        <v>0</v>
      </c>
      <c r="BS139" s="188">
        <f t="shared" si="210"/>
        <v>0</v>
      </c>
      <c r="BT139" s="188">
        <f t="shared" si="211"/>
        <v>0</v>
      </c>
      <c r="BU139" s="188">
        <f t="shared" si="212"/>
        <v>0</v>
      </c>
      <c r="BV139" s="188">
        <f t="shared" si="213"/>
        <v>0</v>
      </c>
      <c r="BW139" s="188">
        <f t="shared" si="214"/>
        <v>0</v>
      </c>
      <c r="BX139" s="188">
        <f t="shared" si="215"/>
        <v>0</v>
      </c>
      <c r="BY139" s="188">
        <f t="shared" si="216"/>
        <v>0</v>
      </c>
      <c r="BZ139" s="188">
        <f t="shared" si="217"/>
        <v>0</v>
      </c>
      <c r="CA139" s="188">
        <f t="shared" si="218"/>
        <v>0</v>
      </c>
      <c r="CB139" s="149">
        <f t="shared" si="219"/>
        <v>0</v>
      </c>
      <c r="CC139" s="149">
        <f>CB139-BEL!CB139</f>
        <v>0</v>
      </c>
      <c r="CD139" s="189">
        <f>IF(AND(C139=0,C140=0),0,CB139/W139) - BEL!CC139</f>
        <v>0</v>
      </c>
      <c r="CF139" s="195">
        <f t="shared" si="220"/>
        <v>0</v>
      </c>
      <c r="CG139" s="127">
        <f t="shared" si="221"/>
        <v>0</v>
      </c>
      <c r="CH139" s="128">
        <f>'DATA INPUT - DETAIL'!AH130</f>
        <v>0</v>
      </c>
      <c r="CI139" s="125">
        <f t="shared" si="222"/>
        <v>0</v>
      </c>
      <c r="CJ139" s="199">
        <f t="shared" si="223"/>
        <v>0</v>
      </c>
      <c r="CL139" s="189">
        <f t="shared" si="224"/>
        <v>0</v>
      </c>
      <c r="CM139" s="149">
        <f t="shared" si="225"/>
        <v>0</v>
      </c>
      <c r="CN139" s="128">
        <f>'DATA INPUT - DETAIL'!AH130</f>
        <v>0</v>
      </c>
      <c r="CO139" s="149">
        <f t="shared" si="226"/>
        <v>0</v>
      </c>
      <c r="CP139" s="149">
        <f t="shared" si="227"/>
        <v>0</v>
      </c>
      <c r="CR139" s="126">
        <f t="shared" si="164"/>
        <v>127</v>
      </c>
      <c r="CS139" s="189">
        <f t="shared" si="165"/>
        <v>0</v>
      </c>
      <c r="CT139" s="200">
        <f>CS139/(BEL!CE139+BEL!CA139-BEL!BU139+'RA CSM'!CF139)</f>
        <v>0</v>
      </c>
      <c r="CU139" s="149">
        <f>$CT139*BEL!CH139</f>
        <v>0</v>
      </c>
      <c r="CV139" s="149">
        <f>$CT139*BEL!CI139</f>
        <v>0</v>
      </c>
      <c r="CW139" s="149">
        <f>$CT139*BEL!CJ139</f>
        <v>0</v>
      </c>
      <c r="CX139" s="149">
        <f>$CT139*BEL!CK139</f>
        <v>0</v>
      </c>
      <c r="CY139" s="149">
        <f t="shared" si="162"/>
        <v>0</v>
      </c>
      <c r="CZ139" s="149">
        <f>$CT139*(BEL!CL139+'RA CSM'!CG139)</f>
        <v>0</v>
      </c>
      <c r="DA139" s="149">
        <f t="shared" si="163"/>
        <v>0</v>
      </c>
    </row>
    <row r="140" spans="2:105" x14ac:dyDescent="0.2">
      <c r="B140" s="130">
        <f>BEL!B140</f>
        <v>0</v>
      </c>
      <c r="C140" s="130">
        <f>BEL!C140</f>
        <v>0</v>
      </c>
      <c r="D140" s="190">
        <f>BEL!D140</f>
        <v>0</v>
      </c>
      <c r="E140" s="190">
        <f>BEL!E140</f>
        <v>0</v>
      </c>
      <c r="F140" s="190">
        <f>BEL!F140</f>
        <v>0</v>
      </c>
      <c r="G140" s="190">
        <f>BEL!G140*(1+$V$5)</f>
        <v>0</v>
      </c>
      <c r="H140" s="190">
        <f>BEL!H140*(1+$V$5)</f>
        <v>0</v>
      </c>
      <c r="I140" s="179">
        <f t="shared" si="167"/>
        <v>0</v>
      </c>
      <c r="J140" s="130">
        <f>BEL!J140</f>
        <v>0</v>
      </c>
      <c r="K140" s="130">
        <f>BEL!K140</f>
        <v>0</v>
      </c>
      <c r="L140" s="130">
        <f>BEL!L140</f>
        <v>0</v>
      </c>
      <c r="M140" s="185">
        <f t="shared" si="166"/>
        <v>0</v>
      </c>
      <c r="N140" s="185">
        <f t="shared" si="168"/>
        <v>0</v>
      </c>
      <c r="O140" s="185">
        <f t="shared" si="169"/>
        <v>0</v>
      </c>
      <c r="P140" s="185">
        <f t="shared" si="170"/>
        <v>0</v>
      </c>
      <c r="Q140" s="185">
        <f t="shared" si="171"/>
        <v>0</v>
      </c>
      <c r="R140" s="185">
        <f t="shared" si="172"/>
        <v>0</v>
      </c>
      <c r="S140" s="185">
        <f t="shared" si="173"/>
        <v>0</v>
      </c>
      <c r="T140" s="185">
        <f t="shared" si="174"/>
        <v>0</v>
      </c>
      <c r="U140" s="196">
        <f>(C140&gt;0)*(C140&lt;$E$5)*VLOOKUP(MPP,ASUMSI!$BN$77:$CR$108,B140+1)*(1+$V$4)</f>
        <v>0</v>
      </c>
      <c r="V140" s="185">
        <f t="shared" si="175"/>
        <v>0</v>
      </c>
      <c r="W140" s="185">
        <f t="shared" si="176"/>
        <v>0</v>
      </c>
      <c r="X140" s="185">
        <f t="shared" si="177"/>
        <v>0</v>
      </c>
      <c r="Y140" s="185">
        <f t="shared" si="178"/>
        <v>0</v>
      </c>
      <c r="Z140" s="185">
        <f t="shared" si="179"/>
        <v>0</v>
      </c>
      <c r="AA140" s="197">
        <f t="shared" si="180"/>
        <v>0</v>
      </c>
      <c r="AB140" s="185">
        <f t="shared" si="181"/>
        <v>0</v>
      </c>
      <c r="AC140" s="185">
        <f t="shared" si="182"/>
        <v>0</v>
      </c>
      <c r="AD140" s="185">
        <f t="shared" si="183"/>
        <v>0</v>
      </c>
      <c r="AE140" s="185">
        <f t="shared" si="184"/>
        <v>0</v>
      </c>
      <c r="AF140" s="185">
        <f t="shared" si="185"/>
        <v>0</v>
      </c>
      <c r="AG140" s="185">
        <f t="shared" si="186"/>
        <v>0</v>
      </c>
      <c r="AH140" s="185">
        <f t="shared" si="187"/>
        <v>0</v>
      </c>
      <c r="AI140" s="125">
        <f>BEL!AI140</f>
        <v>0</v>
      </c>
      <c r="AJ140" s="125">
        <f>BEL!AJ140</f>
        <v>0</v>
      </c>
      <c r="AK140" s="125">
        <f>BEL!AK140</f>
        <v>0</v>
      </c>
      <c r="AL140" s="125">
        <f>BEL!AL140</f>
        <v>0</v>
      </c>
      <c r="AM140" s="125">
        <f>BEL!AM140</f>
        <v>0</v>
      </c>
      <c r="AN140" s="125">
        <f>BEL!AN140</f>
        <v>0</v>
      </c>
      <c r="AO140" s="198">
        <f t="shared" si="188"/>
        <v>0</v>
      </c>
      <c r="AP140" s="125">
        <f>BEL!AP140</f>
        <v>0</v>
      </c>
      <c r="AQ140" s="125">
        <f>BEL!AQ140</f>
        <v>0</v>
      </c>
      <c r="AR140" s="125">
        <f>BEL!AR140</f>
        <v>0</v>
      </c>
      <c r="AS140" s="125">
        <f>BEL!AS140</f>
        <v>0</v>
      </c>
      <c r="AT140" s="125">
        <f>BEL!AT140</f>
        <v>0</v>
      </c>
      <c r="AU140" s="127">
        <f>BEL!AU140</f>
        <v>0</v>
      </c>
      <c r="AV140" s="127">
        <f>BEL!AV140</f>
        <v>0</v>
      </c>
      <c r="AW140" s="127">
        <f>BEL!AW140</f>
        <v>0</v>
      </c>
      <c r="AX140" s="127">
        <f t="shared" si="189"/>
        <v>0</v>
      </c>
      <c r="AY140" s="127">
        <f t="shared" si="190"/>
        <v>0</v>
      </c>
      <c r="AZ140" s="127">
        <f t="shared" si="191"/>
        <v>0</v>
      </c>
      <c r="BA140" s="127">
        <f t="shared" si="192"/>
        <v>0</v>
      </c>
      <c r="BB140" s="127">
        <f t="shared" si="193"/>
        <v>0</v>
      </c>
      <c r="BC140" s="127">
        <f t="shared" si="194"/>
        <v>0</v>
      </c>
      <c r="BD140" s="127">
        <f t="shared" si="195"/>
        <v>0</v>
      </c>
      <c r="BE140" s="127">
        <f t="shared" si="196"/>
        <v>0</v>
      </c>
      <c r="BF140" s="127">
        <f t="shared" si="197"/>
        <v>0</v>
      </c>
      <c r="BG140" s="127">
        <f t="shared" si="198"/>
        <v>0</v>
      </c>
      <c r="BH140" s="127">
        <f t="shared" si="199"/>
        <v>0</v>
      </c>
      <c r="BI140" s="127">
        <f t="shared" si="200"/>
        <v>0</v>
      </c>
      <c r="BJ140" s="189">
        <f t="shared" si="201"/>
        <v>0</v>
      </c>
      <c r="BK140" s="189">
        <f t="shared" si="202"/>
        <v>0</v>
      </c>
      <c r="BL140" s="192">
        <f t="shared" si="203"/>
        <v>0</v>
      </c>
      <c r="BM140" s="192">
        <f t="shared" si="204"/>
        <v>0</v>
      </c>
      <c r="BN140" s="192">
        <f t="shared" si="205"/>
        <v>0</v>
      </c>
      <c r="BO140" s="192">
        <f t="shared" si="206"/>
        <v>0</v>
      </c>
      <c r="BP140" s="192">
        <f t="shared" si="207"/>
        <v>0</v>
      </c>
      <c r="BQ140" s="193">
        <f t="shared" si="208"/>
        <v>0</v>
      </c>
      <c r="BR140" s="193">
        <f t="shared" si="209"/>
        <v>0</v>
      </c>
      <c r="BS140" s="188">
        <f t="shared" si="210"/>
        <v>0</v>
      </c>
      <c r="BT140" s="188">
        <f t="shared" si="211"/>
        <v>0</v>
      </c>
      <c r="BU140" s="188">
        <f t="shared" si="212"/>
        <v>0</v>
      </c>
      <c r="BV140" s="188">
        <f t="shared" si="213"/>
        <v>0</v>
      </c>
      <c r="BW140" s="188">
        <f t="shared" si="214"/>
        <v>0</v>
      </c>
      <c r="BX140" s="188">
        <f t="shared" si="215"/>
        <v>0</v>
      </c>
      <c r="BY140" s="188">
        <f t="shared" si="216"/>
        <v>0</v>
      </c>
      <c r="BZ140" s="188">
        <f t="shared" si="217"/>
        <v>0</v>
      </c>
      <c r="CA140" s="188">
        <f t="shared" si="218"/>
        <v>0</v>
      </c>
      <c r="CB140" s="149">
        <f t="shared" si="219"/>
        <v>0</v>
      </c>
      <c r="CC140" s="149">
        <f>CB140-BEL!CB140</f>
        <v>0</v>
      </c>
      <c r="CD140" s="189">
        <f>IF(AND(C140=0,C141=0),0,CB140/W140) - BEL!CC140</f>
        <v>0</v>
      </c>
      <c r="CF140" s="195">
        <f t="shared" si="220"/>
        <v>0</v>
      </c>
      <c r="CG140" s="127">
        <f t="shared" si="221"/>
        <v>0</v>
      </c>
      <c r="CH140" s="128">
        <f>'DATA INPUT - DETAIL'!AH131</f>
        <v>0</v>
      </c>
      <c r="CI140" s="125">
        <f t="shared" si="222"/>
        <v>0</v>
      </c>
      <c r="CJ140" s="199">
        <f t="shared" si="223"/>
        <v>0</v>
      </c>
      <c r="CL140" s="189">
        <f t="shared" si="224"/>
        <v>0</v>
      </c>
      <c r="CM140" s="149">
        <f t="shared" si="225"/>
        <v>0</v>
      </c>
      <c r="CN140" s="128">
        <f>'DATA INPUT - DETAIL'!AH131</f>
        <v>0</v>
      </c>
      <c r="CO140" s="149">
        <f t="shared" si="226"/>
        <v>0</v>
      </c>
      <c r="CP140" s="149">
        <f t="shared" si="227"/>
        <v>0</v>
      </c>
      <c r="CR140" s="126">
        <f t="shared" si="164"/>
        <v>128</v>
      </c>
      <c r="CS140" s="189">
        <f t="shared" si="165"/>
        <v>0</v>
      </c>
      <c r="CT140" s="200">
        <f>CS140/(BEL!CE140+BEL!CA140-BEL!BU140+'RA CSM'!CF140)</f>
        <v>0</v>
      </c>
      <c r="CU140" s="149">
        <f>$CT140*BEL!CH140</f>
        <v>0</v>
      </c>
      <c r="CV140" s="149">
        <f>$CT140*BEL!CI140</f>
        <v>0</v>
      </c>
      <c r="CW140" s="149">
        <f>$CT140*BEL!CJ140</f>
        <v>0</v>
      </c>
      <c r="CX140" s="149">
        <f>$CT140*BEL!CK140</f>
        <v>0</v>
      </c>
      <c r="CY140" s="149">
        <f t="shared" si="162"/>
        <v>0</v>
      </c>
      <c r="CZ140" s="149">
        <f>$CT140*(BEL!CL140+'RA CSM'!CG140)</f>
        <v>0</v>
      </c>
      <c r="DA140" s="149">
        <f t="shared" si="163"/>
        <v>0</v>
      </c>
    </row>
    <row r="141" spans="2:105" x14ac:dyDescent="0.2">
      <c r="B141" s="130">
        <f>BEL!B141</f>
        <v>0</v>
      </c>
      <c r="C141" s="130">
        <f>BEL!C141</f>
        <v>0</v>
      </c>
      <c r="D141" s="190">
        <f>BEL!D141</f>
        <v>0</v>
      </c>
      <c r="E141" s="190">
        <f>BEL!E141</f>
        <v>0</v>
      </c>
      <c r="F141" s="190">
        <f>BEL!F141</f>
        <v>0</v>
      </c>
      <c r="G141" s="190">
        <f>BEL!G141*(1+$V$5)</f>
        <v>0</v>
      </c>
      <c r="H141" s="190">
        <f>BEL!H141*(1+$V$5)</f>
        <v>0</v>
      </c>
      <c r="I141" s="179">
        <f t="shared" si="167"/>
        <v>0</v>
      </c>
      <c r="J141" s="130">
        <f>BEL!J141</f>
        <v>0</v>
      </c>
      <c r="K141" s="130">
        <f>BEL!K141</f>
        <v>0</v>
      </c>
      <c r="L141" s="130">
        <f>BEL!L141</f>
        <v>0</v>
      </c>
      <c r="M141" s="185">
        <f t="shared" ref="M141:M172" si="228">IF(AND(C141&lt;=$E$5-1,C141&lt;&gt;0),VLOOKUP(L141,Mortality,5,FALSE)*(1+$V$3),0)</f>
        <v>0</v>
      </c>
      <c r="N141" s="185">
        <f t="shared" si="168"/>
        <v>0</v>
      </c>
      <c r="O141" s="185">
        <f t="shared" si="169"/>
        <v>0</v>
      </c>
      <c r="P141" s="185">
        <f t="shared" si="170"/>
        <v>0</v>
      </c>
      <c r="Q141" s="185">
        <f t="shared" si="171"/>
        <v>0</v>
      </c>
      <c r="R141" s="185">
        <f t="shared" si="172"/>
        <v>0</v>
      </c>
      <c r="S141" s="185">
        <f t="shared" si="173"/>
        <v>0</v>
      </c>
      <c r="T141" s="185">
        <f t="shared" si="174"/>
        <v>0</v>
      </c>
      <c r="U141" s="196">
        <f>(C141&gt;0)*(C141&lt;$E$5)*VLOOKUP(MPP,ASUMSI!$BN$77:$CR$108,B141+1)*(1+$V$4)</f>
        <v>0</v>
      </c>
      <c r="V141" s="185">
        <f t="shared" si="175"/>
        <v>0</v>
      </c>
      <c r="W141" s="185">
        <f t="shared" si="176"/>
        <v>0</v>
      </c>
      <c r="X141" s="185">
        <f t="shared" si="177"/>
        <v>0</v>
      </c>
      <c r="Y141" s="185">
        <f t="shared" si="178"/>
        <v>0</v>
      </c>
      <c r="Z141" s="185">
        <f t="shared" si="179"/>
        <v>0</v>
      </c>
      <c r="AA141" s="197">
        <f t="shared" si="180"/>
        <v>0</v>
      </c>
      <c r="AB141" s="185">
        <f t="shared" si="181"/>
        <v>0</v>
      </c>
      <c r="AC141" s="185">
        <f t="shared" si="182"/>
        <v>0</v>
      </c>
      <c r="AD141" s="185">
        <f t="shared" si="183"/>
        <v>0</v>
      </c>
      <c r="AE141" s="185">
        <f t="shared" si="184"/>
        <v>0</v>
      </c>
      <c r="AF141" s="185">
        <f t="shared" si="185"/>
        <v>0</v>
      </c>
      <c r="AG141" s="185">
        <f t="shared" si="186"/>
        <v>0</v>
      </c>
      <c r="AH141" s="185">
        <f t="shared" si="187"/>
        <v>0</v>
      </c>
      <c r="AI141" s="125">
        <f>BEL!AI141</f>
        <v>0</v>
      </c>
      <c r="AJ141" s="125">
        <f>BEL!AJ141</f>
        <v>0</v>
      </c>
      <c r="AK141" s="125">
        <f>BEL!AK141</f>
        <v>0</v>
      </c>
      <c r="AL141" s="125">
        <f>BEL!AL141</f>
        <v>0</v>
      </c>
      <c r="AM141" s="125">
        <f>BEL!AM141</f>
        <v>0</v>
      </c>
      <c r="AN141" s="125">
        <f>BEL!AN141</f>
        <v>0</v>
      </c>
      <c r="AO141" s="198">
        <f t="shared" si="188"/>
        <v>0</v>
      </c>
      <c r="AP141" s="125">
        <f>BEL!AP141</f>
        <v>0</v>
      </c>
      <c r="AQ141" s="125">
        <f>BEL!AQ141</f>
        <v>0</v>
      </c>
      <c r="AR141" s="125">
        <f>BEL!AR141</f>
        <v>0</v>
      </c>
      <c r="AS141" s="125">
        <f>BEL!AS141</f>
        <v>0</v>
      </c>
      <c r="AT141" s="125">
        <f>BEL!AT141</f>
        <v>0</v>
      </c>
      <c r="AU141" s="127">
        <f>BEL!AU141</f>
        <v>0</v>
      </c>
      <c r="AV141" s="127">
        <f>BEL!AV141</f>
        <v>0</v>
      </c>
      <c r="AW141" s="127">
        <f>BEL!AW141</f>
        <v>0</v>
      </c>
      <c r="AX141" s="127">
        <f t="shared" si="189"/>
        <v>0</v>
      </c>
      <c r="AY141" s="127">
        <f t="shared" si="190"/>
        <v>0</v>
      </c>
      <c r="AZ141" s="127">
        <f t="shared" si="191"/>
        <v>0</v>
      </c>
      <c r="BA141" s="127">
        <f t="shared" si="192"/>
        <v>0</v>
      </c>
      <c r="BB141" s="127">
        <f t="shared" si="193"/>
        <v>0</v>
      </c>
      <c r="BC141" s="127">
        <f t="shared" si="194"/>
        <v>0</v>
      </c>
      <c r="BD141" s="127">
        <f t="shared" si="195"/>
        <v>0</v>
      </c>
      <c r="BE141" s="127">
        <f t="shared" si="196"/>
        <v>0</v>
      </c>
      <c r="BF141" s="127">
        <f t="shared" si="197"/>
        <v>0</v>
      </c>
      <c r="BG141" s="127">
        <f t="shared" si="198"/>
        <v>0</v>
      </c>
      <c r="BH141" s="127">
        <f t="shared" si="199"/>
        <v>0</v>
      </c>
      <c r="BI141" s="127">
        <f t="shared" si="200"/>
        <v>0</v>
      </c>
      <c r="BJ141" s="189">
        <f t="shared" si="201"/>
        <v>0</v>
      </c>
      <c r="BK141" s="189">
        <f t="shared" si="202"/>
        <v>0</v>
      </c>
      <c r="BL141" s="192">
        <f t="shared" si="203"/>
        <v>0</v>
      </c>
      <c r="BM141" s="192">
        <f t="shared" si="204"/>
        <v>0</v>
      </c>
      <c r="BN141" s="192">
        <f t="shared" si="205"/>
        <v>0</v>
      </c>
      <c r="BO141" s="192">
        <f t="shared" si="206"/>
        <v>0</v>
      </c>
      <c r="BP141" s="192">
        <f t="shared" si="207"/>
        <v>0</v>
      </c>
      <c r="BQ141" s="193">
        <f t="shared" si="208"/>
        <v>0</v>
      </c>
      <c r="BR141" s="193">
        <f t="shared" si="209"/>
        <v>0</v>
      </c>
      <c r="BS141" s="188">
        <f t="shared" si="210"/>
        <v>0</v>
      </c>
      <c r="BT141" s="188">
        <f t="shared" si="211"/>
        <v>0</v>
      </c>
      <c r="BU141" s="188">
        <f t="shared" si="212"/>
        <v>0</v>
      </c>
      <c r="BV141" s="188">
        <f t="shared" si="213"/>
        <v>0</v>
      </c>
      <c r="BW141" s="188">
        <f t="shared" si="214"/>
        <v>0</v>
      </c>
      <c r="BX141" s="188">
        <f t="shared" si="215"/>
        <v>0</v>
      </c>
      <c r="BY141" s="188">
        <f t="shared" si="216"/>
        <v>0</v>
      </c>
      <c r="BZ141" s="188">
        <f t="shared" si="217"/>
        <v>0</v>
      </c>
      <c r="CA141" s="188">
        <f t="shared" si="218"/>
        <v>0</v>
      </c>
      <c r="CB141" s="149">
        <f t="shared" si="219"/>
        <v>0</v>
      </c>
      <c r="CC141" s="149">
        <f>CB141-BEL!CB141</f>
        <v>0</v>
      </c>
      <c r="CD141" s="189">
        <f>IF(AND(C141=0,C142=0),0,CB141/W141) - BEL!CC141</f>
        <v>0</v>
      </c>
      <c r="CF141" s="195">
        <f t="shared" si="220"/>
        <v>0</v>
      </c>
      <c r="CG141" s="127">
        <f t="shared" si="221"/>
        <v>0</v>
      </c>
      <c r="CH141" s="128">
        <f>'DATA INPUT - DETAIL'!AH132</f>
        <v>0</v>
      </c>
      <c r="CI141" s="125">
        <f t="shared" si="222"/>
        <v>0</v>
      </c>
      <c r="CJ141" s="199">
        <f t="shared" si="223"/>
        <v>0</v>
      </c>
      <c r="CL141" s="189">
        <f t="shared" si="224"/>
        <v>0</v>
      </c>
      <c r="CM141" s="149">
        <f t="shared" si="225"/>
        <v>0</v>
      </c>
      <c r="CN141" s="128">
        <f>'DATA INPUT - DETAIL'!AH132</f>
        <v>0</v>
      </c>
      <c r="CO141" s="149">
        <f t="shared" si="226"/>
        <v>0</v>
      </c>
      <c r="CP141" s="149">
        <f t="shared" si="227"/>
        <v>0</v>
      </c>
      <c r="CR141" s="126">
        <f t="shared" si="164"/>
        <v>129</v>
      </c>
      <c r="CS141" s="189">
        <f t="shared" si="165"/>
        <v>0</v>
      </c>
      <c r="CT141" s="200">
        <f>CS141/(BEL!CE141+BEL!CA141-BEL!BU141+'RA CSM'!CF141)</f>
        <v>0</v>
      </c>
      <c r="CU141" s="149">
        <f>$CT141*BEL!CH141</f>
        <v>0</v>
      </c>
      <c r="CV141" s="149">
        <f>$CT141*BEL!CI141</f>
        <v>0</v>
      </c>
      <c r="CW141" s="149">
        <f>$CT141*BEL!CJ141</f>
        <v>0</v>
      </c>
      <c r="CX141" s="149">
        <f>$CT141*BEL!CK141</f>
        <v>0</v>
      </c>
      <c r="CY141" s="149">
        <f t="shared" si="162"/>
        <v>0</v>
      </c>
      <c r="CZ141" s="149">
        <f>$CT141*(BEL!CL141+'RA CSM'!CG141)</f>
        <v>0</v>
      </c>
      <c r="DA141" s="149">
        <f t="shared" si="163"/>
        <v>0</v>
      </c>
    </row>
    <row r="142" spans="2:105" x14ac:dyDescent="0.2">
      <c r="B142" s="130">
        <f>BEL!B142</f>
        <v>0</v>
      </c>
      <c r="C142" s="130">
        <f>BEL!C142</f>
        <v>0</v>
      </c>
      <c r="D142" s="190">
        <f>BEL!D142</f>
        <v>0</v>
      </c>
      <c r="E142" s="190">
        <f>BEL!E142</f>
        <v>0</v>
      </c>
      <c r="F142" s="190">
        <f>BEL!F142</f>
        <v>0</v>
      </c>
      <c r="G142" s="190">
        <f>BEL!G142*(1+$V$5)</f>
        <v>0</v>
      </c>
      <c r="H142" s="190">
        <f>BEL!H142*(1+$V$5)</f>
        <v>0</v>
      </c>
      <c r="I142" s="179">
        <f t="shared" si="167"/>
        <v>0</v>
      </c>
      <c r="J142" s="130">
        <f>BEL!J142</f>
        <v>0</v>
      </c>
      <c r="K142" s="130">
        <f>BEL!K142</f>
        <v>0</v>
      </c>
      <c r="L142" s="130">
        <f>BEL!L142</f>
        <v>0</v>
      </c>
      <c r="M142" s="185">
        <f t="shared" si="228"/>
        <v>0</v>
      </c>
      <c r="N142" s="185">
        <f t="shared" si="168"/>
        <v>0</v>
      </c>
      <c r="O142" s="185">
        <f t="shared" si="169"/>
        <v>0</v>
      </c>
      <c r="P142" s="185">
        <f t="shared" si="170"/>
        <v>0</v>
      </c>
      <c r="Q142" s="185">
        <f t="shared" si="171"/>
        <v>0</v>
      </c>
      <c r="R142" s="185">
        <f t="shared" si="172"/>
        <v>0</v>
      </c>
      <c r="S142" s="185">
        <f t="shared" si="173"/>
        <v>0</v>
      </c>
      <c r="T142" s="185">
        <f t="shared" si="174"/>
        <v>0</v>
      </c>
      <c r="U142" s="196">
        <f>(C142&gt;0)*(C142&lt;$E$5)*VLOOKUP(MPP,ASUMSI!$BN$77:$CR$108,B142+1)*(1+$V$4)</f>
        <v>0</v>
      </c>
      <c r="V142" s="185">
        <f t="shared" si="175"/>
        <v>0</v>
      </c>
      <c r="W142" s="185">
        <f t="shared" si="176"/>
        <v>0</v>
      </c>
      <c r="X142" s="185">
        <f t="shared" si="177"/>
        <v>0</v>
      </c>
      <c r="Y142" s="185">
        <f t="shared" si="178"/>
        <v>0</v>
      </c>
      <c r="Z142" s="185">
        <f t="shared" si="179"/>
        <v>0</v>
      </c>
      <c r="AA142" s="197">
        <f t="shared" si="180"/>
        <v>0</v>
      </c>
      <c r="AB142" s="185">
        <f t="shared" si="181"/>
        <v>0</v>
      </c>
      <c r="AC142" s="185">
        <f t="shared" si="182"/>
        <v>0</v>
      </c>
      <c r="AD142" s="185">
        <f t="shared" si="183"/>
        <v>0</v>
      </c>
      <c r="AE142" s="185">
        <f t="shared" si="184"/>
        <v>0</v>
      </c>
      <c r="AF142" s="185">
        <f t="shared" si="185"/>
        <v>0</v>
      </c>
      <c r="AG142" s="185">
        <f t="shared" si="186"/>
        <v>0</v>
      </c>
      <c r="AH142" s="185">
        <f t="shared" si="187"/>
        <v>0</v>
      </c>
      <c r="AI142" s="125">
        <f>BEL!AI142</f>
        <v>0</v>
      </c>
      <c r="AJ142" s="125">
        <f>BEL!AJ142</f>
        <v>0</v>
      </c>
      <c r="AK142" s="125">
        <f>BEL!AK142</f>
        <v>0</v>
      </c>
      <c r="AL142" s="125">
        <f>BEL!AL142</f>
        <v>0</v>
      </c>
      <c r="AM142" s="125">
        <f>BEL!AM142</f>
        <v>0</v>
      </c>
      <c r="AN142" s="125">
        <f>BEL!AN142</f>
        <v>0</v>
      </c>
      <c r="AO142" s="198">
        <f t="shared" si="188"/>
        <v>0</v>
      </c>
      <c r="AP142" s="125">
        <f>BEL!AP142</f>
        <v>0</v>
      </c>
      <c r="AQ142" s="125">
        <f>BEL!AQ142</f>
        <v>0</v>
      </c>
      <c r="AR142" s="125">
        <f>BEL!AR142</f>
        <v>0</v>
      </c>
      <c r="AS142" s="125">
        <f>BEL!AS142</f>
        <v>0</v>
      </c>
      <c r="AT142" s="125">
        <f>BEL!AT142</f>
        <v>0</v>
      </c>
      <c r="AU142" s="127">
        <f>BEL!AU142</f>
        <v>0</v>
      </c>
      <c r="AV142" s="127">
        <f>BEL!AV142</f>
        <v>0</v>
      </c>
      <c r="AW142" s="127">
        <f>BEL!AW142</f>
        <v>0</v>
      </c>
      <c r="AX142" s="127">
        <f t="shared" si="189"/>
        <v>0</v>
      </c>
      <c r="AY142" s="127">
        <f t="shared" si="190"/>
        <v>0</v>
      </c>
      <c r="AZ142" s="127">
        <f t="shared" si="191"/>
        <v>0</v>
      </c>
      <c r="BA142" s="127">
        <f t="shared" si="192"/>
        <v>0</v>
      </c>
      <c r="BB142" s="127">
        <f t="shared" si="193"/>
        <v>0</v>
      </c>
      <c r="BC142" s="127">
        <f t="shared" si="194"/>
        <v>0</v>
      </c>
      <c r="BD142" s="127">
        <f t="shared" si="195"/>
        <v>0</v>
      </c>
      <c r="BE142" s="127">
        <f t="shared" si="196"/>
        <v>0</v>
      </c>
      <c r="BF142" s="127">
        <f t="shared" si="197"/>
        <v>0</v>
      </c>
      <c r="BG142" s="127">
        <f t="shared" si="198"/>
        <v>0</v>
      </c>
      <c r="BH142" s="127">
        <f t="shared" si="199"/>
        <v>0</v>
      </c>
      <c r="BI142" s="127">
        <f t="shared" si="200"/>
        <v>0</v>
      </c>
      <c r="BJ142" s="189">
        <f t="shared" si="201"/>
        <v>0</v>
      </c>
      <c r="BK142" s="189">
        <f t="shared" si="202"/>
        <v>0</v>
      </c>
      <c r="BL142" s="192">
        <f t="shared" si="203"/>
        <v>0</v>
      </c>
      <c r="BM142" s="192">
        <f t="shared" si="204"/>
        <v>0</v>
      </c>
      <c r="BN142" s="192">
        <f t="shared" si="205"/>
        <v>0</v>
      </c>
      <c r="BO142" s="192">
        <f t="shared" si="206"/>
        <v>0</v>
      </c>
      <c r="BP142" s="192">
        <f t="shared" si="207"/>
        <v>0</v>
      </c>
      <c r="BQ142" s="193">
        <f t="shared" si="208"/>
        <v>0</v>
      </c>
      <c r="BR142" s="193">
        <f t="shared" si="209"/>
        <v>0</v>
      </c>
      <c r="BS142" s="188">
        <f t="shared" si="210"/>
        <v>0</v>
      </c>
      <c r="BT142" s="188">
        <f t="shared" si="211"/>
        <v>0</v>
      </c>
      <c r="BU142" s="188">
        <f t="shared" si="212"/>
        <v>0</v>
      </c>
      <c r="BV142" s="188">
        <f t="shared" si="213"/>
        <v>0</v>
      </c>
      <c r="BW142" s="188">
        <f t="shared" si="214"/>
        <v>0</v>
      </c>
      <c r="BX142" s="188">
        <f t="shared" si="215"/>
        <v>0</v>
      </c>
      <c r="BY142" s="188">
        <f t="shared" si="216"/>
        <v>0</v>
      </c>
      <c r="BZ142" s="188">
        <f t="shared" si="217"/>
        <v>0</v>
      </c>
      <c r="CA142" s="188">
        <f t="shared" si="218"/>
        <v>0</v>
      </c>
      <c r="CB142" s="149">
        <f t="shared" si="219"/>
        <v>0</v>
      </c>
      <c r="CC142" s="149">
        <f>CB142-BEL!CB142</f>
        <v>0</v>
      </c>
      <c r="CD142" s="189">
        <f>IF(AND(C142=0,C143=0),0,CB142/W142) - BEL!CC142</f>
        <v>0</v>
      </c>
      <c r="CF142" s="195">
        <f t="shared" si="220"/>
        <v>0</v>
      </c>
      <c r="CG142" s="127">
        <f t="shared" si="221"/>
        <v>0</v>
      </c>
      <c r="CH142" s="128">
        <f>'DATA INPUT - DETAIL'!AH133</f>
        <v>0</v>
      </c>
      <c r="CI142" s="125">
        <f t="shared" si="222"/>
        <v>0</v>
      </c>
      <c r="CJ142" s="199">
        <f t="shared" si="223"/>
        <v>0</v>
      </c>
      <c r="CL142" s="189">
        <f t="shared" si="224"/>
        <v>0</v>
      </c>
      <c r="CM142" s="149">
        <f t="shared" si="225"/>
        <v>0</v>
      </c>
      <c r="CN142" s="128">
        <f>'DATA INPUT - DETAIL'!AH133</f>
        <v>0</v>
      </c>
      <c r="CO142" s="149">
        <f t="shared" si="226"/>
        <v>0</v>
      </c>
      <c r="CP142" s="149">
        <f t="shared" si="227"/>
        <v>0</v>
      </c>
      <c r="CR142" s="126">
        <f t="shared" si="164"/>
        <v>130</v>
      </c>
      <c r="CS142" s="189">
        <f t="shared" si="165"/>
        <v>0</v>
      </c>
      <c r="CT142" s="200">
        <f>CS142/(BEL!CE142+BEL!CA142-BEL!BU142+'RA CSM'!CF142)</f>
        <v>0</v>
      </c>
      <c r="CU142" s="149">
        <f>$CT142*BEL!CH142</f>
        <v>0</v>
      </c>
      <c r="CV142" s="149">
        <f>$CT142*BEL!CI142</f>
        <v>0</v>
      </c>
      <c r="CW142" s="149">
        <f>$CT142*BEL!CJ142</f>
        <v>0</v>
      </c>
      <c r="CX142" s="149">
        <f>$CT142*BEL!CK142</f>
        <v>0</v>
      </c>
      <c r="CY142" s="149">
        <f t="shared" ref="CY142:CY192" si="229">$CT142*CF142</f>
        <v>0</v>
      </c>
      <c r="CZ142" s="149">
        <f>$CT142*(BEL!CL142+'RA CSM'!CG142)</f>
        <v>0</v>
      </c>
      <c r="DA142" s="149">
        <f t="shared" ref="DA142:DA192" si="230">CS142+SUM(CU142:CZ142)</f>
        <v>0</v>
      </c>
    </row>
    <row r="143" spans="2:105" x14ac:dyDescent="0.2">
      <c r="B143" s="130">
        <f>BEL!B143</f>
        <v>0</v>
      </c>
      <c r="C143" s="130">
        <f>BEL!C143</f>
        <v>0</v>
      </c>
      <c r="D143" s="190">
        <f>BEL!D143</f>
        <v>0</v>
      </c>
      <c r="E143" s="190">
        <f>BEL!E143</f>
        <v>0</v>
      </c>
      <c r="F143" s="190">
        <f>BEL!F143</f>
        <v>0</v>
      </c>
      <c r="G143" s="190">
        <f>BEL!G143*(1+$V$5)</f>
        <v>0</v>
      </c>
      <c r="H143" s="190">
        <f>BEL!H143*(1+$V$5)</f>
        <v>0</v>
      </c>
      <c r="I143" s="179">
        <f t="shared" si="167"/>
        <v>0</v>
      </c>
      <c r="J143" s="130">
        <f>BEL!J143</f>
        <v>0</v>
      </c>
      <c r="K143" s="130">
        <f>BEL!K143</f>
        <v>0</v>
      </c>
      <c r="L143" s="130">
        <f>BEL!L143</f>
        <v>0</v>
      </c>
      <c r="M143" s="185">
        <f t="shared" si="228"/>
        <v>0</v>
      </c>
      <c r="N143" s="185">
        <f t="shared" si="168"/>
        <v>0</v>
      </c>
      <c r="O143" s="185">
        <f t="shared" si="169"/>
        <v>0</v>
      </c>
      <c r="P143" s="185">
        <f t="shared" si="170"/>
        <v>0</v>
      </c>
      <c r="Q143" s="185">
        <f t="shared" si="171"/>
        <v>0</v>
      </c>
      <c r="R143" s="185">
        <f t="shared" si="172"/>
        <v>0</v>
      </c>
      <c r="S143" s="185">
        <f t="shared" si="173"/>
        <v>0</v>
      </c>
      <c r="T143" s="185">
        <f t="shared" si="174"/>
        <v>0</v>
      </c>
      <c r="U143" s="196">
        <f>(C143&gt;0)*(C143&lt;$E$5)*VLOOKUP(MPP,ASUMSI!$BN$77:$CR$108,B143+1)*(1+$V$4)</f>
        <v>0</v>
      </c>
      <c r="V143" s="185">
        <f t="shared" si="175"/>
        <v>0</v>
      </c>
      <c r="W143" s="185">
        <f t="shared" si="176"/>
        <v>0</v>
      </c>
      <c r="X143" s="185">
        <f t="shared" si="177"/>
        <v>0</v>
      </c>
      <c r="Y143" s="185">
        <f t="shared" si="178"/>
        <v>0</v>
      </c>
      <c r="Z143" s="185">
        <f t="shared" si="179"/>
        <v>0</v>
      </c>
      <c r="AA143" s="197">
        <f t="shared" si="180"/>
        <v>0</v>
      </c>
      <c r="AB143" s="185">
        <f t="shared" si="181"/>
        <v>0</v>
      </c>
      <c r="AC143" s="185">
        <f t="shared" si="182"/>
        <v>0</v>
      </c>
      <c r="AD143" s="185">
        <f t="shared" si="183"/>
        <v>0</v>
      </c>
      <c r="AE143" s="185">
        <f t="shared" si="184"/>
        <v>0</v>
      </c>
      <c r="AF143" s="185">
        <f t="shared" si="185"/>
        <v>0</v>
      </c>
      <c r="AG143" s="185">
        <f t="shared" si="186"/>
        <v>0</v>
      </c>
      <c r="AH143" s="185">
        <f t="shared" si="187"/>
        <v>0</v>
      </c>
      <c r="AI143" s="125">
        <f>BEL!AI143</f>
        <v>0</v>
      </c>
      <c r="AJ143" s="125">
        <f>BEL!AJ143</f>
        <v>0</v>
      </c>
      <c r="AK143" s="125">
        <f>BEL!AK143</f>
        <v>0</v>
      </c>
      <c r="AL143" s="125">
        <f>BEL!AL143</f>
        <v>0</v>
      </c>
      <c r="AM143" s="125">
        <f>BEL!AM143</f>
        <v>0</v>
      </c>
      <c r="AN143" s="125">
        <f>BEL!AN143</f>
        <v>0</v>
      </c>
      <c r="AO143" s="198">
        <f t="shared" si="188"/>
        <v>0</v>
      </c>
      <c r="AP143" s="125">
        <f>BEL!AP143</f>
        <v>0</v>
      </c>
      <c r="AQ143" s="125">
        <f>BEL!AQ143</f>
        <v>0</v>
      </c>
      <c r="AR143" s="125">
        <f>BEL!AR143</f>
        <v>0</v>
      </c>
      <c r="AS143" s="125">
        <f>BEL!AS143</f>
        <v>0</v>
      </c>
      <c r="AT143" s="125">
        <f>BEL!AT143</f>
        <v>0</v>
      </c>
      <c r="AU143" s="127">
        <f>BEL!AU143</f>
        <v>0</v>
      </c>
      <c r="AV143" s="127">
        <f>BEL!AV143</f>
        <v>0</v>
      </c>
      <c r="AW143" s="127">
        <f>BEL!AW143</f>
        <v>0</v>
      </c>
      <c r="AX143" s="127">
        <f t="shared" si="189"/>
        <v>0</v>
      </c>
      <c r="AY143" s="127">
        <f t="shared" si="190"/>
        <v>0</v>
      </c>
      <c r="AZ143" s="127">
        <f t="shared" si="191"/>
        <v>0</v>
      </c>
      <c r="BA143" s="127">
        <f t="shared" si="192"/>
        <v>0</v>
      </c>
      <c r="BB143" s="127">
        <f t="shared" si="193"/>
        <v>0</v>
      </c>
      <c r="BC143" s="127">
        <f t="shared" si="194"/>
        <v>0</v>
      </c>
      <c r="BD143" s="127">
        <f t="shared" si="195"/>
        <v>0</v>
      </c>
      <c r="BE143" s="127">
        <f t="shared" si="196"/>
        <v>0</v>
      </c>
      <c r="BF143" s="127">
        <f t="shared" si="197"/>
        <v>0</v>
      </c>
      <c r="BG143" s="127">
        <f t="shared" si="198"/>
        <v>0</v>
      </c>
      <c r="BH143" s="127">
        <f t="shared" si="199"/>
        <v>0</v>
      </c>
      <c r="BI143" s="127">
        <f t="shared" si="200"/>
        <v>0</v>
      </c>
      <c r="BJ143" s="189">
        <f t="shared" si="201"/>
        <v>0</v>
      </c>
      <c r="BK143" s="189">
        <f t="shared" si="202"/>
        <v>0</v>
      </c>
      <c r="BL143" s="192">
        <f t="shared" si="203"/>
        <v>0</v>
      </c>
      <c r="BM143" s="192">
        <f t="shared" si="204"/>
        <v>0</v>
      </c>
      <c r="BN143" s="192">
        <f t="shared" si="205"/>
        <v>0</v>
      </c>
      <c r="BO143" s="192">
        <f t="shared" si="206"/>
        <v>0</v>
      </c>
      <c r="BP143" s="192">
        <f t="shared" si="207"/>
        <v>0</v>
      </c>
      <c r="BQ143" s="193">
        <f t="shared" si="208"/>
        <v>0</v>
      </c>
      <c r="BR143" s="193">
        <f t="shared" si="209"/>
        <v>0</v>
      </c>
      <c r="BS143" s="188">
        <f t="shared" si="210"/>
        <v>0</v>
      </c>
      <c r="BT143" s="188">
        <f t="shared" si="211"/>
        <v>0</v>
      </c>
      <c r="BU143" s="188">
        <f t="shared" si="212"/>
        <v>0</v>
      </c>
      <c r="BV143" s="188">
        <f t="shared" si="213"/>
        <v>0</v>
      </c>
      <c r="BW143" s="188">
        <f t="shared" si="214"/>
        <v>0</v>
      </c>
      <c r="BX143" s="188">
        <f t="shared" si="215"/>
        <v>0</v>
      </c>
      <c r="BY143" s="188">
        <f t="shared" si="216"/>
        <v>0</v>
      </c>
      <c r="BZ143" s="188">
        <f t="shared" si="217"/>
        <v>0</v>
      </c>
      <c r="CA143" s="188">
        <f t="shared" si="218"/>
        <v>0</v>
      </c>
      <c r="CB143" s="149">
        <f t="shared" si="219"/>
        <v>0</v>
      </c>
      <c r="CC143" s="149">
        <f>CB143-BEL!CB143</f>
        <v>0</v>
      </c>
      <c r="CD143" s="189">
        <f>IF(AND(C143=0,C144=0),0,CB143/W143) - BEL!CC143</f>
        <v>0</v>
      </c>
      <c r="CF143" s="195">
        <f t="shared" si="220"/>
        <v>0</v>
      </c>
      <c r="CG143" s="127">
        <f t="shared" si="221"/>
        <v>0</v>
      </c>
      <c r="CH143" s="128">
        <f>'DATA INPUT - DETAIL'!AH134</f>
        <v>0</v>
      </c>
      <c r="CI143" s="125">
        <f t="shared" si="222"/>
        <v>0</v>
      </c>
      <c r="CJ143" s="199">
        <f t="shared" si="223"/>
        <v>0</v>
      </c>
      <c r="CL143" s="189">
        <f t="shared" si="224"/>
        <v>0</v>
      </c>
      <c r="CM143" s="149">
        <f t="shared" si="225"/>
        <v>0</v>
      </c>
      <c r="CN143" s="128">
        <f>'DATA INPUT - DETAIL'!AH134</f>
        <v>0</v>
      </c>
      <c r="CO143" s="149">
        <f t="shared" si="226"/>
        <v>0</v>
      </c>
      <c r="CP143" s="149">
        <f t="shared" si="227"/>
        <v>0</v>
      </c>
      <c r="CR143" s="126">
        <f t="shared" ref="CR143:CR192" si="231">+CR142+1</f>
        <v>131</v>
      </c>
      <c r="CS143" s="189">
        <f t="shared" ref="CS143:CS192" si="232">DA142</f>
        <v>0</v>
      </c>
      <c r="CT143" s="200">
        <f>CS143/(BEL!CE143+BEL!CA143-BEL!BU143+'RA CSM'!CF143)</f>
        <v>0</v>
      </c>
      <c r="CU143" s="149">
        <f>$CT143*BEL!CH143</f>
        <v>0</v>
      </c>
      <c r="CV143" s="149">
        <f>$CT143*BEL!CI143</f>
        <v>0</v>
      </c>
      <c r="CW143" s="149">
        <f>$CT143*BEL!CJ143</f>
        <v>0</v>
      </c>
      <c r="CX143" s="149">
        <f>$CT143*BEL!CK143</f>
        <v>0</v>
      </c>
      <c r="CY143" s="149">
        <f t="shared" si="229"/>
        <v>0</v>
      </c>
      <c r="CZ143" s="149">
        <f>$CT143*(BEL!CL143+'RA CSM'!CG143)</f>
        <v>0</v>
      </c>
      <c r="DA143" s="149">
        <f t="shared" si="230"/>
        <v>0</v>
      </c>
    </row>
    <row r="144" spans="2:105" x14ac:dyDescent="0.2">
      <c r="B144" s="130">
        <f>BEL!B144</f>
        <v>0</v>
      </c>
      <c r="C144" s="130">
        <f>BEL!C144</f>
        <v>0</v>
      </c>
      <c r="D144" s="190">
        <f>BEL!D144</f>
        <v>0</v>
      </c>
      <c r="E144" s="190">
        <f>BEL!E144</f>
        <v>0</v>
      </c>
      <c r="F144" s="190">
        <f>BEL!F144</f>
        <v>0</v>
      </c>
      <c r="G144" s="190">
        <f>BEL!G144*(1+$V$5)</f>
        <v>0</v>
      </c>
      <c r="H144" s="190">
        <f>BEL!H144*(1+$V$5)</f>
        <v>0</v>
      </c>
      <c r="I144" s="179">
        <f t="shared" si="167"/>
        <v>0</v>
      </c>
      <c r="J144" s="130">
        <f>BEL!J144</f>
        <v>0</v>
      </c>
      <c r="K144" s="130">
        <f>BEL!K144</f>
        <v>0</v>
      </c>
      <c r="L144" s="130">
        <f>BEL!L144</f>
        <v>0</v>
      </c>
      <c r="M144" s="185">
        <f t="shared" si="228"/>
        <v>0</v>
      </c>
      <c r="N144" s="185">
        <f t="shared" si="168"/>
        <v>0</v>
      </c>
      <c r="O144" s="185">
        <f t="shared" si="169"/>
        <v>0</v>
      </c>
      <c r="P144" s="185">
        <f t="shared" si="170"/>
        <v>0</v>
      </c>
      <c r="Q144" s="185">
        <f t="shared" si="171"/>
        <v>0</v>
      </c>
      <c r="R144" s="185">
        <f t="shared" si="172"/>
        <v>0</v>
      </c>
      <c r="S144" s="185">
        <f t="shared" si="173"/>
        <v>0</v>
      </c>
      <c r="T144" s="185">
        <f t="shared" si="174"/>
        <v>0</v>
      </c>
      <c r="U144" s="196">
        <f>(C144&gt;0)*(C144&lt;$E$5)*VLOOKUP(MPP,ASUMSI!$BN$77:$CR$108,B144+1)*(1+$V$4)</f>
        <v>0</v>
      </c>
      <c r="V144" s="185">
        <f t="shared" si="175"/>
        <v>0</v>
      </c>
      <c r="W144" s="185">
        <f t="shared" si="176"/>
        <v>0</v>
      </c>
      <c r="X144" s="185">
        <f t="shared" si="177"/>
        <v>0</v>
      </c>
      <c r="Y144" s="185">
        <f t="shared" si="178"/>
        <v>0</v>
      </c>
      <c r="Z144" s="185">
        <f t="shared" si="179"/>
        <v>0</v>
      </c>
      <c r="AA144" s="197">
        <f t="shared" si="180"/>
        <v>0</v>
      </c>
      <c r="AB144" s="185">
        <f t="shared" si="181"/>
        <v>0</v>
      </c>
      <c r="AC144" s="185">
        <f t="shared" si="182"/>
        <v>0</v>
      </c>
      <c r="AD144" s="185">
        <f t="shared" si="183"/>
        <v>0</v>
      </c>
      <c r="AE144" s="185">
        <f t="shared" si="184"/>
        <v>0</v>
      </c>
      <c r="AF144" s="185">
        <f t="shared" si="185"/>
        <v>0</v>
      </c>
      <c r="AG144" s="185">
        <f t="shared" si="186"/>
        <v>0</v>
      </c>
      <c r="AH144" s="185">
        <f t="shared" si="187"/>
        <v>0</v>
      </c>
      <c r="AI144" s="125">
        <f>BEL!AI144</f>
        <v>0</v>
      </c>
      <c r="AJ144" s="125">
        <f>BEL!AJ144</f>
        <v>0</v>
      </c>
      <c r="AK144" s="125">
        <f>BEL!AK144</f>
        <v>0</v>
      </c>
      <c r="AL144" s="125">
        <f>BEL!AL144</f>
        <v>0</v>
      </c>
      <c r="AM144" s="125">
        <f>BEL!AM144</f>
        <v>0</v>
      </c>
      <c r="AN144" s="125">
        <f>BEL!AN144</f>
        <v>0</v>
      </c>
      <c r="AO144" s="198">
        <f t="shared" si="188"/>
        <v>0</v>
      </c>
      <c r="AP144" s="125">
        <f>BEL!AP144</f>
        <v>0</v>
      </c>
      <c r="AQ144" s="125">
        <f>BEL!AQ144</f>
        <v>0</v>
      </c>
      <c r="AR144" s="125">
        <f>BEL!AR144</f>
        <v>0</v>
      </c>
      <c r="AS144" s="125">
        <f>BEL!AS144</f>
        <v>0</v>
      </c>
      <c r="AT144" s="125">
        <f>BEL!AT144</f>
        <v>0</v>
      </c>
      <c r="AU144" s="127">
        <f>BEL!AU144</f>
        <v>0</v>
      </c>
      <c r="AV144" s="127">
        <f>BEL!AV144</f>
        <v>0</v>
      </c>
      <c r="AW144" s="127">
        <f>BEL!AW144</f>
        <v>0</v>
      </c>
      <c r="AX144" s="127">
        <f t="shared" si="189"/>
        <v>0</v>
      </c>
      <c r="AY144" s="127">
        <f t="shared" si="190"/>
        <v>0</v>
      </c>
      <c r="AZ144" s="127">
        <f t="shared" si="191"/>
        <v>0</v>
      </c>
      <c r="BA144" s="127">
        <f t="shared" si="192"/>
        <v>0</v>
      </c>
      <c r="BB144" s="127">
        <f t="shared" si="193"/>
        <v>0</v>
      </c>
      <c r="BC144" s="127">
        <f t="shared" si="194"/>
        <v>0</v>
      </c>
      <c r="BD144" s="127">
        <f t="shared" si="195"/>
        <v>0</v>
      </c>
      <c r="BE144" s="127">
        <f t="shared" si="196"/>
        <v>0</v>
      </c>
      <c r="BF144" s="127">
        <f t="shared" si="197"/>
        <v>0</v>
      </c>
      <c r="BG144" s="127">
        <f t="shared" si="198"/>
        <v>0</v>
      </c>
      <c r="BH144" s="127">
        <f t="shared" si="199"/>
        <v>0</v>
      </c>
      <c r="BI144" s="127">
        <f t="shared" si="200"/>
        <v>0</v>
      </c>
      <c r="BJ144" s="189">
        <f t="shared" si="201"/>
        <v>0</v>
      </c>
      <c r="BK144" s="189">
        <f t="shared" si="202"/>
        <v>0</v>
      </c>
      <c r="BL144" s="192">
        <f t="shared" si="203"/>
        <v>0</v>
      </c>
      <c r="BM144" s="192">
        <f t="shared" si="204"/>
        <v>0</v>
      </c>
      <c r="BN144" s="192">
        <f t="shared" si="205"/>
        <v>0</v>
      </c>
      <c r="BO144" s="192">
        <f t="shared" si="206"/>
        <v>0</v>
      </c>
      <c r="BP144" s="192">
        <f t="shared" si="207"/>
        <v>0</v>
      </c>
      <c r="BQ144" s="193">
        <f t="shared" si="208"/>
        <v>0</v>
      </c>
      <c r="BR144" s="193">
        <f t="shared" si="209"/>
        <v>0</v>
      </c>
      <c r="BS144" s="188">
        <f t="shared" si="210"/>
        <v>0</v>
      </c>
      <c r="BT144" s="188">
        <f t="shared" si="211"/>
        <v>0</v>
      </c>
      <c r="BU144" s="188">
        <f t="shared" si="212"/>
        <v>0</v>
      </c>
      <c r="BV144" s="188">
        <f t="shared" si="213"/>
        <v>0</v>
      </c>
      <c r="BW144" s="188">
        <f t="shared" si="214"/>
        <v>0</v>
      </c>
      <c r="BX144" s="188">
        <f t="shared" si="215"/>
        <v>0</v>
      </c>
      <c r="BY144" s="188">
        <f t="shared" si="216"/>
        <v>0</v>
      </c>
      <c r="BZ144" s="188">
        <f t="shared" si="217"/>
        <v>0</v>
      </c>
      <c r="CA144" s="188">
        <f t="shared" si="218"/>
        <v>0</v>
      </c>
      <c r="CB144" s="149">
        <f t="shared" si="219"/>
        <v>0</v>
      </c>
      <c r="CC144" s="149">
        <f>CB144-BEL!CB144</f>
        <v>0</v>
      </c>
      <c r="CD144" s="189">
        <f>IF(AND(C144=0,C145=0),0,CB144/W144) - BEL!CC144</f>
        <v>0</v>
      </c>
      <c r="CF144" s="195">
        <f t="shared" si="220"/>
        <v>0</v>
      </c>
      <c r="CG144" s="127">
        <f t="shared" si="221"/>
        <v>0</v>
      </c>
      <c r="CH144" s="128">
        <f>'DATA INPUT - DETAIL'!AH135</f>
        <v>0</v>
      </c>
      <c r="CI144" s="125">
        <f t="shared" si="222"/>
        <v>0</v>
      </c>
      <c r="CJ144" s="199">
        <f t="shared" si="223"/>
        <v>0</v>
      </c>
      <c r="CL144" s="189">
        <f t="shared" si="224"/>
        <v>0</v>
      </c>
      <c r="CM144" s="149">
        <f t="shared" si="225"/>
        <v>0</v>
      </c>
      <c r="CN144" s="128">
        <f>'DATA INPUT - DETAIL'!AH135</f>
        <v>0</v>
      </c>
      <c r="CO144" s="149">
        <f t="shared" si="226"/>
        <v>0</v>
      </c>
      <c r="CP144" s="149">
        <f t="shared" si="227"/>
        <v>0</v>
      </c>
      <c r="CR144" s="126">
        <f t="shared" si="231"/>
        <v>132</v>
      </c>
      <c r="CS144" s="189">
        <f t="shared" si="232"/>
        <v>0</v>
      </c>
      <c r="CT144" s="200">
        <f>CS144/(BEL!CE144+BEL!CA144-BEL!BU144+'RA CSM'!CF144)</f>
        <v>0</v>
      </c>
      <c r="CU144" s="149">
        <f>$CT144*BEL!CH144</f>
        <v>0</v>
      </c>
      <c r="CV144" s="149">
        <f>$CT144*BEL!CI144</f>
        <v>0</v>
      </c>
      <c r="CW144" s="149">
        <f>$CT144*BEL!CJ144</f>
        <v>0</v>
      </c>
      <c r="CX144" s="149">
        <f>$CT144*BEL!CK144</f>
        <v>0</v>
      </c>
      <c r="CY144" s="149">
        <f t="shared" si="229"/>
        <v>0</v>
      </c>
      <c r="CZ144" s="149">
        <f>$CT144*(BEL!CL144+'RA CSM'!CG144)</f>
        <v>0</v>
      </c>
      <c r="DA144" s="149">
        <f t="shared" si="230"/>
        <v>0</v>
      </c>
    </row>
    <row r="145" spans="2:105" x14ac:dyDescent="0.2">
      <c r="B145" s="130">
        <f>BEL!B145</f>
        <v>0</v>
      </c>
      <c r="C145" s="130">
        <f>BEL!C145</f>
        <v>0</v>
      </c>
      <c r="D145" s="190">
        <f>BEL!D145</f>
        <v>0</v>
      </c>
      <c r="E145" s="190">
        <f>BEL!E145</f>
        <v>0</v>
      </c>
      <c r="F145" s="190">
        <f>BEL!F145</f>
        <v>0</v>
      </c>
      <c r="G145" s="190">
        <f>BEL!G145*(1+$V$5)</f>
        <v>0</v>
      </c>
      <c r="H145" s="190">
        <f>BEL!H145*(1+$V$5)</f>
        <v>0</v>
      </c>
      <c r="I145" s="179">
        <f t="shared" si="167"/>
        <v>0</v>
      </c>
      <c r="J145" s="130">
        <f>BEL!J145</f>
        <v>0</v>
      </c>
      <c r="K145" s="130">
        <f>BEL!K145</f>
        <v>0</v>
      </c>
      <c r="L145" s="130">
        <f>BEL!L145</f>
        <v>0</v>
      </c>
      <c r="M145" s="185">
        <f t="shared" si="228"/>
        <v>0</v>
      </c>
      <c r="N145" s="185">
        <f t="shared" si="168"/>
        <v>0</v>
      </c>
      <c r="O145" s="185">
        <f t="shared" si="169"/>
        <v>0</v>
      </c>
      <c r="P145" s="185">
        <f t="shared" si="170"/>
        <v>0</v>
      </c>
      <c r="Q145" s="185">
        <f t="shared" si="171"/>
        <v>0</v>
      </c>
      <c r="R145" s="185">
        <f t="shared" si="172"/>
        <v>0</v>
      </c>
      <c r="S145" s="185">
        <f t="shared" si="173"/>
        <v>0</v>
      </c>
      <c r="T145" s="185">
        <f t="shared" si="174"/>
        <v>0</v>
      </c>
      <c r="U145" s="196">
        <f>(C145&gt;0)*(C145&lt;$E$5)*VLOOKUP(MPP,ASUMSI!$BN$77:$CR$108,B145+1)*(1+$V$4)</f>
        <v>0</v>
      </c>
      <c r="V145" s="185">
        <f t="shared" si="175"/>
        <v>0</v>
      </c>
      <c r="W145" s="185">
        <f t="shared" si="176"/>
        <v>0</v>
      </c>
      <c r="X145" s="185">
        <f t="shared" si="177"/>
        <v>0</v>
      </c>
      <c r="Y145" s="185">
        <f t="shared" si="178"/>
        <v>0</v>
      </c>
      <c r="Z145" s="185">
        <f t="shared" si="179"/>
        <v>0</v>
      </c>
      <c r="AA145" s="197">
        <f t="shared" si="180"/>
        <v>0</v>
      </c>
      <c r="AB145" s="185">
        <f t="shared" si="181"/>
        <v>0</v>
      </c>
      <c r="AC145" s="185">
        <f t="shared" si="182"/>
        <v>0</v>
      </c>
      <c r="AD145" s="185">
        <f t="shared" si="183"/>
        <v>0</v>
      </c>
      <c r="AE145" s="185">
        <f t="shared" si="184"/>
        <v>0</v>
      </c>
      <c r="AF145" s="185">
        <f t="shared" si="185"/>
        <v>0</v>
      </c>
      <c r="AG145" s="185">
        <f t="shared" si="186"/>
        <v>0</v>
      </c>
      <c r="AH145" s="185">
        <f t="shared" si="187"/>
        <v>0</v>
      </c>
      <c r="AI145" s="125">
        <f>BEL!AI145</f>
        <v>0</v>
      </c>
      <c r="AJ145" s="125">
        <f>BEL!AJ145</f>
        <v>0</v>
      </c>
      <c r="AK145" s="125">
        <f>BEL!AK145</f>
        <v>0</v>
      </c>
      <c r="AL145" s="125">
        <f>BEL!AL145</f>
        <v>0</v>
      </c>
      <c r="AM145" s="125">
        <f>BEL!AM145</f>
        <v>0</v>
      </c>
      <c r="AN145" s="125">
        <f>BEL!AN145</f>
        <v>0</v>
      </c>
      <c r="AO145" s="198">
        <f t="shared" si="188"/>
        <v>0</v>
      </c>
      <c r="AP145" s="125">
        <f>BEL!AP145</f>
        <v>0</v>
      </c>
      <c r="AQ145" s="125">
        <f>BEL!AQ145</f>
        <v>0</v>
      </c>
      <c r="AR145" s="125">
        <f>BEL!AR145</f>
        <v>0</v>
      </c>
      <c r="AS145" s="125">
        <f>BEL!AS145</f>
        <v>0</v>
      </c>
      <c r="AT145" s="125">
        <f>BEL!AT145</f>
        <v>0</v>
      </c>
      <c r="AU145" s="127">
        <f>BEL!AU145</f>
        <v>0</v>
      </c>
      <c r="AV145" s="127">
        <f>BEL!AV145</f>
        <v>0</v>
      </c>
      <c r="AW145" s="127">
        <f>BEL!AW145</f>
        <v>0</v>
      </c>
      <c r="AX145" s="127">
        <f t="shared" si="189"/>
        <v>0</v>
      </c>
      <c r="AY145" s="127">
        <f t="shared" si="190"/>
        <v>0</v>
      </c>
      <c r="AZ145" s="127">
        <f t="shared" si="191"/>
        <v>0</v>
      </c>
      <c r="BA145" s="127">
        <f t="shared" si="192"/>
        <v>0</v>
      </c>
      <c r="BB145" s="127">
        <f t="shared" si="193"/>
        <v>0</v>
      </c>
      <c r="BC145" s="127">
        <f t="shared" si="194"/>
        <v>0</v>
      </c>
      <c r="BD145" s="127">
        <f t="shared" si="195"/>
        <v>0</v>
      </c>
      <c r="BE145" s="127">
        <f t="shared" si="196"/>
        <v>0</v>
      </c>
      <c r="BF145" s="127">
        <f t="shared" si="197"/>
        <v>0</v>
      </c>
      <c r="BG145" s="127">
        <f t="shared" si="198"/>
        <v>0</v>
      </c>
      <c r="BH145" s="127">
        <f t="shared" si="199"/>
        <v>0</v>
      </c>
      <c r="BI145" s="127">
        <f t="shared" si="200"/>
        <v>0</v>
      </c>
      <c r="BJ145" s="189">
        <f t="shared" si="201"/>
        <v>0</v>
      </c>
      <c r="BK145" s="189">
        <f t="shared" si="202"/>
        <v>0</v>
      </c>
      <c r="BL145" s="192">
        <f t="shared" si="203"/>
        <v>0</v>
      </c>
      <c r="BM145" s="192">
        <f t="shared" si="204"/>
        <v>0</v>
      </c>
      <c r="BN145" s="192">
        <f t="shared" si="205"/>
        <v>0</v>
      </c>
      <c r="BO145" s="192">
        <f t="shared" si="206"/>
        <v>0</v>
      </c>
      <c r="BP145" s="192">
        <f t="shared" si="207"/>
        <v>0</v>
      </c>
      <c r="BQ145" s="193">
        <f t="shared" si="208"/>
        <v>0</v>
      </c>
      <c r="BR145" s="193">
        <f t="shared" si="209"/>
        <v>0</v>
      </c>
      <c r="BS145" s="188">
        <f t="shared" si="210"/>
        <v>0</v>
      </c>
      <c r="BT145" s="188">
        <f t="shared" si="211"/>
        <v>0</v>
      </c>
      <c r="BU145" s="188">
        <f t="shared" si="212"/>
        <v>0</v>
      </c>
      <c r="BV145" s="188">
        <f t="shared" si="213"/>
        <v>0</v>
      </c>
      <c r="BW145" s="188">
        <f t="shared" si="214"/>
        <v>0</v>
      </c>
      <c r="BX145" s="188">
        <f t="shared" si="215"/>
        <v>0</v>
      </c>
      <c r="BY145" s="188">
        <f t="shared" si="216"/>
        <v>0</v>
      </c>
      <c r="BZ145" s="188">
        <f t="shared" si="217"/>
        <v>0</v>
      </c>
      <c r="CA145" s="188">
        <f t="shared" si="218"/>
        <v>0</v>
      </c>
      <c r="CB145" s="149">
        <f t="shared" si="219"/>
        <v>0</v>
      </c>
      <c r="CC145" s="149">
        <f>CB145-BEL!CB145</f>
        <v>0</v>
      </c>
      <c r="CD145" s="189">
        <f>IF(AND(C145=0,C146=0),0,CB145/W145) - BEL!CC145</f>
        <v>0</v>
      </c>
      <c r="CF145" s="195">
        <f t="shared" si="220"/>
        <v>0</v>
      </c>
      <c r="CG145" s="127">
        <f t="shared" si="221"/>
        <v>0</v>
      </c>
      <c r="CH145" s="128">
        <f>'DATA INPUT - DETAIL'!AH136</f>
        <v>0</v>
      </c>
      <c r="CI145" s="125">
        <f t="shared" si="222"/>
        <v>0</v>
      </c>
      <c r="CJ145" s="199">
        <f t="shared" si="223"/>
        <v>0</v>
      </c>
      <c r="CL145" s="189">
        <f t="shared" si="224"/>
        <v>0</v>
      </c>
      <c r="CM145" s="149">
        <f t="shared" si="225"/>
        <v>0</v>
      </c>
      <c r="CN145" s="128">
        <f>'DATA INPUT - DETAIL'!AH136</f>
        <v>0</v>
      </c>
      <c r="CO145" s="149">
        <f t="shared" si="226"/>
        <v>0</v>
      </c>
      <c r="CP145" s="149">
        <f t="shared" si="227"/>
        <v>0</v>
      </c>
      <c r="CR145" s="126">
        <f t="shared" si="231"/>
        <v>133</v>
      </c>
      <c r="CS145" s="189">
        <f t="shared" si="232"/>
        <v>0</v>
      </c>
      <c r="CT145" s="200">
        <f>CS145/(BEL!CE145+BEL!CA145-BEL!BU145+'RA CSM'!CF145)</f>
        <v>0</v>
      </c>
      <c r="CU145" s="149">
        <f>$CT145*BEL!CH145</f>
        <v>0</v>
      </c>
      <c r="CV145" s="149">
        <f>$CT145*BEL!CI145</f>
        <v>0</v>
      </c>
      <c r="CW145" s="149">
        <f>$CT145*BEL!CJ145</f>
        <v>0</v>
      </c>
      <c r="CX145" s="149">
        <f>$CT145*BEL!CK145</f>
        <v>0</v>
      </c>
      <c r="CY145" s="149">
        <f t="shared" si="229"/>
        <v>0</v>
      </c>
      <c r="CZ145" s="149">
        <f>$CT145*(BEL!CL145+'RA CSM'!CG145)</f>
        <v>0</v>
      </c>
      <c r="DA145" s="149">
        <f t="shared" si="230"/>
        <v>0</v>
      </c>
    </row>
    <row r="146" spans="2:105" x14ac:dyDescent="0.2">
      <c r="B146" s="130">
        <f>BEL!B146</f>
        <v>0</v>
      </c>
      <c r="C146" s="130">
        <f>BEL!C146</f>
        <v>0</v>
      </c>
      <c r="D146" s="190">
        <f>BEL!D146</f>
        <v>0</v>
      </c>
      <c r="E146" s="190">
        <f>BEL!E146</f>
        <v>0</v>
      </c>
      <c r="F146" s="190">
        <f>BEL!F146</f>
        <v>0</v>
      </c>
      <c r="G146" s="190">
        <f>BEL!G146*(1+$V$5)</f>
        <v>0</v>
      </c>
      <c r="H146" s="190">
        <f>BEL!H146*(1+$V$5)</f>
        <v>0</v>
      </c>
      <c r="I146" s="179">
        <f t="shared" si="167"/>
        <v>0</v>
      </c>
      <c r="J146" s="130">
        <f>BEL!J146</f>
        <v>0</v>
      </c>
      <c r="K146" s="130">
        <f>BEL!K146</f>
        <v>0</v>
      </c>
      <c r="L146" s="130">
        <f>BEL!L146</f>
        <v>0</v>
      </c>
      <c r="M146" s="185">
        <f t="shared" si="228"/>
        <v>0</v>
      </c>
      <c r="N146" s="185">
        <f t="shared" si="168"/>
        <v>0</v>
      </c>
      <c r="O146" s="185">
        <f t="shared" si="169"/>
        <v>0</v>
      </c>
      <c r="P146" s="185">
        <f t="shared" si="170"/>
        <v>0</v>
      </c>
      <c r="Q146" s="185">
        <f t="shared" si="171"/>
        <v>0</v>
      </c>
      <c r="R146" s="185">
        <f t="shared" si="172"/>
        <v>0</v>
      </c>
      <c r="S146" s="185">
        <f t="shared" si="173"/>
        <v>0</v>
      </c>
      <c r="T146" s="185">
        <f t="shared" si="174"/>
        <v>0</v>
      </c>
      <c r="U146" s="196">
        <f>(C146&gt;0)*(C146&lt;$E$5)*VLOOKUP(MPP,ASUMSI!$BN$77:$CR$108,B146+1)*(1+$V$4)</f>
        <v>0</v>
      </c>
      <c r="V146" s="185">
        <f t="shared" si="175"/>
        <v>0</v>
      </c>
      <c r="W146" s="185">
        <f t="shared" si="176"/>
        <v>0</v>
      </c>
      <c r="X146" s="185">
        <f t="shared" si="177"/>
        <v>0</v>
      </c>
      <c r="Y146" s="185">
        <f t="shared" si="178"/>
        <v>0</v>
      </c>
      <c r="Z146" s="185">
        <f t="shared" si="179"/>
        <v>0</v>
      </c>
      <c r="AA146" s="197">
        <f t="shared" si="180"/>
        <v>0</v>
      </c>
      <c r="AB146" s="185">
        <f t="shared" si="181"/>
        <v>0</v>
      </c>
      <c r="AC146" s="185">
        <f t="shared" si="182"/>
        <v>0</v>
      </c>
      <c r="AD146" s="185">
        <f t="shared" si="183"/>
        <v>0</v>
      </c>
      <c r="AE146" s="185">
        <f t="shared" si="184"/>
        <v>0</v>
      </c>
      <c r="AF146" s="185">
        <f t="shared" si="185"/>
        <v>0</v>
      </c>
      <c r="AG146" s="185">
        <f t="shared" si="186"/>
        <v>0</v>
      </c>
      <c r="AH146" s="185">
        <f t="shared" si="187"/>
        <v>0</v>
      </c>
      <c r="AI146" s="125">
        <f>BEL!AI146</f>
        <v>0</v>
      </c>
      <c r="AJ146" s="125">
        <f>BEL!AJ146</f>
        <v>0</v>
      </c>
      <c r="AK146" s="125">
        <f>BEL!AK146</f>
        <v>0</v>
      </c>
      <c r="AL146" s="125">
        <f>BEL!AL146</f>
        <v>0</v>
      </c>
      <c r="AM146" s="125">
        <f>BEL!AM146</f>
        <v>0</v>
      </c>
      <c r="AN146" s="125">
        <f>BEL!AN146</f>
        <v>0</v>
      </c>
      <c r="AO146" s="198">
        <f t="shared" si="188"/>
        <v>0</v>
      </c>
      <c r="AP146" s="125">
        <f>BEL!AP146</f>
        <v>0</v>
      </c>
      <c r="AQ146" s="125">
        <f>BEL!AQ146</f>
        <v>0</v>
      </c>
      <c r="AR146" s="125">
        <f>BEL!AR146</f>
        <v>0</v>
      </c>
      <c r="AS146" s="125">
        <f>BEL!AS146</f>
        <v>0</v>
      </c>
      <c r="AT146" s="125">
        <f>BEL!AT146</f>
        <v>0</v>
      </c>
      <c r="AU146" s="127">
        <f>BEL!AU146</f>
        <v>0</v>
      </c>
      <c r="AV146" s="127">
        <f>BEL!AV146</f>
        <v>0</v>
      </c>
      <c r="AW146" s="127">
        <f>BEL!AW146</f>
        <v>0</v>
      </c>
      <c r="AX146" s="127">
        <f t="shared" si="189"/>
        <v>0</v>
      </c>
      <c r="AY146" s="127">
        <f t="shared" si="190"/>
        <v>0</v>
      </c>
      <c r="AZ146" s="127">
        <f t="shared" si="191"/>
        <v>0</v>
      </c>
      <c r="BA146" s="127">
        <f t="shared" si="192"/>
        <v>0</v>
      </c>
      <c r="BB146" s="127">
        <f t="shared" si="193"/>
        <v>0</v>
      </c>
      <c r="BC146" s="127">
        <f t="shared" si="194"/>
        <v>0</v>
      </c>
      <c r="BD146" s="127">
        <f t="shared" si="195"/>
        <v>0</v>
      </c>
      <c r="BE146" s="127">
        <f t="shared" si="196"/>
        <v>0</v>
      </c>
      <c r="BF146" s="127">
        <f t="shared" si="197"/>
        <v>0</v>
      </c>
      <c r="BG146" s="127">
        <f t="shared" si="198"/>
        <v>0</v>
      </c>
      <c r="BH146" s="127">
        <f t="shared" si="199"/>
        <v>0</v>
      </c>
      <c r="BI146" s="127">
        <f t="shared" si="200"/>
        <v>0</v>
      </c>
      <c r="BJ146" s="189">
        <f t="shared" si="201"/>
        <v>0</v>
      </c>
      <c r="BK146" s="189">
        <f t="shared" si="202"/>
        <v>0</v>
      </c>
      <c r="BL146" s="192">
        <f t="shared" si="203"/>
        <v>0</v>
      </c>
      <c r="BM146" s="192">
        <f t="shared" si="204"/>
        <v>0</v>
      </c>
      <c r="BN146" s="192">
        <f t="shared" si="205"/>
        <v>0</v>
      </c>
      <c r="BO146" s="192">
        <f t="shared" si="206"/>
        <v>0</v>
      </c>
      <c r="BP146" s="192">
        <f t="shared" si="207"/>
        <v>0</v>
      </c>
      <c r="BQ146" s="193">
        <f t="shared" si="208"/>
        <v>0</v>
      </c>
      <c r="BR146" s="193">
        <f t="shared" si="209"/>
        <v>0</v>
      </c>
      <c r="BS146" s="188">
        <f t="shared" si="210"/>
        <v>0</v>
      </c>
      <c r="BT146" s="188">
        <f t="shared" si="211"/>
        <v>0</v>
      </c>
      <c r="BU146" s="188">
        <f t="shared" si="212"/>
        <v>0</v>
      </c>
      <c r="BV146" s="188">
        <f t="shared" si="213"/>
        <v>0</v>
      </c>
      <c r="BW146" s="188">
        <f t="shared" si="214"/>
        <v>0</v>
      </c>
      <c r="BX146" s="188">
        <f t="shared" si="215"/>
        <v>0</v>
      </c>
      <c r="BY146" s="188">
        <f t="shared" si="216"/>
        <v>0</v>
      </c>
      <c r="BZ146" s="188">
        <f t="shared" si="217"/>
        <v>0</v>
      </c>
      <c r="CA146" s="188">
        <f t="shared" si="218"/>
        <v>0</v>
      </c>
      <c r="CB146" s="149">
        <f t="shared" si="219"/>
        <v>0</v>
      </c>
      <c r="CC146" s="149">
        <f>CB146-BEL!CB146</f>
        <v>0</v>
      </c>
      <c r="CD146" s="189">
        <f>IF(AND(C146=0,C147=0),0,CB146/W146) - BEL!CC146</f>
        <v>0</v>
      </c>
      <c r="CF146" s="195">
        <f t="shared" si="220"/>
        <v>0</v>
      </c>
      <c r="CG146" s="127">
        <f t="shared" si="221"/>
        <v>0</v>
      </c>
      <c r="CH146" s="128">
        <f>'DATA INPUT - DETAIL'!AH137</f>
        <v>0</v>
      </c>
      <c r="CI146" s="125">
        <f t="shared" si="222"/>
        <v>0</v>
      </c>
      <c r="CJ146" s="199">
        <f t="shared" si="223"/>
        <v>0</v>
      </c>
      <c r="CL146" s="189">
        <f t="shared" si="224"/>
        <v>0</v>
      </c>
      <c r="CM146" s="149">
        <f t="shared" si="225"/>
        <v>0</v>
      </c>
      <c r="CN146" s="128">
        <f>'DATA INPUT - DETAIL'!AH137</f>
        <v>0</v>
      </c>
      <c r="CO146" s="149">
        <f t="shared" si="226"/>
        <v>0</v>
      </c>
      <c r="CP146" s="149">
        <f t="shared" si="227"/>
        <v>0</v>
      </c>
      <c r="CR146" s="126">
        <f t="shared" si="231"/>
        <v>134</v>
      </c>
      <c r="CS146" s="189">
        <f t="shared" si="232"/>
        <v>0</v>
      </c>
      <c r="CT146" s="200">
        <f>CS146/(BEL!CE146+BEL!CA146-BEL!BU146+'RA CSM'!CF146)</f>
        <v>0</v>
      </c>
      <c r="CU146" s="149">
        <f>$CT146*BEL!CH146</f>
        <v>0</v>
      </c>
      <c r="CV146" s="149">
        <f>$CT146*BEL!CI146</f>
        <v>0</v>
      </c>
      <c r="CW146" s="149">
        <f>$CT146*BEL!CJ146</f>
        <v>0</v>
      </c>
      <c r="CX146" s="149">
        <f>$CT146*BEL!CK146</f>
        <v>0</v>
      </c>
      <c r="CY146" s="149">
        <f t="shared" si="229"/>
        <v>0</v>
      </c>
      <c r="CZ146" s="149">
        <f>$CT146*(BEL!CL146+'RA CSM'!CG146)</f>
        <v>0</v>
      </c>
      <c r="DA146" s="149">
        <f t="shared" si="230"/>
        <v>0</v>
      </c>
    </row>
    <row r="147" spans="2:105" x14ac:dyDescent="0.2">
      <c r="B147" s="130">
        <f>BEL!B147</f>
        <v>0</v>
      </c>
      <c r="C147" s="130">
        <f>BEL!C147</f>
        <v>0</v>
      </c>
      <c r="D147" s="190">
        <f>BEL!D147</f>
        <v>0</v>
      </c>
      <c r="E147" s="190">
        <f>BEL!E147</f>
        <v>0</v>
      </c>
      <c r="F147" s="190">
        <f>BEL!F147</f>
        <v>0</v>
      </c>
      <c r="G147" s="190">
        <f>BEL!G147*(1+$V$5)</f>
        <v>0</v>
      </c>
      <c r="H147" s="190">
        <f>BEL!H147*(1+$V$5)</f>
        <v>0</v>
      </c>
      <c r="I147" s="179">
        <f t="shared" si="167"/>
        <v>0</v>
      </c>
      <c r="J147" s="130">
        <f>BEL!J147</f>
        <v>0</v>
      </c>
      <c r="K147" s="130">
        <f>BEL!K147</f>
        <v>0</v>
      </c>
      <c r="L147" s="130">
        <f>BEL!L147</f>
        <v>0</v>
      </c>
      <c r="M147" s="185">
        <f t="shared" si="228"/>
        <v>0</v>
      </c>
      <c r="N147" s="185">
        <f t="shared" si="168"/>
        <v>0</v>
      </c>
      <c r="O147" s="185">
        <f t="shared" si="169"/>
        <v>0</v>
      </c>
      <c r="P147" s="185">
        <f t="shared" si="170"/>
        <v>0</v>
      </c>
      <c r="Q147" s="185">
        <f t="shared" si="171"/>
        <v>0</v>
      </c>
      <c r="R147" s="185">
        <f t="shared" si="172"/>
        <v>0</v>
      </c>
      <c r="S147" s="185">
        <f t="shared" si="173"/>
        <v>0</v>
      </c>
      <c r="T147" s="185">
        <f t="shared" si="174"/>
        <v>0</v>
      </c>
      <c r="U147" s="196">
        <f>(C147&gt;0)*(C147&lt;$E$5)*VLOOKUP(MPP,ASUMSI!$BN$77:$CR$108,B147+1)*(1+$V$4)</f>
        <v>0</v>
      </c>
      <c r="V147" s="185">
        <f t="shared" si="175"/>
        <v>0</v>
      </c>
      <c r="W147" s="185">
        <f t="shared" si="176"/>
        <v>0</v>
      </c>
      <c r="X147" s="185">
        <f t="shared" si="177"/>
        <v>0</v>
      </c>
      <c r="Y147" s="185">
        <f t="shared" si="178"/>
        <v>0</v>
      </c>
      <c r="Z147" s="185">
        <f t="shared" si="179"/>
        <v>0</v>
      </c>
      <c r="AA147" s="197">
        <f t="shared" si="180"/>
        <v>0</v>
      </c>
      <c r="AB147" s="185">
        <f t="shared" si="181"/>
        <v>0</v>
      </c>
      <c r="AC147" s="185">
        <f t="shared" si="182"/>
        <v>0</v>
      </c>
      <c r="AD147" s="185">
        <f t="shared" si="183"/>
        <v>0</v>
      </c>
      <c r="AE147" s="185">
        <f t="shared" si="184"/>
        <v>0</v>
      </c>
      <c r="AF147" s="185">
        <f t="shared" si="185"/>
        <v>0</v>
      </c>
      <c r="AG147" s="185">
        <f t="shared" si="186"/>
        <v>0</v>
      </c>
      <c r="AH147" s="185">
        <f t="shared" si="187"/>
        <v>0</v>
      </c>
      <c r="AI147" s="125">
        <f>BEL!AI147</f>
        <v>0</v>
      </c>
      <c r="AJ147" s="125">
        <f>BEL!AJ147</f>
        <v>0</v>
      </c>
      <c r="AK147" s="125">
        <f>BEL!AK147</f>
        <v>0</v>
      </c>
      <c r="AL147" s="125">
        <f>BEL!AL147</f>
        <v>0</v>
      </c>
      <c r="AM147" s="125">
        <f>BEL!AM147</f>
        <v>0</v>
      </c>
      <c r="AN147" s="125">
        <f>BEL!AN147</f>
        <v>0</v>
      </c>
      <c r="AO147" s="198">
        <f t="shared" si="188"/>
        <v>0</v>
      </c>
      <c r="AP147" s="125">
        <f>BEL!AP147</f>
        <v>0</v>
      </c>
      <c r="AQ147" s="125">
        <f>BEL!AQ147</f>
        <v>0</v>
      </c>
      <c r="AR147" s="125">
        <f>BEL!AR147</f>
        <v>0</v>
      </c>
      <c r="AS147" s="125">
        <f>BEL!AS147</f>
        <v>0</v>
      </c>
      <c r="AT147" s="125">
        <f>BEL!AT147</f>
        <v>0</v>
      </c>
      <c r="AU147" s="127">
        <f>BEL!AU147</f>
        <v>0</v>
      </c>
      <c r="AV147" s="127">
        <f>BEL!AV147</f>
        <v>0</v>
      </c>
      <c r="AW147" s="127">
        <f>BEL!AW147</f>
        <v>0</v>
      </c>
      <c r="AX147" s="127">
        <f t="shared" si="189"/>
        <v>0</v>
      </c>
      <c r="AY147" s="127">
        <f t="shared" si="190"/>
        <v>0</v>
      </c>
      <c r="AZ147" s="127">
        <f t="shared" si="191"/>
        <v>0</v>
      </c>
      <c r="BA147" s="127">
        <f t="shared" si="192"/>
        <v>0</v>
      </c>
      <c r="BB147" s="127">
        <f t="shared" si="193"/>
        <v>0</v>
      </c>
      <c r="BC147" s="127">
        <f t="shared" si="194"/>
        <v>0</v>
      </c>
      <c r="BD147" s="127">
        <f t="shared" si="195"/>
        <v>0</v>
      </c>
      <c r="BE147" s="127">
        <f t="shared" si="196"/>
        <v>0</v>
      </c>
      <c r="BF147" s="127">
        <f t="shared" si="197"/>
        <v>0</v>
      </c>
      <c r="BG147" s="127">
        <f t="shared" si="198"/>
        <v>0</v>
      </c>
      <c r="BH147" s="127">
        <f t="shared" si="199"/>
        <v>0</v>
      </c>
      <c r="BI147" s="127">
        <f t="shared" si="200"/>
        <v>0</v>
      </c>
      <c r="BJ147" s="189">
        <f t="shared" si="201"/>
        <v>0</v>
      </c>
      <c r="BK147" s="189">
        <f t="shared" si="202"/>
        <v>0</v>
      </c>
      <c r="BL147" s="192">
        <f t="shared" si="203"/>
        <v>0</v>
      </c>
      <c r="BM147" s="192">
        <f t="shared" si="204"/>
        <v>0</v>
      </c>
      <c r="BN147" s="192">
        <f t="shared" si="205"/>
        <v>0</v>
      </c>
      <c r="BO147" s="192">
        <f t="shared" si="206"/>
        <v>0</v>
      </c>
      <c r="BP147" s="192">
        <f t="shared" si="207"/>
        <v>0</v>
      </c>
      <c r="BQ147" s="193">
        <f t="shared" si="208"/>
        <v>0</v>
      </c>
      <c r="BR147" s="193">
        <f t="shared" si="209"/>
        <v>0</v>
      </c>
      <c r="BS147" s="188">
        <f t="shared" si="210"/>
        <v>0</v>
      </c>
      <c r="BT147" s="188">
        <f t="shared" si="211"/>
        <v>0</v>
      </c>
      <c r="BU147" s="188">
        <f t="shared" si="212"/>
        <v>0</v>
      </c>
      <c r="BV147" s="188">
        <f t="shared" si="213"/>
        <v>0</v>
      </c>
      <c r="BW147" s="188">
        <f t="shared" si="214"/>
        <v>0</v>
      </c>
      <c r="BX147" s="188">
        <f t="shared" si="215"/>
        <v>0</v>
      </c>
      <c r="BY147" s="188">
        <f t="shared" si="216"/>
        <v>0</v>
      </c>
      <c r="BZ147" s="188">
        <f t="shared" si="217"/>
        <v>0</v>
      </c>
      <c r="CA147" s="188">
        <f t="shared" si="218"/>
        <v>0</v>
      </c>
      <c r="CB147" s="149">
        <f t="shared" si="219"/>
        <v>0</v>
      </c>
      <c r="CC147" s="149">
        <f>CB147-BEL!CB147</f>
        <v>0</v>
      </c>
      <c r="CD147" s="189">
        <f>IF(AND(C147=0,C148=0),0,CB147/W147) - BEL!CC147</f>
        <v>0</v>
      </c>
      <c r="CF147" s="195">
        <f t="shared" si="220"/>
        <v>0</v>
      </c>
      <c r="CG147" s="127">
        <f t="shared" si="221"/>
        <v>0</v>
      </c>
      <c r="CH147" s="128">
        <f>'DATA INPUT - DETAIL'!AH138</f>
        <v>0</v>
      </c>
      <c r="CI147" s="125">
        <f t="shared" si="222"/>
        <v>0</v>
      </c>
      <c r="CJ147" s="199">
        <f t="shared" si="223"/>
        <v>0</v>
      </c>
      <c r="CL147" s="189">
        <f t="shared" si="224"/>
        <v>0</v>
      </c>
      <c r="CM147" s="149">
        <f t="shared" si="225"/>
        <v>0</v>
      </c>
      <c r="CN147" s="128">
        <f>'DATA INPUT - DETAIL'!AH138</f>
        <v>0</v>
      </c>
      <c r="CO147" s="149">
        <f t="shared" si="226"/>
        <v>0</v>
      </c>
      <c r="CP147" s="149">
        <f t="shared" si="227"/>
        <v>0</v>
      </c>
      <c r="CR147" s="126">
        <f t="shared" si="231"/>
        <v>135</v>
      </c>
      <c r="CS147" s="189">
        <f t="shared" si="232"/>
        <v>0</v>
      </c>
      <c r="CT147" s="200">
        <f>CS147/(BEL!CE147+BEL!CA147-BEL!BU147+'RA CSM'!CF147)</f>
        <v>0</v>
      </c>
      <c r="CU147" s="149">
        <f>$CT147*BEL!CH147</f>
        <v>0</v>
      </c>
      <c r="CV147" s="149">
        <f>$CT147*BEL!CI147</f>
        <v>0</v>
      </c>
      <c r="CW147" s="149">
        <f>$CT147*BEL!CJ147</f>
        <v>0</v>
      </c>
      <c r="CX147" s="149">
        <f>$CT147*BEL!CK147</f>
        <v>0</v>
      </c>
      <c r="CY147" s="149">
        <f t="shared" si="229"/>
        <v>0</v>
      </c>
      <c r="CZ147" s="149">
        <f>$CT147*(BEL!CL147+'RA CSM'!CG147)</f>
        <v>0</v>
      </c>
      <c r="DA147" s="149">
        <f t="shared" si="230"/>
        <v>0</v>
      </c>
    </row>
    <row r="148" spans="2:105" x14ac:dyDescent="0.2">
      <c r="B148" s="130">
        <f>BEL!B148</f>
        <v>0</v>
      </c>
      <c r="C148" s="130">
        <f>BEL!C148</f>
        <v>0</v>
      </c>
      <c r="D148" s="190">
        <f>BEL!D148</f>
        <v>0</v>
      </c>
      <c r="E148" s="190">
        <f>BEL!E148</f>
        <v>0</v>
      </c>
      <c r="F148" s="190">
        <f>BEL!F148</f>
        <v>0</v>
      </c>
      <c r="G148" s="190">
        <f>BEL!G148*(1+$V$5)</f>
        <v>0</v>
      </c>
      <c r="H148" s="190">
        <f>BEL!H148*(1+$V$5)</f>
        <v>0</v>
      </c>
      <c r="I148" s="179">
        <f t="shared" si="167"/>
        <v>0</v>
      </c>
      <c r="J148" s="130">
        <f>BEL!J148</f>
        <v>0</v>
      </c>
      <c r="K148" s="130">
        <f>BEL!K148</f>
        <v>0</v>
      </c>
      <c r="L148" s="130">
        <f>BEL!L148</f>
        <v>0</v>
      </c>
      <c r="M148" s="185">
        <f t="shared" si="228"/>
        <v>0</v>
      </c>
      <c r="N148" s="185">
        <f t="shared" si="168"/>
        <v>0</v>
      </c>
      <c r="O148" s="185">
        <f t="shared" si="169"/>
        <v>0</v>
      </c>
      <c r="P148" s="185">
        <f t="shared" si="170"/>
        <v>0</v>
      </c>
      <c r="Q148" s="185">
        <f t="shared" si="171"/>
        <v>0</v>
      </c>
      <c r="R148" s="185">
        <f t="shared" si="172"/>
        <v>0</v>
      </c>
      <c r="S148" s="185">
        <f t="shared" si="173"/>
        <v>0</v>
      </c>
      <c r="T148" s="185">
        <f t="shared" si="174"/>
        <v>0</v>
      </c>
      <c r="U148" s="196">
        <f>(C148&gt;0)*(C148&lt;$E$5)*VLOOKUP(MPP,ASUMSI!$BN$77:$CR$108,B148+1)*(1+$V$4)</f>
        <v>0</v>
      </c>
      <c r="V148" s="185">
        <f t="shared" si="175"/>
        <v>0</v>
      </c>
      <c r="W148" s="185">
        <f t="shared" si="176"/>
        <v>0</v>
      </c>
      <c r="X148" s="185">
        <f t="shared" si="177"/>
        <v>0</v>
      </c>
      <c r="Y148" s="185">
        <f t="shared" si="178"/>
        <v>0</v>
      </c>
      <c r="Z148" s="185">
        <f t="shared" si="179"/>
        <v>0</v>
      </c>
      <c r="AA148" s="197">
        <f t="shared" si="180"/>
        <v>0</v>
      </c>
      <c r="AB148" s="185">
        <f t="shared" si="181"/>
        <v>0</v>
      </c>
      <c r="AC148" s="185">
        <f t="shared" si="182"/>
        <v>0</v>
      </c>
      <c r="AD148" s="185">
        <f t="shared" si="183"/>
        <v>0</v>
      </c>
      <c r="AE148" s="185">
        <f t="shared" si="184"/>
        <v>0</v>
      </c>
      <c r="AF148" s="185">
        <f t="shared" si="185"/>
        <v>0</v>
      </c>
      <c r="AG148" s="185">
        <f t="shared" si="186"/>
        <v>0</v>
      </c>
      <c r="AH148" s="185">
        <f t="shared" si="187"/>
        <v>0</v>
      </c>
      <c r="AI148" s="125">
        <f>BEL!AI148</f>
        <v>0</v>
      </c>
      <c r="AJ148" s="125">
        <f>BEL!AJ148</f>
        <v>0</v>
      </c>
      <c r="AK148" s="125">
        <f>BEL!AK148</f>
        <v>0</v>
      </c>
      <c r="AL148" s="125">
        <f>BEL!AL148</f>
        <v>0</v>
      </c>
      <c r="AM148" s="125">
        <f>BEL!AM148</f>
        <v>0</v>
      </c>
      <c r="AN148" s="125">
        <f>BEL!AN148</f>
        <v>0</v>
      </c>
      <c r="AO148" s="198">
        <f t="shared" si="188"/>
        <v>0</v>
      </c>
      <c r="AP148" s="125">
        <f>BEL!AP148</f>
        <v>0</v>
      </c>
      <c r="AQ148" s="125">
        <f>BEL!AQ148</f>
        <v>0</v>
      </c>
      <c r="AR148" s="125">
        <f>BEL!AR148</f>
        <v>0</v>
      </c>
      <c r="AS148" s="125">
        <f>BEL!AS148</f>
        <v>0</v>
      </c>
      <c r="AT148" s="125">
        <f>BEL!AT148</f>
        <v>0</v>
      </c>
      <c r="AU148" s="127">
        <f>BEL!AU148</f>
        <v>0</v>
      </c>
      <c r="AV148" s="127">
        <f>BEL!AV148</f>
        <v>0</v>
      </c>
      <c r="AW148" s="127">
        <f>BEL!AW148</f>
        <v>0</v>
      </c>
      <c r="AX148" s="127">
        <f t="shared" si="189"/>
        <v>0</v>
      </c>
      <c r="AY148" s="127">
        <f t="shared" si="190"/>
        <v>0</v>
      </c>
      <c r="AZ148" s="127">
        <f t="shared" si="191"/>
        <v>0</v>
      </c>
      <c r="BA148" s="127">
        <f t="shared" si="192"/>
        <v>0</v>
      </c>
      <c r="BB148" s="127">
        <f t="shared" si="193"/>
        <v>0</v>
      </c>
      <c r="BC148" s="127">
        <f t="shared" si="194"/>
        <v>0</v>
      </c>
      <c r="BD148" s="127">
        <f t="shared" si="195"/>
        <v>0</v>
      </c>
      <c r="BE148" s="127">
        <f t="shared" si="196"/>
        <v>0</v>
      </c>
      <c r="BF148" s="127">
        <f t="shared" si="197"/>
        <v>0</v>
      </c>
      <c r="BG148" s="127">
        <f t="shared" si="198"/>
        <v>0</v>
      </c>
      <c r="BH148" s="127">
        <f t="shared" si="199"/>
        <v>0</v>
      </c>
      <c r="BI148" s="127">
        <f t="shared" si="200"/>
        <v>0</v>
      </c>
      <c r="BJ148" s="189">
        <f t="shared" si="201"/>
        <v>0</v>
      </c>
      <c r="BK148" s="189">
        <f t="shared" si="202"/>
        <v>0</v>
      </c>
      <c r="BL148" s="192">
        <f t="shared" si="203"/>
        <v>0</v>
      </c>
      <c r="BM148" s="192">
        <f t="shared" si="204"/>
        <v>0</v>
      </c>
      <c r="BN148" s="192">
        <f t="shared" si="205"/>
        <v>0</v>
      </c>
      <c r="BO148" s="192">
        <f t="shared" si="206"/>
        <v>0</v>
      </c>
      <c r="BP148" s="192">
        <f t="shared" si="207"/>
        <v>0</v>
      </c>
      <c r="BQ148" s="193">
        <f t="shared" si="208"/>
        <v>0</v>
      </c>
      <c r="BR148" s="193">
        <f t="shared" si="209"/>
        <v>0</v>
      </c>
      <c r="BS148" s="188">
        <f t="shared" si="210"/>
        <v>0</v>
      </c>
      <c r="BT148" s="188">
        <f t="shared" si="211"/>
        <v>0</v>
      </c>
      <c r="BU148" s="188">
        <f t="shared" si="212"/>
        <v>0</v>
      </c>
      <c r="BV148" s="188">
        <f t="shared" si="213"/>
        <v>0</v>
      </c>
      <c r="BW148" s="188">
        <f t="shared" si="214"/>
        <v>0</v>
      </c>
      <c r="BX148" s="188">
        <f t="shared" si="215"/>
        <v>0</v>
      </c>
      <c r="BY148" s="188">
        <f t="shared" si="216"/>
        <v>0</v>
      </c>
      <c r="BZ148" s="188">
        <f t="shared" si="217"/>
        <v>0</v>
      </c>
      <c r="CA148" s="188">
        <f t="shared" si="218"/>
        <v>0</v>
      </c>
      <c r="CB148" s="149">
        <f t="shared" si="219"/>
        <v>0</v>
      </c>
      <c r="CC148" s="149">
        <f>CB148-BEL!CB148</f>
        <v>0</v>
      </c>
      <c r="CD148" s="189">
        <f>IF(AND(C148=0,C149=0),0,CB148/W148) - BEL!CC148</f>
        <v>0</v>
      </c>
      <c r="CF148" s="195">
        <f t="shared" si="220"/>
        <v>0</v>
      </c>
      <c r="CG148" s="127">
        <f t="shared" si="221"/>
        <v>0</v>
      </c>
      <c r="CH148" s="128">
        <f>'DATA INPUT - DETAIL'!AH139</f>
        <v>0</v>
      </c>
      <c r="CI148" s="125">
        <f t="shared" si="222"/>
        <v>0</v>
      </c>
      <c r="CJ148" s="199">
        <f t="shared" si="223"/>
        <v>0</v>
      </c>
      <c r="CL148" s="189">
        <f t="shared" si="224"/>
        <v>0</v>
      </c>
      <c r="CM148" s="149">
        <f t="shared" si="225"/>
        <v>0</v>
      </c>
      <c r="CN148" s="128">
        <f>'DATA INPUT - DETAIL'!AH139</f>
        <v>0</v>
      </c>
      <c r="CO148" s="149">
        <f t="shared" si="226"/>
        <v>0</v>
      </c>
      <c r="CP148" s="149">
        <f t="shared" si="227"/>
        <v>0</v>
      </c>
      <c r="CR148" s="126">
        <f t="shared" si="231"/>
        <v>136</v>
      </c>
      <c r="CS148" s="189">
        <f t="shared" si="232"/>
        <v>0</v>
      </c>
      <c r="CT148" s="200">
        <f>CS148/(BEL!CE148+BEL!CA148-BEL!BU148+'RA CSM'!CF148)</f>
        <v>0</v>
      </c>
      <c r="CU148" s="149">
        <f>$CT148*BEL!CH148</f>
        <v>0</v>
      </c>
      <c r="CV148" s="149">
        <f>$CT148*BEL!CI148</f>
        <v>0</v>
      </c>
      <c r="CW148" s="149">
        <f>$CT148*BEL!CJ148</f>
        <v>0</v>
      </c>
      <c r="CX148" s="149">
        <f>$CT148*BEL!CK148</f>
        <v>0</v>
      </c>
      <c r="CY148" s="149">
        <f t="shared" si="229"/>
        <v>0</v>
      </c>
      <c r="CZ148" s="149">
        <f>$CT148*(BEL!CL148+'RA CSM'!CG148)</f>
        <v>0</v>
      </c>
      <c r="DA148" s="149">
        <f t="shared" si="230"/>
        <v>0</v>
      </c>
    </row>
    <row r="149" spans="2:105" x14ac:dyDescent="0.2">
      <c r="B149" s="130">
        <f>BEL!B149</f>
        <v>0</v>
      </c>
      <c r="C149" s="130">
        <f>BEL!C149</f>
        <v>0</v>
      </c>
      <c r="D149" s="190">
        <f>BEL!D149</f>
        <v>0</v>
      </c>
      <c r="E149" s="190">
        <f>BEL!E149</f>
        <v>0</v>
      </c>
      <c r="F149" s="190">
        <f>BEL!F149</f>
        <v>0</v>
      </c>
      <c r="G149" s="190">
        <f>BEL!G149*(1+$V$5)</f>
        <v>0</v>
      </c>
      <c r="H149" s="190">
        <f>BEL!H149*(1+$V$5)</f>
        <v>0</v>
      </c>
      <c r="I149" s="179">
        <f t="shared" si="167"/>
        <v>0</v>
      </c>
      <c r="J149" s="130">
        <f>BEL!J149</f>
        <v>0</v>
      </c>
      <c r="K149" s="130">
        <f>BEL!K149</f>
        <v>0</v>
      </c>
      <c r="L149" s="130">
        <f>BEL!L149</f>
        <v>0</v>
      </c>
      <c r="M149" s="185">
        <f t="shared" si="228"/>
        <v>0</v>
      </c>
      <c r="N149" s="185">
        <f t="shared" si="168"/>
        <v>0</v>
      </c>
      <c r="O149" s="185">
        <f t="shared" si="169"/>
        <v>0</v>
      </c>
      <c r="P149" s="185">
        <f t="shared" si="170"/>
        <v>0</v>
      </c>
      <c r="Q149" s="185">
        <f t="shared" si="171"/>
        <v>0</v>
      </c>
      <c r="R149" s="185">
        <f t="shared" si="172"/>
        <v>0</v>
      </c>
      <c r="S149" s="185">
        <f t="shared" si="173"/>
        <v>0</v>
      </c>
      <c r="T149" s="185">
        <f t="shared" si="174"/>
        <v>0</v>
      </c>
      <c r="U149" s="196">
        <f>(C149&gt;0)*(C149&lt;$E$5)*VLOOKUP(MPP,ASUMSI!$BN$77:$CR$108,B149+1)*(1+$V$4)</f>
        <v>0</v>
      </c>
      <c r="V149" s="185">
        <f t="shared" si="175"/>
        <v>0</v>
      </c>
      <c r="W149" s="185">
        <f t="shared" si="176"/>
        <v>0</v>
      </c>
      <c r="X149" s="185">
        <f t="shared" si="177"/>
        <v>0</v>
      </c>
      <c r="Y149" s="185">
        <f t="shared" si="178"/>
        <v>0</v>
      </c>
      <c r="Z149" s="185">
        <f t="shared" si="179"/>
        <v>0</v>
      </c>
      <c r="AA149" s="197">
        <f t="shared" si="180"/>
        <v>0</v>
      </c>
      <c r="AB149" s="185">
        <f t="shared" si="181"/>
        <v>0</v>
      </c>
      <c r="AC149" s="185">
        <f t="shared" si="182"/>
        <v>0</v>
      </c>
      <c r="AD149" s="185">
        <f t="shared" si="183"/>
        <v>0</v>
      </c>
      <c r="AE149" s="185">
        <f t="shared" si="184"/>
        <v>0</v>
      </c>
      <c r="AF149" s="185">
        <f t="shared" si="185"/>
        <v>0</v>
      </c>
      <c r="AG149" s="185">
        <f t="shared" si="186"/>
        <v>0</v>
      </c>
      <c r="AH149" s="185">
        <f t="shared" si="187"/>
        <v>0</v>
      </c>
      <c r="AI149" s="125">
        <f>BEL!AI149</f>
        <v>0</v>
      </c>
      <c r="AJ149" s="125">
        <f>BEL!AJ149</f>
        <v>0</v>
      </c>
      <c r="AK149" s="125">
        <f>BEL!AK149</f>
        <v>0</v>
      </c>
      <c r="AL149" s="125">
        <f>BEL!AL149</f>
        <v>0</v>
      </c>
      <c r="AM149" s="125">
        <f>BEL!AM149</f>
        <v>0</v>
      </c>
      <c r="AN149" s="125">
        <f>BEL!AN149</f>
        <v>0</v>
      </c>
      <c r="AO149" s="198">
        <f t="shared" si="188"/>
        <v>0</v>
      </c>
      <c r="AP149" s="125">
        <f>BEL!AP149</f>
        <v>0</v>
      </c>
      <c r="AQ149" s="125">
        <f>BEL!AQ149</f>
        <v>0</v>
      </c>
      <c r="AR149" s="125">
        <f>BEL!AR149</f>
        <v>0</v>
      </c>
      <c r="AS149" s="125">
        <f>BEL!AS149</f>
        <v>0</v>
      </c>
      <c r="AT149" s="125">
        <f>BEL!AT149</f>
        <v>0</v>
      </c>
      <c r="AU149" s="127">
        <f>BEL!AU149</f>
        <v>0</v>
      </c>
      <c r="AV149" s="127">
        <f>BEL!AV149</f>
        <v>0</v>
      </c>
      <c r="AW149" s="127">
        <f>BEL!AW149</f>
        <v>0</v>
      </c>
      <c r="AX149" s="127">
        <f t="shared" si="189"/>
        <v>0</v>
      </c>
      <c r="AY149" s="127">
        <f t="shared" si="190"/>
        <v>0</v>
      </c>
      <c r="AZ149" s="127">
        <f t="shared" si="191"/>
        <v>0</v>
      </c>
      <c r="BA149" s="127">
        <f t="shared" si="192"/>
        <v>0</v>
      </c>
      <c r="BB149" s="127">
        <f t="shared" si="193"/>
        <v>0</v>
      </c>
      <c r="BC149" s="127">
        <f t="shared" si="194"/>
        <v>0</v>
      </c>
      <c r="BD149" s="127">
        <f t="shared" si="195"/>
        <v>0</v>
      </c>
      <c r="BE149" s="127">
        <f t="shared" si="196"/>
        <v>0</v>
      </c>
      <c r="BF149" s="127">
        <f t="shared" si="197"/>
        <v>0</v>
      </c>
      <c r="BG149" s="127">
        <f t="shared" si="198"/>
        <v>0</v>
      </c>
      <c r="BH149" s="127">
        <f t="shared" si="199"/>
        <v>0</v>
      </c>
      <c r="BI149" s="127">
        <f t="shared" si="200"/>
        <v>0</v>
      </c>
      <c r="BJ149" s="189">
        <f t="shared" si="201"/>
        <v>0</v>
      </c>
      <c r="BK149" s="189">
        <f t="shared" si="202"/>
        <v>0</v>
      </c>
      <c r="BL149" s="192">
        <f t="shared" si="203"/>
        <v>0</v>
      </c>
      <c r="BM149" s="192">
        <f t="shared" si="204"/>
        <v>0</v>
      </c>
      <c r="BN149" s="192">
        <f t="shared" si="205"/>
        <v>0</v>
      </c>
      <c r="BO149" s="192">
        <f t="shared" si="206"/>
        <v>0</v>
      </c>
      <c r="BP149" s="192">
        <f t="shared" si="207"/>
        <v>0</v>
      </c>
      <c r="BQ149" s="193">
        <f t="shared" si="208"/>
        <v>0</v>
      </c>
      <c r="BR149" s="193">
        <f t="shared" si="209"/>
        <v>0</v>
      </c>
      <c r="BS149" s="188">
        <f t="shared" si="210"/>
        <v>0</v>
      </c>
      <c r="BT149" s="188">
        <f t="shared" si="211"/>
        <v>0</v>
      </c>
      <c r="BU149" s="188">
        <f t="shared" si="212"/>
        <v>0</v>
      </c>
      <c r="BV149" s="188">
        <f t="shared" si="213"/>
        <v>0</v>
      </c>
      <c r="BW149" s="188">
        <f t="shared" si="214"/>
        <v>0</v>
      </c>
      <c r="BX149" s="188">
        <f t="shared" si="215"/>
        <v>0</v>
      </c>
      <c r="BY149" s="188">
        <f t="shared" si="216"/>
        <v>0</v>
      </c>
      <c r="BZ149" s="188">
        <f t="shared" si="217"/>
        <v>0</v>
      </c>
      <c r="CA149" s="188">
        <f t="shared" si="218"/>
        <v>0</v>
      </c>
      <c r="CB149" s="149">
        <f t="shared" si="219"/>
        <v>0</v>
      </c>
      <c r="CC149" s="149">
        <f>CB149-BEL!CB149</f>
        <v>0</v>
      </c>
      <c r="CD149" s="189">
        <f>IF(AND(C149=0,C150=0),0,CB149/W149) - BEL!CC149</f>
        <v>0</v>
      </c>
      <c r="CF149" s="195">
        <f t="shared" si="220"/>
        <v>0</v>
      </c>
      <c r="CG149" s="127">
        <f t="shared" si="221"/>
        <v>0</v>
      </c>
      <c r="CH149" s="128">
        <f>'DATA INPUT - DETAIL'!AH140</f>
        <v>0</v>
      </c>
      <c r="CI149" s="125">
        <f t="shared" si="222"/>
        <v>0</v>
      </c>
      <c r="CJ149" s="199">
        <f t="shared" si="223"/>
        <v>0</v>
      </c>
      <c r="CL149" s="189">
        <f t="shared" si="224"/>
        <v>0</v>
      </c>
      <c r="CM149" s="149">
        <f t="shared" si="225"/>
        <v>0</v>
      </c>
      <c r="CN149" s="128">
        <f>'DATA INPUT - DETAIL'!AH140</f>
        <v>0</v>
      </c>
      <c r="CO149" s="149">
        <f t="shared" si="226"/>
        <v>0</v>
      </c>
      <c r="CP149" s="149">
        <f t="shared" si="227"/>
        <v>0</v>
      </c>
      <c r="CR149" s="126">
        <f t="shared" si="231"/>
        <v>137</v>
      </c>
      <c r="CS149" s="189">
        <f t="shared" si="232"/>
        <v>0</v>
      </c>
      <c r="CT149" s="200">
        <f>CS149/(BEL!CE149+BEL!CA149-BEL!BU149+'RA CSM'!CF149)</f>
        <v>0</v>
      </c>
      <c r="CU149" s="149">
        <f>$CT149*BEL!CH149</f>
        <v>0</v>
      </c>
      <c r="CV149" s="149">
        <f>$CT149*BEL!CI149</f>
        <v>0</v>
      </c>
      <c r="CW149" s="149">
        <f>$CT149*BEL!CJ149</f>
        <v>0</v>
      </c>
      <c r="CX149" s="149">
        <f>$CT149*BEL!CK149</f>
        <v>0</v>
      </c>
      <c r="CY149" s="149">
        <f t="shared" si="229"/>
        <v>0</v>
      </c>
      <c r="CZ149" s="149">
        <f>$CT149*(BEL!CL149+'RA CSM'!CG149)</f>
        <v>0</v>
      </c>
      <c r="DA149" s="149">
        <f t="shared" si="230"/>
        <v>0</v>
      </c>
    </row>
    <row r="150" spans="2:105" x14ac:dyDescent="0.2">
      <c r="B150" s="130">
        <f>BEL!B150</f>
        <v>0</v>
      </c>
      <c r="C150" s="130">
        <f>BEL!C150</f>
        <v>0</v>
      </c>
      <c r="D150" s="190">
        <f>BEL!D150</f>
        <v>0</v>
      </c>
      <c r="E150" s="190">
        <f>BEL!E150</f>
        <v>0</v>
      </c>
      <c r="F150" s="190">
        <f>BEL!F150</f>
        <v>0</v>
      </c>
      <c r="G150" s="190">
        <f>BEL!G150*(1+$V$5)</f>
        <v>0</v>
      </c>
      <c r="H150" s="190">
        <f>BEL!H150*(1+$V$5)</f>
        <v>0</v>
      </c>
      <c r="I150" s="179">
        <f t="shared" si="167"/>
        <v>0</v>
      </c>
      <c r="J150" s="130">
        <f>BEL!J150</f>
        <v>0</v>
      </c>
      <c r="K150" s="130">
        <f>BEL!K150</f>
        <v>0</v>
      </c>
      <c r="L150" s="130">
        <f>BEL!L150</f>
        <v>0</v>
      </c>
      <c r="M150" s="185">
        <f t="shared" si="228"/>
        <v>0</v>
      </c>
      <c r="N150" s="185">
        <f t="shared" si="168"/>
        <v>0</v>
      </c>
      <c r="O150" s="185">
        <f t="shared" si="169"/>
        <v>0</v>
      </c>
      <c r="P150" s="185">
        <f t="shared" si="170"/>
        <v>0</v>
      </c>
      <c r="Q150" s="185">
        <f t="shared" si="171"/>
        <v>0</v>
      </c>
      <c r="R150" s="185">
        <f t="shared" si="172"/>
        <v>0</v>
      </c>
      <c r="S150" s="185">
        <f t="shared" si="173"/>
        <v>0</v>
      </c>
      <c r="T150" s="185">
        <f t="shared" si="174"/>
        <v>0</v>
      </c>
      <c r="U150" s="196">
        <f>(C150&gt;0)*(C150&lt;$E$5)*VLOOKUP(MPP,ASUMSI!$BN$77:$CR$108,B150+1)*(1+$V$4)</f>
        <v>0</v>
      </c>
      <c r="V150" s="185">
        <f t="shared" si="175"/>
        <v>0</v>
      </c>
      <c r="W150" s="185">
        <f t="shared" si="176"/>
        <v>0</v>
      </c>
      <c r="X150" s="185">
        <f t="shared" si="177"/>
        <v>0</v>
      </c>
      <c r="Y150" s="185">
        <f t="shared" si="178"/>
        <v>0</v>
      </c>
      <c r="Z150" s="185">
        <f t="shared" si="179"/>
        <v>0</v>
      </c>
      <c r="AA150" s="197">
        <f t="shared" si="180"/>
        <v>0</v>
      </c>
      <c r="AB150" s="185">
        <f t="shared" si="181"/>
        <v>0</v>
      </c>
      <c r="AC150" s="185">
        <f t="shared" si="182"/>
        <v>0</v>
      </c>
      <c r="AD150" s="185">
        <f t="shared" si="183"/>
        <v>0</v>
      </c>
      <c r="AE150" s="185">
        <f t="shared" si="184"/>
        <v>0</v>
      </c>
      <c r="AF150" s="185">
        <f t="shared" si="185"/>
        <v>0</v>
      </c>
      <c r="AG150" s="185">
        <f t="shared" si="186"/>
        <v>0</v>
      </c>
      <c r="AH150" s="185">
        <f t="shared" si="187"/>
        <v>0</v>
      </c>
      <c r="AI150" s="125">
        <f>BEL!AI150</f>
        <v>0</v>
      </c>
      <c r="AJ150" s="125">
        <f>BEL!AJ150</f>
        <v>0</v>
      </c>
      <c r="AK150" s="125">
        <f>BEL!AK150</f>
        <v>0</v>
      </c>
      <c r="AL150" s="125">
        <f>BEL!AL150</f>
        <v>0</v>
      </c>
      <c r="AM150" s="125">
        <f>BEL!AM150</f>
        <v>0</v>
      </c>
      <c r="AN150" s="125">
        <f>BEL!AN150</f>
        <v>0</v>
      </c>
      <c r="AO150" s="198">
        <f t="shared" si="188"/>
        <v>0</v>
      </c>
      <c r="AP150" s="125">
        <f>BEL!AP150</f>
        <v>0</v>
      </c>
      <c r="AQ150" s="125">
        <f>BEL!AQ150</f>
        <v>0</v>
      </c>
      <c r="AR150" s="125">
        <f>BEL!AR150</f>
        <v>0</v>
      </c>
      <c r="AS150" s="125">
        <f>BEL!AS150</f>
        <v>0</v>
      </c>
      <c r="AT150" s="125">
        <f>BEL!AT150</f>
        <v>0</v>
      </c>
      <c r="AU150" s="127">
        <f>BEL!AU150</f>
        <v>0</v>
      </c>
      <c r="AV150" s="127">
        <f>BEL!AV150</f>
        <v>0</v>
      </c>
      <c r="AW150" s="127">
        <f>BEL!AW150</f>
        <v>0</v>
      </c>
      <c r="AX150" s="127">
        <f t="shared" si="189"/>
        <v>0</v>
      </c>
      <c r="AY150" s="127">
        <f t="shared" si="190"/>
        <v>0</v>
      </c>
      <c r="AZ150" s="127">
        <f t="shared" si="191"/>
        <v>0</v>
      </c>
      <c r="BA150" s="127">
        <f t="shared" si="192"/>
        <v>0</v>
      </c>
      <c r="BB150" s="127">
        <f t="shared" si="193"/>
        <v>0</v>
      </c>
      <c r="BC150" s="127">
        <f t="shared" si="194"/>
        <v>0</v>
      </c>
      <c r="BD150" s="127">
        <f t="shared" si="195"/>
        <v>0</v>
      </c>
      <c r="BE150" s="127">
        <f t="shared" si="196"/>
        <v>0</v>
      </c>
      <c r="BF150" s="127">
        <f t="shared" si="197"/>
        <v>0</v>
      </c>
      <c r="BG150" s="127">
        <f t="shared" si="198"/>
        <v>0</v>
      </c>
      <c r="BH150" s="127">
        <f t="shared" si="199"/>
        <v>0</v>
      </c>
      <c r="BI150" s="127">
        <f t="shared" si="200"/>
        <v>0</v>
      </c>
      <c r="BJ150" s="189">
        <f t="shared" si="201"/>
        <v>0</v>
      </c>
      <c r="BK150" s="189">
        <f t="shared" si="202"/>
        <v>0</v>
      </c>
      <c r="BL150" s="192">
        <f t="shared" si="203"/>
        <v>0</v>
      </c>
      <c r="BM150" s="192">
        <f t="shared" si="204"/>
        <v>0</v>
      </c>
      <c r="BN150" s="192">
        <f t="shared" si="205"/>
        <v>0</v>
      </c>
      <c r="BO150" s="192">
        <f t="shared" si="206"/>
        <v>0</v>
      </c>
      <c r="BP150" s="192">
        <f t="shared" si="207"/>
        <v>0</v>
      </c>
      <c r="BQ150" s="193">
        <f t="shared" si="208"/>
        <v>0</v>
      </c>
      <c r="BR150" s="193">
        <f t="shared" si="209"/>
        <v>0</v>
      </c>
      <c r="BS150" s="188">
        <f t="shared" si="210"/>
        <v>0</v>
      </c>
      <c r="BT150" s="188">
        <f t="shared" si="211"/>
        <v>0</v>
      </c>
      <c r="BU150" s="188">
        <f t="shared" si="212"/>
        <v>0</v>
      </c>
      <c r="BV150" s="188">
        <f t="shared" si="213"/>
        <v>0</v>
      </c>
      <c r="BW150" s="188">
        <f t="shared" si="214"/>
        <v>0</v>
      </c>
      <c r="BX150" s="188">
        <f t="shared" si="215"/>
        <v>0</v>
      </c>
      <c r="BY150" s="188">
        <f t="shared" si="216"/>
        <v>0</v>
      </c>
      <c r="BZ150" s="188">
        <f t="shared" si="217"/>
        <v>0</v>
      </c>
      <c r="CA150" s="188">
        <f t="shared" si="218"/>
        <v>0</v>
      </c>
      <c r="CB150" s="149">
        <f t="shared" si="219"/>
        <v>0</v>
      </c>
      <c r="CC150" s="149">
        <f>CB150-BEL!CB150</f>
        <v>0</v>
      </c>
      <c r="CD150" s="189">
        <f>IF(AND(C150=0,C151=0),0,CB150/W150) - BEL!CC150</f>
        <v>0</v>
      </c>
      <c r="CF150" s="195">
        <f t="shared" si="220"/>
        <v>0</v>
      </c>
      <c r="CG150" s="127">
        <f t="shared" si="221"/>
        <v>0</v>
      </c>
      <c r="CH150" s="128">
        <f>'DATA INPUT - DETAIL'!AH141</f>
        <v>0</v>
      </c>
      <c r="CI150" s="125">
        <f t="shared" si="222"/>
        <v>0</v>
      </c>
      <c r="CJ150" s="199">
        <f t="shared" si="223"/>
        <v>0</v>
      </c>
      <c r="CL150" s="189">
        <f t="shared" si="224"/>
        <v>0</v>
      </c>
      <c r="CM150" s="149">
        <f t="shared" si="225"/>
        <v>0</v>
      </c>
      <c r="CN150" s="128">
        <f>'DATA INPUT - DETAIL'!AH141</f>
        <v>0</v>
      </c>
      <c r="CO150" s="149">
        <f t="shared" si="226"/>
        <v>0</v>
      </c>
      <c r="CP150" s="149">
        <f t="shared" si="227"/>
        <v>0</v>
      </c>
      <c r="CR150" s="126">
        <f t="shared" si="231"/>
        <v>138</v>
      </c>
      <c r="CS150" s="189">
        <f t="shared" si="232"/>
        <v>0</v>
      </c>
      <c r="CT150" s="200">
        <f>CS150/(BEL!CE150+BEL!CA150-BEL!BU150+'RA CSM'!CF150)</f>
        <v>0</v>
      </c>
      <c r="CU150" s="149">
        <f>$CT150*BEL!CH150</f>
        <v>0</v>
      </c>
      <c r="CV150" s="149">
        <f>$CT150*BEL!CI150</f>
        <v>0</v>
      </c>
      <c r="CW150" s="149">
        <f>$CT150*BEL!CJ150</f>
        <v>0</v>
      </c>
      <c r="CX150" s="149">
        <f>$CT150*BEL!CK150</f>
        <v>0</v>
      </c>
      <c r="CY150" s="149">
        <f t="shared" si="229"/>
        <v>0</v>
      </c>
      <c r="CZ150" s="149">
        <f>$CT150*(BEL!CL150+'RA CSM'!CG150)</f>
        <v>0</v>
      </c>
      <c r="DA150" s="149">
        <f t="shared" si="230"/>
        <v>0</v>
      </c>
    </row>
    <row r="151" spans="2:105" x14ac:dyDescent="0.2">
      <c r="B151" s="130">
        <f>BEL!B151</f>
        <v>0</v>
      </c>
      <c r="C151" s="130">
        <f>BEL!C151</f>
        <v>0</v>
      </c>
      <c r="D151" s="190">
        <f>BEL!D151</f>
        <v>0</v>
      </c>
      <c r="E151" s="190">
        <f>BEL!E151</f>
        <v>0</v>
      </c>
      <c r="F151" s="190">
        <f>BEL!F151</f>
        <v>0</v>
      </c>
      <c r="G151" s="190">
        <f>BEL!G151*(1+$V$5)</f>
        <v>0</v>
      </c>
      <c r="H151" s="190">
        <f>BEL!H151*(1+$V$5)</f>
        <v>0</v>
      </c>
      <c r="I151" s="179">
        <f t="shared" si="167"/>
        <v>0</v>
      </c>
      <c r="J151" s="130">
        <f>BEL!J151</f>
        <v>0</v>
      </c>
      <c r="K151" s="130">
        <f>BEL!K151</f>
        <v>0</v>
      </c>
      <c r="L151" s="130">
        <f>BEL!L151</f>
        <v>0</v>
      </c>
      <c r="M151" s="185">
        <f t="shared" si="228"/>
        <v>0</v>
      </c>
      <c r="N151" s="185">
        <f t="shared" si="168"/>
        <v>0</v>
      </c>
      <c r="O151" s="185">
        <f t="shared" si="169"/>
        <v>0</v>
      </c>
      <c r="P151" s="185">
        <f t="shared" si="170"/>
        <v>0</v>
      </c>
      <c r="Q151" s="185">
        <f t="shared" si="171"/>
        <v>0</v>
      </c>
      <c r="R151" s="185">
        <f t="shared" si="172"/>
        <v>0</v>
      </c>
      <c r="S151" s="185">
        <f t="shared" si="173"/>
        <v>0</v>
      </c>
      <c r="T151" s="185">
        <f t="shared" si="174"/>
        <v>0</v>
      </c>
      <c r="U151" s="196">
        <f>(C151&gt;0)*(C151&lt;$E$5)*VLOOKUP(MPP,ASUMSI!$BN$77:$CR$108,B151+1)*(1+$V$4)</f>
        <v>0</v>
      </c>
      <c r="V151" s="185">
        <f t="shared" si="175"/>
        <v>0</v>
      </c>
      <c r="W151" s="185">
        <f t="shared" si="176"/>
        <v>0</v>
      </c>
      <c r="X151" s="185">
        <f t="shared" si="177"/>
        <v>0</v>
      </c>
      <c r="Y151" s="185">
        <f t="shared" si="178"/>
        <v>0</v>
      </c>
      <c r="Z151" s="185">
        <f t="shared" si="179"/>
        <v>0</v>
      </c>
      <c r="AA151" s="197">
        <f t="shared" si="180"/>
        <v>0</v>
      </c>
      <c r="AB151" s="185">
        <f t="shared" si="181"/>
        <v>0</v>
      </c>
      <c r="AC151" s="185">
        <f t="shared" si="182"/>
        <v>0</v>
      </c>
      <c r="AD151" s="185">
        <f t="shared" si="183"/>
        <v>0</v>
      </c>
      <c r="AE151" s="185">
        <f t="shared" si="184"/>
        <v>0</v>
      </c>
      <c r="AF151" s="185">
        <f t="shared" si="185"/>
        <v>0</v>
      </c>
      <c r="AG151" s="185">
        <f t="shared" si="186"/>
        <v>0</v>
      </c>
      <c r="AH151" s="185">
        <f t="shared" si="187"/>
        <v>0</v>
      </c>
      <c r="AI151" s="125">
        <f>BEL!AI151</f>
        <v>0</v>
      </c>
      <c r="AJ151" s="125">
        <f>BEL!AJ151</f>
        <v>0</v>
      </c>
      <c r="AK151" s="125">
        <f>BEL!AK151</f>
        <v>0</v>
      </c>
      <c r="AL151" s="125">
        <f>BEL!AL151</f>
        <v>0</v>
      </c>
      <c r="AM151" s="125">
        <f>BEL!AM151</f>
        <v>0</v>
      </c>
      <c r="AN151" s="125">
        <f>BEL!AN151</f>
        <v>0</v>
      </c>
      <c r="AO151" s="198">
        <f t="shared" si="188"/>
        <v>0</v>
      </c>
      <c r="AP151" s="125">
        <f>BEL!AP151</f>
        <v>0</v>
      </c>
      <c r="AQ151" s="125">
        <f>BEL!AQ151</f>
        <v>0</v>
      </c>
      <c r="AR151" s="125">
        <f>BEL!AR151</f>
        <v>0</v>
      </c>
      <c r="AS151" s="125">
        <f>BEL!AS151</f>
        <v>0</v>
      </c>
      <c r="AT151" s="125">
        <f>BEL!AT151</f>
        <v>0</v>
      </c>
      <c r="AU151" s="127">
        <f>BEL!AU151</f>
        <v>0</v>
      </c>
      <c r="AV151" s="127">
        <f>BEL!AV151</f>
        <v>0</v>
      </c>
      <c r="AW151" s="127">
        <f>BEL!AW151</f>
        <v>0</v>
      </c>
      <c r="AX151" s="127">
        <f t="shared" si="189"/>
        <v>0</v>
      </c>
      <c r="AY151" s="127">
        <f t="shared" si="190"/>
        <v>0</v>
      </c>
      <c r="AZ151" s="127">
        <f t="shared" si="191"/>
        <v>0</v>
      </c>
      <c r="BA151" s="127">
        <f t="shared" si="192"/>
        <v>0</v>
      </c>
      <c r="BB151" s="127">
        <f t="shared" si="193"/>
        <v>0</v>
      </c>
      <c r="BC151" s="127">
        <f t="shared" si="194"/>
        <v>0</v>
      </c>
      <c r="BD151" s="127">
        <f t="shared" si="195"/>
        <v>0</v>
      </c>
      <c r="BE151" s="127">
        <f t="shared" si="196"/>
        <v>0</v>
      </c>
      <c r="BF151" s="127">
        <f t="shared" si="197"/>
        <v>0</v>
      </c>
      <c r="BG151" s="127">
        <f t="shared" si="198"/>
        <v>0</v>
      </c>
      <c r="BH151" s="127">
        <f t="shared" si="199"/>
        <v>0</v>
      </c>
      <c r="BI151" s="127">
        <f t="shared" si="200"/>
        <v>0</v>
      </c>
      <c r="BJ151" s="189">
        <f t="shared" si="201"/>
        <v>0</v>
      </c>
      <c r="BK151" s="189">
        <f t="shared" si="202"/>
        <v>0</v>
      </c>
      <c r="BL151" s="192">
        <f t="shared" si="203"/>
        <v>0</v>
      </c>
      <c r="BM151" s="192">
        <f t="shared" si="204"/>
        <v>0</v>
      </c>
      <c r="BN151" s="192">
        <f t="shared" si="205"/>
        <v>0</v>
      </c>
      <c r="BO151" s="192">
        <f t="shared" si="206"/>
        <v>0</v>
      </c>
      <c r="BP151" s="192">
        <f t="shared" si="207"/>
        <v>0</v>
      </c>
      <c r="BQ151" s="193">
        <f t="shared" si="208"/>
        <v>0</v>
      </c>
      <c r="BR151" s="193">
        <f t="shared" si="209"/>
        <v>0</v>
      </c>
      <c r="BS151" s="188">
        <f t="shared" si="210"/>
        <v>0</v>
      </c>
      <c r="BT151" s="188">
        <f t="shared" si="211"/>
        <v>0</v>
      </c>
      <c r="BU151" s="188">
        <f t="shared" si="212"/>
        <v>0</v>
      </c>
      <c r="BV151" s="188">
        <f t="shared" si="213"/>
        <v>0</v>
      </c>
      <c r="BW151" s="188">
        <f t="shared" si="214"/>
        <v>0</v>
      </c>
      <c r="BX151" s="188">
        <f t="shared" si="215"/>
        <v>0</v>
      </c>
      <c r="BY151" s="188">
        <f t="shared" si="216"/>
        <v>0</v>
      </c>
      <c r="BZ151" s="188">
        <f t="shared" si="217"/>
        <v>0</v>
      </c>
      <c r="CA151" s="188">
        <f t="shared" si="218"/>
        <v>0</v>
      </c>
      <c r="CB151" s="149">
        <f t="shared" si="219"/>
        <v>0</v>
      </c>
      <c r="CC151" s="149">
        <f>CB151-BEL!CB151</f>
        <v>0</v>
      </c>
      <c r="CD151" s="189">
        <f>IF(AND(C151=0,C152=0),0,CB151/W151) - BEL!CC151</f>
        <v>0</v>
      </c>
      <c r="CF151" s="195">
        <f t="shared" si="220"/>
        <v>0</v>
      </c>
      <c r="CG151" s="127">
        <f t="shared" si="221"/>
        <v>0</v>
      </c>
      <c r="CH151" s="128">
        <f>'DATA INPUT - DETAIL'!AH142</f>
        <v>0</v>
      </c>
      <c r="CI151" s="125">
        <f t="shared" si="222"/>
        <v>0</v>
      </c>
      <c r="CJ151" s="199">
        <f t="shared" si="223"/>
        <v>0</v>
      </c>
      <c r="CL151" s="189">
        <f t="shared" si="224"/>
        <v>0</v>
      </c>
      <c r="CM151" s="149">
        <f t="shared" si="225"/>
        <v>0</v>
      </c>
      <c r="CN151" s="128">
        <f>'DATA INPUT - DETAIL'!AH142</f>
        <v>0</v>
      </c>
      <c r="CO151" s="149">
        <f t="shared" si="226"/>
        <v>0</v>
      </c>
      <c r="CP151" s="149">
        <f t="shared" si="227"/>
        <v>0</v>
      </c>
      <c r="CR151" s="126">
        <f t="shared" si="231"/>
        <v>139</v>
      </c>
      <c r="CS151" s="189">
        <f t="shared" si="232"/>
        <v>0</v>
      </c>
      <c r="CT151" s="200">
        <f>CS151/(BEL!CE151+BEL!CA151-BEL!BU151+'RA CSM'!CF151)</f>
        <v>0</v>
      </c>
      <c r="CU151" s="149">
        <f>$CT151*BEL!CH151</f>
        <v>0</v>
      </c>
      <c r="CV151" s="149">
        <f>$CT151*BEL!CI151</f>
        <v>0</v>
      </c>
      <c r="CW151" s="149">
        <f>$CT151*BEL!CJ151</f>
        <v>0</v>
      </c>
      <c r="CX151" s="149">
        <f>$CT151*BEL!CK151</f>
        <v>0</v>
      </c>
      <c r="CY151" s="149">
        <f t="shared" si="229"/>
        <v>0</v>
      </c>
      <c r="CZ151" s="149">
        <f>$CT151*(BEL!CL151+'RA CSM'!CG151)</f>
        <v>0</v>
      </c>
      <c r="DA151" s="149">
        <f t="shared" si="230"/>
        <v>0</v>
      </c>
    </row>
    <row r="152" spans="2:105" x14ac:dyDescent="0.2">
      <c r="B152" s="130">
        <f>BEL!B152</f>
        <v>0</v>
      </c>
      <c r="C152" s="130">
        <f>BEL!C152</f>
        <v>0</v>
      </c>
      <c r="D152" s="190">
        <f>BEL!D152</f>
        <v>0</v>
      </c>
      <c r="E152" s="190">
        <f>BEL!E152</f>
        <v>0</v>
      </c>
      <c r="F152" s="190">
        <f>BEL!F152</f>
        <v>0</v>
      </c>
      <c r="G152" s="190">
        <f>BEL!G152*(1+$V$5)</f>
        <v>0</v>
      </c>
      <c r="H152" s="190">
        <f>BEL!H152*(1+$V$5)</f>
        <v>0</v>
      </c>
      <c r="I152" s="179">
        <f t="shared" si="167"/>
        <v>0</v>
      </c>
      <c r="J152" s="130">
        <f>BEL!J152</f>
        <v>0</v>
      </c>
      <c r="K152" s="130">
        <f>BEL!K152</f>
        <v>0</v>
      </c>
      <c r="L152" s="130">
        <f>BEL!L152</f>
        <v>0</v>
      </c>
      <c r="M152" s="185">
        <f t="shared" si="228"/>
        <v>0</v>
      </c>
      <c r="N152" s="185">
        <f t="shared" si="168"/>
        <v>0</v>
      </c>
      <c r="O152" s="185">
        <f t="shared" si="169"/>
        <v>0</v>
      </c>
      <c r="P152" s="185">
        <f t="shared" si="170"/>
        <v>0</v>
      </c>
      <c r="Q152" s="185">
        <f t="shared" si="171"/>
        <v>0</v>
      </c>
      <c r="R152" s="185">
        <f t="shared" si="172"/>
        <v>0</v>
      </c>
      <c r="S152" s="185">
        <f t="shared" si="173"/>
        <v>0</v>
      </c>
      <c r="T152" s="185">
        <f t="shared" si="174"/>
        <v>0</v>
      </c>
      <c r="U152" s="196">
        <f>(C152&gt;0)*(C152&lt;$E$5)*VLOOKUP(MPP,ASUMSI!$BN$77:$CR$108,B152+1)*(1+$V$4)</f>
        <v>0</v>
      </c>
      <c r="V152" s="185">
        <f t="shared" si="175"/>
        <v>0</v>
      </c>
      <c r="W152" s="185">
        <f t="shared" si="176"/>
        <v>0</v>
      </c>
      <c r="X152" s="185">
        <f t="shared" si="177"/>
        <v>0</v>
      </c>
      <c r="Y152" s="185">
        <f t="shared" si="178"/>
        <v>0</v>
      </c>
      <c r="Z152" s="185">
        <f t="shared" si="179"/>
        <v>0</v>
      </c>
      <c r="AA152" s="197">
        <f t="shared" si="180"/>
        <v>0</v>
      </c>
      <c r="AB152" s="185">
        <f t="shared" si="181"/>
        <v>0</v>
      </c>
      <c r="AC152" s="185">
        <f t="shared" si="182"/>
        <v>0</v>
      </c>
      <c r="AD152" s="185">
        <f t="shared" si="183"/>
        <v>0</v>
      </c>
      <c r="AE152" s="185">
        <f t="shared" si="184"/>
        <v>0</v>
      </c>
      <c r="AF152" s="185">
        <f t="shared" si="185"/>
        <v>0</v>
      </c>
      <c r="AG152" s="185">
        <f t="shared" si="186"/>
        <v>0</v>
      </c>
      <c r="AH152" s="185">
        <f t="shared" si="187"/>
        <v>0</v>
      </c>
      <c r="AI152" s="125">
        <f>BEL!AI152</f>
        <v>0</v>
      </c>
      <c r="AJ152" s="125">
        <f>BEL!AJ152</f>
        <v>0</v>
      </c>
      <c r="AK152" s="125">
        <f>BEL!AK152</f>
        <v>0</v>
      </c>
      <c r="AL152" s="125">
        <f>BEL!AL152</f>
        <v>0</v>
      </c>
      <c r="AM152" s="125">
        <f>BEL!AM152</f>
        <v>0</v>
      </c>
      <c r="AN152" s="125">
        <f>BEL!AN152</f>
        <v>0</v>
      </c>
      <c r="AO152" s="198">
        <f t="shared" si="188"/>
        <v>0</v>
      </c>
      <c r="AP152" s="125">
        <f>BEL!AP152</f>
        <v>0</v>
      </c>
      <c r="AQ152" s="125">
        <f>BEL!AQ152</f>
        <v>0</v>
      </c>
      <c r="AR152" s="125">
        <f>BEL!AR152</f>
        <v>0</v>
      </c>
      <c r="AS152" s="125">
        <f>BEL!AS152</f>
        <v>0</v>
      </c>
      <c r="AT152" s="125">
        <f>BEL!AT152</f>
        <v>0</v>
      </c>
      <c r="AU152" s="127">
        <f>BEL!AU152</f>
        <v>0</v>
      </c>
      <c r="AV152" s="127">
        <f>BEL!AV152</f>
        <v>0</v>
      </c>
      <c r="AW152" s="127">
        <f>BEL!AW152</f>
        <v>0</v>
      </c>
      <c r="AX152" s="127">
        <f t="shared" si="189"/>
        <v>0</v>
      </c>
      <c r="AY152" s="127">
        <f t="shared" si="190"/>
        <v>0</v>
      </c>
      <c r="AZ152" s="127">
        <f t="shared" si="191"/>
        <v>0</v>
      </c>
      <c r="BA152" s="127">
        <f t="shared" si="192"/>
        <v>0</v>
      </c>
      <c r="BB152" s="127">
        <f t="shared" si="193"/>
        <v>0</v>
      </c>
      <c r="BC152" s="127">
        <f t="shared" si="194"/>
        <v>0</v>
      </c>
      <c r="BD152" s="127">
        <f t="shared" si="195"/>
        <v>0</v>
      </c>
      <c r="BE152" s="127">
        <f t="shared" si="196"/>
        <v>0</v>
      </c>
      <c r="BF152" s="127">
        <f t="shared" si="197"/>
        <v>0</v>
      </c>
      <c r="BG152" s="127">
        <f t="shared" si="198"/>
        <v>0</v>
      </c>
      <c r="BH152" s="127">
        <f t="shared" si="199"/>
        <v>0</v>
      </c>
      <c r="BI152" s="127">
        <f t="shared" si="200"/>
        <v>0</v>
      </c>
      <c r="BJ152" s="189">
        <f t="shared" si="201"/>
        <v>0</v>
      </c>
      <c r="BK152" s="189">
        <f t="shared" si="202"/>
        <v>0</v>
      </c>
      <c r="BL152" s="192">
        <f t="shared" si="203"/>
        <v>0</v>
      </c>
      <c r="BM152" s="192">
        <f t="shared" si="204"/>
        <v>0</v>
      </c>
      <c r="BN152" s="192">
        <f t="shared" si="205"/>
        <v>0</v>
      </c>
      <c r="BO152" s="192">
        <f t="shared" si="206"/>
        <v>0</v>
      </c>
      <c r="BP152" s="192">
        <f t="shared" si="207"/>
        <v>0</v>
      </c>
      <c r="BQ152" s="193">
        <f t="shared" si="208"/>
        <v>0</v>
      </c>
      <c r="BR152" s="193">
        <f t="shared" si="209"/>
        <v>0</v>
      </c>
      <c r="BS152" s="188">
        <f t="shared" si="210"/>
        <v>0</v>
      </c>
      <c r="BT152" s="188">
        <f t="shared" si="211"/>
        <v>0</v>
      </c>
      <c r="BU152" s="188">
        <f t="shared" si="212"/>
        <v>0</v>
      </c>
      <c r="BV152" s="188">
        <f t="shared" si="213"/>
        <v>0</v>
      </c>
      <c r="BW152" s="188">
        <f t="shared" si="214"/>
        <v>0</v>
      </c>
      <c r="BX152" s="188">
        <f t="shared" si="215"/>
        <v>0</v>
      </c>
      <c r="BY152" s="188">
        <f t="shared" si="216"/>
        <v>0</v>
      </c>
      <c r="BZ152" s="188">
        <f t="shared" si="217"/>
        <v>0</v>
      </c>
      <c r="CA152" s="188">
        <f t="shared" si="218"/>
        <v>0</v>
      </c>
      <c r="CB152" s="149">
        <f t="shared" si="219"/>
        <v>0</v>
      </c>
      <c r="CC152" s="149">
        <f>CB152-BEL!CB152</f>
        <v>0</v>
      </c>
      <c r="CD152" s="189">
        <f>IF(AND(C152=0,C153=0),0,CB152/W152) - BEL!CC152</f>
        <v>0</v>
      </c>
      <c r="CF152" s="195">
        <f t="shared" si="220"/>
        <v>0</v>
      </c>
      <c r="CG152" s="127">
        <f t="shared" si="221"/>
        <v>0</v>
      </c>
      <c r="CH152" s="128">
        <f>'DATA INPUT - DETAIL'!AH143</f>
        <v>0</v>
      </c>
      <c r="CI152" s="125">
        <f t="shared" si="222"/>
        <v>0</v>
      </c>
      <c r="CJ152" s="199">
        <f t="shared" si="223"/>
        <v>0</v>
      </c>
      <c r="CL152" s="189">
        <f t="shared" si="224"/>
        <v>0</v>
      </c>
      <c r="CM152" s="149">
        <f t="shared" si="225"/>
        <v>0</v>
      </c>
      <c r="CN152" s="128">
        <f>'DATA INPUT - DETAIL'!AH143</f>
        <v>0</v>
      </c>
      <c r="CO152" s="149">
        <f t="shared" si="226"/>
        <v>0</v>
      </c>
      <c r="CP152" s="149">
        <f t="shared" si="227"/>
        <v>0</v>
      </c>
      <c r="CR152" s="126">
        <f t="shared" si="231"/>
        <v>140</v>
      </c>
      <c r="CS152" s="189">
        <f t="shared" si="232"/>
        <v>0</v>
      </c>
      <c r="CT152" s="200">
        <f>CS152/(BEL!CE152+BEL!CA152-BEL!BU152+'RA CSM'!CF152)</f>
        <v>0</v>
      </c>
      <c r="CU152" s="149">
        <f>$CT152*BEL!CH152</f>
        <v>0</v>
      </c>
      <c r="CV152" s="149">
        <f>$CT152*BEL!CI152</f>
        <v>0</v>
      </c>
      <c r="CW152" s="149">
        <f>$CT152*BEL!CJ152</f>
        <v>0</v>
      </c>
      <c r="CX152" s="149">
        <f>$CT152*BEL!CK152</f>
        <v>0</v>
      </c>
      <c r="CY152" s="149">
        <f t="shared" si="229"/>
        <v>0</v>
      </c>
      <c r="CZ152" s="149">
        <f>$CT152*(BEL!CL152+'RA CSM'!CG152)</f>
        <v>0</v>
      </c>
      <c r="DA152" s="149">
        <f t="shared" si="230"/>
        <v>0</v>
      </c>
    </row>
    <row r="153" spans="2:105" x14ac:dyDescent="0.2">
      <c r="B153" s="130">
        <f>BEL!B153</f>
        <v>0</v>
      </c>
      <c r="C153" s="130">
        <f>BEL!C153</f>
        <v>0</v>
      </c>
      <c r="D153" s="190">
        <f>BEL!D153</f>
        <v>0</v>
      </c>
      <c r="E153" s="190">
        <f>BEL!E153</f>
        <v>0</v>
      </c>
      <c r="F153" s="190">
        <f>BEL!F153</f>
        <v>0</v>
      </c>
      <c r="G153" s="190">
        <f>BEL!G153*(1+$V$5)</f>
        <v>0</v>
      </c>
      <c r="H153" s="190">
        <f>BEL!H153*(1+$V$5)</f>
        <v>0</v>
      </c>
      <c r="I153" s="179">
        <f t="shared" si="167"/>
        <v>0</v>
      </c>
      <c r="J153" s="130">
        <f>BEL!J153</f>
        <v>0</v>
      </c>
      <c r="K153" s="130">
        <f>BEL!K153</f>
        <v>0</v>
      </c>
      <c r="L153" s="130">
        <f>BEL!L153</f>
        <v>0</v>
      </c>
      <c r="M153" s="185">
        <f t="shared" si="228"/>
        <v>0</v>
      </c>
      <c r="N153" s="185">
        <f t="shared" si="168"/>
        <v>0</v>
      </c>
      <c r="O153" s="185">
        <f t="shared" si="169"/>
        <v>0</v>
      </c>
      <c r="P153" s="185">
        <f t="shared" si="170"/>
        <v>0</v>
      </c>
      <c r="Q153" s="185">
        <f t="shared" si="171"/>
        <v>0</v>
      </c>
      <c r="R153" s="185">
        <f t="shared" si="172"/>
        <v>0</v>
      </c>
      <c r="S153" s="185">
        <f t="shared" si="173"/>
        <v>0</v>
      </c>
      <c r="T153" s="185">
        <f t="shared" si="174"/>
        <v>0</v>
      </c>
      <c r="U153" s="196">
        <f>(C153&gt;0)*(C153&lt;$E$5)*VLOOKUP(MPP,ASUMSI!$BN$77:$CR$108,B153+1)*(1+$V$4)</f>
        <v>0</v>
      </c>
      <c r="V153" s="185">
        <f t="shared" si="175"/>
        <v>0</v>
      </c>
      <c r="W153" s="185">
        <f t="shared" si="176"/>
        <v>0</v>
      </c>
      <c r="X153" s="185">
        <f t="shared" si="177"/>
        <v>0</v>
      </c>
      <c r="Y153" s="185">
        <f t="shared" si="178"/>
        <v>0</v>
      </c>
      <c r="Z153" s="185">
        <f t="shared" si="179"/>
        <v>0</v>
      </c>
      <c r="AA153" s="197">
        <f t="shared" si="180"/>
        <v>0</v>
      </c>
      <c r="AB153" s="185">
        <f t="shared" si="181"/>
        <v>0</v>
      </c>
      <c r="AC153" s="185">
        <f t="shared" si="182"/>
        <v>0</v>
      </c>
      <c r="AD153" s="185">
        <f t="shared" si="183"/>
        <v>0</v>
      </c>
      <c r="AE153" s="185">
        <f t="shared" si="184"/>
        <v>0</v>
      </c>
      <c r="AF153" s="185">
        <f t="shared" si="185"/>
        <v>0</v>
      </c>
      <c r="AG153" s="185">
        <f t="shared" si="186"/>
        <v>0</v>
      </c>
      <c r="AH153" s="185">
        <f t="shared" si="187"/>
        <v>0</v>
      </c>
      <c r="AI153" s="125">
        <f>BEL!AI153</f>
        <v>0</v>
      </c>
      <c r="AJ153" s="125">
        <f>BEL!AJ153</f>
        <v>0</v>
      </c>
      <c r="AK153" s="125">
        <f>BEL!AK153</f>
        <v>0</v>
      </c>
      <c r="AL153" s="125">
        <f>BEL!AL153</f>
        <v>0</v>
      </c>
      <c r="AM153" s="125">
        <f>BEL!AM153</f>
        <v>0</v>
      </c>
      <c r="AN153" s="125">
        <f>BEL!AN153</f>
        <v>0</v>
      </c>
      <c r="AO153" s="198">
        <f t="shared" si="188"/>
        <v>0</v>
      </c>
      <c r="AP153" s="125">
        <f>BEL!AP153</f>
        <v>0</v>
      </c>
      <c r="AQ153" s="125">
        <f>BEL!AQ153</f>
        <v>0</v>
      </c>
      <c r="AR153" s="125">
        <f>BEL!AR153</f>
        <v>0</v>
      </c>
      <c r="AS153" s="125">
        <f>BEL!AS153</f>
        <v>0</v>
      </c>
      <c r="AT153" s="125">
        <f>BEL!AT153</f>
        <v>0</v>
      </c>
      <c r="AU153" s="127">
        <f>BEL!AU153</f>
        <v>0</v>
      </c>
      <c r="AV153" s="127">
        <f>BEL!AV153</f>
        <v>0</v>
      </c>
      <c r="AW153" s="127">
        <f>BEL!AW153</f>
        <v>0</v>
      </c>
      <c r="AX153" s="127">
        <f t="shared" si="189"/>
        <v>0</v>
      </c>
      <c r="AY153" s="127">
        <f t="shared" si="190"/>
        <v>0</v>
      </c>
      <c r="AZ153" s="127">
        <f t="shared" si="191"/>
        <v>0</v>
      </c>
      <c r="BA153" s="127">
        <f t="shared" si="192"/>
        <v>0</v>
      </c>
      <c r="BB153" s="127">
        <f t="shared" si="193"/>
        <v>0</v>
      </c>
      <c r="BC153" s="127">
        <f t="shared" si="194"/>
        <v>0</v>
      </c>
      <c r="BD153" s="127">
        <f t="shared" si="195"/>
        <v>0</v>
      </c>
      <c r="BE153" s="127">
        <f t="shared" si="196"/>
        <v>0</v>
      </c>
      <c r="BF153" s="127">
        <f t="shared" si="197"/>
        <v>0</v>
      </c>
      <c r="BG153" s="127">
        <f t="shared" si="198"/>
        <v>0</v>
      </c>
      <c r="BH153" s="127">
        <f t="shared" si="199"/>
        <v>0</v>
      </c>
      <c r="BI153" s="127">
        <f t="shared" si="200"/>
        <v>0</v>
      </c>
      <c r="BJ153" s="189">
        <f t="shared" si="201"/>
        <v>0</v>
      </c>
      <c r="BK153" s="189">
        <f t="shared" si="202"/>
        <v>0</v>
      </c>
      <c r="BL153" s="192">
        <f t="shared" si="203"/>
        <v>0</v>
      </c>
      <c r="BM153" s="192">
        <f t="shared" si="204"/>
        <v>0</v>
      </c>
      <c r="BN153" s="192">
        <f t="shared" si="205"/>
        <v>0</v>
      </c>
      <c r="BO153" s="192">
        <f t="shared" si="206"/>
        <v>0</v>
      </c>
      <c r="BP153" s="192">
        <f t="shared" si="207"/>
        <v>0</v>
      </c>
      <c r="BQ153" s="193">
        <f t="shared" si="208"/>
        <v>0</v>
      </c>
      <c r="BR153" s="193">
        <f t="shared" si="209"/>
        <v>0</v>
      </c>
      <c r="BS153" s="188">
        <f t="shared" si="210"/>
        <v>0</v>
      </c>
      <c r="BT153" s="188">
        <f t="shared" si="211"/>
        <v>0</v>
      </c>
      <c r="BU153" s="188">
        <f t="shared" si="212"/>
        <v>0</v>
      </c>
      <c r="BV153" s="188">
        <f t="shared" si="213"/>
        <v>0</v>
      </c>
      <c r="BW153" s="188">
        <f t="shared" si="214"/>
        <v>0</v>
      </c>
      <c r="BX153" s="188">
        <f t="shared" si="215"/>
        <v>0</v>
      </c>
      <c r="BY153" s="188">
        <f t="shared" si="216"/>
        <v>0</v>
      </c>
      <c r="BZ153" s="188">
        <f t="shared" si="217"/>
        <v>0</v>
      </c>
      <c r="CA153" s="188">
        <f t="shared" si="218"/>
        <v>0</v>
      </c>
      <c r="CB153" s="149">
        <f t="shared" si="219"/>
        <v>0</v>
      </c>
      <c r="CC153" s="149">
        <f>CB153-BEL!CB153</f>
        <v>0</v>
      </c>
      <c r="CD153" s="189">
        <f>IF(AND(C153=0,C154=0),0,CB153/W153) - BEL!CC153</f>
        <v>0</v>
      </c>
      <c r="CF153" s="195">
        <f t="shared" si="220"/>
        <v>0</v>
      </c>
      <c r="CG153" s="127">
        <f t="shared" si="221"/>
        <v>0</v>
      </c>
      <c r="CH153" s="128">
        <f>'DATA INPUT - DETAIL'!AH144</f>
        <v>0</v>
      </c>
      <c r="CI153" s="125">
        <f t="shared" si="222"/>
        <v>0</v>
      </c>
      <c r="CJ153" s="199">
        <f t="shared" si="223"/>
        <v>0</v>
      </c>
      <c r="CL153" s="189">
        <f t="shared" si="224"/>
        <v>0</v>
      </c>
      <c r="CM153" s="149">
        <f t="shared" si="225"/>
        <v>0</v>
      </c>
      <c r="CN153" s="128">
        <f>'DATA INPUT - DETAIL'!AH144</f>
        <v>0</v>
      </c>
      <c r="CO153" s="149">
        <f t="shared" si="226"/>
        <v>0</v>
      </c>
      <c r="CP153" s="149">
        <f t="shared" si="227"/>
        <v>0</v>
      </c>
      <c r="CR153" s="126">
        <f t="shared" si="231"/>
        <v>141</v>
      </c>
      <c r="CS153" s="189">
        <f t="shared" si="232"/>
        <v>0</v>
      </c>
      <c r="CT153" s="200">
        <f>CS153/(BEL!CE153+BEL!CA153-BEL!BU153+'RA CSM'!CF153)</f>
        <v>0</v>
      </c>
      <c r="CU153" s="149">
        <f>$CT153*BEL!CH153</f>
        <v>0</v>
      </c>
      <c r="CV153" s="149">
        <f>$CT153*BEL!CI153</f>
        <v>0</v>
      </c>
      <c r="CW153" s="149">
        <f>$CT153*BEL!CJ153</f>
        <v>0</v>
      </c>
      <c r="CX153" s="149">
        <f>$CT153*BEL!CK153</f>
        <v>0</v>
      </c>
      <c r="CY153" s="149">
        <f t="shared" si="229"/>
        <v>0</v>
      </c>
      <c r="CZ153" s="149">
        <f>$CT153*(BEL!CL153+'RA CSM'!CG153)</f>
        <v>0</v>
      </c>
      <c r="DA153" s="149">
        <f t="shared" si="230"/>
        <v>0</v>
      </c>
    </row>
    <row r="154" spans="2:105" x14ac:dyDescent="0.2">
      <c r="B154" s="130">
        <f>BEL!B154</f>
        <v>0</v>
      </c>
      <c r="C154" s="130">
        <f>BEL!C154</f>
        <v>0</v>
      </c>
      <c r="D154" s="190">
        <f>BEL!D154</f>
        <v>0</v>
      </c>
      <c r="E154" s="190">
        <f>BEL!E154</f>
        <v>0</v>
      </c>
      <c r="F154" s="190">
        <f>BEL!F154</f>
        <v>0</v>
      </c>
      <c r="G154" s="190">
        <f>BEL!G154*(1+$V$5)</f>
        <v>0</v>
      </c>
      <c r="H154" s="190">
        <f>BEL!H154*(1+$V$5)</f>
        <v>0</v>
      </c>
      <c r="I154" s="179">
        <f t="shared" si="167"/>
        <v>0</v>
      </c>
      <c r="J154" s="130">
        <f>BEL!J154</f>
        <v>0</v>
      </c>
      <c r="K154" s="130">
        <f>BEL!K154</f>
        <v>0</v>
      </c>
      <c r="L154" s="130">
        <f>BEL!L154</f>
        <v>0</v>
      </c>
      <c r="M154" s="185">
        <f t="shared" si="228"/>
        <v>0</v>
      </c>
      <c r="N154" s="185">
        <f t="shared" si="168"/>
        <v>0</v>
      </c>
      <c r="O154" s="185">
        <f t="shared" si="169"/>
        <v>0</v>
      </c>
      <c r="P154" s="185">
        <f t="shared" si="170"/>
        <v>0</v>
      </c>
      <c r="Q154" s="185">
        <f t="shared" si="171"/>
        <v>0</v>
      </c>
      <c r="R154" s="185">
        <f t="shared" si="172"/>
        <v>0</v>
      </c>
      <c r="S154" s="185">
        <f t="shared" si="173"/>
        <v>0</v>
      </c>
      <c r="T154" s="185">
        <f t="shared" si="174"/>
        <v>0</v>
      </c>
      <c r="U154" s="196">
        <f>(C154&gt;0)*(C154&lt;$E$5)*VLOOKUP(MPP,ASUMSI!$BN$77:$CR$108,B154+1)*(1+$V$4)</f>
        <v>0</v>
      </c>
      <c r="V154" s="185">
        <f t="shared" si="175"/>
        <v>0</v>
      </c>
      <c r="W154" s="185">
        <f t="shared" si="176"/>
        <v>0</v>
      </c>
      <c r="X154" s="185">
        <f t="shared" si="177"/>
        <v>0</v>
      </c>
      <c r="Y154" s="185">
        <f t="shared" si="178"/>
        <v>0</v>
      </c>
      <c r="Z154" s="185">
        <f t="shared" si="179"/>
        <v>0</v>
      </c>
      <c r="AA154" s="197">
        <f t="shared" si="180"/>
        <v>0</v>
      </c>
      <c r="AB154" s="185">
        <f t="shared" si="181"/>
        <v>0</v>
      </c>
      <c r="AC154" s="185">
        <f t="shared" si="182"/>
        <v>0</v>
      </c>
      <c r="AD154" s="185">
        <f t="shared" si="183"/>
        <v>0</v>
      </c>
      <c r="AE154" s="185">
        <f t="shared" si="184"/>
        <v>0</v>
      </c>
      <c r="AF154" s="185">
        <f t="shared" si="185"/>
        <v>0</v>
      </c>
      <c r="AG154" s="185">
        <f t="shared" si="186"/>
        <v>0</v>
      </c>
      <c r="AH154" s="185">
        <f t="shared" si="187"/>
        <v>0</v>
      </c>
      <c r="AI154" s="125">
        <f>BEL!AI154</f>
        <v>0</v>
      </c>
      <c r="AJ154" s="125">
        <f>BEL!AJ154</f>
        <v>0</v>
      </c>
      <c r="AK154" s="125">
        <f>BEL!AK154</f>
        <v>0</v>
      </c>
      <c r="AL154" s="125">
        <f>BEL!AL154</f>
        <v>0</v>
      </c>
      <c r="AM154" s="125">
        <f>BEL!AM154</f>
        <v>0</v>
      </c>
      <c r="AN154" s="125">
        <f>BEL!AN154</f>
        <v>0</v>
      </c>
      <c r="AO154" s="198">
        <f t="shared" si="188"/>
        <v>0</v>
      </c>
      <c r="AP154" s="125">
        <f>BEL!AP154</f>
        <v>0</v>
      </c>
      <c r="AQ154" s="125">
        <f>BEL!AQ154</f>
        <v>0</v>
      </c>
      <c r="AR154" s="125">
        <f>BEL!AR154</f>
        <v>0</v>
      </c>
      <c r="AS154" s="125">
        <f>BEL!AS154</f>
        <v>0</v>
      </c>
      <c r="AT154" s="125">
        <f>BEL!AT154</f>
        <v>0</v>
      </c>
      <c r="AU154" s="127">
        <f>BEL!AU154</f>
        <v>0</v>
      </c>
      <c r="AV154" s="127">
        <f>BEL!AV154</f>
        <v>0</v>
      </c>
      <c r="AW154" s="127">
        <f>BEL!AW154</f>
        <v>0</v>
      </c>
      <c r="AX154" s="127">
        <f t="shared" si="189"/>
        <v>0</v>
      </c>
      <c r="AY154" s="127">
        <f t="shared" si="190"/>
        <v>0</v>
      </c>
      <c r="AZ154" s="127">
        <f t="shared" si="191"/>
        <v>0</v>
      </c>
      <c r="BA154" s="127">
        <f t="shared" si="192"/>
        <v>0</v>
      </c>
      <c r="BB154" s="127">
        <f t="shared" si="193"/>
        <v>0</v>
      </c>
      <c r="BC154" s="127">
        <f t="shared" si="194"/>
        <v>0</v>
      </c>
      <c r="BD154" s="127">
        <f t="shared" si="195"/>
        <v>0</v>
      </c>
      <c r="BE154" s="127">
        <f t="shared" si="196"/>
        <v>0</v>
      </c>
      <c r="BF154" s="127">
        <f t="shared" si="197"/>
        <v>0</v>
      </c>
      <c r="BG154" s="127">
        <f t="shared" si="198"/>
        <v>0</v>
      </c>
      <c r="BH154" s="127">
        <f t="shared" si="199"/>
        <v>0</v>
      </c>
      <c r="BI154" s="127">
        <f t="shared" si="200"/>
        <v>0</v>
      </c>
      <c r="BJ154" s="189">
        <f t="shared" si="201"/>
        <v>0</v>
      </c>
      <c r="BK154" s="189">
        <f t="shared" si="202"/>
        <v>0</v>
      </c>
      <c r="BL154" s="192">
        <f t="shared" si="203"/>
        <v>0</v>
      </c>
      <c r="BM154" s="192">
        <f t="shared" si="204"/>
        <v>0</v>
      </c>
      <c r="BN154" s="192">
        <f t="shared" si="205"/>
        <v>0</v>
      </c>
      <c r="BO154" s="192">
        <f t="shared" si="206"/>
        <v>0</v>
      </c>
      <c r="BP154" s="192">
        <f t="shared" si="207"/>
        <v>0</v>
      </c>
      <c r="BQ154" s="193">
        <f t="shared" si="208"/>
        <v>0</v>
      </c>
      <c r="BR154" s="193">
        <f t="shared" si="209"/>
        <v>0</v>
      </c>
      <c r="BS154" s="188">
        <f t="shared" si="210"/>
        <v>0</v>
      </c>
      <c r="BT154" s="188">
        <f t="shared" si="211"/>
        <v>0</v>
      </c>
      <c r="BU154" s="188">
        <f t="shared" si="212"/>
        <v>0</v>
      </c>
      <c r="BV154" s="188">
        <f t="shared" si="213"/>
        <v>0</v>
      </c>
      <c r="BW154" s="188">
        <f t="shared" si="214"/>
        <v>0</v>
      </c>
      <c r="BX154" s="188">
        <f t="shared" si="215"/>
        <v>0</v>
      </c>
      <c r="BY154" s="188">
        <f t="shared" si="216"/>
        <v>0</v>
      </c>
      <c r="BZ154" s="188">
        <f t="shared" si="217"/>
        <v>0</v>
      </c>
      <c r="CA154" s="188">
        <f t="shared" si="218"/>
        <v>0</v>
      </c>
      <c r="CB154" s="149">
        <f t="shared" si="219"/>
        <v>0</v>
      </c>
      <c r="CC154" s="149">
        <f>CB154-BEL!CB154</f>
        <v>0</v>
      </c>
      <c r="CD154" s="189">
        <f>IF(AND(C154=0,C155=0),0,CB154/W154) - BEL!CC154</f>
        <v>0</v>
      </c>
      <c r="CF154" s="195">
        <f t="shared" si="220"/>
        <v>0</v>
      </c>
      <c r="CG154" s="127">
        <f t="shared" si="221"/>
        <v>0</v>
      </c>
      <c r="CH154" s="128">
        <f>'DATA INPUT - DETAIL'!AH145</f>
        <v>0</v>
      </c>
      <c r="CI154" s="125">
        <f t="shared" si="222"/>
        <v>0</v>
      </c>
      <c r="CJ154" s="199">
        <f t="shared" si="223"/>
        <v>0</v>
      </c>
      <c r="CL154" s="189">
        <f t="shared" si="224"/>
        <v>0</v>
      </c>
      <c r="CM154" s="149">
        <f t="shared" si="225"/>
        <v>0</v>
      </c>
      <c r="CN154" s="128">
        <f>'DATA INPUT - DETAIL'!AH145</f>
        <v>0</v>
      </c>
      <c r="CO154" s="149">
        <f t="shared" si="226"/>
        <v>0</v>
      </c>
      <c r="CP154" s="149">
        <f t="shared" si="227"/>
        <v>0</v>
      </c>
      <c r="CR154" s="126">
        <f t="shared" si="231"/>
        <v>142</v>
      </c>
      <c r="CS154" s="189">
        <f t="shared" si="232"/>
        <v>0</v>
      </c>
      <c r="CT154" s="200">
        <f>CS154/(BEL!CE154+BEL!CA154-BEL!BU154+'RA CSM'!CF154)</f>
        <v>0</v>
      </c>
      <c r="CU154" s="149">
        <f>$CT154*BEL!CH154</f>
        <v>0</v>
      </c>
      <c r="CV154" s="149">
        <f>$CT154*BEL!CI154</f>
        <v>0</v>
      </c>
      <c r="CW154" s="149">
        <f>$CT154*BEL!CJ154</f>
        <v>0</v>
      </c>
      <c r="CX154" s="149">
        <f>$CT154*BEL!CK154</f>
        <v>0</v>
      </c>
      <c r="CY154" s="149">
        <f t="shared" si="229"/>
        <v>0</v>
      </c>
      <c r="CZ154" s="149">
        <f>$CT154*(BEL!CL154+'RA CSM'!CG154)</f>
        <v>0</v>
      </c>
      <c r="DA154" s="149">
        <f t="shared" si="230"/>
        <v>0</v>
      </c>
    </row>
    <row r="155" spans="2:105" x14ac:dyDescent="0.2">
      <c r="B155" s="130">
        <f>BEL!B155</f>
        <v>0</v>
      </c>
      <c r="C155" s="130">
        <f>BEL!C155</f>
        <v>0</v>
      </c>
      <c r="D155" s="190">
        <f>BEL!D155</f>
        <v>0</v>
      </c>
      <c r="E155" s="190">
        <f>BEL!E155</f>
        <v>0</v>
      </c>
      <c r="F155" s="190">
        <f>BEL!F155</f>
        <v>0</v>
      </c>
      <c r="G155" s="190">
        <f>BEL!G155*(1+$V$5)</f>
        <v>0</v>
      </c>
      <c r="H155" s="190">
        <f>BEL!H155*(1+$V$5)</f>
        <v>0</v>
      </c>
      <c r="I155" s="179">
        <f t="shared" si="167"/>
        <v>0</v>
      </c>
      <c r="J155" s="130">
        <f>BEL!J155</f>
        <v>0</v>
      </c>
      <c r="K155" s="130">
        <f>BEL!K155</f>
        <v>0</v>
      </c>
      <c r="L155" s="130">
        <f>BEL!L155</f>
        <v>0</v>
      </c>
      <c r="M155" s="185">
        <f t="shared" si="228"/>
        <v>0</v>
      </c>
      <c r="N155" s="185">
        <f t="shared" si="168"/>
        <v>0</v>
      </c>
      <c r="O155" s="185">
        <f t="shared" si="169"/>
        <v>0</v>
      </c>
      <c r="P155" s="185">
        <f t="shared" si="170"/>
        <v>0</v>
      </c>
      <c r="Q155" s="185">
        <f t="shared" si="171"/>
        <v>0</v>
      </c>
      <c r="R155" s="185">
        <f t="shared" si="172"/>
        <v>0</v>
      </c>
      <c r="S155" s="185">
        <f t="shared" si="173"/>
        <v>0</v>
      </c>
      <c r="T155" s="185">
        <f t="shared" si="174"/>
        <v>0</v>
      </c>
      <c r="U155" s="196">
        <f>(C155&gt;0)*(C155&lt;$E$5)*VLOOKUP(MPP,ASUMSI!$BN$77:$CR$108,B155+1)*(1+$V$4)</f>
        <v>0</v>
      </c>
      <c r="V155" s="185">
        <f t="shared" si="175"/>
        <v>0</v>
      </c>
      <c r="W155" s="185">
        <f t="shared" si="176"/>
        <v>0</v>
      </c>
      <c r="X155" s="185">
        <f t="shared" si="177"/>
        <v>0</v>
      </c>
      <c r="Y155" s="185">
        <f t="shared" si="178"/>
        <v>0</v>
      </c>
      <c r="Z155" s="185">
        <f t="shared" si="179"/>
        <v>0</v>
      </c>
      <c r="AA155" s="197">
        <f t="shared" si="180"/>
        <v>0</v>
      </c>
      <c r="AB155" s="185">
        <f t="shared" si="181"/>
        <v>0</v>
      </c>
      <c r="AC155" s="185">
        <f t="shared" si="182"/>
        <v>0</v>
      </c>
      <c r="AD155" s="185">
        <f t="shared" si="183"/>
        <v>0</v>
      </c>
      <c r="AE155" s="185">
        <f t="shared" si="184"/>
        <v>0</v>
      </c>
      <c r="AF155" s="185">
        <f t="shared" si="185"/>
        <v>0</v>
      </c>
      <c r="AG155" s="185">
        <f t="shared" si="186"/>
        <v>0</v>
      </c>
      <c r="AH155" s="185">
        <f t="shared" si="187"/>
        <v>0</v>
      </c>
      <c r="AI155" s="125">
        <f>BEL!AI155</f>
        <v>0</v>
      </c>
      <c r="AJ155" s="125">
        <f>BEL!AJ155</f>
        <v>0</v>
      </c>
      <c r="AK155" s="125">
        <f>BEL!AK155</f>
        <v>0</v>
      </c>
      <c r="AL155" s="125">
        <f>BEL!AL155</f>
        <v>0</v>
      </c>
      <c r="AM155" s="125">
        <f>BEL!AM155</f>
        <v>0</v>
      </c>
      <c r="AN155" s="125">
        <f>BEL!AN155</f>
        <v>0</v>
      </c>
      <c r="AO155" s="198">
        <f t="shared" si="188"/>
        <v>0</v>
      </c>
      <c r="AP155" s="125">
        <f>BEL!AP155</f>
        <v>0</v>
      </c>
      <c r="AQ155" s="125">
        <f>BEL!AQ155</f>
        <v>0</v>
      </c>
      <c r="AR155" s="125">
        <f>BEL!AR155</f>
        <v>0</v>
      </c>
      <c r="AS155" s="125">
        <f>BEL!AS155</f>
        <v>0</v>
      </c>
      <c r="AT155" s="125">
        <f>BEL!AT155</f>
        <v>0</v>
      </c>
      <c r="AU155" s="127">
        <f>BEL!AU155</f>
        <v>0</v>
      </c>
      <c r="AV155" s="127">
        <f>BEL!AV155</f>
        <v>0</v>
      </c>
      <c r="AW155" s="127">
        <f>BEL!AW155</f>
        <v>0</v>
      </c>
      <c r="AX155" s="127">
        <f t="shared" si="189"/>
        <v>0</v>
      </c>
      <c r="AY155" s="127">
        <f t="shared" si="190"/>
        <v>0</v>
      </c>
      <c r="AZ155" s="127">
        <f t="shared" si="191"/>
        <v>0</v>
      </c>
      <c r="BA155" s="127">
        <f t="shared" si="192"/>
        <v>0</v>
      </c>
      <c r="BB155" s="127">
        <f t="shared" si="193"/>
        <v>0</v>
      </c>
      <c r="BC155" s="127">
        <f t="shared" si="194"/>
        <v>0</v>
      </c>
      <c r="BD155" s="127">
        <f t="shared" si="195"/>
        <v>0</v>
      </c>
      <c r="BE155" s="127">
        <f t="shared" si="196"/>
        <v>0</v>
      </c>
      <c r="BF155" s="127">
        <f t="shared" si="197"/>
        <v>0</v>
      </c>
      <c r="BG155" s="127">
        <f t="shared" si="198"/>
        <v>0</v>
      </c>
      <c r="BH155" s="127">
        <f t="shared" si="199"/>
        <v>0</v>
      </c>
      <c r="BI155" s="127">
        <f t="shared" si="200"/>
        <v>0</v>
      </c>
      <c r="BJ155" s="189">
        <f t="shared" si="201"/>
        <v>0</v>
      </c>
      <c r="BK155" s="189">
        <f t="shared" si="202"/>
        <v>0</v>
      </c>
      <c r="BL155" s="192">
        <f t="shared" si="203"/>
        <v>0</v>
      </c>
      <c r="BM155" s="192">
        <f t="shared" si="204"/>
        <v>0</v>
      </c>
      <c r="BN155" s="192">
        <f t="shared" si="205"/>
        <v>0</v>
      </c>
      <c r="BO155" s="192">
        <f t="shared" si="206"/>
        <v>0</v>
      </c>
      <c r="BP155" s="192">
        <f t="shared" si="207"/>
        <v>0</v>
      </c>
      <c r="BQ155" s="193">
        <f t="shared" si="208"/>
        <v>0</v>
      </c>
      <c r="BR155" s="193">
        <f t="shared" si="209"/>
        <v>0</v>
      </c>
      <c r="BS155" s="188">
        <f t="shared" si="210"/>
        <v>0</v>
      </c>
      <c r="BT155" s="188">
        <f t="shared" si="211"/>
        <v>0</v>
      </c>
      <c r="BU155" s="188">
        <f t="shared" si="212"/>
        <v>0</v>
      </c>
      <c r="BV155" s="188">
        <f t="shared" si="213"/>
        <v>0</v>
      </c>
      <c r="BW155" s="188">
        <f t="shared" si="214"/>
        <v>0</v>
      </c>
      <c r="BX155" s="188">
        <f t="shared" si="215"/>
        <v>0</v>
      </c>
      <c r="BY155" s="188">
        <f t="shared" si="216"/>
        <v>0</v>
      </c>
      <c r="BZ155" s="188">
        <f t="shared" si="217"/>
        <v>0</v>
      </c>
      <c r="CA155" s="188">
        <f t="shared" si="218"/>
        <v>0</v>
      </c>
      <c r="CB155" s="149">
        <f t="shared" si="219"/>
        <v>0</v>
      </c>
      <c r="CC155" s="149">
        <f>CB155-BEL!CB155</f>
        <v>0</v>
      </c>
      <c r="CD155" s="189">
        <f>IF(AND(C155=0,C156=0),0,CB155/W155) - BEL!CC155</f>
        <v>0</v>
      </c>
      <c r="CF155" s="195">
        <f t="shared" si="220"/>
        <v>0</v>
      </c>
      <c r="CG155" s="127">
        <f t="shared" si="221"/>
        <v>0</v>
      </c>
      <c r="CH155" s="128">
        <f>'DATA INPUT - DETAIL'!AH146</f>
        <v>0</v>
      </c>
      <c r="CI155" s="125">
        <f t="shared" si="222"/>
        <v>0</v>
      </c>
      <c r="CJ155" s="199">
        <f t="shared" si="223"/>
        <v>0</v>
      </c>
      <c r="CL155" s="189">
        <f t="shared" si="224"/>
        <v>0</v>
      </c>
      <c r="CM155" s="149">
        <f t="shared" si="225"/>
        <v>0</v>
      </c>
      <c r="CN155" s="128">
        <f>'DATA INPUT - DETAIL'!AH146</f>
        <v>0</v>
      </c>
      <c r="CO155" s="149">
        <f t="shared" si="226"/>
        <v>0</v>
      </c>
      <c r="CP155" s="149">
        <f t="shared" si="227"/>
        <v>0</v>
      </c>
      <c r="CR155" s="126">
        <f t="shared" si="231"/>
        <v>143</v>
      </c>
      <c r="CS155" s="189">
        <f t="shared" si="232"/>
        <v>0</v>
      </c>
      <c r="CT155" s="200">
        <f>CS155/(BEL!CE155+BEL!CA155-BEL!BU155+'RA CSM'!CF155)</f>
        <v>0</v>
      </c>
      <c r="CU155" s="149">
        <f>$CT155*BEL!CH155</f>
        <v>0</v>
      </c>
      <c r="CV155" s="149">
        <f>$CT155*BEL!CI155</f>
        <v>0</v>
      </c>
      <c r="CW155" s="149">
        <f>$CT155*BEL!CJ155</f>
        <v>0</v>
      </c>
      <c r="CX155" s="149">
        <f>$CT155*BEL!CK155</f>
        <v>0</v>
      </c>
      <c r="CY155" s="149">
        <f t="shared" si="229"/>
        <v>0</v>
      </c>
      <c r="CZ155" s="149">
        <f>$CT155*(BEL!CL155+'RA CSM'!CG155)</f>
        <v>0</v>
      </c>
      <c r="DA155" s="149">
        <f t="shared" si="230"/>
        <v>0</v>
      </c>
    </row>
    <row r="156" spans="2:105" x14ac:dyDescent="0.2">
      <c r="B156" s="130">
        <f>BEL!B156</f>
        <v>0</v>
      </c>
      <c r="C156" s="130">
        <f>BEL!C156</f>
        <v>0</v>
      </c>
      <c r="D156" s="190">
        <f>BEL!D156</f>
        <v>0</v>
      </c>
      <c r="E156" s="190">
        <f>BEL!E156</f>
        <v>0</v>
      </c>
      <c r="F156" s="190">
        <f>BEL!F156</f>
        <v>0</v>
      </c>
      <c r="G156" s="190">
        <f>BEL!G156*(1+$V$5)</f>
        <v>0</v>
      </c>
      <c r="H156" s="190">
        <f>BEL!H156*(1+$V$5)</f>
        <v>0</v>
      </c>
      <c r="I156" s="179">
        <f t="shared" si="167"/>
        <v>0</v>
      </c>
      <c r="J156" s="130">
        <f>BEL!J156</f>
        <v>0</v>
      </c>
      <c r="K156" s="130">
        <f>BEL!K156</f>
        <v>0</v>
      </c>
      <c r="L156" s="130">
        <f>BEL!L156</f>
        <v>0</v>
      </c>
      <c r="M156" s="185">
        <f t="shared" si="228"/>
        <v>0</v>
      </c>
      <c r="N156" s="185">
        <f t="shared" si="168"/>
        <v>0</v>
      </c>
      <c r="O156" s="185">
        <f t="shared" si="169"/>
        <v>0</v>
      </c>
      <c r="P156" s="185">
        <f t="shared" si="170"/>
        <v>0</v>
      </c>
      <c r="Q156" s="185">
        <f t="shared" si="171"/>
        <v>0</v>
      </c>
      <c r="R156" s="185">
        <f t="shared" si="172"/>
        <v>0</v>
      </c>
      <c r="S156" s="185">
        <f t="shared" si="173"/>
        <v>0</v>
      </c>
      <c r="T156" s="185">
        <f t="shared" si="174"/>
        <v>0</v>
      </c>
      <c r="U156" s="196">
        <f>(C156&gt;0)*(C156&lt;$E$5)*VLOOKUP(MPP,ASUMSI!$BN$77:$CR$108,B156+1)*(1+$V$4)</f>
        <v>0</v>
      </c>
      <c r="V156" s="185">
        <f t="shared" si="175"/>
        <v>0</v>
      </c>
      <c r="W156" s="185">
        <f t="shared" si="176"/>
        <v>0</v>
      </c>
      <c r="X156" s="185">
        <f t="shared" si="177"/>
        <v>0</v>
      </c>
      <c r="Y156" s="185">
        <f t="shared" si="178"/>
        <v>0</v>
      </c>
      <c r="Z156" s="185">
        <f t="shared" si="179"/>
        <v>0</v>
      </c>
      <c r="AA156" s="197">
        <f t="shared" si="180"/>
        <v>0</v>
      </c>
      <c r="AB156" s="185">
        <f t="shared" si="181"/>
        <v>0</v>
      </c>
      <c r="AC156" s="185">
        <f t="shared" si="182"/>
        <v>0</v>
      </c>
      <c r="AD156" s="185">
        <f t="shared" si="183"/>
        <v>0</v>
      </c>
      <c r="AE156" s="185">
        <f t="shared" si="184"/>
        <v>0</v>
      </c>
      <c r="AF156" s="185">
        <f t="shared" si="185"/>
        <v>0</v>
      </c>
      <c r="AG156" s="185">
        <f t="shared" si="186"/>
        <v>0</v>
      </c>
      <c r="AH156" s="185">
        <f t="shared" si="187"/>
        <v>0</v>
      </c>
      <c r="AI156" s="125">
        <f>BEL!AI156</f>
        <v>0</v>
      </c>
      <c r="AJ156" s="125">
        <f>BEL!AJ156</f>
        <v>0</v>
      </c>
      <c r="AK156" s="125">
        <f>BEL!AK156</f>
        <v>0</v>
      </c>
      <c r="AL156" s="125">
        <f>BEL!AL156</f>
        <v>0</v>
      </c>
      <c r="AM156" s="125">
        <f>BEL!AM156</f>
        <v>0</v>
      </c>
      <c r="AN156" s="125">
        <f>BEL!AN156</f>
        <v>0</v>
      </c>
      <c r="AO156" s="198">
        <f t="shared" si="188"/>
        <v>0</v>
      </c>
      <c r="AP156" s="125">
        <f>BEL!AP156</f>
        <v>0</v>
      </c>
      <c r="AQ156" s="125">
        <f>BEL!AQ156</f>
        <v>0</v>
      </c>
      <c r="AR156" s="125">
        <f>BEL!AR156</f>
        <v>0</v>
      </c>
      <c r="AS156" s="125">
        <f>BEL!AS156</f>
        <v>0</v>
      </c>
      <c r="AT156" s="125">
        <f>BEL!AT156</f>
        <v>0</v>
      </c>
      <c r="AU156" s="127">
        <f>BEL!AU156</f>
        <v>0</v>
      </c>
      <c r="AV156" s="127">
        <f>BEL!AV156</f>
        <v>0</v>
      </c>
      <c r="AW156" s="127">
        <f>BEL!AW156</f>
        <v>0</v>
      </c>
      <c r="AX156" s="127">
        <f t="shared" si="189"/>
        <v>0</v>
      </c>
      <c r="AY156" s="127">
        <f t="shared" si="190"/>
        <v>0</v>
      </c>
      <c r="AZ156" s="127">
        <f t="shared" si="191"/>
        <v>0</v>
      </c>
      <c r="BA156" s="127">
        <f t="shared" si="192"/>
        <v>0</v>
      </c>
      <c r="BB156" s="127">
        <f t="shared" si="193"/>
        <v>0</v>
      </c>
      <c r="BC156" s="127">
        <f t="shared" si="194"/>
        <v>0</v>
      </c>
      <c r="BD156" s="127">
        <f t="shared" si="195"/>
        <v>0</v>
      </c>
      <c r="BE156" s="127">
        <f t="shared" si="196"/>
        <v>0</v>
      </c>
      <c r="BF156" s="127">
        <f t="shared" si="197"/>
        <v>0</v>
      </c>
      <c r="BG156" s="127">
        <f t="shared" si="198"/>
        <v>0</v>
      </c>
      <c r="BH156" s="127">
        <f t="shared" si="199"/>
        <v>0</v>
      </c>
      <c r="BI156" s="127">
        <f t="shared" si="200"/>
        <v>0</v>
      </c>
      <c r="BJ156" s="189">
        <f t="shared" si="201"/>
        <v>0</v>
      </c>
      <c r="BK156" s="189">
        <f t="shared" si="202"/>
        <v>0</v>
      </c>
      <c r="BL156" s="192">
        <f t="shared" si="203"/>
        <v>0</v>
      </c>
      <c r="BM156" s="192">
        <f t="shared" si="204"/>
        <v>0</v>
      </c>
      <c r="BN156" s="192">
        <f t="shared" si="205"/>
        <v>0</v>
      </c>
      <c r="BO156" s="192">
        <f t="shared" si="206"/>
        <v>0</v>
      </c>
      <c r="BP156" s="192">
        <f t="shared" si="207"/>
        <v>0</v>
      </c>
      <c r="BQ156" s="193">
        <f t="shared" si="208"/>
        <v>0</v>
      </c>
      <c r="BR156" s="193">
        <f t="shared" si="209"/>
        <v>0</v>
      </c>
      <c r="BS156" s="188">
        <f t="shared" si="210"/>
        <v>0</v>
      </c>
      <c r="BT156" s="188">
        <f t="shared" si="211"/>
        <v>0</v>
      </c>
      <c r="BU156" s="188">
        <f t="shared" si="212"/>
        <v>0</v>
      </c>
      <c r="BV156" s="188">
        <f t="shared" si="213"/>
        <v>0</v>
      </c>
      <c r="BW156" s="188">
        <f t="shared" si="214"/>
        <v>0</v>
      </c>
      <c r="BX156" s="188">
        <f t="shared" si="215"/>
        <v>0</v>
      </c>
      <c r="BY156" s="188">
        <f t="shared" si="216"/>
        <v>0</v>
      </c>
      <c r="BZ156" s="188">
        <f t="shared" si="217"/>
        <v>0</v>
      </c>
      <c r="CA156" s="188">
        <f t="shared" si="218"/>
        <v>0</v>
      </c>
      <c r="CB156" s="149">
        <f t="shared" si="219"/>
        <v>0</v>
      </c>
      <c r="CC156" s="149">
        <f>CB156-BEL!CB156</f>
        <v>0</v>
      </c>
      <c r="CD156" s="189">
        <f>IF(AND(C156=0,C157=0),0,CB156/W156) - BEL!CC156</f>
        <v>0</v>
      </c>
      <c r="CF156" s="195">
        <f t="shared" si="220"/>
        <v>0</v>
      </c>
      <c r="CG156" s="127">
        <f t="shared" si="221"/>
        <v>0</v>
      </c>
      <c r="CH156" s="128">
        <f>'DATA INPUT - DETAIL'!AH147</f>
        <v>0</v>
      </c>
      <c r="CI156" s="125">
        <f t="shared" si="222"/>
        <v>0</v>
      </c>
      <c r="CJ156" s="199">
        <f t="shared" si="223"/>
        <v>0</v>
      </c>
      <c r="CL156" s="189">
        <f t="shared" si="224"/>
        <v>0</v>
      </c>
      <c r="CM156" s="149">
        <f t="shared" si="225"/>
        <v>0</v>
      </c>
      <c r="CN156" s="128">
        <f>'DATA INPUT - DETAIL'!AH147</f>
        <v>0</v>
      </c>
      <c r="CO156" s="149">
        <f t="shared" si="226"/>
        <v>0</v>
      </c>
      <c r="CP156" s="149">
        <f t="shared" si="227"/>
        <v>0</v>
      </c>
      <c r="CR156" s="126">
        <f t="shared" si="231"/>
        <v>144</v>
      </c>
      <c r="CS156" s="189">
        <f t="shared" si="232"/>
        <v>0</v>
      </c>
      <c r="CT156" s="200">
        <f>CS156/(BEL!CE156+BEL!CA156-BEL!BU156+'RA CSM'!CF156)</f>
        <v>0</v>
      </c>
      <c r="CU156" s="149">
        <f>$CT156*BEL!CH156</f>
        <v>0</v>
      </c>
      <c r="CV156" s="149">
        <f>$CT156*BEL!CI156</f>
        <v>0</v>
      </c>
      <c r="CW156" s="149">
        <f>$CT156*BEL!CJ156</f>
        <v>0</v>
      </c>
      <c r="CX156" s="149">
        <f>$CT156*BEL!CK156</f>
        <v>0</v>
      </c>
      <c r="CY156" s="149">
        <f t="shared" si="229"/>
        <v>0</v>
      </c>
      <c r="CZ156" s="149">
        <f>$CT156*(BEL!CL156+'RA CSM'!CG156)</f>
        <v>0</v>
      </c>
      <c r="DA156" s="149">
        <f t="shared" si="230"/>
        <v>0</v>
      </c>
    </row>
    <row r="157" spans="2:105" x14ac:dyDescent="0.2">
      <c r="B157" s="130">
        <f>BEL!B157</f>
        <v>0</v>
      </c>
      <c r="C157" s="130">
        <f>BEL!C157</f>
        <v>0</v>
      </c>
      <c r="D157" s="190">
        <f>BEL!D157</f>
        <v>0</v>
      </c>
      <c r="E157" s="190">
        <f>BEL!E157</f>
        <v>0</v>
      </c>
      <c r="F157" s="190">
        <f>BEL!F157</f>
        <v>0</v>
      </c>
      <c r="G157" s="190">
        <f>BEL!G157*(1+$V$5)</f>
        <v>0</v>
      </c>
      <c r="H157" s="190">
        <f>BEL!H157*(1+$V$5)</f>
        <v>0</v>
      </c>
      <c r="I157" s="179">
        <f t="shared" si="167"/>
        <v>0</v>
      </c>
      <c r="J157" s="130">
        <f>BEL!J157</f>
        <v>0</v>
      </c>
      <c r="K157" s="130">
        <f>BEL!K157</f>
        <v>0</v>
      </c>
      <c r="L157" s="130">
        <f>BEL!L157</f>
        <v>0</v>
      </c>
      <c r="M157" s="185">
        <f t="shared" si="228"/>
        <v>0</v>
      </c>
      <c r="N157" s="185">
        <f t="shared" si="168"/>
        <v>0</v>
      </c>
      <c r="O157" s="185">
        <f t="shared" si="169"/>
        <v>0</v>
      </c>
      <c r="P157" s="185">
        <f t="shared" si="170"/>
        <v>0</v>
      </c>
      <c r="Q157" s="185">
        <f t="shared" si="171"/>
        <v>0</v>
      </c>
      <c r="R157" s="185">
        <f t="shared" si="172"/>
        <v>0</v>
      </c>
      <c r="S157" s="185">
        <f t="shared" si="173"/>
        <v>0</v>
      </c>
      <c r="T157" s="185">
        <f t="shared" si="174"/>
        <v>0</v>
      </c>
      <c r="U157" s="196">
        <f>(C157&gt;0)*(C157&lt;$E$5)*VLOOKUP(MPP,ASUMSI!$BN$77:$CR$108,B157+1)*(1+$V$4)</f>
        <v>0</v>
      </c>
      <c r="V157" s="185">
        <f t="shared" si="175"/>
        <v>0</v>
      </c>
      <c r="W157" s="185">
        <f t="shared" si="176"/>
        <v>0</v>
      </c>
      <c r="X157" s="185">
        <f t="shared" si="177"/>
        <v>0</v>
      </c>
      <c r="Y157" s="185">
        <f t="shared" si="178"/>
        <v>0</v>
      </c>
      <c r="Z157" s="185">
        <f t="shared" si="179"/>
        <v>0</v>
      </c>
      <c r="AA157" s="197">
        <f t="shared" si="180"/>
        <v>0</v>
      </c>
      <c r="AB157" s="185">
        <f t="shared" si="181"/>
        <v>0</v>
      </c>
      <c r="AC157" s="185">
        <f t="shared" si="182"/>
        <v>0</v>
      </c>
      <c r="AD157" s="185">
        <f t="shared" si="183"/>
        <v>0</v>
      </c>
      <c r="AE157" s="185">
        <f t="shared" si="184"/>
        <v>0</v>
      </c>
      <c r="AF157" s="185">
        <f t="shared" si="185"/>
        <v>0</v>
      </c>
      <c r="AG157" s="185">
        <f t="shared" si="186"/>
        <v>0</v>
      </c>
      <c r="AH157" s="185">
        <f t="shared" si="187"/>
        <v>0</v>
      </c>
      <c r="AI157" s="125">
        <f>BEL!AI157</f>
        <v>0</v>
      </c>
      <c r="AJ157" s="125">
        <f>BEL!AJ157</f>
        <v>0</v>
      </c>
      <c r="AK157" s="125">
        <f>BEL!AK157</f>
        <v>0</v>
      </c>
      <c r="AL157" s="125">
        <f>BEL!AL157</f>
        <v>0</v>
      </c>
      <c r="AM157" s="125">
        <f>BEL!AM157</f>
        <v>0</v>
      </c>
      <c r="AN157" s="125">
        <f>BEL!AN157</f>
        <v>0</v>
      </c>
      <c r="AO157" s="198">
        <f t="shared" si="188"/>
        <v>0</v>
      </c>
      <c r="AP157" s="125">
        <f>BEL!AP157</f>
        <v>0</v>
      </c>
      <c r="AQ157" s="125">
        <f>BEL!AQ157</f>
        <v>0</v>
      </c>
      <c r="AR157" s="125">
        <f>BEL!AR157</f>
        <v>0</v>
      </c>
      <c r="AS157" s="125">
        <f>BEL!AS157</f>
        <v>0</v>
      </c>
      <c r="AT157" s="125">
        <f>BEL!AT157</f>
        <v>0</v>
      </c>
      <c r="AU157" s="127">
        <f>BEL!AU157</f>
        <v>0</v>
      </c>
      <c r="AV157" s="127">
        <f>BEL!AV157</f>
        <v>0</v>
      </c>
      <c r="AW157" s="127">
        <f>BEL!AW157</f>
        <v>0</v>
      </c>
      <c r="AX157" s="127">
        <f t="shared" si="189"/>
        <v>0</v>
      </c>
      <c r="AY157" s="127">
        <f t="shared" si="190"/>
        <v>0</v>
      </c>
      <c r="AZ157" s="127">
        <f t="shared" si="191"/>
        <v>0</v>
      </c>
      <c r="BA157" s="127">
        <f t="shared" si="192"/>
        <v>0</v>
      </c>
      <c r="BB157" s="127">
        <f t="shared" si="193"/>
        <v>0</v>
      </c>
      <c r="BC157" s="127">
        <f t="shared" si="194"/>
        <v>0</v>
      </c>
      <c r="BD157" s="127">
        <f t="shared" si="195"/>
        <v>0</v>
      </c>
      <c r="BE157" s="127">
        <f t="shared" si="196"/>
        <v>0</v>
      </c>
      <c r="BF157" s="127">
        <f t="shared" si="197"/>
        <v>0</v>
      </c>
      <c r="BG157" s="127">
        <f t="shared" si="198"/>
        <v>0</v>
      </c>
      <c r="BH157" s="127">
        <f t="shared" si="199"/>
        <v>0</v>
      </c>
      <c r="BI157" s="127">
        <f t="shared" si="200"/>
        <v>0</v>
      </c>
      <c r="BJ157" s="189">
        <f t="shared" si="201"/>
        <v>0</v>
      </c>
      <c r="BK157" s="189">
        <f t="shared" si="202"/>
        <v>0</v>
      </c>
      <c r="BL157" s="192">
        <f t="shared" si="203"/>
        <v>0</v>
      </c>
      <c r="BM157" s="192">
        <f t="shared" si="204"/>
        <v>0</v>
      </c>
      <c r="BN157" s="192">
        <f t="shared" si="205"/>
        <v>0</v>
      </c>
      <c r="BO157" s="192">
        <f t="shared" si="206"/>
        <v>0</v>
      </c>
      <c r="BP157" s="192">
        <f t="shared" si="207"/>
        <v>0</v>
      </c>
      <c r="BQ157" s="193">
        <f t="shared" si="208"/>
        <v>0</v>
      </c>
      <c r="BR157" s="193">
        <f t="shared" si="209"/>
        <v>0</v>
      </c>
      <c r="BS157" s="188">
        <f t="shared" si="210"/>
        <v>0</v>
      </c>
      <c r="BT157" s="188">
        <f t="shared" si="211"/>
        <v>0</v>
      </c>
      <c r="BU157" s="188">
        <f t="shared" si="212"/>
        <v>0</v>
      </c>
      <c r="BV157" s="188">
        <f t="shared" si="213"/>
        <v>0</v>
      </c>
      <c r="BW157" s="188">
        <f t="shared" si="214"/>
        <v>0</v>
      </c>
      <c r="BX157" s="188">
        <f t="shared" si="215"/>
        <v>0</v>
      </c>
      <c r="BY157" s="188">
        <f t="shared" si="216"/>
        <v>0</v>
      </c>
      <c r="BZ157" s="188">
        <f t="shared" si="217"/>
        <v>0</v>
      </c>
      <c r="CA157" s="188">
        <f t="shared" si="218"/>
        <v>0</v>
      </c>
      <c r="CB157" s="149">
        <f t="shared" si="219"/>
        <v>0</v>
      </c>
      <c r="CC157" s="149">
        <f>CB157-BEL!CB157</f>
        <v>0</v>
      </c>
      <c r="CD157" s="189">
        <f>IF(AND(C157=0,C158=0),0,CB157/W157) - BEL!CC157</f>
        <v>0</v>
      </c>
      <c r="CF157" s="195">
        <f t="shared" si="220"/>
        <v>0</v>
      </c>
      <c r="CG157" s="127">
        <f t="shared" si="221"/>
        <v>0</v>
      </c>
      <c r="CH157" s="128">
        <f>'DATA INPUT - DETAIL'!AH148</f>
        <v>0</v>
      </c>
      <c r="CI157" s="125">
        <f t="shared" si="222"/>
        <v>0</v>
      </c>
      <c r="CJ157" s="199">
        <f t="shared" si="223"/>
        <v>0</v>
      </c>
      <c r="CL157" s="189">
        <f t="shared" si="224"/>
        <v>0</v>
      </c>
      <c r="CM157" s="149">
        <f t="shared" si="225"/>
        <v>0</v>
      </c>
      <c r="CN157" s="128">
        <f>'DATA INPUT - DETAIL'!AH148</f>
        <v>0</v>
      </c>
      <c r="CO157" s="149">
        <f t="shared" si="226"/>
        <v>0</v>
      </c>
      <c r="CP157" s="149">
        <f t="shared" si="227"/>
        <v>0</v>
      </c>
      <c r="CR157" s="126">
        <f t="shared" si="231"/>
        <v>145</v>
      </c>
      <c r="CS157" s="189">
        <f t="shared" si="232"/>
        <v>0</v>
      </c>
      <c r="CT157" s="200">
        <f>CS157/(BEL!CE157+BEL!CA157-BEL!BU157+'RA CSM'!CF157)</f>
        <v>0</v>
      </c>
      <c r="CU157" s="149">
        <f>$CT157*BEL!CH157</f>
        <v>0</v>
      </c>
      <c r="CV157" s="149">
        <f>$CT157*BEL!CI157</f>
        <v>0</v>
      </c>
      <c r="CW157" s="149">
        <f>$CT157*BEL!CJ157</f>
        <v>0</v>
      </c>
      <c r="CX157" s="149">
        <f>$CT157*BEL!CK157</f>
        <v>0</v>
      </c>
      <c r="CY157" s="149">
        <f t="shared" si="229"/>
        <v>0</v>
      </c>
      <c r="CZ157" s="149">
        <f>$CT157*(BEL!CL157+'RA CSM'!CG157)</f>
        <v>0</v>
      </c>
      <c r="DA157" s="149">
        <f t="shared" si="230"/>
        <v>0</v>
      </c>
    </row>
    <row r="158" spans="2:105" x14ac:dyDescent="0.2">
      <c r="B158" s="130">
        <f>BEL!B158</f>
        <v>0</v>
      </c>
      <c r="C158" s="130">
        <f>BEL!C158</f>
        <v>0</v>
      </c>
      <c r="D158" s="190">
        <f>BEL!D158</f>
        <v>0</v>
      </c>
      <c r="E158" s="190">
        <f>BEL!E158</f>
        <v>0</v>
      </c>
      <c r="F158" s="190">
        <f>BEL!F158</f>
        <v>0</v>
      </c>
      <c r="G158" s="190">
        <f>BEL!G158*(1+$V$5)</f>
        <v>0</v>
      </c>
      <c r="H158" s="190">
        <f>BEL!H158*(1+$V$5)</f>
        <v>0</v>
      </c>
      <c r="I158" s="179">
        <f t="shared" si="167"/>
        <v>0</v>
      </c>
      <c r="J158" s="130">
        <f>BEL!J158</f>
        <v>0</v>
      </c>
      <c r="K158" s="130">
        <f>BEL!K158</f>
        <v>0</v>
      </c>
      <c r="L158" s="130">
        <f>BEL!L158</f>
        <v>0</v>
      </c>
      <c r="M158" s="185">
        <f t="shared" si="228"/>
        <v>0</v>
      </c>
      <c r="N158" s="185">
        <f t="shared" si="168"/>
        <v>0</v>
      </c>
      <c r="O158" s="185">
        <f t="shared" si="169"/>
        <v>0</v>
      </c>
      <c r="P158" s="185">
        <f t="shared" si="170"/>
        <v>0</v>
      </c>
      <c r="Q158" s="185">
        <f t="shared" si="171"/>
        <v>0</v>
      </c>
      <c r="R158" s="185">
        <f t="shared" si="172"/>
        <v>0</v>
      </c>
      <c r="S158" s="185">
        <f t="shared" si="173"/>
        <v>0</v>
      </c>
      <c r="T158" s="185">
        <f t="shared" si="174"/>
        <v>0</v>
      </c>
      <c r="U158" s="196">
        <f>(C158&gt;0)*(C158&lt;$E$5)*VLOOKUP(MPP,ASUMSI!$BN$77:$CR$108,B158+1)*(1+$V$4)</f>
        <v>0</v>
      </c>
      <c r="V158" s="185">
        <f t="shared" si="175"/>
        <v>0</v>
      </c>
      <c r="W158" s="185">
        <f t="shared" si="176"/>
        <v>0</v>
      </c>
      <c r="X158" s="185">
        <f t="shared" si="177"/>
        <v>0</v>
      </c>
      <c r="Y158" s="185">
        <f t="shared" si="178"/>
        <v>0</v>
      </c>
      <c r="Z158" s="185">
        <f t="shared" si="179"/>
        <v>0</v>
      </c>
      <c r="AA158" s="197">
        <f t="shared" si="180"/>
        <v>0</v>
      </c>
      <c r="AB158" s="185">
        <f t="shared" si="181"/>
        <v>0</v>
      </c>
      <c r="AC158" s="185">
        <f t="shared" si="182"/>
        <v>0</v>
      </c>
      <c r="AD158" s="185">
        <f t="shared" si="183"/>
        <v>0</v>
      </c>
      <c r="AE158" s="185">
        <f t="shared" si="184"/>
        <v>0</v>
      </c>
      <c r="AF158" s="185">
        <f t="shared" si="185"/>
        <v>0</v>
      </c>
      <c r="AG158" s="185">
        <f t="shared" si="186"/>
        <v>0</v>
      </c>
      <c r="AH158" s="185">
        <f t="shared" si="187"/>
        <v>0</v>
      </c>
      <c r="AI158" s="125">
        <f>BEL!AI158</f>
        <v>0</v>
      </c>
      <c r="AJ158" s="125">
        <f>BEL!AJ158</f>
        <v>0</v>
      </c>
      <c r="AK158" s="125">
        <f>BEL!AK158</f>
        <v>0</v>
      </c>
      <c r="AL158" s="125">
        <f>BEL!AL158</f>
        <v>0</v>
      </c>
      <c r="AM158" s="125">
        <f>BEL!AM158</f>
        <v>0</v>
      </c>
      <c r="AN158" s="125">
        <f>BEL!AN158</f>
        <v>0</v>
      </c>
      <c r="AO158" s="198">
        <f t="shared" si="188"/>
        <v>0</v>
      </c>
      <c r="AP158" s="125">
        <f>BEL!AP158</f>
        <v>0</v>
      </c>
      <c r="AQ158" s="125">
        <f>BEL!AQ158</f>
        <v>0</v>
      </c>
      <c r="AR158" s="125">
        <f>BEL!AR158</f>
        <v>0</v>
      </c>
      <c r="AS158" s="125">
        <f>BEL!AS158</f>
        <v>0</v>
      </c>
      <c r="AT158" s="125">
        <f>BEL!AT158</f>
        <v>0</v>
      </c>
      <c r="AU158" s="127">
        <f>BEL!AU158</f>
        <v>0</v>
      </c>
      <c r="AV158" s="127">
        <f>BEL!AV158</f>
        <v>0</v>
      </c>
      <c r="AW158" s="127">
        <f>BEL!AW158</f>
        <v>0</v>
      </c>
      <c r="AX158" s="127">
        <f t="shared" si="189"/>
        <v>0</v>
      </c>
      <c r="AY158" s="127">
        <f t="shared" si="190"/>
        <v>0</v>
      </c>
      <c r="AZ158" s="127">
        <f t="shared" si="191"/>
        <v>0</v>
      </c>
      <c r="BA158" s="127">
        <f t="shared" si="192"/>
        <v>0</v>
      </c>
      <c r="BB158" s="127">
        <f t="shared" si="193"/>
        <v>0</v>
      </c>
      <c r="BC158" s="127">
        <f t="shared" si="194"/>
        <v>0</v>
      </c>
      <c r="BD158" s="127">
        <f t="shared" si="195"/>
        <v>0</v>
      </c>
      <c r="BE158" s="127">
        <f t="shared" si="196"/>
        <v>0</v>
      </c>
      <c r="BF158" s="127">
        <f t="shared" si="197"/>
        <v>0</v>
      </c>
      <c r="BG158" s="127">
        <f t="shared" si="198"/>
        <v>0</v>
      </c>
      <c r="BH158" s="127">
        <f t="shared" si="199"/>
        <v>0</v>
      </c>
      <c r="BI158" s="127">
        <f t="shared" si="200"/>
        <v>0</v>
      </c>
      <c r="BJ158" s="189">
        <f t="shared" si="201"/>
        <v>0</v>
      </c>
      <c r="BK158" s="189">
        <f t="shared" si="202"/>
        <v>0</v>
      </c>
      <c r="BL158" s="192">
        <f t="shared" si="203"/>
        <v>0</v>
      </c>
      <c r="BM158" s="192">
        <f t="shared" si="204"/>
        <v>0</v>
      </c>
      <c r="BN158" s="192">
        <f t="shared" si="205"/>
        <v>0</v>
      </c>
      <c r="BO158" s="192">
        <f t="shared" si="206"/>
        <v>0</v>
      </c>
      <c r="BP158" s="192">
        <f t="shared" si="207"/>
        <v>0</v>
      </c>
      <c r="BQ158" s="193">
        <f t="shared" si="208"/>
        <v>0</v>
      </c>
      <c r="BR158" s="193">
        <f t="shared" si="209"/>
        <v>0</v>
      </c>
      <c r="BS158" s="188">
        <f t="shared" si="210"/>
        <v>0</v>
      </c>
      <c r="BT158" s="188">
        <f t="shared" si="211"/>
        <v>0</v>
      </c>
      <c r="BU158" s="188">
        <f t="shared" si="212"/>
        <v>0</v>
      </c>
      <c r="BV158" s="188">
        <f t="shared" si="213"/>
        <v>0</v>
      </c>
      <c r="BW158" s="188">
        <f t="shared" si="214"/>
        <v>0</v>
      </c>
      <c r="BX158" s="188">
        <f t="shared" si="215"/>
        <v>0</v>
      </c>
      <c r="BY158" s="188">
        <f t="shared" si="216"/>
        <v>0</v>
      </c>
      <c r="BZ158" s="188">
        <f t="shared" si="217"/>
        <v>0</v>
      </c>
      <c r="CA158" s="188">
        <f t="shared" si="218"/>
        <v>0</v>
      </c>
      <c r="CB158" s="149">
        <f t="shared" si="219"/>
        <v>0</v>
      </c>
      <c r="CC158" s="149">
        <f>CB158-BEL!CB158</f>
        <v>0</v>
      </c>
      <c r="CD158" s="189">
        <f>IF(AND(C158=0,C159=0),0,CB158/W158) - BEL!CC158</f>
        <v>0</v>
      </c>
      <c r="CF158" s="195">
        <f t="shared" si="220"/>
        <v>0</v>
      </c>
      <c r="CG158" s="127">
        <f t="shared" si="221"/>
        <v>0</v>
      </c>
      <c r="CH158" s="128">
        <f>'DATA INPUT - DETAIL'!AH149</f>
        <v>0</v>
      </c>
      <c r="CI158" s="125">
        <f t="shared" si="222"/>
        <v>0</v>
      </c>
      <c r="CJ158" s="199">
        <f t="shared" si="223"/>
        <v>0</v>
      </c>
      <c r="CL158" s="189">
        <f t="shared" si="224"/>
        <v>0</v>
      </c>
      <c r="CM158" s="149">
        <f t="shared" si="225"/>
        <v>0</v>
      </c>
      <c r="CN158" s="128">
        <f>'DATA INPUT - DETAIL'!AH149</f>
        <v>0</v>
      </c>
      <c r="CO158" s="149">
        <f t="shared" si="226"/>
        <v>0</v>
      </c>
      <c r="CP158" s="149">
        <f t="shared" si="227"/>
        <v>0</v>
      </c>
      <c r="CR158" s="126">
        <f t="shared" si="231"/>
        <v>146</v>
      </c>
      <c r="CS158" s="189">
        <f t="shared" si="232"/>
        <v>0</v>
      </c>
      <c r="CT158" s="200">
        <f>CS158/(BEL!CE158+BEL!CA158-BEL!BU158+'RA CSM'!CF158)</f>
        <v>0</v>
      </c>
      <c r="CU158" s="149">
        <f>$CT158*BEL!CH158</f>
        <v>0</v>
      </c>
      <c r="CV158" s="149">
        <f>$CT158*BEL!CI158</f>
        <v>0</v>
      </c>
      <c r="CW158" s="149">
        <f>$CT158*BEL!CJ158</f>
        <v>0</v>
      </c>
      <c r="CX158" s="149">
        <f>$CT158*BEL!CK158</f>
        <v>0</v>
      </c>
      <c r="CY158" s="149">
        <f t="shared" si="229"/>
        <v>0</v>
      </c>
      <c r="CZ158" s="149">
        <f>$CT158*(BEL!CL158+'RA CSM'!CG158)</f>
        <v>0</v>
      </c>
      <c r="DA158" s="149">
        <f t="shared" si="230"/>
        <v>0</v>
      </c>
    </row>
    <row r="159" spans="2:105" x14ac:dyDescent="0.2">
      <c r="B159" s="130">
        <f>BEL!B159</f>
        <v>0</v>
      </c>
      <c r="C159" s="130">
        <f>BEL!C159</f>
        <v>0</v>
      </c>
      <c r="D159" s="190">
        <f>BEL!D159</f>
        <v>0</v>
      </c>
      <c r="E159" s="190">
        <f>BEL!E159</f>
        <v>0</v>
      </c>
      <c r="F159" s="190">
        <f>BEL!F159</f>
        <v>0</v>
      </c>
      <c r="G159" s="190">
        <f>BEL!G159*(1+$V$5)</f>
        <v>0</v>
      </c>
      <c r="H159" s="190">
        <f>BEL!H159*(1+$V$5)</f>
        <v>0</v>
      </c>
      <c r="I159" s="179">
        <f t="shared" si="167"/>
        <v>0</v>
      </c>
      <c r="J159" s="130">
        <f>BEL!J159</f>
        <v>0</v>
      </c>
      <c r="K159" s="130">
        <f>BEL!K159</f>
        <v>0</v>
      </c>
      <c r="L159" s="130">
        <f>BEL!L159</f>
        <v>0</v>
      </c>
      <c r="M159" s="185">
        <f t="shared" si="228"/>
        <v>0</v>
      </c>
      <c r="N159" s="185">
        <f t="shared" si="168"/>
        <v>0</v>
      </c>
      <c r="O159" s="185">
        <f t="shared" si="169"/>
        <v>0</v>
      </c>
      <c r="P159" s="185">
        <f t="shared" si="170"/>
        <v>0</v>
      </c>
      <c r="Q159" s="185">
        <f t="shared" si="171"/>
        <v>0</v>
      </c>
      <c r="R159" s="185">
        <f t="shared" si="172"/>
        <v>0</v>
      </c>
      <c r="S159" s="185">
        <f t="shared" si="173"/>
        <v>0</v>
      </c>
      <c r="T159" s="185">
        <f t="shared" si="174"/>
        <v>0</v>
      </c>
      <c r="U159" s="196">
        <f>(C159&gt;0)*(C159&lt;$E$5)*VLOOKUP(MPP,ASUMSI!$BN$77:$CR$108,B159+1)*(1+$V$4)</f>
        <v>0</v>
      </c>
      <c r="V159" s="185">
        <f t="shared" si="175"/>
        <v>0</v>
      </c>
      <c r="W159" s="185">
        <f t="shared" si="176"/>
        <v>0</v>
      </c>
      <c r="X159" s="185">
        <f t="shared" si="177"/>
        <v>0</v>
      </c>
      <c r="Y159" s="185">
        <f t="shared" si="178"/>
        <v>0</v>
      </c>
      <c r="Z159" s="185">
        <f t="shared" si="179"/>
        <v>0</v>
      </c>
      <c r="AA159" s="197">
        <f t="shared" si="180"/>
        <v>0</v>
      </c>
      <c r="AB159" s="185">
        <f t="shared" si="181"/>
        <v>0</v>
      </c>
      <c r="AC159" s="185">
        <f t="shared" si="182"/>
        <v>0</v>
      </c>
      <c r="AD159" s="185">
        <f t="shared" si="183"/>
        <v>0</v>
      </c>
      <c r="AE159" s="185">
        <f t="shared" si="184"/>
        <v>0</v>
      </c>
      <c r="AF159" s="185">
        <f t="shared" si="185"/>
        <v>0</v>
      </c>
      <c r="AG159" s="185">
        <f t="shared" si="186"/>
        <v>0</v>
      </c>
      <c r="AH159" s="185">
        <f t="shared" si="187"/>
        <v>0</v>
      </c>
      <c r="AI159" s="125">
        <f>BEL!AI159</f>
        <v>0</v>
      </c>
      <c r="AJ159" s="125">
        <f>BEL!AJ159</f>
        <v>0</v>
      </c>
      <c r="AK159" s="125">
        <f>BEL!AK159</f>
        <v>0</v>
      </c>
      <c r="AL159" s="125">
        <f>BEL!AL159</f>
        <v>0</v>
      </c>
      <c r="AM159" s="125">
        <f>BEL!AM159</f>
        <v>0</v>
      </c>
      <c r="AN159" s="125">
        <f>BEL!AN159</f>
        <v>0</v>
      </c>
      <c r="AO159" s="198">
        <f t="shared" si="188"/>
        <v>0</v>
      </c>
      <c r="AP159" s="125">
        <f>BEL!AP159</f>
        <v>0</v>
      </c>
      <c r="AQ159" s="125">
        <f>BEL!AQ159</f>
        <v>0</v>
      </c>
      <c r="AR159" s="125">
        <f>BEL!AR159</f>
        <v>0</v>
      </c>
      <c r="AS159" s="125">
        <f>BEL!AS159</f>
        <v>0</v>
      </c>
      <c r="AT159" s="125">
        <f>BEL!AT159</f>
        <v>0</v>
      </c>
      <c r="AU159" s="127">
        <f>BEL!AU159</f>
        <v>0</v>
      </c>
      <c r="AV159" s="127">
        <f>BEL!AV159</f>
        <v>0</v>
      </c>
      <c r="AW159" s="127">
        <f>BEL!AW159</f>
        <v>0</v>
      </c>
      <c r="AX159" s="127">
        <f t="shared" si="189"/>
        <v>0</v>
      </c>
      <c r="AY159" s="127">
        <f t="shared" si="190"/>
        <v>0</v>
      </c>
      <c r="AZ159" s="127">
        <f t="shared" si="191"/>
        <v>0</v>
      </c>
      <c r="BA159" s="127">
        <f t="shared" si="192"/>
        <v>0</v>
      </c>
      <c r="BB159" s="127">
        <f t="shared" si="193"/>
        <v>0</v>
      </c>
      <c r="BC159" s="127">
        <f t="shared" si="194"/>
        <v>0</v>
      </c>
      <c r="BD159" s="127">
        <f t="shared" si="195"/>
        <v>0</v>
      </c>
      <c r="BE159" s="127">
        <f t="shared" si="196"/>
        <v>0</v>
      </c>
      <c r="BF159" s="127">
        <f t="shared" si="197"/>
        <v>0</v>
      </c>
      <c r="BG159" s="127">
        <f t="shared" si="198"/>
        <v>0</v>
      </c>
      <c r="BH159" s="127">
        <f t="shared" si="199"/>
        <v>0</v>
      </c>
      <c r="BI159" s="127">
        <f t="shared" si="200"/>
        <v>0</v>
      </c>
      <c r="BJ159" s="189">
        <f t="shared" si="201"/>
        <v>0</v>
      </c>
      <c r="BK159" s="189">
        <f t="shared" si="202"/>
        <v>0</v>
      </c>
      <c r="BL159" s="192">
        <f t="shared" si="203"/>
        <v>0</v>
      </c>
      <c r="BM159" s="192">
        <f t="shared" si="204"/>
        <v>0</v>
      </c>
      <c r="BN159" s="192">
        <f t="shared" si="205"/>
        <v>0</v>
      </c>
      <c r="BO159" s="192">
        <f t="shared" si="206"/>
        <v>0</v>
      </c>
      <c r="BP159" s="192">
        <f t="shared" si="207"/>
        <v>0</v>
      </c>
      <c r="BQ159" s="193">
        <f t="shared" si="208"/>
        <v>0</v>
      </c>
      <c r="BR159" s="193">
        <f t="shared" si="209"/>
        <v>0</v>
      </c>
      <c r="BS159" s="188">
        <f t="shared" si="210"/>
        <v>0</v>
      </c>
      <c r="BT159" s="188">
        <f t="shared" si="211"/>
        <v>0</v>
      </c>
      <c r="BU159" s="188">
        <f t="shared" si="212"/>
        <v>0</v>
      </c>
      <c r="BV159" s="188">
        <f t="shared" si="213"/>
        <v>0</v>
      </c>
      <c r="BW159" s="188">
        <f t="shared" si="214"/>
        <v>0</v>
      </c>
      <c r="BX159" s="188">
        <f t="shared" si="215"/>
        <v>0</v>
      </c>
      <c r="BY159" s="188">
        <f t="shared" si="216"/>
        <v>0</v>
      </c>
      <c r="BZ159" s="188">
        <f t="shared" si="217"/>
        <v>0</v>
      </c>
      <c r="CA159" s="188">
        <f t="shared" si="218"/>
        <v>0</v>
      </c>
      <c r="CB159" s="149">
        <f t="shared" si="219"/>
        <v>0</v>
      </c>
      <c r="CC159" s="149">
        <f>CB159-BEL!CB159</f>
        <v>0</v>
      </c>
      <c r="CD159" s="189">
        <f>IF(AND(C159=0,C160=0),0,CB159/W159) - BEL!CC159</f>
        <v>0</v>
      </c>
      <c r="CF159" s="195">
        <f t="shared" si="220"/>
        <v>0</v>
      </c>
      <c r="CG159" s="127">
        <f t="shared" si="221"/>
        <v>0</v>
      </c>
      <c r="CH159" s="128">
        <f>'DATA INPUT - DETAIL'!AH150</f>
        <v>0</v>
      </c>
      <c r="CI159" s="125">
        <f t="shared" si="222"/>
        <v>0</v>
      </c>
      <c r="CJ159" s="199">
        <f t="shared" si="223"/>
        <v>0</v>
      </c>
      <c r="CL159" s="189">
        <f t="shared" si="224"/>
        <v>0</v>
      </c>
      <c r="CM159" s="149">
        <f t="shared" si="225"/>
        <v>0</v>
      </c>
      <c r="CN159" s="128">
        <f>'DATA INPUT - DETAIL'!AH150</f>
        <v>0</v>
      </c>
      <c r="CO159" s="149">
        <f t="shared" si="226"/>
        <v>0</v>
      </c>
      <c r="CP159" s="149">
        <f t="shared" si="227"/>
        <v>0</v>
      </c>
      <c r="CR159" s="126">
        <f t="shared" si="231"/>
        <v>147</v>
      </c>
      <c r="CS159" s="189">
        <f t="shared" si="232"/>
        <v>0</v>
      </c>
      <c r="CT159" s="200">
        <f>CS159/(BEL!CE159+BEL!CA159-BEL!BU159+'RA CSM'!CF159)</f>
        <v>0</v>
      </c>
      <c r="CU159" s="149">
        <f>$CT159*BEL!CH159</f>
        <v>0</v>
      </c>
      <c r="CV159" s="149">
        <f>$CT159*BEL!CI159</f>
        <v>0</v>
      </c>
      <c r="CW159" s="149">
        <f>$CT159*BEL!CJ159</f>
        <v>0</v>
      </c>
      <c r="CX159" s="149">
        <f>$CT159*BEL!CK159</f>
        <v>0</v>
      </c>
      <c r="CY159" s="149">
        <f t="shared" si="229"/>
        <v>0</v>
      </c>
      <c r="CZ159" s="149">
        <f>$CT159*(BEL!CL159+'RA CSM'!CG159)</f>
        <v>0</v>
      </c>
      <c r="DA159" s="149">
        <f t="shared" si="230"/>
        <v>0</v>
      </c>
    </row>
    <row r="160" spans="2:105" x14ac:dyDescent="0.2">
      <c r="B160" s="130">
        <f>BEL!B160</f>
        <v>0</v>
      </c>
      <c r="C160" s="130">
        <f>BEL!C160</f>
        <v>0</v>
      </c>
      <c r="D160" s="190">
        <f>BEL!D160</f>
        <v>0</v>
      </c>
      <c r="E160" s="190">
        <f>BEL!E160</f>
        <v>0</v>
      </c>
      <c r="F160" s="190">
        <f>BEL!F160</f>
        <v>0</v>
      </c>
      <c r="G160" s="190">
        <f>BEL!G160*(1+$V$5)</f>
        <v>0</v>
      </c>
      <c r="H160" s="190">
        <f>BEL!H160*(1+$V$5)</f>
        <v>0</v>
      </c>
      <c r="I160" s="179">
        <f t="shared" si="167"/>
        <v>0</v>
      </c>
      <c r="J160" s="130">
        <f>BEL!J160</f>
        <v>0</v>
      </c>
      <c r="K160" s="130">
        <f>BEL!K160</f>
        <v>0</v>
      </c>
      <c r="L160" s="130">
        <f>BEL!L160</f>
        <v>0</v>
      </c>
      <c r="M160" s="185">
        <f t="shared" si="228"/>
        <v>0</v>
      </c>
      <c r="N160" s="185">
        <f t="shared" si="168"/>
        <v>0</v>
      </c>
      <c r="O160" s="185">
        <f t="shared" si="169"/>
        <v>0</v>
      </c>
      <c r="P160" s="185">
        <f t="shared" si="170"/>
        <v>0</v>
      </c>
      <c r="Q160" s="185">
        <f t="shared" si="171"/>
        <v>0</v>
      </c>
      <c r="R160" s="185">
        <f t="shared" si="172"/>
        <v>0</v>
      </c>
      <c r="S160" s="185">
        <f t="shared" si="173"/>
        <v>0</v>
      </c>
      <c r="T160" s="185">
        <f t="shared" si="174"/>
        <v>0</v>
      </c>
      <c r="U160" s="196">
        <f>(C160&gt;0)*(C160&lt;$E$5)*VLOOKUP(MPP,ASUMSI!$BN$77:$CR$108,B160+1)*(1+$V$4)</f>
        <v>0</v>
      </c>
      <c r="V160" s="185">
        <f t="shared" si="175"/>
        <v>0</v>
      </c>
      <c r="W160" s="185">
        <f t="shared" si="176"/>
        <v>0</v>
      </c>
      <c r="X160" s="185">
        <f t="shared" si="177"/>
        <v>0</v>
      </c>
      <c r="Y160" s="185">
        <f t="shared" si="178"/>
        <v>0</v>
      </c>
      <c r="Z160" s="185">
        <f t="shared" si="179"/>
        <v>0</v>
      </c>
      <c r="AA160" s="197">
        <f t="shared" si="180"/>
        <v>0</v>
      </c>
      <c r="AB160" s="185">
        <f t="shared" si="181"/>
        <v>0</v>
      </c>
      <c r="AC160" s="185">
        <f t="shared" si="182"/>
        <v>0</v>
      </c>
      <c r="AD160" s="185">
        <f t="shared" si="183"/>
        <v>0</v>
      </c>
      <c r="AE160" s="185">
        <f t="shared" si="184"/>
        <v>0</v>
      </c>
      <c r="AF160" s="185">
        <f t="shared" si="185"/>
        <v>0</v>
      </c>
      <c r="AG160" s="185">
        <f t="shared" si="186"/>
        <v>0</v>
      </c>
      <c r="AH160" s="185">
        <f t="shared" si="187"/>
        <v>0</v>
      </c>
      <c r="AI160" s="125">
        <f>BEL!AI160</f>
        <v>0</v>
      </c>
      <c r="AJ160" s="125">
        <f>BEL!AJ160</f>
        <v>0</v>
      </c>
      <c r="AK160" s="125">
        <f>BEL!AK160</f>
        <v>0</v>
      </c>
      <c r="AL160" s="125">
        <f>BEL!AL160</f>
        <v>0</v>
      </c>
      <c r="AM160" s="125">
        <f>BEL!AM160</f>
        <v>0</v>
      </c>
      <c r="AN160" s="125">
        <f>BEL!AN160</f>
        <v>0</v>
      </c>
      <c r="AO160" s="198">
        <f t="shared" si="188"/>
        <v>0</v>
      </c>
      <c r="AP160" s="125">
        <f>BEL!AP160</f>
        <v>0</v>
      </c>
      <c r="AQ160" s="125">
        <f>BEL!AQ160</f>
        <v>0</v>
      </c>
      <c r="AR160" s="125">
        <f>BEL!AR160</f>
        <v>0</v>
      </c>
      <c r="AS160" s="125">
        <f>BEL!AS160</f>
        <v>0</v>
      </c>
      <c r="AT160" s="125">
        <f>BEL!AT160</f>
        <v>0</v>
      </c>
      <c r="AU160" s="127">
        <f>BEL!AU160</f>
        <v>0</v>
      </c>
      <c r="AV160" s="127">
        <f>BEL!AV160</f>
        <v>0</v>
      </c>
      <c r="AW160" s="127">
        <f>BEL!AW160</f>
        <v>0</v>
      </c>
      <c r="AX160" s="127">
        <f t="shared" si="189"/>
        <v>0</v>
      </c>
      <c r="AY160" s="127">
        <f t="shared" si="190"/>
        <v>0</v>
      </c>
      <c r="AZ160" s="127">
        <f t="shared" si="191"/>
        <v>0</v>
      </c>
      <c r="BA160" s="127">
        <f t="shared" si="192"/>
        <v>0</v>
      </c>
      <c r="BB160" s="127">
        <f t="shared" si="193"/>
        <v>0</v>
      </c>
      <c r="BC160" s="127">
        <f t="shared" si="194"/>
        <v>0</v>
      </c>
      <c r="BD160" s="127">
        <f t="shared" si="195"/>
        <v>0</v>
      </c>
      <c r="BE160" s="127">
        <f t="shared" si="196"/>
        <v>0</v>
      </c>
      <c r="BF160" s="127">
        <f t="shared" si="197"/>
        <v>0</v>
      </c>
      <c r="BG160" s="127">
        <f t="shared" si="198"/>
        <v>0</v>
      </c>
      <c r="BH160" s="127">
        <f t="shared" si="199"/>
        <v>0</v>
      </c>
      <c r="BI160" s="127">
        <f t="shared" si="200"/>
        <v>0</v>
      </c>
      <c r="BJ160" s="189">
        <f t="shared" si="201"/>
        <v>0</v>
      </c>
      <c r="BK160" s="189">
        <f t="shared" si="202"/>
        <v>0</v>
      </c>
      <c r="BL160" s="192">
        <f t="shared" si="203"/>
        <v>0</v>
      </c>
      <c r="BM160" s="192">
        <f t="shared" si="204"/>
        <v>0</v>
      </c>
      <c r="BN160" s="192">
        <f t="shared" si="205"/>
        <v>0</v>
      </c>
      <c r="BO160" s="192">
        <f t="shared" si="206"/>
        <v>0</v>
      </c>
      <c r="BP160" s="192">
        <f t="shared" si="207"/>
        <v>0</v>
      </c>
      <c r="BQ160" s="193">
        <f t="shared" si="208"/>
        <v>0</v>
      </c>
      <c r="BR160" s="193">
        <f t="shared" si="209"/>
        <v>0</v>
      </c>
      <c r="BS160" s="188">
        <f t="shared" si="210"/>
        <v>0</v>
      </c>
      <c r="BT160" s="188">
        <f t="shared" si="211"/>
        <v>0</v>
      </c>
      <c r="BU160" s="188">
        <f t="shared" si="212"/>
        <v>0</v>
      </c>
      <c r="BV160" s="188">
        <f t="shared" si="213"/>
        <v>0</v>
      </c>
      <c r="BW160" s="188">
        <f t="shared" si="214"/>
        <v>0</v>
      </c>
      <c r="BX160" s="188">
        <f t="shared" si="215"/>
        <v>0</v>
      </c>
      <c r="BY160" s="188">
        <f t="shared" si="216"/>
        <v>0</v>
      </c>
      <c r="BZ160" s="188">
        <f t="shared" si="217"/>
        <v>0</v>
      </c>
      <c r="CA160" s="188">
        <f t="shared" si="218"/>
        <v>0</v>
      </c>
      <c r="CB160" s="149">
        <f t="shared" si="219"/>
        <v>0</v>
      </c>
      <c r="CC160" s="149">
        <f>CB160-BEL!CB160</f>
        <v>0</v>
      </c>
      <c r="CD160" s="189">
        <f>IF(AND(C160=0,C161=0),0,CB160/W160) - BEL!CC160</f>
        <v>0</v>
      </c>
      <c r="CF160" s="195">
        <f t="shared" si="220"/>
        <v>0</v>
      </c>
      <c r="CG160" s="127">
        <f t="shared" si="221"/>
        <v>0</v>
      </c>
      <c r="CH160" s="128">
        <f>'DATA INPUT - DETAIL'!AH151</f>
        <v>0</v>
      </c>
      <c r="CI160" s="125">
        <f t="shared" si="222"/>
        <v>0</v>
      </c>
      <c r="CJ160" s="199">
        <f t="shared" si="223"/>
        <v>0</v>
      </c>
      <c r="CL160" s="189">
        <f t="shared" si="224"/>
        <v>0</v>
      </c>
      <c r="CM160" s="149">
        <f t="shared" si="225"/>
        <v>0</v>
      </c>
      <c r="CN160" s="128">
        <f>'DATA INPUT - DETAIL'!AH151</f>
        <v>0</v>
      </c>
      <c r="CO160" s="149">
        <f t="shared" si="226"/>
        <v>0</v>
      </c>
      <c r="CP160" s="149">
        <f t="shared" si="227"/>
        <v>0</v>
      </c>
      <c r="CR160" s="126">
        <f t="shared" si="231"/>
        <v>148</v>
      </c>
      <c r="CS160" s="189">
        <f t="shared" si="232"/>
        <v>0</v>
      </c>
      <c r="CT160" s="200">
        <f>CS160/(BEL!CE160+BEL!CA160-BEL!BU160+'RA CSM'!CF160)</f>
        <v>0</v>
      </c>
      <c r="CU160" s="149">
        <f>$CT160*BEL!CH160</f>
        <v>0</v>
      </c>
      <c r="CV160" s="149">
        <f>$CT160*BEL!CI160</f>
        <v>0</v>
      </c>
      <c r="CW160" s="149">
        <f>$CT160*BEL!CJ160</f>
        <v>0</v>
      </c>
      <c r="CX160" s="149">
        <f>$CT160*BEL!CK160</f>
        <v>0</v>
      </c>
      <c r="CY160" s="149">
        <f t="shared" si="229"/>
        <v>0</v>
      </c>
      <c r="CZ160" s="149">
        <f>$CT160*(BEL!CL160+'RA CSM'!CG160)</f>
        <v>0</v>
      </c>
      <c r="DA160" s="149">
        <f t="shared" si="230"/>
        <v>0</v>
      </c>
    </row>
    <row r="161" spans="2:105" x14ac:dyDescent="0.2">
      <c r="B161" s="130">
        <f>BEL!B161</f>
        <v>0</v>
      </c>
      <c r="C161" s="130">
        <f>BEL!C161</f>
        <v>0</v>
      </c>
      <c r="D161" s="190">
        <f>BEL!D161</f>
        <v>0</v>
      </c>
      <c r="E161" s="190">
        <f>BEL!E161</f>
        <v>0</v>
      </c>
      <c r="F161" s="190">
        <f>BEL!F161</f>
        <v>0</v>
      </c>
      <c r="G161" s="190">
        <f>BEL!G161*(1+$V$5)</f>
        <v>0</v>
      </c>
      <c r="H161" s="190">
        <f>BEL!H161*(1+$V$5)</f>
        <v>0</v>
      </c>
      <c r="I161" s="179">
        <f t="shared" si="167"/>
        <v>0</v>
      </c>
      <c r="J161" s="130">
        <f>BEL!J161</f>
        <v>0</v>
      </c>
      <c r="K161" s="130">
        <f>BEL!K161</f>
        <v>0</v>
      </c>
      <c r="L161" s="130">
        <f>BEL!L161</f>
        <v>0</v>
      </c>
      <c r="M161" s="185">
        <f t="shared" si="228"/>
        <v>0</v>
      </c>
      <c r="N161" s="185">
        <f t="shared" si="168"/>
        <v>0</v>
      </c>
      <c r="O161" s="185">
        <f t="shared" si="169"/>
        <v>0</v>
      </c>
      <c r="P161" s="185">
        <f t="shared" si="170"/>
        <v>0</v>
      </c>
      <c r="Q161" s="185">
        <f t="shared" si="171"/>
        <v>0</v>
      </c>
      <c r="R161" s="185">
        <f t="shared" si="172"/>
        <v>0</v>
      </c>
      <c r="S161" s="185">
        <f t="shared" si="173"/>
        <v>0</v>
      </c>
      <c r="T161" s="185">
        <f t="shared" si="174"/>
        <v>0</v>
      </c>
      <c r="U161" s="196">
        <f>(C161&gt;0)*(C161&lt;$E$5)*VLOOKUP(MPP,ASUMSI!$BN$77:$CR$108,B161+1)*(1+$V$4)</f>
        <v>0</v>
      </c>
      <c r="V161" s="185">
        <f t="shared" si="175"/>
        <v>0</v>
      </c>
      <c r="W161" s="185">
        <f t="shared" si="176"/>
        <v>0</v>
      </c>
      <c r="X161" s="185">
        <f t="shared" si="177"/>
        <v>0</v>
      </c>
      <c r="Y161" s="185">
        <f t="shared" si="178"/>
        <v>0</v>
      </c>
      <c r="Z161" s="185">
        <f t="shared" si="179"/>
        <v>0</v>
      </c>
      <c r="AA161" s="197">
        <f t="shared" si="180"/>
        <v>0</v>
      </c>
      <c r="AB161" s="185">
        <f t="shared" si="181"/>
        <v>0</v>
      </c>
      <c r="AC161" s="185">
        <f t="shared" si="182"/>
        <v>0</v>
      </c>
      <c r="AD161" s="185">
        <f t="shared" si="183"/>
        <v>0</v>
      </c>
      <c r="AE161" s="185">
        <f t="shared" si="184"/>
        <v>0</v>
      </c>
      <c r="AF161" s="185">
        <f t="shared" si="185"/>
        <v>0</v>
      </c>
      <c r="AG161" s="185">
        <f t="shared" si="186"/>
        <v>0</v>
      </c>
      <c r="AH161" s="185">
        <f t="shared" si="187"/>
        <v>0</v>
      </c>
      <c r="AI161" s="125">
        <f>BEL!AI161</f>
        <v>0</v>
      </c>
      <c r="AJ161" s="125">
        <f>BEL!AJ161</f>
        <v>0</v>
      </c>
      <c r="AK161" s="125">
        <f>BEL!AK161</f>
        <v>0</v>
      </c>
      <c r="AL161" s="125">
        <f>BEL!AL161</f>
        <v>0</v>
      </c>
      <c r="AM161" s="125">
        <f>BEL!AM161</f>
        <v>0</v>
      </c>
      <c r="AN161" s="125">
        <f>BEL!AN161</f>
        <v>0</v>
      </c>
      <c r="AO161" s="198">
        <f t="shared" si="188"/>
        <v>0</v>
      </c>
      <c r="AP161" s="125">
        <f>BEL!AP161</f>
        <v>0</v>
      </c>
      <c r="AQ161" s="125">
        <f>BEL!AQ161</f>
        <v>0</v>
      </c>
      <c r="AR161" s="125">
        <f>BEL!AR161</f>
        <v>0</v>
      </c>
      <c r="AS161" s="125">
        <f>BEL!AS161</f>
        <v>0</v>
      </c>
      <c r="AT161" s="125">
        <f>BEL!AT161</f>
        <v>0</v>
      </c>
      <c r="AU161" s="127">
        <f>BEL!AU161</f>
        <v>0</v>
      </c>
      <c r="AV161" s="127">
        <f>BEL!AV161</f>
        <v>0</v>
      </c>
      <c r="AW161" s="127">
        <f>BEL!AW161</f>
        <v>0</v>
      </c>
      <c r="AX161" s="127">
        <f t="shared" si="189"/>
        <v>0</v>
      </c>
      <c r="AY161" s="127">
        <f t="shared" si="190"/>
        <v>0</v>
      </c>
      <c r="AZ161" s="127">
        <f t="shared" si="191"/>
        <v>0</v>
      </c>
      <c r="BA161" s="127">
        <f t="shared" si="192"/>
        <v>0</v>
      </c>
      <c r="BB161" s="127">
        <f t="shared" si="193"/>
        <v>0</v>
      </c>
      <c r="BC161" s="127">
        <f t="shared" si="194"/>
        <v>0</v>
      </c>
      <c r="BD161" s="127">
        <f t="shared" si="195"/>
        <v>0</v>
      </c>
      <c r="BE161" s="127">
        <f t="shared" si="196"/>
        <v>0</v>
      </c>
      <c r="BF161" s="127">
        <f t="shared" si="197"/>
        <v>0</v>
      </c>
      <c r="BG161" s="127">
        <f t="shared" si="198"/>
        <v>0</v>
      </c>
      <c r="BH161" s="127">
        <f t="shared" si="199"/>
        <v>0</v>
      </c>
      <c r="BI161" s="127">
        <f t="shared" si="200"/>
        <v>0</v>
      </c>
      <c r="BJ161" s="189">
        <f t="shared" si="201"/>
        <v>0</v>
      </c>
      <c r="BK161" s="189">
        <f t="shared" si="202"/>
        <v>0</v>
      </c>
      <c r="BL161" s="192">
        <f t="shared" si="203"/>
        <v>0</v>
      </c>
      <c r="BM161" s="192">
        <f t="shared" si="204"/>
        <v>0</v>
      </c>
      <c r="BN161" s="192">
        <f t="shared" si="205"/>
        <v>0</v>
      </c>
      <c r="BO161" s="192">
        <f t="shared" si="206"/>
        <v>0</v>
      </c>
      <c r="BP161" s="192">
        <f t="shared" si="207"/>
        <v>0</v>
      </c>
      <c r="BQ161" s="193">
        <f t="shared" si="208"/>
        <v>0</v>
      </c>
      <c r="BR161" s="193">
        <f t="shared" si="209"/>
        <v>0</v>
      </c>
      <c r="BS161" s="188">
        <f t="shared" si="210"/>
        <v>0</v>
      </c>
      <c r="BT161" s="188">
        <f t="shared" si="211"/>
        <v>0</v>
      </c>
      <c r="BU161" s="188">
        <f t="shared" si="212"/>
        <v>0</v>
      </c>
      <c r="BV161" s="188">
        <f t="shared" si="213"/>
        <v>0</v>
      </c>
      <c r="BW161" s="188">
        <f t="shared" si="214"/>
        <v>0</v>
      </c>
      <c r="BX161" s="188">
        <f t="shared" si="215"/>
        <v>0</v>
      </c>
      <c r="BY161" s="188">
        <f t="shared" si="216"/>
        <v>0</v>
      </c>
      <c r="BZ161" s="188">
        <f t="shared" si="217"/>
        <v>0</v>
      </c>
      <c r="CA161" s="188">
        <f t="shared" si="218"/>
        <v>0</v>
      </c>
      <c r="CB161" s="149">
        <f t="shared" si="219"/>
        <v>0</v>
      </c>
      <c r="CC161" s="149">
        <f>CB161-BEL!CB161</f>
        <v>0</v>
      </c>
      <c r="CD161" s="189">
        <f>IF(AND(C161=0,C162=0),0,CB161/W161) - BEL!CC161</f>
        <v>0</v>
      </c>
      <c r="CF161" s="195">
        <f t="shared" si="220"/>
        <v>0</v>
      </c>
      <c r="CG161" s="127">
        <f t="shared" si="221"/>
        <v>0</v>
      </c>
      <c r="CH161" s="128">
        <f>'DATA INPUT - DETAIL'!AH152</f>
        <v>0</v>
      </c>
      <c r="CI161" s="125">
        <f t="shared" si="222"/>
        <v>0</v>
      </c>
      <c r="CJ161" s="199">
        <f t="shared" si="223"/>
        <v>0</v>
      </c>
      <c r="CL161" s="189">
        <f t="shared" si="224"/>
        <v>0</v>
      </c>
      <c r="CM161" s="149">
        <f t="shared" si="225"/>
        <v>0</v>
      </c>
      <c r="CN161" s="128">
        <f>'DATA INPUT - DETAIL'!AH152</f>
        <v>0</v>
      </c>
      <c r="CO161" s="149">
        <f t="shared" si="226"/>
        <v>0</v>
      </c>
      <c r="CP161" s="149">
        <f t="shared" si="227"/>
        <v>0</v>
      </c>
      <c r="CR161" s="126">
        <f t="shared" si="231"/>
        <v>149</v>
      </c>
      <c r="CS161" s="189">
        <f t="shared" si="232"/>
        <v>0</v>
      </c>
      <c r="CT161" s="200">
        <f>CS161/(BEL!CE161+BEL!CA161-BEL!BU161+'RA CSM'!CF161)</f>
        <v>0</v>
      </c>
      <c r="CU161" s="149">
        <f>$CT161*BEL!CH161</f>
        <v>0</v>
      </c>
      <c r="CV161" s="149">
        <f>$CT161*BEL!CI161</f>
        <v>0</v>
      </c>
      <c r="CW161" s="149">
        <f>$CT161*BEL!CJ161</f>
        <v>0</v>
      </c>
      <c r="CX161" s="149">
        <f>$CT161*BEL!CK161</f>
        <v>0</v>
      </c>
      <c r="CY161" s="149">
        <f t="shared" si="229"/>
        <v>0</v>
      </c>
      <c r="CZ161" s="149">
        <f>$CT161*(BEL!CL161+'RA CSM'!CG161)</f>
        <v>0</v>
      </c>
      <c r="DA161" s="149">
        <f t="shared" si="230"/>
        <v>0</v>
      </c>
    </row>
    <row r="162" spans="2:105" x14ac:dyDescent="0.2">
      <c r="B162" s="130">
        <f>BEL!B162</f>
        <v>0</v>
      </c>
      <c r="C162" s="130">
        <f>BEL!C162</f>
        <v>0</v>
      </c>
      <c r="D162" s="190">
        <f>BEL!D162</f>
        <v>0</v>
      </c>
      <c r="E162" s="190">
        <f>BEL!E162</f>
        <v>0</v>
      </c>
      <c r="F162" s="190">
        <f>BEL!F162</f>
        <v>0</v>
      </c>
      <c r="G162" s="190">
        <f>BEL!G162*(1+$V$5)</f>
        <v>0</v>
      </c>
      <c r="H162" s="190">
        <f>BEL!H162*(1+$V$5)</f>
        <v>0</v>
      </c>
      <c r="I162" s="179">
        <f t="shared" si="167"/>
        <v>0</v>
      </c>
      <c r="J162" s="130">
        <f>BEL!J162</f>
        <v>0</v>
      </c>
      <c r="K162" s="130">
        <f>BEL!K162</f>
        <v>0</v>
      </c>
      <c r="L162" s="130">
        <f>BEL!L162</f>
        <v>0</v>
      </c>
      <c r="M162" s="185">
        <f t="shared" si="228"/>
        <v>0</v>
      </c>
      <c r="N162" s="185">
        <f t="shared" si="168"/>
        <v>0</v>
      </c>
      <c r="O162" s="185">
        <f t="shared" si="169"/>
        <v>0</v>
      </c>
      <c r="P162" s="185">
        <f t="shared" si="170"/>
        <v>0</v>
      </c>
      <c r="Q162" s="185">
        <f t="shared" si="171"/>
        <v>0</v>
      </c>
      <c r="R162" s="185">
        <f t="shared" si="172"/>
        <v>0</v>
      </c>
      <c r="S162" s="185">
        <f t="shared" si="173"/>
        <v>0</v>
      </c>
      <c r="T162" s="185">
        <f t="shared" si="174"/>
        <v>0</v>
      </c>
      <c r="U162" s="196">
        <f>(C162&gt;0)*(C162&lt;$E$5)*VLOOKUP(MPP,ASUMSI!$BN$77:$CR$108,B162+1)*(1+$V$4)</f>
        <v>0</v>
      </c>
      <c r="V162" s="185">
        <f t="shared" si="175"/>
        <v>0</v>
      </c>
      <c r="W162" s="185">
        <f t="shared" si="176"/>
        <v>0</v>
      </c>
      <c r="X162" s="185">
        <f t="shared" si="177"/>
        <v>0</v>
      </c>
      <c r="Y162" s="185">
        <f t="shared" si="178"/>
        <v>0</v>
      </c>
      <c r="Z162" s="185">
        <f t="shared" si="179"/>
        <v>0</v>
      </c>
      <c r="AA162" s="197">
        <f t="shared" si="180"/>
        <v>0</v>
      </c>
      <c r="AB162" s="185">
        <f t="shared" si="181"/>
        <v>0</v>
      </c>
      <c r="AC162" s="185">
        <f t="shared" si="182"/>
        <v>0</v>
      </c>
      <c r="AD162" s="185">
        <f t="shared" si="183"/>
        <v>0</v>
      </c>
      <c r="AE162" s="185">
        <f t="shared" si="184"/>
        <v>0</v>
      </c>
      <c r="AF162" s="185">
        <f t="shared" si="185"/>
        <v>0</v>
      </c>
      <c r="AG162" s="185">
        <f t="shared" si="186"/>
        <v>0</v>
      </c>
      <c r="AH162" s="185">
        <f t="shared" si="187"/>
        <v>0</v>
      </c>
      <c r="AI162" s="125">
        <f>BEL!AI162</f>
        <v>0</v>
      </c>
      <c r="AJ162" s="125">
        <f>BEL!AJ162</f>
        <v>0</v>
      </c>
      <c r="AK162" s="125">
        <f>BEL!AK162</f>
        <v>0</v>
      </c>
      <c r="AL162" s="125">
        <f>BEL!AL162</f>
        <v>0</v>
      </c>
      <c r="AM162" s="125">
        <f>BEL!AM162</f>
        <v>0</v>
      </c>
      <c r="AN162" s="125">
        <f>BEL!AN162</f>
        <v>0</v>
      </c>
      <c r="AO162" s="198">
        <f t="shared" si="188"/>
        <v>0</v>
      </c>
      <c r="AP162" s="125">
        <f>BEL!AP162</f>
        <v>0</v>
      </c>
      <c r="AQ162" s="125">
        <f>BEL!AQ162</f>
        <v>0</v>
      </c>
      <c r="AR162" s="125">
        <f>BEL!AR162</f>
        <v>0</v>
      </c>
      <c r="AS162" s="125">
        <f>BEL!AS162</f>
        <v>0</v>
      </c>
      <c r="AT162" s="125">
        <f>BEL!AT162</f>
        <v>0</v>
      </c>
      <c r="AU162" s="127">
        <f>BEL!AU162</f>
        <v>0</v>
      </c>
      <c r="AV162" s="127">
        <f>BEL!AV162</f>
        <v>0</v>
      </c>
      <c r="AW162" s="127">
        <f>BEL!AW162</f>
        <v>0</v>
      </c>
      <c r="AX162" s="127">
        <f t="shared" si="189"/>
        <v>0</v>
      </c>
      <c r="AY162" s="127">
        <f t="shared" si="190"/>
        <v>0</v>
      </c>
      <c r="AZ162" s="127">
        <f t="shared" si="191"/>
        <v>0</v>
      </c>
      <c r="BA162" s="127">
        <f t="shared" si="192"/>
        <v>0</v>
      </c>
      <c r="BB162" s="127">
        <f t="shared" si="193"/>
        <v>0</v>
      </c>
      <c r="BC162" s="127">
        <f t="shared" si="194"/>
        <v>0</v>
      </c>
      <c r="BD162" s="127">
        <f t="shared" si="195"/>
        <v>0</v>
      </c>
      <c r="BE162" s="127">
        <f t="shared" si="196"/>
        <v>0</v>
      </c>
      <c r="BF162" s="127">
        <f t="shared" si="197"/>
        <v>0</v>
      </c>
      <c r="BG162" s="127">
        <f t="shared" si="198"/>
        <v>0</v>
      </c>
      <c r="BH162" s="127">
        <f t="shared" si="199"/>
        <v>0</v>
      </c>
      <c r="BI162" s="127">
        <f t="shared" si="200"/>
        <v>0</v>
      </c>
      <c r="BJ162" s="189">
        <f t="shared" si="201"/>
        <v>0</v>
      </c>
      <c r="BK162" s="189">
        <f t="shared" si="202"/>
        <v>0</v>
      </c>
      <c r="BL162" s="192">
        <f t="shared" si="203"/>
        <v>0</v>
      </c>
      <c r="BM162" s="192">
        <f t="shared" si="204"/>
        <v>0</v>
      </c>
      <c r="BN162" s="192">
        <f t="shared" si="205"/>
        <v>0</v>
      </c>
      <c r="BO162" s="192">
        <f t="shared" si="206"/>
        <v>0</v>
      </c>
      <c r="BP162" s="192">
        <f t="shared" si="207"/>
        <v>0</v>
      </c>
      <c r="BQ162" s="193">
        <f t="shared" si="208"/>
        <v>0</v>
      </c>
      <c r="BR162" s="193">
        <f t="shared" si="209"/>
        <v>0</v>
      </c>
      <c r="BS162" s="188">
        <f t="shared" si="210"/>
        <v>0</v>
      </c>
      <c r="BT162" s="188">
        <f t="shared" si="211"/>
        <v>0</v>
      </c>
      <c r="BU162" s="188">
        <f t="shared" si="212"/>
        <v>0</v>
      </c>
      <c r="BV162" s="188">
        <f t="shared" si="213"/>
        <v>0</v>
      </c>
      <c r="BW162" s="188">
        <f t="shared" si="214"/>
        <v>0</v>
      </c>
      <c r="BX162" s="188">
        <f t="shared" si="215"/>
        <v>0</v>
      </c>
      <c r="BY162" s="188">
        <f t="shared" si="216"/>
        <v>0</v>
      </c>
      <c r="BZ162" s="188">
        <f t="shared" si="217"/>
        <v>0</v>
      </c>
      <c r="CA162" s="188">
        <f t="shared" si="218"/>
        <v>0</v>
      </c>
      <c r="CB162" s="149">
        <f t="shared" si="219"/>
        <v>0</v>
      </c>
      <c r="CC162" s="149">
        <f>CB162-BEL!CB162</f>
        <v>0</v>
      </c>
      <c r="CD162" s="189">
        <f>IF(AND(C162=0,C163=0),0,CB162/W162) - BEL!CC162</f>
        <v>0</v>
      </c>
      <c r="CF162" s="195">
        <f t="shared" si="220"/>
        <v>0</v>
      </c>
      <c r="CG162" s="127">
        <f t="shared" si="221"/>
        <v>0</v>
      </c>
      <c r="CH162" s="128">
        <f>'DATA INPUT - DETAIL'!AH153</f>
        <v>0</v>
      </c>
      <c r="CI162" s="125">
        <f t="shared" si="222"/>
        <v>0</v>
      </c>
      <c r="CJ162" s="199">
        <f t="shared" si="223"/>
        <v>0</v>
      </c>
      <c r="CL162" s="189">
        <f t="shared" si="224"/>
        <v>0</v>
      </c>
      <c r="CM162" s="149">
        <f t="shared" si="225"/>
        <v>0</v>
      </c>
      <c r="CN162" s="128">
        <f>'DATA INPUT - DETAIL'!AH153</f>
        <v>0</v>
      </c>
      <c r="CO162" s="149">
        <f t="shared" si="226"/>
        <v>0</v>
      </c>
      <c r="CP162" s="149">
        <f t="shared" si="227"/>
        <v>0</v>
      </c>
      <c r="CR162" s="126">
        <f t="shared" si="231"/>
        <v>150</v>
      </c>
      <c r="CS162" s="189">
        <f t="shared" si="232"/>
        <v>0</v>
      </c>
      <c r="CT162" s="200">
        <f>CS162/(BEL!CE162+BEL!CA162-BEL!BU162+'RA CSM'!CF162)</f>
        <v>0</v>
      </c>
      <c r="CU162" s="149">
        <f>$CT162*BEL!CH162</f>
        <v>0</v>
      </c>
      <c r="CV162" s="149">
        <f>$CT162*BEL!CI162</f>
        <v>0</v>
      </c>
      <c r="CW162" s="149">
        <f>$CT162*BEL!CJ162</f>
        <v>0</v>
      </c>
      <c r="CX162" s="149">
        <f>$CT162*BEL!CK162</f>
        <v>0</v>
      </c>
      <c r="CY162" s="149">
        <f t="shared" si="229"/>
        <v>0</v>
      </c>
      <c r="CZ162" s="149">
        <f>$CT162*(BEL!CL162+'RA CSM'!CG162)</f>
        <v>0</v>
      </c>
      <c r="DA162" s="149">
        <f t="shared" si="230"/>
        <v>0</v>
      </c>
    </row>
    <row r="163" spans="2:105" x14ac:dyDescent="0.2">
      <c r="B163" s="130">
        <f>BEL!B163</f>
        <v>0</v>
      </c>
      <c r="C163" s="130">
        <f>BEL!C163</f>
        <v>0</v>
      </c>
      <c r="D163" s="190">
        <f>BEL!D163</f>
        <v>0</v>
      </c>
      <c r="E163" s="190">
        <f>BEL!E163</f>
        <v>0</v>
      </c>
      <c r="F163" s="190">
        <f>BEL!F163</f>
        <v>0</v>
      </c>
      <c r="G163" s="190">
        <f>BEL!G163*(1+$V$5)</f>
        <v>0</v>
      </c>
      <c r="H163" s="190">
        <f>BEL!H163*(1+$V$5)</f>
        <v>0</v>
      </c>
      <c r="I163" s="179">
        <f t="shared" si="167"/>
        <v>0</v>
      </c>
      <c r="J163" s="130">
        <f>BEL!J163</f>
        <v>0</v>
      </c>
      <c r="K163" s="130">
        <f>BEL!K163</f>
        <v>0</v>
      </c>
      <c r="L163" s="130">
        <f>BEL!L163</f>
        <v>0</v>
      </c>
      <c r="M163" s="185">
        <f t="shared" si="228"/>
        <v>0</v>
      </c>
      <c r="N163" s="185">
        <f t="shared" si="168"/>
        <v>0</v>
      </c>
      <c r="O163" s="185">
        <f t="shared" si="169"/>
        <v>0</v>
      </c>
      <c r="P163" s="185">
        <f t="shared" si="170"/>
        <v>0</v>
      </c>
      <c r="Q163" s="185">
        <f t="shared" si="171"/>
        <v>0</v>
      </c>
      <c r="R163" s="185">
        <f t="shared" si="172"/>
        <v>0</v>
      </c>
      <c r="S163" s="185">
        <f t="shared" si="173"/>
        <v>0</v>
      </c>
      <c r="T163" s="185">
        <f t="shared" si="174"/>
        <v>0</v>
      </c>
      <c r="U163" s="196">
        <f>(C163&gt;0)*(C163&lt;$E$5)*VLOOKUP(MPP,ASUMSI!$BN$77:$CR$108,B163+1)*(1+$V$4)</f>
        <v>0</v>
      </c>
      <c r="V163" s="185">
        <f t="shared" si="175"/>
        <v>0</v>
      </c>
      <c r="W163" s="185">
        <f t="shared" si="176"/>
        <v>0</v>
      </c>
      <c r="X163" s="185">
        <f t="shared" si="177"/>
        <v>0</v>
      </c>
      <c r="Y163" s="185">
        <f t="shared" si="178"/>
        <v>0</v>
      </c>
      <c r="Z163" s="185">
        <f t="shared" si="179"/>
        <v>0</v>
      </c>
      <c r="AA163" s="197">
        <f t="shared" si="180"/>
        <v>0</v>
      </c>
      <c r="AB163" s="185">
        <f t="shared" si="181"/>
        <v>0</v>
      </c>
      <c r="AC163" s="185">
        <f t="shared" si="182"/>
        <v>0</v>
      </c>
      <c r="AD163" s="185">
        <f t="shared" si="183"/>
        <v>0</v>
      </c>
      <c r="AE163" s="185">
        <f t="shared" si="184"/>
        <v>0</v>
      </c>
      <c r="AF163" s="185">
        <f t="shared" si="185"/>
        <v>0</v>
      </c>
      <c r="AG163" s="185">
        <f t="shared" si="186"/>
        <v>0</v>
      </c>
      <c r="AH163" s="185">
        <f t="shared" si="187"/>
        <v>0</v>
      </c>
      <c r="AI163" s="125">
        <f>BEL!AI163</f>
        <v>0</v>
      </c>
      <c r="AJ163" s="125">
        <f>BEL!AJ163</f>
        <v>0</v>
      </c>
      <c r="AK163" s="125">
        <f>BEL!AK163</f>
        <v>0</v>
      </c>
      <c r="AL163" s="125">
        <f>BEL!AL163</f>
        <v>0</v>
      </c>
      <c r="AM163" s="125">
        <f>BEL!AM163</f>
        <v>0</v>
      </c>
      <c r="AN163" s="125">
        <f>BEL!AN163</f>
        <v>0</v>
      </c>
      <c r="AO163" s="198">
        <f t="shared" si="188"/>
        <v>0</v>
      </c>
      <c r="AP163" s="125">
        <f>BEL!AP163</f>
        <v>0</v>
      </c>
      <c r="AQ163" s="125">
        <f>BEL!AQ163</f>
        <v>0</v>
      </c>
      <c r="AR163" s="125">
        <f>BEL!AR163</f>
        <v>0</v>
      </c>
      <c r="AS163" s="125">
        <f>BEL!AS163</f>
        <v>0</v>
      </c>
      <c r="AT163" s="125">
        <f>BEL!AT163</f>
        <v>0</v>
      </c>
      <c r="AU163" s="127">
        <f>BEL!AU163</f>
        <v>0</v>
      </c>
      <c r="AV163" s="127">
        <f>BEL!AV163</f>
        <v>0</v>
      </c>
      <c r="AW163" s="127">
        <f>BEL!AW163</f>
        <v>0</v>
      </c>
      <c r="AX163" s="127">
        <f t="shared" si="189"/>
        <v>0</v>
      </c>
      <c r="AY163" s="127">
        <f t="shared" si="190"/>
        <v>0</v>
      </c>
      <c r="AZ163" s="127">
        <f t="shared" si="191"/>
        <v>0</v>
      </c>
      <c r="BA163" s="127">
        <f t="shared" si="192"/>
        <v>0</v>
      </c>
      <c r="BB163" s="127">
        <f t="shared" si="193"/>
        <v>0</v>
      </c>
      <c r="BC163" s="127">
        <f t="shared" si="194"/>
        <v>0</v>
      </c>
      <c r="BD163" s="127">
        <f t="shared" si="195"/>
        <v>0</v>
      </c>
      <c r="BE163" s="127">
        <f t="shared" si="196"/>
        <v>0</v>
      </c>
      <c r="BF163" s="127">
        <f t="shared" si="197"/>
        <v>0</v>
      </c>
      <c r="BG163" s="127">
        <f t="shared" si="198"/>
        <v>0</v>
      </c>
      <c r="BH163" s="127">
        <f t="shared" si="199"/>
        <v>0</v>
      </c>
      <c r="BI163" s="127">
        <f t="shared" si="200"/>
        <v>0</v>
      </c>
      <c r="BJ163" s="189">
        <f t="shared" si="201"/>
        <v>0</v>
      </c>
      <c r="BK163" s="189">
        <f t="shared" si="202"/>
        <v>0</v>
      </c>
      <c r="BL163" s="192">
        <f t="shared" si="203"/>
        <v>0</v>
      </c>
      <c r="BM163" s="192">
        <f t="shared" si="204"/>
        <v>0</v>
      </c>
      <c r="BN163" s="192">
        <f t="shared" si="205"/>
        <v>0</v>
      </c>
      <c r="BO163" s="192">
        <f t="shared" si="206"/>
        <v>0</v>
      </c>
      <c r="BP163" s="192">
        <f t="shared" si="207"/>
        <v>0</v>
      </c>
      <c r="BQ163" s="193">
        <f t="shared" si="208"/>
        <v>0</v>
      </c>
      <c r="BR163" s="193">
        <f t="shared" si="209"/>
        <v>0</v>
      </c>
      <c r="BS163" s="188">
        <f t="shared" si="210"/>
        <v>0</v>
      </c>
      <c r="BT163" s="188">
        <f t="shared" si="211"/>
        <v>0</v>
      </c>
      <c r="BU163" s="188">
        <f t="shared" si="212"/>
        <v>0</v>
      </c>
      <c r="BV163" s="188">
        <f t="shared" si="213"/>
        <v>0</v>
      </c>
      <c r="BW163" s="188">
        <f t="shared" si="214"/>
        <v>0</v>
      </c>
      <c r="BX163" s="188">
        <f t="shared" si="215"/>
        <v>0</v>
      </c>
      <c r="BY163" s="188">
        <f t="shared" si="216"/>
        <v>0</v>
      </c>
      <c r="BZ163" s="188">
        <f t="shared" si="217"/>
        <v>0</v>
      </c>
      <c r="CA163" s="188">
        <f t="shared" si="218"/>
        <v>0</v>
      </c>
      <c r="CB163" s="149">
        <f t="shared" si="219"/>
        <v>0</v>
      </c>
      <c r="CC163" s="149">
        <f>CB163-BEL!CB163</f>
        <v>0</v>
      </c>
      <c r="CD163" s="189">
        <f>IF(AND(C163=0,C164=0),0,CB163/W163) - BEL!CC163</f>
        <v>0</v>
      </c>
      <c r="CF163" s="195">
        <f t="shared" si="220"/>
        <v>0</v>
      </c>
      <c r="CG163" s="127">
        <f t="shared" si="221"/>
        <v>0</v>
      </c>
      <c r="CH163" s="128">
        <f>'DATA INPUT - DETAIL'!AH154</f>
        <v>0</v>
      </c>
      <c r="CI163" s="125">
        <f t="shared" si="222"/>
        <v>0</v>
      </c>
      <c r="CJ163" s="199">
        <f t="shared" si="223"/>
        <v>0</v>
      </c>
      <c r="CL163" s="189">
        <f t="shared" si="224"/>
        <v>0</v>
      </c>
      <c r="CM163" s="149">
        <f t="shared" si="225"/>
        <v>0</v>
      </c>
      <c r="CN163" s="128">
        <f>'DATA INPUT - DETAIL'!AH154</f>
        <v>0</v>
      </c>
      <c r="CO163" s="149">
        <f t="shared" si="226"/>
        <v>0</v>
      </c>
      <c r="CP163" s="149">
        <f t="shared" si="227"/>
        <v>0</v>
      </c>
      <c r="CR163" s="126">
        <f t="shared" si="231"/>
        <v>151</v>
      </c>
      <c r="CS163" s="189">
        <f t="shared" si="232"/>
        <v>0</v>
      </c>
      <c r="CT163" s="200">
        <f>CS163/(BEL!CE163+BEL!CA163-BEL!BU163+'RA CSM'!CF163)</f>
        <v>0</v>
      </c>
      <c r="CU163" s="149">
        <f>$CT163*BEL!CH163</f>
        <v>0</v>
      </c>
      <c r="CV163" s="149">
        <f>$CT163*BEL!CI163</f>
        <v>0</v>
      </c>
      <c r="CW163" s="149">
        <f>$CT163*BEL!CJ163</f>
        <v>0</v>
      </c>
      <c r="CX163" s="149">
        <f>$CT163*BEL!CK163</f>
        <v>0</v>
      </c>
      <c r="CY163" s="149">
        <f t="shared" si="229"/>
        <v>0</v>
      </c>
      <c r="CZ163" s="149">
        <f>$CT163*(BEL!CL163+'RA CSM'!CG163)</f>
        <v>0</v>
      </c>
      <c r="DA163" s="149">
        <f t="shared" si="230"/>
        <v>0</v>
      </c>
    </row>
    <row r="164" spans="2:105" x14ac:dyDescent="0.2">
      <c r="B164" s="130">
        <f>BEL!B164</f>
        <v>0</v>
      </c>
      <c r="C164" s="130">
        <f>BEL!C164</f>
        <v>0</v>
      </c>
      <c r="D164" s="190">
        <f>BEL!D164</f>
        <v>0</v>
      </c>
      <c r="E164" s="190">
        <f>BEL!E164</f>
        <v>0</v>
      </c>
      <c r="F164" s="190">
        <f>BEL!F164</f>
        <v>0</v>
      </c>
      <c r="G164" s="190">
        <f>BEL!G164*(1+$V$5)</f>
        <v>0</v>
      </c>
      <c r="H164" s="190">
        <f>BEL!H164*(1+$V$5)</f>
        <v>0</v>
      </c>
      <c r="I164" s="179">
        <f t="shared" si="167"/>
        <v>0</v>
      </c>
      <c r="J164" s="130">
        <f>BEL!J164</f>
        <v>0</v>
      </c>
      <c r="K164" s="130">
        <f>BEL!K164</f>
        <v>0</v>
      </c>
      <c r="L164" s="130">
        <f>BEL!L164</f>
        <v>0</v>
      </c>
      <c r="M164" s="185">
        <f t="shared" si="228"/>
        <v>0</v>
      </c>
      <c r="N164" s="185">
        <f t="shared" si="168"/>
        <v>0</v>
      </c>
      <c r="O164" s="185">
        <f t="shared" si="169"/>
        <v>0</v>
      </c>
      <c r="P164" s="185">
        <f t="shared" si="170"/>
        <v>0</v>
      </c>
      <c r="Q164" s="185">
        <f t="shared" si="171"/>
        <v>0</v>
      </c>
      <c r="R164" s="185">
        <f t="shared" si="172"/>
        <v>0</v>
      </c>
      <c r="S164" s="185">
        <f t="shared" si="173"/>
        <v>0</v>
      </c>
      <c r="T164" s="185">
        <f t="shared" si="174"/>
        <v>0</v>
      </c>
      <c r="U164" s="196">
        <f>(C164&gt;0)*(C164&lt;$E$5)*VLOOKUP(MPP,ASUMSI!$BN$77:$CR$108,B164+1)*(1+$V$4)</f>
        <v>0</v>
      </c>
      <c r="V164" s="185">
        <f t="shared" si="175"/>
        <v>0</v>
      </c>
      <c r="W164" s="185">
        <f t="shared" si="176"/>
        <v>0</v>
      </c>
      <c r="X164" s="185">
        <f t="shared" si="177"/>
        <v>0</v>
      </c>
      <c r="Y164" s="185">
        <f t="shared" si="178"/>
        <v>0</v>
      </c>
      <c r="Z164" s="185">
        <f t="shared" si="179"/>
        <v>0</v>
      </c>
      <c r="AA164" s="197">
        <f t="shared" si="180"/>
        <v>0</v>
      </c>
      <c r="AB164" s="185">
        <f t="shared" si="181"/>
        <v>0</v>
      </c>
      <c r="AC164" s="185">
        <f t="shared" si="182"/>
        <v>0</v>
      </c>
      <c r="AD164" s="185">
        <f t="shared" si="183"/>
        <v>0</v>
      </c>
      <c r="AE164" s="185">
        <f t="shared" si="184"/>
        <v>0</v>
      </c>
      <c r="AF164" s="185">
        <f t="shared" si="185"/>
        <v>0</v>
      </c>
      <c r="AG164" s="185">
        <f t="shared" si="186"/>
        <v>0</v>
      </c>
      <c r="AH164" s="185">
        <f t="shared" si="187"/>
        <v>0</v>
      </c>
      <c r="AI164" s="125">
        <f>BEL!AI164</f>
        <v>0</v>
      </c>
      <c r="AJ164" s="125">
        <f>BEL!AJ164</f>
        <v>0</v>
      </c>
      <c r="AK164" s="125">
        <f>BEL!AK164</f>
        <v>0</v>
      </c>
      <c r="AL164" s="125">
        <f>BEL!AL164</f>
        <v>0</v>
      </c>
      <c r="AM164" s="125">
        <f>BEL!AM164</f>
        <v>0</v>
      </c>
      <c r="AN164" s="125">
        <f>BEL!AN164</f>
        <v>0</v>
      </c>
      <c r="AO164" s="198">
        <f t="shared" si="188"/>
        <v>0</v>
      </c>
      <c r="AP164" s="125">
        <f>BEL!AP164</f>
        <v>0</v>
      </c>
      <c r="AQ164" s="125">
        <f>BEL!AQ164</f>
        <v>0</v>
      </c>
      <c r="AR164" s="125">
        <f>BEL!AR164</f>
        <v>0</v>
      </c>
      <c r="AS164" s="125">
        <f>BEL!AS164</f>
        <v>0</v>
      </c>
      <c r="AT164" s="125">
        <f>BEL!AT164</f>
        <v>0</v>
      </c>
      <c r="AU164" s="127">
        <f>BEL!AU164</f>
        <v>0</v>
      </c>
      <c r="AV164" s="127">
        <f>BEL!AV164</f>
        <v>0</v>
      </c>
      <c r="AW164" s="127">
        <f>BEL!AW164</f>
        <v>0</v>
      </c>
      <c r="AX164" s="127">
        <f t="shared" si="189"/>
        <v>0</v>
      </c>
      <c r="AY164" s="127">
        <f t="shared" si="190"/>
        <v>0</v>
      </c>
      <c r="AZ164" s="127">
        <f t="shared" si="191"/>
        <v>0</v>
      </c>
      <c r="BA164" s="127">
        <f t="shared" si="192"/>
        <v>0</v>
      </c>
      <c r="BB164" s="127">
        <f t="shared" si="193"/>
        <v>0</v>
      </c>
      <c r="BC164" s="127">
        <f t="shared" si="194"/>
        <v>0</v>
      </c>
      <c r="BD164" s="127">
        <f t="shared" si="195"/>
        <v>0</v>
      </c>
      <c r="BE164" s="127">
        <f t="shared" si="196"/>
        <v>0</v>
      </c>
      <c r="BF164" s="127">
        <f t="shared" si="197"/>
        <v>0</v>
      </c>
      <c r="BG164" s="127">
        <f t="shared" si="198"/>
        <v>0</v>
      </c>
      <c r="BH164" s="127">
        <f t="shared" si="199"/>
        <v>0</v>
      </c>
      <c r="BI164" s="127">
        <f t="shared" si="200"/>
        <v>0</v>
      </c>
      <c r="BJ164" s="189">
        <f t="shared" si="201"/>
        <v>0</v>
      </c>
      <c r="BK164" s="189">
        <f t="shared" si="202"/>
        <v>0</v>
      </c>
      <c r="BL164" s="192">
        <f t="shared" si="203"/>
        <v>0</v>
      </c>
      <c r="BM164" s="192">
        <f t="shared" si="204"/>
        <v>0</v>
      </c>
      <c r="BN164" s="192">
        <f t="shared" si="205"/>
        <v>0</v>
      </c>
      <c r="BO164" s="192">
        <f t="shared" si="206"/>
        <v>0</v>
      </c>
      <c r="BP164" s="192">
        <f t="shared" si="207"/>
        <v>0</v>
      </c>
      <c r="BQ164" s="193">
        <f t="shared" si="208"/>
        <v>0</v>
      </c>
      <c r="BR164" s="193">
        <f t="shared" si="209"/>
        <v>0</v>
      </c>
      <c r="BS164" s="188">
        <f t="shared" si="210"/>
        <v>0</v>
      </c>
      <c r="BT164" s="188">
        <f t="shared" si="211"/>
        <v>0</v>
      </c>
      <c r="BU164" s="188">
        <f t="shared" si="212"/>
        <v>0</v>
      </c>
      <c r="BV164" s="188">
        <f t="shared" si="213"/>
        <v>0</v>
      </c>
      <c r="BW164" s="188">
        <f t="shared" si="214"/>
        <v>0</v>
      </c>
      <c r="BX164" s="188">
        <f t="shared" si="215"/>
        <v>0</v>
      </c>
      <c r="BY164" s="188">
        <f t="shared" si="216"/>
        <v>0</v>
      </c>
      <c r="BZ164" s="188">
        <f t="shared" si="217"/>
        <v>0</v>
      </c>
      <c r="CA164" s="188">
        <f t="shared" si="218"/>
        <v>0</v>
      </c>
      <c r="CB164" s="149">
        <f t="shared" si="219"/>
        <v>0</v>
      </c>
      <c r="CC164" s="149">
        <f>CB164-BEL!CB164</f>
        <v>0</v>
      </c>
      <c r="CD164" s="189">
        <f>IF(AND(C164=0,C165=0),0,CB164/W164) - BEL!CC164</f>
        <v>0</v>
      </c>
      <c r="CF164" s="195">
        <f t="shared" si="220"/>
        <v>0</v>
      </c>
      <c r="CG164" s="127">
        <f t="shared" si="221"/>
        <v>0</v>
      </c>
      <c r="CH164" s="128">
        <f>'DATA INPUT - DETAIL'!AH155</f>
        <v>0</v>
      </c>
      <c r="CI164" s="125">
        <f t="shared" si="222"/>
        <v>0</v>
      </c>
      <c r="CJ164" s="199">
        <f t="shared" si="223"/>
        <v>0</v>
      </c>
      <c r="CL164" s="189">
        <f t="shared" si="224"/>
        <v>0</v>
      </c>
      <c r="CM164" s="149">
        <f t="shared" si="225"/>
        <v>0</v>
      </c>
      <c r="CN164" s="128">
        <f>'DATA INPUT - DETAIL'!AH155</f>
        <v>0</v>
      </c>
      <c r="CO164" s="149">
        <f t="shared" si="226"/>
        <v>0</v>
      </c>
      <c r="CP164" s="149">
        <f t="shared" si="227"/>
        <v>0</v>
      </c>
      <c r="CR164" s="126">
        <f t="shared" si="231"/>
        <v>152</v>
      </c>
      <c r="CS164" s="189">
        <f t="shared" si="232"/>
        <v>0</v>
      </c>
      <c r="CT164" s="200">
        <f>CS164/(BEL!CE164+BEL!CA164-BEL!BU164+'RA CSM'!CF164)</f>
        <v>0</v>
      </c>
      <c r="CU164" s="149">
        <f>$CT164*BEL!CH164</f>
        <v>0</v>
      </c>
      <c r="CV164" s="149">
        <f>$CT164*BEL!CI164</f>
        <v>0</v>
      </c>
      <c r="CW164" s="149">
        <f>$CT164*BEL!CJ164</f>
        <v>0</v>
      </c>
      <c r="CX164" s="149">
        <f>$CT164*BEL!CK164</f>
        <v>0</v>
      </c>
      <c r="CY164" s="149">
        <f t="shared" si="229"/>
        <v>0</v>
      </c>
      <c r="CZ164" s="149">
        <f>$CT164*(BEL!CL164+'RA CSM'!CG164)</f>
        <v>0</v>
      </c>
      <c r="DA164" s="149">
        <f t="shared" si="230"/>
        <v>0</v>
      </c>
    </row>
    <row r="165" spans="2:105" x14ac:dyDescent="0.2">
      <c r="B165" s="130">
        <f>BEL!B165</f>
        <v>0</v>
      </c>
      <c r="C165" s="130">
        <f>BEL!C165</f>
        <v>0</v>
      </c>
      <c r="D165" s="190">
        <f>BEL!D165</f>
        <v>0</v>
      </c>
      <c r="E165" s="190">
        <f>BEL!E165</f>
        <v>0</v>
      </c>
      <c r="F165" s="190">
        <f>BEL!F165</f>
        <v>0</v>
      </c>
      <c r="G165" s="190">
        <f>BEL!G165*(1+$V$5)</f>
        <v>0</v>
      </c>
      <c r="H165" s="190">
        <f>BEL!H165*(1+$V$5)</f>
        <v>0</v>
      </c>
      <c r="I165" s="179">
        <f t="shared" si="167"/>
        <v>0</v>
      </c>
      <c r="J165" s="130">
        <f>BEL!J165</f>
        <v>0</v>
      </c>
      <c r="K165" s="130">
        <f>BEL!K165</f>
        <v>0</v>
      </c>
      <c r="L165" s="130">
        <f>BEL!L165</f>
        <v>0</v>
      </c>
      <c r="M165" s="185">
        <f t="shared" si="228"/>
        <v>0</v>
      </c>
      <c r="N165" s="185">
        <f t="shared" si="168"/>
        <v>0</v>
      </c>
      <c r="O165" s="185">
        <f t="shared" si="169"/>
        <v>0</v>
      </c>
      <c r="P165" s="185">
        <f t="shared" si="170"/>
        <v>0</v>
      </c>
      <c r="Q165" s="185">
        <f t="shared" si="171"/>
        <v>0</v>
      </c>
      <c r="R165" s="185">
        <f t="shared" si="172"/>
        <v>0</v>
      </c>
      <c r="S165" s="185">
        <f t="shared" si="173"/>
        <v>0</v>
      </c>
      <c r="T165" s="185">
        <f t="shared" si="174"/>
        <v>0</v>
      </c>
      <c r="U165" s="196">
        <f>(C165&gt;0)*(C165&lt;$E$5)*VLOOKUP(MPP,ASUMSI!$BN$77:$CR$108,B165+1)*(1+$V$4)</f>
        <v>0</v>
      </c>
      <c r="V165" s="185">
        <f t="shared" si="175"/>
        <v>0</v>
      </c>
      <c r="W165" s="185">
        <f t="shared" si="176"/>
        <v>0</v>
      </c>
      <c r="X165" s="185">
        <f t="shared" si="177"/>
        <v>0</v>
      </c>
      <c r="Y165" s="185">
        <f t="shared" si="178"/>
        <v>0</v>
      </c>
      <c r="Z165" s="185">
        <f t="shared" si="179"/>
        <v>0</v>
      </c>
      <c r="AA165" s="197">
        <f t="shared" si="180"/>
        <v>0</v>
      </c>
      <c r="AB165" s="185">
        <f t="shared" si="181"/>
        <v>0</v>
      </c>
      <c r="AC165" s="185">
        <f t="shared" si="182"/>
        <v>0</v>
      </c>
      <c r="AD165" s="185">
        <f t="shared" si="183"/>
        <v>0</v>
      </c>
      <c r="AE165" s="185">
        <f t="shared" si="184"/>
        <v>0</v>
      </c>
      <c r="AF165" s="185">
        <f t="shared" si="185"/>
        <v>0</v>
      </c>
      <c r="AG165" s="185">
        <f t="shared" si="186"/>
        <v>0</v>
      </c>
      <c r="AH165" s="185">
        <f t="shared" si="187"/>
        <v>0</v>
      </c>
      <c r="AI165" s="125">
        <f>BEL!AI165</f>
        <v>0</v>
      </c>
      <c r="AJ165" s="125">
        <f>BEL!AJ165</f>
        <v>0</v>
      </c>
      <c r="AK165" s="125">
        <f>BEL!AK165</f>
        <v>0</v>
      </c>
      <c r="AL165" s="125">
        <f>BEL!AL165</f>
        <v>0</v>
      </c>
      <c r="AM165" s="125">
        <f>BEL!AM165</f>
        <v>0</v>
      </c>
      <c r="AN165" s="125">
        <f>BEL!AN165</f>
        <v>0</v>
      </c>
      <c r="AO165" s="198">
        <f t="shared" si="188"/>
        <v>0</v>
      </c>
      <c r="AP165" s="125">
        <f>BEL!AP165</f>
        <v>0</v>
      </c>
      <c r="AQ165" s="125">
        <f>BEL!AQ165</f>
        <v>0</v>
      </c>
      <c r="AR165" s="125">
        <f>BEL!AR165</f>
        <v>0</v>
      </c>
      <c r="AS165" s="125">
        <f>BEL!AS165</f>
        <v>0</v>
      </c>
      <c r="AT165" s="125">
        <f>BEL!AT165</f>
        <v>0</v>
      </c>
      <c r="AU165" s="127">
        <f>BEL!AU165</f>
        <v>0</v>
      </c>
      <c r="AV165" s="127">
        <f>BEL!AV165</f>
        <v>0</v>
      </c>
      <c r="AW165" s="127">
        <f>BEL!AW165</f>
        <v>0</v>
      </c>
      <c r="AX165" s="127">
        <f t="shared" si="189"/>
        <v>0</v>
      </c>
      <c r="AY165" s="127">
        <f t="shared" si="190"/>
        <v>0</v>
      </c>
      <c r="AZ165" s="127">
        <f t="shared" si="191"/>
        <v>0</v>
      </c>
      <c r="BA165" s="127">
        <f t="shared" si="192"/>
        <v>0</v>
      </c>
      <c r="BB165" s="127">
        <f t="shared" si="193"/>
        <v>0</v>
      </c>
      <c r="BC165" s="127">
        <f t="shared" si="194"/>
        <v>0</v>
      </c>
      <c r="BD165" s="127">
        <f t="shared" si="195"/>
        <v>0</v>
      </c>
      <c r="BE165" s="127">
        <f t="shared" si="196"/>
        <v>0</v>
      </c>
      <c r="BF165" s="127">
        <f t="shared" si="197"/>
        <v>0</v>
      </c>
      <c r="BG165" s="127">
        <f t="shared" si="198"/>
        <v>0</v>
      </c>
      <c r="BH165" s="127">
        <f t="shared" si="199"/>
        <v>0</v>
      </c>
      <c r="BI165" s="127">
        <f t="shared" si="200"/>
        <v>0</v>
      </c>
      <c r="BJ165" s="189">
        <f t="shared" si="201"/>
        <v>0</v>
      </c>
      <c r="BK165" s="189">
        <f t="shared" si="202"/>
        <v>0</v>
      </c>
      <c r="BL165" s="192">
        <f t="shared" si="203"/>
        <v>0</v>
      </c>
      <c r="BM165" s="192">
        <f t="shared" si="204"/>
        <v>0</v>
      </c>
      <c r="BN165" s="192">
        <f t="shared" si="205"/>
        <v>0</v>
      </c>
      <c r="BO165" s="192">
        <f t="shared" si="206"/>
        <v>0</v>
      </c>
      <c r="BP165" s="192">
        <f t="shared" si="207"/>
        <v>0</v>
      </c>
      <c r="BQ165" s="193">
        <f t="shared" si="208"/>
        <v>0</v>
      </c>
      <c r="BR165" s="193">
        <f t="shared" si="209"/>
        <v>0</v>
      </c>
      <c r="BS165" s="188">
        <f t="shared" si="210"/>
        <v>0</v>
      </c>
      <c r="BT165" s="188">
        <f t="shared" si="211"/>
        <v>0</v>
      </c>
      <c r="BU165" s="188">
        <f t="shared" si="212"/>
        <v>0</v>
      </c>
      <c r="BV165" s="188">
        <f t="shared" si="213"/>
        <v>0</v>
      </c>
      <c r="BW165" s="188">
        <f t="shared" si="214"/>
        <v>0</v>
      </c>
      <c r="BX165" s="188">
        <f t="shared" si="215"/>
        <v>0</v>
      </c>
      <c r="BY165" s="188">
        <f t="shared" si="216"/>
        <v>0</v>
      </c>
      <c r="BZ165" s="188">
        <f t="shared" si="217"/>
        <v>0</v>
      </c>
      <c r="CA165" s="188">
        <f t="shared" si="218"/>
        <v>0</v>
      </c>
      <c r="CB165" s="149">
        <f t="shared" si="219"/>
        <v>0</v>
      </c>
      <c r="CC165" s="149">
        <f>CB165-BEL!CB165</f>
        <v>0</v>
      </c>
      <c r="CD165" s="189">
        <f>IF(AND(C165=0,C166=0),0,CB165/W165) - BEL!CC165</f>
        <v>0</v>
      </c>
      <c r="CF165" s="195">
        <f t="shared" si="220"/>
        <v>0</v>
      </c>
      <c r="CG165" s="127">
        <f t="shared" si="221"/>
        <v>0</v>
      </c>
      <c r="CH165" s="128">
        <f>'DATA INPUT - DETAIL'!AH156</f>
        <v>0</v>
      </c>
      <c r="CI165" s="125">
        <f t="shared" si="222"/>
        <v>0</v>
      </c>
      <c r="CJ165" s="199">
        <f t="shared" si="223"/>
        <v>0</v>
      </c>
      <c r="CL165" s="189">
        <f t="shared" si="224"/>
        <v>0</v>
      </c>
      <c r="CM165" s="149">
        <f t="shared" si="225"/>
        <v>0</v>
      </c>
      <c r="CN165" s="128">
        <f>'DATA INPUT - DETAIL'!AH156</f>
        <v>0</v>
      </c>
      <c r="CO165" s="149">
        <f t="shared" si="226"/>
        <v>0</v>
      </c>
      <c r="CP165" s="149">
        <f t="shared" si="227"/>
        <v>0</v>
      </c>
      <c r="CR165" s="126">
        <f t="shared" si="231"/>
        <v>153</v>
      </c>
      <c r="CS165" s="189">
        <f t="shared" si="232"/>
        <v>0</v>
      </c>
      <c r="CT165" s="200">
        <f>CS165/(BEL!CE165+BEL!CA165-BEL!BU165+'RA CSM'!CF165)</f>
        <v>0</v>
      </c>
      <c r="CU165" s="149">
        <f>$CT165*BEL!CH165</f>
        <v>0</v>
      </c>
      <c r="CV165" s="149">
        <f>$CT165*BEL!CI165</f>
        <v>0</v>
      </c>
      <c r="CW165" s="149">
        <f>$CT165*BEL!CJ165</f>
        <v>0</v>
      </c>
      <c r="CX165" s="149">
        <f>$CT165*BEL!CK165</f>
        <v>0</v>
      </c>
      <c r="CY165" s="149">
        <f t="shared" si="229"/>
        <v>0</v>
      </c>
      <c r="CZ165" s="149">
        <f>$CT165*(BEL!CL165+'RA CSM'!CG165)</f>
        <v>0</v>
      </c>
      <c r="DA165" s="149">
        <f t="shared" si="230"/>
        <v>0</v>
      </c>
    </row>
    <row r="166" spans="2:105" x14ac:dyDescent="0.2">
      <c r="B166" s="130">
        <f>BEL!B166</f>
        <v>0</v>
      </c>
      <c r="C166" s="130">
        <f>BEL!C166</f>
        <v>0</v>
      </c>
      <c r="D166" s="190">
        <f>BEL!D166</f>
        <v>0</v>
      </c>
      <c r="E166" s="190">
        <f>BEL!E166</f>
        <v>0</v>
      </c>
      <c r="F166" s="190">
        <f>BEL!F166</f>
        <v>0</v>
      </c>
      <c r="G166" s="190">
        <f>BEL!G166*(1+$V$5)</f>
        <v>0</v>
      </c>
      <c r="H166" s="190">
        <f>BEL!H166*(1+$V$5)</f>
        <v>0</v>
      </c>
      <c r="I166" s="179">
        <f t="shared" si="167"/>
        <v>0</v>
      </c>
      <c r="J166" s="130">
        <f>BEL!J166</f>
        <v>0</v>
      </c>
      <c r="K166" s="130">
        <f>BEL!K166</f>
        <v>0</v>
      </c>
      <c r="L166" s="130">
        <f>BEL!L166</f>
        <v>0</v>
      </c>
      <c r="M166" s="185">
        <f t="shared" si="228"/>
        <v>0</v>
      </c>
      <c r="N166" s="185">
        <f t="shared" si="168"/>
        <v>0</v>
      </c>
      <c r="O166" s="185">
        <f t="shared" si="169"/>
        <v>0</v>
      </c>
      <c r="P166" s="185">
        <f t="shared" si="170"/>
        <v>0</v>
      </c>
      <c r="Q166" s="185">
        <f t="shared" si="171"/>
        <v>0</v>
      </c>
      <c r="R166" s="185">
        <f t="shared" si="172"/>
        <v>0</v>
      </c>
      <c r="S166" s="185">
        <f t="shared" si="173"/>
        <v>0</v>
      </c>
      <c r="T166" s="185">
        <f t="shared" si="174"/>
        <v>0</v>
      </c>
      <c r="U166" s="196">
        <f>(C166&gt;0)*(C166&lt;$E$5)*VLOOKUP(MPP,ASUMSI!$BN$77:$CR$108,B166+1)*(1+$V$4)</f>
        <v>0</v>
      </c>
      <c r="V166" s="185">
        <f t="shared" si="175"/>
        <v>0</v>
      </c>
      <c r="W166" s="185">
        <f t="shared" si="176"/>
        <v>0</v>
      </c>
      <c r="X166" s="185">
        <f t="shared" si="177"/>
        <v>0</v>
      </c>
      <c r="Y166" s="185">
        <f t="shared" si="178"/>
        <v>0</v>
      </c>
      <c r="Z166" s="185">
        <f t="shared" si="179"/>
        <v>0</v>
      </c>
      <c r="AA166" s="197">
        <f t="shared" si="180"/>
        <v>0</v>
      </c>
      <c r="AB166" s="185">
        <f t="shared" si="181"/>
        <v>0</v>
      </c>
      <c r="AC166" s="185">
        <f t="shared" si="182"/>
        <v>0</v>
      </c>
      <c r="AD166" s="185">
        <f t="shared" si="183"/>
        <v>0</v>
      </c>
      <c r="AE166" s="185">
        <f t="shared" si="184"/>
        <v>0</v>
      </c>
      <c r="AF166" s="185">
        <f t="shared" si="185"/>
        <v>0</v>
      </c>
      <c r="AG166" s="185">
        <f t="shared" si="186"/>
        <v>0</v>
      </c>
      <c r="AH166" s="185">
        <f t="shared" si="187"/>
        <v>0</v>
      </c>
      <c r="AI166" s="125">
        <f>BEL!AI166</f>
        <v>0</v>
      </c>
      <c r="AJ166" s="125">
        <f>BEL!AJ166</f>
        <v>0</v>
      </c>
      <c r="AK166" s="125">
        <f>BEL!AK166</f>
        <v>0</v>
      </c>
      <c r="AL166" s="125">
        <f>BEL!AL166</f>
        <v>0</v>
      </c>
      <c r="AM166" s="125">
        <f>BEL!AM166</f>
        <v>0</v>
      </c>
      <c r="AN166" s="125">
        <f>BEL!AN166</f>
        <v>0</v>
      </c>
      <c r="AO166" s="198">
        <f t="shared" si="188"/>
        <v>0</v>
      </c>
      <c r="AP166" s="125">
        <f>BEL!AP166</f>
        <v>0</v>
      </c>
      <c r="AQ166" s="125">
        <f>BEL!AQ166</f>
        <v>0</v>
      </c>
      <c r="AR166" s="125">
        <f>BEL!AR166</f>
        <v>0</v>
      </c>
      <c r="AS166" s="125">
        <f>BEL!AS166</f>
        <v>0</v>
      </c>
      <c r="AT166" s="125">
        <f>BEL!AT166</f>
        <v>0</v>
      </c>
      <c r="AU166" s="127">
        <f>BEL!AU166</f>
        <v>0</v>
      </c>
      <c r="AV166" s="127">
        <f>BEL!AV166</f>
        <v>0</v>
      </c>
      <c r="AW166" s="127">
        <f>BEL!AW166</f>
        <v>0</v>
      </c>
      <c r="AX166" s="127">
        <f t="shared" si="189"/>
        <v>0</v>
      </c>
      <c r="AY166" s="127">
        <f t="shared" si="190"/>
        <v>0</v>
      </c>
      <c r="AZ166" s="127">
        <f t="shared" si="191"/>
        <v>0</v>
      </c>
      <c r="BA166" s="127">
        <f t="shared" si="192"/>
        <v>0</v>
      </c>
      <c r="BB166" s="127">
        <f t="shared" si="193"/>
        <v>0</v>
      </c>
      <c r="BC166" s="127">
        <f t="shared" si="194"/>
        <v>0</v>
      </c>
      <c r="BD166" s="127">
        <f t="shared" si="195"/>
        <v>0</v>
      </c>
      <c r="BE166" s="127">
        <f t="shared" si="196"/>
        <v>0</v>
      </c>
      <c r="BF166" s="127">
        <f t="shared" si="197"/>
        <v>0</v>
      </c>
      <c r="BG166" s="127">
        <f t="shared" si="198"/>
        <v>0</v>
      </c>
      <c r="BH166" s="127">
        <f t="shared" si="199"/>
        <v>0</v>
      </c>
      <c r="BI166" s="127">
        <f t="shared" si="200"/>
        <v>0</v>
      </c>
      <c r="BJ166" s="189">
        <f t="shared" si="201"/>
        <v>0</v>
      </c>
      <c r="BK166" s="189">
        <f t="shared" si="202"/>
        <v>0</v>
      </c>
      <c r="BL166" s="192">
        <f t="shared" si="203"/>
        <v>0</v>
      </c>
      <c r="BM166" s="192">
        <f t="shared" si="204"/>
        <v>0</v>
      </c>
      <c r="BN166" s="192">
        <f t="shared" si="205"/>
        <v>0</v>
      </c>
      <c r="BO166" s="192">
        <f t="shared" si="206"/>
        <v>0</v>
      </c>
      <c r="BP166" s="192">
        <f t="shared" si="207"/>
        <v>0</v>
      </c>
      <c r="BQ166" s="193">
        <f t="shared" si="208"/>
        <v>0</v>
      </c>
      <c r="BR166" s="193">
        <f t="shared" si="209"/>
        <v>0</v>
      </c>
      <c r="BS166" s="188">
        <f t="shared" si="210"/>
        <v>0</v>
      </c>
      <c r="BT166" s="188">
        <f t="shared" si="211"/>
        <v>0</v>
      </c>
      <c r="BU166" s="188">
        <f t="shared" si="212"/>
        <v>0</v>
      </c>
      <c r="BV166" s="188">
        <f t="shared" si="213"/>
        <v>0</v>
      </c>
      <c r="BW166" s="188">
        <f t="shared" si="214"/>
        <v>0</v>
      </c>
      <c r="BX166" s="188">
        <f t="shared" si="215"/>
        <v>0</v>
      </c>
      <c r="BY166" s="188">
        <f t="shared" si="216"/>
        <v>0</v>
      </c>
      <c r="BZ166" s="188">
        <f t="shared" si="217"/>
        <v>0</v>
      </c>
      <c r="CA166" s="188">
        <f t="shared" si="218"/>
        <v>0</v>
      </c>
      <c r="CB166" s="149">
        <f t="shared" si="219"/>
        <v>0</v>
      </c>
      <c r="CC166" s="149">
        <f>CB166-BEL!CB166</f>
        <v>0</v>
      </c>
      <c r="CD166" s="189">
        <f>IF(AND(C166=0,C167=0),0,CB166/W166) - BEL!CC166</f>
        <v>0</v>
      </c>
      <c r="CF166" s="195">
        <f t="shared" si="220"/>
        <v>0</v>
      </c>
      <c r="CG166" s="127">
        <f t="shared" si="221"/>
        <v>0</v>
      </c>
      <c r="CH166" s="128">
        <f>'DATA INPUT - DETAIL'!AH157</f>
        <v>0</v>
      </c>
      <c r="CI166" s="125">
        <f t="shared" si="222"/>
        <v>0</v>
      </c>
      <c r="CJ166" s="199">
        <f t="shared" si="223"/>
        <v>0</v>
      </c>
      <c r="CL166" s="189">
        <f t="shared" si="224"/>
        <v>0</v>
      </c>
      <c r="CM166" s="149">
        <f t="shared" si="225"/>
        <v>0</v>
      </c>
      <c r="CN166" s="128">
        <f>'DATA INPUT - DETAIL'!AH157</f>
        <v>0</v>
      </c>
      <c r="CO166" s="149">
        <f t="shared" si="226"/>
        <v>0</v>
      </c>
      <c r="CP166" s="149">
        <f t="shared" si="227"/>
        <v>0</v>
      </c>
      <c r="CR166" s="126">
        <f t="shared" si="231"/>
        <v>154</v>
      </c>
      <c r="CS166" s="189">
        <f t="shared" si="232"/>
        <v>0</v>
      </c>
      <c r="CT166" s="200">
        <f>CS166/(BEL!CE166+BEL!CA166-BEL!BU166+'RA CSM'!CF166)</f>
        <v>0</v>
      </c>
      <c r="CU166" s="149">
        <f>$CT166*BEL!CH166</f>
        <v>0</v>
      </c>
      <c r="CV166" s="149">
        <f>$CT166*BEL!CI166</f>
        <v>0</v>
      </c>
      <c r="CW166" s="149">
        <f>$CT166*BEL!CJ166</f>
        <v>0</v>
      </c>
      <c r="CX166" s="149">
        <f>$CT166*BEL!CK166</f>
        <v>0</v>
      </c>
      <c r="CY166" s="149">
        <f t="shared" si="229"/>
        <v>0</v>
      </c>
      <c r="CZ166" s="149">
        <f>$CT166*(BEL!CL166+'RA CSM'!CG166)</f>
        <v>0</v>
      </c>
      <c r="DA166" s="149">
        <f t="shared" si="230"/>
        <v>0</v>
      </c>
    </row>
    <row r="167" spans="2:105" x14ac:dyDescent="0.2">
      <c r="B167" s="130">
        <f>BEL!B167</f>
        <v>0</v>
      </c>
      <c r="C167" s="130">
        <f>BEL!C167</f>
        <v>0</v>
      </c>
      <c r="D167" s="190">
        <f>BEL!D167</f>
        <v>0</v>
      </c>
      <c r="E167" s="190">
        <f>BEL!E167</f>
        <v>0</v>
      </c>
      <c r="F167" s="190">
        <f>BEL!F167</f>
        <v>0</v>
      </c>
      <c r="G167" s="190">
        <f>BEL!G167*(1+$V$5)</f>
        <v>0</v>
      </c>
      <c r="H167" s="190">
        <f>BEL!H167*(1+$V$5)</f>
        <v>0</v>
      </c>
      <c r="I167" s="179">
        <f t="shared" si="167"/>
        <v>0</v>
      </c>
      <c r="J167" s="130">
        <f>BEL!J167</f>
        <v>0</v>
      </c>
      <c r="K167" s="130">
        <f>BEL!K167</f>
        <v>0</v>
      </c>
      <c r="L167" s="130">
        <f>BEL!L167</f>
        <v>0</v>
      </c>
      <c r="M167" s="185">
        <f t="shared" si="228"/>
        <v>0</v>
      </c>
      <c r="N167" s="185">
        <f t="shared" si="168"/>
        <v>0</v>
      </c>
      <c r="O167" s="185">
        <f t="shared" si="169"/>
        <v>0</v>
      </c>
      <c r="P167" s="185">
        <f t="shared" si="170"/>
        <v>0</v>
      </c>
      <c r="Q167" s="185">
        <f t="shared" si="171"/>
        <v>0</v>
      </c>
      <c r="R167" s="185">
        <f t="shared" si="172"/>
        <v>0</v>
      </c>
      <c r="S167" s="185">
        <f t="shared" si="173"/>
        <v>0</v>
      </c>
      <c r="T167" s="185">
        <f t="shared" si="174"/>
        <v>0</v>
      </c>
      <c r="U167" s="196">
        <f>(C167&gt;0)*(C167&lt;$E$5)*VLOOKUP(MPP,ASUMSI!$BN$77:$CR$108,B167+1)*(1+$V$4)</f>
        <v>0</v>
      </c>
      <c r="V167" s="185">
        <f t="shared" si="175"/>
        <v>0</v>
      </c>
      <c r="W167" s="185">
        <f t="shared" si="176"/>
        <v>0</v>
      </c>
      <c r="X167" s="185">
        <f t="shared" si="177"/>
        <v>0</v>
      </c>
      <c r="Y167" s="185">
        <f t="shared" si="178"/>
        <v>0</v>
      </c>
      <c r="Z167" s="185">
        <f t="shared" si="179"/>
        <v>0</v>
      </c>
      <c r="AA167" s="197">
        <f t="shared" si="180"/>
        <v>0</v>
      </c>
      <c r="AB167" s="185">
        <f t="shared" si="181"/>
        <v>0</v>
      </c>
      <c r="AC167" s="185">
        <f t="shared" si="182"/>
        <v>0</v>
      </c>
      <c r="AD167" s="185">
        <f t="shared" si="183"/>
        <v>0</v>
      </c>
      <c r="AE167" s="185">
        <f t="shared" si="184"/>
        <v>0</v>
      </c>
      <c r="AF167" s="185">
        <f t="shared" si="185"/>
        <v>0</v>
      </c>
      <c r="AG167" s="185">
        <f t="shared" si="186"/>
        <v>0</v>
      </c>
      <c r="AH167" s="185">
        <f t="shared" si="187"/>
        <v>0</v>
      </c>
      <c r="AI167" s="125">
        <f>BEL!AI167</f>
        <v>0</v>
      </c>
      <c r="AJ167" s="125">
        <f>BEL!AJ167</f>
        <v>0</v>
      </c>
      <c r="AK167" s="125">
        <f>BEL!AK167</f>
        <v>0</v>
      </c>
      <c r="AL167" s="125">
        <f>BEL!AL167</f>
        <v>0</v>
      </c>
      <c r="AM167" s="125">
        <f>BEL!AM167</f>
        <v>0</v>
      </c>
      <c r="AN167" s="125">
        <f>BEL!AN167</f>
        <v>0</v>
      </c>
      <c r="AO167" s="198">
        <f t="shared" si="188"/>
        <v>0</v>
      </c>
      <c r="AP167" s="125">
        <f>BEL!AP167</f>
        <v>0</v>
      </c>
      <c r="AQ167" s="125">
        <f>BEL!AQ167</f>
        <v>0</v>
      </c>
      <c r="AR167" s="125">
        <f>BEL!AR167</f>
        <v>0</v>
      </c>
      <c r="AS167" s="125">
        <f>BEL!AS167</f>
        <v>0</v>
      </c>
      <c r="AT167" s="125">
        <f>BEL!AT167</f>
        <v>0</v>
      </c>
      <c r="AU167" s="127">
        <f>BEL!AU167</f>
        <v>0</v>
      </c>
      <c r="AV167" s="127">
        <f>BEL!AV167</f>
        <v>0</v>
      </c>
      <c r="AW167" s="127">
        <f>BEL!AW167</f>
        <v>0</v>
      </c>
      <c r="AX167" s="127">
        <f t="shared" si="189"/>
        <v>0</v>
      </c>
      <c r="AY167" s="127">
        <f t="shared" si="190"/>
        <v>0</v>
      </c>
      <c r="AZ167" s="127">
        <f t="shared" si="191"/>
        <v>0</v>
      </c>
      <c r="BA167" s="127">
        <f t="shared" si="192"/>
        <v>0</v>
      </c>
      <c r="BB167" s="127">
        <f t="shared" si="193"/>
        <v>0</v>
      </c>
      <c r="BC167" s="127">
        <f t="shared" si="194"/>
        <v>0</v>
      </c>
      <c r="BD167" s="127">
        <f t="shared" si="195"/>
        <v>0</v>
      </c>
      <c r="BE167" s="127">
        <f t="shared" si="196"/>
        <v>0</v>
      </c>
      <c r="BF167" s="127">
        <f t="shared" si="197"/>
        <v>0</v>
      </c>
      <c r="BG167" s="127">
        <f t="shared" si="198"/>
        <v>0</v>
      </c>
      <c r="BH167" s="127">
        <f t="shared" si="199"/>
        <v>0</v>
      </c>
      <c r="BI167" s="127">
        <f t="shared" si="200"/>
        <v>0</v>
      </c>
      <c r="BJ167" s="189">
        <f t="shared" si="201"/>
        <v>0</v>
      </c>
      <c r="BK167" s="189">
        <f t="shared" si="202"/>
        <v>0</v>
      </c>
      <c r="BL167" s="192">
        <f t="shared" si="203"/>
        <v>0</v>
      </c>
      <c r="BM167" s="192">
        <f t="shared" si="204"/>
        <v>0</v>
      </c>
      <c r="BN167" s="192">
        <f t="shared" si="205"/>
        <v>0</v>
      </c>
      <c r="BO167" s="192">
        <f t="shared" si="206"/>
        <v>0</v>
      </c>
      <c r="BP167" s="192">
        <f t="shared" si="207"/>
        <v>0</v>
      </c>
      <c r="BQ167" s="193">
        <f t="shared" si="208"/>
        <v>0</v>
      </c>
      <c r="BR167" s="193">
        <f t="shared" si="209"/>
        <v>0</v>
      </c>
      <c r="BS167" s="188">
        <f t="shared" si="210"/>
        <v>0</v>
      </c>
      <c r="BT167" s="188">
        <f t="shared" si="211"/>
        <v>0</v>
      </c>
      <c r="BU167" s="188">
        <f t="shared" si="212"/>
        <v>0</v>
      </c>
      <c r="BV167" s="188">
        <f t="shared" si="213"/>
        <v>0</v>
      </c>
      <c r="BW167" s="188">
        <f t="shared" si="214"/>
        <v>0</v>
      </c>
      <c r="BX167" s="188">
        <f t="shared" si="215"/>
        <v>0</v>
      </c>
      <c r="BY167" s="188">
        <f t="shared" si="216"/>
        <v>0</v>
      </c>
      <c r="BZ167" s="188">
        <f t="shared" si="217"/>
        <v>0</v>
      </c>
      <c r="CA167" s="188">
        <f t="shared" si="218"/>
        <v>0</v>
      </c>
      <c r="CB167" s="149">
        <f t="shared" si="219"/>
        <v>0</v>
      </c>
      <c r="CC167" s="149">
        <f>CB167-BEL!CB167</f>
        <v>0</v>
      </c>
      <c r="CD167" s="189">
        <f>IF(AND(C167=0,C168=0),0,CB167/W167) - BEL!CC167</f>
        <v>0</v>
      </c>
      <c r="CF167" s="195">
        <f t="shared" si="220"/>
        <v>0</v>
      </c>
      <c r="CG167" s="127">
        <f t="shared" si="221"/>
        <v>0</v>
      </c>
      <c r="CH167" s="128">
        <f>'DATA INPUT - DETAIL'!AH158</f>
        <v>0</v>
      </c>
      <c r="CI167" s="125">
        <f t="shared" si="222"/>
        <v>0</v>
      </c>
      <c r="CJ167" s="199">
        <f t="shared" si="223"/>
        <v>0</v>
      </c>
      <c r="CL167" s="189">
        <f t="shared" si="224"/>
        <v>0</v>
      </c>
      <c r="CM167" s="149">
        <f t="shared" si="225"/>
        <v>0</v>
      </c>
      <c r="CN167" s="128">
        <f>'DATA INPUT - DETAIL'!AH158</f>
        <v>0</v>
      </c>
      <c r="CO167" s="149">
        <f t="shared" si="226"/>
        <v>0</v>
      </c>
      <c r="CP167" s="149">
        <f t="shared" si="227"/>
        <v>0</v>
      </c>
      <c r="CR167" s="126">
        <f t="shared" si="231"/>
        <v>155</v>
      </c>
      <c r="CS167" s="189">
        <f t="shared" si="232"/>
        <v>0</v>
      </c>
      <c r="CT167" s="200">
        <f>CS167/(BEL!CE167+BEL!CA167-BEL!BU167+'RA CSM'!CF167)</f>
        <v>0</v>
      </c>
      <c r="CU167" s="149">
        <f>$CT167*BEL!CH167</f>
        <v>0</v>
      </c>
      <c r="CV167" s="149">
        <f>$CT167*BEL!CI167</f>
        <v>0</v>
      </c>
      <c r="CW167" s="149">
        <f>$CT167*BEL!CJ167</f>
        <v>0</v>
      </c>
      <c r="CX167" s="149">
        <f>$CT167*BEL!CK167</f>
        <v>0</v>
      </c>
      <c r="CY167" s="149">
        <f t="shared" si="229"/>
        <v>0</v>
      </c>
      <c r="CZ167" s="149">
        <f>$CT167*(BEL!CL167+'RA CSM'!CG167)</f>
        <v>0</v>
      </c>
      <c r="DA167" s="149">
        <f t="shared" si="230"/>
        <v>0</v>
      </c>
    </row>
    <row r="168" spans="2:105" x14ac:dyDescent="0.2">
      <c r="B168" s="130">
        <f>BEL!B168</f>
        <v>0</v>
      </c>
      <c r="C168" s="130">
        <f>BEL!C168</f>
        <v>0</v>
      </c>
      <c r="D168" s="190">
        <f>BEL!D168</f>
        <v>0</v>
      </c>
      <c r="E168" s="190">
        <f>BEL!E168</f>
        <v>0</v>
      </c>
      <c r="F168" s="190">
        <f>BEL!F168</f>
        <v>0</v>
      </c>
      <c r="G168" s="190">
        <f>BEL!G168*(1+$V$5)</f>
        <v>0</v>
      </c>
      <c r="H168" s="190">
        <f>BEL!H168*(1+$V$5)</f>
        <v>0</v>
      </c>
      <c r="I168" s="179">
        <f t="shared" si="167"/>
        <v>0</v>
      </c>
      <c r="J168" s="130">
        <f>BEL!J168</f>
        <v>0</v>
      </c>
      <c r="K168" s="130">
        <f>BEL!K168</f>
        <v>0</v>
      </c>
      <c r="L168" s="130">
        <f>BEL!L168</f>
        <v>0</v>
      </c>
      <c r="M168" s="185">
        <f t="shared" si="228"/>
        <v>0</v>
      </c>
      <c r="N168" s="185">
        <f t="shared" si="168"/>
        <v>0</v>
      </c>
      <c r="O168" s="185">
        <f t="shared" si="169"/>
        <v>0</v>
      </c>
      <c r="P168" s="185">
        <f t="shared" si="170"/>
        <v>0</v>
      </c>
      <c r="Q168" s="185">
        <f t="shared" si="171"/>
        <v>0</v>
      </c>
      <c r="R168" s="185">
        <f t="shared" si="172"/>
        <v>0</v>
      </c>
      <c r="S168" s="185">
        <f t="shared" si="173"/>
        <v>0</v>
      </c>
      <c r="T168" s="185">
        <f t="shared" si="174"/>
        <v>0</v>
      </c>
      <c r="U168" s="196">
        <f>(C168&gt;0)*(C168&lt;$E$5)*VLOOKUP(MPP,ASUMSI!$BN$77:$CR$108,B168+1)*(1+$V$4)</f>
        <v>0</v>
      </c>
      <c r="V168" s="185">
        <f t="shared" si="175"/>
        <v>0</v>
      </c>
      <c r="W168" s="185">
        <f t="shared" si="176"/>
        <v>0</v>
      </c>
      <c r="X168" s="185">
        <f t="shared" si="177"/>
        <v>0</v>
      </c>
      <c r="Y168" s="185">
        <f t="shared" si="178"/>
        <v>0</v>
      </c>
      <c r="Z168" s="185">
        <f t="shared" si="179"/>
        <v>0</v>
      </c>
      <c r="AA168" s="197">
        <f t="shared" si="180"/>
        <v>0</v>
      </c>
      <c r="AB168" s="185">
        <f t="shared" si="181"/>
        <v>0</v>
      </c>
      <c r="AC168" s="185">
        <f t="shared" si="182"/>
        <v>0</v>
      </c>
      <c r="AD168" s="185">
        <f t="shared" si="183"/>
        <v>0</v>
      </c>
      <c r="AE168" s="185">
        <f t="shared" si="184"/>
        <v>0</v>
      </c>
      <c r="AF168" s="185">
        <f t="shared" si="185"/>
        <v>0</v>
      </c>
      <c r="AG168" s="185">
        <f t="shared" si="186"/>
        <v>0</v>
      </c>
      <c r="AH168" s="185">
        <f t="shared" si="187"/>
        <v>0</v>
      </c>
      <c r="AI168" s="125">
        <f>BEL!AI168</f>
        <v>0</v>
      </c>
      <c r="AJ168" s="125">
        <f>BEL!AJ168</f>
        <v>0</v>
      </c>
      <c r="AK168" s="125">
        <f>BEL!AK168</f>
        <v>0</v>
      </c>
      <c r="AL168" s="125">
        <f>BEL!AL168</f>
        <v>0</v>
      </c>
      <c r="AM168" s="125">
        <f>BEL!AM168</f>
        <v>0</v>
      </c>
      <c r="AN168" s="125">
        <f>BEL!AN168</f>
        <v>0</v>
      </c>
      <c r="AO168" s="198">
        <f t="shared" si="188"/>
        <v>0</v>
      </c>
      <c r="AP168" s="125">
        <f>BEL!AP168</f>
        <v>0</v>
      </c>
      <c r="AQ168" s="125">
        <f>BEL!AQ168</f>
        <v>0</v>
      </c>
      <c r="AR168" s="125">
        <f>BEL!AR168</f>
        <v>0</v>
      </c>
      <c r="AS168" s="125">
        <f>BEL!AS168</f>
        <v>0</v>
      </c>
      <c r="AT168" s="125">
        <f>BEL!AT168</f>
        <v>0</v>
      </c>
      <c r="AU168" s="127">
        <f>BEL!AU168</f>
        <v>0</v>
      </c>
      <c r="AV168" s="127">
        <f>BEL!AV168</f>
        <v>0</v>
      </c>
      <c r="AW168" s="127">
        <f>BEL!AW168</f>
        <v>0</v>
      </c>
      <c r="AX168" s="127">
        <f t="shared" si="189"/>
        <v>0</v>
      </c>
      <c r="AY168" s="127">
        <f t="shared" si="190"/>
        <v>0</v>
      </c>
      <c r="AZ168" s="127">
        <f t="shared" si="191"/>
        <v>0</v>
      </c>
      <c r="BA168" s="127">
        <f t="shared" si="192"/>
        <v>0</v>
      </c>
      <c r="BB168" s="127">
        <f t="shared" si="193"/>
        <v>0</v>
      </c>
      <c r="BC168" s="127">
        <f t="shared" si="194"/>
        <v>0</v>
      </c>
      <c r="BD168" s="127">
        <f t="shared" si="195"/>
        <v>0</v>
      </c>
      <c r="BE168" s="127">
        <f t="shared" si="196"/>
        <v>0</v>
      </c>
      <c r="BF168" s="127">
        <f t="shared" si="197"/>
        <v>0</v>
      </c>
      <c r="BG168" s="127">
        <f t="shared" si="198"/>
        <v>0</v>
      </c>
      <c r="BH168" s="127">
        <f t="shared" si="199"/>
        <v>0</v>
      </c>
      <c r="BI168" s="127">
        <f t="shared" si="200"/>
        <v>0</v>
      </c>
      <c r="BJ168" s="189">
        <f t="shared" si="201"/>
        <v>0</v>
      </c>
      <c r="BK168" s="189">
        <f t="shared" si="202"/>
        <v>0</v>
      </c>
      <c r="BL168" s="192">
        <f t="shared" si="203"/>
        <v>0</v>
      </c>
      <c r="BM168" s="192">
        <f t="shared" si="204"/>
        <v>0</v>
      </c>
      <c r="BN168" s="192">
        <f t="shared" si="205"/>
        <v>0</v>
      </c>
      <c r="BO168" s="192">
        <f t="shared" si="206"/>
        <v>0</v>
      </c>
      <c r="BP168" s="192">
        <f t="shared" si="207"/>
        <v>0</v>
      </c>
      <c r="BQ168" s="193">
        <f t="shared" si="208"/>
        <v>0</v>
      </c>
      <c r="BR168" s="193">
        <f t="shared" si="209"/>
        <v>0</v>
      </c>
      <c r="BS168" s="188">
        <f t="shared" si="210"/>
        <v>0</v>
      </c>
      <c r="BT168" s="188">
        <f t="shared" si="211"/>
        <v>0</v>
      </c>
      <c r="BU168" s="188">
        <f t="shared" si="212"/>
        <v>0</v>
      </c>
      <c r="BV168" s="188">
        <f t="shared" si="213"/>
        <v>0</v>
      </c>
      <c r="BW168" s="188">
        <f t="shared" si="214"/>
        <v>0</v>
      </c>
      <c r="BX168" s="188">
        <f t="shared" si="215"/>
        <v>0</v>
      </c>
      <c r="BY168" s="188">
        <f t="shared" si="216"/>
        <v>0</v>
      </c>
      <c r="BZ168" s="188">
        <f t="shared" si="217"/>
        <v>0</v>
      </c>
      <c r="CA168" s="188">
        <f t="shared" si="218"/>
        <v>0</v>
      </c>
      <c r="CB168" s="149">
        <f t="shared" si="219"/>
        <v>0</v>
      </c>
      <c r="CC168" s="149">
        <f>CB168-BEL!CB168</f>
        <v>0</v>
      </c>
      <c r="CD168" s="189">
        <f>IF(AND(C168=0,C169=0),0,CB168/W168) - BEL!CC168</f>
        <v>0</v>
      </c>
      <c r="CF168" s="195">
        <f t="shared" si="220"/>
        <v>0</v>
      </c>
      <c r="CG168" s="127">
        <f t="shared" si="221"/>
        <v>0</v>
      </c>
      <c r="CH168" s="128">
        <f>'DATA INPUT - DETAIL'!AH159</f>
        <v>0</v>
      </c>
      <c r="CI168" s="125">
        <f t="shared" si="222"/>
        <v>0</v>
      </c>
      <c r="CJ168" s="199">
        <f t="shared" si="223"/>
        <v>0</v>
      </c>
      <c r="CL168" s="189">
        <f t="shared" si="224"/>
        <v>0</v>
      </c>
      <c r="CM168" s="149">
        <f t="shared" si="225"/>
        <v>0</v>
      </c>
      <c r="CN168" s="128">
        <f>'DATA INPUT - DETAIL'!AH159</f>
        <v>0</v>
      </c>
      <c r="CO168" s="149">
        <f t="shared" si="226"/>
        <v>0</v>
      </c>
      <c r="CP168" s="149">
        <f t="shared" si="227"/>
        <v>0</v>
      </c>
      <c r="CR168" s="126">
        <f t="shared" si="231"/>
        <v>156</v>
      </c>
      <c r="CS168" s="189">
        <f t="shared" si="232"/>
        <v>0</v>
      </c>
      <c r="CT168" s="200">
        <f>CS168/(BEL!CE168+BEL!CA168-BEL!BU168+'RA CSM'!CF168)</f>
        <v>0</v>
      </c>
      <c r="CU168" s="149">
        <f>$CT168*BEL!CH168</f>
        <v>0</v>
      </c>
      <c r="CV168" s="149">
        <f>$CT168*BEL!CI168</f>
        <v>0</v>
      </c>
      <c r="CW168" s="149">
        <f>$CT168*BEL!CJ168</f>
        <v>0</v>
      </c>
      <c r="CX168" s="149">
        <f>$CT168*BEL!CK168</f>
        <v>0</v>
      </c>
      <c r="CY168" s="149">
        <f t="shared" si="229"/>
        <v>0</v>
      </c>
      <c r="CZ168" s="149">
        <f>$CT168*(BEL!CL168+'RA CSM'!CG168)</f>
        <v>0</v>
      </c>
      <c r="DA168" s="149">
        <f t="shared" si="230"/>
        <v>0</v>
      </c>
    </row>
    <row r="169" spans="2:105" x14ac:dyDescent="0.2">
      <c r="B169" s="130">
        <f>BEL!B169</f>
        <v>0</v>
      </c>
      <c r="C169" s="130">
        <f>BEL!C169</f>
        <v>0</v>
      </c>
      <c r="D169" s="190">
        <f>BEL!D169</f>
        <v>0</v>
      </c>
      <c r="E169" s="190">
        <f>BEL!E169</f>
        <v>0</v>
      </c>
      <c r="F169" s="190">
        <f>BEL!F169</f>
        <v>0</v>
      </c>
      <c r="G169" s="190">
        <f>BEL!G169*(1+$V$5)</f>
        <v>0</v>
      </c>
      <c r="H169" s="190">
        <f>BEL!H169*(1+$V$5)</f>
        <v>0</v>
      </c>
      <c r="I169" s="179">
        <f t="shared" si="167"/>
        <v>0</v>
      </c>
      <c r="J169" s="130">
        <f>BEL!J169</f>
        <v>0</v>
      </c>
      <c r="K169" s="130">
        <f>BEL!K169</f>
        <v>0</v>
      </c>
      <c r="L169" s="130">
        <f>BEL!L169</f>
        <v>0</v>
      </c>
      <c r="M169" s="185">
        <f t="shared" si="228"/>
        <v>0</v>
      </c>
      <c r="N169" s="185">
        <f t="shared" si="168"/>
        <v>0</v>
      </c>
      <c r="O169" s="185">
        <f t="shared" si="169"/>
        <v>0</v>
      </c>
      <c r="P169" s="185">
        <f t="shared" si="170"/>
        <v>0</v>
      </c>
      <c r="Q169" s="185">
        <f t="shared" si="171"/>
        <v>0</v>
      </c>
      <c r="R169" s="185">
        <f t="shared" si="172"/>
        <v>0</v>
      </c>
      <c r="S169" s="185">
        <f t="shared" si="173"/>
        <v>0</v>
      </c>
      <c r="T169" s="185">
        <f t="shared" si="174"/>
        <v>0</v>
      </c>
      <c r="U169" s="196">
        <f>(C169&gt;0)*(C169&lt;$E$5)*VLOOKUP(MPP,ASUMSI!$BN$77:$CR$108,B169+1)*(1+$V$4)</f>
        <v>0</v>
      </c>
      <c r="V169" s="185">
        <f t="shared" si="175"/>
        <v>0</v>
      </c>
      <c r="W169" s="185">
        <f t="shared" si="176"/>
        <v>0</v>
      </c>
      <c r="X169" s="185">
        <f t="shared" si="177"/>
        <v>0</v>
      </c>
      <c r="Y169" s="185">
        <f t="shared" si="178"/>
        <v>0</v>
      </c>
      <c r="Z169" s="185">
        <f t="shared" si="179"/>
        <v>0</v>
      </c>
      <c r="AA169" s="197">
        <f t="shared" si="180"/>
        <v>0</v>
      </c>
      <c r="AB169" s="185">
        <f t="shared" si="181"/>
        <v>0</v>
      </c>
      <c r="AC169" s="185">
        <f t="shared" si="182"/>
        <v>0</v>
      </c>
      <c r="AD169" s="185">
        <f t="shared" si="183"/>
        <v>0</v>
      </c>
      <c r="AE169" s="185">
        <f t="shared" si="184"/>
        <v>0</v>
      </c>
      <c r="AF169" s="185">
        <f t="shared" si="185"/>
        <v>0</v>
      </c>
      <c r="AG169" s="185">
        <f t="shared" si="186"/>
        <v>0</v>
      </c>
      <c r="AH169" s="185">
        <f t="shared" si="187"/>
        <v>0</v>
      </c>
      <c r="AI169" s="125">
        <f>BEL!AI169</f>
        <v>0</v>
      </c>
      <c r="AJ169" s="125">
        <f>BEL!AJ169</f>
        <v>0</v>
      </c>
      <c r="AK169" s="125">
        <f>BEL!AK169</f>
        <v>0</v>
      </c>
      <c r="AL169" s="125">
        <f>BEL!AL169</f>
        <v>0</v>
      </c>
      <c r="AM169" s="125">
        <f>BEL!AM169</f>
        <v>0</v>
      </c>
      <c r="AN169" s="125">
        <f>BEL!AN169</f>
        <v>0</v>
      </c>
      <c r="AO169" s="198">
        <f t="shared" si="188"/>
        <v>0</v>
      </c>
      <c r="AP169" s="125">
        <f>BEL!AP169</f>
        <v>0</v>
      </c>
      <c r="AQ169" s="125">
        <f>BEL!AQ169</f>
        <v>0</v>
      </c>
      <c r="AR169" s="125">
        <f>BEL!AR169</f>
        <v>0</v>
      </c>
      <c r="AS169" s="125">
        <f>BEL!AS169</f>
        <v>0</v>
      </c>
      <c r="AT169" s="125">
        <f>BEL!AT169</f>
        <v>0</v>
      </c>
      <c r="AU169" s="127">
        <f>BEL!AU169</f>
        <v>0</v>
      </c>
      <c r="AV169" s="127">
        <f>BEL!AV169</f>
        <v>0</v>
      </c>
      <c r="AW169" s="127">
        <f>BEL!AW169</f>
        <v>0</v>
      </c>
      <c r="AX169" s="127">
        <f t="shared" si="189"/>
        <v>0</v>
      </c>
      <c r="AY169" s="127">
        <f t="shared" si="190"/>
        <v>0</v>
      </c>
      <c r="AZ169" s="127">
        <f t="shared" si="191"/>
        <v>0</v>
      </c>
      <c r="BA169" s="127">
        <f t="shared" si="192"/>
        <v>0</v>
      </c>
      <c r="BB169" s="127">
        <f t="shared" si="193"/>
        <v>0</v>
      </c>
      <c r="BC169" s="127">
        <f t="shared" si="194"/>
        <v>0</v>
      </c>
      <c r="BD169" s="127">
        <f t="shared" si="195"/>
        <v>0</v>
      </c>
      <c r="BE169" s="127">
        <f t="shared" si="196"/>
        <v>0</v>
      </c>
      <c r="BF169" s="127">
        <f t="shared" si="197"/>
        <v>0</v>
      </c>
      <c r="BG169" s="127">
        <f t="shared" si="198"/>
        <v>0</v>
      </c>
      <c r="BH169" s="127">
        <f t="shared" si="199"/>
        <v>0</v>
      </c>
      <c r="BI169" s="127">
        <f t="shared" si="200"/>
        <v>0</v>
      </c>
      <c r="BJ169" s="189">
        <f t="shared" si="201"/>
        <v>0</v>
      </c>
      <c r="BK169" s="189">
        <f t="shared" si="202"/>
        <v>0</v>
      </c>
      <c r="BL169" s="192">
        <f t="shared" si="203"/>
        <v>0</v>
      </c>
      <c r="BM169" s="192">
        <f t="shared" si="204"/>
        <v>0</v>
      </c>
      <c r="BN169" s="192">
        <f t="shared" si="205"/>
        <v>0</v>
      </c>
      <c r="BO169" s="192">
        <f t="shared" si="206"/>
        <v>0</v>
      </c>
      <c r="BP169" s="192">
        <f t="shared" si="207"/>
        <v>0</v>
      </c>
      <c r="BQ169" s="193">
        <f t="shared" si="208"/>
        <v>0</v>
      </c>
      <c r="BR169" s="193">
        <f t="shared" si="209"/>
        <v>0</v>
      </c>
      <c r="BS169" s="188">
        <f t="shared" si="210"/>
        <v>0</v>
      </c>
      <c r="BT169" s="188">
        <f t="shared" si="211"/>
        <v>0</v>
      </c>
      <c r="BU169" s="188">
        <f t="shared" si="212"/>
        <v>0</v>
      </c>
      <c r="BV169" s="188">
        <f t="shared" si="213"/>
        <v>0</v>
      </c>
      <c r="BW169" s="188">
        <f t="shared" si="214"/>
        <v>0</v>
      </c>
      <c r="BX169" s="188">
        <f t="shared" si="215"/>
        <v>0</v>
      </c>
      <c r="BY169" s="188">
        <f t="shared" si="216"/>
        <v>0</v>
      </c>
      <c r="BZ169" s="188">
        <f t="shared" si="217"/>
        <v>0</v>
      </c>
      <c r="CA169" s="188">
        <f t="shared" si="218"/>
        <v>0</v>
      </c>
      <c r="CB169" s="149">
        <f t="shared" si="219"/>
        <v>0</v>
      </c>
      <c r="CC169" s="149">
        <f>CB169-BEL!CB169</f>
        <v>0</v>
      </c>
      <c r="CD169" s="189">
        <f>IF(AND(C169=0,C170=0),0,CB169/W169) - BEL!CC169</f>
        <v>0</v>
      </c>
      <c r="CF169" s="195">
        <f t="shared" si="220"/>
        <v>0</v>
      </c>
      <c r="CG169" s="127">
        <f t="shared" si="221"/>
        <v>0</v>
      </c>
      <c r="CH169" s="128">
        <f>'DATA INPUT - DETAIL'!AH160</f>
        <v>0</v>
      </c>
      <c r="CI169" s="125">
        <f t="shared" si="222"/>
        <v>0</v>
      </c>
      <c r="CJ169" s="199">
        <f t="shared" si="223"/>
        <v>0</v>
      </c>
      <c r="CL169" s="189">
        <f t="shared" si="224"/>
        <v>0</v>
      </c>
      <c r="CM169" s="149">
        <f t="shared" si="225"/>
        <v>0</v>
      </c>
      <c r="CN169" s="128">
        <f>'DATA INPUT - DETAIL'!AH160</f>
        <v>0</v>
      </c>
      <c r="CO169" s="149">
        <f t="shared" si="226"/>
        <v>0</v>
      </c>
      <c r="CP169" s="149">
        <f t="shared" si="227"/>
        <v>0</v>
      </c>
      <c r="CR169" s="126">
        <f t="shared" si="231"/>
        <v>157</v>
      </c>
      <c r="CS169" s="189">
        <f t="shared" si="232"/>
        <v>0</v>
      </c>
      <c r="CT169" s="200">
        <f>CS169/(BEL!CE169+BEL!CA169-BEL!BU169+'RA CSM'!CF169)</f>
        <v>0</v>
      </c>
      <c r="CU169" s="149">
        <f>$CT169*BEL!CH169</f>
        <v>0</v>
      </c>
      <c r="CV169" s="149">
        <f>$CT169*BEL!CI169</f>
        <v>0</v>
      </c>
      <c r="CW169" s="149">
        <f>$CT169*BEL!CJ169</f>
        <v>0</v>
      </c>
      <c r="CX169" s="149">
        <f>$CT169*BEL!CK169</f>
        <v>0</v>
      </c>
      <c r="CY169" s="149">
        <f t="shared" si="229"/>
        <v>0</v>
      </c>
      <c r="CZ169" s="149">
        <f>$CT169*(BEL!CL169+'RA CSM'!CG169)</f>
        <v>0</v>
      </c>
      <c r="DA169" s="149">
        <f t="shared" si="230"/>
        <v>0</v>
      </c>
    </row>
    <row r="170" spans="2:105" x14ac:dyDescent="0.2">
      <c r="B170" s="130">
        <f>BEL!B170</f>
        <v>0</v>
      </c>
      <c r="C170" s="130">
        <f>BEL!C170</f>
        <v>0</v>
      </c>
      <c r="D170" s="190">
        <f>BEL!D170</f>
        <v>0</v>
      </c>
      <c r="E170" s="190">
        <f>BEL!E170</f>
        <v>0</v>
      </c>
      <c r="F170" s="190">
        <f>BEL!F170</f>
        <v>0</v>
      </c>
      <c r="G170" s="190">
        <f>BEL!G170*(1+$V$5)</f>
        <v>0</v>
      </c>
      <c r="H170" s="190">
        <f>BEL!H170*(1+$V$5)</f>
        <v>0</v>
      </c>
      <c r="I170" s="179">
        <f t="shared" si="167"/>
        <v>0</v>
      </c>
      <c r="J170" s="130">
        <f>BEL!J170</f>
        <v>0</v>
      </c>
      <c r="K170" s="130">
        <f>BEL!K170</f>
        <v>0</v>
      </c>
      <c r="L170" s="130">
        <f>BEL!L170</f>
        <v>0</v>
      </c>
      <c r="M170" s="185">
        <f t="shared" si="228"/>
        <v>0</v>
      </c>
      <c r="N170" s="185">
        <f t="shared" si="168"/>
        <v>0</v>
      </c>
      <c r="O170" s="185">
        <f t="shared" si="169"/>
        <v>0</v>
      </c>
      <c r="P170" s="185">
        <f t="shared" si="170"/>
        <v>0</v>
      </c>
      <c r="Q170" s="185">
        <f t="shared" si="171"/>
        <v>0</v>
      </c>
      <c r="R170" s="185">
        <f t="shared" si="172"/>
        <v>0</v>
      </c>
      <c r="S170" s="185">
        <f t="shared" si="173"/>
        <v>0</v>
      </c>
      <c r="T170" s="185">
        <f t="shared" si="174"/>
        <v>0</v>
      </c>
      <c r="U170" s="196">
        <f>(C170&gt;0)*(C170&lt;$E$5)*VLOOKUP(MPP,ASUMSI!$BN$77:$CR$108,B170+1)*(1+$V$4)</f>
        <v>0</v>
      </c>
      <c r="V170" s="185">
        <f t="shared" si="175"/>
        <v>0</v>
      </c>
      <c r="W170" s="185">
        <f t="shared" si="176"/>
        <v>0</v>
      </c>
      <c r="X170" s="185">
        <f t="shared" si="177"/>
        <v>0</v>
      </c>
      <c r="Y170" s="185">
        <f t="shared" si="178"/>
        <v>0</v>
      </c>
      <c r="Z170" s="185">
        <f t="shared" si="179"/>
        <v>0</v>
      </c>
      <c r="AA170" s="197">
        <f t="shared" si="180"/>
        <v>0</v>
      </c>
      <c r="AB170" s="185">
        <f t="shared" si="181"/>
        <v>0</v>
      </c>
      <c r="AC170" s="185">
        <f t="shared" si="182"/>
        <v>0</v>
      </c>
      <c r="AD170" s="185">
        <f t="shared" si="183"/>
        <v>0</v>
      </c>
      <c r="AE170" s="185">
        <f t="shared" si="184"/>
        <v>0</v>
      </c>
      <c r="AF170" s="185">
        <f t="shared" si="185"/>
        <v>0</v>
      </c>
      <c r="AG170" s="185">
        <f t="shared" si="186"/>
        <v>0</v>
      </c>
      <c r="AH170" s="185">
        <f t="shared" si="187"/>
        <v>0</v>
      </c>
      <c r="AI170" s="125">
        <f>BEL!AI170</f>
        <v>0</v>
      </c>
      <c r="AJ170" s="125">
        <f>BEL!AJ170</f>
        <v>0</v>
      </c>
      <c r="AK170" s="125">
        <f>BEL!AK170</f>
        <v>0</v>
      </c>
      <c r="AL170" s="125">
        <f>BEL!AL170</f>
        <v>0</v>
      </c>
      <c r="AM170" s="125">
        <f>BEL!AM170</f>
        <v>0</v>
      </c>
      <c r="AN170" s="125">
        <f>BEL!AN170</f>
        <v>0</v>
      </c>
      <c r="AO170" s="198">
        <f t="shared" si="188"/>
        <v>0</v>
      </c>
      <c r="AP170" s="125">
        <f>BEL!AP170</f>
        <v>0</v>
      </c>
      <c r="AQ170" s="125">
        <f>BEL!AQ170</f>
        <v>0</v>
      </c>
      <c r="AR170" s="125">
        <f>BEL!AR170</f>
        <v>0</v>
      </c>
      <c r="AS170" s="125">
        <f>BEL!AS170</f>
        <v>0</v>
      </c>
      <c r="AT170" s="125">
        <f>BEL!AT170</f>
        <v>0</v>
      </c>
      <c r="AU170" s="127">
        <f>BEL!AU170</f>
        <v>0</v>
      </c>
      <c r="AV170" s="127">
        <f>BEL!AV170</f>
        <v>0</v>
      </c>
      <c r="AW170" s="127">
        <f>BEL!AW170</f>
        <v>0</v>
      </c>
      <c r="AX170" s="127">
        <f t="shared" si="189"/>
        <v>0</v>
      </c>
      <c r="AY170" s="127">
        <f t="shared" si="190"/>
        <v>0</v>
      </c>
      <c r="AZ170" s="127">
        <f t="shared" si="191"/>
        <v>0</v>
      </c>
      <c r="BA170" s="127">
        <f t="shared" si="192"/>
        <v>0</v>
      </c>
      <c r="BB170" s="127">
        <f t="shared" si="193"/>
        <v>0</v>
      </c>
      <c r="BC170" s="127">
        <f t="shared" si="194"/>
        <v>0</v>
      </c>
      <c r="BD170" s="127">
        <f t="shared" si="195"/>
        <v>0</v>
      </c>
      <c r="BE170" s="127">
        <f t="shared" si="196"/>
        <v>0</v>
      </c>
      <c r="BF170" s="127">
        <f t="shared" si="197"/>
        <v>0</v>
      </c>
      <c r="BG170" s="127">
        <f t="shared" si="198"/>
        <v>0</v>
      </c>
      <c r="BH170" s="127">
        <f t="shared" si="199"/>
        <v>0</v>
      </c>
      <c r="BI170" s="127">
        <f t="shared" si="200"/>
        <v>0</v>
      </c>
      <c r="BJ170" s="189">
        <f t="shared" si="201"/>
        <v>0</v>
      </c>
      <c r="BK170" s="189">
        <f t="shared" si="202"/>
        <v>0</v>
      </c>
      <c r="BL170" s="192">
        <f t="shared" si="203"/>
        <v>0</v>
      </c>
      <c r="BM170" s="192">
        <f t="shared" si="204"/>
        <v>0</v>
      </c>
      <c r="BN170" s="192">
        <f t="shared" si="205"/>
        <v>0</v>
      </c>
      <c r="BO170" s="192">
        <f t="shared" si="206"/>
        <v>0</v>
      </c>
      <c r="BP170" s="192">
        <f t="shared" si="207"/>
        <v>0</v>
      </c>
      <c r="BQ170" s="193">
        <f t="shared" si="208"/>
        <v>0</v>
      </c>
      <c r="BR170" s="193">
        <f t="shared" si="209"/>
        <v>0</v>
      </c>
      <c r="BS170" s="188">
        <f t="shared" si="210"/>
        <v>0</v>
      </c>
      <c r="BT170" s="188">
        <f t="shared" si="211"/>
        <v>0</v>
      </c>
      <c r="BU170" s="188">
        <f t="shared" si="212"/>
        <v>0</v>
      </c>
      <c r="BV170" s="188">
        <f t="shared" si="213"/>
        <v>0</v>
      </c>
      <c r="BW170" s="188">
        <f t="shared" si="214"/>
        <v>0</v>
      </c>
      <c r="BX170" s="188">
        <f t="shared" si="215"/>
        <v>0</v>
      </c>
      <c r="BY170" s="188">
        <f t="shared" si="216"/>
        <v>0</v>
      </c>
      <c r="BZ170" s="188">
        <f t="shared" si="217"/>
        <v>0</v>
      </c>
      <c r="CA170" s="188">
        <f t="shared" si="218"/>
        <v>0</v>
      </c>
      <c r="CB170" s="149">
        <f t="shared" si="219"/>
        <v>0</v>
      </c>
      <c r="CC170" s="149">
        <f>CB170-BEL!CB170</f>
        <v>0</v>
      </c>
      <c r="CD170" s="189">
        <f>IF(AND(C170=0,C171=0),0,CB170/W170) - BEL!CC170</f>
        <v>0</v>
      </c>
      <c r="CF170" s="195">
        <f t="shared" si="220"/>
        <v>0</v>
      </c>
      <c r="CG170" s="127">
        <f t="shared" si="221"/>
        <v>0</v>
      </c>
      <c r="CH170" s="128">
        <f>'DATA INPUT - DETAIL'!AH161</f>
        <v>0</v>
      </c>
      <c r="CI170" s="125">
        <f t="shared" si="222"/>
        <v>0</v>
      </c>
      <c r="CJ170" s="199">
        <f t="shared" si="223"/>
        <v>0</v>
      </c>
      <c r="CL170" s="189">
        <f t="shared" si="224"/>
        <v>0</v>
      </c>
      <c r="CM170" s="149">
        <f t="shared" si="225"/>
        <v>0</v>
      </c>
      <c r="CN170" s="128">
        <f>'DATA INPUT - DETAIL'!AH161</f>
        <v>0</v>
      </c>
      <c r="CO170" s="149">
        <f t="shared" si="226"/>
        <v>0</v>
      </c>
      <c r="CP170" s="149">
        <f t="shared" si="227"/>
        <v>0</v>
      </c>
      <c r="CR170" s="126">
        <f t="shared" si="231"/>
        <v>158</v>
      </c>
      <c r="CS170" s="189">
        <f t="shared" si="232"/>
        <v>0</v>
      </c>
      <c r="CT170" s="200">
        <f>CS170/(BEL!CE170+BEL!CA170-BEL!BU170+'RA CSM'!CF170)</f>
        <v>0</v>
      </c>
      <c r="CU170" s="149">
        <f>$CT170*BEL!CH170</f>
        <v>0</v>
      </c>
      <c r="CV170" s="149">
        <f>$CT170*BEL!CI170</f>
        <v>0</v>
      </c>
      <c r="CW170" s="149">
        <f>$CT170*BEL!CJ170</f>
        <v>0</v>
      </c>
      <c r="CX170" s="149">
        <f>$CT170*BEL!CK170</f>
        <v>0</v>
      </c>
      <c r="CY170" s="149">
        <f t="shared" si="229"/>
        <v>0</v>
      </c>
      <c r="CZ170" s="149">
        <f>$CT170*(BEL!CL170+'RA CSM'!CG170)</f>
        <v>0</v>
      </c>
      <c r="DA170" s="149">
        <f t="shared" si="230"/>
        <v>0</v>
      </c>
    </row>
    <row r="171" spans="2:105" x14ac:dyDescent="0.2">
      <c r="B171" s="130">
        <f>BEL!B171</f>
        <v>0</v>
      </c>
      <c r="C171" s="130">
        <f>BEL!C171</f>
        <v>0</v>
      </c>
      <c r="D171" s="190">
        <f>BEL!D171</f>
        <v>0</v>
      </c>
      <c r="E171" s="190">
        <f>BEL!E171</f>
        <v>0</v>
      </c>
      <c r="F171" s="190">
        <f>BEL!F171</f>
        <v>0</v>
      </c>
      <c r="G171" s="190">
        <f>BEL!G171*(1+$V$5)</f>
        <v>0</v>
      </c>
      <c r="H171" s="190">
        <f>BEL!H171*(1+$V$5)</f>
        <v>0</v>
      </c>
      <c r="I171" s="179">
        <f t="shared" si="167"/>
        <v>0</v>
      </c>
      <c r="J171" s="130">
        <f>BEL!J171</f>
        <v>0</v>
      </c>
      <c r="K171" s="130">
        <f>BEL!K171</f>
        <v>0</v>
      </c>
      <c r="L171" s="130">
        <f>BEL!L171</f>
        <v>0</v>
      </c>
      <c r="M171" s="185">
        <f t="shared" si="228"/>
        <v>0</v>
      </c>
      <c r="N171" s="185">
        <f t="shared" si="168"/>
        <v>0</v>
      </c>
      <c r="O171" s="185">
        <f t="shared" si="169"/>
        <v>0</v>
      </c>
      <c r="P171" s="185">
        <f t="shared" si="170"/>
        <v>0</v>
      </c>
      <c r="Q171" s="185">
        <f t="shared" si="171"/>
        <v>0</v>
      </c>
      <c r="R171" s="185">
        <f t="shared" si="172"/>
        <v>0</v>
      </c>
      <c r="S171" s="185">
        <f t="shared" si="173"/>
        <v>0</v>
      </c>
      <c r="T171" s="185">
        <f t="shared" si="174"/>
        <v>0</v>
      </c>
      <c r="U171" s="196">
        <f>(C171&gt;0)*(C171&lt;$E$5)*VLOOKUP(MPP,ASUMSI!$BN$77:$CR$108,B171+1)*(1+$V$4)</f>
        <v>0</v>
      </c>
      <c r="V171" s="185">
        <f t="shared" si="175"/>
        <v>0</v>
      </c>
      <c r="W171" s="185">
        <f t="shared" si="176"/>
        <v>0</v>
      </c>
      <c r="X171" s="185">
        <f t="shared" si="177"/>
        <v>0</v>
      </c>
      <c r="Y171" s="185">
        <f t="shared" si="178"/>
        <v>0</v>
      </c>
      <c r="Z171" s="185">
        <f t="shared" si="179"/>
        <v>0</v>
      </c>
      <c r="AA171" s="197">
        <f t="shared" si="180"/>
        <v>0</v>
      </c>
      <c r="AB171" s="185">
        <f t="shared" si="181"/>
        <v>0</v>
      </c>
      <c r="AC171" s="185">
        <f t="shared" si="182"/>
        <v>0</v>
      </c>
      <c r="AD171" s="185">
        <f t="shared" si="183"/>
        <v>0</v>
      </c>
      <c r="AE171" s="185">
        <f t="shared" si="184"/>
        <v>0</v>
      </c>
      <c r="AF171" s="185">
        <f t="shared" si="185"/>
        <v>0</v>
      </c>
      <c r="AG171" s="185">
        <f t="shared" si="186"/>
        <v>0</v>
      </c>
      <c r="AH171" s="185">
        <f t="shared" si="187"/>
        <v>0</v>
      </c>
      <c r="AI171" s="125">
        <f>BEL!AI171</f>
        <v>0</v>
      </c>
      <c r="AJ171" s="125">
        <f>BEL!AJ171</f>
        <v>0</v>
      </c>
      <c r="AK171" s="125">
        <f>BEL!AK171</f>
        <v>0</v>
      </c>
      <c r="AL171" s="125">
        <f>BEL!AL171</f>
        <v>0</v>
      </c>
      <c r="AM171" s="125">
        <f>BEL!AM171</f>
        <v>0</v>
      </c>
      <c r="AN171" s="125">
        <f>BEL!AN171</f>
        <v>0</v>
      </c>
      <c r="AO171" s="198">
        <f t="shared" si="188"/>
        <v>0</v>
      </c>
      <c r="AP171" s="125">
        <f>BEL!AP171</f>
        <v>0</v>
      </c>
      <c r="AQ171" s="125">
        <f>BEL!AQ171</f>
        <v>0</v>
      </c>
      <c r="AR171" s="125">
        <f>BEL!AR171</f>
        <v>0</v>
      </c>
      <c r="AS171" s="125">
        <f>BEL!AS171</f>
        <v>0</v>
      </c>
      <c r="AT171" s="125">
        <f>BEL!AT171</f>
        <v>0</v>
      </c>
      <c r="AU171" s="127">
        <f>BEL!AU171</f>
        <v>0</v>
      </c>
      <c r="AV171" s="127">
        <f>BEL!AV171</f>
        <v>0</v>
      </c>
      <c r="AW171" s="127">
        <f>BEL!AW171</f>
        <v>0</v>
      </c>
      <c r="AX171" s="127">
        <f t="shared" si="189"/>
        <v>0</v>
      </c>
      <c r="AY171" s="127">
        <f t="shared" si="190"/>
        <v>0</v>
      </c>
      <c r="AZ171" s="127">
        <f t="shared" si="191"/>
        <v>0</v>
      </c>
      <c r="BA171" s="127">
        <f t="shared" si="192"/>
        <v>0</v>
      </c>
      <c r="BB171" s="127">
        <f t="shared" si="193"/>
        <v>0</v>
      </c>
      <c r="BC171" s="127">
        <f t="shared" si="194"/>
        <v>0</v>
      </c>
      <c r="BD171" s="127">
        <f t="shared" si="195"/>
        <v>0</v>
      </c>
      <c r="BE171" s="127">
        <f t="shared" si="196"/>
        <v>0</v>
      </c>
      <c r="BF171" s="127">
        <f t="shared" si="197"/>
        <v>0</v>
      </c>
      <c r="BG171" s="127">
        <f t="shared" si="198"/>
        <v>0</v>
      </c>
      <c r="BH171" s="127">
        <f t="shared" si="199"/>
        <v>0</v>
      </c>
      <c r="BI171" s="127">
        <f t="shared" si="200"/>
        <v>0</v>
      </c>
      <c r="BJ171" s="189">
        <f t="shared" si="201"/>
        <v>0</v>
      </c>
      <c r="BK171" s="189">
        <f t="shared" si="202"/>
        <v>0</v>
      </c>
      <c r="BL171" s="192">
        <f t="shared" si="203"/>
        <v>0</v>
      </c>
      <c r="BM171" s="192">
        <f t="shared" si="204"/>
        <v>0</v>
      </c>
      <c r="BN171" s="192">
        <f t="shared" si="205"/>
        <v>0</v>
      </c>
      <c r="BO171" s="192">
        <f t="shared" si="206"/>
        <v>0</v>
      </c>
      <c r="BP171" s="192">
        <f t="shared" si="207"/>
        <v>0</v>
      </c>
      <c r="BQ171" s="193">
        <f t="shared" si="208"/>
        <v>0</v>
      </c>
      <c r="BR171" s="193">
        <f t="shared" si="209"/>
        <v>0</v>
      </c>
      <c r="BS171" s="188">
        <f t="shared" si="210"/>
        <v>0</v>
      </c>
      <c r="BT171" s="188">
        <f t="shared" si="211"/>
        <v>0</v>
      </c>
      <c r="BU171" s="188">
        <f t="shared" si="212"/>
        <v>0</v>
      </c>
      <c r="BV171" s="188">
        <f t="shared" si="213"/>
        <v>0</v>
      </c>
      <c r="BW171" s="188">
        <f t="shared" si="214"/>
        <v>0</v>
      </c>
      <c r="BX171" s="188">
        <f t="shared" si="215"/>
        <v>0</v>
      </c>
      <c r="BY171" s="188">
        <f t="shared" si="216"/>
        <v>0</v>
      </c>
      <c r="BZ171" s="188">
        <f t="shared" si="217"/>
        <v>0</v>
      </c>
      <c r="CA171" s="188">
        <f t="shared" si="218"/>
        <v>0</v>
      </c>
      <c r="CB171" s="149">
        <f t="shared" si="219"/>
        <v>0</v>
      </c>
      <c r="CC171" s="149">
        <f>CB171-BEL!CB171</f>
        <v>0</v>
      </c>
      <c r="CD171" s="189">
        <f>IF(AND(C171=0,C172=0),0,CB171/W171) - BEL!CC171</f>
        <v>0</v>
      </c>
      <c r="CF171" s="195">
        <f t="shared" si="220"/>
        <v>0</v>
      </c>
      <c r="CG171" s="127">
        <f t="shared" si="221"/>
        <v>0</v>
      </c>
      <c r="CH171" s="128">
        <f>'DATA INPUT - DETAIL'!AH162</f>
        <v>0</v>
      </c>
      <c r="CI171" s="125">
        <f t="shared" si="222"/>
        <v>0</v>
      </c>
      <c r="CJ171" s="199">
        <f t="shared" si="223"/>
        <v>0</v>
      </c>
      <c r="CL171" s="189">
        <f t="shared" si="224"/>
        <v>0</v>
      </c>
      <c r="CM171" s="149">
        <f t="shared" si="225"/>
        <v>0</v>
      </c>
      <c r="CN171" s="128">
        <f>'DATA INPUT - DETAIL'!AH162</f>
        <v>0</v>
      </c>
      <c r="CO171" s="149">
        <f t="shared" si="226"/>
        <v>0</v>
      </c>
      <c r="CP171" s="149">
        <f t="shared" si="227"/>
        <v>0</v>
      </c>
      <c r="CR171" s="126">
        <f t="shared" si="231"/>
        <v>159</v>
      </c>
      <c r="CS171" s="189">
        <f t="shared" si="232"/>
        <v>0</v>
      </c>
      <c r="CT171" s="200">
        <f>CS171/(BEL!CE171+BEL!CA171-BEL!BU171+'RA CSM'!CF171)</f>
        <v>0</v>
      </c>
      <c r="CU171" s="149">
        <f>$CT171*BEL!CH171</f>
        <v>0</v>
      </c>
      <c r="CV171" s="149">
        <f>$CT171*BEL!CI171</f>
        <v>0</v>
      </c>
      <c r="CW171" s="149">
        <f>$CT171*BEL!CJ171</f>
        <v>0</v>
      </c>
      <c r="CX171" s="149">
        <f>$CT171*BEL!CK171</f>
        <v>0</v>
      </c>
      <c r="CY171" s="149">
        <f t="shared" si="229"/>
        <v>0</v>
      </c>
      <c r="CZ171" s="149">
        <f>$CT171*(BEL!CL171+'RA CSM'!CG171)</f>
        <v>0</v>
      </c>
      <c r="DA171" s="149">
        <f t="shared" si="230"/>
        <v>0</v>
      </c>
    </row>
    <row r="172" spans="2:105" x14ac:dyDescent="0.2">
      <c r="B172" s="130">
        <f>BEL!B172</f>
        <v>0</v>
      </c>
      <c r="C172" s="130">
        <f>BEL!C172</f>
        <v>0</v>
      </c>
      <c r="D172" s="190">
        <f>BEL!D172</f>
        <v>0</v>
      </c>
      <c r="E172" s="190">
        <f>BEL!E172</f>
        <v>0</v>
      </c>
      <c r="F172" s="190">
        <f>BEL!F172</f>
        <v>0</v>
      </c>
      <c r="G172" s="190">
        <f>BEL!G172*(1+$V$5)</f>
        <v>0</v>
      </c>
      <c r="H172" s="190">
        <f>BEL!H172*(1+$V$5)</f>
        <v>0</v>
      </c>
      <c r="I172" s="179">
        <f t="shared" si="167"/>
        <v>0</v>
      </c>
      <c r="J172" s="130">
        <f>BEL!J172</f>
        <v>0</v>
      </c>
      <c r="K172" s="130">
        <f>BEL!K172</f>
        <v>0</v>
      </c>
      <c r="L172" s="130">
        <f>BEL!L172</f>
        <v>0</v>
      </c>
      <c r="M172" s="185">
        <f t="shared" si="228"/>
        <v>0</v>
      </c>
      <c r="N172" s="185">
        <f t="shared" si="168"/>
        <v>0</v>
      </c>
      <c r="O172" s="185">
        <f t="shared" si="169"/>
        <v>0</v>
      </c>
      <c r="P172" s="185">
        <f t="shared" si="170"/>
        <v>0</v>
      </c>
      <c r="Q172" s="185">
        <f t="shared" si="171"/>
        <v>0</v>
      </c>
      <c r="R172" s="185">
        <f t="shared" si="172"/>
        <v>0</v>
      </c>
      <c r="S172" s="185">
        <f t="shared" si="173"/>
        <v>0</v>
      </c>
      <c r="T172" s="185">
        <f t="shared" si="174"/>
        <v>0</v>
      </c>
      <c r="U172" s="196">
        <f>(C172&gt;0)*(C172&lt;$E$5)*VLOOKUP(MPP,ASUMSI!$BN$77:$CR$108,B172+1)*(1+$V$4)</f>
        <v>0</v>
      </c>
      <c r="V172" s="185">
        <f t="shared" si="175"/>
        <v>0</v>
      </c>
      <c r="W172" s="185">
        <f t="shared" si="176"/>
        <v>0</v>
      </c>
      <c r="X172" s="185">
        <f t="shared" si="177"/>
        <v>0</v>
      </c>
      <c r="Y172" s="185">
        <f t="shared" si="178"/>
        <v>0</v>
      </c>
      <c r="Z172" s="185">
        <f t="shared" si="179"/>
        <v>0</v>
      </c>
      <c r="AA172" s="197">
        <f t="shared" si="180"/>
        <v>0</v>
      </c>
      <c r="AB172" s="185">
        <f t="shared" si="181"/>
        <v>0</v>
      </c>
      <c r="AC172" s="185">
        <f t="shared" si="182"/>
        <v>0</v>
      </c>
      <c r="AD172" s="185">
        <f t="shared" si="183"/>
        <v>0</v>
      </c>
      <c r="AE172" s="185">
        <f t="shared" si="184"/>
        <v>0</v>
      </c>
      <c r="AF172" s="185">
        <f t="shared" si="185"/>
        <v>0</v>
      </c>
      <c r="AG172" s="185">
        <f t="shared" si="186"/>
        <v>0</v>
      </c>
      <c r="AH172" s="185">
        <f t="shared" si="187"/>
        <v>0</v>
      </c>
      <c r="AI172" s="125">
        <f>BEL!AI172</f>
        <v>0</v>
      </c>
      <c r="AJ172" s="125">
        <f>BEL!AJ172</f>
        <v>0</v>
      </c>
      <c r="AK172" s="125">
        <f>BEL!AK172</f>
        <v>0</v>
      </c>
      <c r="AL172" s="125">
        <f>BEL!AL172</f>
        <v>0</v>
      </c>
      <c r="AM172" s="125">
        <f>BEL!AM172</f>
        <v>0</v>
      </c>
      <c r="AN172" s="125">
        <f>BEL!AN172</f>
        <v>0</v>
      </c>
      <c r="AO172" s="198">
        <f t="shared" si="188"/>
        <v>0</v>
      </c>
      <c r="AP172" s="125">
        <f>BEL!AP172</f>
        <v>0</v>
      </c>
      <c r="AQ172" s="125">
        <f>BEL!AQ172</f>
        <v>0</v>
      </c>
      <c r="AR172" s="125">
        <f>BEL!AR172</f>
        <v>0</v>
      </c>
      <c r="AS172" s="125">
        <f>BEL!AS172</f>
        <v>0</v>
      </c>
      <c r="AT172" s="125">
        <f>BEL!AT172</f>
        <v>0</v>
      </c>
      <c r="AU172" s="127">
        <f>BEL!AU172</f>
        <v>0</v>
      </c>
      <c r="AV172" s="127">
        <f>BEL!AV172</f>
        <v>0</v>
      </c>
      <c r="AW172" s="127">
        <f>BEL!AW172</f>
        <v>0</v>
      </c>
      <c r="AX172" s="127">
        <f t="shared" si="189"/>
        <v>0</v>
      </c>
      <c r="AY172" s="127">
        <f t="shared" si="190"/>
        <v>0</v>
      </c>
      <c r="AZ172" s="127">
        <f t="shared" si="191"/>
        <v>0</v>
      </c>
      <c r="BA172" s="127">
        <f t="shared" si="192"/>
        <v>0</v>
      </c>
      <c r="BB172" s="127">
        <f t="shared" si="193"/>
        <v>0</v>
      </c>
      <c r="BC172" s="127">
        <f t="shared" si="194"/>
        <v>0</v>
      </c>
      <c r="BD172" s="127">
        <f t="shared" si="195"/>
        <v>0</v>
      </c>
      <c r="BE172" s="127">
        <f t="shared" si="196"/>
        <v>0</v>
      </c>
      <c r="BF172" s="127">
        <f t="shared" si="197"/>
        <v>0</v>
      </c>
      <c r="BG172" s="127">
        <f t="shared" si="198"/>
        <v>0</v>
      </c>
      <c r="BH172" s="127">
        <f t="shared" si="199"/>
        <v>0</v>
      </c>
      <c r="BI172" s="127">
        <f t="shared" si="200"/>
        <v>0</v>
      </c>
      <c r="BJ172" s="189">
        <f t="shared" si="201"/>
        <v>0</v>
      </c>
      <c r="BK172" s="189">
        <f t="shared" si="202"/>
        <v>0</v>
      </c>
      <c r="BL172" s="192">
        <f t="shared" si="203"/>
        <v>0</v>
      </c>
      <c r="BM172" s="192">
        <f t="shared" si="204"/>
        <v>0</v>
      </c>
      <c r="BN172" s="192">
        <f t="shared" si="205"/>
        <v>0</v>
      </c>
      <c r="BO172" s="192">
        <f t="shared" si="206"/>
        <v>0</v>
      </c>
      <c r="BP172" s="192">
        <f t="shared" si="207"/>
        <v>0</v>
      </c>
      <c r="BQ172" s="193">
        <f t="shared" si="208"/>
        <v>0</v>
      </c>
      <c r="BR172" s="193">
        <f t="shared" si="209"/>
        <v>0</v>
      </c>
      <c r="BS172" s="188">
        <f t="shared" si="210"/>
        <v>0</v>
      </c>
      <c r="BT172" s="188">
        <f t="shared" si="211"/>
        <v>0</v>
      </c>
      <c r="BU172" s="188">
        <f t="shared" si="212"/>
        <v>0</v>
      </c>
      <c r="BV172" s="188">
        <f t="shared" si="213"/>
        <v>0</v>
      </c>
      <c r="BW172" s="188">
        <f t="shared" si="214"/>
        <v>0</v>
      </c>
      <c r="BX172" s="188">
        <f t="shared" si="215"/>
        <v>0</v>
      </c>
      <c r="BY172" s="188">
        <f t="shared" si="216"/>
        <v>0</v>
      </c>
      <c r="BZ172" s="188">
        <f t="shared" si="217"/>
        <v>0</v>
      </c>
      <c r="CA172" s="188">
        <f t="shared" si="218"/>
        <v>0</v>
      </c>
      <c r="CB172" s="149">
        <f t="shared" si="219"/>
        <v>0</v>
      </c>
      <c r="CC172" s="149">
        <f>CB172-BEL!CB172</f>
        <v>0</v>
      </c>
      <c r="CD172" s="189">
        <f>IF(AND(C172=0,C173=0),0,CB172/W172) - BEL!CC172</f>
        <v>0</v>
      </c>
      <c r="CF172" s="195">
        <f t="shared" si="220"/>
        <v>0</v>
      </c>
      <c r="CG172" s="127">
        <f t="shared" si="221"/>
        <v>0</v>
      </c>
      <c r="CH172" s="128">
        <f>'DATA INPUT - DETAIL'!AH163</f>
        <v>0</v>
      </c>
      <c r="CI172" s="125">
        <f t="shared" si="222"/>
        <v>0</v>
      </c>
      <c r="CJ172" s="199">
        <f t="shared" si="223"/>
        <v>0</v>
      </c>
      <c r="CL172" s="189">
        <f t="shared" si="224"/>
        <v>0</v>
      </c>
      <c r="CM172" s="149">
        <f t="shared" si="225"/>
        <v>0</v>
      </c>
      <c r="CN172" s="128">
        <f>'DATA INPUT - DETAIL'!AH163</f>
        <v>0</v>
      </c>
      <c r="CO172" s="149">
        <f t="shared" si="226"/>
        <v>0</v>
      </c>
      <c r="CP172" s="149">
        <f t="shared" si="227"/>
        <v>0</v>
      </c>
      <c r="CR172" s="126">
        <f t="shared" si="231"/>
        <v>160</v>
      </c>
      <c r="CS172" s="189">
        <f t="shared" si="232"/>
        <v>0</v>
      </c>
      <c r="CT172" s="200">
        <f>CS172/(BEL!CE172+BEL!CA172-BEL!BU172+'RA CSM'!CF172)</f>
        <v>0</v>
      </c>
      <c r="CU172" s="149">
        <f>$CT172*BEL!CH172</f>
        <v>0</v>
      </c>
      <c r="CV172" s="149">
        <f>$CT172*BEL!CI172</f>
        <v>0</v>
      </c>
      <c r="CW172" s="149">
        <f>$CT172*BEL!CJ172</f>
        <v>0</v>
      </c>
      <c r="CX172" s="149">
        <f>$CT172*BEL!CK172</f>
        <v>0</v>
      </c>
      <c r="CY172" s="149">
        <f t="shared" si="229"/>
        <v>0</v>
      </c>
      <c r="CZ172" s="149">
        <f>$CT172*(BEL!CL172+'RA CSM'!CG172)</f>
        <v>0</v>
      </c>
      <c r="DA172" s="149">
        <f t="shared" si="230"/>
        <v>0</v>
      </c>
    </row>
    <row r="173" spans="2:105" x14ac:dyDescent="0.2">
      <c r="B173" s="130">
        <f>BEL!B173</f>
        <v>0</v>
      </c>
      <c r="C173" s="130">
        <f>BEL!C173</f>
        <v>0</v>
      </c>
      <c r="D173" s="190">
        <f>BEL!D173</f>
        <v>0</v>
      </c>
      <c r="E173" s="190">
        <f>BEL!E173</f>
        <v>0</v>
      </c>
      <c r="F173" s="190">
        <f>BEL!F173</f>
        <v>0</v>
      </c>
      <c r="G173" s="190">
        <f>BEL!G173*(1+$V$5)</f>
        <v>0</v>
      </c>
      <c r="H173" s="190">
        <f>BEL!H173*(1+$V$5)</f>
        <v>0</v>
      </c>
      <c r="I173" s="179">
        <f t="shared" si="167"/>
        <v>0</v>
      </c>
      <c r="J173" s="130">
        <f>BEL!J173</f>
        <v>0</v>
      </c>
      <c r="K173" s="130">
        <f>BEL!K173</f>
        <v>0</v>
      </c>
      <c r="L173" s="130">
        <f>BEL!L173</f>
        <v>0</v>
      </c>
      <c r="M173" s="185">
        <f t="shared" ref="M173:M192" si="233">IF(AND(C173&lt;=$E$5-1,C173&lt;&gt;0),VLOOKUP(L173,Mortality,5,FALSE)*(1+$V$3),0)</f>
        <v>0</v>
      </c>
      <c r="N173" s="185">
        <f t="shared" si="168"/>
        <v>0</v>
      </c>
      <c r="O173" s="185">
        <f t="shared" si="169"/>
        <v>0</v>
      </c>
      <c r="P173" s="185">
        <f t="shared" si="170"/>
        <v>0</v>
      </c>
      <c r="Q173" s="185">
        <f t="shared" si="171"/>
        <v>0</v>
      </c>
      <c r="R173" s="185">
        <f t="shared" si="172"/>
        <v>0</v>
      </c>
      <c r="S173" s="185">
        <f t="shared" si="173"/>
        <v>0</v>
      </c>
      <c r="T173" s="185">
        <f t="shared" si="174"/>
        <v>0</v>
      </c>
      <c r="U173" s="196">
        <f>(C173&gt;0)*(C173&lt;$E$5)*VLOOKUP(MPP,ASUMSI!$BN$77:$CR$108,B173+1)*(1+$V$4)</f>
        <v>0</v>
      </c>
      <c r="V173" s="185">
        <f t="shared" si="175"/>
        <v>0</v>
      </c>
      <c r="W173" s="185">
        <f t="shared" si="176"/>
        <v>0</v>
      </c>
      <c r="X173" s="185">
        <f t="shared" si="177"/>
        <v>0</v>
      </c>
      <c r="Y173" s="185">
        <f t="shared" si="178"/>
        <v>0</v>
      </c>
      <c r="Z173" s="185">
        <f t="shared" si="179"/>
        <v>0</v>
      </c>
      <c r="AA173" s="197">
        <f t="shared" si="180"/>
        <v>0</v>
      </c>
      <c r="AB173" s="185">
        <f t="shared" si="181"/>
        <v>0</v>
      </c>
      <c r="AC173" s="185">
        <f t="shared" si="182"/>
        <v>0</v>
      </c>
      <c r="AD173" s="185">
        <f t="shared" si="183"/>
        <v>0</v>
      </c>
      <c r="AE173" s="185">
        <f t="shared" si="184"/>
        <v>0</v>
      </c>
      <c r="AF173" s="185">
        <f t="shared" si="185"/>
        <v>0</v>
      </c>
      <c r="AG173" s="185">
        <f t="shared" si="186"/>
        <v>0</v>
      </c>
      <c r="AH173" s="185">
        <f t="shared" si="187"/>
        <v>0</v>
      </c>
      <c r="AI173" s="125">
        <f>BEL!AI173</f>
        <v>0</v>
      </c>
      <c r="AJ173" s="125">
        <f>BEL!AJ173</f>
        <v>0</v>
      </c>
      <c r="AK173" s="125">
        <f>BEL!AK173</f>
        <v>0</v>
      </c>
      <c r="AL173" s="125">
        <f>BEL!AL173</f>
        <v>0</v>
      </c>
      <c r="AM173" s="125">
        <f>BEL!AM173</f>
        <v>0</v>
      </c>
      <c r="AN173" s="125">
        <f>BEL!AN173</f>
        <v>0</v>
      </c>
      <c r="AO173" s="198">
        <f t="shared" si="188"/>
        <v>0</v>
      </c>
      <c r="AP173" s="125">
        <f>BEL!AP173</f>
        <v>0</v>
      </c>
      <c r="AQ173" s="125">
        <f>BEL!AQ173</f>
        <v>0</v>
      </c>
      <c r="AR173" s="125">
        <f>BEL!AR173</f>
        <v>0</v>
      </c>
      <c r="AS173" s="125">
        <f>BEL!AS173</f>
        <v>0</v>
      </c>
      <c r="AT173" s="125">
        <f>BEL!AT173</f>
        <v>0</v>
      </c>
      <c r="AU173" s="127">
        <f>BEL!AU173</f>
        <v>0</v>
      </c>
      <c r="AV173" s="127">
        <f>BEL!AV173</f>
        <v>0</v>
      </c>
      <c r="AW173" s="127">
        <f>BEL!AW173</f>
        <v>0</v>
      </c>
      <c r="AX173" s="127">
        <f t="shared" si="189"/>
        <v>0</v>
      </c>
      <c r="AY173" s="127">
        <f t="shared" si="190"/>
        <v>0</v>
      </c>
      <c r="AZ173" s="127">
        <f t="shared" si="191"/>
        <v>0</v>
      </c>
      <c r="BA173" s="127">
        <f t="shared" si="192"/>
        <v>0</v>
      </c>
      <c r="BB173" s="127">
        <f t="shared" si="193"/>
        <v>0</v>
      </c>
      <c r="BC173" s="127">
        <f t="shared" si="194"/>
        <v>0</v>
      </c>
      <c r="BD173" s="127">
        <f t="shared" si="195"/>
        <v>0</v>
      </c>
      <c r="BE173" s="127">
        <f t="shared" si="196"/>
        <v>0</v>
      </c>
      <c r="BF173" s="127">
        <f t="shared" si="197"/>
        <v>0</v>
      </c>
      <c r="BG173" s="127">
        <f t="shared" si="198"/>
        <v>0</v>
      </c>
      <c r="BH173" s="127">
        <f t="shared" si="199"/>
        <v>0</v>
      </c>
      <c r="BI173" s="127">
        <f t="shared" si="200"/>
        <v>0</v>
      </c>
      <c r="BJ173" s="189">
        <f t="shared" si="201"/>
        <v>0</v>
      </c>
      <c r="BK173" s="189">
        <f t="shared" si="202"/>
        <v>0</v>
      </c>
      <c r="BL173" s="192">
        <f t="shared" si="203"/>
        <v>0</v>
      </c>
      <c r="BM173" s="192">
        <f t="shared" si="204"/>
        <v>0</v>
      </c>
      <c r="BN173" s="192">
        <f t="shared" si="205"/>
        <v>0</v>
      </c>
      <c r="BO173" s="192">
        <f t="shared" si="206"/>
        <v>0</v>
      </c>
      <c r="BP173" s="192">
        <f t="shared" si="207"/>
        <v>0</v>
      </c>
      <c r="BQ173" s="193">
        <f t="shared" si="208"/>
        <v>0</v>
      </c>
      <c r="BR173" s="193">
        <f t="shared" si="209"/>
        <v>0</v>
      </c>
      <c r="BS173" s="188">
        <f t="shared" si="210"/>
        <v>0</v>
      </c>
      <c r="BT173" s="188">
        <f t="shared" si="211"/>
        <v>0</v>
      </c>
      <c r="BU173" s="188">
        <f t="shared" si="212"/>
        <v>0</v>
      </c>
      <c r="BV173" s="188">
        <f t="shared" si="213"/>
        <v>0</v>
      </c>
      <c r="BW173" s="188">
        <f t="shared" si="214"/>
        <v>0</v>
      </c>
      <c r="BX173" s="188">
        <f t="shared" si="215"/>
        <v>0</v>
      </c>
      <c r="BY173" s="188">
        <f t="shared" si="216"/>
        <v>0</v>
      </c>
      <c r="BZ173" s="188">
        <f t="shared" si="217"/>
        <v>0</v>
      </c>
      <c r="CA173" s="188">
        <f t="shared" si="218"/>
        <v>0</v>
      </c>
      <c r="CB173" s="149">
        <f t="shared" si="219"/>
        <v>0</v>
      </c>
      <c r="CC173" s="149">
        <f>CB173-BEL!CB173</f>
        <v>0</v>
      </c>
      <c r="CD173" s="189">
        <f>IF(AND(C173=0,C174=0),0,CB173/W173) - BEL!CC173</f>
        <v>0</v>
      </c>
      <c r="CF173" s="195">
        <f t="shared" si="220"/>
        <v>0</v>
      </c>
      <c r="CG173" s="127">
        <f t="shared" si="221"/>
        <v>0</v>
      </c>
      <c r="CH173" s="128">
        <f>'DATA INPUT - DETAIL'!AH164</f>
        <v>0</v>
      </c>
      <c r="CI173" s="125">
        <f t="shared" si="222"/>
        <v>0</v>
      </c>
      <c r="CJ173" s="199">
        <f t="shared" si="223"/>
        <v>0</v>
      </c>
      <c r="CL173" s="189">
        <f t="shared" si="224"/>
        <v>0</v>
      </c>
      <c r="CM173" s="149">
        <f t="shared" si="225"/>
        <v>0</v>
      </c>
      <c r="CN173" s="128">
        <f>'DATA INPUT - DETAIL'!AH164</f>
        <v>0</v>
      </c>
      <c r="CO173" s="149">
        <f t="shared" si="226"/>
        <v>0</v>
      </c>
      <c r="CP173" s="149">
        <f t="shared" si="227"/>
        <v>0</v>
      </c>
      <c r="CR173" s="126">
        <f t="shared" si="231"/>
        <v>161</v>
      </c>
      <c r="CS173" s="189">
        <f t="shared" si="232"/>
        <v>0</v>
      </c>
      <c r="CT173" s="200">
        <f>CS173/(BEL!CE173+BEL!CA173-BEL!BU173+'RA CSM'!CF173)</f>
        <v>0</v>
      </c>
      <c r="CU173" s="149">
        <f>$CT173*BEL!CH173</f>
        <v>0</v>
      </c>
      <c r="CV173" s="149">
        <f>$CT173*BEL!CI173</f>
        <v>0</v>
      </c>
      <c r="CW173" s="149">
        <f>$CT173*BEL!CJ173</f>
        <v>0</v>
      </c>
      <c r="CX173" s="149">
        <f>$CT173*BEL!CK173</f>
        <v>0</v>
      </c>
      <c r="CY173" s="149">
        <f t="shared" si="229"/>
        <v>0</v>
      </c>
      <c r="CZ173" s="149">
        <f>$CT173*(BEL!CL173+'RA CSM'!CG173)</f>
        <v>0</v>
      </c>
      <c r="DA173" s="149">
        <f t="shared" si="230"/>
        <v>0</v>
      </c>
    </row>
    <row r="174" spans="2:105" x14ac:dyDescent="0.2">
      <c r="B174" s="130">
        <f>BEL!B174</f>
        <v>0</v>
      </c>
      <c r="C174" s="130">
        <f>BEL!C174</f>
        <v>0</v>
      </c>
      <c r="D174" s="190">
        <f>BEL!D174</f>
        <v>0</v>
      </c>
      <c r="E174" s="190">
        <f>BEL!E174</f>
        <v>0</v>
      </c>
      <c r="F174" s="190">
        <f>BEL!F174</f>
        <v>0</v>
      </c>
      <c r="G174" s="190">
        <f>BEL!G174*(1+$V$5)</f>
        <v>0</v>
      </c>
      <c r="H174" s="190">
        <f>BEL!H174*(1+$V$5)</f>
        <v>0</v>
      </c>
      <c r="I174" s="179">
        <f t="shared" si="167"/>
        <v>0</v>
      </c>
      <c r="J174" s="130">
        <f>BEL!J174</f>
        <v>0</v>
      </c>
      <c r="K174" s="130">
        <f>BEL!K174</f>
        <v>0</v>
      </c>
      <c r="L174" s="130">
        <f>BEL!L174</f>
        <v>0</v>
      </c>
      <c r="M174" s="185">
        <f t="shared" si="233"/>
        <v>0</v>
      </c>
      <c r="N174" s="185">
        <f t="shared" si="168"/>
        <v>0</v>
      </c>
      <c r="O174" s="185">
        <f t="shared" si="169"/>
        <v>0</v>
      </c>
      <c r="P174" s="185">
        <f t="shared" si="170"/>
        <v>0</v>
      </c>
      <c r="Q174" s="185">
        <f t="shared" si="171"/>
        <v>0</v>
      </c>
      <c r="R174" s="185">
        <f t="shared" si="172"/>
        <v>0</v>
      </c>
      <c r="S174" s="185">
        <f t="shared" si="173"/>
        <v>0</v>
      </c>
      <c r="T174" s="185">
        <f t="shared" si="174"/>
        <v>0</v>
      </c>
      <c r="U174" s="196">
        <f>(C174&gt;0)*(C174&lt;$E$5)*VLOOKUP(MPP,ASUMSI!$BN$77:$CR$108,B174+1)*(1+$V$4)</f>
        <v>0</v>
      </c>
      <c r="V174" s="185">
        <f t="shared" si="175"/>
        <v>0</v>
      </c>
      <c r="W174" s="185">
        <f t="shared" si="176"/>
        <v>0</v>
      </c>
      <c r="X174" s="185">
        <f t="shared" si="177"/>
        <v>0</v>
      </c>
      <c r="Y174" s="185">
        <f t="shared" si="178"/>
        <v>0</v>
      </c>
      <c r="Z174" s="185">
        <f t="shared" si="179"/>
        <v>0</v>
      </c>
      <c r="AA174" s="197">
        <f t="shared" si="180"/>
        <v>0</v>
      </c>
      <c r="AB174" s="185">
        <f t="shared" si="181"/>
        <v>0</v>
      </c>
      <c r="AC174" s="185">
        <f t="shared" si="182"/>
        <v>0</v>
      </c>
      <c r="AD174" s="185">
        <f t="shared" si="183"/>
        <v>0</v>
      </c>
      <c r="AE174" s="185">
        <f t="shared" si="184"/>
        <v>0</v>
      </c>
      <c r="AF174" s="185">
        <f t="shared" si="185"/>
        <v>0</v>
      </c>
      <c r="AG174" s="185">
        <f t="shared" si="186"/>
        <v>0</v>
      </c>
      <c r="AH174" s="185">
        <f t="shared" si="187"/>
        <v>0</v>
      </c>
      <c r="AI174" s="125">
        <f>BEL!AI174</f>
        <v>0</v>
      </c>
      <c r="AJ174" s="125">
        <f>BEL!AJ174</f>
        <v>0</v>
      </c>
      <c r="AK174" s="125">
        <f>BEL!AK174</f>
        <v>0</v>
      </c>
      <c r="AL174" s="125">
        <f>BEL!AL174</f>
        <v>0</v>
      </c>
      <c r="AM174" s="125">
        <f>BEL!AM174</f>
        <v>0</v>
      </c>
      <c r="AN174" s="125">
        <f>BEL!AN174</f>
        <v>0</v>
      </c>
      <c r="AO174" s="198">
        <f t="shared" si="188"/>
        <v>0</v>
      </c>
      <c r="AP174" s="125">
        <f>BEL!AP174</f>
        <v>0</v>
      </c>
      <c r="AQ174" s="125">
        <f>BEL!AQ174</f>
        <v>0</v>
      </c>
      <c r="AR174" s="125">
        <f>BEL!AR174</f>
        <v>0</v>
      </c>
      <c r="AS174" s="125">
        <f>BEL!AS174</f>
        <v>0</v>
      </c>
      <c r="AT174" s="125">
        <f>BEL!AT174</f>
        <v>0</v>
      </c>
      <c r="AU174" s="127">
        <f>BEL!AU174</f>
        <v>0</v>
      </c>
      <c r="AV174" s="127">
        <f>BEL!AV174</f>
        <v>0</v>
      </c>
      <c r="AW174" s="127">
        <f>BEL!AW174</f>
        <v>0</v>
      </c>
      <c r="AX174" s="127">
        <f t="shared" si="189"/>
        <v>0</v>
      </c>
      <c r="AY174" s="127">
        <f t="shared" si="190"/>
        <v>0</v>
      </c>
      <c r="AZ174" s="127">
        <f t="shared" si="191"/>
        <v>0</v>
      </c>
      <c r="BA174" s="127">
        <f t="shared" si="192"/>
        <v>0</v>
      </c>
      <c r="BB174" s="127">
        <f t="shared" si="193"/>
        <v>0</v>
      </c>
      <c r="BC174" s="127">
        <f t="shared" si="194"/>
        <v>0</v>
      </c>
      <c r="BD174" s="127">
        <f t="shared" si="195"/>
        <v>0</v>
      </c>
      <c r="BE174" s="127">
        <f t="shared" si="196"/>
        <v>0</v>
      </c>
      <c r="BF174" s="127">
        <f t="shared" si="197"/>
        <v>0</v>
      </c>
      <c r="BG174" s="127">
        <f t="shared" si="198"/>
        <v>0</v>
      </c>
      <c r="BH174" s="127">
        <f t="shared" si="199"/>
        <v>0</v>
      </c>
      <c r="BI174" s="127">
        <f t="shared" si="200"/>
        <v>0</v>
      </c>
      <c r="BJ174" s="189">
        <f t="shared" si="201"/>
        <v>0</v>
      </c>
      <c r="BK174" s="189">
        <f t="shared" si="202"/>
        <v>0</v>
      </c>
      <c r="BL174" s="192">
        <f t="shared" si="203"/>
        <v>0</v>
      </c>
      <c r="BM174" s="192">
        <f t="shared" si="204"/>
        <v>0</v>
      </c>
      <c r="BN174" s="192">
        <f t="shared" si="205"/>
        <v>0</v>
      </c>
      <c r="BO174" s="192">
        <f t="shared" si="206"/>
        <v>0</v>
      </c>
      <c r="BP174" s="192">
        <f t="shared" si="207"/>
        <v>0</v>
      </c>
      <c r="BQ174" s="193">
        <f t="shared" si="208"/>
        <v>0</v>
      </c>
      <c r="BR174" s="193">
        <f t="shared" si="209"/>
        <v>0</v>
      </c>
      <c r="BS174" s="188">
        <f t="shared" si="210"/>
        <v>0</v>
      </c>
      <c r="BT174" s="188">
        <f t="shared" si="211"/>
        <v>0</v>
      </c>
      <c r="BU174" s="188">
        <f t="shared" si="212"/>
        <v>0</v>
      </c>
      <c r="BV174" s="188">
        <f t="shared" si="213"/>
        <v>0</v>
      </c>
      <c r="BW174" s="188">
        <f t="shared" si="214"/>
        <v>0</v>
      </c>
      <c r="BX174" s="188">
        <f t="shared" si="215"/>
        <v>0</v>
      </c>
      <c r="BY174" s="188">
        <f t="shared" si="216"/>
        <v>0</v>
      </c>
      <c r="BZ174" s="188">
        <f t="shared" si="217"/>
        <v>0</v>
      </c>
      <c r="CA174" s="188">
        <f t="shared" si="218"/>
        <v>0</v>
      </c>
      <c r="CB174" s="149">
        <f t="shared" si="219"/>
        <v>0</v>
      </c>
      <c r="CC174" s="149">
        <f>CB174-BEL!CB174</f>
        <v>0</v>
      </c>
      <c r="CD174" s="189">
        <f>IF(AND(C174=0,C175=0),0,CB174/W174) - BEL!CC174</f>
        <v>0</v>
      </c>
      <c r="CF174" s="195">
        <f t="shared" si="220"/>
        <v>0</v>
      </c>
      <c r="CG174" s="127">
        <f t="shared" si="221"/>
        <v>0</v>
      </c>
      <c r="CH174" s="128">
        <f>'DATA INPUT - DETAIL'!AH165</f>
        <v>0</v>
      </c>
      <c r="CI174" s="125">
        <f t="shared" si="222"/>
        <v>0</v>
      </c>
      <c r="CJ174" s="199">
        <f t="shared" si="223"/>
        <v>0</v>
      </c>
      <c r="CL174" s="189">
        <f t="shared" si="224"/>
        <v>0</v>
      </c>
      <c r="CM174" s="149">
        <f t="shared" si="225"/>
        <v>0</v>
      </c>
      <c r="CN174" s="128">
        <f>'DATA INPUT - DETAIL'!AH165</f>
        <v>0</v>
      </c>
      <c r="CO174" s="149">
        <f t="shared" si="226"/>
        <v>0</v>
      </c>
      <c r="CP174" s="149">
        <f t="shared" si="227"/>
        <v>0</v>
      </c>
      <c r="CR174" s="126">
        <f t="shared" si="231"/>
        <v>162</v>
      </c>
      <c r="CS174" s="189">
        <f t="shared" si="232"/>
        <v>0</v>
      </c>
      <c r="CT174" s="200">
        <f>CS174/(BEL!CE174+BEL!CA174-BEL!BU174+'RA CSM'!CF174)</f>
        <v>0</v>
      </c>
      <c r="CU174" s="149">
        <f>$CT174*BEL!CH174</f>
        <v>0</v>
      </c>
      <c r="CV174" s="149">
        <f>$CT174*BEL!CI174</f>
        <v>0</v>
      </c>
      <c r="CW174" s="149">
        <f>$CT174*BEL!CJ174</f>
        <v>0</v>
      </c>
      <c r="CX174" s="149">
        <f>$CT174*BEL!CK174</f>
        <v>0</v>
      </c>
      <c r="CY174" s="149">
        <f t="shared" si="229"/>
        <v>0</v>
      </c>
      <c r="CZ174" s="149">
        <f>$CT174*(BEL!CL174+'RA CSM'!CG174)</f>
        <v>0</v>
      </c>
      <c r="DA174" s="149">
        <f t="shared" si="230"/>
        <v>0</v>
      </c>
    </row>
    <row r="175" spans="2:105" x14ac:dyDescent="0.2">
      <c r="B175" s="130">
        <f>BEL!B175</f>
        <v>0</v>
      </c>
      <c r="C175" s="130">
        <f>BEL!C175</f>
        <v>0</v>
      </c>
      <c r="D175" s="190">
        <f>BEL!D175</f>
        <v>0</v>
      </c>
      <c r="E175" s="190">
        <f>BEL!E175</f>
        <v>0</v>
      </c>
      <c r="F175" s="190">
        <f>BEL!F175</f>
        <v>0</v>
      </c>
      <c r="G175" s="190">
        <f>BEL!G175*(1+$V$5)</f>
        <v>0</v>
      </c>
      <c r="H175" s="190">
        <f>BEL!H175*(1+$V$5)</f>
        <v>0</v>
      </c>
      <c r="I175" s="179">
        <f t="shared" si="167"/>
        <v>0</v>
      </c>
      <c r="J175" s="130">
        <f>BEL!J175</f>
        <v>0</v>
      </c>
      <c r="K175" s="130">
        <f>BEL!K175</f>
        <v>0</v>
      </c>
      <c r="L175" s="130">
        <f>BEL!L175</f>
        <v>0</v>
      </c>
      <c r="M175" s="185">
        <f t="shared" si="233"/>
        <v>0</v>
      </c>
      <c r="N175" s="185">
        <f t="shared" si="168"/>
        <v>0</v>
      </c>
      <c r="O175" s="185">
        <f t="shared" si="169"/>
        <v>0</v>
      </c>
      <c r="P175" s="185">
        <f t="shared" si="170"/>
        <v>0</v>
      </c>
      <c r="Q175" s="185">
        <f t="shared" si="171"/>
        <v>0</v>
      </c>
      <c r="R175" s="185">
        <f t="shared" si="172"/>
        <v>0</v>
      </c>
      <c r="S175" s="185">
        <f t="shared" si="173"/>
        <v>0</v>
      </c>
      <c r="T175" s="185">
        <f t="shared" si="174"/>
        <v>0</v>
      </c>
      <c r="U175" s="196">
        <f>(C175&gt;0)*(C175&lt;$E$5)*VLOOKUP(MPP,ASUMSI!$BN$77:$CR$108,B175+1)*(1+$V$4)</f>
        <v>0</v>
      </c>
      <c r="V175" s="185">
        <f t="shared" si="175"/>
        <v>0</v>
      </c>
      <c r="W175" s="185">
        <f t="shared" si="176"/>
        <v>0</v>
      </c>
      <c r="X175" s="185">
        <f t="shared" si="177"/>
        <v>0</v>
      </c>
      <c r="Y175" s="185">
        <f t="shared" si="178"/>
        <v>0</v>
      </c>
      <c r="Z175" s="185">
        <f t="shared" si="179"/>
        <v>0</v>
      </c>
      <c r="AA175" s="197">
        <f t="shared" si="180"/>
        <v>0</v>
      </c>
      <c r="AB175" s="185">
        <f t="shared" si="181"/>
        <v>0</v>
      </c>
      <c r="AC175" s="185">
        <f t="shared" si="182"/>
        <v>0</v>
      </c>
      <c r="AD175" s="185">
        <f t="shared" si="183"/>
        <v>0</v>
      </c>
      <c r="AE175" s="185">
        <f t="shared" si="184"/>
        <v>0</v>
      </c>
      <c r="AF175" s="185">
        <f t="shared" si="185"/>
        <v>0</v>
      </c>
      <c r="AG175" s="185">
        <f t="shared" si="186"/>
        <v>0</v>
      </c>
      <c r="AH175" s="185">
        <f t="shared" si="187"/>
        <v>0</v>
      </c>
      <c r="AI175" s="125">
        <f>BEL!AI175</f>
        <v>0</v>
      </c>
      <c r="AJ175" s="125">
        <f>BEL!AJ175</f>
        <v>0</v>
      </c>
      <c r="AK175" s="125">
        <f>BEL!AK175</f>
        <v>0</v>
      </c>
      <c r="AL175" s="125">
        <f>BEL!AL175</f>
        <v>0</v>
      </c>
      <c r="AM175" s="125">
        <f>BEL!AM175</f>
        <v>0</v>
      </c>
      <c r="AN175" s="125">
        <f>BEL!AN175</f>
        <v>0</v>
      </c>
      <c r="AO175" s="198">
        <f t="shared" si="188"/>
        <v>0</v>
      </c>
      <c r="AP175" s="125">
        <f>BEL!AP175</f>
        <v>0</v>
      </c>
      <c r="AQ175" s="125">
        <f>BEL!AQ175</f>
        <v>0</v>
      </c>
      <c r="AR175" s="125">
        <f>BEL!AR175</f>
        <v>0</v>
      </c>
      <c r="AS175" s="125">
        <f>BEL!AS175</f>
        <v>0</v>
      </c>
      <c r="AT175" s="125">
        <f>BEL!AT175</f>
        <v>0</v>
      </c>
      <c r="AU175" s="127">
        <f>BEL!AU175</f>
        <v>0</v>
      </c>
      <c r="AV175" s="127">
        <f>BEL!AV175</f>
        <v>0</v>
      </c>
      <c r="AW175" s="127">
        <f>BEL!AW175</f>
        <v>0</v>
      </c>
      <c r="AX175" s="127">
        <f t="shared" si="189"/>
        <v>0</v>
      </c>
      <c r="AY175" s="127">
        <f t="shared" si="190"/>
        <v>0</v>
      </c>
      <c r="AZ175" s="127">
        <f t="shared" si="191"/>
        <v>0</v>
      </c>
      <c r="BA175" s="127">
        <f t="shared" si="192"/>
        <v>0</v>
      </c>
      <c r="BB175" s="127">
        <f t="shared" si="193"/>
        <v>0</v>
      </c>
      <c r="BC175" s="127">
        <f t="shared" si="194"/>
        <v>0</v>
      </c>
      <c r="BD175" s="127">
        <f t="shared" si="195"/>
        <v>0</v>
      </c>
      <c r="BE175" s="127">
        <f t="shared" si="196"/>
        <v>0</v>
      </c>
      <c r="BF175" s="127">
        <f t="shared" si="197"/>
        <v>0</v>
      </c>
      <c r="BG175" s="127">
        <f t="shared" si="198"/>
        <v>0</v>
      </c>
      <c r="BH175" s="127">
        <f t="shared" si="199"/>
        <v>0</v>
      </c>
      <c r="BI175" s="127">
        <f t="shared" si="200"/>
        <v>0</v>
      </c>
      <c r="BJ175" s="189">
        <f t="shared" si="201"/>
        <v>0</v>
      </c>
      <c r="BK175" s="189">
        <f t="shared" si="202"/>
        <v>0</v>
      </c>
      <c r="BL175" s="192">
        <f t="shared" si="203"/>
        <v>0</v>
      </c>
      <c r="BM175" s="192">
        <f t="shared" si="204"/>
        <v>0</v>
      </c>
      <c r="BN175" s="192">
        <f t="shared" si="205"/>
        <v>0</v>
      </c>
      <c r="BO175" s="192">
        <f t="shared" si="206"/>
        <v>0</v>
      </c>
      <c r="BP175" s="192">
        <f t="shared" si="207"/>
        <v>0</v>
      </c>
      <c r="BQ175" s="193">
        <f t="shared" si="208"/>
        <v>0</v>
      </c>
      <c r="BR175" s="193">
        <f t="shared" si="209"/>
        <v>0</v>
      </c>
      <c r="BS175" s="188">
        <f t="shared" si="210"/>
        <v>0</v>
      </c>
      <c r="BT175" s="188">
        <f t="shared" si="211"/>
        <v>0</v>
      </c>
      <c r="BU175" s="188">
        <f t="shared" si="212"/>
        <v>0</v>
      </c>
      <c r="BV175" s="188">
        <f t="shared" si="213"/>
        <v>0</v>
      </c>
      <c r="BW175" s="188">
        <f t="shared" si="214"/>
        <v>0</v>
      </c>
      <c r="BX175" s="188">
        <f t="shared" si="215"/>
        <v>0</v>
      </c>
      <c r="BY175" s="188">
        <f t="shared" si="216"/>
        <v>0</v>
      </c>
      <c r="BZ175" s="188">
        <f t="shared" si="217"/>
        <v>0</v>
      </c>
      <c r="CA175" s="188">
        <f t="shared" si="218"/>
        <v>0</v>
      </c>
      <c r="CB175" s="149">
        <f t="shared" si="219"/>
        <v>0</v>
      </c>
      <c r="CC175" s="149">
        <f>CB175-BEL!CB175</f>
        <v>0</v>
      </c>
      <c r="CD175" s="189">
        <f>IF(AND(C175=0,C176=0),0,CB175/W175) - BEL!CC175</f>
        <v>0</v>
      </c>
      <c r="CF175" s="195">
        <f t="shared" si="220"/>
        <v>0</v>
      </c>
      <c r="CG175" s="127">
        <f t="shared" si="221"/>
        <v>0</v>
      </c>
      <c r="CH175" s="128">
        <f>'DATA INPUT - DETAIL'!AH166</f>
        <v>0</v>
      </c>
      <c r="CI175" s="125">
        <f t="shared" si="222"/>
        <v>0</v>
      </c>
      <c r="CJ175" s="199">
        <f t="shared" si="223"/>
        <v>0</v>
      </c>
      <c r="CL175" s="189">
        <f t="shared" si="224"/>
        <v>0</v>
      </c>
      <c r="CM175" s="149">
        <f t="shared" si="225"/>
        <v>0</v>
      </c>
      <c r="CN175" s="128">
        <f>'DATA INPUT - DETAIL'!AH166</f>
        <v>0</v>
      </c>
      <c r="CO175" s="149">
        <f t="shared" si="226"/>
        <v>0</v>
      </c>
      <c r="CP175" s="149">
        <f t="shared" si="227"/>
        <v>0</v>
      </c>
      <c r="CR175" s="126">
        <f t="shared" si="231"/>
        <v>163</v>
      </c>
      <c r="CS175" s="189">
        <f t="shared" si="232"/>
        <v>0</v>
      </c>
      <c r="CT175" s="200">
        <f>CS175/(BEL!CE175+BEL!CA175-BEL!BU175+'RA CSM'!CF175)</f>
        <v>0</v>
      </c>
      <c r="CU175" s="149">
        <f>$CT175*BEL!CH175</f>
        <v>0</v>
      </c>
      <c r="CV175" s="149">
        <f>$CT175*BEL!CI175</f>
        <v>0</v>
      </c>
      <c r="CW175" s="149">
        <f>$CT175*BEL!CJ175</f>
        <v>0</v>
      </c>
      <c r="CX175" s="149">
        <f>$CT175*BEL!CK175</f>
        <v>0</v>
      </c>
      <c r="CY175" s="149">
        <f t="shared" si="229"/>
        <v>0</v>
      </c>
      <c r="CZ175" s="149">
        <f>$CT175*(BEL!CL175+'RA CSM'!CG175)</f>
        <v>0</v>
      </c>
      <c r="DA175" s="149">
        <f t="shared" si="230"/>
        <v>0</v>
      </c>
    </row>
    <row r="176" spans="2:105" x14ac:dyDescent="0.2">
      <c r="B176" s="130">
        <f>BEL!B176</f>
        <v>0</v>
      </c>
      <c r="C176" s="130">
        <f>BEL!C176</f>
        <v>0</v>
      </c>
      <c r="D176" s="190">
        <f>BEL!D176</f>
        <v>0</v>
      </c>
      <c r="E176" s="190">
        <f>BEL!E176</f>
        <v>0</v>
      </c>
      <c r="F176" s="190">
        <f>BEL!F176</f>
        <v>0</v>
      </c>
      <c r="G176" s="190">
        <f>BEL!G176*(1+$V$5)</f>
        <v>0</v>
      </c>
      <c r="H176" s="190">
        <f>BEL!H176*(1+$V$5)</f>
        <v>0</v>
      </c>
      <c r="I176" s="179">
        <f t="shared" si="167"/>
        <v>0</v>
      </c>
      <c r="J176" s="130">
        <f>BEL!J176</f>
        <v>0</v>
      </c>
      <c r="K176" s="130">
        <f>BEL!K176</f>
        <v>0</v>
      </c>
      <c r="L176" s="130">
        <f>BEL!L176</f>
        <v>0</v>
      </c>
      <c r="M176" s="185">
        <f t="shared" si="233"/>
        <v>0</v>
      </c>
      <c r="N176" s="185">
        <f t="shared" si="168"/>
        <v>0</v>
      </c>
      <c r="O176" s="185">
        <f t="shared" si="169"/>
        <v>0</v>
      </c>
      <c r="P176" s="185">
        <f t="shared" si="170"/>
        <v>0</v>
      </c>
      <c r="Q176" s="185">
        <f t="shared" si="171"/>
        <v>0</v>
      </c>
      <c r="R176" s="185">
        <f t="shared" si="172"/>
        <v>0</v>
      </c>
      <c r="S176" s="185">
        <f t="shared" si="173"/>
        <v>0</v>
      </c>
      <c r="T176" s="185">
        <f t="shared" si="174"/>
        <v>0</v>
      </c>
      <c r="U176" s="196">
        <f>(C176&gt;0)*(C176&lt;$E$5)*VLOOKUP(MPP,ASUMSI!$BN$77:$CR$108,B176+1)*(1+$V$4)</f>
        <v>0</v>
      </c>
      <c r="V176" s="185">
        <f t="shared" si="175"/>
        <v>0</v>
      </c>
      <c r="W176" s="185">
        <f t="shared" si="176"/>
        <v>0</v>
      </c>
      <c r="X176" s="185">
        <f t="shared" si="177"/>
        <v>0</v>
      </c>
      <c r="Y176" s="185">
        <f t="shared" si="178"/>
        <v>0</v>
      </c>
      <c r="Z176" s="185">
        <f t="shared" si="179"/>
        <v>0</v>
      </c>
      <c r="AA176" s="197">
        <f t="shared" si="180"/>
        <v>0</v>
      </c>
      <c r="AB176" s="185">
        <f t="shared" si="181"/>
        <v>0</v>
      </c>
      <c r="AC176" s="185">
        <f t="shared" si="182"/>
        <v>0</v>
      </c>
      <c r="AD176" s="185">
        <f t="shared" si="183"/>
        <v>0</v>
      </c>
      <c r="AE176" s="185">
        <f t="shared" si="184"/>
        <v>0</v>
      </c>
      <c r="AF176" s="185">
        <f t="shared" si="185"/>
        <v>0</v>
      </c>
      <c r="AG176" s="185">
        <f t="shared" si="186"/>
        <v>0</v>
      </c>
      <c r="AH176" s="185">
        <f t="shared" si="187"/>
        <v>0</v>
      </c>
      <c r="AI176" s="125">
        <f>BEL!AI176</f>
        <v>0</v>
      </c>
      <c r="AJ176" s="125">
        <f>BEL!AJ176</f>
        <v>0</v>
      </c>
      <c r="AK176" s="125">
        <f>BEL!AK176</f>
        <v>0</v>
      </c>
      <c r="AL176" s="125">
        <f>BEL!AL176</f>
        <v>0</v>
      </c>
      <c r="AM176" s="125">
        <f>BEL!AM176</f>
        <v>0</v>
      </c>
      <c r="AN176" s="125">
        <f>BEL!AN176</f>
        <v>0</v>
      </c>
      <c r="AO176" s="198">
        <f t="shared" si="188"/>
        <v>0</v>
      </c>
      <c r="AP176" s="125">
        <f>BEL!AP176</f>
        <v>0</v>
      </c>
      <c r="AQ176" s="125">
        <f>BEL!AQ176</f>
        <v>0</v>
      </c>
      <c r="AR176" s="125">
        <f>BEL!AR176</f>
        <v>0</v>
      </c>
      <c r="AS176" s="125">
        <f>BEL!AS176</f>
        <v>0</v>
      </c>
      <c r="AT176" s="125">
        <f>BEL!AT176</f>
        <v>0</v>
      </c>
      <c r="AU176" s="127">
        <f>BEL!AU176</f>
        <v>0</v>
      </c>
      <c r="AV176" s="127">
        <f>BEL!AV176</f>
        <v>0</v>
      </c>
      <c r="AW176" s="127">
        <f>BEL!AW176</f>
        <v>0</v>
      </c>
      <c r="AX176" s="127">
        <f t="shared" si="189"/>
        <v>0</v>
      </c>
      <c r="AY176" s="127">
        <f t="shared" si="190"/>
        <v>0</v>
      </c>
      <c r="AZ176" s="127">
        <f t="shared" si="191"/>
        <v>0</v>
      </c>
      <c r="BA176" s="127">
        <f t="shared" si="192"/>
        <v>0</v>
      </c>
      <c r="BB176" s="127">
        <f t="shared" si="193"/>
        <v>0</v>
      </c>
      <c r="BC176" s="127">
        <f t="shared" si="194"/>
        <v>0</v>
      </c>
      <c r="BD176" s="127">
        <f t="shared" si="195"/>
        <v>0</v>
      </c>
      <c r="BE176" s="127">
        <f t="shared" si="196"/>
        <v>0</v>
      </c>
      <c r="BF176" s="127">
        <f t="shared" si="197"/>
        <v>0</v>
      </c>
      <c r="BG176" s="127">
        <f t="shared" si="198"/>
        <v>0</v>
      </c>
      <c r="BH176" s="127">
        <f t="shared" si="199"/>
        <v>0</v>
      </c>
      <c r="BI176" s="127">
        <f t="shared" si="200"/>
        <v>0</v>
      </c>
      <c r="BJ176" s="189">
        <f t="shared" si="201"/>
        <v>0</v>
      </c>
      <c r="BK176" s="189">
        <f t="shared" si="202"/>
        <v>0</v>
      </c>
      <c r="BL176" s="192">
        <f t="shared" si="203"/>
        <v>0</v>
      </c>
      <c r="BM176" s="192">
        <f t="shared" si="204"/>
        <v>0</v>
      </c>
      <c r="BN176" s="192">
        <f t="shared" si="205"/>
        <v>0</v>
      </c>
      <c r="BO176" s="192">
        <f t="shared" si="206"/>
        <v>0</v>
      </c>
      <c r="BP176" s="192">
        <f t="shared" si="207"/>
        <v>0</v>
      </c>
      <c r="BQ176" s="193">
        <f t="shared" si="208"/>
        <v>0</v>
      </c>
      <c r="BR176" s="193">
        <f t="shared" si="209"/>
        <v>0</v>
      </c>
      <c r="BS176" s="188">
        <f t="shared" si="210"/>
        <v>0</v>
      </c>
      <c r="BT176" s="188">
        <f t="shared" si="211"/>
        <v>0</v>
      </c>
      <c r="BU176" s="188">
        <f t="shared" si="212"/>
        <v>0</v>
      </c>
      <c r="BV176" s="188">
        <f t="shared" si="213"/>
        <v>0</v>
      </c>
      <c r="BW176" s="188">
        <f t="shared" si="214"/>
        <v>0</v>
      </c>
      <c r="BX176" s="188">
        <f t="shared" si="215"/>
        <v>0</v>
      </c>
      <c r="BY176" s="188">
        <f t="shared" si="216"/>
        <v>0</v>
      </c>
      <c r="BZ176" s="188">
        <f t="shared" si="217"/>
        <v>0</v>
      </c>
      <c r="CA176" s="188">
        <f t="shared" si="218"/>
        <v>0</v>
      </c>
      <c r="CB176" s="149">
        <f t="shared" si="219"/>
        <v>0</v>
      </c>
      <c r="CC176" s="149">
        <f>CB176-BEL!CB176</f>
        <v>0</v>
      </c>
      <c r="CD176" s="189">
        <f>IF(AND(C176=0,C177=0),0,CB176/W176) - BEL!CC176</f>
        <v>0</v>
      </c>
      <c r="CF176" s="195">
        <f t="shared" si="220"/>
        <v>0</v>
      </c>
      <c r="CG176" s="127">
        <f t="shared" si="221"/>
        <v>0</v>
      </c>
      <c r="CH176" s="128">
        <f>'DATA INPUT - DETAIL'!AH167</f>
        <v>0</v>
      </c>
      <c r="CI176" s="125">
        <f t="shared" si="222"/>
        <v>0</v>
      </c>
      <c r="CJ176" s="199">
        <f t="shared" si="223"/>
        <v>0</v>
      </c>
      <c r="CL176" s="189">
        <f t="shared" si="224"/>
        <v>0</v>
      </c>
      <c r="CM176" s="149">
        <f t="shared" si="225"/>
        <v>0</v>
      </c>
      <c r="CN176" s="128">
        <f>'DATA INPUT - DETAIL'!AH167</f>
        <v>0</v>
      </c>
      <c r="CO176" s="149">
        <f t="shared" si="226"/>
        <v>0</v>
      </c>
      <c r="CP176" s="149">
        <f t="shared" si="227"/>
        <v>0</v>
      </c>
      <c r="CR176" s="126">
        <f t="shared" si="231"/>
        <v>164</v>
      </c>
      <c r="CS176" s="189">
        <f t="shared" si="232"/>
        <v>0</v>
      </c>
      <c r="CT176" s="200">
        <f>CS176/(BEL!CE176+BEL!CA176-BEL!BU176+'RA CSM'!CF176)</f>
        <v>0</v>
      </c>
      <c r="CU176" s="149">
        <f>$CT176*BEL!CH176</f>
        <v>0</v>
      </c>
      <c r="CV176" s="149">
        <f>$CT176*BEL!CI176</f>
        <v>0</v>
      </c>
      <c r="CW176" s="149">
        <f>$CT176*BEL!CJ176</f>
        <v>0</v>
      </c>
      <c r="CX176" s="149">
        <f>$CT176*BEL!CK176</f>
        <v>0</v>
      </c>
      <c r="CY176" s="149">
        <f t="shared" si="229"/>
        <v>0</v>
      </c>
      <c r="CZ176" s="149">
        <f>$CT176*(BEL!CL176+'RA CSM'!CG176)</f>
        <v>0</v>
      </c>
      <c r="DA176" s="149">
        <f t="shared" si="230"/>
        <v>0</v>
      </c>
    </row>
    <row r="177" spans="2:105" x14ac:dyDescent="0.2">
      <c r="B177" s="130">
        <f>BEL!B177</f>
        <v>0</v>
      </c>
      <c r="C177" s="130">
        <f>BEL!C177</f>
        <v>0</v>
      </c>
      <c r="D177" s="190">
        <f>BEL!D177</f>
        <v>0</v>
      </c>
      <c r="E177" s="190">
        <f>BEL!E177</f>
        <v>0</v>
      </c>
      <c r="F177" s="190">
        <f>BEL!F177</f>
        <v>0</v>
      </c>
      <c r="G177" s="190">
        <f>BEL!G177*(1+$V$5)</f>
        <v>0</v>
      </c>
      <c r="H177" s="190">
        <f>BEL!H177*(1+$V$5)</f>
        <v>0</v>
      </c>
      <c r="I177" s="179">
        <f t="shared" si="167"/>
        <v>0</v>
      </c>
      <c r="J177" s="130">
        <f>BEL!J177</f>
        <v>0</v>
      </c>
      <c r="K177" s="130">
        <f>BEL!K177</f>
        <v>0</v>
      </c>
      <c r="L177" s="130">
        <f>BEL!L177</f>
        <v>0</v>
      </c>
      <c r="M177" s="185">
        <f t="shared" si="233"/>
        <v>0</v>
      </c>
      <c r="N177" s="185">
        <f t="shared" si="168"/>
        <v>0</v>
      </c>
      <c r="O177" s="185">
        <f t="shared" si="169"/>
        <v>0</v>
      </c>
      <c r="P177" s="185">
        <f t="shared" si="170"/>
        <v>0</v>
      </c>
      <c r="Q177" s="185">
        <f t="shared" si="171"/>
        <v>0</v>
      </c>
      <c r="R177" s="185">
        <f t="shared" si="172"/>
        <v>0</v>
      </c>
      <c r="S177" s="185">
        <f t="shared" si="173"/>
        <v>0</v>
      </c>
      <c r="T177" s="185">
        <f t="shared" si="174"/>
        <v>0</v>
      </c>
      <c r="U177" s="196">
        <f>(C177&gt;0)*(C177&lt;$E$5)*VLOOKUP(MPP,ASUMSI!$BN$77:$CR$108,B177+1)*(1+$V$4)</f>
        <v>0</v>
      </c>
      <c r="V177" s="185">
        <f t="shared" si="175"/>
        <v>0</v>
      </c>
      <c r="W177" s="185">
        <f t="shared" si="176"/>
        <v>0</v>
      </c>
      <c r="X177" s="185">
        <f t="shared" si="177"/>
        <v>0</v>
      </c>
      <c r="Y177" s="185">
        <f t="shared" si="178"/>
        <v>0</v>
      </c>
      <c r="Z177" s="185">
        <f t="shared" si="179"/>
        <v>0</v>
      </c>
      <c r="AA177" s="197">
        <f t="shared" si="180"/>
        <v>0</v>
      </c>
      <c r="AB177" s="185">
        <f t="shared" si="181"/>
        <v>0</v>
      </c>
      <c r="AC177" s="185">
        <f t="shared" si="182"/>
        <v>0</v>
      </c>
      <c r="AD177" s="185">
        <f t="shared" si="183"/>
        <v>0</v>
      </c>
      <c r="AE177" s="185">
        <f t="shared" si="184"/>
        <v>0</v>
      </c>
      <c r="AF177" s="185">
        <f t="shared" si="185"/>
        <v>0</v>
      </c>
      <c r="AG177" s="185">
        <f t="shared" si="186"/>
        <v>0</v>
      </c>
      <c r="AH177" s="185">
        <f t="shared" si="187"/>
        <v>0</v>
      </c>
      <c r="AI177" s="125">
        <f>BEL!AI177</f>
        <v>0</v>
      </c>
      <c r="AJ177" s="125">
        <f>BEL!AJ177</f>
        <v>0</v>
      </c>
      <c r="AK177" s="125">
        <f>BEL!AK177</f>
        <v>0</v>
      </c>
      <c r="AL177" s="125">
        <f>BEL!AL177</f>
        <v>0</v>
      </c>
      <c r="AM177" s="125">
        <f>BEL!AM177</f>
        <v>0</v>
      </c>
      <c r="AN177" s="125">
        <f>BEL!AN177</f>
        <v>0</v>
      </c>
      <c r="AO177" s="198">
        <f t="shared" si="188"/>
        <v>0</v>
      </c>
      <c r="AP177" s="125">
        <f>BEL!AP177</f>
        <v>0</v>
      </c>
      <c r="AQ177" s="125">
        <f>BEL!AQ177</f>
        <v>0</v>
      </c>
      <c r="AR177" s="125">
        <f>BEL!AR177</f>
        <v>0</v>
      </c>
      <c r="AS177" s="125">
        <f>BEL!AS177</f>
        <v>0</v>
      </c>
      <c r="AT177" s="125">
        <f>BEL!AT177</f>
        <v>0</v>
      </c>
      <c r="AU177" s="127">
        <f>BEL!AU177</f>
        <v>0</v>
      </c>
      <c r="AV177" s="127">
        <f>BEL!AV177</f>
        <v>0</v>
      </c>
      <c r="AW177" s="127">
        <f>BEL!AW177</f>
        <v>0</v>
      </c>
      <c r="AX177" s="127">
        <f t="shared" si="189"/>
        <v>0</v>
      </c>
      <c r="AY177" s="127">
        <f t="shared" si="190"/>
        <v>0</v>
      </c>
      <c r="AZ177" s="127">
        <f t="shared" si="191"/>
        <v>0</v>
      </c>
      <c r="BA177" s="127">
        <f t="shared" si="192"/>
        <v>0</v>
      </c>
      <c r="BB177" s="127">
        <f t="shared" si="193"/>
        <v>0</v>
      </c>
      <c r="BC177" s="127">
        <f t="shared" si="194"/>
        <v>0</v>
      </c>
      <c r="BD177" s="127">
        <f t="shared" si="195"/>
        <v>0</v>
      </c>
      <c r="BE177" s="127">
        <f t="shared" si="196"/>
        <v>0</v>
      </c>
      <c r="BF177" s="127">
        <f t="shared" si="197"/>
        <v>0</v>
      </c>
      <c r="BG177" s="127">
        <f t="shared" si="198"/>
        <v>0</v>
      </c>
      <c r="BH177" s="127">
        <f t="shared" si="199"/>
        <v>0</v>
      </c>
      <c r="BI177" s="127">
        <f t="shared" si="200"/>
        <v>0</v>
      </c>
      <c r="BJ177" s="189">
        <f t="shared" si="201"/>
        <v>0</v>
      </c>
      <c r="BK177" s="189">
        <f t="shared" si="202"/>
        <v>0</v>
      </c>
      <c r="BL177" s="192">
        <f t="shared" si="203"/>
        <v>0</v>
      </c>
      <c r="BM177" s="192">
        <f t="shared" si="204"/>
        <v>0</v>
      </c>
      <c r="BN177" s="192">
        <f t="shared" si="205"/>
        <v>0</v>
      </c>
      <c r="BO177" s="192">
        <f t="shared" si="206"/>
        <v>0</v>
      </c>
      <c r="BP177" s="192">
        <f t="shared" si="207"/>
        <v>0</v>
      </c>
      <c r="BQ177" s="193">
        <f t="shared" si="208"/>
        <v>0</v>
      </c>
      <c r="BR177" s="193">
        <f t="shared" si="209"/>
        <v>0</v>
      </c>
      <c r="BS177" s="188">
        <f t="shared" si="210"/>
        <v>0</v>
      </c>
      <c r="BT177" s="188">
        <f t="shared" si="211"/>
        <v>0</v>
      </c>
      <c r="BU177" s="188">
        <f t="shared" si="212"/>
        <v>0</v>
      </c>
      <c r="BV177" s="188">
        <f t="shared" si="213"/>
        <v>0</v>
      </c>
      <c r="BW177" s="188">
        <f t="shared" si="214"/>
        <v>0</v>
      </c>
      <c r="BX177" s="188">
        <f t="shared" si="215"/>
        <v>0</v>
      </c>
      <c r="BY177" s="188">
        <f t="shared" si="216"/>
        <v>0</v>
      </c>
      <c r="BZ177" s="188">
        <f t="shared" si="217"/>
        <v>0</v>
      </c>
      <c r="CA177" s="188">
        <f t="shared" si="218"/>
        <v>0</v>
      </c>
      <c r="CB177" s="149">
        <f t="shared" si="219"/>
        <v>0</v>
      </c>
      <c r="CC177" s="149">
        <f>CB177-BEL!CB177</f>
        <v>0</v>
      </c>
      <c r="CD177" s="189">
        <f>IF(AND(C177=0,C178=0),0,CB177/W177) - BEL!CC177</f>
        <v>0</v>
      </c>
      <c r="CF177" s="195">
        <f t="shared" si="220"/>
        <v>0</v>
      </c>
      <c r="CG177" s="127">
        <f t="shared" si="221"/>
        <v>0</v>
      </c>
      <c r="CH177" s="128">
        <f>'DATA INPUT - DETAIL'!AH168</f>
        <v>0</v>
      </c>
      <c r="CI177" s="125">
        <f t="shared" si="222"/>
        <v>0</v>
      </c>
      <c r="CJ177" s="199">
        <f t="shared" si="223"/>
        <v>0</v>
      </c>
      <c r="CL177" s="189">
        <f t="shared" si="224"/>
        <v>0</v>
      </c>
      <c r="CM177" s="149">
        <f t="shared" si="225"/>
        <v>0</v>
      </c>
      <c r="CN177" s="128">
        <f>'DATA INPUT - DETAIL'!AH168</f>
        <v>0</v>
      </c>
      <c r="CO177" s="149">
        <f t="shared" si="226"/>
        <v>0</v>
      </c>
      <c r="CP177" s="149">
        <f t="shared" si="227"/>
        <v>0</v>
      </c>
      <c r="CR177" s="126">
        <f t="shared" si="231"/>
        <v>165</v>
      </c>
      <c r="CS177" s="189">
        <f t="shared" si="232"/>
        <v>0</v>
      </c>
      <c r="CT177" s="200">
        <f>CS177/(BEL!CE177+BEL!CA177-BEL!BU177+'RA CSM'!CF177)</f>
        <v>0</v>
      </c>
      <c r="CU177" s="149">
        <f>$CT177*BEL!CH177</f>
        <v>0</v>
      </c>
      <c r="CV177" s="149">
        <f>$CT177*BEL!CI177</f>
        <v>0</v>
      </c>
      <c r="CW177" s="149">
        <f>$CT177*BEL!CJ177</f>
        <v>0</v>
      </c>
      <c r="CX177" s="149">
        <f>$CT177*BEL!CK177</f>
        <v>0</v>
      </c>
      <c r="CY177" s="149">
        <f t="shared" si="229"/>
        <v>0</v>
      </c>
      <c r="CZ177" s="149">
        <f>$CT177*(BEL!CL177+'RA CSM'!CG177)</f>
        <v>0</v>
      </c>
      <c r="DA177" s="149">
        <f t="shared" si="230"/>
        <v>0</v>
      </c>
    </row>
    <row r="178" spans="2:105" x14ac:dyDescent="0.2">
      <c r="B178" s="130">
        <f>BEL!B178</f>
        <v>0</v>
      </c>
      <c r="C178" s="130">
        <f>BEL!C178</f>
        <v>0</v>
      </c>
      <c r="D178" s="190">
        <f>BEL!D178</f>
        <v>0</v>
      </c>
      <c r="E178" s="190">
        <f>BEL!E178</f>
        <v>0</v>
      </c>
      <c r="F178" s="190">
        <f>BEL!F178</f>
        <v>0</v>
      </c>
      <c r="G178" s="190">
        <f>BEL!G178*(1+$V$5)</f>
        <v>0</v>
      </c>
      <c r="H178" s="190">
        <f>BEL!H178*(1+$V$5)</f>
        <v>0</v>
      </c>
      <c r="I178" s="179">
        <f t="shared" si="167"/>
        <v>0</v>
      </c>
      <c r="J178" s="130">
        <f>BEL!J178</f>
        <v>0</v>
      </c>
      <c r="K178" s="130">
        <f>BEL!K178</f>
        <v>0</v>
      </c>
      <c r="L178" s="130">
        <f>BEL!L178</f>
        <v>0</v>
      </c>
      <c r="M178" s="185">
        <f t="shared" si="233"/>
        <v>0</v>
      </c>
      <c r="N178" s="185">
        <f t="shared" si="168"/>
        <v>0</v>
      </c>
      <c r="O178" s="185">
        <f t="shared" si="169"/>
        <v>0</v>
      </c>
      <c r="P178" s="185">
        <f t="shared" si="170"/>
        <v>0</v>
      </c>
      <c r="Q178" s="185">
        <f t="shared" si="171"/>
        <v>0</v>
      </c>
      <c r="R178" s="185">
        <f t="shared" si="172"/>
        <v>0</v>
      </c>
      <c r="S178" s="185">
        <f t="shared" si="173"/>
        <v>0</v>
      </c>
      <c r="T178" s="185">
        <f t="shared" si="174"/>
        <v>0</v>
      </c>
      <c r="U178" s="196">
        <f>(C178&gt;0)*(C178&lt;$E$5)*VLOOKUP(MPP,ASUMSI!$BN$77:$CR$108,B178+1)*(1+$V$4)</f>
        <v>0</v>
      </c>
      <c r="V178" s="185">
        <f t="shared" si="175"/>
        <v>0</v>
      </c>
      <c r="W178" s="185">
        <f t="shared" si="176"/>
        <v>0</v>
      </c>
      <c r="X178" s="185">
        <f t="shared" si="177"/>
        <v>0</v>
      </c>
      <c r="Y178" s="185">
        <f t="shared" si="178"/>
        <v>0</v>
      </c>
      <c r="Z178" s="185">
        <f t="shared" si="179"/>
        <v>0</v>
      </c>
      <c r="AA178" s="197">
        <f t="shared" si="180"/>
        <v>0</v>
      </c>
      <c r="AB178" s="185">
        <f t="shared" si="181"/>
        <v>0</v>
      </c>
      <c r="AC178" s="185">
        <f t="shared" si="182"/>
        <v>0</v>
      </c>
      <c r="AD178" s="185">
        <f t="shared" si="183"/>
        <v>0</v>
      </c>
      <c r="AE178" s="185">
        <f t="shared" si="184"/>
        <v>0</v>
      </c>
      <c r="AF178" s="185">
        <f t="shared" si="185"/>
        <v>0</v>
      </c>
      <c r="AG178" s="185">
        <f t="shared" si="186"/>
        <v>0</v>
      </c>
      <c r="AH178" s="185">
        <f t="shared" si="187"/>
        <v>0</v>
      </c>
      <c r="AI178" s="125">
        <f>BEL!AI178</f>
        <v>0</v>
      </c>
      <c r="AJ178" s="125">
        <f>BEL!AJ178</f>
        <v>0</v>
      </c>
      <c r="AK178" s="125">
        <f>BEL!AK178</f>
        <v>0</v>
      </c>
      <c r="AL178" s="125">
        <f>BEL!AL178</f>
        <v>0</v>
      </c>
      <c r="AM178" s="125">
        <f>BEL!AM178</f>
        <v>0</v>
      </c>
      <c r="AN178" s="125">
        <f>BEL!AN178</f>
        <v>0</v>
      </c>
      <c r="AO178" s="198">
        <f t="shared" si="188"/>
        <v>0</v>
      </c>
      <c r="AP178" s="125">
        <f>BEL!AP178</f>
        <v>0</v>
      </c>
      <c r="AQ178" s="125">
        <f>BEL!AQ178</f>
        <v>0</v>
      </c>
      <c r="AR178" s="125">
        <f>BEL!AR178</f>
        <v>0</v>
      </c>
      <c r="AS178" s="125">
        <f>BEL!AS178</f>
        <v>0</v>
      </c>
      <c r="AT178" s="125">
        <f>BEL!AT178</f>
        <v>0</v>
      </c>
      <c r="AU178" s="127">
        <f>BEL!AU178</f>
        <v>0</v>
      </c>
      <c r="AV178" s="127">
        <f>BEL!AV178</f>
        <v>0</v>
      </c>
      <c r="AW178" s="127">
        <f>BEL!AW178</f>
        <v>0</v>
      </c>
      <c r="AX178" s="127">
        <f t="shared" si="189"/>
        <v>0</v>
      </c>
      <c r="AY178" s="127">
        <f t="shared" si="190"/>
        <v>0</v>
      </c>
      <c r="AZ178" s="127">
        <f t="shared" si="191"/>
        <v>0</v>
      </c>
      <c r="BA178" s="127">
        <f t="shared" si="192"/>
        <v>0</v>
      </c>
      <c r="BB178" s="127">
        <f t="shared" si="193"/>
        <v>0</v>
      </c>
      <c r="BC178" s="127">
        <f t="shared" si="194"/>
        <v>0</v>
      </c>
      <c r="BD178" s="127">
        <f t="shared" si="195"/>
        <v>0</v>
      </c>
      <c r="BE178" s="127">
        <f t="shared" si="196"/>
        <v>0</v>
      </c>
      <c r="BF178" s="127">
        <f t="shared" si="197"/>
        <v>0</v>
      </c>
      <c r="BG178" s="127">
        <f t="shared" si="198"/>
        <v>0</v>
      </c>
      <c r="BH178" s="127">
        <f t="shared" si="199"/>
        <v>0</v>
      </c>
      <c r="BI178" s="127">
        <f t="shared" si="200"/>
        <v>0</v>
      </c>
      <c r="BJ178" s="189">
        <f t="shared" si="201"/>
        <v>0</v>
      </c>
      <c r="BK178" s="189">
        <f t="shared" si="202"/>
        <v>0</v>
      </c>
      <c r="BL178" s="192">
        <f t="shared" si="203"/>
        <v>0</v>
      </c>
      <c r="BM178" s="192">
        <f t="shared" si="204"/>
        <v>0</v>
      </c>
      <c r="BN178" s="192">
        <f t="shared" si="205"/>
        <v>0</v>
      </c>
      <c r="BO178" s="192">
        <f t="shared" si="206"/>
        <v>0</v>
      </c>
      <c r="BP178" s="192">
        <f t="shared" si="207"/>
        <v>0</v>
      </c>
      <c r="BQ178" s="193">
        <f t="shared" si="208"/>
        <v>0</v>
      </c>
      <c r="BR178" s="193">
        <f t="shared" si="209"/>
        <v>0</v>
      </c>
      <c r="BS178" s="188">
        <f t="shared" si="210"/>
        <v>0</v>
      </c>
      <c r="BT178" s="188">
        <f t="shared" si="211"/>
        <v>0</v>
      </c>
      <c r="BU178" s="188">
        <f t="shared" si="212"/>
        <v>0</v>
      </c>
      <c r="BV178" s="188">
        <f t="shared" si="213"/>
        <v>0</v>
      </c>
      <c r="BW178" s="188">
        <f t="shared" si="214"/>
        <v>0</v>
      </c>
      <c r="BX178" s="188">
        <f t="shared" si="215"/>
        <v>0</v>
      </c>
      <c r="BY178" s="188">
        <f t="shared" si="216"/>
        <v>0</v>
      </c>
      <c r="BZ178" s="188">
        <f t="shared" si="217"/>
        <v>0</v>
      </c>
      <c r="CA178" s="188">
        <f t="shared" si="218"/>
        <v>0</v>
      </c>
      <c r="CB178" s="149">
        <f t="shared" si="219"/>
        <v>0</v>
      </c>
      <c r="CC178" s="149">
        <f>CB178-BEL!CB178</f>
        <v>0</v>
      </c>
      <c r="CD178" s="189">
        <f>IF(AND(C178=0,C179=0),0,CB178/W178) - BEL!CC178</f>
        <v>0</v>
      </c>
      <c r="CF178" s="195">
        <f t="shared" si="220"/>
        <v>0</v>
      </c>
      <c r="CG178" s="127">
        <f t="shared" si="221"/>
        <v>0</v>
      </c>
      <c r="CH178" s="128">
        <f>'DATA INPUT - DETAIL'!AH169</f>
        <v>0</v>
      </c>
      <c r="CI178" s="125">
        <f t="shared" si="222"/>
        <v>0</v>
      </c>
      <c r="CJ178" s="199">
        <f t="shared" si="223"/>
        <v>0</v>
      </c>
      <c r="CL178" s="189">
        <f t="shared" si="224"/>
        <v>0</v>
      </c>
      <c r="CM178" s="149">
        <f t="shared" si="225"/>
        <v>0</v>
      </c>
      <c r="CN178" s="128">
        <f>'DATA INPUT - DETAIL'!AH169</f>
        <v>0</v>
      </c>
      <c r="CO178" s="149">
        <f t="shared" si="226"/>
        <v>0</v>
      </c>
      <c r="CP178" s="149">
        <f t="shared" si="227"/>
        <v>0</v>
      </c>
      <c r="CR178" s="126">
        <f t="shared" si="231"/>
        <v>166</v>
      </c>
      <c r="CS178" s="189">
        <f t="shared" si="232"/>
        <v>0</v>
      </c>
      <c r="CT178" s="200">
        <f>CS178/(BEL!CE178+BEL!CA178-BEL!BU178+'RA CSM'!CF178)</f>
        <v>0</v>
      </c>
      <c r="CU178" s="149">
        <f>$CT178*BEL!CH178</f>
        <v>0</v>
      </c>
      <c r="CV178" s="149">
        <f>$CT178*BEL!CI178</f>
        <v>0</v>
      </c>
      <c r="CW178" s="149">
        <f>$CT178*BEL!CJ178</f>
        <v>0</v>
      </c>
      <c r="CX178" s="149">
        <f>$CT178*BEL!CK178</f>
        <v>0</v>
      </c>
      <c r="CY178" s="149">
        <f t="shared" si="229"/>
        <v>0</v>
      </c>
      <c r="CZ178" s="149">
        <f>$CT178*(BEL!CL178+'RA CSM'!CG178)</f>
        <v>0</v>
      </c>
      <c r="DA178" s="149">
        <f t="shared" si="230"/>
        <v>0</v>
      </c>
    </row>
    <row r="179" spans="2:105" x14ac:dyDescent="0.2">
      <c r="B179" s="130">
        <f>BEL!B179</f>
        <v>0</v>
      </c>
      <c r="C179" s="130">
        <f>BEL!C179</f>
        <v>0</v>
      </c>
      <c r="D179" s="190">
        <f>BEL!D179</f>
        <v>0</v>
      </c>
      <c r="E179" s="190">
        <f>BEL!E179</f>
        <v>0</v>
      </c>
      <c r="F179" s="190">
        <f>BEL!F179</f>
        <v>0</v>
      </c>
      <c r="G179" s="190">
        <f>BEL!G179*(1+$V$5)</f>
        <v>0</v>
      </c>
      <c r="H179" s="190">
        <f>BEL!H179*(1+$V$5)</f>
        <v>0</v>
      </c>
      <c r="I179" s="179">
        <f t="shared" si="167"/>
        <v>0</v>
      </c>
      <c r="J179" s="130">
        <f>BEL!J179</f>
        <v>0</v>
      </c>
      <c r="K179" s="130">
        <f>BEL!K179</f>
        <v>0</v>
      </c>
      <c r="L179" s="130">
        <f>BEL!L179</f>
        <v>0</v>
      </c>
      <c r="M179" s="185">
        <f t="shared" si="233"/>
        <v>0</v>
      </c>
      <c r="N179" s="185">
        <f t="shared" si="168"/>
        <v>0</v>
      </c>
      <c r="O179" s="185">
        <f t="shared" si="169"/>
        <v>0</v>
      </c>
      <c r="P179" s="185">
        <f t="shared" si="170"/>
        <v>0</v>
      </c>
      <c r="Q179" s="185">
        <f t="shared" si="171"/>
        <v>0</v>
      </c>
      <c r="R179" s="185">
        <f t="shared" si="172"/>
        <v>0</v>
      </c>
      <c r="S179" s="185">
        <f t="shared" si="173"/>
        <v>0</v>
      </c>
      <c r="T179" s="185">
        <f t="shared" si="174"/>
        <v>0</v>
      </c>
      <c r="U179" s="196">
        <f>(C179&gt;0)*(C179&lt;$E$5)*VLOOKUP(MPP,ASUMSI!$BN$77:$CR$108,B179+1)*(1+$V$4)</f>
        <v>0</v>
      </c>
      <c r="V179" s="185">
        <f t="shared" si="175"/>
        <v>0</v>
      </c>
      <c r="W179" s="185">
        <f t="shared" si="176"/>
        <v>0</v>
      </c>
      <c r="X179" s="185">
        <f t="shared" si="177"/>
        <v>0</v>
      </c>
      <c r="Y179" s="185">
        <f t="shared" si="178"/>
        <v>0</v>
      </c>
      <c r="Z179" s="185">
        <f t="shared" si="179"/>
        <v>0</v>
      </c>
      <c r="AA179" s="197">
        <f t="shared" si="180"/>
        <v>0</v>
      </c>
      <c r="AB179" s="185">
        <f t="shared" si="181"/>
        <v>0</v>
      </c>
      <c r="AC179" s="185">
        <f t="shared" si="182"/>
        <v>0</v>
      </c>
      <c r="AD179" s="185">
        <f t="shared" si="183"/>
        <v>0</v>
      </c>
      <c r="AE179" s="185">
        <f t="shared" si="184"/>
        <v>0</v>
      </c>
      <c r="AF179" s="185">
        <f t="shared" si="185"/>
        <v>0</v>
      </c>
      <c r="AG179" s="185">
        <f t="shared" si="186"/>
        <v>0</v>
      </c>
      <c r="AH179" s="185">
        <f t="shared" si="187"/>
        <v>0</v>
      </c>
      <c r="AI179" s="125">
        <f>BEL!AI179</f>
        <v>0</v>
      </c>
      <c r="AJ179" s="125">
        <f>BEL!AJ179</f>
        <v>0</v>
      </c>
      <c r="AK179" s="125">
        <f>BEL!AK179</f>
        <v>0</v>
      </c>
      <c r="AL179" s="125">
        <f>BEL!AL179</f>
        <v>0</v>
      </c>
      <c r="AM179" s="125">
        <f>BEL!AM179</f>
        <v>0</v>
      </c>
      <c r="AN179" s="125">
        <f>BEL!AN179</f>
        <v>0</v>
      </c>
      <c r="AO179" s="198">
        <f t="shared" si="188"/>
        <v>0</v>
      </c>
      <c r="AP179" s="125">
        <f>BEL!AP179</f>
        <v>0</v>
      </c>
      <c r="AQ179" s="125">
        <f>BEL!AQ179</f>
        <v>0</v>
      </c>
      <c r="AR179" s="125">
        <f>BEL!AR179</f>
        <v>0</v>
      </c>
      <c r="AS179" s="125">
        <f>BEL!AS179</f>
        <v>0</v>
      </c>
      <c r="AT179" s="125">
        <f>BEL!AT179</f>
        <v>0</v>
      </c>
      <c r="AU179" s="127">
        <f>BEL!AU179</f>
        <v>0</v>
      </c>
      <c r="AV179" s="127">
        <f>BEL!AV179</f>
        <v>0</v>
      </c>
      <c r="AW179" s="127">
        <f>BEL!AW179</f>
        <v>0</v>
      </c>
      <c r="AX179" s="127">
        <f t="shared" si="189"/>
        <v>0</v>
      </c>
      <c r="AY179" s="127">
        <f t="shared" si="190"/>
        <v>0</v>
      </c>
      <c r="AZ179" s="127">
        <f t="shared" si="191"/>
        <v>0</v>
      </c>
      <c r="BA179" s="127">
        <f t="shared" si="192"/>
        <v>0</v>
      </c>
      <c r="BB179" s="127">
        <f t="shared" si="193"/>
        <v>0</v>
      </c>
      <c r="BC179" s="127">
        <f t="shared" si="194"/>
        <v>0</v>
      </c>
      <c r="BD179" s="127">
        <f t="shared" si="195"/>
        <v>0</v>
      </c>
      <c r="BE179" s="127">
        <f t="shared" si="196"/>
        <v>0</v>
      </c>
      <c r="BF179" s="127">
        <f t="shared" si="197"/>
        <v>0</v>
      </c>
      <c r="BG179" s="127">
        <f t="shared" si="198"/>
        <v>0</v>
      </c>
      <c r="BH179" s="127">
        <f t="shared" si="199"/>
        <v>0</v>
      </c>
      <c r="BI179" s="127">
        <f t="shared" si="200"/>
        <v>0</v>
      </c>
      <c r="BJ179" s="189">
        <f t="shared" si="201"/>
        <v>0</v>
      </c>
      <c r="BK179" s="189">
        <f t="shared" si="202"/>
        <v>0</v>
      </c>
      <c r="BL179" s="192">
        <f t="shared" si="203"/>
        <v>0</v>
      </c>
      <c r="BM179" s="192">
        <f t="shared" si="204"/>
        <v>0</v>
      </c>
      <c r="BN179" s="192">
        <f t="shared" si="205"/>
        <v>0</v>
      </c>
      <c r="BO179" s="192">
        <f t="shared" si="206"/>
        <v>0</v>
      </c>
      <c r="BP179" s="192">
        <f t="shared" si="207"/>
        <v>0</v>
      </c>
      <c r="BQ179" s="193">
        <f t="shared" si="208"/>
        <v>0</v>
      </c>
      <c r="BR179" s="193">
        <f t="shared" si="209"/>
        <v>0</v>
      </c>
      <c r="BS179" s="188">
        <f t="shared" si="210"/>
        <v>0</v>
      </c>
      <c r="BT179" s="188">
        <f t="shared" si="211"/>
        <v>0</v>
      </c>
      <c r="BU179" s="188">
        <f t="shared" si="212"/>
        <v>0</v>
      </c>
      <c r="BV179" s="188">
        <f t="shared" si="213"/>
        <v>0</v>
      </c>
      <c r="BW179" s="188">
        <f t="shared" si="214"/>
        <v>0</v>
      </c>
      <c r="BX179" s="188">
        <f t="shared" si="215"/>
        <v>0</v>
      </c>
      <c r="BY179" s="188">
        <f t="shared" si="216"/>
        <v>0</v>
      </c>
      <c r="BZ179" s="188">
        <f t="shared" si="217"/>
        <v>0</v>
      </c>
      <c r="CA179" s="188">
        <f t="shared" si="218"/>
        <v>0</v>
      </c>
      <c r="CB179" s="149">
        <f t="shared" si="219"/>
        <v>0</v>
      </c>
      <c r="CC179" s="149">
        <f>CB179-BEL!CB179</f>
        <v>0</v>
      </c>
      <c r="CD179" s="189">
        <f>IF(AND(C179=0,C180=0),0,CB179/W179) - BEL!CC179</f>
        <v>0</v>
      </c>
      <c r="CF179" s="195">
        <f t="shared" si="220"/>
        <v>0</v>
      </c>
      <c r="CG179" s="127">
        <f t="shared" si="221"/>
        <v>0</v>
      </c>
      <c r="CH179" s="128">
        <f>'DATA INPUT - DETAIL'!AH170</f>
        <v>0</v>
      </c>
      <c r="CI179" s="125">
        <f t="shared" si="222"/>
        <v>0</v>
      </c>
      <c r="CJ179" s="199">
        <f t="shared" si="223"/>
        <v>0</v>
      </c>
      <c r="CL179" s="189">
        <f t="shared" si="224"/>
        <v>0</v>
      </c>
      <c r="CM179" s="149">
        <f t="shared" si="225"/>
        <v>0</v>
      </c>
      <c r="CN179" s="128">
        <f>'DATA INPUT - DETAIL'!AH170</f>
        <v>0</v>
      </c>
      <c r="CO179" s="149">
        <f t="shared" si="226"/>
        <v>0</v>
      </c>
      <c r="CP179" s="149">
        <f t="shared" si="227"/>
        <v>0</v>
      </c>
      <c r="CR179" s="126">
        <f t="shared" si="231"/>
        <v>167</v>
      </c>
      <c r="CS179" s="189">
        <f t="shared" si="232"/>
        <v>0</v>
      </c>
      <c r="CT179" s="200">
        <f>CS179/(BEL!CE179+BEL!CA179-BEL!BU179+'RA CSM'!CF179)</f>
        <v>0</v>
      </c>
      <c r="CU179" s="149">
        <f>$CT179*BEL!CH179</f>
        <v>0</v>
      </c>
      <c r="CV179" s="149">
        <f>$CT179*BEL!CI179</f>
        <v>0</v>
      </c>
      <c r="CW179" s="149">
        <f>$CT179*BEL!CJ179</f>
        <v>0</v>
      </c>
      <c r="CX179" s="149">
        <f>$CT179*BEL!CK179</f>
        <v>0</v>
      </c>
      <c r="CY179" s="149">
        <f t="shared" si="229"/>
        <v>0</v>
      </c>
      <c r="CZ179" s="149">
        <f>$CT179*(BEL!CL179+'RA CSM'!CG179)</f>
        <v>0</v>
      </c>
      <c r="DA179" s="149">
        <f t="shared" si="230"/>
        <v>0</v>
      </c>
    </row>
    <row r="180" spans="2:105" x14ac:dyDescent="0.2">
      <c r="B180" s="130">
        <f>BEL!B180</f>
        <v>0</v>
      </c>
      <c r="C180" s="130">
        <f>BEL!C180</f>
        <v>0</v>
      </c>
      <c r="D180" s="190">
        <f>BEL!D180</f>
        <v>0</v>
      </c>
      <c r="E180" s="190">
        <f>BEL!E180</f>
        <v>0</v>
      </c>
      <c r="F180" s="190">
        <f>BEL!F180</f>
        <v>0</v>
      </c>
      <c r="G180" s="190">
        <f>BEL!G180*(1+$V$5)</f>
        <v>0</v>
      </c>
      <c r="H180" s="190">
        <f>BEL!H180*(1+$V$5)</f>
        <v>0</v>
      </c>
      <c r="I180" s="179">
        <f t="shared" si="167"/>
        <v>0</v>
      </c>
      <c r="J180" s="130">
        <f>BEL!J180</f>
        <v>0</v>
      </c>
      <c r="K180" s="130">
        <f>BEL!K180</f>
        <v>0</v>
      </c>
      <c r="L180" s="130">
        <f>BEL!L180</f>
        <v>0</v>
      </c>
      <c r="M180" s="185">
        <f t="shared" si="233"/>
        <v>0</v>
      </c>
      <c r="N180" s="185">
        <f t="shared" si="168"/>
        <v>0</v>
      </c>
      <c r="O180" s="185">
        <f t="shared" si="169"/>
        <v>0</v>
      </c>
      <c r="P180" s="185">
        <f t="shared" si="170"/>
        <v>0</v>
      </c>
      <c r="Q180" s="185">
        <f t="shared" si="171"/>
        <v>0</v>
      </c>
      <c r="R180" s="185">
        <f t="shared" si="172"/>
        <v>0</v>
      </c>
      <c r="S180" s="185">
        <f t="shared" si="173"/>
        <v>0</v>
      </c>
      <c r="T180" s="185">
        <f t="shared" si="174"/>
        <v>0</v>
      </c>
      <c r="U180" s="196">
        <f>(C180&gt;0)*(C180&lt;$E$5)*VLOOKUP(MPP,ASUMSI!$BN$77:$CR$108,B180+1)*(1+$V$4)</f>
        <v>0</v>
      </c>
      <c r="V180" s="185">
        <f t="shared" si="175"/>
        <v>0</v>
      </c>
      <c r="W180" s="185">
        <f t="shared" si="176"/>
        <v>0</v>
      </c>
      <c r="X180" s="185">
        <f t="shared" si="177"/>
        <v>0</v>
      </c>
      <c r="Y180" s="185">
        <f t="shared" si="178"/>
        <v>0</v>
      </c>
      <c r="Z180" s="185">
        <f t="shared" si="179"/>
        <v>0</v>
      </c>
      <c r="AA180" s="197">
        <f t="shared" si="180"/>
        <v>0</v>
      </c>
      <c r="AB180" s="185">
        <f t="shared" si="181"/>
        <v>0</v>
      </c>
      <c r="AC180" s="185">
        <f t="shared" si="182"/>
        <v>0</v>
      </c>
      <c r="AD180" s="185">
        <f t="shared" si="183"/>
        <v>0</v>
      </c>
      <c r="AE180" s="185">
        <f t="shared" si="184"/>
        <v>0</v>
      </c>
      <c r="AF180" s="185">
        <f t="shared" si="185"/>
        <v>0</v>
      </c>
      <c r="AG180" s="185">
        <f t="shared" si="186"/>
        <v>0</v>
      </c>
      <c r="AH180" s="185">
        <f t="shared" si="187"/>
        <v>0</v>
      </c>
      <c r="AI180" s="125">
        <f>BEL!AI180</f>
        <v>0</v>
      </c>
      <c r="AJ180" s="125">
        <f>BEL!AJ180</f>
        <v>0</v>
      </c>
      <c r="AK180" s="125">
        <f>BEL!AK180</f>
        <v>0</v>
      </c>
      <c r="AL180" s="125">
        <f>BEL!AL180</f>
        <v>0</v>
      </c>
      <c r="AM180" s="125">
        <f>BEL!AM180</f>
        <v>0</v>
      </c>
      <c r="AN180" s="125">
        <f>BEL!AN180</f>
        <v>0</v>
      </c>
      <c r="AO180" s="198">
        <f t="shared" si="188"/>
        <v>0</v>
      </c>
      <c r="AP180" s="125">
        <f>BEL!AP180</f>
        <v>0</v>
      </c>
      <c r="AQ180" s="125">
        <f>BEL!AQ180</f>
        <v>0</v>
      </c>
      <c r="AR180" s="125">
        <f>BEL!AR180</f>
        <v>0</v>
      </c>
      <c r="AS180" s="125">
        <f>BEL!AS180</f>
        <v>0</v>
      </c>
      <c r="AT180" s="125">
        <f>BEL!AT180</f>
        <v>0</v>
      </c>
      <c r="AU180" s="127">
        <f>BEL!AU180</f>
        <v>0</v>
      </c>
      <c r="AV180" s="127">
        <f>BEL!AV180</f>
        <v>0</v>
      </c>
      <c r="AW180" s="127">
        <f>BEL!AW180</f>
        <v>0</v>
      </c>
      <c r="AX180" s="127">
        <f t="shared" si="189"/>
        <v>0</v>
      </c>
      <c r="AY180" s="127">
        <f t="shared" si="190"/>
        <v>0</v>
      </c>
      <c r="AZ180" s="127">
        <f t="shared" si="191"/>
        <v>0</v>
      </c>
      <c r="BA180" s="127">
        <f t="shared" si="192"/>
        <v>0</v>
      </c>
      <c r="BB180" s="127">
        <f t="shared" si="193"/>
        <v>0</v>
      </c>
      <c r="BC180" s="127">
        <f t="shared" si="194"/>
        <v>0</v>
      </c>
      <c r="BD180" s="127">
        <f t="shared" si="195"/>
        <v>0</v>
      </c>
      <c r="BE180" s="127">
        <f t="shared" si="196"/>
        <v>0</v>
      </c>
      <c r="BF180" s="127">
        <f t="shared" si="197"/>
        <v>0</v>
      </c>
      <c r="BG180" s="127">
        <f t="shared" si="198"/>
        <v>0</v>
      </c>
      <c r="BH180" s="127">
        <f t="shared" si="199"/>
        <v>0</v>
      </c>
      <c r="BI180" s="127">
        <f t="shared" si="200"/>
        <v>0</v>
      </c>
      <c r="BJ180" s="189">
        <f t="shared" si="201"/>
        <v>0</v>
      </c>
      <c r="BK180" s="189">
        <f t="shared" si="202"/>
        <v>0</v>
      </c>
      <c r="BL180" s="192">
        <f t="shared" si="203"/>
        <v>0</v>
      </c>
      <c r="BM180" s="192">
        <f t="shared" si="204"/>
        <v>0</v>
      </c>
      <c r="BN180" s="192">
        <f t="shared" si="205"/>
        <v>0</v>
      </c>
      <c r="BO180" s="192">
        <f t="shared" si="206"/>
        <v>0</v>
      </c>
      <c r="BP180" s="192">
        <f t="shared" si="207"/>
        <v>0</v>
      </c>
      <c r="BQ180" s="193">
        <f t="shared" si="208"/>
        <v>0</v>
      </c>
      <c r="BR180" s="193">
        <f t="shared" si="209"/>
        <v>0</v>
      </c>
      <c r="BS180" s="188">
        <f t="shared" si="210"/>
        <v>0</v>
      </c>
      <c r="BT180" s="188">
        <f t="shared" si="211"/>
        <v>0</v>
      </c>
      <c r="BU180" s="188">
        <f t="shared" si="212"/>
        <v>0</v>
      </c>
      <c r="BV180" s="188">
        <f t="shared" si="213"/>
        <v>0</v>
      </c>
      <c r="BW180" s="188">
        <f t="shared" si="214"/>
        <v>0</v>
      </c>
      <c r="BX180" s="188">
        <f t="shared" si="215"/>
        <v>0</v>
      </c>
      <c r="BY180" s="188">
        <f t="shared" si="216"/>
        <v>0</v>
      </c>
      <c r="BZ180" s="188">
        <f t="shared" si="217"/>
        <v>0</v>
      </c>
      <c r="CA180" s="188">
        <f t="shared" si="218"/>
        <v>0</v>
      </c>
      <c r="CB180" s="149">
        <f t="shared" si="219"/>
        <v>0</v>
      </c>
      <c r="CC180" s="149">
        <f>CB180-BEL!CB180</f>
        <v>0</v>
      </c>
      <c r="CD180" s="189">
        <f>IF(AND(C180=0,C181=0),0,CB180/W180) - BEL!CC180</f>
        <v>0</v>
      </c>
      <c r="CF180" s="195">
        <f t="shared" si="220"/>
        <v>0</v>
      </c>
      <c r="CG180" s="127">
        <f t="shared" si="221"/>
        <v>0</v>
      </c>
      <c r="CH180" s="128">
        <f>'DATA INPUT - DETAIL'!AH171</f>
        <v>0</v>
      </c>
      <c r="CI180" s="125">
        <f t="shared" si="222"/>
        <v>0</v>
      </c>
      <c r="CJ180" s="199">
        <f t="shared" si="223"/>
        <v>0</v>
      </c>
      <c r="CL180" s="189">
        <f t="shared" si="224"/>
        <v>0</v>
      </c>
      <c r="CM180" s="149">
        <f t="shared" si="225"/>
        <v>0</v>
      </c>
      <c r="CN180" s="128">
        <f>'DATA INPUT - DETAIL'!AH171</f>
        <v>0</v>
      </c>
      <c r="CO180" s="149">
        <f t="shared" si="226"/>
        <v>0</v>
      </c>
      <c r="CP180" s="149">
        <f t="shared" si="227"/>
        <v>0</v>
      </c>
      <c r="CR180" s="126">
        <f t="shared" si="231"/>
        <v>168</v>
      </c>
      <c r="CS180" s="189">
        <f t="shared" si="232"/>
        <v>0</v>
      </c>
      <c r="CT180" s="200">
        <f>CS180/(BEL!CE180+BEL!CA180-BEL!BU180+'RA CSM'!CF180)</f>
        <v>0</v>
      </c>
      <c r="CU180" s="149">
        <f>$CT180*BEL!CH180</f>
        <v>0</v>
      </c>
      <c r="CV180" s="149">
        <f>$CT180*BEL!CI180</f>
        <v>0</v>
      </c>
      <c r="CW180" s="149">
        <f>$CT180*BEL!CJ180</f>
        <v>0</v>
      </c>
      <c r="CX180" s="149">
        <f>$CT180*BEL!CK180</f>
        <v>0</v>
      </c>
      <c r="CY180" s="149">
        <f t="shared" si="229"/>
        <v>0</v>
      </c>
      <c r="CZ180" s="149">
        <f>$CT180*(BEL!CL180+'RA CSM'!CG180)</f>
        <v>0</v>
      </c>
      <c r="DA180" s="149">
        <f t="shared" si="230"/>
        <v>0</v>
      </c>
    </row>
    <row r="181" spans="2:105" x14ac:dyDescent="0.2">
      <c r="B181" s="130">
        <f>BEL!B181</f>
        <v>0</v>
      </c>
      <c r="C181" s="130">
        <f>BEL!C181</f>
        <v>0</v>
      </c>
      <c r="D181" s="190">
        <f>BEL!D181</f>
        <v>0</v>
      </c>
      <c r="E181" s="190">
        <f>BEL!E181</f>
        <v>0</v>
      </c>
      <c r="F181" s="190">
        <f>BEL!F181</f>
        <v>0</v>
      </c>
      <c r="G181" s="190">
        <f>BEL!G181*(1+$V$5)</f>
        <v>0</v>
      </c>
      <c r="H181" s="190">
        <f>BEL!H181*(1+$V$5)</f>
        <v>0</v>
      </c>
      <c r="I181" s="179">
        <f t="shared" si="167"/>
        <v>0</v>
      </c>
      <c r="J181" s="130">
        <f>BEL!J181</f>
        <v>0</v>
      </c>
      <c r="K181" s="130">
        <f>BEL!K181</f>
        <v>0</v>
      </c>
      <c r="L181" s="130">
        <f>BEL!L181</f>
        <v>0</v>
      </c>
      <c r="M181" s="185">
        <f t="shared" si="233"/>
        <v>0</v>
      </c>
      <c r="N181" s="185">
        <f t="shared" si="168"/>
        <v>0</v>
      </c>
      <c r="O181" s="185">
        <f t="shared" si="169"/>
        <v>0</v>
      </c>
      <c r="P181" s="185">
        <f t="shared" si="170"/>
        <v>0</v>
      </c>
      <c r="Q181" s="185">
        <f t="shared" si="171"/>
        <v>0</v>
      </c>
      <c r="R181" s="185">
        <f t="shared" si="172"/>
        <v>0</v>
      </c>
      <c r="S181" s="185">
        <f t="shared" si="173"/>
        <v>0</v>
      </c>
      <c r="T181" s="185">
        <f t="shared" si="174"/>
        <v>0</v>
      </c>
      <c r="U181" s="196">
        <f>(C181&gt;0)*(C181&lt;$E$5)*VLOOKUP(MPP,ASUMSI!$BN$77:$CR$108,B181+1)*(1+$V$4)</f>
        <v>0</v>
      </c>
      <c r="V181" s="185">
        <f t="shared" si="175"/>
        <v>0</v>
      </c>
      <c r="W181" s="185">
        <f t="shared" si="176"/>
        <v>0</v>
      </c>
      <c r="X181" s="185">
        <f t="shared" si="177"/>
        <v>0</v>
      </c>
      <c r="Y181" s="185">
        <f t="shared" si="178"/>
        <v>0</v>
      </c>
      <c r="Z181" s="185">
        <f t="shared" si="179"/>
        <v>0</v>
      </c>
      <c r="AA181" s="197">
        <f t="shared" si="180"/>
        <v>0</v>
      </c>
      <c r="AB181" s="185">
        <f t="shared" si="181"/>
        <v>0</v>
      </c>
      <c r="AC181" s="185">
        <f t="shared" si="182"/>
        <v>0</v>
      </c>
      <c r="AD181" s="185">
        <f t="shared" si="183"/>
        <v>0</v>
      </c>
      <c r="AE181" s="185">
        <f t="shared" si="184"/>
        <v>0</v>
      </c>
      <c r="AF181" s="185">
        <f t="shared" si="185"/>
        <v>0</v>
      </c>
      <c r="AG181" s="185">
        <f t="shared" si="186"/>
        <v>0</v>
      </c>
      <c r="AH181" s="185">
        <f t="shared" si="187"/>
        <v>0</v>
      </c>
      <c r="AI181" s="125">
        <f>BEL!AI181</f>
        <v>0</v>
      </c>
      <c r="AJ181" s="125">
        <f>BEL!AJ181</f>
        <v>0</v>
      </c>
      <c r="AK181" s="125">
        <f>BEL!AK181</f>
        <v>0</v>
      </c>
      <c r="AL181" s="125">
        <f>BEL!AL181</f>
        <v>0</v>
      </c>
      <c r="AM181" s="125">
        <f>BEL!AM181</f>
        <v>0</v>
      </c>
      <c r="AN181" s="125">
        <f>BEL!AN181</f>
        <v>0</v>
      </c>
      <c r="AO181" s="198">
        <f t="shared" si="188"/>
        <v>0</v>
      </c>
      <c r="AP181" s="125">
        <f>BEL!AP181</f>
        <v>0</v>
      </c>
      <c r="AQ181" s="125">
        <f>BEL!AQ181</f>
        <v>0</v>
      </c>
      <c r="AR181" s="125">
        <f>BEL!AR181</f>
        <v>0</v>
      </c>
      <c r="AS181" s="125">
        <f>BEL!AS181</f>
        <v>0</v>
      </c>
      <c r="AT181" s="125">
        <f>BEL!AT181</f>
        <v>0</v>
      </c>
      <c r="AU181" s="127">
        <f>BEL!AU181</f>
        <v>0</v>
      </c>
      <c r="AV181" s="127">
        <f>BEL!AV181</f>
        <v>0</v>
      </c>
      <c r="AW181" s="127">
        <f>BEL!AW181</f>
        <v>0</v>
      </c>
      <c r="AX181" s="127">
        <f t="shared" si="189"/>
        <v>0</v>
      </c>
      <c r="AY181" s="127">
        <f t="shared" si="190"/>
        <v>0</v>
      </c>
      <c r="AZ181" s="127">
        <f t="shared" si="191"/>
        <v>0</v>
      </c>
      <c r="BA181" s="127">
        <f t="shared" si="192"/>
        <v>0</v>
      </c>
      <c r="BB181" s="127">
        <f t="shared" si="193"/>
        <v>0</v>
      </c>
      <c r="BC181" s="127">
        <f t="shared" si="194"/>
        <v>0</v>
      </c>
      <c r="BD181" s="127">
        <f t="shared" si="195"/>
        <v>0</v>
      </c>
      <c r="BE181" s="127">
        <f t="shared" si="196"/>
        <v>0</v>
      </c>
      <c r="BF181" s="127">
        <f t="shared" si="197"/>
        <v>0</v>
      </c>
      <c r="BG181" s="127">
        <f t="shared" si="198"/>
        <v>0</v>
      </c>
      <c r="BH181" s="127">
        <f t="shared" si="199"/>
        <v>0</v>
      </c>
      <c r="BI181" s="127">
        <f t="shared" si="200"/>
        <v>0</v>
      </c>
      <c r="BJ181" s="189">
        <f t="shared" si="201"/>
        <v>0</v>
      </c>
      <c r="BK181" s="189">
        <f t="shared" si="202"/>
        <v>0</v>
      </c>
      <c r="BL181" s="192">
        <f t="shared" si="203"/>
        <v>0</v>
      </c>
      <c r="BM181" s="192">
        <f t="shared" si="204"/>
        <v>0</v>
      </c>
      <c r="BN181" s="192">
        <f t="shared" si="205"/>
        <v>0</v>
      </c>
      <c r="BO181" s="192">
        <f t="shared" si="206"/>
        <v>0</v>
      </c>
      <c r="BP181" s="192">
        <f t="shared" si="207"/>
        <v>0</v>
      </c>
      <c r="BQ181" s="193">
        <f t="shared" si="208"/>
        <v>0</v>
      </c>
      <c r="BR181" s="193">
        <f t="shared" si="209"/>
        <v>0</v>
      </c>
      <c r="BS181" s="188">
        <f t="shared" si="210"/>
        <v>0</v>
      </c>
      <c r="BT181" s="188">
        <f t="shared" si="211"/>
        <v>0</v>
      </c>
      <c r="BU181" s="188">
        <f t="shared" si="212"/>
        <v>0</v>
      </c>
      <c r="BV181" s="188">
        <f t="shared" si="213"/>
        <v>0</v>
      </c>
      <c r="BW181" s="188">
        <f t="shared" si="214"/>
        <v>0</v>
      </c>
      <c r="BX181" s="188">
        <f t="shared" si="215"/>
        <v>0</v>
      </c>
      <c r="BY181" s="188">
        <f t="shared" si="216"/>
        <v>0</v>
      </c>
      <c r="BZ181" s="188">
        <f t="shared" si="217"/>
        <v>0</v>
      </c>
      <c r="CA181" s="188">
        <f t="shared" si="218"/>
        <v>0</v>
      </c>
      <c r="CB181" s="149">
        <f t="shared" si="219"/>
        <v>0</v>
      </c>
      <c r="CC181" s="149">
        <f>CB181-BEL!CB181</f>
        <v>0</v>
      </c>
      <c r="CD181" s="189">
        <f>IF(AND(C181=0,C182=0),0,CB181/W181) - BEL!CC181</f>
        <v>0</v>
      </c>
      <c r="CF181" s="195">
        <f t="shared" si="220"/>
        <v>0</v>
      </c>
      <c r="CG181" s="127">
        <f t="shared" si="221"/>
        <v>0</v>
      </c>
      <c r="CH181" s="128">
        <f>'DATA INPUT - DETAIL'!AH172</f>
        <v>0</v>
      </c>
      <c r="CI181" s="125">
        <f t="shared" si="222"/>
        <v>0</v>
      </c>
      <c r="CJ181" s="199">
        <f t="shared" si="223"/>
        <v>0</v>
      </c>
      <c r="CL181" s="189">
        <f t="shared" si="224"/>
        <v>0</v>
      </c>
      <c r="CM181" s="149">
        <f t="shared" si="225"/>
        <v>0</v>
      </c>
      <c r="CN181" s="128">
        <f>'DATA INPUT - DETAIL'!AH172</f>
        <v>0</v>
      </c>
      <c r="CO181" s="149">
        <f t="shared" si="226"/>
        <v>0</v>
      </c>
      <c r="CP181" s="149">
        <f t="shared" si="227"/>
        <v>0</v>
      </c>
      <c r="CR181" s="126">
        <f t="shared" si="231"/>
        <v>169</v>
      </c>
      <c r="CS181" s="189">
        <f t="shared" si="232"/>
        <v>0</v>
      </c>
      <c r="CT181" s="200">
        <f>CS181/(BEL!CE181+BEL!CA181-BEL!BU181+'RA CSM'!CF181)</f>
        <v>0</v>
      </c>
      <c r="CU181" s="149">
        <f>$CT181*BEL!CH181</f>
        <v>0</v>
      </c>
      <c r="CV181" s="149">
        <f>$CT181*BEL!CI181</f>
        <v>0</v>
      </c>
      <c r="CW181" s="149">
        <f>$CT181*BEL!CJ181</f>
        <v>0</v>
      </c>
      <c r="CX181" s="149">
        <f>$CT181*BEL!CK181</f>
        <v>0</v>
      </c>
      <c r="CY181" s="149">
        <f t="shared" si="229"/>
        <v>0</v>
      </c>
      <c r="CZ181" s="149">
        <f>$CT181*(BEL!CL181+'RA CSM'!CG181)</f>
        <v>0</v>
      </c>
      <c r="DA181" s="149">
        <f t="shared" si="230"/>
        <v>0</v>
      </c>
    </row>
    <row r="182" spans="2:105" x14ac:dyDescent="0.2">
      <c r="B182" s="130">
        <f>BEL!B182</f>
        <v>0</v>
      </c>
      <c r="C182" s="130">
        <f>BEL!C182</f>
        <v>0</v>
      </c>
      <c r="D182" s="190">
        <f>BEL!D182</f>
        <v>0</v>
      </c>
      <c r="E182" s="190">
        <f>BEL!E182</f>
        <v>0</v>
      </c>
      <c r="F182" s="190">
        <f>BEL!F182</f>
        <v>0</v>
      </c>
      <c r="G182" s="190">
        <f>BEL!G182*(1+$V$5)</f>
        <v>0</v>
      </c>
      <c r="H182" s="190">
        <f>BEL!H182*(1+$V$5)</f>
        <v>0</v>
      </c>
      <c r="I182" s="179">
        <f t="shared" si="167"/>
        <v>0</v>
      </c>
      <c r="J182" s="130">
        <f>BEL!J182</f>
        <v>0</v>
      </c>
      <c r="K182" s="130">
        <f>BEL!K182</f>
        <v>0</v>
      </c>
      <c r="L182" s="130">
        <f>BEL!L182</f>
        <v>0</v>
      </c>
      <c r="M182" s="185">
        <f t="shared" si="233"/>
        <v>0</v>
      </c>
      <c r="N182" s="185">
        <f t="shared" si="168"/>
        <v>0</v>
      </c>
      <c r="O182" s="185">
        <f t="shared" si="169"/>
        <v>0</v>
      </c>
      <c r="P182" s="185">
        <f t="shared" si="170"/>
        <v>0</v>
      </c>
      <c r="Q182" s="185">
        <f t="shared" si="171"/>
        <v>0</v>
      </c>
      <c r="R182" s="185">
        <f t="shared" si="172"/>
        <v>0</v>
      </c>
      <c r="S182" s="185">
        <f t="shared" si="173"/>
        <v>0</v>
      </c>
      <c r="T182" s="185">
        <f t="shared" si="174"/>
        <v>0</v>
      </c>
      <c r="U182" s="196">
        <f>(C182&gt;0)*(C182&lt;$E$5)*VLOOKUP(MPP,ASUMSI!$BN$77:$CR$108,B182+1)*(1+$V$4)</f>
        <v>0</v>
      </c>
      <c r="V182" s="185">
        <f t="shared" si="175"/>
        <v>0</v>
      </c>
      <c r="W182" s="185">
        <f t="shared" si="176"/>
        <v>0</v>
      </c>
      <c r="X182" s="185">
        <f t="shared" si="177"/>
        <v>0</v>
      </c>
      <c r="Y182" s="185">
        <f t="shared" si="178"/>
        <v>0</v>
      </c>
      <c r="Z182" s="185">
        <f t="shared" si="179"/>
        <v>0</v>
      </c>
      <c r="AA182" s="197">
        <f t="shared" si="180"/>
        <v>0</v>
      </c>
      <c r="AB182" s="185">
        <f t="shared" si="181"/>
        <v>0</v>
      </c>
      <c r="AC182" s="185">
        <f t="shared" si="182"/>
        <v>0</v>
      </c>
      <c r="AD182" s="185">
        <f t="shared" si="183"/>
        <v>0</v>
      </c>
      <c r="AE182" s="185">
        <f t="shared" si="184"/>
        <v>0</v>
      </c>
      <c r="AF182" s="185">
        <f t="shared" si="185"/>
        <v>0</v>
      </c>
      <c r="AG182" s="185">
        <f t="shared" si="186"/>
        <v>0</v>
      </c>
      <c r="AH182" s="185">
        <f t="shared" si="187"/>
        <v>0</v>
      </c>
      <c r="AI182" s="125">
        <f>BEL!AI182</f>
        <v>0</v>
      </c>
      <c r="AJ182" s="125">
        <f>BEL!AJ182</f>
        <v>0</v>
      </c>
      <c r="AK182" s="125">
        <f>BEL!AK182</f>
        <v>0</v>
      </c>
      <c r="AL182" s="125">
        <f>BEL!AL182</f>
        <v>0</v>
      </c>
      <c r="AM182" s="125">
        <f>BEL!AM182</f>
        <v>0</v>
      </c>
      <c r="AN182" s="125">
        <f>BEL!AN182</f>
        <v>0</v>
      </c>
      <c r="AO182" s="198">
        <f t="shared" si="188"/>
        <v>0</v>
      </c>
      <c r="AP182" s="125">
        <f>BEL!AP182</f>
        <v>0</v>
      </c>
      <c r="AQ182" s="125">
        <f>BEL!AQ182</f>
        <v>0</v>
      </c>
      <c r="AR182" s="125">
        <f>BEL!AR182</f>
        <v>0</v>
      </c>
      <c r="AS182" s="125">
        <f>BEL!AS182</f>
        <v>0</v>
      </c>
      <c r="AT182" s="125">
        <f>BEL!AT182</f>
        <v>0</v>
      </c>
      <c r="AU182" s="127">
        <f>BEL!AU182</f>
        <v>0</v>
      </c>
      <c r="AV182" s="127">
        <f>BEL!AV182</f>
        <v>0</v>
      </c>
      <c r="AW182" s="127">
        <f>BEL!AW182</f>
        <v>0</v>
      </c>
      <c r="AX182" s="127">
        <f t="shared" si="189"/>
        <v>0</v>
      </c>
      <c r="AY182" s="127">
        <f t="shared" si="190"/>
        <v>0</v>
      </c>
      <c r="AZ182" s="127">
        <f t="shared" si="191"/>
        <v>0</v>
      </c>
      <c r="BA182" s="127">
        <f t="shared" si="192"/>
        <v>0</v>
      </c>
      <c r="BB182" s="127">
        <f t="shared" si="193"/>
        <v>0</v>
      </c>
      <c r="BC182" s="127">
        <f t="shared" si="194"/>
        <v>0</v>
      </c>
      <c r="BD182" s="127">
        <f t="shared" si="195"/>
        <v>0</v>
      </c>
      <c r="BE182" s="127">
        <f t="shared" si="196"/>
        <v>0</v>
      </c>
      <c r="BF182" s="127">
        <f t="shared" si="197"/>
        <v>0</v>
      </c>
      <c r="BG182" s="127">
        <f t="shared" si="198"/>
        <v>0</v>
      </c>
      <c r="BH182" s="127">
        <f t="shared" si="199"/>
        <v>0</v>
      </c>
      <c r="BI182" s="127">
        <f t="shared" si="200"/>
        <v>0</v>
      </c>
      <c r="BJ182" s="189">
        <f t="shared" si="201"/>
        <v>0</v>
      </c>
      <c r="BK182" s="189">
        <f t="shared" si="202"/>
        <v>0</v>
      </c>
      <c r="BL182" s="192">
        <f t="shared" si="203"/>
        <v>0</v>
      </c>
      <c r="BM182" s="192">
        <f t="shared" si="204"/>
        <v>0</v>
      </c>
      <c r="BN182" s="192">
        <f t="shared" si="205"/>
        <v>0</v>
      </c>
      <c r="BO182" s="192">
        <f t="shared" si="206"/>
        <v>0</v>
      </c>
      <c r="BP182" s="192">
        <f t="shared" si="207"/>
        <v>0</v>
      </c>
      <c r="BQ182" s="193">
        <f t="shared" si="208"/>
        <v>0</v>
      </c>
      <c r="BR182" s="193">
        <f t="shared" si="209"/>
        <v>0</v>
      </c>
      <c r="BS182" s="188">
        <f t="shared" si="210"/>
        <v>0</v>
      </c>
      <c r="BT182" s="188">
        <f t="shared" si="211"/>
        <v>0</v>
      </c>
      <c r="BU182" s="188">
        <f t="shared" si="212"/>
        <v>0</v>
      </c>
      <c r="BV182" s="188">
        <f t="shared" si="213"/>
        <v>0</v>
      </c>
      <c r="BW182" s="188">
        <f t="shared" si="214"/>
        <v>0</v>
      </c>
      <c r="BX182" s="188">
        <f t="shared" si="215"/>
        <v>0</v>
      </c>
      <c r="BY182" s="188">
        <f t="shared" si="216"/>
        <v>0</v>
      </c>
      <c r="BZ182" s="188">
        <f t="shared" si="217"/>
        <v>0</v>
      </c>
      <c r="CA182" s="188">
        <f t="shared" si="218"/>
        <v>0</v>
      </c>
      <c r="CB182" s="149">
        <f t="shared" si="219"/>
        <v>0</v>
      </c>
      <c r="CC182" s="149">
        <f>CB182-BEL!CB182</f>
        <v>0</v>
      </c>
      <c r="CD182" s="189">
        <f>IF(AND(C182=0,C183=0),0,CB182/W182) - BEL!CC182</f>
        <v>0</v>
      </c>
      <c r="CF182" s="195">
        <f t="shared" si="220"/>
        <v>0</v>
      </c>
      <c r="CG182" s="127">
        <f t="shared" si="221"/>
        <v>0</v>
      </c>
      <c r="CH182" s="128">
        <f>'DATA INPUT - DETAIL'!AH173</f>
        <v>0</v>
      </c>
      <c r="CI182" s="125">
        <f t="shared" si="222"/>
        <v>0</v>
      </c>
      <c r="CJ182" s="199">
        <f t="shared" si="223"/>
        <v>0</v>
      </c>
      <c r="CL182" s="189">
        <f t="shared" si="224"/>
        <v>0</v>
      </c>
      <c r="CM182" s="149">
        <f t="shared" si="225"/>
        <v>0</v>
      </c>
      <c r="CN182" s="128">
        <f>'DATA INPUT - DETAIL'!AH173</f>
        <v>0</v>
      </c>
      <c r="CO182" s="149">
        <f t="shared" si="226"/>
        <v>0</v>
      </c>
      <c r="CP182" s="149">
        <f t="shared" si="227"/>
        <v>0</v>
      </c>
      <c r="CR182" s="126">
        <f t="shared" si="231"/>
        <v>170</v>
      </c>
      <c r="CS182" s="189">
        <f t="shared" si="232"/>
        <v>0</v>
      </c>
      <c r="CT182" s="200">
        <f>CS182/(BEL!CE182+BEL!CA182-BEL!BU182+'RA CSM'!CF182)</f>
        <v>0</v>
      </c>
      <c r="CU182" s="149">
        <f>$CT182*BEL!CH182</f>
        <v>0</v>
      </c>
      <c r="CV182" s="149">
        <f>$CT182*BEL!CI182</f>
        <v>0</v>
      </c>
      <c r="CW182" s="149">
        <f>$CT182*BEL!CJ182</f>
        <v>0</v>
      </c>
      <c r="CX182" s="149">
        <f>$CT182*BEL!CK182</f>
        <v>0</v>
      </c>
      <c r="CY182" s="149">
        <f t="shared" si="229"/>
        <v>0</v>
      </c>
      <c r="CZ182" s="149">
        <f>$CT182*(BEL!CL182+'RA CSM'!CG182)</f>
        <v>0</v>
      </c>
      <c r="DA182" s="149">
        <f t="shared" si="230"/>
        <v>0</v>
      </c>
    </row>
    <row r="183" spans="2:105" x14ac:dyDescent="0.2">
      <c r="B183" s="130">
        <f>BEL!B183</f>
        <v>0</v>
      </c>
      <c r="C183" s="130">
        <f>BEL!C183</f>
        <v>0</v>
      </c>
      <c r="D183" s="190">
        <f>BEL!D183</f>
        <v>0</v>
      </c>
      <c r="E183" s="190">
        <f>BEL!E183</f>
        <v>0</v>
      </c>
      <c r="F183" s="190">
        <f>BEL!F183</f>
        <v>0</v>
      </c>
      <c r="G183" s="190">
        <f>BEL!G183*(1+$V$5)</f>
        <v>0</v>
      </c>
      <c r="H183" s="190">
        <f>BEL!H183*(1+$V$5)</f>
        <v>0</v>
      </c>
      <c r="I183" s="179">
        <f t="shared" si="167"/>
        <v>0</v>
      </c>
      <c r="J183" s="130">
        <f>BEL!J183</f>
        <v>0</v>
      </c>
      <c r="K183" s="130">
        <f>BEL!K183</f>
        <v>0</v>
      </c>
      <c r="L183" s="130">
        <f>BEL!L183</f>
        <v>0</v>
      </c>
      <c r="M183" s="185">
        <f t="shared" si="233"/>
        <v>0</v>
      </c>
      <c r="N183" s="185">
        <f t="shared" si="168"/>
        <v>0</v>
      </c>
      <c r="O183" s="185">
        <f t="shared" si="169"/>
        <v>0</v>
      </c>
      <c r="P183" s="185">
        <f t="shared" si="170"/>
        <v>0</v>
      </c>
      <c r="Q183" s="185">
        <f t="shared" si="171"/>
        <v>0</v>
      </c>
      <c r="R183" s="185">
        <f t="shared" si="172"/>
        <v>0</v>
      </c>
      <c r="S183" s="185">
        <f t="shared" si="173"/>
        <v>0</v>
      </c>
      <c r="T183" s="185">
        <f t="shared" si="174"/>
        <v>0</v>
      </c>
      <c r="U183" s="196">
        <f>(C183&gt;0)*(C183&lt;$E$5)*VLOOKUP(MPP,ASUMSI!$BN$77:$CR$108,B183+1)*(1+$V$4)</f>
        <v>0</v>
      </c>
      <c r="V183" s="185">
        <f t="shared" si="175"/>
        <v>0</v>
      </c>
      <c r="W183" s="185">
        <f t="shared" si="176"/>
        <v>0</v>
      </c>
      <c r="X183" s="185">
        <f t="shared" si="177"/>
        <v>0</v>
      </c>
      <c r="Y183" s="185">
        <f t="shared" si="178"/>
        <v>0</v>
      </c>
      <c r="Z183" s="185">
        <f t="shared" si="179"/>
        <v>0</v>
      </c>
      <c r="AA183" s="197">
        <f t="shared" si="180"/>
        <v>0</v>
      </c>
      <c r="AB183" s="185">
        <f t="shared" si="181"/>
        <v>0</v>
      </c>
      <c r="AC183" s="185">
        <f t="shared" si="182"/>
        <v>0</v>
      </c>
      <c r="AD183" s="185">
        <f t="shared" si="183"/>
        <v>0</v>
      </c>
      <c r="AE183" s="185">
        <f t="shared" si="184"/>
        <v>0</v>
      </c>
      <c r="AF183" s="185">
        <f t="shared" si="185"/>
        <v>0</v>
      </c>
      <c r="AG183" s="185">
        <f t="shared" si="186"/>
        <v>0</v>
      </c>
      <c r="AH183" s="185">
        <f t="shared" si="187"/>
        <v>0</v>
      </c>
      <c r="AI183" s="125">
        <f>BEL!AI183</f>
        <v>0</v>
      </c>
      <c r="AJ183" s="125">
        <f>BEL!AJ183</f>
        <v>0</v>
      </c>
      <c r="AK183" s="125">
        <f>BEL!AK183</f>
        <v>0</v>
      </c>
      <c r="AL183" s="125">
        <f>BEL!AL183</f>
        <v>0</v>
      </c>
      <c r="AM183" s="125">
        <f>BEL!AM183</f>
        <v>0</v>
      </c>
      <c r="AN183" s="125">
        <f>BEL!AN183</f>
        <v>0</v>
      </c>
      <c r="AO183" s="198">
        <f t="shared" si="188"/>
        <v>0</v>
      </c>
      <c r="AP183" s="125">
        <f>BEL!AP183</f>
        <v>0</v>
      </c>
      <c r="AQ183" s="125">
        <f>BEL!AQ183</f>
        <v>0</v>
      </c>
      <c r="AR183" s="125">
        <f>BEL!AR183</f>
        <v>0</v>
      </c>
      <c r="AS183" s="125">
        <f>BEL!AS183</f>
        <v>0</v>
      </c>
      <c r="AT183" s="125">
        <f>BEL!AT183</f>
        <v>0</v>
      </c>
      <c r="AU183" s="127">
        <f>BEL!AU183</f>
        <v>0</v>
      </c>
      <c r="AV183" s="127">
        <f>BEL!AV183</f>
        <v>0</v>
      </c>
      <c r="AW183" s="127">
        <f>BEL!AW183</f>
        <v>0</v>
      </c>
      <c r="AX183" s="127">
        <f t="shared" si="189"/>
        <v>0</v>
      </c>
      <c r="AY183" s="127">
        <f t="shared" si="190"/>
        <v>0</v>
      </c>
      <c r="AZ183" s="127">
        <f t="shared" si="191"/>
        <v>0</v>
      </c>
      <c r="BA183" s="127">
        <f t="shared" si="192"/>
        <v>0</v>
      </c>
      <c r="BB183" s="127">
        <f t="shared" si="193"/>
        <v>0</v>
      </c>
      <c r="BC183" s="127">
        <f t="shared" si="194"/>
        <v>0</v>
      </c>
      <c r="BD183" s="127">
        <f t="shared" si="195"/>
        <v>0</v>
      </c>
      <c r="BE183" s="127">
        <f t="shared" si="196"/>
        <v>0</v>
      </c>
      <c r="BF183" s="127">
        <f t="shared" si="197"/>
        <v>0</v>
      </c>
      <c r="BG183" s="127">
        <f t="shared" si="198"/>
        <v>0</v>
      </c>
      <c r="BH183" s="127">
        <f t="shared" si="199"/>
        <v>0</v>
      </c>
      <c r="BI183" s="127">
        <f t="shared" si="200"/>
        <v>0</v>
      </c>
      <c r="BJ183" s="189">
        <f t="shared" si="201"/>
        <v>0</v>
      </c>
      <c r="BK183" s="189">
        <f t="shared" si="202"/>
        <v>0</v>
      </c>
      <c r="BL183" s="192">
        <f t="shared" si="203"/>
        <v>0</v>
      </c>
      <c r="BM183" s="192">
        <f t="shared" si="204"/>
        <v>0</v>
      </c>
      <c r="BN183" s="192">
        <f t="shared" si="205"/>
        <v>0</v>
      </c>
      <c r="BO183" s="192">
        <f t="shared" si="206"/>
        <v>0</v>
      </c>
      <c r="BP183" s="192">
        <f t="shared" si="207"/>
        <v>0</v>
      </c>
      <c r="BQ183" s="193">
        <f t="shared" si="208"/>
        <v>0</v>
      </c>
      <c r="BR183" s="193">
        <f t="shared" si="209"/>
        <v>0</v>
      </c>
      <c r="BS183" s="188">
        <f t="shared" si="210"/>
        <v>0</v>
      </c>
      <c r="BT183" s="188">
        <f t="shared" si="211"/>
        <v>0</v>
      </c>
      <c r="BU183" s="188">
        <f t="shared" si="212"/>
        <v>0</v>
      </c>
      <c r="BV183" s="188">
        <f t="shared" si="213"/>
        <v>0</v>
      </c>
      <c r="BW183" s="188">
        <f t="shared" si="214"/>
        <v>0</v>
      </c>
      <c r="BX183" s="188">
        <f t="shared" si="215"/>
        <v>0</v>
      </c>
      <c r="BY183" s="188">
        <f t="shared" si="216"/>
        <v>0</v>
      </c>
      <c r="BZ183" s="188">
        <f t="shared" si="217"/>
        <v>0</v>
      </c>
      <c r="CA183" s="188">
        <f t="shared" si="218"/>
        <v>0</v>
      </c>
      <c r="CB183" s="149">
        <f t="shared" si="219"/>
        <v>0</v>
      </c>
      <c r="CC183" s="149">
        <f>CB183-BEL!CB183</f>
        <v>0</v>
      </c>
      <c r="CD183" s="189">
        <f>IF(AND(C183=0,C184=0),0,CB183/W183) - BEL!CC183</f>
        <v>0</v>
      </c>
      <c r="CF183" s="195">
        <f t="shared" si="220"/>
        <v>0</v>
      </c>
      <c r="CG183" s="127">
        <f t="shared" si="221"/>
        <v>0</v>
      </c>
      <c r="CH183" s="128">
        <f>'DATA INPUT - DETAIL'!AH174</f>
        <v>0</v>
      </c>
      <c r="CI183" s="125">
        <f t="shared" si="222"/>
        <v>0</v>
      </c>
      <c r="CJ183" s="199">
        <f t="shared" si="223"/>
        <v>0</v>
      </c>
      <c r="CL183" s="189">
        <f t="shared" si="224"/>
        <v>0</v>
      </c>
      <c r="CM183" s="149">
        <f t="shared" si="225"/>
        <v>0</v>
      </c>
      <c r="CN183" s="128">
        <f>'DATA INPUT - DETAIL'!AH174</f>
        <v>0</v>
      </c>
      <c r="CO183" s="149">
        <f t="shared" si="226"/>
        <v>0</v>
      </c>
      <c r="CP183" s="149">
        <f t="shared" si="227"/>
        <v>0</v>
      </c>
      <c r="CR183" s="126">
        <f t="shared" si="231"/>
        <v>171</v>
      </c>
      <c r="CS183" s="189">
        <f t="shared" si="232"/>
        <v>0</v>
      </c>
      <c r="CT183" s="200">
        <f>CS183/(BEL!CE183+BEL!CA183-BEL!BU183+'RA CSM'!CF183)</f>
        <v>0</v>
      </c>
      <c r="CU183" s="149">
        <f>$CT183*BEL!CH183</f>
        <v>0</v>
      </c>
      <c r="CV183" s="149">
        <f>$CT183*BEL!CI183</f>
        <v>0</v>
      </c>
      <c r="CW183" s="149">
        <f>$CT183*BEL!CJ183</f>
        <v>0</v>
      </c>
      <c r="CX183" s="149">
        <f>$CT183*BEL!CK183</f>
        <v>0</v>
      </c>
      <c r="CY183" s="149">
        <f t="shared" si="229"/>
        <v>0</v>
      </c>
      <c r="CZ183" s="149">
        <f>$CT183*(BEL!CL183+'RA CSM'!CG183)</f>
        <v>0</v>
      </c>
      <c r="DA183" s="149">
        <f t="shared" si="230"/>
        <v>0</v>
      </c>
    </row>
    <row r="184" spans="2:105" x14ac:dyDescent="0.2">
      <c r="B184" s="130">
        <f>BEL!B184</f>
        <v>0</v>
      </c>
      <c r="C184" s="130">
        <f>BEL!C184</f>
        <v>0</v>
      </c>
      <c r="D184" s="190">
        <f>BEL!D184</f>
        <v>0</v>
      </c>
      <c r="E184" s="190">
        <f>BEL!E184</f>
        <v>0</v>
      </c>
      <c r="F184" s="190">
        <f>BEL!F184</f>
        <v>0</v>
      </c>
      <c r="G184" s="190">
        <f>BEL!G184*(1+$V$5)</f>
        <v>0</v>
      </c>
      <c r="H184" s="190">
        <f>BEL!H184*(1+$V$5)</f>
        <v>0</v>
      </c>
      <c r="I184" s="179">
        <f t="shared" si="167"/>
        <v>0</v>
      </c>
      <c r="J184" s="130">
        <f>BEL!J184</f>
        <v>0</v>
      </c>
      <c r="K184" s="130">
        <f>BEL!K184</f>
        <v>0</v>
      </c>
      <c r="L184" s="130">
        <f>BEL!L184</f>
        <v>0</v>
      </c>
      <c r="M184" s="185">
        <f t="shared" si="233"/>
        <v>0</v>
      </c>
      <c r="N184" s="185">
        <f t="shared" si="168"/>
        <v>0</v>
      </c>
      <c r="O184" s="185">
        <f t="shared" si="169"/>
        <v>0</v>
      </c>
      <c r="P184" s="185">
        <f t="shared" si="170"/>
        <v>0</v>
      </c>
      <c r="Q184" s="185">
        <f t="shared" si="171"/>
        <v>0</v>
      </c>
      <c r="R184" s="185">
        <f t="shared" si="172"/>
        <v>0</v>
      </c>
      <c r="S184" s="185">
        <f t="shared" si="173"/>
        <v>0</v>
      </c>
      <c r="T184" s="185">
        <f t="shared" si="174"/>
        <v>0</v>
      </c>
      <c r="U184" s="196">
        <f>(C184&gt;0)*(C184&lt;$E$5)*VLOOKUP(MPP,ASUMSI!$BN$77:$CR$108,B184+1)*(1+$V$4)</f>
        <v>0</v>
      </c>
      <c r="V184" s="185">
        <f t="shared" si="175"/>
        <v>0</v>
      </c>
      <c r="W184" s="185">
        <f t="shared" si="176"/>
        <v>0</v>
      </c>
      <c r="X184" s="185">
        <f t="shared" si="177"/>
        <v>0</v>
      </c>
      <c r="Y184" s="185">
        <f t="shared" si="178"/>
        <v>0</v>
      </c>
      <c r="Z184" s="185">
        <f t="shared" si="179"/>
        <v>0</v>
      </c>
      <c r="AA184" s="197">
        <f t="shared" si="180"/>
        <v>0</v>
      </c>
      <c r="AB184" s="185">
        <f t="shared" si="181"/>
        <v>0</v>
      </c>
      <c r="AC184" s="185">
        <f t="shared" si="182"/>
        <v>0</v>
      </c>
      <c r="AD184" s="185">
        <f t="shared" si="183"/>
        <v>0</v>
      </c>
      <c r="AE184" s="185">
        <f t="shared" si="184"/>
        <v>0</v>
      </c>
      <c r="AF184" s="185">
        <f t="shared" si="185"/>
        <v>0</v>
      </c>
      <c r="AG184" s="185">
        <f t="shared" si="186"/>
        <v>0</v>
      </c>
      <c r="AH184" s="185">
        <f t="shared" si="187"/>
        <v>0</v>
      </c>
      <c r="AI184" s="125">
        <f>BEL!AI184</f>
        <v>0</v>
      </c>
      <c r="AJ184" s="125">
        <f>BEL!AJ184</f>
        <v>0</v>
      </c>
      <c r="AK184" s="125">
        <f>BEL!AK184</f>
        <v>0</v>
      </c>
      <c r="AL184" s="125">
        <f>BEL!AL184</f>
        <v>0</v>
      </c>
      <c r="AM184" s="125">
        <f>BEL!AM184</f>
        <v>0</v>
      </c>
      <c r="AN184" s="125">
        <f>BEL!AN184</f>
        <v>0</v>
      </c>
      <c r="AO184" s="198">
        <f t="shared" si="188"/>
        <v>0</v>
      </c>
      <c r="AP184" s="125">
        <f>BEL!AP184</f>
        <v>0</v>
      </c>
      <c r="AQ184" s="125">
        <f>BEL!AQ184</f>
        <v>0</v>
      </c>
      <c r="AR184" s="125">
        <f>BEL!AR184</f>
        <v>0</v>
      </c>
      <c r="AS184" s="125">
        <f>BEL!AS184</f>
        <v>0</v>
      </c>
      <c r="AT184" s="125">
        <f>BEL!AT184</f>
        <v>0</v>
      </c>
      <c r="AU184" s="127">
        <f>BEL!AU184</f>
        <v>0</v>
      </c>
      <c r="AV184" s="127">
        <f>BEL!AV184</f>
        <v>0</v>
      </c>
      <c r="AW184" s="127">
        <f>BEL!AW184</f>
        <v>0</v>
      </c>
      <c r="AX184" s="127">
        <f t="shared" si="189"/>
        <v>0</v>
      </c>
      <c r="AY184" s="127">
        <f t="shared" si="190"/>
        <v>0</v>
      </c>
      <c r="AZ184" s="127">
        <f t="shared" si="191"/>
        <v>0</v>
      </c>
      <c r="BA184" s="127">
        <f t="shared" si="192"/>
        <v>0</v>
      </c>
      <c r="BB184" s="127">
        <f t="shared" si="193"/>
        <v>0</v>
      </c>
      <c r="BC184" s="127">
        <f t="shared" si="194"/>
        <v>0</v>
      </c>
      <c r="BD184" s="127">
        <f t="shared" si="195"/>
        <v>0</v>
      </c>
      <c r="BE184" s="127">
        <f t="shared" si="196"/>
        <v>0</v>
      </c>
      <c r="BF184" s="127">
        <f t="shared" si="197"/>
        <v>0</v>
      </c>
      <c r="BG184" s="127">
        <f t="shared" si="198"/>
        <v>0</v>
      </c>
      <c r="BH184" s="127">
        <f t="shared" si="199"/>
        <v>0</v>
      </c>
      <c r="BI184" s="127">
        <f t="shared" si="200"/>
        <v>0</v>
      </c>
      <c r="BJ184" s="189">
        <f t="shared" si="201"/>
        <v>0</v>
      </c>
      <c r="BK184" s="189">
        <f t="shared" si="202"/>
        <v>0</v>
      </c>
      <c r="BL184" s="192">
        <f t="shared" si="203"/>
        <v>0</v>
      </c>
      <c r="BM184" s="192">
        <f t="shared" si="204"/>
        <v>0</v>
      </c>
      <c r="BN184" s="192">
        <f t="shared" si="205"/>
        <v>0</v>
      </c>
      <c r="BO184" s="192">
        <f t="shared" si="206"/>
        <v>0</v>
      </c>
      <c r="BP184" s="192">
        <f t="shared" si="207"/>
        <v>0</v>
      </c>
      <c r="BQ184" s="193">
        <f t="shared" si="208"/>
        <v>0</v>
      </c>
      <c r="BR184" s="193">
        <f t="shared" si="209"/>
        <v>0</v>
      </c>
      <c r="BS184" s="188">
        <f t="shared" si="210"/>
        <v>0</v>
      </c>
      <c r="BT184" s="188">
        <f t="shared" si="211"/>
        <v>0</v>
      </c>
      <c r="BU184" s="188">
        <f t="shared" si="212"/>
        <v>0</v>
      </c>
      <c r="BV184" s="188">
        <f t="shared" si="213"/>
        <v>0</v>
      </c>
      <c r="BW184" s="188">
        <f t="shared" si="214"/>
        <v>0</v>
      </c>
      <c r="BX184" s="188">
        <f t="shared" si="215"/>
        <v>0</v>
      </c>
      <c r="BY184" s="188">
        <f t="shared" si="216"/>
        <v>0</v>
      </c>
      <c r="BZ184" s="188">
        <f t="shared" si="217"/>
        <v>0</v>
      </c>
      <c r="CA184" s="188">
        <f t="shared" si="218"/>
        <v>0</v>
      </c>
      <c r="CB184" s="149">
        <f t="shared" si="219"/>
        <v>0</v>
      </c>
      <c r="CC184" s="149">
        <f>CB184-BEL!CB184</f>
        <v>0</v>
      </c>
      <c r="CD184" s="189">
        <f>IF(AND(C184=0,C185=0),0,CB184/W184) - BEL!CC184</f>
        <v>0</v>
      </c>
      <c r="CF184" s="195">
        <f t="shared" si="220"/>
        <v>0</v>
      </c>
      <c r="CG184" s="127">
        <f t="shared" si="221"/>
        <v>0</v>
      </c>
      <c r="CH184" s="128">
        <f>'DATA INPUT - DETAIL'!AH175</f>
        <v>0</v>
      </c>
      <c r="CI184" s="125">
        <f t="shared" si="222"/>
        <v>0</v>
      </c>
      <c r="CJ184" s="199">
        <f t="shared" si="223"/>
        <v>0</v>
      </c>
      <c r="CL184" s="189">
        <f t="shared" si="224"/>
        <v>0</v>
      </c>
      <c r="CM184" s="149">
        <f t="shared" si="225"/>
        <v>0</v>
      </c>
      <c r="CN184" s="128">
        <f>'DATA INPUT - DETAIL'!AH175</f>
        <v>0</v>
      </c>
      <c r="CO184" s="149">
        <f t="shared" si="226"/>
        <v>0</v>
      </c>
      <c r="CP184" s="149">
        <f t="shared" si="227"/>
        <v>0</v>
      </c>
      <c r="CR184" s="126">
        <f t="shared" si="231"/>
        <v>172</v>
      </c>
      <c r="CS184" s="189">
        <f t="shared" si="232"/>
        <v>0</v>
      </c>
      <c r="CT184" s="200">
        <f>CS184/(BEL!CE184+BEL!CA184-BEL!BU184+'RA CSM'!CF184)</f>
        <v>0</v>
      </c>
      <c r="CU184" s="149">
        <f>$CT184*BEL!CH184</f>
        <v>0</v>
      </c>
      <c r="CV184" s="149">
        <f>$CT184*BEL!CI184</f>
        <v>0</v>
      </c>
      <c r="CW184" s="149">
        <f>$CT184*BEL!CJ184</f>
        <v>0</v>
      </c>
      <c r="CX184" s="149">
        <f>$CT184*BEL!CK184</f>
        <v>0</v>
      </c>
      <c r="CY184" s="149">
        <f t="shared" si="229"/>
        <v>0</v>
      </c>
      <c r="CZ184" s="149">
        <f>$CT184*(BEL!CL184+'RA CSM'!CG184)</f>
        <v>0</v>
      </c>
      <c r="DA184" s="149">
        <f t="shared" si="230"/>
        <v>0</v>
      </c>
    </row>
    <row r="185" spans="2:105" x14ac:dyDescent="0.2">
      <c r="B185" s="130">
        <f>BEL!B185</f>
        <v>0</v>
      </c>
      <c r="C185" s="130">
        <f>BEL!C185</f>
        <v>0</v>
      </c>
      <c r="D185" s="190">
        <f>BEL!D185</f>
        <v>0</v>
      </c>
      <c r="E185" s="190">
        <f>BEL!E185</f>
        <v>0</v>
      </c>
      <c r="F185" s="190">
        <f>BEL!F185</f>
        <v>0</v>
      </c>
      <c r="G185" s="190">
        <f>BEL!G185*(1+$V$5)</f>
        <v>0</v>
      </c>
      <c r="H185" s="190">
        <f>BEL!H185*(1+$V$5)</f>
        <v>0</v>
      </c>
      <c r="I185" s="179">
        <f t="shared" si="167"/>
        <v>0</v>
      </c>
      <c r="J185" s="130">
        <f>BEL!J185</f>
        <v>0</v>
      </c>
      <c r="K185" s="130">
        <f>BEL!K185</f>
        <v>0</v>
      </c>
      <c r="L185" s="130">
        <f>BEL!L185</f>
        <v>0</v>
      </c>
      <c r="M185" s="185">
        <f t="shared" si="233"/>
        <v>0</v>
      </c>
      <c r="N185" s="185">
        <f t="shared" si="168"/>
        <v>0</v>
      </c>
      <c r="O185" s="185">
        <f t="shared" si="169"/>
        <v>0</v>
      </c>
      <c r="P185" s="185">
        <f t="shared" si="170"/>
        <v>0</v>
      </c>
      <c r="Q185" s="185">
        <f t="shared" si="171"/>
        <v>0</v>
      </c>
      <c r="R185" s="185">
        <f t="shared" si="172"/>
        <v>0</v>
      </c>
      <c r="S185" s="185">
        <f t="shared" si="173"/>
        <v>0</v>
      </c>
      <c r="T185" s="185">
        <f t="shared" si="174"/>
        <v>0</v>
      </c>
      <c r="U185" s="196">
        <f>(C185&gt;0)*(C185&lt;$E$5)*VLOOKUP(MPP,ASUMSI!$BN$77:$CR$108,B185+1)*(1+$V$4)</f>
        <v>0</v>
      </c>
      <c r="V185" s="185">
        <f t="shared" si="175"/>
        <v>0</v>
      </c>
      <c r="W185" s="185">
        <f t="shared" si="176"/>
        <v>0</v>
      </c>
      <c r="X185" s="185">
        <f t="shared" si="177"/>
        <v>0</v>
      </c>
      <c r="Y185" s="185">
        <f t="shared" si="178"/>
        <v>0</v>
      </c>
      <c r="Z185" s="185">
        <f t="shared" si="179"/>
        <v>0</v>
      </c>
      <c r="AA185" s="197">
        <f t="shared" si="180"/>
        <v>0</v>
      </c>
      <c r="AB185" s="185">
        <f t="shared" si="181"/>
        <v>0</v>
      </c>
      <c r="AC185" s="185">
        <f t="shared" si="182"/>
        <v>0</v>
      </c>
      <c r="AD185" s="185">
        <f t="shared" si="183"/>
        <v>0</v>
      </c>
      <c r="AE185" s="185">
        <f t="shared" si="184"/>
        <v>0</v>
      </c>
      <c r="AF185" s="185">
        <f t="shared" si="185"/>
        <v>0</v>
      </c>
      <c r="AG185" s="185">
        <f t="shared" si="186"/>
        <v>0</v>
      </c>
      <c r="AH185" s="185">
        <f t="shared" si="187"/>
        <v>0</v>
      </c>
      <c r="AI185" s="125">
        <f>BEL!AI185</f>
        <v>0</v>
      </c>
      <c r="AJ185" s="125">
        <f>BEL!AJ185</f>
        <v>0</v>
      </c>
      <c r="AK185" s="125">
        <f>BEL!AK185</f>
        <v>0</v>
      </c>
      <c r="AL185" s="125">
        <f>BEL!AL185</f>
        <v>0</v>
      </c>
      <c r="AM185" s="125">
        <f>BEL!AM185</f>
        <v>0</v>
      </c>
      <c r="AN185" s="125">
        <f>BEL!AN185</f>
        <v>0</v>
      </c>
      <c r="AO185" s="198">
        <f t="shared" si="188"/>
        <v>0</v>
      </c>
      <c r="AP185" s="125">
        <f>BEL!AP185</f>
        <v>0</v>
      </c>
      <c r="AQ185" s="125">
        <f>BEL!AQ185</f>
        <v>0</v>
      </c>
      <c r="AR185" s="125">
        <f>BEL!AR185</f>
        <v>0</v>
      </c>
      <c r="AS185" s="125">
        <f>BEL!AS185</f>
        <v>0</v>
      </c>
      <c r="AT185" s="125">
        <f>BEL!AT185</f>
        <v>0</v>
      </c>
      <c r="AU185" s="127">
        <f>BEL!AU185</f>
        <v>0</v>
      </c>
      <c r="AV185" s="127">
        <f>BEL!AV185</f>
        <v>0</v>
      </c>
      <c r="AW185" s="127">
        <f>BEL!AW185</f>
        <v>0</v>
      </c>
      <c r="AX185" s="127">
        <f t="shared" si="189"/>
        <v>0</v>
      </c>
      <c r="AY185" s="127">
        <f t="shared" si="190"/>
        <v>0</v>
      </c>
      <c r="AZ185" s="127">
        <f t="shared" si="191"/>
        <v>0</v>
      </c>
      <c r="BA185" s="127">
        <f t="shared" si="192"/>
        <v>0</v>
      </c>
      <c r="BB185" s="127">
        <f t="shared" si="193"/>
        <v>0</v>
      </c>
      <c r="BC185" s="127">
        <f t="shared" si="194"/>
        <v>0</v>
      </c>
      <c r="BD185" s="127">
        <f t="shared" si="195"/>
        <v>0</v>
      </c>
      <c r="BE185" s="127">
        <f t="shared" si="196"/>
        <v>0</v>
      </c>
      <c r="BF185" s="127">
        <f t="shared" si="197"/>
        <v>0</v>
      </c>
      <c r="BG185" s="127">
        <f t="shared" si="198"/>
        <v>0</v>
      </c>
      <c r="BH185" s="127">
        <f t="shared" si="199"/>
        <v>0</v>
      </c>
      <c r="BI185" s="127">
        <f t="shared" si="200"/>
        <v>0</v>
      </c>
      <c r="BJ185" s="189">
        <f t="shared" si="201"/>
        <v>0</v>
      </c>
      <c r="BK185" s="189">
        <f t="shared" si="202"/>
        <v>0</v>
      </c>
      <c r="BL185" s="192">
        <f t="shared" si="203"/>
        <v>0</v>
      </c>
      <c r="BM185" s="192">
        <f t="shared" si="204"/>
        <v>0</v>
      </c>
      <c r="BN185" s="192">
        <f t="shared" si="205"/>
        <v>0</v>
      </c>
      <c r="BO185" s="192">
        <f t="shared" si="206"/>
        <v>0</v>
      </c>
      <c r="BP185" s="192">
        <f t="shared" si="207"/>
        <v>0</v>
      </c>
      <c r="BQ185" s="193">
        <f t="shared" si="208"/>
        <v>0</v>
      </c>
      <c r="BR185" s="193">
        <f t="shared" si="209"/>
        <v>0</v>
      </c>
      <c r="BS185" s="188">
        <f t="shared" si="210"/>
        <v>0</v>
      </c>
      <c r="BT185" s="188">
        <f t="shared" si="211"/>
        <v>0</v>
      </c>
      <c r="BU185" s="188">
        <f t="shared" si="212"/>
        <v>0</v>
      </c>
      <c r="BV185" s="188">
        <f t="shared" si="213"/>
        <v>0</v>
      </c>
      <c r="BW185" s="188">
        <f t="shared" si="214"/>
        <v>0</v>
      </c>
      <c r="BX185" s="188">
        <f t="shared" si="215"/>
        <v>0</v>
      </c>
      <c r="BY185" s="188">
        <f t="shared" si="216"/>
        <v>0</v>
      </c>
      <c r="BZ185" s="188">
        <f t="shared" si="217"/>
        <v>0</v>
      </c>
      <c r="CA185" s="188">
        <f t="shared" si="218"/>
        <v>0</v>
      </c>
      <c r="CB185" s="149">
        <f t="shared" si="219"/>
        <v>0</v>
      </c>
      <c r="CC185" s="149">
        <f>CB185-BEL!CB185</f>
        <v>0</v>
      </c>
      <c r="CD185" s="189">
        <f>IF(AND(C185=0,C186=0),0,CB185/W185) - BEL!CC185</f>
        <v>0</v>
      </c>
      <c r="CF185" s="195">
        <f t="shared" si="220"/>
        <v>0</v>
      </c>
      <c r="CG185" s="127">
        <f t="shared" si="221"/>
        <v>0</v>
      </c>
      <c r="CH185" s="128">
        <f>'DATA INPUT - DETAIL'!AH176</f>
        <v>0</v>
      </c>
      <c r="CI185" s="125">
        <f t="shared" si="222"/>
        <v>0</v>
      </c>
      <c r="CJ185" s="199">
        <f t="shared" si="223"/>
        <v>0</v>
      </c>
      <c r="CL185" s="189">
        <f t="shared" si="224"/>
        <v>0</v>
      </c>
      <c r="CM185" s="149">
        <f t="shared" si="225"/>
        <v>0</v>
      </c>
      <c r="CN185" s="128">
        <f>'DATA INPUT - DETAIL'!AH176</f>
        <v>0</v>
      </c>
      <c r="CO185" s="149">
        <f t="shared" si="226"/>
        <v>0</v>
      </c>
      <c r="CP185" s="149">
        <f t="shared" si="227"/>
        <v>0</v>
      </c>
      <c r="CR185" s="126">
        <f t="shared" si="231"/>
        <v>173</v>
      </c>
      <c r="CS185" s="189">
        <f t="shared" si="232"/>
        <v>0</v>
      </c>
      <c r="CT185" s="200">
        <f>CS185/(BEL!CE185+BEL!CA185-BEL!BU185+'RA CSM'!CF185)</f>
        <v>0</v>
      </c>
      <c r="CU185" s="149">
        <f>$CT185*BEL!CH185</f>
        <v>0</v>
      </c>
      <c r="CV185" s="149">
        <f>$CT185*BEL!CI185</f>
        <v>0</v>
      </c>
      <c r="CW185" s="149">
        <f>$CT185*BEL!CJ185</f>
        <v>0</v>
      </c>
      <c r="CX185" s="149">
        <f>$CT185*BEL!CK185</f>
        <v>0</v>
      </c>
      <c r="CY185" s="149">
        <f t="shared" si="229"/>
        <v>0</v>
      </c>
      <c r="CZ185" s="149">
        <f>$CT185*(BEL!CL185+'RA CSM'!CG185)</f>
        <v>0</v>
      </c>
      <c r="DA185" s="149">
        <f t="shared" si="230"/>
        <v>0</v>
      </c>
    </row>
    <row r="186" spans="2:105" x14ac:dyDescent="0.2">
      <c r="B186" s="130">
        <f>BEL!B186</f>
        <v>0</v>
      </c>
      <c r="C186" s="130">
        <f>BEL!C186</f>
        <v>0</v>
      </c>
      <c r="D186" s="190">
        <f>BEL!D186</f>
        <v>0</v>
      </c>
      <c r="E186" s="190">
        <f>BEL!E186</f>
        <v>0</v>
      </c>
      <c r="F186" s="190">
        <f>BEL!F186</f>
        <v>0</v>
      </c>
      <c r="G186" s="190">
        <f>BEL!G186*(1+$V$5)</f>
        <v>0</v>
      </c>
      <c r="H186" s="190">
        <f>BEL!H186*(1+$V$5)</f>
        <v>0</v>
      </c>
      <c r="I186" s="179">
        <f t="shared" si="167"/>
        <v>0</v>
      </c>
      <c r="J186" s="130">
        <f>BEL!J186</f>
        <v>0</v>
      </c>
      <c r="K186" s="130">
        <f>BEL!K186</f>
        <v>0</v>
      </c>
      <c r="L186" s="130">
        <f>BEL!L186</f>
        <v>0</v>
      </c>
      <c r="M186" s="185">
        <f t="shared" si="233"/>
        <v>0</v>
      </c>
      <c r="N186" s="185">
        <f t="shared" si="168"/>
        <v>0</v>
      </c>
      <c r="O186" s="185">
        <f t="shared" si="169"/>
        <v>0</v>
      </c>
      <c r="P186" s="185">
        <f t="shared" si="170"/>
        <v>0</v>
      </c>
      <c r="Q186" s="185">
        <f t="shared" si="171"/>
        <v>0</v>
      </c>
      <c r="R186" s="185">
        <f t="shared" si="172"/>
        <v>0</v>
      </c>
      <c r="S186" s="185">
        <f t="shared" si="173"/>
        <v>0</v>
      </c>
      <c r="T186" s="185">
        <f t="shared" si="174"/>
        <v>0</v>
      </c>
      <c r="U186" s="196">
        <f>(C186&gt;0)*(C186&lt;$E$5)*VLOOKUP(MPP,ASUMSI!$BN$77:$CR$108,B186+1)*(1+$V$4)</f>
        <v>0</v>
      </c>
      <c r="V186" s="185">
        <f t="shared" si="175"/>
        <v>0</v>
      </c>
      <c r="W186" s="185">
        <f t="shared" si="176"/>
        <v>0</v>
      </c>
      <c r="X186" s="185">
        <f t="shared" si="177"/>
        <v>0</v>
      </c>
      <c r="Y186" s="185">
        <f t="shared" si="178"/>
        <v>0</v>
      </c>
      <c r="Z186" s="185">
        <f t="shared" si="179"/>
        <v>0</v>
      </c>
      <c r="AA186" s="197">
        <f t="shared" si="180"/>
        <v>0</v>
      </c>
      <c r="AB186" s="185">
        <f t="shared" si="181"/>
        <v>0</v>
      </c>
      <c r="AC186" s="185">
        <f t="shared" si="182"/>
        <v>0</v>
      </c>
      <c r="AD186" s="185">
        <f t="shared" si="183"/>
        <v>0</v>
      </c>
      <c r="AE186" s="185">
        <f t="shared" si="184"/>
        <v>0</v>
      </c>
      <c r="AF186" s="185">
        <f t="shared" si="185"/>
        <v>0</v>
      </c>
      <c r="AG186" s="185">
        <f t="shared" si="186"/>
        <v>0</v>
      </c>
      <c r="AH186" s="185">
        <f t="shared" si="187"/>
        <v>0</v>
      </c>
      <c r="AI186" s="125">
        <f>BEL!AI186</f>
        <v>0</v>
      </c>
      <c r="AJ186" s="125">
        <f>BEL!AJ186</f>
        <v>0</v>
      </c>
      <c r="AK186" s="125">
        <f>BEL!AK186</f>
        <v>0</v>
      </c>
      <c r="AL186" s="125">
        <f>BEL!AL186</f>
        <v>0</v>
      </c>
      <c r="AM186" s="125">
        <f>BEL!AM186</f>
        <v>0</v>
      </c>
      <c r="AN186" s="125">
        <f>BEL!AN186</f>
        <v>0</v>
      </c>
      <c r="AO186" s="198">
        <f t="shared" si="188"/>
        <v>0</v>
      </c>
      <c r="AP186" s="125">
        <f>BEL!AP186</f>
        <v>0</v>
      </c>
      <c r="AQ186" s="125">
        <f>BEL!AQ186</f>
        <v>0</v>
      </c>
      <c r="AR186" s="125">
        <f>BEL!AR186</f>
        <v>0</v>
      </c>
      <c r="AS186" s="125">
        <f>BEL!AS186</f>
        <v>0</v>
      </c>
      <c r="AT186" s="125">
        <f>BEL!AT186</f>
        <v>0</v>
      </c>
      <c r="AU186" s="127">
        <f>BEL!AU186</f>
        <v>0</v>
      </c>
      <c r="AV186" s="127">
        <f>BEL!AV186</f>
        <v>0</v>
      </c>
      <c r="AW186" s="127">
        <f>BEL!AW186</f>
        <v>0</v>
      </c>
      <c r="AX186" s="127">
        <f t="shared" si="189"/>
        <v>0</v>
      </c>
      <c r="AY186" s="127">
        <f t="shared" si="190"/>
        <v>0</v>
      </c>
      <c r="AZ186" s="127">
        <f t="shared" si="191"/>
        <v>0</v>
      </c>
      <c r="BA186" s="127">
        <f t="shared" si="192"/>
        <v>0</v>
      </c>
      <c r="BB186" s="127">
        <f t="shared" si="193"/>
        <v>0</v>
      </c>
      <c r="BC186" s="127">
        <f t="shared" si="194"/>
        <v>0</v>
      </c>
      <c r="BD186" s="127">
        <f t="shared" si="195"/>
        <v>0</v>
      </c>
      <c r="BE186" s="127">
        <f t="shared" si="196"/>
        <v>0</v>
      </c>
      <c r="BF186" s="127">
        <f t="shared" si="197"/>
        <v>0</v>
      </c>
      <c r="BG186" s="127">
        <f t="shared" si="198"/>
        <v>0</v>
      </c>
      <c r="BH186" s="127">
        <f t="shared" si="199"/>
        <v>0</v>
      </c>
      <c r="BI186" s="127">
        <f t="shared" si="200"/>
        <v>0</v>
      </c>
      <c r="BJ186" s="189">
        <f t="shared" si="201"/>
        <v>0</v>
      </c>
      <c r="BK186" s="189">
        <f t="shared" si="202"/>
        <v>0</v>
      </c>
      <c r="BL186" s="192">
        <f t="shared" si="203"/>
        <v>0</v>
      </c>
      <c r="BM186" s="192">
        <f t="shared" si="204"/>
        <v>0</v>
      </c>
      <c r="BN186" s="192">
        <f t="shared" si="205"/>
        <v>0</v>
      </c>
      <c r="BO186" s="192">
        <f t="shared" si="206"/>
        <v>0</v>
      </c>
      <c r="BP186" s="192">
        <f t="shared" si="207"/>
        <v>0</v>
      </c>
      <c r="BQ186" s="193">
        <f t="shared" si="208"/>
        <v>0</v>
      </c>
      <c r="BR186" s="193">
        <f t="shared" si="209"/>
        <v>0</v>
      </c>
      <c r="BS186" s="188">
        <f t="shared" si="210"/>
        <v>0</v>
      </c>
      <c r="BT186" s="188">
        <f t="shared" si="211"/>
        <v>0</v>
      </c>
      <c r="BU186" s="188">
        <f t="shared" si="212"/>
        <v>0</v>
      </c>
      <c r="BV186" s="188">
        <f t="shared" si="213"/>
        <v>0</v>
      </c>
      <c r="BW186" s="188">
        <f t="shared" si="214"/>
        <v>0</v>
      </c>
      <c r="BX186" s="188">
        <f t="shared" si="215"/>
        <v>0</v>
      </c>
      <c r="BY186" s="188">
        <f t="shared" si="216"/>
        <v>0</v>
      </c>
      <c r="BZ186" s="188">
        <f t="shared" si="217"/>
        <v>0</v>
      </c>
      <c r="CA186" s="188">
        <f t="shared" si="218"/>
        <v>0</v>
      </c>
      <c r="CB186" s="149">
        <f t="shared" si="219"/>
        <v>0</v>
      </c>
      <c r="CC186" s="149">
        <f>CB186-BEL!CB186</f>
        <v>0</v>
      </c>
      <c r="CD186" s="189">
        <f>IF(AND(C186=0,C187=0),0,CB186/W186) - BEL!CC186</f>
        <v>0</v>
      </c>
      <c r="CF186" s="195">
        <f t="shared" si="220"/>
        <v>0</v>
      </c>
      <c r="CG186" s="127">
        <f t="shared" si="221"/>
        <v>0</v>
      </c>
      <c r="CH186" s="128">
        <f>'DATA INPUT - DETAIL'!AH177</f>
        <v>0</v>
      </c>
      <c r="CI186" s="125">
        <f t="shared" si="222"/>
        <v>0</v>
      </c>
      <c r="CJ186" s="199">
        <f t="shared" si="223"/>
        <v>0</v>
      </c>
      <c r="CL186" s="189">
        <f t="shared" si="224"/>
        <v>0</v>
      </c>
      <c r="CM186" s="149">
        <f t="shared" si="225"/>
        <v>0</v>
      </c>
      <c r="CN186" s="128">
        <f>'DATA INPUT - DETAIL'!AH177</f>
        <v>0</v>
      </c>
      <c r="CO186" s="149">
        <f t="shared" si="226"/>
        <v>0</v>
      </c>
      <c r="CP186" s="149">
        <f t="shared" si="227"/>
        <v>0</v>
      </c>
      <c r="CR186" s="126">
        <f t="shared" si="231"/>
        <v>174</v>
      </c>
      <c r="CS186" s="189">
        <f t="shared" si="232"/>
        <v>0</v>
      </c>
      <c r="CT186" s="200">
        <f>CS186/(BEL!CE186+BEL!CA186-BEL!BU186+'RA CSM'!CF186)</f>
        <v>0</v>
      </c>
      <c r="CU186" s="149">
        <f>$CT186*BEL!CH186</f>
        <v>0</v>
      </c>
      <c r="CV186" s="149">
        <f>$CT186*BEL!CI186</f>
        <v>0</v>
      </c>
      <c r="CW186" s="149">
        <f>$CT186*BEL!CJ186</f>
        <v>0</v>
      </c>
      <c r="CX186" s="149">
        <f>$CT186*BEL!CK186</f>
        <v>0</v>
      </c>
      <c r="CY186" s="149">
        <f t="shared" si="229"/>
        <v>0</v>
      </c>
      <c r="CZ186" s="149">
        <f>$CT186*(BEL!CL186+'RA CSM'!CG186)</f>
        <v>0</v>
      </c>
      <c r="DA186" s="149">
        <f t="shared" si="230"/>
        <v>0</v>
      </c>
    </row>
    <row r="187" spans="2:105" x14ac:dyDescent="0.2">
      <c r="B187" s="130">
        <f>BEL!B187</f>
        <v>0</v>
      </c>
      <c r="C187" s="130">
        <f>BEL!C187</f>
        <v>0</v>
      </c>
      <c r="D187" s="190">
        <f>BEL!D187</f>
        <v>0</v>
      </c>
      <c r="E187" s="190">
        <f>BEL!E187</f>
        <v>0</v>
      </c>
      <c r="F187" s="190">
        <f>BEL!F187</f>
        <v>0</v>
      </c>
      <c r="G187" s="190">
        <f>BEL!G187*(1+$V$5)</f>
        <v>0</v>
      </c>
      <c r="H187" s="190">
        <f>BEL!H187*(1+$V$5)</f>
        <v>0</v>
      </c>
      <c r="I187" s="179">
        <f t="shared" si="167"/>
        <v>0</v>
      </c>
      <c r="J187" s="130">
        <f>BEL!J187</f>
        <v>0</v>
      </c>
      <c r="K187" s="130">
        <f>BEL!K187</f>
        <v>0</v>
      </c>
      <c r="L187" s="130">
        <f>BEL!L187</f>
        <v>0</v>
      </c>
      <c r="M187" s="185">
        <f t="shared" si="233"/>
        <v>0</v>
      </c>
      <c r="N187" s="185">
        <f t="shared" si="168"/>
        <v>0</v>
      </c>
      <c r="O187" s="185">
        <f t="shared" si="169"/>
        <v>0</v>
      </c>
      <c r="P187" s="185">
        <f t="shared" si="170"/>
        <v>0</v>
      </c>
      <c r="Q187" s="185">
        <f t="shared" si="171"/>
        <v>0</v>
      </c>
      <c r="R187" s="185">
        <f t="shared" si="172"/>
        <v>0</v>
      </c>
      <c r="S187" s="185">
        <f t="shared" si="173"/>
        <v>0</v>
      </c>
      <c r="T187" s="185">
        <f t="shared" si="174"/>
        <v>0</v>
      </c>
      <c r="U187" s="196">
        <f>(C187&gt;0)*(C187&lt;$E$5)*VLOOKUP(MPP,ASUMSI!$BN$77:$CR$108,B187+1)*(1+$V$4)</f>
        <v>0</v>
      </c>
      <c r="V187" s="185">
        <f t="shared" si="175"/>
        <v>0</v>
      </c>
      <c r="W187" s="185">
        <f t="shared" si="176"/>
        <v>0</v>
      </c>
      <c r="X187" s="185">
        <f t="shared" si="177"/>
        <v>0</v>
      </c>
      <c r="Y187" s="185">
        <f t="shared" si="178"/>
        <v>0</v>
      </c>
      <c r="Z187" s="185">
        <f t="shared" si="179"/>
        <v>0</v>
      </c>
      <c r="AA187" s="197">
        <f t="shared" si="180"/>
        <v>0</v>
      </c>
      <c r="AB187" s="185">
        <f t="shared" si="181"/>
        <v>0</v>
      </c>
      <c r="AC187" s="185">
        <f t="shared" si="182"/>
        <v>0</v>
      </c>
      <c r="AD187" s="185">
        <f t="shared" si="183"/>
        <v>0</v>
      </c>
      <c r="AE187" s="185">
        <f t="shared" si="184"/>
        <v>0</v>
      </c>
      <c r="AF187" s="185">
        <f t="shared" si="185"/>
        <v>0</v>
      </c>
      <c r="AG187" s="185">
        <f t="shared" si="186"/>
        <v>0</v>
      </c>
      <c r="AH187" s="185">
        <f t="shared" si="187"/>
        <v>0</v>
      </c>
      <c r="AI187" s="125">
        <f>BEL!AI187</f>
        <v>0</v>
      </c>
      <c r="AJ187" s="125">
        <f>BEL!AJ187</f>
        <v>0</v>
      </c>
      <c r="AK187" s="125">
        <f>BEL!AK187</f>
        <v>0</v>
      </c>
      <c r="AL187" s="125">
        <f>BEL!AL187</f>
        <v>0</v>
      </c>
      <c r="AM187" s="125">
        <f>BEL!AM187</f>
        <v>0</v>
      </c>
      <c r="AN187" s="125">
        <f>BEL!AN187</f>
        <v>0</v>
      </c>
      <c r="AO187" s="198">
        <f t="shared" si="188"/>
        <v>0</v>
      </c>
      <c r="AP187" s="125">
        <f>BEL!AP187</f>
        <v>0</v>
      </c>
      <c r="AQ187" s="125">
        <f>BEL!AQ187</f>
        <v>0</v>
      </c>
      <c r="AR187" s="125">
        <f>BEL!AR187</f>
        <v>0</v>
      </c>
      <c r="AS187" s="125">
        <f>BEL!AS187</f>
        <v>0</v>
      </c>
      <c r="AT187" s="125">
        <f>BEL!AT187</f>
        <v>0</v>
      </c>
      <c r="AU187" s="127">
        <f>BEL!AU187</f>
        <v>0</v>
      </c>
      <c r="AV187" s="127">
        <f>BEL!AV187</f>
        <v>0</v>
      </c>
      <c r="AW187" s="127">
        <f>BEL!AW187</f>
        <v>0</v>
      </c>
      <c r="AX187" s="127">
        <f t="shared" si="189"/>
        <v>0</v>
      </c>
      <c r="AY187" s="127">
        <f t="shared" si="190"/>
        <v>0</v>
      </c>
      <c r="AZ187" s="127">
        <f t="shared" si="191"/>
        <v>0</v>
      </c>
      <c r="BA187" s="127">
        <f t="shared" si="192"/>
        <v>0</v>
      </c>
      <c r="BB187" s="127">
        <f t="shared" si="193"/>
        <v>0</v>
      </c>
      <c r="BC187" s="127">
        <f t="shared" si="194"/>
        <v>0</v>
      </c>
      <c r="BD187" s="127">
        <f t="shared" si="195"/>
        <v>0</v>
      </c>
      <c r="BE187" s="127">
        <f t="shared" si="196"/>
        <v>0</v>
      </c>
      <c r="BF187" s="127">
        <f t="shared" si="197"/>
        <v>0</v>
      </c>
      <c r="BG187" s="127">
        <f t="shared" si="198"/>
        <v>0</v>
      </c>
      <c r="BH187" s="127">
        <f t="shared" si="199"/>
        <v>0</v>
      </c>
      <c r="BI187" s="127">
        <f t="shared" si="200"/>
        <v>0</v>
      </c>
      <c r="BJ187" s="189">
        <f t="shared" si="201"/>
        <v>0</v>
      </c>
      <c r="BK187" s="189">
        <f t="shared" si="202"/>
        <v>0</v>
      </c>
      <c r="BL187" s="192">
        <f t="shared" si="203"/>
        <v>0</v>
      </c>
      <c r="BM187" s="192">
        <f t="shared" si="204"/>
        <v>0</v>
      </c>
      <c r="BN187" s="192">
        <f t="shared" si="205"/>
        <v>0</v>
      </c>
      <c r="BO187" s="192">
        <f t="shared" si="206"/>
        <v>0</v>
      </c>
      <c r="BP187" s="192">
        <f t="shared" si="207"/>
        <v>0</v>
      </c>
      <c r="BQ187" s="193">
        <f t="shared" si="208"/>
        <v>0</v>
      </c>
      <c r="BR187" s="193">
        <f t="shared" si="209"/>
        <v>0</v>
      </c>
      <c r="BS187" s="188">
        <f t="shared" si="210"/>
        <v>0</v>
      </c>
      <c r="BT187" s="188">
        <f t="shared" si="211"/>
        <v>0</v>
      </c>
      <c r="BU187" s="188">
        <f t="shared" si="212"/>
        <v>0</v>
      </c>
      <c r="BV187" s="188">
        <f t="shared" si="213"/>
        <v>0</v>
      </c>
      <c r="BW187" s="188">
        <f t="shared" si="214"/>
        <v>0</v>
      </c>
      <c r="BX187" s="188">
        <f t="shared" si="215"/>
        <v>0</v>
      </c>
      <c r="BY187" s="188">
        <f t="shared" si="216"/>
        <v>0</v>
      </c>
      <c r="BZ187" s="188">
        <f t="shared" si="217"/>
        <v>0</v>
      </c>
      <c r="CA187" s="188">
        <f t="shared" si="218"/>
        <v>0</v>
      </c>
      <c r="CB187" s="149">
        <f t="shared" si="219"/>
        <v>0</v>
      </c>
      <c r="CC187" s="149">
        <f>CB187-BEL!CB187</f>
        <v>0</v>
      </c>
      <c r="CD187" s="189">
        <f>IF(AND(C187=0,C188=0),0,CB187/W187) - BEL!CC187</f>
        <v>0</v>
      </c>
      <c r="CF187" s="195">
        <f t="shared" si="220"/>
        <v>0</v>
      </c>
      <c r="CG187" s="127">
        <f t="shared" si="221"/>
        <v>0</v>
      </c>
      <c r="CH187" s="128">
        <f>'DATA INPUT - DETAIL'!AH178</f>
        <v>0</v>
      </c>
      <c r="CI187" s="125">
        <f t="shared" si="222"/>
        <v>0</v>
      </c>
      <c r="CJ187" s="199">
        <f t="shared" si="223"/>
        <v>0</v>
      </c>
      <c r="CL187" s="189">
        <f t="shared" si="224"/>
        <v>0</v>
      </c>
      <c r="CM187" s="149">
        <f t="shared" si="225"/>
        <v>0</v>
      </c>
      <c r="CN187" s="128">
        <f>'DATA INPUT - DETAIL'!AH178</f>
        <v>0</v>
      </c>
      <c r="CO187" s="149">
        <f t="shared" si="226"/>
        <v>0</v>
      </c>
      <c r="CP187" s="149">
        <f t="shared" si="227"/>
        <v>0</v>
      </c>
      <c r="CR187" s="126">
        <f t="shared" si="231"/>
        <v>175</v>
      </c>
      <c r="CS187" s="189">
        <f t="shared" si="232"/>
        <v>0</v>
      </c>
      <c r="CT187" s="200">
        <f>CS187/(BEL!CE187+BEL!CA187-BEL!BU187+'RA CSM'!CF187)</f>
        <v>0</v>
      </c>
      <c r="CU187" s="149">
        <f>$CT187*BEL!CH187</f>
        <v>0</v>
      </c>
      <c r="CV187" s="149">
        <f>$CT187*BEL!CI187</f>
        <v>0</v>
      </c>
      <c r="CW187" s="149">
        <f>$CT187*BEL!CJ187</f>
        <v>0</v>
      </c>
      <c r="CX187" s="149">
        <f>$CT187*BEL!CK187</f>
        <v>0</v>
      </c>
      <c r="CY187" s="149">
        <f t="shared" si="229"/>
        <v>0</v>
      </c>
      <c r="CZ187" s="149">
        <f>$CT187*(BEL!CL187+'RA CSM'!CG187)</f>
        <v>0</v>
      </c>
      <c r="DA187" s="149">
        <f t="shared" si="230"/>
        <v>0</v>
      </c>
    </row>
    <row r="188" spans="2:105" x14ac:dyDescent="0.2">
      <c r="B188" s="130">
        <f>BEL!B188</f>
        <v>0</v>
      </c>
      <c r="C188" s="130">
        <f>BEL!C188</f>
        <v>0</v>
      </c>
      <c r="D188" s="190">
        <f>BEL!D188</f>
        <v>0</v>
      </c>
      <c r="E188" s="190">
        <f>BEL!E188</f>
        <v>0</v>
      </c>
      <c r="F188" s="190">
        <f>BEL!F188</f>
        <v>0</v>
      </c>
      <c r="G188" s="190">
        <f>BEL!G188*(1+$V$5)</f>
        <v>0</v>
      </c>
      <c r="H188" s="190">
        <f>BEL!H188*(1+$V$5)</f>
        <v>0</v>
      </c>
      <c r="I188" s="179">
        <f t="shared" si="167"/>
        <v>0</v>
      </c>
      <c r="J188" s="130">
        <f>BEL!J188</f>
        <v>0</v>
      </c>
      <c r="K188" s="130">
        <f>BEL!K188</f>
        <v>0</v>
      </c>
      <c r="L188" s="130">
        <f>BEL!L188</f>
        <v>0</v>
      </c>
      <c r="M188" s="185">
        <f t="shared" si="233"/>
        <v>0</v>
      </c>
      <c r="N188" s="185">
        <f t="shared" si="168"/>
        <v>0</v>
      </c>
      <c r="O188" s="185">
        <f t="shared" si="169"/>
        <v>0</v>
      </c>
      <c r="P188" s="185">
        <f t="shared" si="170"/>
        <v>0</v>
      </c>
      <c r="Q188" s="185">
        <f t="shared" si="171"/>
        <v>0</v>
      </c>
      <c r="R188" s="185">
        <f t="shared" si="172"/>
        <v>0</v>
      </c>
      <c r="S188" s="185">
        <f t="shared" si="173"/>
        <v>0</v>
      </c>
      <c r="T188" s="185">
        <f t="shared" si="174"/>
        <v>0</v>
      </c>
      <c r="U188" s="196">
        <f>(C188&gt;0)*(C188&lt;$E$5)*VLOOKUP(MPP,ASUMSI!$BN$77:$CR$108,B188+1)*(1+$V$4)</f>
        <v>0</v>
      </c>
      <c r="V188" s="185">
        <f t="shared" si="175"/>
        <v>0</v>
      </c>
      <c r="W188" s="185">
        <f t="shared" si="176"/>
        <v>0</v>
      </c>
      <c r="X188" s="185">
        <f t="shared" si="177"/>
        <v>0</v>
      </c>
      <c r="Y188" s="185">
        <f t="shared" si="178"/>
        <v>0</v>
      </c>
      <c r="Z188" s="185">
        <f t="shared" si="179"/>
        <v>0</v>
      </c>
      <c r="AA188" s="197">
        <f t="shared" si="180"/>
        <v>0</v>
      </c>
      <c r="AB188" s="185">
        <f t="shared" si="181"/>
        <v>0</v>
      </c>
      <c r="AC188" s="185">
        <f t="shared" si="182"/>
        <v>0</v>
      </c>
      <c r="AD188" s="185">
        <f t="shared" si="183"/>
        <v>0</v>
      </c>
      <c r="AE188" s="185">
        <f t="shared" si="184"/>
        <v>0</v>
      </c>
      <c r="AF188" s="185">
        <f t="shared" si="185"/>
        <v>0</v>
      </c>
      <c r="AG188" s="185">
        <f t="shared" si="186"/>
        <v>0</v>
      </c>
      <c r="AH188" s="185">
        <f t="shared" si="187"/>
        <v>0</v>
      </c>
      <c r="AI188" s="125">
        <f>BEL!AI188</f>
        <v>0</v>
      </c>
      <c r="AJ188" s="125">
        <f>BEL!AJ188</f>
        <v>0</v>
      </c>
      <c r="AK188" s="125">
        <f>BEL!AK188</f>
        <v>0</v>
      </c>
      <c r="AL188" s="125">
        <f>BEL!AL188</f>
        <v>0</v>
      </c>
      <c r="AM188" s="125">
        <f>BEL!AM188</f>
        <v>0</v>
      </c>
      <c r="AN188" s="125">
        <f>BEL!AN188</f>
        <v>0</v>
      </c>
      <c r="AO188" s="198">
        <f t="shared" si="188"/>
        <v>0</v>
      </c>
      <c r="AP188" s="125">
        <f>BEL!AP188</f>
        <v>0</v>
      </c>
      <c r="AQ188" s="125">
        <f>BEL!AQ188</f>
        <v>0</v>
      </c>
      <c r="AR188" s="125">
        <f>BEL!AR188</f>
        <v>0</v>
      </c>
      <c r="AS188" s="125">
        <f>BEL!AS188</f>
        <v>0</v>
      </c>
      <c r="AT188" s="125">
        <f>BEL!AT188</f>
        <v>0</v>
      </c>
      <c r="AU188" s="127">
        <f>BEL!AU188</f>
        <v>0</v>
      </c>
      <c r="AV188" s="127">
        <f>BEL!AV188</f>
        <v>0</v>
      </c>
      <c r="AW188" s="127">
        <f>BEL!AW188</f>
        <v>0</v>
      </c>
      <c r="AX188" s="127">
        <f t="shared" si="189"/>
        <v>0</v>
      </c>
      <c r="AY188" s="127">
        <f t="shared" si="190"/>
        <v>0</v>
      </c>
      <c r="AZ188" s="127">
        <f t="shared" si="191"/>
        <v>0</v>
      </c>
      <c r="BA188" s="127">
        <f t="shared" si="192"/>
        <v>0</v>
      </c>
      <c r="BB188" s="127">
        <f t="shared" si="193"/>
        <v>0</v>
      </c>
      <c r="BC188" s="127">
        <f t="shared" si="194"/>
        <v>0</v>
      </c>
      <c r="BD188" s="127">
        <f t="shared" si="195"/>
        <v>0</v>
      </c>
      <c r="BE188" s="127">
        <f t="shared" si="196"/>
        <v>0</v>
      </c>
      <c r="BF188" s="127">
        <f t="shared" si="197"/>
        <v>0</v>
      </c>
      <c r="BG188" s="127">
        <f t="shared" si="198"/>
        <v>0</v>
      </c>
      <c r="BH188" s="127">
        <f t="shared" si="199"/>
        <v>0</v>
      </c>
      <c r="BI188" s="127">
        <f t="shared" si="200"/>
        <v>0</v>
      </c>
      <c r="BJ188" s="189">
        <f t="shared" si="201"/>
        <v>0</v>
      </c>
      <c r="BK188" s="189">
        <f t="shared" si="202"/>
        <v>0</v>
      </c>
      <c r="BL188" s="192">
        <f t="shared" si="203"/>
        <v>0</v>
      </c>
      <c r="BM188" s="192">
        <f t="shared" si="204"/>
        <v>0</v>
      </c>
      <c r="BN188" s="192">
        <f t="shared" si="205"/>
        <v>0</v>
      </c>
      <c r="BO188" s="192">
        <f t="shared" si="206"/>
        <v>0</v>
      </c>
      <c r="BP188" s="192">
        <f t="shared" si="207"/>
        <v>0</v>
      </c>
      <c r="BQ188" s="193">
        <f t="shared" si="208"/>
        <v>0</v>
      </c>
      <c r="BR188" s="193">
        <f t="shared" si="209"/>
        <v>0</v>
      </c>
      <c r="BS188" s="188">
        <f t="shared" si="210"/>
        <v>0</v>
      </c>
      <c r="BT188" s="188">
        <f t="shared" si="211"/>
        <v>0</v>
      </c>
      <c r="BU188" s="188">
        <f t="shared" si="212"/>
        <v>0</v>
      </c>
      <c r="BV188" s="188">
        <f t="shared" si="213"/>
        <v>0</v>
      </c>
      <c r="BW188" s="188">
        <f t="shared" si="214"/>
        <v>0</v>
      </c>
      <c r="BX188" s="188">
        <f t="shared" si="215"/>
        <v>0</v>
      </c>
      <c r="BY188" s="188">
        <f t="shared" si="216"/>
        <v>0</v>
      </c>
      <c r="BZ188" s="188">
        <f t="shared" si="217"/>
        <v>0</v>
      </c>
      <c r="CA188" s="188">
        <f t="shared" si="218"/>
        <v>0</v>
      </c>
      <c r="CB188" s="149">
        <f t="shared" si="219"/>
        <v>0</v>
      </c>
      <c r="CC188" s="149">
        <f>CB188-BEL!CB188</f>
        <v>0</v>
      </c>
      <c r="CD188" s="189">
        <f>IF(AND(C188=0,C189=0),0,CB188/W188) - BEL!CC188</f>
        <v>0</v>
      </c>
      <c r="CF188" s="195">
        <f t="shared" si="220"/>
        <v>0</v>
      </c>
      <c r="CG188" s="127">
        <f t="shared" si="221"/>
        <v>0</v>
      </c>
      <c r="CH188" s="128">
        <f>'DATA INPUT - DETAIL'!AH179</f>
        <v>0</v>
      </c>
      <c r="CI188" s="125">
        <f t="shared" si="222"/>
        <v>0</v>
      </c>
      <c r="CJ188" s="199">
        <f t="shared" si="223"/>
        <v>0</v>
      </c>
      <c r="CL188" s="189">
        <f t="shared" si="224"/>
        <v>0</v>
      </c>
      <c r="CM188" s="149">
        <f t="shared" si="225"/>
        <v>0</v>
      </c>
      <c r="CN188" s="128">
        <f>'DATA INPUT - DETAIL'!AH179</f>
        <v>0</v>
      </c>
      <c r="CO188" s="149">
        <f t="shared" si="226"/>
        <v>0</v>
      </c>
      <c r="CP188" s="149">
        <f t="shared" si="227"/>
        <v>0</v>
      </c>
      <c r="CR188" s="126">
        <f t="shared" si="231"/>
        <v>176</v>
      </c>
      <c r="CS188" s="189">
        <f t="shared" si="232"/>
        <v>0</v>
      </c>
      <c r="CT188" s="200">
        <f>CS188/(BEL!CE188+BEL!CA188-BEL!BU188+'RA CSM'!CF188)</f>
        <v>0</v>
      </c>
      <c r="CU188" s="149">
        <f>$CT188*BEL!CH188</f>
        <v>0</v>
      </c>
      <c r="CV188" s="149">
        <f>$CT188*BEL!CI188</f>
        <v>0</v>
      </c>
      <c r="CW188" s="149">
        <f>$CT188*BEL!CJ188</f>
        <v>0</v>
      </c>
      <c r="CX188" s="149">
        <f>$CT188*BEL!CK188</f>
        <v>0</v>
      </c>
      <c r="CY188" s="149">
        <f t="shared" si="229"/>
        <v>0</v>
      </c>
      <c r="CZ188" s="149">
        <f>$CT188*(BEL!CL188+'RA CSM'!CG188)</f>
        <v>0</v>
      </c>
      <c r="DA188" s="149">
        <f t="shared" si="230"/>
        <v>0</v>
      </c>
    </row>
    <row r="189" spans="2:105" x14ac:dyDescent="0.2">
      <c r="B189" s="130">
        <f>BEL!B189</f>
        <v>0</v>
      </c>
      <c r="C189" s="130">
        <f>BEL!C189</f>
        <v>0</v>
      </c>
      <c r="D189" s="190">
        <f>BEL!D189</f>
        <v>0</v>
      </c>
      <c r="E189" s="190">
        <f>BEL!E189</f>
        <v>0</v>
      </c>
      <c r="F189" s="190">
        <f>BEL!F189</f>
        <v>0</v>
      </c>
      <c r="G189" s="190">
        <f>BEL!G189*(1+$V$5)</f>
        <v>0</v>
      </c>
      <c r="H189" s="190">
        <f>BEL!H189*(1+$V$5)</f>
        <v>0</v>
      </c>
      <c r="I189" s="179">
        <f t="shared" si="167"/>
        <v>0</v>
      </c>
      <c r="J189" s="130">
        <f>BEL!J189</f>
        <v>0</v>
      </c>
      <c r="K189" s="130">
        <f>BEL!K189</f>
        <v>0</v>
      </c>
      <c r="L189" s="130">
        <f>BEL!L189</f>
        <v>0</v>
      </c>
      <c r="M189" s="185">
        <f t="shared" si="233"/>
        <v>0</v>
      </c>
      <c r="N189" s="185">
        <f t="shared" si="168"/>
        <v>0</v>
      </c>
      <c r="O189" s="185">
        <f t="shared" si="169"/>
        <v>0</v>
      </c>
      <c r="P189" s="185">
        <f t="shared" si="170"/>
        <v>0</v>
      </c>
      <c r="Q189" s="185">
        <f t="shared" si="171"/>
        <v>0</v>
      </c>
      <c r="R189" s="185">
        <f t="shared" si="172"/>
        <v>0</v>
      </c>
      <c r="S189" s="185">
        <f t="shared" si="173"/>
        <v>0</v>
      </c>
      <c r="T189" s="185">
        <f t="shared" si="174"/>
        <v>0</v>
      </c>
      <c r="U189" s="196">
        <f>(C189&gt;0)*(C189&lt;$E$5)*VLOOKUP(MPP,ASUMSI!$BN$77:$CR$108,B189+1)*(1+$V$4)</f>
        <v>0</v>
      </c>
      <c r="V189" s="185">
        <f t="shared" si="175"/>
        <v>0</v>
      </c>
      <c r="W189" s="185">
        <f t="shared" si="176"/>
        <v>0</v>
      </c>
      <c r="X189" s="185">
        <f t="shared" si="177"/>
        <v>0</v>
      </c>
      <c r="Y189" s="185">
        <f t="shared" si="178"/>
        <v>0</v>
      </c>
      <c r="Z189" s="185">
        <f t="shared" si="179"/>
        <v>0</v>
      </c>
      <c r="AA189" s="197">
        <f t="shared" si="180"/>
        <v>0</v>
      </c>
      <c r="AB189" s="185">
        <f t="shared" si="181"/>
        <v>0</v>
      </c>
      <c r="AC189" s="185">
        <f t="shared" si="182"/>
        <v>0</v>
      </c>
      <c r="AD189" s="185">
        <f t="shared" si="183"/>
        <v>0</v>
      </c>
      <c r="AE189" s="185">
        <f t="shared" si="184"/>
        <v>0</v>
      </c>
      <c r="AF189" s="185">
        <f t="shared" si="185"/>
        <v>0</v>
      </c>
      <c r="AG189" s="185">
        <f t="shared" si="186"/>
        <v>0</v>
      </c>
      <c r="AH189" s="185">
        <f t="shared" si="187"/>
        <v>0</v>
      </c>
      <c r="AI189" s="125">
        <f>BEL!AI189</f>
        <v>0</v>
      </c>
      <c r="AJ189" s="125">
        <f>BEL!AJ189</f>
        <v>0</v>
      </c>
      <c r="AK189" s="125">
        <f>BEL!AK189</f>
        <v>0</v>
      </c>
      <c r="AL189" s="125">
        <f>BEL!AL189</f>
        <v>0</v>
      </c>
      <c r="AM189" s="125">
        <f>BEL!AM189</f>
        <v>0</v>
      </c>
      <c r="AN189" s="125">
        <f>BEL!AN189</f>
        <v>0</v>
      </c>
      <c r="AO189" s="198">
        <f t="shared" si="188"/>
        <v>0</v>
      </c>
      <c r="AP189" s="125">
        <f>BEL!AP189</f>
        <v>0</v>
      </c>
      <c r="AQ189" s="125">
        <f>BEL!AQ189</f>
        <v>0</v>
      </c>
      <c r="AR189" s="125">
        <f>BEL!AR189</f>
        <v>0</v>
      </c>
      <c r="AS189" s="125">
        <f>BEL!AS189</f>
        <v>0</v>
      </c>
      <c r="AT189" s="125">
        <f>BEL!AT189</f>
        <v>0</v>
      </c>
      <c r="AU189" s="127">
        <f>BEL!AU189</f>
        <v>0</v>
      </c>
      <c r="AV189" s="127">
        <f>BEL!AV189</f>
        <v>0</v>
      </c>
      <c r="AW189" s="127">
        <f>BEL!AW189</f>
        <v>0</v>
      </c>
      <c r="AX189" s="127">
        <f t="shared" si="189"/>
        <v>0</v>
      </c>
      <c r="AY189" s="127">
        <f t="shared" si="190"/>
        <v>0</v>
      </c>
      <c r="AZ189" s="127">
        <f t="shared" si="191"/>
        <v>0</v>
      </c>
      <c r="BA189" s="127">
        <f t="shared" si="192"/>
        <v>0</v>
      </c>
      <c r="BB189" s="127">
        <f t="shared" si="193"/>
        <v>0</v>
      </c>
      <c r="BC189" s="127">
        <f t="shared" si="194"/>
        <v>0</v>
      </c>
      <c r="BD189" s="127">
        <f t="shared" si="195"/>
        <v>0</v>
      </c>
      <c r="BE189" s="127">
        <f t="shared" si="196"/>
        <v>0</v>
      </c>
      <c r="BF189" s="127">
        <f t="shared" si="197"/>
        <v>0</v>
      </c>
      <c r="BG189" s="127">
        <f t="shared" si="198"/>
        <v>0</v>
      </c>
      <c r="BH189" s="127">
        <f t="shared" si="199"/>
        <v>0</v>
      </c>
      <c r="BI189" s="127">
        <f t="shared" si="200"/>
        <v>0</v>
      </c>
      <c r="BJ189" s="189">
        <f t="shared" si="201"/>
        <v>0</v>
      </c>
      <c r="BK189" s="189">
        <f t="shared" si="202"/>
        <v>0</v>
      </c>
      <c r="BL189" s="192">
        <f t="shared" si="203"/>
        <v>0</v>
      </c>
      <c r="BM189" s="192">
        <f t="shared" si="204"/>
        <v>0</v>
      </c>
      <c r="BN189" s="192">
        <f t="shared" si="205"/>
        <v>0</v>
      </c>
      <c r="BO189" s="192">
        <f t="shared" si="206"/>
        <v>0</v>
      </c>
      <c r="BP189" s="192">
        <f t="shared" si="207"/>
        <v>0</v>
      </c>
      <c r="BQ189" s="193">
        <f t="shared" si="208"/>
        <v>0</v>
      </c>
      <c r="BR189" s="193">
        <f t="shared" si="209"/>
        <v>0</v>
      </c>
      <c r="BS189" s="188">
        <f t="shared" si="210"/>
        <v>0</v>
      </c>
      <c r="BT189" s="188">
        <f t="shared" si="211"/>
        <v>0</v>
      </c>
      <c r="BU189" s="188">
        <f t="shared" si="212"/>
        <v>0</v>
      </c>
      <c r="BV189" s="188">
        <f t="shared" si="213"/>
        <v>0</v>
      </c>
      <c r="BW189" s="188">
        <f t="shared" si="214"/>
        <v>0</v>
      </c>
      <c r="BX189" s="188">
        <f t="shared" si="215"/>
        <v>0</v>
      </c>
      <c r="BY189" s="188">
        <f t="shared" si="216"/>
        <v>0</v>
      </c>
      <c r="BZ189" s="188">
        <f t="shared" si="217"/>
        <v>0</v>
      </c>
      <c r="CA189" s="188">
        <f t="shared" si="218"/>
        <v>0</v>
      </c>
      <c r="CB189" s="149">
        <f t="shared" si="219"/>
        <v>0</v>
      </c>
      <c r="CC189" s="149">
        <f>CB189-BEL!CB189</f>
        <v>0</v>
      </c>
      <c r="CD189" s="189">
        <f>IF(AND(C189=0,C190=0),0,CB189/W189) - BEL!CC189</f>
        <v>0</v>
      </c>
      <c r="CF189" s="195">
        <f t="shared" si="220"/>
        <v>0</v>
      </c>
      <c r="CG189" s="127">
        <f t="shared" si="221"/>
        <v>0</v>
      </c>
      <c r="CH189" s="128">
        <f>'DATA INPUT - DETAIL'!AH180</f>
        <v>0</v>
      </c>
      <c r="CI189" s="125">
        <f t="shared" si="222"/>
        <v>0</v>
      </c>
      <c r="CJ189" s="199">
        <f t="shared" si="223"/>
        <v>0</v>
      </c>
      <c r="CL189" s="189">
        <f t="shared" si="224"/>
        <v>0</v>
      </c>
      <c r="CM189" s="149">
        <f t="shared" si="225"/>
        <v>0</v>
      </c>
      <c r="CN189" s="128">
        <f>'DATA INPUT - DETAIL'!AH180</f>
        <v>0</v>
      </c>
      <c r="CO189" s="149">
        <f t="shared" si="226"/>
        <v>0</v>
      </c>
      <c r="CP189" s="149">
        <f t="shared" si="227"/>
        <v>0</v>
      </c>
      <c r="CR189" s="126">
        <f t="shared" si="231"/>
        <v>177</v>
      </c>
      <c r="CS189" s="189">
        <f t="shared" si="232"/>
        <v>0</v>
      </c>
      <c r="CT189" s="200">
        <f>CS189/(BEL!CE189+BEL!CA189-BEL!BU189+'RA CSM'!CF189)</f>
        <v>0</v>
      </c>
      <c r="CU189" s="149">
        <f>$CT189*BEL!CH189</f>
        <v>0</v>
      </c>
      <c r="CV189" s="149">
        <f>$CT189*BEL!CI189</f>
        <v>0</v>
      </c>
      <c r="CW189" s="149">
        <f>$CT189*BEL!CJ189</f>
        <v>0</v>
      </c>
      <c r="CX189" s="149">
        <f>$CT189*BEL!CK189</f>
        <v>0</v>
      </c>
      <c r="CY189" s="149">
        <f t="shared" si="229"/>
        <v>0</v>
      </c>
      <c r="CZ189" s="149">
        <f>$CT189*(BEL!CL189+'RA CSM'!CG189)</f>
        <v>0</v>
      </c>
      <c r="DA189" s="149">
        <f t="shared" si="230"/>
        <v>0</v>
      </c>
    </row>
    <row r="190" spans="2:105" x14ac:dyDescent="0.2">
      <c r="B190" s="130">
        <f>BEL!B190</f>
        <v>0</v>
      </c>
      <c r="C190" s="130">
        <f>BEL!C190</f>
        <v>0</v>
      </c>
      <c r="D190" s="190">
        <f>BEL!D190</f>
        <v>0</v>
      </c>
      <c r="E190" s="190">
        <f>BEL!E190</f>
        <v>0</v>
      </c>
      <c r="F190" s="190">
        <f>BEL!F190</f>
        <v>0</v>
      </c>
      <c r="G190" s="190">
        <f>BEL!G190*(1+$V$5)</f>
        <v>0</v>
      </c>
      <c r="H190" s="190">
        <f>BEL!H190*(1+$V$5)</f>
        <v>0</v>
      </c>
      <c r="I190" s="179">
        <f t="shared" si="167"/>
        <v>0</v>
      </c>
      <c r="J190" s="130">
        <f>BEL!J190</f>
        <v>0</v>
      </c>
      <c r="K190" s="130">
        <f>BEL!K190</f>
        <v>0</v>
      </c>
      <c r="L190" s="130">
        <f>BEL!L190</f>
        <v>0</v>
      </c>
      <c r="M190" s="185">
        <f t="shared" si="233"/>
        <v>0</v>
      </c>
      <c r="N190" s="185">
        <f t="shared" si="168"/>
        <v>0</v>
      </c>
      <c r="O190" s="185">
        <f t="shared" si="169"/>
        <v>0</v>
      </c>
      <c r="P190" s="185">
        <f t="shared" si="170"/>
        <v>0</v>
      </c>
      <c r="Q190" s="185">
        <f t="shared" si="171"/>
        <v>0</v>
      </c>
      <c r="R190" s="185">
        <f t="shared" si="172"/>
        <v>0</v>
      </c>
      <c r="S190" s="185">
        <f t="shared" si="173"/>
        <v>0</v>
      </c>
      <c r="T190" s="185">
        <f t="shared" si="174"/>
        <v>0</v>
      </c>
      <c r="U190" s="196">
        <f>(C190&gt;0)*(C190&lt;$E$5)*VLOOKUP(MPP,ASUMSI!$BN$77:$CR$108,B190+1)*(1+$V$4)</f>
        <v>0</v>
      </c>
      <c r="V190" s="185">
        <f t="shared" si="175"/>
        <v>0</v>
      </c>
      <c r="W190" s="185">
        <f t="shared" si="176"/>
        <v>0</v>
      </c>
      <c r="X190" s="185">
        <f t="shared" si="177"/>
        <v>0</v>
      </c>
      <c r="Y190" s="185">
        <f t="shared" si="178"/>
        <v>0</v>
      </c>
      <c r="Z190" s="185">
        <f t="shared" si="179"/>
        <v>0</v>
      </c>
      <c r="AA190" s="197">
        <f t="shared" si="180"/>
        <v>0</v>
      </c>
      <c r="AB190" s="185">
        <f t="shared" si="181"/>
        <v>0</v>
      </c>
      <c r="AC190" s="185">
        <f t="shared" si="182"/>
        <v>0</v>
      </c>
      <c r="AD190" s="185">
        <f t="shared" si="183"/>
        <v>0</v>
      </c>
      <c r="AE190" s="185">
        <f t="shared" si="184"/>
        <v>0</v>
      </c>
      <c r="AF190" s="185">
        <f t="shared" si="185"/>
        <v>0</v>
      </c>
      <c r="AG190" s="185">
        <f t="shared" si="186"/>
        <v>0</v>
      </c>
      <c r="AH190" s="185">
        <f t="shared" si="187"/>
        <v>0</v>
      </c>
      <c r="AI190" s="125">
        <f>BEL!AI190</f>
        <v>0</v>
      </c>
      <c r="AJ190" s="125">
        <f>BEL!AJ190</f>
        <v>0</v>
      </c>
      <c r="AK190" s="125">
        <f>BEL!AK190</f>
        <v>0</v>
      </c>
      <c r="AL190" s="125">
        <f>BEL!AL190</f>
        <v>0</v>
      </c>
      <c r="AM190" s="125">
        <f>BEL!AM190</f>
        <v>0</v>
      </c>
      <c r="AN190" s="125">
        <f>BEL!AN190</f>
        <v>0</v>
      </c>
      <c r="AO190" s="198">
        <f t="shared" si="188"/>
        <v>0</v>
      </c>
      <c r="AP190" s="125">
        <f>BEL!AP190</f>
        <v>0</v>
      </c>
      <c r="AQ190" s="125">
        <f>BEL!AQ190</f>
        <v>0</v>
      </c>
      <c r="AR190" s="125">
        <f>BEL!AR190</f>
        <v>0</v>
      </c>
      <c r="AS190" s="125">
        <f>BEL!AS190</f>
        <v>0</v>
      </c>
      <c r="AT190" s="125">
        <f>BEL!AT190</f>
        <v>0</v>
      </c>
      <c r="AU190" s="127">
        <f>BEL!AU190</f>
        <v>0</v>
      </c>
      <c r="AV190" s="127">
        <f>BEL!AV190</f>
        <v>0</v>
      </c>
      <c r="AW190" s="127">
        <f>BEL!AW190</f>
        <v>0</v>
      </c>
      <c r="AX190" s="127">
        <f t="shared" si="189"/>
        <v>0</v>
      </c>
      <c r="AY190" s="127">
        <f t="shared" si="190"/>
        <v>0</v>
      </c>
      <c r="AZ190" s="127">
        <f t="shared" si="191"/>
        <v>0</v>
      </c>
      <c r="BA190" s="127">
        <f t="shared" si="192"/>
        <v>0</v>
      </c>
      <c r="BB190" s="127">
        <f t="shared" si="193"/>
        <v>0</v>
      </c>
      <c r="BC190" s="127">
        <f t="shared" si="194"/>
        <v>0</v>
      </c>
      <c r="BD190" s="127">
        <f t="shared" si="195"/>
        <v>0</v>
      </c>
      <c r="BE190" s="127">
        <f t="shared" si="196"/>
        <v>0</v>
      </c>
      <c r="BF190" s="127">
        <f t="shared" si="197"/>
        <v>0</v>
      </c>
      <c r="BG190" s="127">
        <f t="shared" si="198"/>
        <v>0</v>
      </c>
      <c r="BH190" s="127">
        <f t="shared" si="199"/>
        <v>0</v>
      </c>
      <c r="BI190" s="127">
        <f t="shared" si="200"/>
        <v>0</v>
      </c>
      <c r="BJ190" s="189">
        <f t="shared" si="201"/>
        <v>0</v>
      </c>
      <c r="BK190" s="189">
        <f t="shared" si="202"/>
        <v>0</v>
      </c>
      <c r="BL190" s="192">
        <f t="shared" si="203"/>
        <v>0</v>
      </c>
      <c r="BM190" s="192">
        <f t="shared" si="204"/>
        <v>0</v>
      </c>
      <c r="BN190" s="192">
        <f t="shared" si="205"/>
        <v>0</v>
      </c>
      <c r="BO190" s="192">
        <f t="shared" si="206"/>
        <v>0</v>
      </c>
      <c r="BP190" s="192">
        <f t="shared" si="207"/>
        <v>0</v>
      </c>
      <c r="BQ190" s="193">
        <f t="shared" si="208"/>
        <v>0</v>
      </c>
      <c r="BR190" s="193">
        <f t="shared" si="209"/>
        <v>0</v>
      </c>
      <c r="BS190" s="188">
        <f t="shared" si="210"/>
        <v>0</v>
      </c>
      <c r="BT190" s="188">
        <f t="shared" si="211"/>
        <v>0</v>
      </c>
      <c r="BU190" s="188">
        <f t="shared" si="212"/>
        <v>0</v>
      </c>
      <c r="BV190" s="188">
        <f t="shared" si="213"/>
        <v>0</v>
      </c>
      <c r="BW190" s="188">
        <f t="shared" si="214"/>
        <v>0</v>
      </c>
      <c r="BX190" s="188">
        <f t="shared" si="215"/>
        <v>0</v>
      </c>
      <c r="BY190" s="188">
        <f t="shared" si="216"/>
        <v>0</v>
      </c>
      <c r="BZ190" s="188">
        <f t="shared" si="217"/>
        <v>0</v>
      </c>
      <c r="CA190" s="188">
        <f t="shared" si="218"/>
        <v>0</v>
      </c>
      <c r="CB190" s="149">
        <f t="shared" si="219"/>
        <v>0</v>
      </c>
      <c r="CC190" s="149">
        <f>CB190-BEL!CB190</f>
        <v>0</v>
      </c>
      <c r="CD190" s="189">
        <f>IF(AND(C190=0,C191=0),0,CB190/W190) - BEL!CC190</f>
        <v>0</v>
      </c>
      <c r="CF190" s="195">
        <f t="shared" si="220"/>
        <v>0</v>
      </c>
      <c r="CG190" s="127">
        <f t="shared" si="221"/>
        <v>0</v>
      </c>
      <c r="CH190" s="128">
        <f>'DATA INPUT - DETAIL'!AH181</f>
        <v>0</v>
      </c>
      <c r="CI190" s="125">
        <f t="shared" si="222"/>
        <v>0</v>
      </c>
      <c r="CJ190" s="199">
        <f t="shared" si="223"/>
        <v>0</v>
      </c>
      <c r="CL190" s="189">
        <f t="shared" si="224"/>
        <v>0</v>
      </c>
      <c r="CM190" s="149">
        <f t="shared" si="225"/>
        <v>0</v>
      </c>
      <c r="CN190" s="128">
        <f>'DATA INPUT - DETAIL'!AH181</f>
        <v>0</v>
      </c>
      <c r="CO190" s="149">
        <f t="shared" si="226"/>
        <v>0</v>
      </c>
      <c r="CP190" s="149">
        <f t="shared" si="227"/>
        <v>0</v>
      </c>
      <c r="CR190" s="126">
        <f t="shared" si="231"/>
        <v>178</v>
      </c>
      <c r="CS190" s="189">
        <f t="shared" si="232"/>
        <v>0</v>
      </c>
      <c r="CT190" s="200">
        <f>CS190/(BEL!CE190+BEL!CA190-BEL!BU190+'RA CSM'!CF190)</f>
        <v>0</v>
      </c>
      <c r="CU190" s="149">
        <f>$CT190*BEL!CH190</f>
        <v>0</v>
      </c>
      <c r="CV190" s="149">
        <f>$CT190*BEL!CI190</f>
        <v>0</v>
      </c>
      <c r="CW190" s="149">
        <f>$CT190*BEL!CJ190</f>
        <v>0</v>
      </c>
      <c r="CX190" s="149">
        <f>$CT190*BEL!CK190</f>
        <v>0</v>
      </c>
      <c r="CY190" s="149">
        <f t="shared" si="229"/>
        <v>0</v>
      </c>
      <c r="CZ190" s="149">
        <f>$CT190*(BEL!CL190+'RA CSM'!CG190)</f>
        <v>0</v>
      </c>
      <c r="DA190" s="149">
        <f t="shared" si="230"/>
        <v>0</v>
      </c>
    </row>
    <row r="191" spans="2:105" x14ac:dyDescent="0.2">
      <c r="B191" s="130">
        <f>BEL!B191</f>
        <v>0</v>
      </c>
      <c r="C191" s="130">
        <f>BEL!C191</f>
        <v>0</v>
      </c>
      <c r="D191" s="190">
        <f>BEL!D191</f>
        <v>0</v>
      </c>
      <c r="E191" s="190">
        <f>BEL!E191</f>
        <v>0</v>
      </c>
      <c r="F191" s="190">
        <f>BEL!F191</f>
        <v>0</v>
      </c>
      <c r="G191" s="190">
        <f>BEL!G191*(1+$V$5)</f>
        <v>0</v>
      </c>
      <c r="H191" s="190">
        <f>BEL!H191*(1+$V$5)</f>
        <v>0</v>
      </c>
      <c r="I191" s="179">
        <f t="shared" si="167"/>
        <v>0</v>
      </c>
      <c r="J191" s="130">
        <f>BEL!J191</f>
        <v>0</v>
      </c>
      <c r="K191" s="130">
        <f>BEL!K191</f>
        <v>0</v>
      </c>
      <c r="L191" s="130">
        <f>BEL!L191</f>
        <v>0</v>
      </c>
      <c r="M191" s="185">
        <f t="shared" si="233"/>
        <v>0</v>
      </c>
      <c r="N191" s="185">
        <f t="shared" si="168"/>
        <v>0</v>
      </c>
      <c r="O191" s="185">
        <f t="shared" si="169"/>
        <v>0</v>
      </c>
      <c r="P191" s="185">
        <f t="shared" si="170"/>
        <v>0</v>
      </c>
      <c r="Q191" s="185">
        <f t="shared" si="171"/>
        <v>0</v>
      </c>
      <c r="R191" s="185">
        <f t="shared" si="172"/>
        <v>0</v>
      </c>
      <c r="S191" s="185">
        <f t="shared" si="173"/>
        <v>0</v>
      </c>
      <c r="T191" s="185">
        <f t="shared" si="174"/>
        <v>0</v>
      </c>
      <c r="U191" s="196">
        <f>(C191&gt;0)*(C191&lt;$E$5)*VLOOKUP(MPP,ASUMSI!$BN$77:$CR$108,B191+1)*(1+$V$4)</f>
        <v>0</v>
      </c>
      <c r="V191" s="185">
        <f t="shared" si="175"/>
        <v>0</v>
      </c>
      <c r="W191" s="185">
        <f t="shared" si="176"/>
        <v>0</v>
      </c>
      <c r="X191" s="185">
        <f t="shared" si="177"/>
        <v>0</v>
      </c>
      <c r="Y191" s="185">
        <f t="shared" si="178"/>
        <v>0</v>
      </c>
      <c r="Z191" s="185">
        <f t="shared" si="179"/>
        <v>0</v>
      </c>
      <c r="AA191" s="197">
        <f t="shared" si="180"/>
        <v>0</v>
      </c>
      <c r="AB191" s="185">
        <f t="shared" si="181"/>
        <v>0</v>
      </c>
      <c r="AC191" s="185">
        <f t="shared" si="182"/>
        <v>0</v>
      </c>
      <c r="AD191" s="185">
        <f t="shared" si="183"/>
        <v>0</v>
      </c>
      <c r="AE191" s="185">
        <f t="shared" si="184"/>
        <v>0</v>
      </c>
      <c r="AF191" s="185">
        <f t="shared" si="185"/>
        <v>0</v>
      </c>
      <c r="AG191" s="185">
        <f t="shared" si="186"/>
        <v>0</v>
      </c>
      <c r="AH191" s="185">
        <f t="shared" si="187"/>
        <v>0</v>
      </c>
      <c r="AI191" s="125">
        <f>BEL!AI191</f>
        <v>0</v>
      </c>
      <c r="AJ191" s="125">
        <f>BEL!AJ191</f>
        <v>0</v>
      </c>
      <c r="AK191" s="125">
        <f>BEL!AK191</f>
        <v>0</v>
      </c>
      <c r="AL191" s="125">
        <f>BEL!AL191</f>
        <v>0</v>
      </c>
      <c r="AM191" s="125">
        <f>BEL!AM191</f>
        <v>0</v>
      </c>
      <c r="AN191" s="125">
        <f>BEL!AN191</f>
        <v>0</v>
      </c>
      <c r="AO191" s="198">
        <f t="shared" si="188"/>
        <v>0</v>
      </c>
      <c r="AP191" s="125">
        <f>BEL!AP191</f>
        <v>0</v>
      </c>
      <c r="AQ191" s="125">
        <f>BEL!AQ191</f>
        <v>0</v>
      </c>
      <c r="AR191" s="125">
        <f>BEL!AR191</f>
        <v>0</v>
      </c>
      <c r="AS191" s="125">
        <f>BEL!AS191</f>
        <v>0</v>
      </c>
      <c r="AT191" s="125">
        <f>BEL!AT191</f>
        <v>0</v>
      </c>
      <c r="AU191" s="127">
        <f>BEL!AU191</f>
        <v>0</v>
      </c>
      <c r="AV191" s="127">
        <f>BEL!AV191</f>
        <v>0</v>
      </c>
      <c r="AW191" s="127">
        <f>BEL!AW191</f>
        <v>0</v>
      </c>
      <c r="AX191" s="127">
        <f t="shared" si="189"/>
        <v>0</v>
      </c>
      <c r="AY191" s="127">
        <f t="shared" si="190"/>
        <v>0</v>
      </c>
      <c r="AZ191" s="127">
        <f t="shared" si="191"/>
        <v>0</v>
      </c>
      <c r="BA191" s="127">
        <f t="shared" si="192"/>
        <v>0</v>
      </c>
      <c r="BB191" s="127">
        <f t="shared" si="193"/>
        <v>0</v>
      </c>
      <c r="BC191" s="127">
        <f t="shared" si="194"/>
        <v>0</v>
      </c>
      <c r="BD191" s="127">
        <f t="shared" si="195"/>
        <v>0</v>
      </c>
      <c r="BE191" s="127">
        <f t="shared" si="196"/>
        <v>0</v>
      </c>
      <c r="BF191" s="127">
        <f t="shared" si="197"/>
        <v>0</v>
      </c>
      <c r="BG191" s="127">
        <f t="shared" si="198"/>
        <v>0</v>
      </c>
      <c r="BH191" s="127">
        <f t="shared" si="199"/>
        <v>0</v>
      </c>
      <c r="BI191" s="127">
        <f t="shared" si="200"/>
        <v>0</v>
      </c>
      <c r="BJ191" s="189">
        <f t="shared" si="201"/>
        <v>0</v>
      </c>
      <c r="BK191" s="189">
        <f t="shared" si="202"/>
        <v>0</v>
      </c>
      <c r="BL191" s="192">
        <f t="shared" si="203"/>
        <v>0</v>
      </c>
      <c r="BM191" s="192">
        <f t="shared" si="204"/>
        <v>0</v>
      </c>
      <c r="BN191" s="192">
        <f t="shared" si="205"/>
        <v>0</v>
      </c>
      <c r="BO191" s="192">
        <f t="shared" si="206"/>
        <v>0</v>
      </c>
      <c r="BP191" s="192">
        <f t="shared" si="207"/>
        <v>0</v>
      </c>
      <c r="BQ191" s="193">
        <f t="shared" si="208"/>
        <v>0</v>
      </c>
      <c r="BR191" s="193">
        <f t="shared" si="209"/>
        <v>0</v>
      </c>
      <c r="BS191" s="188">
        <f t="shared" si="210"/>
        <v>0</v>
      </c>
      <c r="BT191" s="188">
        <f t="shared" si="211"/>
        <v>0</v>
      </c>
      <c r="BU191" s="188">
        <f t="shared" si="212"/>
        <v>0</v>
      </c>
      <c r="BV191" s="188">
        <f t="shared" si="213"/>
        <v>0</v>
      </c>
      <c r="BW191" s="188">
        <f t="shared" si="214"/>
        <v>0</v>
      </c>
      <c r="BX191" s="188">
        <f t="shared" si="215"/>
        <v>0</v>
      </c>
      <c r="BY191" s="188">
        <f t="shared" si="216"/>
        <v>0</v>
      </c>
      <c r="BZ191" s="188">
        <f t="shared" si="217"/>
        <v>0</v>
      </c>
      <c r="CA191" s="188">
        <f t="shared" si="218"/>
        <v>0</v>
      </c>
      <c r="CB191" s="149">
        <f t="shared" si="219"/>
        <v>0</v>
      </c>
      <c r="CC191" s="149">
        <f>CB191-BEL!CB191</f>
        <v>0</v>
      </c>
      <c r="CD191" s="189">
        <f>IF(AND(C191=0,C192=0),0,CB191/W191) - BEL!CC191</f>
        <v>0</v>
      </c>
      <c r="CF191" s="195">
        <f t="shared" si="220"/>
        <v>0</v>
      </c>
      <c r="CG191" s="127">
        <f t="shared" si="221"/>
        <v>0</v>
      </c>
      <c r="CH191" s="128">
        <f>'DATA INPUT - DETAIL'!AH182</f>
        <v>0</v>
      </c>
      <c r="CI191" s="125">
        <f t="shared" si="222"/>
        <v>0</v>
      </c>
      <c r="CJ191" s="199">
        <f t="shared" si="223"/>
        <v>0</v>
      </c>
      <c r="CL191" s="189">
        <f t="shared" si="224"/>
        <v>0</v>
      </c>
      <c r="CM191" s="149">
        <f t="shared" si="225"/>
        <v>0</v>
      </c>
      <c r="CN191" s="128">
        <f>'DATA INPUT - DETAIL'!AH182</f>
        <v>0</v>
      </c>
      <c r="CO191" s="149">
        <f t="shared" si="226"/>
        <v>0</v>
      </c>
      <c r="CP191" s="149">
        <f t="shared" si="227"/>
        <v>0</v>
      </c>
      <c r="CR191" s="126">
        <f t="shared" si="231"/>
        <v>179</v>
      </c>
      <c r="CS191" s="189">
        <f t="shared" si="232"/>
        <v>0</v>
      </c>
      <c r="CT191" s="200">
        <f>CS191/(BEL!CE191+BEL!CA191-BEL!BU191+'RA CSM'!CF191)</f>
        <v>0</v>
      </c>
      <c r="CU191" s="149">
        <f>$CT191*BEL!CH191</f>
        <v>0</v>
      </c>
      <c r="CV191" s="149">
        <f>$CT191*BEL!CI191</f>
        <v>0</v>
      </c>
      <c r="CW191" s="149">
        <f>$CT191*BEL!CJ191</f>
        <v>0</v>
      </c>
      <c r="CX191" s="149">
        <f>$CT191*BEL!CK191</f>
        <v>0</v>
      </c>
      <c r="CY191" s="149">
        <f t="shared" si="229"/>
        <v>0</v>
      </c>
      <c r="CZ191" s="149">
        <f>$CT191*(BEL!CL191+'RA CSM'!CG191)</f>
        <v>0</v>
      </c>
      <c r="DA191" s="149">
        <f t="shared" si="230"/>
        <v>0</v>
      </c>
    </row>
    <row r="192" spans="2:105" x14ac:dyDescent="0.2">
      <c r="B192" s="130">
        <f>BEL!B192</f>
        <v>0</v>
      </c>
      <c r="C192" s="130">
        <f>BEL!C192</f>
        <v>0</v>
      </c>
      <c r="D192" s="190">
        <f>BEL!D192</f>
        <v>0</v>
      </c>
      <c r="E192" s="190">
        <f>BEL!E192</f>
        <v>0</v>
      </c>
      <c r="F192" s="190">
        <f>BEL!F192</f>
        <v>0</v>
      </c>
      <c r="G192" s="190">
        <f>BEL!G192*(1+$V$5)</f>
        <v>0</v>
      </c>
      <c r="H192" s="190">
        <f>BEL!H192*(1+$V$5)</f>
        <v>0</v>
      </c>
      <c r="I192" s="179">
        <f t="shared" ref="I192" si="234">H192*(1+$M$5)^C192</f>
        <v>0</v>
      </c>
      <c r="J192" s="130">
        <f>BEL!J192</f>
        <v>0</v>
      </c>
      <c r="K192" s="130">
        <f>BEL!K192</f>
        <v>0</v>
      </c>
      <c r="L192" s="130">
        <f>BEL!L192</f>
        <v>0</v>
      </c>
      <c r="M192" s="185">
        <f t="shared" si="233"/>
        <v>0</v>
      </c>
      <c r="N192" s="185">
        <f t="shared" ref="N192" si="235">IF($AJ$7=0,0,IF(AND(C192&lt;=$E$5-1,C192&lt;&gt;0), VLOOKUP(L192,Mortality,7,FALSE)*(1+$V$3), 0))</f>
        <v>0</v>
      </c>
      <c r="O192" s="185">
        <f t="shared" ref="O192" si="236">IF($AK$7=0,0,IF(AND(C192&lt;=$E$5-1,C192&lt;&gt;0), VLOOKUP(L192,Mortality,9,FALSE)*(1+$V$3), 0))</f>
        <v>0</v>
      </c>
      <c r="P192" s="185">
        <f t="shared" ref="P192" si="237">IF($AL$7=0,0,IF(AND(C192&lt;=$E$5-1,C192&lt;&gt;0), VLOOKUP(L192,Mortality,11,FALSE)*(1+$V$3), 0))</f>
        <v>0</v>
      </c>
      <c r="Q192" s="185">
        <f t="shared" ref="Q192" si="238">IF($AM$7=0,0,IF(AND(C192&lt;=$E$5-1,C192&lt;&gt;0), VLOOKUP(L192,Mortality,13,FALSE)*(1+$V$3), 0))</f>
        <v>0</v>
      </c>
      <c r="R192" s="185">
        <f t="shared" ref="R192" si="239">IF($AP$7=0,0,IF(AND(C192&lt;=$E$5-1,C192&lt;&gt;0), VLOOKUP(L192,Mortality,15,FALSE)*(1+$V$3), 0))</f>
        <v>0</v>
      </c>
      <c r="S192" s="185">
        <f t="shared" ref="S192" si="240">IF($AQ$7=0,0,IF(AND(C192&lt;=$E$5-1,C192&lt;&gt;0), VLOOKUP(L192,Mortality,17,FALSE)*(1+$V$3), 0))</f>
        <v>0</v>
      </c>
      <c r="T192" s="185">
        <f t="shared" ref="T192" si="241">IF($AR$7=0,0,IF(AND(C192&lt;=$E$5-1,C192&lt;&gt;0), VLOOKUP(L192,Mortality,19,FALSE)*(1+$V$3), 0))</f>
        <v>0</v>
      </c>
      <c r="U192" s="196">
        <f>(C192&gt;0)*(C192&lt;$E$5)*VLOOKUP(MPP,ASUMSI!$BN$77:$CR$108,B192+1)*(1+$V$4)</f>
        <v>0</v>
      </c>
      <c r="V192" s="185">
        <f t="shared" ref="V192" si="242">IF(C192=$E$5,1,0)</f>
        <v>0</v>
      </c>
      <c r="W192" s="185">
        <f t="shared" ref="W192" si="243">AA191</f>
        <v>0</v>
      </c>
      <c r="X192" s="185">
        <f t="shared" ref="X192" si="244">M192*$W192</f>
        <v>0</v>
      </c>
      <c r="Y192" s="185">
        <f t="shared" ref="Y192" si="245">U192*W192</f>
        <v>0</v>
      </c>
      <c r="Z192" s="185">
        <f t="shared" ref="Z192" si="246">V192*W192</f>
        <v>0</v>
      </c>
      <c r="AA192" s="197">
        <f t="shared" ref="AA192" si="247">IF(C192=0,0,W192-SUM(X192:Z192))</f>
        <v>0</v>
      </c>
      <c r="AB192" s="185">
        <f t="shared" ref="AB192" si="248">N192*$AA191</f>
        <v>0</v>
      </c>
      <c r="AC192" s="185">
        <f t="shared" ref="AC192" si="249">O192*$AA191</f>
        <v>0</v>
      </c>
      <c r="AD192" s="185">
        <f t="shared" ref="AD192" si="250">P192*$AA191</f>
        <v>0</v>
      </c>
      <c r="AE192" s="185">
        <f t="shared" ref="AE192" si="251">Q192*$AA191</f>
        <v>0</v>
      </c>
      <c r="AF192" s="185">
        <f t="shared" ref="AF192" si="252">R192*$AA191</f>
        <v>0</v>
      </c>
      <c r="AG192" s="185">
        <f t="shared" ref="AG192" si="253">S192*$AA191</f>
        <v>0</v>
      </c>
      <c r="AH192" s="185">
        <f t="shared" ref="AH192" si="254">T192*$AA191</f>
        <v>0</v>
      </c>
      <c r="AI192" s="125">
        <f>BEL!AI192</f>
        <v>0</v>
      </c>
      <c r="AJ192" s="125">
        <f>BEL!AJ192</f>
        <v>0</v>
      </c>
      <c r="AK192" s="125">
        <f>BEL!AK192</f>
        <v>0</v>
      </c>
      <c r="AL192" s="125">
        <f>BEL!AL192</f>
        <v>0</v>
      </c>
      <c r="AM192" s="125">
        <f>BEL!AM192</f>
        <v>0</v>
      </c>
      <c r="AN192" s="125">
        <f>BEL!AN192</f>
        <v>0</v>
      </c>
      <c r="AO192" s="198">
        <f t="shared" ref="AO192" si="255">AN192+AO193/(1+$BS$5)</f>
        <v>0</v>
      </c>
      <c r="AP192" s="125">
        <f>BEL!AP192</f>
        <v>0</v>
      </c>
      <c r="AQ192" s="125">
        <f>BEL!AQ192</f>
        <v>0</v>
      </c>
      <c r="AR192" s="125">
        <f>BEL!AR192</f>
        <v>0</v>
      </c>
      <c r="AS192" s="125">
        <f>BEL!AS192</f>
        <v>0</v>
      </c>
      <c r="AT192" s="125">
        <f>BEL!AT192</f>
        <v>0</v>
      </c>
      <c r="AU192" s="127">
        <f>BEL!AU192</f>
        <v>0</v>
      </c>
      <c r="AV192" s="127">
        <f>BEL!AV192</f>
        <v>0</v>
      </c>
      <c r="AW192" s="127">
        <f>BEL!AW192</f>
        <v>0</v>
      </c>
      <c r="AX192" s="127">
        <f t="shared" ref="AX192" si="256">IF(AI192=0,0,(AI192+AT192)*X192)</f>
        <v>0</v>
      </c>
      <c r="AY192" s="127">
        <f t="shared" ref="AY192" si="257">IF(AJ192=0,0,AJ192*X192)</f>
        <v>0</v>
      </c>
      <c r="AZ192" s="127">
        <f t="shared" ref="AZ192" si="258">AK192*AC192</f>
        <v>0</v>
      </c>
      <c r="BA192" s="127">
        <f t="shared" ref="BA192" si="259">AL192*AD192</f>
        <v>0</v>
      </c>
      <c r="BB192" s="127">
        <f t="shared" ref="BB192" si="260">AM192*AE192</f>
        <v>0</v>
      </c>
      <c r="BC192" s="127">
        <f t="shared" ref="BC192" si="261">AO192*X192</f>
        <v>0</v>
      </c>
      <c r="BD192" s="127">
        <f t="shared" ref="BD192" si="262">AP192*AF192</f>
        <v>0</v>
      </c>
      <c r="BE192" s="127">
        <f t="shared" ref="BE192" si="263">AQ192*AG192</f>
        <v>0</v>
      </c>
      <c r="BF192" s="127">
        <f t="shared" ref="BF192" si="264">AR192*AH192</f>
        <v>0</v>
      </c>
      <c r="BG192" s="127">
        <f t="shared" ref="BG192" si="265">(AU192+AT192)*Y192</f>
        <v>0</v>
      </c>
      <c r="BH192" s="127">
        <f t="shared" ref="BH192" si="266">AV192*AA192</f>
        <v>0</v>
      </c>
      <c r="BI192" s="127">
        <f t="shared" ref="BI192" si="267">(AW192+AT192)*Z192</f>
        <v>0</v>
      </c>
      <c r="BJ192" s="189">
        <f t="shared" ref="BJ192" si="268">SUM(AX192:BF192)+SUM(BH192:BI192)</f>
        <v>0</v>
      </c>
      <c r="BK192" s="189">
        <f t="shared" ref="BK192" si="269">BG192</f>
        <v>0</v>
      </c>
      <c r="BL192" s="192">
        <f t="shared" ref="BL192" si="270">E192*$W192</f>
        <v>0</v>
      </c>
      <c r="BM192" s="192">
        <f t="shared" ref="BM192" si="271">F192*$W192</f>
        <v>0</v>
      </c>
      <c r="BN192" s="192">
        <f t="shared" ref="BN192" si="272">G192*$W192</f>
        <v>0</v>
      </c>
      <c r="BO192" s="192">
        <f t="shared" ref="BO192" si="273">I192*$W192</f>
        <v>0</v>
      </c>
      <c r="BP192" s="192">
        <f t="shared" ref="BP192" si="274">SUM(BN192:BO192)</f>
        <v>0</v>
      </c>
      <c r="BQ192" s="193">
        <f t="shared" ref="BQ192" si="275">(SUM(E192:G192)+I192)*$W192</f>
        <v>0</v>
      </c>
      <c r="BR192" s="193">
        <f t="shared" ref="BR192" si="276">D192*W192</f>
        <v>0</v>
      </c>
      <c r="BS192" s="188">
        <f t="shared" ref="BS192" si="277">(BJ192+BS193)/(1+$BS$5)</f>
        <v>0</v>
      </c>
      <c r="BT192" s="188">
        <f t="shared" ref="BT192" si="278">(BK192+BT193)/(1+$BS$5)</f>
        <v>0</v>
      </c>
      <c r="BU192" s="188">
        <f t="shared" ref="BU192" si="279">BL192+BU193/(1+$BS$5)</f>
        <v>0</v>
      </c>
      <c r="BV192" s="188">
        <f t="shared" ref="BV192" si="280">BM192+BV193/(1+$BS$5)</f>
        <v>0</v>
      </c>
      <c r="BW192" s="188">
        <f t="shared" ref="BW192" si="281">BN192+BW193/(1+$BS$5)</f>
        <v>0</v>
      </c>
      <c r="BX192" s="188">
        <f t="shared" ref="BX192" si="282">BO192+BX193/(1+$BS$5)</f>
        <v>0</v>
      </c>
      <c r="BY192" s="188">
        <f t="shared" ref="BY192" si="283">BP192+BY193/(1+$BS$5)</f>
        <v>0</v>
      </c>
      <c r="BZ192" s="188">
        <f t="shared" ref="BZ192" si="284">BQ192+BZ193/(1+$BS$5)</f>
        <v>0</v>
      </c>
      <c r="CA192" s="188">
        <f t="shared" ref="CA192" si="285">BR192+CA193/(1+$BS$5)</f>
        <v>0</v>
      </c>
      <c r="CB192" s="149">
        <f t="shared" ref="CB192" si="286">BS192+BT192+BZ192-CA192</f>
        <v>0</v>
      </c>
      <c r="CC192" s="149">
        <f>CB192-BEL!CB192</f>
        <v>0</v>
      </c>
      <c r="CD192" s="189">
        <f>IF(AND(C192=0,C193=0),0,CB192/W192) - BEL!CC192</f>
        <v>0</v>
      </c>
      <c r="CF192" s="195">
        <f t="shared" ref="CF192" si="287">CJ191</f>
        <v>0</v>
      </c>
      <c r="CG192" s="127">
        <f t="shared" ref="CG192" si="288">CF192*$CG$8</f>
        <v>0</v>
      </c>
      <c r="CH192" s="128">
        <f>'DATA INPUT - DETAIL'!AH183</f>
        <v>0</v>
      </c>
      <c r="CI192" s="125">
        <f t="shared" ref="CI192" si="289">-(CF192+CG192)*CH192</f>
        <v>0</v>
      </c>
      <c r="CJ192" s="199">
        <f t="shared" ref="CJ192" si="290">CF192+CG192+CI192</f>
        <v>0</v>
      </c>
      <c r="CL192" s="189">
        <f t="shared" ref="CL192" si="291">CP191</f>
        <v>0</v>
      </c>
      <c r="CM192" s="149">
        <f t="shared" ref="CM192" si="292">CL192*$CM$8</f>
        <v>0</v>
      </c>
      <c r="CN192" s="128">
        <f>'DATA INPUT - DETAIL'!AH183</f>
        <v>0</v>
      </c>
      <c r="CO192" s="149">
        <f t="shared" ref="CO192" si="293">-(CL192+CM192)*CN192</f>
        <v>0</v>
      </c>
      <c r="CP192" s="149">
        <f t="shared" ref="CP192" si="294">CL192+CM192+CO192</f>
        <v>0</v>
      </c>
      <c r="CR192" s="126">
        <f t="shared" si="231"/>
        <v>180</v>
      </c>
      <c r="CS192" s="189">
        <f t="shared" si="232"/>
        <v>0</v>
      </c>
      <c r="CT192" s="200">
        <f>CS192/(BEL!CE192+BEL!CA192-BEL!BU192+'RA CSM'!CF192)</f>
        <v>0</v>
      </c>
      <c r="CU192" s="149">
        <f>$CT192*BEL!CH192</f>
        <v>0</v>
      </c>
      <c r="CV192" s="149">
        <f>$CT192*BEL!CI192</f>
        <v>0</v>
      </c>
      <c r="CW192" s="149">
        <f>$CT192*BEL!CJ192</f>
        <v>0</v>
      </c>
      <c r="CX192" s="149">
        <f>$CT192*BEL!CK192</f>
        <v>0</v>
      </c>
      <c r="CY192" s="149">
        <f t="shared" si="229"/>
        <v>0</v>
      </c>
      <c r="CZ192" s="149">
        <f>$CT192*(BEL!CL192+'RA CSM'!CG192)</f>
        <v>0</v>
      </c>
      <c r="DA192" s="149">
        <f t="shared" si="230"/>
        <v>0</v>
      </c>
    </row>
    <row r="193" spans="10:105" x14ac:dyDescent="0.2">
      <c r="J193" s="126"/>
      <c r="K193" s="126"/>
      <c r="CS193" s="189"/>
      <c r="CT193" s="200"/>
      <c r="CU193" s="149"/>
      <c r="CV193" s="149"/>
      <c r="CW193" s="149"/>
      <c r="CX193" s="149"/>
      <c r="CY193" s="149"/>
      <c r="CZ193" s="149"/>
      <c r="DA193" s="149"/>
    </row>
    <row r="194" spans="10:105" x14ac:dyDescent="0.2">
      <c r="J194" s="126"/>
      <c r="K194" s="126"/>
      <c r="CS194" s="189"/>
      <c r="CT194" s="200"/>
      <c r="CU194" s="149"/>
      <c r="CV194" s="149"/>
      <c r="CW194" s="149"/>
      <c r="CX194" s="149"/>
      <c r="CY194" s="149"/>
      <c r="CZ194" s="149"/>
      <c r="DA194" s="149"/>
    </row>
    <row r="195" spans="10:105" x14ac:dyDescent="0.2">
      <c r="J195" s="126"/>
      <c r="K195" s="126"/>
      <c r="CS195" s="189"/>
      <c r="CT195" s="200"/>
      <c r="CU195" s="149"/>
      <c r="CV195" s="149"/>
      <c r="CW195" s="149"/>
      <c r="CX195" s="149"/>
      <c r="CY195" s="149"/>
      <c r="CZ195" s="149"/>
      <c r="DA195" s="149"/>
    </row>
    <row r="196" spans="10:105" x14ac:dyDescent="0.2">
      <c r="J196" s="126"/>
      <c r="K196" s="126"/>
      <c r="CS196" s="189"/>
      <c r="CT196" s="200"/>
      <c r="CU196" s="149"/>
      <c r="CV196" s="149"/>
      <c r="CW196" s="149"/>
      <c r="CX196" s="149"/>
      <c r="CY196" s="149"/>
      <c r="CZ196" s="149"/>
      <c r="DA196" s="149"/>
    </row>
    <row r="197" spans="10:105" x14ac:dyDescent="0.2">
      <c r="J197" s="126"/>
      <c r="K197" s="126"/>
      <c r="CS197" s="189"/>
      <c r="CT197" s="200"/>
      <c r="CU197" s="149"/>
      <c r="CV197" s="149"/>
      <c r="CW197" s="149"/>
      <c r="CX197" s="149"/>
      <c r="CY197" s="149"/>
      <c r="CZ197" s="149"/>
      <c r="DA197" s="149"/>
    </row>
    <row r="198" spans="10:105" x14ac:dyDescent="0.2">
      <c r="J198" s="126"/>
      <c r="K198" s="126"/>
      <c r="CS198" s="189"/>
      <c r="CT198" s="200"/>
      <c r="CU198" s="149"/>
      <c r="CV198" s="149"/>
      <c r="CW198" s="149"/>
      <c r="CX198" s="149"/>
      <c r="CY198" s="149"/>
      <c r="CZ198" s="149"/>
      <c r="DA198" s="149"/>
    </row>
    <row r="199" spans="10:105" x14ac:dyDescent="0.2">
      <c r="J199" s="126"/>
      <c r="K199" s="126"/>
      <c r="CS199" s="189"/>
      <c r="CT199" s="200"/>
      <c r="CU199" s="149"/>
      <c r="CV199" s="149"/>
      <c r="CW199" s="149"/>
      <c r="CX199" s="149"/>
      <c r="CY199" s="149"/>
      <c r="CZ199" s="149"/>
      <c r="DA199" s="149"/>
    </row>
    <row r="200" spans="10:105" x14ac:dyDescent="0.2">
      <c r="J200" s="126"/>
      <c r="K200" s="126"/>
      <c r="CS200" s="189"/>
      <c r="CT200" s="200"/>
      <c r="CU200" s="149"/>
      <c r="CV200" s="149"/>
      <c r="CW200" s="149"/>
      <c r="CX200" s="149"/>
      <c r="CY200" s="149"/>
      <c r="CZ200" s="149"/>
      <c r="DA200" s="149"/>
    </row>
    <row r="201" spans="10:105" x14ac:dyDescent="0.2">
      <c r="J201" s="126"/>
      <c r="K201" s="126"/>
      <c r="CS201" s="189"/>
      <c r="CT201" s="200"/>
      <c r="CU201" s="149"/>
      <c r="CV201" s="149"/>
      <c r="CW201" s="149"/>
      <c r="CX201" s="149"/>
      <c r="CY201" s="149"/>
      <c r="CZ201" s="149"/>
      <c r="DA201" s="149"/>
    </row>
    <row r="202" spans="10:105" x14ac:dyDescent="0.2">
      <c r="J202" s="126"/>
      <c r="K202" s="126"/>
      <c r="CS202" s="189"/>
      <c r="CT202" s="200"/>
      <c r="CU202" s="149"/>
      <c r="CV202" s="149"/>
      <c r="CW202" s="149"/>
      <c r="CX202" s="149"/>
      <c r="CY202" s="149"/>
      <c r="CZ202" s="149"/>
      <c r="DA202" s="149"/>
    </row>
    <row r="203" spans="10:105" x14ac:dyDescent="0.2">
      <c r="J203" s="126"/>
      <c r="K203" s="126"/>
      <c r="CS203" s="189"/>
      <c r="CT203" s="200"/>
      <c r="CU203" s="149"/>
      <c r="CV203" s="149"/>
      <c r="CW203" s="149"/>
      <c r="CX203" s="149"/>
      <c r="CY203" s="149"/>
      <c r="CZ203" s="149"/>
      <c r="DA203" s="149"/>
    </row>
    <row r="204" spans="10:105" x14ac:dyDescent="0.2">
      <c r="J204" s="126"/>
      <c r="K204" s="126"/>
      <c r="CS204" s="189"/>
      <c r="CT204" s="200"/>
      <c r="CU204" s="149"/>
      <c r="CV204" s="149"/>
      <c r="CW204" s="149"/>
      <c r="CX204" s="149"/>
      <c r="CY204" s="149"/>
      <c r="CZ204" s="149"/>
      <c r="DA204" s="149"/>
    </row>
    <row r="205" spans="10:105" x14ac:dyDescent="0.2">
      <c r="J205" s="126"/>
      <c r="K205" s="126"/>
      <c r="CS205" s="189"/>
      <c r="CT205" s="200"/>
      <c r="CU205" s="149"/>
      <c r="CV205" s="149"/>
      <c r="CW205" s="149"/>
      <c r="CX205" s="149"/>
      <c r="CY205" s="149"/>
      <c r="CZ205" s="149"/>
      <c r="DA205" s="149"/>
    </row>
    <row r="206" spans="10:105" x14ac:dyDescent="0.2">
      <c r="J206" s="126"/>
      <c r="K206" s="126"/>
      <c r="CS206" s="189"/>
      <c r="CT206" s="200"/>
      <c r="CU206" s="149"/>
      <c r="CV206" s="149"/>
      <c r="CW206" s="149"/>
      <c r="CX206" s="149"/>
      <c r="CY206" s="149"/>
      <c r="CZ206" s="149"/>
      <c r="DA206" s="149"/>
    </row>
    <row r="207" spans="10:105" x14ac:dyDescent="0.2">
      <c r="J207" s="126"/>
      <c r="K207" s="126"/>
      <c r="CS207" s="189"/>
      <c r="CT207" s="200"/>
      <c r="CU207" s="149"/>
      <c r="CV207" s="149"/>
      <c r="CW207" s="149"/>
      <c r="CX207" s="149"/>
      <c r="CY207" s="149"/>
      <c r="CZ207" s="149"/>
      <c r="DA207" s="149"/>
    </row>
    <row r="208" spans="10:105" x14ac:dyDescent="0.2">
      <c r="J208" s="126"/>
      <c r="K208" s="126"/>
      <c r="CS208" s="189"/>
      <c r="CT208" s="200"/>
      <c r="CU208" s="149"/>
      <c r="CV208" s="149"/>
      <c r="CW208" s="149"/>
      <c r="CX208" s="149"/>
      <c r="CY208" s="149"/>
      <c r="CZ208" s="149"/>
      <c r="DA208" s="149"/>
    </row>
    <row r="209" spans="10:105" x14ac:dyDescent="0.2">
      <c r="J209" s="126"/>
      <c r="K209" s="126"/>
      <c r="CS209" s="189"/>
      <c r="CT209" s="200"/>
      <c r="CU209" s="149"/>
      <c r="CV209" s="149"/>
      <c r="CW209" s="149"/>
      <c r="CX209" s="149"/>
      <c r="CY209" s="149"/>
      <c r="CZ209" s="149"/>
      <c r="DA209" s="149"/>
    </row>
    <row r="210" spans="10:105" x14ac:dyDescent="0.2">
      <c r="J210" s="126"/>
      <c r="K210" s="126"/>
      <c r="CS210" s="189"/>
      <c r="CT210" s="200"/>
      <c r="CU210" s="149"/>
      <c r="CV210" s="149"/>
      <c r="CW210" s="149"/>
      <c r="CX210" s="149"/>
      <c r="CY210" s="149"/>
      <c r="CZ210" s="149"/>
      <c r="DA210" s="149"/>
    </row>
    <row r="211" spans="10:105" x14ac:dyDescent="0.2">
      <c r="J211" s="126"/>
      <c r="K211" s="126"/>
      <c r="CS211" s="189"/>
      <c r="CT211" s="200"/>
      <c r="CU211" s="149"/>
      <c r="CV211" s="149"/>
      <c r="CW211" s="149"/>
      <c r="CX211" s="149"/>
      <c r="CY211" s="149"/>
      <c r="CZ211" s="149"/>
      <c r="DA211" s="149"/>
    </row>
    <row r="212" spans="10:105" x14ac:dyDescent="0.2">
      <c r="J212" s="126"/>
      <c r="K212" s="126"/>
      <c r="CS212" s="189"/>
      <c r="CT212" s="200"/>
      <c r="CU212" s="149"/>
      <c r="CV212" s="149"/>
      <c r="CW212" s="149"/>
      <c r="CX212" s="149"/>
      <c r="CY212" s="149"/>
      <c r="CZ212" s="149"/>
      <c r="DA212" s="149"/>
    </row>
    <row r="213" spans="10:105" x14ac:dyDescent="0.2">
      <c r="J213" s="126"/>
      <c r="K213" s="126"/>
      <c r="CS213" s="189"/>
      <c r="CT213" s="200"/>
      <c r="CU213" s="149"/>
      <c r="CV213" s="149"/>
      <c r="CW213" s="149"/>
      <c r="CX213" s="149"/>
      <c r="CY213" s="149"/>
      <c r="CZ213" s="149"/>
      <c r="DA213" s="149"/>
    </row>
    <row r="214" spans="10:105" x14ac:dyDescent="0.2">
      <c r="J214" s="126"/>
      <c r="K214" s="126"/>
      <c r="CS214" s="189"/>
      <c r="CT214" s="200"/>
      <c r="CU214" s="149"/>
      <c r="CV214" s="149"/>
      <c r="CW214" s="149"/>
      <c r="CX214" s="149"/>
      <c r="CY214" s="149"/>
      <c r="CZ214" s="149"/>
      <c r="DA214" s="149"/>
    </row>
    <row r="215" spans="10:105" x14ac:dyDescent="0.2">
      <c r="J215" s="126"/>
      <c r="K215" s="126"/>
      <c r="CS215" s="189"/>
      <c r="CT215" s="200"/>
      <c r="CU215" s="149"/>
      <c r="CV215" s="149"/>
      <c r="CW215" s="149"/>
      <c r="CX215" s="149"/>
      <c r="CY215" s="149"/>
      <c r="CZ215" s="149"/>
      <c r="DA215" s="149"/>
    </row>
    <row r="216" spans="10:105" x14ac:dyDescent="0.2">
      <c r="J216" s="126"/>
      <c r="K216" s="126"/>
      <c r="CS216" s="189"/>
      <c r="CT216" s="200"/>
      <c r="CU216" s="149"/>
      <c r="CV216" s="149"/>
      <c r="CW216" s="149"/>
      <c r="CX216" s="149"/>
      <c r="CY216" s="149"/>
      <c r="CZ216" s="149"/>
      <c r="DA216" s="149"/>
    </row>
    <row r="217" spans="10:105" x14ac:dyDescent="0.2">
      <c r="J217" s="126"/>
      <c r="K217" s="126"/>
      <c r="CS217" s="189"/>
      <c r="CT217" s="200"/>
      <c r="CU217" s="149"/>
      <c r="CV217" s="149"/>
      <c r="CW217" s="149"/>
      <c r="CX217" s="149"/>
      <c r="CY217" s="149"/>
      <c r="CZ217" s="149"/>
      <c r="DA217" s="149"/>
    </row>
    <row r="218" spans="10:105" x14ac:dyDescent="0.2">
      <c r="J218" s="126"/>
      <c r="K218" s="126"/>
      <c r="CS218" s="189"/>
      <c r="CT218" s="200"/>
      <c r="CU218" s="149"/>
      <c r="CV218" s="149"/>
      <c r="CW218" s="149"/>
      <c r="CX218" s="149"/>
      <c r="CY218" s="149"/>
      <c r="CZ218" s="149"/>
      <c r="DA218" s="149"/>
    </row>
    <row r="219" spans="10:105" x14ac:dyDescent="0.2">
      <c r="J219" s="126"/>
      <c r="K219" s="126"/>
      <c r="CS219" s="189"/>
      <c r="CT219" s="200"/>
      <c r="CU219" s="149"/>
      <c r="CV219" s="149"/>
      <c r="CW219" s="149"/>
      <c r="CX219" s="149"/>
      <c r="CY219" s="149"/>
      <c r="CZ219" s="149"/>
      <c r="DA219" s="149"/>
    </row>
    <row r="220" spans="10:105" x14ac:dyDescent="0.2">
      <c r="J220" s="126"/>
      <c r="K220" s="126"/>
      <c r="CS220" s="189"/>
      <c r="CT220" s="200"/>
      <c r="CU220" s="149"/>
      <c r="CV220" s="149"/>
      <c r="CW220" s="149"/>
      <c r="CX220" s="149"/>
      <c r="CY220" s="149"/>
      <c r="CZ220" s="149"/>
      <c r="DA220" s="149"/>
    </row>
    <row r="221" spans="10:105" x14ac:dyDescent="0.2">
      <c r="J221" s="126"/>
      <c r="K221" s="126"/>
      <c r="CS221" s="189"/>
      <c r="CT221" s="200"/>
      <c r="CU221" s="149"/>
      <c r="CV221" s="149"/>
      <c r="CW221" s="149"/>
      <c r="CX221" s="149"/>
      <c r="CY221" s="149"/>
      <c r="CZ221" s="149"/>
      <c r="DA221" s="149"/>
    </row>
    <row r="222" spans="10:105" x14ac:dyDescent="0.2">
      <c r="J222" s="126"/>
      <c r="K222" s="126"/>
      <c r="CS222" s="189"/>
      <c r="CT222" s="200"/>
      <c r="CU222" s="149"/>
      <c r="CV222" s="149"/>
      <c r="CW222" s="149"/>
      <c r="CX222" s="149"/>
      <c r="CY222" s="149"/>
      <c r="CZ222" s="149"/>
      <c r="DA222" s="149"/>
    </row>
    <row r="223" spans="10:105" x14ac:dyDescent="0.2">
      <c r="J223" s="126"/>
      <c r="K223" s="126"/>
      <c r="CS223" s="189"/>
      <c r="CT223" s="200"/>
      <c r="CU223" s="149"/>
      <c r="CV223" s="149"/>
      <c r="CW223" s="149"/>
      <c r="CX223" s="149"/>
      <c r="CY223" s="149"/>
      <c r="CZ223" s="149"/>
      <c r="DA223" s="149"/>
    </row>
    <row r="224" spans="10:105" x14ac:dyDescent="0.2">
      <c r="J224" s="126"/>
      <c r="K224" s="126"/>
      <c r="CS224" s="189"/>
      <c r="CT224" s="200"/>
      <c r="CU224" s="149"/>
      <c r="CV224" s="149"/>
      <c r="CW224" s="149"/>
      <c r="CX224" s="149"/>
      <c r="CY224" s="149"/>
      <c r="CZ224" s="149"/>
      <c r="DA224" s="149"/>
    </row>
    <row r="225" spans="10:105" x14ac:dyDescent="0.2">
      <c r="J225" s="126"/>
      <c r="K225" s="126"/>
      <c r="CS225" s="189"/>
      <c r="CT225" s="200"/>
      <c r="CU225" s="149"/>
      <c r="CV225" s="149"/>
      <c r="CW225" s="149"/>
      <c r="CX225" s="149"/>
      <c r="CY225" s="149"/>
      <c r="CZ225" s="149"/>
      <c r="DA225" s="149"/>
    </row>
    <row r="226" spans="10:105" x14ac:dyDescent="0.2">
      <c r="J226" s="126"/>
      <c r="K226" s="126"/>
      <c r="CS226" s="189"/>
      <c r="CT226" s="200"/>
      <c r="CU226" s="149"/>
      <c r="CV226" s="149"/>
      <c r="CW226" s="149"/>
      <c r="CX226" s="149"/>
      <c r="CY226" s="149"/>
      <c r="CZ226" s="149"/>
      <c r="DA226" s="149"/>
    </row>
    <row r="227" spans="10:105" x14ac:dyDescent="0.2">
      <c r="J227" s="126"/>
      <c r="K227" s="126"/>
      <c r="CS227" s="189"/>
      <c r="CT227" s="200"/>
      <c r="CU227" s="149"/>
      <c r="CV227" s="149"/>
      <c r="CW227" s="149"/>
      <c r="CX227" s="149"/>
      <c r="CY227" s="149"/>
      <c r="CZ227" s="149"/>
      <c r="DA227" s="149"/>
    </row>
    <row r="228" spans="10:105" x14ac:dyDescent="0.2">
      <c r="J228" s="126"/>
      <c r="K228" s="126"/>
      <c r="CS228" s="189"/>
      <c r="CT228" s="200"/>
      <c r="CU228" s="149"/>
      <c r="CV228" s="149"/>
      <c r="CW228" s="149"/>
      <c r="CX228" s="149"/>
      <c r="CY228" s="149"/>
      <c r="CZ228" s="149"/>
      <c r="DA228" s="149"/>
    </row>
    <row r="229" spans="10:105" x14ac:dyDescent="0.2">
      <c r="J229" s="126"/>
      <c r="K229" s="126"/>
      <c r="CS229" s="189"/>
      <c r="CT229" s="200"/>
      <c r="CU229" s="149"/>
      <c r="CV229" s="149"/>
      <c r="CW229" s="149"/>
      <c r="CX229" s="149"/>
      <c r="CY229" s="149"/>
      <c r="CZ229" s="149"/>
      <c r="DA229" s="149"/>
    </row>
    <row r="230" spans="10:105" x14ac:dyDescent="0.2">
      <c r="J230" s="126"/>
      <c r="K230" s="126"/>
      <c r="CS230" s="189"/>
      <c r="CT230" s="200"/>
      <c r="CU230" s="149"/>
      <c r="CV230" s="149"/>
      <c r="CW230" s="149"/>
      <c r="CX230" s="149"/>
      <c r="CY230" s="149"/>
      <c r="CZ230" s="149"/>
      <c r="DA230" s="149"/>
    </row>
    <row r="231" spans="10:105" x14ac:dyDescent="0.2">
      <c r="J231" s="126"/>
      <c r="K231" s="126"/>
      <c r="CS231" s="189"/>
      <c r="CT231" s="200"/>
      <c r="CU231" s="149"/>
      <c r="CV231" s="149"/>
      <c r="CW231" s="149"/>
      <c r="CX231" s="149"/>
      <c r="CY231" s="149"/>
      <c r="CZ231" s="149"/>
      <c r="DA231" s="149"/>
    </row>
    <row r="232" spans="10:105" x14ac:dyDescent="0.2">
      <c r="J232" s="126"/>
      <c r="K232" s="126"/>
      <c r="CS232" s="189"/>
      <c r="CT232" s="200"/>
      <c r="CU232" s="149"/>
      <c r="CV232" s="149"/>
      <c r="CW232" s="149"/>
      <c r="CX232" s="149"/>
      <c r="CY232" s="149"/>
      <c r="CZ232" s="149"/>
      <c r="DA232" s="149"/>
    </row>
    <row r="233" spans="10:105" x14ac:dyDescent="0.2">
      <c r="J233" s="126"/>
      <c r="K233" s="126"/>
      <c r="CS233" s="189"/>
      <c r="CT233" s="200"/>
      <c r="CU233" s="149"/>
      <c r="CV233" s="149"/>
      <c r="CW233" s="149"/>
      <c r="CX233" s="149"/>
      <c r="CY233" s="149"/>
      <c r="CZ233" s="149"/>
      <c r="DA233" s="149"/>
    </row>
    <row r="234" spans="10:105" x14ac:dyDescent="0.2">
      <c r="J234" s="126"/>
      <c r="K234" s="126"/>
      <c r="CS234" s="189"/>
      <c r="CT234" s="200"/>
      <c r="CU234" s="149"/>
      <c r="CV234" s="149"/>
      <c r="CW234" s="149"/>
      <c r="CX234" s="149"/>
      <c r="CY234" s="149"/>
      <c r="CZ234" s="149"/>
      <c r="DA234" s="149"/>
    </row>
    <row r="235" spans="10:105" x14ac:dyDescent="0.2">
      <c r="J235" s="126"/>
      <c r="K235" s="126"/>
      <c r="CS235" s="189"/>
      <c r="CT235" s="200"/>
      <c r="CU235" s="149"/>
      <c r="CV235" s="149"/>
      <c r="CW235" s="149"/>
      <c r="CX235" s="149"/>
      <c r="CY235" s="149"/>
      <c r="CZ235" s="149"/>
      <c r="DA235" s="149"/>
    </row>
    <row r="236" spans="10:105" x14ac:dyDescent="0.2">
      <c r="J236" s="126"/>
      <c r="K236" s="126"/>
      <c r="CS236" s="189"/>
      <c r="CT236" s="200"/>
      <c r="CU236" s="149"/>
      <c r="CV236" s="149"/>
      <c r="CW236" s="149"/>
      <c r="CX236" s="149"/>
      <c r="CY236" s="149"/>
      <c r="CZ236" s="149"/>
      <c r="DA236" s="149"/>
    </row>
    <row r="237" spans="10:105" x14ac:dyDescent="0.2">
      <c r="J237" s="126"/>
      <c r="K237" s="126"/>
      <c r="CS237" s="189"/>
      <c r="CT237" s="200"/>
      <c r="CU237" s="149"/>
      <c r="CV237" s="149"/>
      <c r="CW237" s="149"/>
      <c r="CX237" s="149"/>
      <c r="CY237" s="149"/>
      <c r="CZ237" s="149"/>
      <c r="DA237" s="149"/>
    </row>
    <row r="238" spans="10:105" x14ac:dyDescent="0.2">
      <c r="J238" s="126"/>
      <c r="K238" s="126"/>
      <c r="CS238" s="189"/>
      <c r="CT238" s="200"/>
      <c r="CU238" s="149"/>
      <c r="CV238" s="149"/>
      <c r="CW238" s="149"/>
      <c r="CX238" s="149"/>
      <c r="CY238" s="149"/>
      <c r="CZ238" s="149"/>
      <c r="DA238" s="149"/>
    </row>
    <row r="239" spans="10:105" x14ac:dyDescent="0.2">
      <c r="J239" s="126"/>
      <c r="K239" s="126"/>
      <c r="CS239" s="189"/>
      <c r="CT239" s="200"/>
      <c r="CU239" s="149"/>
      <c r="CV239" s="149"/>
      <c r="CW239" s="149"/>
      <c r="CX239" s="149"/>
      <c r="CY239" s="149"/>
      <c r="CZ239" s="149"/>
      <c r="DA239" s="149"/>
    </row>
    <row r="240" spans="10:105" x14ac:dyDescent="0.2">
      <c r="J240" s="126"/>
      <c r="K240" s="126"/>
      <c r="CS240" s="189"/>
      <c r="CT240" s="200"/>
      <c r="CU240" s="149"/>
      <c r="CV240" s="149"/>
      <c r="CW240" s="149"/>
      <c r="CX240" s="149"/>
      <c r="CY240" s="149"/>
      <c r="CZ240" s="149"/>
      <c r="DA240" s="149"/>
    </row>
    <row r="241" spans="10:105" x14ac:dyDescent="0.2">
      <c r="J241" s="126"/>
      <c r="K241" s="126"/>
      <c r="CS241" s="189"/>
      <c r="CT241" s="200"/>
      <c r="CU241" s="149"/>
      <c r="CV241" s="149"/>
      <c r="CW241" s="149"/>
      <c r="CX241" s="149"/>
      <c r="CY241" s="149"/>
      <c r="CZ241" s="149"/>
      <c r="DA241" s="149"/>
    </row>
    <row r="242" spans="10:105" x14ac:dyDescent="0.2">
      <c r="J242" s="126"/>
      <c r="K242" s="126"/>
      <c r="CS242" s="189"/>
      <c r="CT242" s="200"/>
      <c r="CU242" s="149"/>
      <c r="CV242" s="149"/>
      <c r="CW242" s="149"/>
      <c r="CX242" s="149"/>
      <c r="CY242" s="149"/>
      <c r="CZ242" s="149"/>
      <c r="DA242" s="149"/>
    </row>
    <row r="243" spans="10:105" x14ac:dyDescent="0.2">
      <c r="J243" s="126"/>
      <c r="K243" s="126"/>
      <c r="CS243" s="189"/>
      <c r="CT243" s="200"/>
      <c r="CU243" s="149"/>
      <c r="CV243" s="149"/>
      <c r="CW243" s="149"/>
      <c r="CX243" s="149"/>
      <c r="CY243" s="149"/>
      <c r="CZ243" s="149"/>
      <c r="DA243" s="149"/>
    </row>
    <row r="244" spans="10:105" x14ac:dyDescent="0.2">
      <c r="J244" s="126"/>
      <c r="K244" s="126"/>
      <c r="CS244" s="189"/>
      <c r="CT244" s="200"/>
      <c r="CU244" s="149"/>
      <c r="CV244" s="149"/>
      <c r="CW244" s="149"/>
      <c r="CX244" s="149"/>
      <c r="CY244" s="149"/>
      <c r="CZ244" s="149"/>
      <c r="DA244" s="149"/>
    </row>
    <row r="245" spans="10:105" x14ac:dyDescent="0.2">
      <c r="J245" s="126"/>
      <c r="K245" s="126"/>
      <c r="CS245" s="189"/>
      <c r="CT245" s="200"/>
      <c r="CU245" s="149"/>
      <c r="CV245" s="149"/>
      <c r="CW245" s="149"/>
      <c r="CX245" s="149"/>
      <c r="CY245" s="149"/>
      <c r="CZ245" s="149"/>
      <c r="DA245" s="149"/>
    </row>
    <row r="246" spans="10:105" x14ac:dyDescent="0.2">
      <c r="J246" s="126"/>
      <c r="K246" s="126"/>
      <c r="CS246" s="189"/>
      <c r="CT246" s="200"/>
      <c r="CU246" s="149"/>
      <c r="CV246" s="149"/>
      <c r="CW246" s="149"/>
      <c r="CX246" s="149"/>
      <c r="CY246" s="149"/>
      <c r="CZ246" s="149"/>
      <c r="DA246" s="149"/>
    </row>
    <row r="247" spans="10:105" x14ac:dyDescent="0.2">
      <c r="J247" s="126"/>
      <c r="K247" s="126"/>
      <c r="CS247" s="189"/>
      <c r="CT247" s="200"/>
      <c r="CU247" s="149"/>
      <c r="CV247" s="149"/>
      <c r="CW247" s="149"/>
      <c r="CX247" s="149"/>
      <c r="CY247" s="149"/>
      <c r="CZ247" s="149"/>
      <c r="DA247" s="149"/>
    </row>
    <row r="248" spans="10:105" x14ac:dyDescent="0.2">
      <c r="J248" s="126"/>
      <c r="K248" s="126"/>
      <c r="CS248" s="189"/>
      <c r="CT248" s="200"/>
      <c r="CU248" s="149"/>
      <c r="CV248" s="149"/>
      <c r="CW248" s="149"/>
      <c r="CX248" s="149"/>
      <c r="CY248" s="149"/>
      <c r="CZ248" s="149"/>
      <c r="DA248" s="149"/>
    </row>
    <row r="249" spans="10:105" x14ac:dyDescent="0.2">
      <c r="J249" s="126"/>
      <c r="K249" s="126"/>
      <c r="CS249" s="189"/>
      <c r="CT249" s="200"/>
      <c r="CU249" s="149"/>
      <c r="CV249" s="149"/>
      <c r="CW249" s="149"/>
      <c r="CX249" s="149"/>
      <c r="CY249" s="149"/>
      <c r="CZ249" s="149"/>
      <c r="DA249" s="149"/>
    </row>
    <row r="250" spans="10:105" x14ac:dyDescent="0.2">
      <c r="J250" s="126"/>
      <c r="K250" s="126"/>
      <c r="CS250" s="189"/>
      <c r="CT250" s="200"/>
      <c r="CU250" s="149"/>
      <c r="CV250" s="149"/>
      <c r="CW250" s="149"/>
      <c r="CX250" s="149"/>
      <c r="CY250" s="149"/>
      <c r="CZ250" s="149"/>
      <c r="DA250" s="149"/>
    </row>
    <row r="251" spans="10:105" x14ac:dyDescent="0.2">
      <c r="J251" s="126"/>
      <c r="K251" s="126"/>
      <c r="CS251" s="189"/>
      <c r="CT251" s="200"/>
      <c r="CU251" s="149"/>
      <c r="CV251" s="149"/>
      <c r="CW251" s="149"/>
      <c r="CX251" s="149"/>
      <c r="CY251" s="149"/>
      <c r="CZ251" s="149"/>
      <c r="DA251" s="149"/>
    </row>
    <row r="252" spans="10:105" x14ac:dyDescent="0.2">
      <c r="J252" s="126"/>
      <c r="K252" s="126"/>
      <c r="CS252" s="189"/>
      <c r="CT252" s="200"/>
      <c r="CU252" s="149"/>
      <c r="CV252" s="149"/>
      <c r="CW252" s="149"/>
      <c r="CX252" s="149"/>
      <c r="CY252" s="149"/>
      <c r="CZ252" s="149"/>
      <c r="DA252" s="149"/>
    </row>
    <row r="253" spans="10:105" x14ac:dyDescent="0.2">
      <c r="J253" s="126"/>
      <c r="K253" s="126"/>
      <c r="CS253" s="189"/>
      <c r="CT253" s="200"/>
      <c r="CU253" s="149"/>
      <c r="CV253" s="149"/>
      <c r="CW253" s="149"/>
      <c r="CX253" s="149"/>
      <c r="CY253" s="149"/>
      <c r="CZ253" s="149"/>
      <c r="DA253" s="149"/>
    </row>
    <row r="254" spans="10:105" x14ac:dyDescent="0.2">
      <c r="J254" s="126"/>
      <c r="K254" s="126"/>
      <c r="CS254" s="189"/>
      <c r="CT254" s="200"/>
      <c r="CU254" s="149"/>
      <c r="CV254" s="149"/>
      <c r="CW254" s="149"/>
      <c r="CX254" s="149"/>
      <c r="CY254" s="149"/>
      <c r="CZ254" s="149"/>
      <c r="DA254" s="149"/>
    </row>
    <row r="255" spans="10:105" x14ac:dyDescent="0.2">
      <c r="J255" s="126"/>
      <c r="K255" s="126"/>
      <c r="CS255" s="189"/>
      <c r="CT255" s="200"/>
      <c r="CU255" s="149"/>
      <c r="CV255" s="149"/>
      <c r="CW255" s="149"/>
      <c r="CX255" s="149"/>
      <c r="CY255" s="149"/>
      <c r="CZ255" s="149"/>
      <c r="DA255" s="149"/>
    </row>
    <row r="256" spans="10:105" x14ac:dyDescent="0.2">
      <c r="J256" s="126"/>
      <c r="K256" s="126"/>
      <c r="CS256" s="189"/>
      <c r="CT256" s="200"/>
      <c r="CU256" s="149"/>
      <c r="CV256" s="149"/>
      <c r="CW256" s="149"/>
      <c r="CX256" s="149"/>
      <c r="CY256" s="149"/>
      <c r="CZ256" s="149"/>
      <c r="DA256" s="149"/>
    </row>
    <row r="257" spans="10:105" x14ac:dyDescent="0.2">
      <c r="J257" s="126"/>
      <c r="K257" s="126"/>
      <c r="CS257" s="189"/>
      <c r="CT257" s="200"/>
      <c r="CU257" s="149"/>
      <c r="CV257" s="149"/>
      <c r="CW257" s="149"/>
      <c r="CX257" s="149"/>
      <c r="CY257" s="149"/>
      <c r="CZ257" s="149"/>
      <c r="DA257" s="149"/>
    </row>
    <row r="258" spans="10:105" x14ac:dyDescent="0.2">
      <c r="J258" s="126"/>
      <c r="K258" s="126"/>
      <c r="CS258" s="189"/>
      <c r="CT258" s="200"/>
      <c r="CU258" s="149"/>
      <c r="CV258" s="149"/>
      <c r="CW258" s="149"/>
      <c r="CX258" s="149"/>
      <c r="CY258" s="149"/>
      <c r="CZ258" s="149"/>
      <c r="DA258" s="149"/>
    </row>
    <row r="259" spans="10:105" x14ac:dyDescent="0.2">
      <c r="J259" s="126"/>
      <c r="K259" s="126"/>
      <c r="CS259" s="189"/>
      <c r="CT259" s="200"/>
      <c r="CU259" s="149"/>
      <c r="CV259" s="149"/>
      <c r="CW259" s="149"/>
      <c r="CX259" s="149"/>
      <c r="CY259" s="149"/>
      <c r="CZ259" s="149"/>
      <c r="DA259" s="149"/>
    </row>
    <row r="260" spans="10:105" x14ac:dyDescent="0.2">
      <c r="J260" s="126"/>
      <c r="K260" s="126"/>
      <c r="CS260" s="189"/>
      <c r="CT260" s="200"/>
      <c r="CU260" s="149"/>
      <c r="CV260" s="149"/>
      <c r="CW260" s="149"/>
      <c r="CX260" s="149"/>
      <c r="CY260" s="149"/>
      <c r="CZ260" s="149"/>
      <c r="DA260" s="149"/>
    </row>
    <row r="261" spans="10:105" x14ac:dyDescent="0.2">
      <c r="J261" s="126"/>
      <c r="K261" s="126"/>
      <c r="CS261" s="189"/>
      <c r="CT261" s="200"/>
      <c r="CU261" s="149"/>
      <c r="CV261" s="149"/>
      <c r="CW261" s="149"/>
      <c r="CX261" s="149"/>
      <c r="CY261" s="149"/>
      <c r="CZ261" s="149"/>
      <c r="DA261" s="149"/>
    </row>
    <row r="262" spans="10:105" x14ac:dyDescent="0.2">
      <c r="J262" s="126"/>
      <c r="K262" s="126"/>
      <c r="CS262" s="189"/>
      <c r="CT262" s="200"/>
      <c r="CU262" s="149"/>
      <c r="CV262" s="149"/>
      <c r="CW262" s="149"/>
      <c r="CX262" s="149"/>
      <c r="CY262" s="149"/>
      <c r="CZ262" s="149"/>
      <c r="DA262" s="149"/>
    </row>
    <row r="263" spans="10:105" x14ac:dyDescent="0.2">
      <c r="J263" s="126"/>
      <c r="K263" s="126"/>
      <c r="CS263" s="189"/>
      <c r="CT263" s="200"/>
      <c r="CU263" s="149"/>
      <c r="CV263" s="149"/>
      <c r="CW263" s="149"/>
      <c r="CX263" s="149"/>
      <c r="CY263" s="149"/>
      <c r="CZ263" s="149"/>
      <c r="DA263" s="149"/>
    </row>
    <row r="264" spans="10:105" x14ac:dyDescent="0.2">
      <c r="J264" s="126"/>
      <c r="K264" s="126"/>
      <c r="CS264" s="189"/>
      <c r="CT264" s="200"/>
      <c r="CU264" s="149"/>
      <c r="CV264" s="149"/>
      <c r="CW264" s="149"/>
      <c r="CX264" s="149"/>
      <c r="CY264" s="149"/>
      <c r="CZ264" s="149"/>
      <c r="DA264" s="149"/>
    </row>
    <row r="265" spans="10:105" x14ac:dyDescent="0.2">
      <c r="CS265" s="189"/>
      <c r="CT265" s="200"/>
      <c r="CU265" s="149"/>
      <c r="CV265" s="149"/>
      <c r="CW265" s="149"/>
      <c r="CX265" s="149"/>
      <c r="CY265" s="149"/>
      <c r="CZ265" s="149"/>
      <c r="DA265" s="149"/>
    </row>
    <row r="266" spans="10:105" x14ac:dyDescent="0.2">
      <c r="CS266" s="189"/>
      <c r="CT266" s="200"/>
      <c r="CU266" s="149"/>
      <c r="CV266" s="149"/>
      <c r="CW266" s="149"/>
      <c r="CX266" s="149"/>
      <c r="CY266" s="149"/>
      <c r="CZ266" s="149"/>
      <c r="DA266" s="149"/>
    </row>
    <row r="267" spans="10:105" x14ac:dyDescent="0.2">
      <c r="CS267" s="189"/>
      <c r="CT267" s="200"/>
      <c r="CU267" s="149"/>
      <c r="CV267" s="149"/>
      <c r="CW267" s="149"/>
      <c r="CX267" s="149"/>
      <c r="CY267" s="149"/>
      <c r="CZ267" s="149"/>
      <c r="DA267" s="149"/>
    </row>
    <row r="268" spans="10:105" x14ac:dyDescent="0.2">
      <c r="CS268" s="189"/>
      <c r="CT268" s="200"/>
      <c r="CU268" s="149"/>
      <c r="CV268" s="149"/>
      <c r="CW268" s="149"/>
      <c r="CX268" s="149"/>
      <c r="CY268" s="149"/>
      <c r="CZ268" s="149"/>
      <c r="DA268" s="149"/>
    </row>
    <row r="269" spans="10:105" x14ac:dyDescent="0.2">
      <c r="CS269" s="189"/>
      <c r="CT269" s="200"/>
      <c r="CU269" s="149"/>
      <c r="CV269" s="149"/>
      <c r="CW269" s="149"/>
      <c r="CX269" s="149"/>
      <c r="CY269" s="149"/>
      <c r="CZ269" s="149"/>
      <c r="DA269" s="149"/>
    </row>
    <row r="270" spans="10:105" x14ac:dyDescent="0.2">
      <c r="CS270" s="189"/>
      <c r="CT270" s="200"/>
      <c r="CU270" s="149"/>
      <c r="CV270" s="149"/>
      <c r="CW270" s="149"/>
      <c r="CX270" s="149"/>
      <c r="CY270" s="149"/>
      <c r="CZ270" s="149"/>
      <c r="DA270" s="149"/>
    </row>
    <row r="271" spans="10:105" x14ac:dyDescent="0.2">
      <c r="CS271" s="189"/>
      <c r="CT271" s="200"/>
      <c r="CU271" s="149"/>
      <c r="CV271" s="149"/>
      <c r="CW271" s="149"/>
      <c r="CX271" s="149"/>
      <c r="CY271" s="149"/>
      <c r="CZ271" s="149"/>
      <c r="DA271" s="149"/>
    </row>
    <row r="272" spans="10:105" x14ac:dyDescent="0.2">
      <c r="CS272" s="189"/>
      <c r="CT272" s="200"/>
      <c r="CU272" s="149"/>
      <c r="CV272" s="149"/>
      <c r="CW272" s="149"/>
      <c r="CX272" s="149"/>
      <c r="CY272" s="149"/>
      <c r="CZ272" s="149"/>
      <c r="DA272" s="149"/>
    </row>
    <row r="273" spans="97:105" x14ac:dyDescent="0.2">
      <c r="CS273" s="189"/>
      <c r="CT273" s="200"/>
      <c r="CU273" s="149"/>
      <c r="CV273" s="149"/>
      <c r="CW273" s="149"/>
      <c r="CX273" s="149"/>
      <c r="CY273" s="149"/>
      <c r="CZ273" s="149"/>
      <c r="DA273" s="149"/>
    </row>
    <row r="274" spans="97:105" x14ac:dyDescent="0.2">
      <c r="CS274" s="189"/>
      <c r="CT274" s="200"/>
      <c r="CU274" s="149"/>
      <c r="CV274" s="149"/>
      <c r="CW274" s="149"/>
      <c r="CX274" s="149"/>
      <c r="CY274" s="149"/>
      <c r="CZ274" s="149"/>
      <c r="DA274" s="149"/>
    </row>
    <row r="275" spans="97:105" x14ac:dyDescent="0.2">
      <c r="CS275" s="189"/>
      <c r="CT275" s="200"/>
      <c r="CU275" s="149"/>
      <c r="CV275" s="149"/>
      <c r="CW275" s="149"/>
      <c r="CX275" s="149"/>
      <c r="CY275" s="149"/>
      <c r="CZ275" s="149"/>
      <c r="DA275" s="149"/>
    </row>
    <row r="276" spans="97:105" x14ac:dyDescent="0.2">
      <c r="CS276" s="189"/>
      <c r="CT276" s="200"/>
      <c r="CU276" s="149"/>
      <c r="CV276" s="149"/>
      <c r="CW276" s="149"/>
      <c r="CX276" s="149"/>
      <c r="CY276" s="149"/>
      <c r="CZ276" s="149"/>
      <c r="DA276" s="149"/>
    </row>
    <row r="277" spans="97:105" x14ac:dyDescent="0.2">
      <c r="CS277" s="189"/>
      <c r="CT277" s="200"/>
      <c r="CU277" s="149"/>
      <c r="CV277" s="149"/>
      <c r="CW277" s="149"/>
      <c r="CX277" s="149"/>
      <c r="CY277" s="149"/>
      <c r="CZ277" s="149"/>
      <c r="DA277" s="149"/>
    </row>
    <row r="278" spans="97:105" x14ac:dyDescent="0.2">
      <c r="CS278" s="189"/>
      <c r="CT278" s="200"/>
      <c r="CU278" s="149"/>
      <c r="CV278" s="149"/>
      <c r="CW278" s="149"/>
      <c r="CX278" s="149"/>
      <c r="CY278" s="149"/>
      <c r="CZ278" s="149"/>
      <c r="DA278" s="149"/>
    </row>
    <row r="279" spans="97:105" x14ac:dyDescent="0.2">
      <c r="CS279" s="189"/>
      <c r="CT279" s="200"/>
      <c r="CU279" s="149"/>
      <c r="CV279" s="149"/>
      <c r="CW279" s="149"/>
      <c r="CX279" s="149"/>
      <c r="CY279" s="149"/>
      <c r="CZ279" s="149"/>
      <c r="DA279" s="149"/>
    </row>
    <row r="280" spans="97:105" x14ac:dyDescent="0.2">
      <c r="CS280" s="189"/>
      <c r="CT280" s="200"/>
      <c r="CU280" s="149"/>
      <c r="CV280" s="149"/>
      <c r="CW280" s="149"/>
      <c r="CX280" s="149"/>
      <c r="CY280" s="149"/>
      <c r="CZ280" s="149"/>
      <c r="DA280" s="149"/>
    </row>
    <row r="281" spans="97:105" x14ac:dyDescent="0.2">
      <c r="CS281" s="189"/>
      <c r="CT281" s="200"/>
      <c r="CU281" s="149"/>
      <c r="CV281" s="149"/>
      <c r="CW281" s="149"/>
      <c r="CX281" s="149"/>
      <c r="CY281" s="149"/>
      <c r="CZ281" s="149"/>
      <c r="DA281" s="149"/>
    </row>
    <row r="282" spans="97:105" x14ac:dyDescent="0.2">
      <c r="CS282" s="189"/>
      <c r="CT282" s="200"/>
      <c r="CU282" s="149"/>
      <c r="CV282" s="149"/>
      <c r="CW282" s="149"/>
      <c r="CX282" s="149"/>
      <c r="CY282" s="149"/>
      <c r="CZ282" s="149"/>
      <c r="DA282" s="149"/>
    </row>
    <row r="283" spans="97:105" x14ac:dyDescent="0.2">
      <c r="CS283" s="189"/>
      <c r="CT283" s="200"/>
      <c r="CU283" s="149"/>
      <c r="CV283" s="149"/>
      <c r="CW283" s="149"/>
      <c r="CX283" s="149"/>
      <c r="CY283" s="149"/>
      <c r="CZ283" s="149"/>
      <c r="DA283" s="149"/>
    </row>
    <row r="284" spans="97:105" x14ac:dyDescent="0.2">
      <c r="CS284" s="189"/>
      <c r="CT284" s="200"/>
      <c r="CU284" s="149"/>
      <c r="CV284" s="149"/>
      <c r="CW284" s="149"/>
      <c r="CX284" s="149"/>
      <c r="CY284" s="149"/>
      <c r="CZ284" s="149"/>
      <c r="DA284" s="149"/>
    </row>
    <row r="285" spans="97:105" x14ac:dyDescent="0.2">
      <c r="CS285" s="189"/>
      <c r="CT285" s="200"/>
      <c r="CU285" s="149"/>
      <c r="CV285" s="149"/>
      <c r="CW285" s="149"/>
      <c r="CX285" s="149"/>
      <c r="CY285" s="149"/>
      <c r="CZ285" s="149"/>
      <c r="DA285" s="149"/>
    </row>
    <row r="286" spans="97:105" x14ac:dyDescent="0.2">
      <c r="CS286" s="189"/>
      <c r="CT286" s="200"/>
      <c r="CU286" s="149"/>
      <c r="CV286" s="149"/>
      <c r="CW286" s="149"/>
      <c r="CX286" s="149"/>
      <c r="CY286" s="149"/>
      <c r="CZ286" s="149"/>
      <c r="DA286" s="149"/>
    </row>
    <row r="287" spans="97:105" x14ac:dyDescent="0.2">
      <c r="CS287" s="189"/>
      <c r="CT287" s="200"/>
      <c r="CU287" s="149"/>
      <c r="CV287" s="149"/>
      <c r="CW287" s="149"/>
      <c r="CX287" s="149"/>
      <c r="CY287" s="149"/>
      <c r="CZ287" s="149"/>
      <c r="DA287" s="149"/>
    </row>
    <row r="288" spans="97:105" x14ac:dyDescent="0.2">
      <c r="CS288" s="189"/>
      <c r="CT288" s="200"/>
      <c r="CU288" s="149"/>
      <c r="CV288" s="149"/>
      <c r="CW288" s="149"/>
      <c r="CX288" s="149"/>
      <c r="CY288" s="149"/>
      <c r="CZ288" s="149"/>
      <c r="DA288" s="149"/>
    </row>
  </sheetData>
  <mergeCells count="56">
    <mergeCell ref="CR8:DA8"/>
    <mergeCell ref="CR9:CR10"/>
    <mergeCell ref="CS9:CS10"/>
    <mergeCell ref="CT9:CT10"/>
    <mergeCell ref="CU9:CZ9"/>
    <mergeCell ref="DA9:DA10"/>
    <mergeCell ref="AI8:AW8"/>
    <mergeCell ref="CI9:CI10"/>
    <mergeCell ref="CL9:CP9"/>
    <mergeCell ref="CJ9:CJ10"/>
    <mergeCell ref="AI9:AT9"/>
    <mergeCell ref="AX9:BF9"/>
    <mergeCell ref="CC9:CC10"/>
    <mergeCell ref="BG9:BI9"/>
    <mergeCell ref="AX8:BI8"/>
    <mergeCell ref="CF9:CF10"/>
    <mergeCell ref="BJ8:BR8"/>
    <mergeCell ref="CB9:CB10"/>
    <mergeCell ref="CD9:CD10"/>
    <mergeCell ref="AU9:AW9"/>
    <mergeCell ref="W8:AA8"/>
    <mergeCell ref="C9:C10"/>
    <mergeCell ref="D9:D10"/>
    <mergeCell ref="E9:E10"/>
    <mergeCell ref="F9:F10"/>
    <mergeCell ref="G9:I9"/>
    <mergeCell ref="X9:X10"/>
    <mergeCell ref="AH9:AH10"/>
    <mergeCell ref="J9:J10"/>
    <mergeCell ref="K9:K10"/>
    <mergeCell ref="L9:L10"/>
    <mergeCell ref="M9:M10"/>
    <mergeCell ref="U9:U10"/>
    <mergeCell ref="Y9:Y10"/>
    <mergeCell ref="Z9:Z10"/>
    <mergeCell ref="AA9:AA10"/>
    <mergeCell ref="AG9:AG10"/>
    <mergeCell ref="AC9:AC10"/>
    <mergeCell ref="AD9:AD10"/>
    <mergeCell ref="W9:W10"/>
    <mergeCell ref="W7:AH7"/>
    <mergeCell ref="CG9:CG10"/>
    <mergeCell ref="CH9:CH10"/>
    <mergeCell ref="M7:V7"/>
    <mergeCell ref="N9:N10"/>
    <mergeCell ref="O9:O10"/>
    <mergeCell ref="P9:P10"/>
    <mergeCell ref="Q9:Q10"/>
    <mergeCell ref="R9:R10"/>
    <mergeCell ref="AE9:AE10"/>
    <mergeCell ref="AF9:AF10"/>
    <mergeCell ref="S9:S10"/>
    <mergeCell ref="AB9:AB10"/>
    <mergeCell ref="T9:T10"/>
    <mergeCell ref="V9:V10"/>
    <mergeCell ref="M8:V8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GC338"/>
  <sheetViews>
    <sheetView showWhiteSpace="0" zoomScale="85" zoomScaleNormal="85" workbookViewId="0">
      <pane xSplit="1" ySplit="1" topLeftCell="B199" activePane="bottomRight" state="frozen"/>
      <selection activeCell="CS3" sqref="A1:XFD1048576"/>
      <selection pane="topRight" activeCell="CS3" sqref="A1:XFD1048576"/>
      <selection pane="bottomLeft" activeCell="CS3" sqref="A1:XFD1048576"/>
      <selection pane="bottomRight" activeCell="C227" sqref="C227"/>
    </sheetView>
  </sheetViews>
  <sheetFormatPr defaultColWidth="9.140625" defaultRowHeight="12.75" outlineLevelRow="1" x14ac:dyDescent="0.2"/>
  <cols>
    <col min="1" max="1" width="47.140625" style="2" bestFit="1" customWidth="1"/>
    <col min="2" max="2" width="17.5703125" style="57" bestFit="1" customWidth="1"/>
    <col min="3" max="13" width="17.5703125" style="58" bestFit="1" customWidth="1"/>
    <col min="14" max="14" width="17.5703125" style="57" bestFit="1" customWidth="1"/>
    <col min="15" max="25" width="17.5703125" style="58" bestFit="1" customWidth="1"/>
    <col min="26" max="26" width="17.5703125" style="69" bestFit="1" customWidth="1"/>
    <col min="27" max="37" width="17.5703125" style="2" bestFit="1" customWidth="1"/>
    <col min="38" max="38" width="17.5703125" style="69" hidden="1" customWidth="1"/>
    <col min="39" max="49" width="17.5703125" style="2" hidden="1" customWidth="1"/>
    <col min="50" max="50" width="17.5703125" style="69" hidden="1" customWidth="1"/>
    <col min="51" max="107" width="17.5703125" style="2" hidden="1" customWidth="1"/>
    <col min="108" max="134" width="18" style="2" hidden="1" customWidth="1"/>
    <col min="135" max="176" width="16.7109375" style="2" hidden="1" customWidth="1"/>
    <col min="177" max="180" width="16" style="2" hidden="1" customWidth="1"/>
    <col min="181" max="181" width="15.5703125" style="2" hidden="1" customWidth="1"/>
    <col min="182" max="182" width="15.7109375" style="2" hidden="1" customWidth="1"/>
    <col min="183" max="183" width="36.5703125" style="2" hidden="1" customWidth="1"/>
    <col min="184" max="184" width="72.42578125" style="2" hidden="1" customWidth="1"/>
    <col min="185" max="185" width="16.7109375" style="2" hidden="1" customWidth="1"/>
    <col min="186" max="186" width="0" style="2" hidden="1" customWidth="1"/>
    <col min="187" max="16384" width="9.140625" style="2"/>
  </cols>
  <sheetData>
    <row r="1" spans="1:182" s="8" customFormat="1" x14ac:dyDescent="0.2">
      <c r="A1" s="8" t="s">
        <v>147</v>
      </c>
      <c r="B1" s="45">
        <v>1</v>
      </c>
      <c r="C1" s="46">
        <f>B1+1</f>
        <v>2</v>
      </c>
      <c r="D1" s="46">
        <f t="shared" ref="D1:BH1" si="0">C1+1</f>
        <v>3</v>
      </c>
      <c r="E1" s="46">
        <f t="shared" si="0"/>
        <v>4</v>
      </c>
      <c r="F1" s="46">
        <f t="shared" si="0"/>
        <v>5</v>
      </c>
      <c r="G1" s="46">
        <f t="shared" si="0"/>
        <v>6</v>
      </c>
      <c r="H1" s="46">
        <f t="shared" si="0"/>
        <v>7</v>
      </c>
      <c r="I1" s="46">
        <f t="shared" si="0"/>
        <v>8</v>
      </c>
      <c r="J1" s="46">
        <f t="shared" si="0"/>
        <v>9</v>
      </c>
      <c r="K1" s="46">
        <f t="shared" si="0"/>
        <v>10</v>
      </c>
      <c r="L1" s="46">
        <f t="shared" si="0"/>
        <v>11</v>
      </c>
      <c r="M1" s="46">
        <f t="shared" si="0"/>
        <v>12</v>
      </c>
      <c r="N1" s="46">
        <f t="shared" si="0"/>
        <v>13</v>
      </c>
      <c r="O1" s="46">
        <f t="shared" si="0"/>
        <v>14</v>
      </c>
      <c r="P1" s="46">
        <f t="shared" si="0"/>
        <v>15</v>
      </c>
      <c r="Q1" s="46">
        <f t="shared" si="0"/>
        <v>16</v>
      </c>
      <c r="R1" s="46">
        <f t="shared" si="0"/>
        <v>17</v>
      </c>
      <c r="S1" s="46">
        <f t="shared" si="0"/>
        <v>18</v>
      </c>
      <c r="T1" s="46">
        <f t="shared" si="0"/>
        <v>19</v>
      </c>
      <c r="U1" s="46">
        <f t="shared" si="0"/>
        <v>20</v>
      </c>
      <c r="V1" s="46">
        <f t="shared" si="0"/>
        <v>21</v>
      </c>
      <c r="W1" s="46">
        <f t="shared" si="0"/>
        <v>22</v>
      </c>
      <c r="X1" s="46">
        <f t="shared" si="0"/>
        <v>23</v>
      </c>
      <c r="Y1" s="46">
        <f t="shared" si="0"/>
        <v>24</v>
      </c>
      <c r="Z1" s="46">
        <f t="shared" si="0"/>
        <v>25</v>
      </c>
      <c r="AA1" s="46">
        <f t="shared" si="0"/>
        <v>26</v>
      </c>
      <c r="AB1" s="46">
        <f t="shared" si="0"/>
        <v>27</v>
      </c>
      <c r="AC1" s="46">
        <f t="shared" si="0"/>
        <v>28</v>
      </c>
      <c r="AD1" s="46">
        <f t="shared" si="0"/>
        <v>29</v>
      </c>
      <c r="AE1" s="46">
        <f t="shared" si="0"/>
        <v>30</v>
      </c>
      <c r="AF1" s="46">
        <f t="shared" si="0"/>
        <v>31</v>
      </c>
      <c r="AG1" s="46">
        <f t="shared" si="0"/>
        <v>32</v>
      </c>
      <c r="AH1" s="46">
        <f t="shared" si="0"/>
        <v>33</v>
      </c>
      <c r="AI1" s="46">
        <f t="shared" si="0"/>
        <v>34</v>
      </c>
      <c r="AJ1" s="46">
        <f t="shared" si="0"/>
        <v>35</v>
      </c>
      <c r="AK1" s="46">
        <f t="shared" si="0"/>
        <v>36</v>
      </c>
      <c r="AL1" s="46">
        <f t="shared" si="0"/>
        <v>37</v>
      </c>
      <c r="AM1" s="46">
        <f t="shared" si="0"/>
        <v>38</v>
      </c>
      <c r="AN1" s="46">
        <f t="shared" si="0"/>
        <v>39</v>
      </c>
      <c r="AO1" s="46">
        <f t="shared" si="0"/>
        <v>40</v>
      </c>
      <c r="AP1" s="46">
        <f t="shared" si="0"/>
        <v>41</v>
      </c>
      <c r="AQ1" s="46">
        <f t="shared" si="0"/>
        <v>42</v>
      </c>
      <c r="AR1" s="46">
        <f t="shared" si="0"/>
        <v>43</v>
      </c>
      <c r="AS1" s="46">
        <f t="shared" si="0"/>
        <v>44</v>
      </c>
      <c r="AT1" s="46">
        <f t="shared" si="0"/>
        <v>45</v>
      </c>
      <c r="AU1" s="46">
        <f t="shared" si="0"/>
        <v>46</v>
      </c>
      <c r="AV1" s="46">
        <f t="shared" si="0"/>
        <v>47</v>
      </c>
      <c r="AW1" s="46">
        <f t="shared" si="0"/>
        <v>48</v>
      </c>
      <c r="AX1" s="46">
        <f t="shared" si="0"/>
        <v>49</v>
      </c>
      <c r="AY1" s="46">
        <f t="shared" si="0"/>
        <v>50</v>
      </c>
      <c r="AZ1" s="46">
        <f t="shared" si="0"/>
        <v>51</v>
      </c>
      <c r="BA1" s="46">
        <f t="shared" si="0"/>
        <v>52</v>
      </c>
      <c r="BB1" s="46">
        <f t="shared" si="0"/>
        <v>53</v>
      </c>
      <c r="BC1" s="46">
        <f t="shared" si="0"/>
        <v>54</v>
      </c>
      <c r="BD1" s="46">
        <f t="shared" si="0"/>
        <v>55</v>
      </c>
      <c r="BE1" s="46">
        <f t="shared" si="0"/>
        <v>56</v>
      </c>
      <c r="BF1" s="46">
        <f t="shared" si="0"/>
        <v>57</v>
      </c>
      <c r="BG1" s="46">
        <f t="shared" si="0"/>
        <v>58</v>
      </c>
      <c r="BH1" s="46">
        <f t="shared" si="0"/>
        <v>59</v>
      </c>
      <c r="BI1" s="46">
        <f t="shared" ref="BI1" si="1">BH1+1</f>
        <v>60</v>
      </c>
      <c r="BJ1" s="46">
        <f t="shared" ref="BJ1" si="2">BI1+1</f>
        <v>61</v>
      </c>
      <c r="BK1" s="46">
        <f t="shared" ref="BK1" si="3">BJ1+1</f>
        <v>62</v>
      </c>
      <c r="BL1" s="46">
        <f t="shared" ref="BL1" si="4">BK1+1</f>
        <v>63</v>
      </c>
      <c r="BM1" s="46">
        <f t="shared" ref="BM1" si="5">BL1+1</f>
        <v>64</v>
      </c>
      <c r="BN1" s="46">
        <f t="shared" ref="BN1" si="6">BM1+1</f>
        <v>65</v>
      </c>
      <c r="BO1" s="46">
        <f t="shared" ref="BO1" si="7">BN1+1</f>
        <v>66</v>
      </c>
      <c r="BP1" s="46">
        <f t="shared" ref="BP1" si="8">BO1+1</f>
        <v>67</v>
      </c>
      <c r="BQ1" s="46">
        <f t="shared" ref="BQ1" si="9">BP1+1</f>
        <v>68</v>
      </c>
      <c r="BR1" s="46">
        <f t="shared" ref="BR1" si="10">BQ1+1</f>
        <v>69</v>
      </c>
      <c r="BS1" s="46">
        <f t="shared" ref="BS1" si="11">BR1+1</f>
        <v>70</v>
      </c>
      <c r="BT1" s="46">
        <f t="shared" ref="BT1" si="12">BS1+1</f>
        <v>71</v>
      </c>
      <c r="BU1" s="46">
        <f t="shared" ref="BU1" si="13">BT1+1</f>
        <v>72</v>
      </c>
      <c r="BV1" s="46">
        <f t="shared" ref="BV1" si="14">BU1+1</f>
        <v>73</v>
      </c>
      <c r="BW1" s="46">
        <f t="shared" ref="BW1" si="15">BV1+1</f>
        <v>74</v>
      </c>
      <c r="BX1" s="46">
        <f t="shared" ref="BX1" si="16">BW1+1</f>
        <v>75</v>
      </c>
      <c r="BY1" s="46">
        <f t="shared" ref="BY1" si="17">BX1+1</f>
        <v>76</v>
      </c>
      <c r="BZ1" s="46">
        <f t="shared" ref="BZ1" si="18">BY1+1</f>
        <v>77</v>
      </c>
      <c r="CA1" s="46">
        <f t="shared" ref="CA1" si="19">BZ1+1</f>
        <v>78</v>
      </c>
      <c r="CB1" s="46">
        <f t="shared" ref="CB1" si="20">CA1+1</f>
        <v>79</v>
      </c>
      <c r="CC1" s="46">
        <f t="shared" ref="CC1" si="21">CB1+1</f>
        <v>80</v>
      </c>
      <c r="CD1" s="46">
        <f t="shared" ref="CD1" si="22">CC1+1</f>
        <v>81</v>
      </c>
      <c r="CE1" s="46">
        <f t="shared" ref="CE1" si="23">CD1+1</f>
        <v>82</v>
      </c>
      <c r="CF1" s="46">
        <f t="shared" ref="CF1" si="24">CE1+1</f>
        <v>83</v>
      </c>
      <c r="CG1" s="46">
        <f t="shared" ref="CG1" si="25">CF1+1</f>
        <v>84</v>
      </c>
      <c r="CH1" s="46">
        <f t="shared" ref="CH1" si="26">CG1+1</f>
        <v>85</v>
      </c>
      <c r="CI1" s="46">
        <f t="shared" ref="CI1" si="27">CH1+1</f>
        <v>86</v>
      </c>
      <c r="CJ1" s="46">
        <f t="shared" ref="CJ1" si="28">CI1+1</f>
        <v>87</v>
      </c>
      <c r="CK1" s="46">
        <f t="shared" ref="CK1" si="29">CJ1+1</f>
        <v>88</v>
      </c>
      <c r="CL1" s="46">
        <f t="shared" ref="CL1" si="30">CK1+1</f>
        <v>89</v>
      </c>
      <c r="CM1" s="46">
        <f t="shared" ref="CM1" si="31">CL1+1</f>
        <v>90</v>
      </c>
      <c r="CN1" s="46">
        <f t="shared" ref="CN1" si="32">CM1+1</f>
        <v>91</v>
      </c>
      <c r="CO1" s="46">
        <f t="shared" ref="CO1" si="33">CN1+1</f>
        <v>92</v>
      </c>
      <c r="CP1" s="46">
        <f t="shared" ref="CP1" si="34">CO1+1</f>
        <v>93</v>
      </c>
      <c r="CQ1" s="46">
        <f t="shared" ref="CQ1" si="35">CP1+1</f>
        <v>94</v>
      </c>
      <c r="CR1" s="46">
        <f t="shared" ref="CR1" si="36">CQ1+1</f>
        <v>95</v>
      </c>
      <c r="CS1" s="46">
        <f t="shared" ref="CS1" si="37">CR1+1</f>
        <v>96</v>
      </c>
      <c r="CT1" s="46">
        <f t="shared" ref="CT1" si="38">CS1+1</f>
        <v>97</v>
      </c>
      <c r="CU1" s="46">
        <f t="shared" ref="CU1" si="39">CT1+1</f>
        <v>98</v>
      </c>
      <c r="CV1" s="46">
        <f t="shared" ref="CV1" si="40">CU1+1</f>
        <v>99</v>
      </c>
      <c r="CW1" s="46">
        <f t="shared" ref="CW1" si="41">CV1+1</f>
        <v>100</v>
      </c>
      <c r="CX1" s="46">
        <f t="shared" ref="CX1" si="42">CW1+1</f>
        <v>101</v>
      </c>
      <c r="CY1" s="46">
        <f t="shared" ref="CY1" si="43">CX1+1</f>
        <v>102</v>
      </c>
      <c r="CZ1" s="46">
        <f t="shared" ref="CZ1" si="44">CY1+1</f>
        <v>103</v>
      </c>
      <c r="DA1" s="46">
        <f t="shared" ref="DA1" si="45">CZ1+1</f>
        <v>104</v>
      </c>
      <c r="DB1" s="46">
        <f t="shared" ref="DB1" si="46">DA1+1</f>
        <v>105</v>
      </c>
      <c r="DC1" s="46">
        <f t="shared" ref="DC1" si="47">DB1+1</f>
        <v>106</v>
      </c>
      <c r="DD1" s="46">
        <f t="shared" ref="DD1" si="48">DC1+1</f>
        <v>107</v>
      </c>
      <c r="DE1" s="46">
        <f t="shared" ref="DE1" si="49">DD1+1</f>
        <v>108</v>
      </c>
      <c r="DF1" s="46">
        <f t="shared" ref="DF1" si="50">DE1+1</f>
        <v>109</v>
      </c>
      <c r="DG1" s="46">
        <f t="shared" ref="DG1" si="51">DF1+1</f>
        <v>110</v>
      </c>
      <c r="DH1" s="46">
        <f t="shared" ref="DH1" si="52">DG1+1</f>
        <v>111</v>
      </c>
      <c r="DI1" s="46">
        <f t="shared" ref="DI1" si="53">DH1+1</f>
        <v>112</v>
      </c>
      <c r="DJ1" s="46">
        <f t="shared" ref="DJ1" si="54">DI1+1</f>
        <v>113</v>
      </c>
      <c r="DK1" s="46">
        <f t="shared" ref="DK1" si="55">DJ1+1</f>
        <v>114</v>
      </c>
      <c r="DL1" s="46">
        <f t="shared" ref="DL1" si="56">DK1+1</f>
        <v>115</v>
      </c>
      <c r="DM1" s="46">
        <f t="shared" ref="DM1" si="57">DL1+1</f>
        <v>116</v>
      </c>
      <c r="DN1" s="46">
        <f t="shared" ref="DN1" si="58">DM1+1</f>
        <v>117</v>
      </c>
      <c r="DO1" s="46">
        <f t="shared" ref="DO1" si="59">DN1+1</f>
        <v>118</v>
      </c>
      <c r="DP1" s="46">
        <f t="shared" ref="DP1" si="60">DO1+1</f>
        <v>119</v>
      </c>
      <c r="DQ1" s="46">
        <f t="shared" ref="DQ1" si="61">DP1+1</f>
        <v>120</v>
      </c>
      <c r="DR1" s="46">
        <f t="shared" ref="DR1" si="62">DQ1+1</f>
        <v>121</v>
      </c>
      <c r="DS1" s="46">
        <f t="shared" ref="DS1" si="63">DR1+1</f>
        <v>122</v>
      </c>
      <c r="DT1" s="46">
        <f t="shared" ref="DT1" si="64">DS1+1</f>
        <v>123</v>
      </c>
      <c r="DU1" s="46">
        <f t="shared" ref="DU1" si="65">DT1+1</f>
        <v>124</v>
      </c>
      <c r="DV1" s="46">
        <f t="shared" ref="DV1" si="66">DU1+1</f>
        <v>125</v>
      </c>
      <c r="DW1" s="46">
        <f t="shared" ref="DW1" si="67">DV1+1</f>
        <v>126</v>
      </c>
      <c r="DX1" s="46">
        <f t="shared" ref="DX1" si="68">DW1+1</f>
        <v>127</v>
      </c>
      <c r="DY1" s="46">
        <f t="shared" ref="DY1" si="69">DX1+1</f>
        <v>128</v>
      </c>
      <c r="DZ1" s="46">
        <f t="shared" ref="DZ1" si="70">DY1+1</f>
        <v>129</v>
      </c>
      <c r="EA1" s="46">
        <f t="shared" ref="EA1" si="71">DZ1+1</f>
        <v>130</v>
      </c>
      <c r="EB1" s="46">
        <f t="shared" ref="EB1" si="72">EA1+1</f>
        <v>131</v>
      </c>
      <c r="EC1" s="46">
        <f t="shared" ref="EC1" si="73">EB1+1</f>
        <v>132</v>
      </c>
      <c r="ED1" s="46">
        <f t="shared" ref="ED1" si="74">EC1+1</f>
        <v>133</v>
      </c>
      <c r="EE1" s="46">
        <f t="shared" ref="EE1" si="75">ED1+1</f>
        <v>134</v>
      </c>
      <c r="EF1" s="46">
        <f t="shared" ref="EF1" si="76">EE1+1</f>
        <v>135</v>
      </c>
      <c r="EG1" s="46">
        <f t="shared" ref="EG1" si="77">EF1+1</f>
        <v>136</v>
      </c>
      <c r="EH1" s="46">
        <f t="shared" ref="EH1" si="78">EG1+1</f>
        <v>137</v>
      </c>
      <c r="EI1" s="46">
        <f t="shared" ref="EI1" si="79">EH1+1</f>
        <v>138</v>
      </c>
      <c r="EJ1" s="46">
        <f t="shared" ref="EJ1" si="80">EI1+1</f>
        <v>139</v>
      </c>
      <c r="EK1" s="46">
        <f t="shared" ref="EK1" si="81">EJ1+1</f>
        <v>140</v>
      </c>
      <c r="EL1" s="46">
        <f t="shared" ref="EL1" si="82">EK1+1</f>
        <v>141</v>
      </c>
      <c r="EM1" s="46">
        <f t="shared" ref="EM1" si="83">EL1+1</f>
        <v>142</v>
      </c>
      <c r="EN1" s="46">
        <f t="shared" ref="EN1" si="84">EM1+1</f>
        <v>143</v>
      </c>
      <c r="EO1" s="46">
        <f t="shared" ref="EO1" si="85">EN1+1</f>
        <v>144</v>
      </c>
      <c r="EP1" s="46">
        <f t="shared" ref="EP1" si="86">EO1+1</f>
        <v>145</v>
      </c>
      <c r="EQ1" s="46">
        <f t="shared" ref="EQ1" si="87">EP1+1</f>
        <v>146</v>
      </c>
      <c r="ER1" s="46">
        <f t="shared" ref="ER1" si="88">EQ1+1</f>
        <v>147</v>
      </c>
      <c r="ES1" s="46">
        <f t="shared" ref="ES1" si="89">ER1+1</f>
        <v>148</v>
      </c>
      <c r="ET1" s="46">
        <f t="shared" ref="ET1" si="90">ES1+1</f>
        <v>149</v>
      </c>
      <c r="EU1" s="46">
        <f t="shared" ref="EU1" si="91">ET1+1</f>
        <v>150</v>
      </c>
      <c r="EV1" s="46">
        <f t="shared" ref="EV1" si="92">EU1+1</f>
        <v>151</v>
      </c>
      <c r="EW1" s="46">
        <f t="shared" ref="EW1" si="93">EV1+1</f>
        <v>152</v>
      </c>
      <c r="EX1" s="46">
        <f t="shared" ref="EX1" si="94">EW1+1</f>
        <v>153</v>
      </c>
      <c r="EY1" s="46">
        <f t="shared" ref="EY1" si="95">EX1+1</f>
        <v>154</v>
      </c>
      <c r="EZ1" s="46">
        <f t="shared" ref="EZ1" si="96">EY1+1</f>
        <v>155</v>
      </c>
      <c r="FA1" s="46">
        <f t="shared" ref="FA1" si="97">EZ1+1</f>
        <v>156</v>
      </c>
      <c r="FB1" s="46">
        <f t="shared" ref="FB1" si="98">FA1+1</f>
        <v>157</v>
      </c>
      <c r="FC1" s="46">
        <f t="shared" ref="FC1" si="99">FB1+1</f>
        <v>158</v>
      </c>
      <c r="FD1" s="46">
        <f t="shared" ref="FD1" si="100">FC1+1</f>
        <v>159</v>
      </c>
      <c r="FE1" s="46">
        <f t="shared" ref="FE1" si="101">FD1+1</f>
        <v>160</v>
      </c>
      <c r="FF1" s="46">
        <f t="shared" ref="FF1" si="102">FE1+1</f>
        <v>161</v>
      </c>
      <c r="FG1" s="46">
        <f t="shared" ref="FG1" si="103">FF1+1</f>
        <v>162</v>
      </c>
      <c r="FH1" s="46">
        <f t="shared" ref="FH1" si="104">FG1+1</f>
        <v>163</v>
      </c>
      <c r="FI1" s="46">
        <f t="shared" ref="FI1" si="105">FH1+1</f>
        <v>164</v>
      </c>
      <c r="FJ1" s="46">
        <f t="shared" ref="FJ1" si="106">FI1+1</f>
        <v>165</v>
      </c>
      <c r="FK1" s="46">
        <f t="shared" ref="FK1" si="107">FJ1+1</f>
        <v>166</v>
      </c>
      <c r="FL1" s="46">
        <f t="shared" ref="FL1" si="108">FK1+1</f>
        <v>167</v>
      </c>
      <c r="FM1" s="46">
        <f t="shared" ref="FM1" si="109">FL1+1</f>
        <v>168</v>
      </c>
      <c r="FN1" s="46">
        <f t="shared" ref="FN1" si="110">FM1+1</f>
        <v>169</v>
      </c>
      <c r="FO1" s="46">
        <f t="shared" ref="FO1" si="111">FN1+1</f>
        <v>170</v>
      </c>
      <c r="FP1" s="46">
        <f t="shared" ref="FP1" si="112">FO1+1</f>
        <v>171</v>
      </c>
      <c r="FQ1" s="46">
        <f t="shared" ref="FQ1" si="113">FP1+1</f>
        <v>172</v>
      </c>
      <c r="FR1" s="46">
        <f t="shared" ref="FR1" si="114">FQ1+1</f>
        <v>173</v>
      </c>
      <c r="FS1" s="46">
        <f t="shared" ref="FS1" si="115">FR1+1</f>
        <v>174</v>
      </c>
      <c r="FT1" s="46">
        <f t="shared" ref="FT1" si="116">FS1+1</f>
        <v>175</v>
      </c>
      <c r="FU1" s="46">
        <f t="shared" ref="FU1" si="117">FT1+1</f>
        <v>176</v>
      </c>
      <c r="FV1" s="46">
        <f t="shared" ref="FV1" si="118">FU1+1</f>
        <v>177</v>
      </c>
      <c r="FW1" s="46">
        <f t="shared" ref="FW1" si="119">FV1+1</f>
        <v>178</v>
      </c>
      <c r="FX1" s="46">
        <f t="shared" ref="FX1:FY1" si="120">FW1+1</f>
        <v>179</v>
      </c>
      <c r="FY1" s="46">
        <f t="shared" si="120"/>
        <v>180</v>
      </c>
      <c r="FZ1" s="47"/>
    </row>
    <row r="2" spans="1:182" x14ac:dyDescent="0.2">
      <c r="A2" s="2" t="s">
        <v>153</v>
      </c>
      <c r="B2" s="48">
        <f>BEL!BS4</f>
        <v>5.3699999999999998E-2</v>
      </c>
      <c r="C2" s="49">
        <f>B2</f>
        <v>5.3699999999999998E-2</v>
      </c>
      <c r="D2" s="50">
        <f t="shared" ref="D2:R2" si="121">C2</f>
        <v>5.3699999999999998E-2</v>
      </c>
      <c r="E2" s="50">
        <f t="shared" si="121"/>
        <v>5.3699999999999998E-2</v>
      </c>
      <c r="F2" s="50">
        <f t="shared" si="121"/>
        <v>5.3699999999999998E-2</v>
      </c>
      <c r="G2" s="50">
        <f t="shared" si="121"/>
        <v>5.3699999999999998E-2</v>
      </c>
      <c r="H2" s="50">
        <f t="shared" si="121"/>
        <v>5.3699999999999998E-2</v>
      </c>
      <c r="I2" s="50">
        <f t="shared" si="121"/>
        <v>5.3699999999999998E-2</v>
      </c>
      <c r="J2" s="50">
        <f t="shared" si="121"/>
        <v>5.3699999999999998E-2</v>
      </c>
      <c r="K2" s="50">
        <f t="shared" si="121"/>
        <v>5.3699999999999998E-2</v>
      </c>
      <c r="L2" s="50">
        <f t="shared" si="121"/>
        <v>5.3699999999999998E-2</v>
      </c>
      <c r="M2" s="50">
        <f t="shared" si="121"/>
        <v>5.3699999999999998E-2</v>
      </c>
      <c r="N2" s="51">
        <f t="shared" si="121"/>
        <v>5.3699999999999998E-2</v>
      </c>
      <c r="O2" s="50">
        <f t="shared" si="121"/>
        <v>5.3699999999999998E-2</v>
      </c>
      <c r="P2" s="50">
        <f t="shared" si="121"/>
        <v>5.3699999999999998E-2</v>
      </c>
      <c r="Q2" s="50">
        <f t="shared" si="121"/>
        <v>5.3699999999999998E-2</v>
      </c>
      <c r="R2" s="50">
        <f t="shared" si="121"/>
        <v>5.3699999999999998E-2</v>
      </c>
      <c r="S2" s="50">
        <f t="shared" ref="S2:AH2" si="122">R2</f>
        <v>5.3699999999999998E-2</v>
      </c>
      <c r="T2" s="50">
        <f t="shared" si="122"/>
        <v>5.3699999999999998E-2</v>
      </c>
      <c r="U2" s="50">
        <f t="shared" si="122"/>
        <v>5.3699999999999998E-2</v>
      </c>
      <c r="V2" s="50">
        <f t="shared" si="122"/>
        <v>5.3699999999999998E-2</v>
      </c>
      <c r="W2" s="50">
        <f t="shared" si="122"/>
        <v>5.3699999999999998E-2</v>
      </c>
      <c r="X2" s="50">
        <f t="shared" si="122"/>
        <v>5.3699999999999998E-2</v>
      </c>
      <c r="Y2" s="50">
        <f t="shared" si="122"/>
        <v>5.3699999999999998E-2</v>
      </c>
      <c r="Z2" s="51">
        <f t="shared" si="122"/>
        <v>5.3699999999999998E-2</v>
      </c>
      <c r="AA2" s="50">
        <f t="shared" si="122"/>
        <v>5.3699999999999998E-2</v>
      </c>
      <c r="AB2" s="50">
        <f t="shared" si="122"/>
        <v>5.3699999999999998E-2</v>
      </c>
      <c r="AC2" s="50">
        <f t="shared" si="122"/>
        <v>5.3699999999999998E-2</v>
      </c>
      <c r="AD2" s="50">
        <f t="shared" si="122"/>
        <v>5.3699999999999998E-2</v>
      </c>
      <c r="AE2" s="50">
        <f t="shared" si="122"/>
        <v>5.3699999999999998E-2</v>
      </c>
      <c r="AF2" s="50">
        <f t="shared" si="122"/>
        <v>5.3699999999999998E-2</v>
      </c>
      <c r="AG2" s="50">
        <f t="shared" si="122"/>
        <v>5.3699999999999998E-2</v>
      </c>
      <c r="AH2" s="50">
        <f t="shared" si="122"/>
        <v>5.3699999999999998E-2</v>
      </c>
      <c r="AI2" s="50">
        <f t="shared" ref="AI2:AX2" si="123">AH2</f>
        <v>5.3699999999999998E-2</v>
      </c>
      <c r="AJ2" s="50">
        <f t="shared" si="123"/>
        <v>5.3699999999999998E-2</v>
      </c>
      <c r="AK2" s="50">
        <f t="shared" si="123"/>
        <v>5.3699999999999998E-2</v>
      </c>
      <c r="AL2" s="51">
        <f t="shared" si="123"/>
        <v>5.3699999999999998E-2</v>
      </c>
      <c r="AM2" s="50">
        <f t="shared" si="123"/>
        <v>5.3699999999999998E-2</v>
      </c>
      <c r="AN2" s="50">
        <f t="shared" si="123"/>
        <v>5.3699999999999998E-2</v>
      </c>
      <c r="AO2" s="50">
        <f t="shared" si="123"/>
        <v>5.3699999999999998E-2</v>
      </c>
      <c r="AP2" s="50">
        <f t="shared" si="123"/>
        <v>5.3699999999999998E-2</v>
      </c>
      <c r="AQ2" s="50">
        <f t="shared" si="123"/>
        <v>5.3699999999999998E-2</v>
      </c>
      <c r="AR2" s="50">
        <f t="shared" si="123"/>
        <v>5.3699999999999998E-2</v>
      </c>
      <c r="AS2" s="50">
        <f t="shared" si="123"/>
        <v>5.3699999999999998E-2</v>
      </c>
      <c r="AT2" s="50">
        <f t="shared" si="123"/>
        <v>5.3699999999999998E-2</v>
      </c>
      <c r="AU2" s="50">
        <f t="shared" si="123"/>
        <v>5.3699999999999998E-2</v>
      </c>
      <c r="AV2" s="50">
        <f t="shared" si="123"/>
        <v>5.3699999999999998E-2</v>
      </c>
      <c r="AW2" s="50">
        <f t="shared" si="123"/>
        <v>5.3699999999999998E-2</v>
      </c>
      <c r="AX2" s="51">
        <f t="shared" si="123"/>
        <v>5.3699999999999998E-2</v>
      </c>
      <c r="AY2" s="50">
        <f t="shared" ref="AY2:BH2" si="124">AX2</f>
        <v>5.3699999999999998E-2</v>
      </c>
      <c r="AZ2" s="50">
        <f t="shared" si="124"/>
        <v>5.3699999999999998E-2</v>
      </c>
      <c r="BA2" s="50">
        <f t="shared" si="124"/>
        <v>5.3699999999999998E-2</v>
      </c>
      <c r="BB2" s="50">
        <f t="shared" si="124"/>
        <v>5.3699999999999998E-2</v>
      </c>
      <c r="BC2" s="50">
        <f t="shared" si="124"/>
        <v>5.3699999999999998E-2</v>
      </c>
      <c r="BD2" s="50">
        <f t="shared" si="124"/>
        <v>5.3699999999999998E-2</v>
      </c>
      <c r="BE2" s="50">
        <f t="shared" si="124"/>
        <v>5.3699999999999998E-2</v>
      </c>
      <c r="BF2" s="50">
        <f t="shared" si="124"/>
        <v>5.3699999999999998E-2</v>
      </c>
      <c r="BG2" s="50">
        <f t="shared" si="124"/>
        <v>5.3699999999999998E-2</v>
      </c>
      <c r="BH2" s="50">
        <f t="shared" si="124"/>
        <v>5.3699999999999998E-2</v>
      </c>
      <c r="BI2" s="50">
        <f t="shared" ref="BI2" si="125">BH2</f>
        <v>5.3699999999999998E-2</v>
      </c>
      <c r="BJ2" s="50">
        <f t="shared" ref="BJ2" si="126">BI2</f>
        <v>5.3699999999999998E-2</v>
      </c>
      <c r="BK2" s="50">
        <f t="shared" ref="BK2" si="127">BJ2</f>
        <v>5.3699999999999998E-2</v>
      </c>
      <c r="BL2" s="50">
        <f t="shared" ref="BL2" si="128">BK2</f>
        <v>5.3699999999999998E-2</v>
      </c>
      <c r="BM2" s="50">
        <f t="shared" ref="BM2" si="129">BL2</f>
        <v>5.3699999999999998E-2</v>
      </c>
      <c r="BN2" s="50">
        <f t="shared" ref="BN2" si="130">BM2</f>
        <v>5.3699999999999998E-2</v>
      </c>
      <c r="BO2" s="50">
        <f t="shared" ref="BO2" si="131">BN2</f>
        <v>5.3699999999999998E-2</v>
      </c>
      <c r="BP2" s="50">
        <f t="shared" ref="BP2" si="132">BO2</f>
        <v>5.3699999999999998E-2</v>
      </c>
      <c r="BQ2" s="50">
        <f t="shared" ref="BQ2" si="133">BP2</f>
        <v>5.3699999999999998E-2</v>
      </c>
      <c r="BR2" s="50">
        <f t="shared" ref="BR2" si="134">BQ2</f>
        <v>5.3699999999999998E-2</v>
      </c>
      <c r="BS2" s="50">
        <f t="shared" ref="BS2" si="135">BR2</f>
        <v>5.3699999999999998E-2</v>
      </c>
      <c r="BT2" s="50">
        <f t="shared" ref="BT2" si="136">BS2</f>
        <v>5.3699999999999998E-2</v>
      </c>
      <c r="BU2" s="50">
        <f t="shared" ref="BU2" si="137">BT2</f>
        <v>5.3699999999999998E-2</v>
      </c>
      <c r="BV2" s="50">
        <f t="shared" ref="BV2" si="138">BU2</f>
        <v>5.3699999999999998E-2</v>
      </c>
      <c r="BW2" s="50">
        <f t="shared" ref="BW2" si="139">BV2</f>
        <v>5.3699999999999998E-2</v>
      </c>
      <c r="BX2" s="50">
        <f t="shared" ref="BX2" si="140">BW2</f>
        <v>5.3699999999999998E-2</v>
      </c>
      <c r="BY2" s="50">
        <f t="shared" ref="BY2" si="141">BX2</f>
        <v>5.3699999999999998E-2</v>
      </c>
      <c r="BZ2" s="50">
        <f t="shared" ref="BZ2" si="142">BY2</f>
        <v>5.3699999999999998E-2</v>
      </c>
      <c r="CA2" s="50">
        <f t="shared" ref="CA2" si="143">BZ2</f>
        <v>5.3699999999999998E-2</v>
      </c>
      <c r="CB2" s="50">
        <f t="shared" ref="CB2" si="144">CA2</f>
        <v>5.3699999999999998E-2</v>
      </c>
      <c r="CC2" s="50">
        <f t="shared" ref="CC2" si="145">CB2</f>
        <v>5.3699999999999998E-2</v>
      </c>
      <c r="CD2" s="50">
        <f t="shared" ref="CD2" si="146">CC2</f>
        <v>5.3699999999999998E-2</v>
      </c>
      <c r="CE2" s="50">
        <f t="shared" ref="CE2" si="147">CD2</f>
        <v>5.3699999999999998E-2</v>
      </c>
      <c r="CF2" s="50">
        <f t="shared" ref="CF2" si="148">CE2</f>
        <v>5.3699999999999998E-2</v>
      </c>
      <c r="CG2" s="50">
        <f t="shared" ref="CG2" si="149">CF2</f>
        <v>5.3699999999999998E-2</v>
      </c>
      <c r="CH2" s="50">
        <f t="shared" ref="CH2" si="150">CG2</f>
        <v>5.3699999999999998E-2</v>
      </c>
      <c r="CI2" s="50">
        <f t="shared" ref="CI2" si="151">CH2</f>
        <v>5.3699999999999998E-2</v>
      </c>
      <c r="CJ2" s="50">
        <f t="shared" ref="CJ2" si="152">CI2</f>
        <v>5.3699999999999998E-2</v>
      </c>
      <c r="CK2" s="50">
        <f t="shared" ref="CK2" si="153">CJ2</f>
        <v>5.3699999999999998E-2</v>
      </c>
      <c r="CL2" s="50">
        <f t="shared" ref="CL2" si="154">CK2</f>
        <v>5.3699999999999998E-2</v>
      </c>
      <c r="CM2" s="50">
        <f t="shared" ref="CM2" si="155">CL2</f>
        <v>5.3699999999999998E-2</v>
      </c>
      <c r="CN2" s="50">
        <f t="shared" ref="CN2" si="156">CM2</f>
        <v>5.3699999999999998E-2</v>
      </c>
      <c r="CO2" s="50">
        <f t="shared" ref="CO2" si="157">CN2</f>
        <v>5.3699999999999998E-2</v>
      </c>
      <c r="CP2" s="50">
        <f t="shared" ref="CP2" si="158">CO2</f>
        <v>5.3699999999999998E-2</v>
      </c>
      <c r="CQ2" s="50">
        <f t="shared" ref="CQ2" si="159">CP2</f>
        <v>5.3699999999999998E-2</v>
      </c>
      <c r="CR2" s="50">
        <f t="shared" ref="CR2" si="160">CQ2</f>
        <v>5.3699999999999998E-2</v>
      </c>
      <c r="CS2" s="50">
        <f t="shared" ref="CS2" si="161">CR2</f>
        <v>5.3699999999999998E-2</v>
      </c>
      <c r="CT2" s="50">
        <f t="shared" ref="CT2" si="162">CS2</f>
        <v>5.3699999999999998E-2</v>
      </c>
      <c r="CU2" s="50">
        <f t="shared" ref="CU2" si="163">CT2</f>
        <v>5.3699999999999998E-2</v>
      </c>
      <c r="CV2" s="50">
        <f t="shared" ref="CV2" si="164">CU2</f>
        <v>5.3699999999999998E-2</v>
      </c>
      <c r="CW2" s="50">
        <f t="shared" ref="CW2" si="165">CV2</f>
        <v>5.3699999999999998E-2</v>
      </c>
      <c r="CX2" s="50">
        <f t="shared" ref="CX2" si="166">CW2</f>
        <v>5.3699999999999998E-2</v>
      </c>
      <c r="CY2" s="50">
        <f t="shared" ref="CY2" si="167">CX2</f>
        <v>5.3699999999999998E-2</v>
      </c>
      <c r="CZ2" s="50">
        <f t="shared" ref="CZ2" si="168">CY2</f>
        <v>5.3699999999999998E-2</v>
      </c>
      <c r="DA2" s="50">
        <f t="shared" ref="DA2" si="169">CZ2</f>
        <v>5.3699999999999998E-2</v>
      </c>
      <c r="DB2" s="50">
        <f t="shared" ref="DB2" si="170">DA2</f>
        <v>5.3699999999999998E-2</v>
      </c>
      <c r="DC2" s="50">
        <f t="shared" ref="DC2" si="171">DB2</f>
        <v>5.3699999999999998E-2</v>
      </c>
      <c r="DD2" s="50">
        <f t="shared" ref="DD2" si="172">DC2</f>
        <v>5.3699999999999998E-2</v>
      </c>
      <c r="DE2" s="50">
        <f t="shared" ref="DE2" si="173">DD2</f>
        <v>5.3699999999999998E-2</v>
      </c>
      <c r="DF2" s="50">
        <f t="shared" ref="DF2" si="174">DE2</f>
        <v>5.3699999999999998E-2</v>
      </c>
      <c r="DG2" s="50">
        <f t="shared" ref="DG2" si="175">DF2</f>
        <v>5.3699999999999998E-2</v>
      </c>
      <c r="DH2" s="50">
        <f t="shared" ref="DH2" si="176">DG2</f>
        <v>5.3699999999999998E-2</v>
      </c>
      <c r="DI2" s="50">
        <f t="shared" ref="DI2" si="177">DH2</f>
        <v>5.3699999999999998E-2</v>
      </c>
      <c r="DJ2" s="50">
        <f t="shared" ref="DJ2" si="178">DI2</f>
        <v>5.3699999999999998E-2</v>
      </c>
      <c r="DK2" s="50">
        <f t="shared" ref="DK2" si="179">DJ2</f>
        <v>5.3699999999999998E-2</v>
      </c>
      <c r="DL2" s="50">
        <f t="shared" ref="DL2" si="180">DK2</f>
        <v>5.3699999999999998E-2</v>
      </c>
      <c r="DM2" s="50">
        <f t="shared" ref="DM2" si="181">DL2</f>
        <v>5.3699999999999998E-2</v>
      </c>
      <c r="DN2" s="50">
        <f t="shared" ref="DN2" si="182">DM2</f>
        <v>5.3699999999999998E-2</v>
      </c>
      <c r="DO2" s="50">
        <f t="shared" ref="DO2" si="183">DN2</f>
        <v>5.3699999999999998E-2</v>
      </c>
      <c r="DP2" s="50">
        <f t="shared" ref="DP2" si="184">DO2</f>
        <v>5.3699999999999998E-2</v>
      </c>
      <c r="DQ2" s="50">
        <f t="shared" ref="DQ2" si="185">DP2</f>
        <v>5.3699999999999998E-2</v>
      </c>
      <c r="DR2" s="50">
        <f t="shared" ref="DR2" si="186">DQ2</f>
        <v>5.3699999999999998E-2</v>
      </c>
      <c r="DS2" s="50">
        <f t="shared" ref="DS2" si="187">DR2</f>
        <v>5.3699999999999998E-2</v>
      </c>
      <c r="DT2" s="50">
        <f t="shared" ref="DT2" si="188">DS2</f>
        <v>5.3699999999999998E-2</v>
      </c>
      <c r="DU2" s="50">
        <f t="shared" ref="DU2" si="189">DT2</f>
        <v>5.3699999999999998E-2</v>
      </c>
      <c r="DV2" s="50">
        <f t="shared" ref="DV2" si="190">DU2</f>
        <v>5.3699999999999998E-2</v>
      </c>
      <c r="DW2" s="50">
        <f t="shared" ref="DW2" si="191">DV2</f>
        <v>5.3699999999999998E-2</v>
      </c>
      <c r="DX2" s="50">
        <f t="shared" ref="DX2" si="192">DW2</f>
        <v>5.3699999999999998E-2</v>
      </c>
      <c r="DY2" s="50">
        <f t="shared" ref="DY2" si="193">DX2</f>
        <v>5.3699999999999998E-2</v>
      </c>
      <c r="DZ2" s="50">
        <f t="shared" ref="DZ2" si="194">DY2</f>
        <v>5.3699999999999998E-2</v>
      </c>
      <c r="EA2" s="50">
        <f t="shared" ref="EA2" si="195">DZ2</f>
        <v>5.3699999999999998E-2</v>
      </c>
      <c r="EB2" s="50">
        <f t="shared" ref="EB2" si="196">EA2</f>
        <v>5.3699999999999998E-2</v>
      </c>
      <c r="EC2" s="50">
        <f t="shared" ref="EC2" si="197">EB2</f>
        <v>5.3699999999999998E-2</v>
      </c>
      <c r="ED2" s="50">
        <f t="shared" ref="ED2" si="198">EC2</f>
        <v>5.3699999999999998E-2</v>
      </c>
      <c r="EE2" s="50">
        <f t="shared" ref="EE2" si="199">ED2</f>
        <v>5.3699999999999998E-2</v>
      </c>
      <c r="EF2" s="50">
        <f t="shared" ref="EF2" si="200">EE2</f>
        <v>5.3699999999999998E-2</v>
      </c>
      <c r="EG2" s="50">
        <f t="shared" ref="EG2" si="201">EF2</f>
        <v>5.3699999999999998E-2</v>
      </c>
      <c r="EH2" s="50">
        <f t="shared" ref="EH2" si="202">EG2</f>
        <v>5.3699999999999998E-2</v>
      </c>
      <c r="EI2" s="50">
        <f t="shared" ref="EI2" si="203">EH2</f>
        <v>5.3699999999999998E-2</v>
      </c>
      <c r="EJ2" s="50">
        <f t="shared" ref="EJ2" si="204">EI2</f>
        <v>5.3699999999999998E-2</v>
      </c>
      <c r="EK2" s="50">
        <f t="shared" ref="EK2" si="205">EJ2</f>
        <v>5.3699999999999998E-2</v>
      </c>
      <c r="EL2" s="50">
        <f t="shared" ref="EL2" si="206">EK2</f>
        <v>5.3699999999999998E-2</v>
      </c>
      <c r="EM2" s="50">
        <f t="shared" ref="EM2" si="207">EL2</f>
        <v>5.3699999999999998E-2</v>
      </c>
      <c r="EN2" s="50">
        <f t="shared" ref="EN2" si="208">EM2</f>
        <v>5.3699999999999998E-2</v>
      </c>
      <c r="EO2" s="50">
        <f t="shared" ref="EO2" si="209">EN2</f>
        <v>5.3699999999999998E-2</v>
      </c>
      <c r="EP2" s="50">
        <f t="shared" ref="EP2" si="210">EO2</f>
        <v>5.3699999999999998E-2</v>
      </c>
      <c r="EQ2" s="50">
        <f t="shared" ref="EQ2" si="211">EP2</f>
        <v>5.3699999999999998E-2</v>
      </c>
      <c r="ER2" s="50">
        <f t="shared" ref="ER2" si="212">EQ2</f>
        <v>5.3699999999999998E-2</v>
      </c>
      <c r="ES2" s="50">
        <f t="shared" ref="ES2" si="213">ER2</f>
        <v>5.3699999999999998E-2</v>
      </c>
      <c r="ET2" s="50">
        <f t="shared" ref="ET2" si="214">ES2</f>
        <v>5.3699999999999998E-2</v>
      </c>
      <c r="EU2" s="50">
        <f t="shared" ref="EU2" si="215">ET2</f>
        <v>5.3699999999999998E-2</v>
      </c>
      <c r="EV2" s="50">
        <f t="shared" ref="EV2" si="216">EU2</f>
        <v>5.3699999999999998E-2</v>
      </c>
      <c r="EW2" s="50">
        <f t="shared" ref="EW2" si="217">EV2</f>
        <v>5.3699999999999998E-2</v>
      </c>
      <c r="EX2" s="50">
        <f t="shared" ref="EX2" si="218">EW2</f>
        <v>5.3699999999999998E-2</v>
      </c>
      <c r="EY2" s="50">
        <f t="shared" ref="EY2" si="219">EX2</f>
        <v>5.3699999999999998E-2</v>
      </c>
      <c r="EZ2" s="50">
        <f t="shared" ref="EZ2" si="220">EY2</f>
        <v>5.3699999999999998E-2</v>
      </c>
      <c r="FA2" s="50">
        <f t="shared" ref="FA2" si="221">EZ2</f>
        <v>5.3699999999999998E-2</v>
      </c>
      <c r="FB2" s="50">
        <f t="shared" ref="FB2" si="222">FA2</f>
        <v>5.3699999999999998E-2</v>
      </c>
      <c r="FC2" s="50">
        <f t="shared" ref="FC2" si="223">FB2</f>
        <v>5.3699999999999998E-2</v>
      </c>
      <c r="FD2" s="50">
        <f t="shared" ref="FD2" si="224">FC2</f>
        <v>5.3699999999999998E-2</v>
      </c>
      <c r="FE2" s="50">
        <f t="shared" ref="FE2" si="225">FD2</f>
        <v>5.3699999999999998E-2</v>
      </c>
      <c r="FF2" s="50">
        <f t="shared" ref="FF2" si="226">FE2</f>
        <v>5.3699999999999998E-2</v>
      </c>
      <c r="FG2" s="50">
        <f t="shared" ref="FG2" si="227">FF2</f>
        <v>5.3699999999999998E-2</v>
      </c>
      <c r="FH2" s="50">
        <f t="shared" ref="FH2" si="228">FG2</f>
        <v>5.3699999999999998E-2</v>
      </c>
      <c r="FI2" s="50">
        <f t="shared" ref="FI2" si="229">FH2</f>
        <v>5.3699999999999998E-2</v>
      </c>
      <c r="FJ2" s="50">
        <f t="shared" ref="FJ2" si="230">FI2</f>
        <v>5.3699999999999998E-2</v>
      </c>
      <c r="FK2" s="50">
        <f t="shared" ref="FK2" si="231">FJ2</f>
        <v>5.3699999999999998E-2</v>
      </c>
      <c r="FL2" s="50">
        <f t="shared" ref="FL2" si="232">FK2</f>
        <v>5.3699999999999998E-2</v>
      </c>
      <c r="FM2" s="50">
        <f t="shared" ref="FM2" si="233">FL2</f>
        <v>5.3699999999999998E-2</v>
      </c>
      <c r="FN2" s="50">
        <f t="shared" ref="FN2" si="234">FM2</f>
        <v>5.3699999999999998E-2</v>
      </c>
      <c r="FO2" s="50">
        <f t="shared" ref="FO2" si="235">FN2</f>
        <v>5.3699999999999998E-2</v>
      </c>
      <c r="FP2" s="50">
        <f t="shared" ref="FP2" si="236">FO2</f>
        <v>5.3699999999999998E-2</v>
      </c>
      <c r="FQ2" s="50">
        <f t="shared" ref="FQ2" si="237">FP2</f>
        <v>5.3699999999999998E-2</v>
      </c>
      <c r="FR2" s="50">
        <f t="shared" ref="FR2" si="238">FQ2</f>
        <v>5.3699999999999998E-2</v>
      </c>
      <c r="FS2" s="50">
        <f t="shared" ref="FS2" si="239">FR2</f>
        <v>5.3699999999999998E-2</v>
      </c>
      <c r="FT2" s="50">
        <f t="shared" ref="FT2" si="240">FS2</f>
        <v>5.3699999999999998E-2</v>
      </c>
      <c r="FU2" s="50">
        <f t="shared" ref="FU2" si="241">FT2</f>
        <v>5.3699999999999998E-2</v>
      </c>
      <c r="FV2" s="50">
        <f t="shared" ref="FV2" si="242">FU2</f>
        <v>5.3699999999999998E-2</v>
      </c>
      <c r="FW2" s="50">
        <f t="shared" ref="FW2" si="243">FV2</f>
        <v>5.3699999999999998E-2</v>
      </c>
      <c r="FX2" s="50">
        <f t="shared" ref="FX2" si="244">FW2</f>
        <v>5.3699999999999998E-2</v>
      </c>
      <c r="FY2" s="50">
        <f t="shared" ref="FY2" si="245">FX2</f>
        <v>5.3699999999999998E-2</v>
      </c>
      <c r="FZ2" s="50"/>
    </row>
    <row r="3" spans="1:182" x14ac:dyDescent="0.2">
      <c r="A3" s="2" t="s">
        <v>154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  <c r="FE3" s="52"/>
      <c r="FF3" s="52"/>
      <c r="FG3" s="52"/>
      <c r="FH3" s="52"/>
      <c r="FI3" s="52"/>
      <c r="FJ3" s="52"/>
      <c r="FK3" s="52"/>
      <c r="FL3" s="52"/>
      <c r="FM3" s="52"/>
      <c r="FN3" s="52"/>
      <c r="FO3" s="52"/>
      <c r="FP3" s="52"/>
      <c r="FQ3" s="52"/>
      <c r="FR3" s="52"/>
      <c r="FS3" s="52"/>
      <c r="FT3" s="52"/>
      <c r="FU3" s="52"/>
      <c r="FV3" s="52"/>
      <c r="FW3" s="52"/>
      <c r="FX3" s="52"/>
      <c r="FY3" s="52"/>
      <c r="FZ3" s="53"/>
    </row>
    <row r="4" spans="1:182" x14ac:dyDescent="0.2">
      <c r="A4" s="2" t="s">
        <v>155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3"/>
    </row>
    <row r="5" spans="1:182" x14ac:dyDescent="0.2">
      <c r="A5" s="2" t="s">
        <v>156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  <c r="FE5" s="52"/>
      <c r="FF5" s="52"/>
      <c r="FG5" s="52"/>
      <c r="FH5" s="52"/>
      <c r="FI5" s="52"/>
      <c r="FJ5" s="52"/>
      <c r="FK5" s="52"/>
      <c r="FL5" s="52"/>
      <c r="FM5" s="52"/>
      <c r="FN5" s="52"/>
      <c r="FO5" s="52"/>
      <c r="FP5" s="52"/>
      <c r="FQ5" s="52"/>
      <c r="FR5" s="52"/>
      <c r="FS5" s="52"/>
      <c r="FT5" s="52"/>
      <c r="FU5" s="52"/>
      <c r="FV5" s="52"/>
      <c r="FW5" s="52"/>
      <c r="FX5" s="52"/>
      <c r="FY5" s="52"/>
      <c r="FZ5" s="53"/>
    </row>
    <row r="6" spans="1:182" x14ac:dyDescent="0.2">
      <c r="A6" s="2" t="s">
        <v>157</v>
      </c>
      <c r="B6" s="52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2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2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2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2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4"/>
      <c r="EN6" s="54"/>
      <c r="EO6" s="54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4"/>
      <c r="FD6" s="54"/>
      <c r="FE6" s="54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4"/>
      <c r="FT6" s="54"/>
      <c r="FU6" s="54"/>
      <c r="FV6" s="54"/>
      <c r="FW6" s="54"/>
      <c r="FX6" s="54"/>
      <c r="FY6" s="54"/>
      <c r="FZ6" s="54"/>
    </row>
    <row r="7" spans="1:182" x14ac:dyDescent="0.2">
      <c r="A7" s="2" t="s">
        <v>158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4"/>
      <c r="EN7" s="54"/>
      <c r="EO7" s="54"/>
      <c r="EP7" s="54"/>
      <c r="EQ7" s="54"/>
      <c r="ER7" s="54"/>
      <c r="ES7" s="54"/>
      <c r="ET7" s="54"/>
      <c r="EU7" s="54"/>
      <c r="EV7" s="54"/>
      <c r="EW7" s="54"/>
      <c r="EX7" s="54"/>
      <c r="EY7" s="54"/>
      <c r="EZ7" s="54"/>
      <c r="FA7" s="54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</row>
    <row r="8" spans="1:182" x14ac:dyDescent="0.2">
      <c r="A8" s="2" t="s">
        <v>159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3"/>
    </row>
    <row r="9" spans="1:182" x14ac:dyDescent="0.2">
      <c r="A9" s="2" t="s">
        <v>160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3"/>
    </row>
    <row r="10" spans="1:182" x14ac:dyDescent="0.2">
      <c r="A10" s="2" t="s">
        <v>161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3"/>
    </row>
    <row r="11" spans="1:182" x14ac:dyDescent="0.2">
      <c r="A11" s="2" t="s">
        <v>162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3"/>
    </row>
    <row r="12" spans="1:182" x14ac:dyDescent="0.2">
      <c r="A12" s="2" t="s">
        <v>163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3"/>
    </row>
    <row r="13" spans="1:182" x14ac:dyDescent="0.2">
      <c r="A13" s="2" t="s">
        <v>164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6"/>
    </row>
    <row r="14" spans="1:182" x14ac:dyDescent="0.2">
      <c r="A14" s="2" t="s">
        <v>165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6"/>
    </row>
    <row r="15" spans="1:182" x14ac:dyDescent="0.2">
      <c r="A15" s="2" t="s">
        <v>166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6"/>
    </row>
    <row r="18" spans="1:184" x14ac:dyDescent="0.2">
      <c r="A18" s="2" t="s">
        <v>167</v>
      </c>
      <c r="Z18" s="57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7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7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9"/>
    </row>
    <row r="19" spans="1:184" x14ac:dyDescent="0.2">
      <c r="A19" s="2" t="s">
        <v>168</v>
      </c>
      <c r="Z19" s="57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7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7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  <c r="FT19" s="58"/>
      <c r="FU19" s="58"/>
      <c r="FV19" s="58"/>
      <c r="FW19" s="58"/>
      <c r="FX19" s="58"/>
      <c r="FY19" s="58"/>
      <c r="FZ19" s="59"/>
    </row>
    <row r="21" spans="1:184" x14ac:dyDescent="0.2">
      <c r="A21" s="2" t="s">
        <v>169</v>
      </c>
      <c r="B21" s="60">
        <v>1</v>
      </c>
      <c r="C21" s="60">
        <f>B21</f>
        <v>1</v>
      </c>
      <c r="D21" s="60">
        <f t="shared" ref="D21:BH21" si="246">C21</f>
        <v>1</v>
      </c>
      <c r="E21" s="60">
        <f t="shared" si="246"/>
        <v>1</v>
      </c>
      <c r="F21" s="60">
        <f t="shared" si="246"/>
        <v>1</v>
      </c>
      <c r="G21" s="60">
        <f t="shared" si="246"/>
        <v>1</v>
      </c>
      <c r="H21" s="60">
        <f t="shared" si="246"/>
        <v>1</v>
      </c>
      <c r="I21" s="60">
        <f t="shared" si="246"/>
        <v>1</v>
      </c>
      <c r="J21" s="60">
        <f t="shared" si="246"/>
        <v>1</v>
      </c>
      <c r="K21" s="60">
        <f t="shared" si="246"/>
        <v>1</v>
      </c>
      <c r="L21" s="60">
        <f t="shared" si="246"/>
        <v>1</v>
      </c>
      <c r="M21" s="60">
        <f t="shared" si="246"/>
        <v>1</v>
      </c>
      <c r="N21" s="60">
        <f t="shared" si="246"/>
        <v>1</v>
      </c>
      <c r="O21" s="60">
        <f t="shared" si="246"/>
        <v>1</v>
      </c>
      <c r="P21" s="60">
        <f t="shared" si="246"/>
        <v>1</v>
      </c>
      <c r="Q21" s="60">
        <f t="shared" si="246"/>
        <v>1</v>
      </c>
      <c r="R21" s="60">
        <f t="shared" si="246"/>
        <v>1</v>
      </c>
      <c r="S21" s="60">
        <f t="shared" si="246"/>
        <v>1</v>
      </c>
      <c r="T21" s="60">
        <f t="shared" si="246"/>
        <v>1</v>
      </c>
      <c r="U21" s="60">
        <f t="shared" si="246"/>
        <v>1</v>
      </c>
      <c r="V21" s="60">
        <f t="shared" si="246"/>
        <v>1</v>
      </c>
      <c r="W21" s="60">
        <f t="shared" si="246"/>
        <v>1</v>
      </c>
      <c r="X21" s="60">
        <f t="shared" si="246"/>
        <v>1</v>
      </c>
      <c r="Y21" s="60">
        <f t="shared" si="246"/>
        <v>1</v>
      </c>
      <c r="Z21" s="60">
        <f t="shared" si="246"/>
        <v>1</v>
      </c>
      <c r="AA21" s="60">
        <f t="shared" si="246"/>
        <v>1</v>
      </c>
      <c r="AB21" s="60">
        <f t="shared" si="246"/>
        <v>1</v>
      </c>
      <c r="AC21" s="60">
        <f t="shared" si="246"/>
        <v>1</v>
      </c>
      <c r="AD21" s="60">
        <f t="shared" si="246"/>
        <v>1</v>
      </c>
      <c r="AE21" s="60">
        <f t="shared" si="246"/>
        <v>1</v>
      </c>
      <c r="AF21" s="60">
        <f t="shared" si="246"/>
        <v>1</v>
      </c>
      <c r="AG21" s="60">
        <f t="shared" si="246"/>
        <v>1</v>
      </c>
      <c r="AH21" s="60">
        <f t="shared" si="246"/>
        <v>1</v>
      </c>
      <c r="AI21" s="60">
        <f t="shared" si="246"/>
        <v>1</v>
      </c>
      <c r="AJ21" s="60">
        <f t="shared" si="246"/>
        <v>1</v>
      </c>
      <c r="AK21" s="60">
        <f t="shared" si="246"/>
        <v>1</v>
      </c>
      <c r="AL21" s="60">
        <f t="shared" si="246"/>
        <v>1</v>
      </c>
      <c r="AM21" s="60">
        <f t="shared" si="246"/>
        <v>1</v>
      </c>
      <c r="AN21" s="60">
        <f t="shared" si="246"/>
        <v>1</v>
      </c>
      <c r="AO21" s="60">
        <f t="shared" si="246"/>
        <v>1</v>
      </c>
      <c r="AP21" s="60">
        <f t="shared" si="246"/>
        <v>1</v>
      </c>
      <c r="AQ21" s="60">
        <f t="shared" si="246"/>
        <v>1</v>
      </c>
      <c r="AR21" s="60">
        <f t="shared" si="246"/>
        <v>1</v>
      </c>
      <c r="AS21" s="60">
        <f t="shared" si="246"/>
        <v>1</v>
      </c>
      <c r="AT21" s="60">
        <f t="shared" si="246"/>
        <v>1</v>
      </c>
      <c r="AU21" s="60">
        <f t="shared" si="246"/>
        <v>1</v>
      </c>
      <c r="AV21" s="60">
        <f t="shared" si="246"/>
        <v>1</v>
      </c>
      <c r="AW21" s="60">
        <f t="shared" si="246"/>
        <v>1</v>
      </c>
      <c r="AX21" s="60">
        <f t="shared" si="246"/>
        <v>1</v>
      </c>
      <c r="AY21" s="60">
        <f t="shared" si="246"/>
        <v>1</v>
      </c>
      <c r="AZ21" s="60">
        <f t="shared" si="246"/>
        <v>1</v>
      </c>
      <c r="BA21" s="60">
        <f t="shared" si="246"/>
        <v>1</v>
      </c>
      <c r="BB21" s="60">
        <f t="shared" si="246"/>
        <v>1</v>
      </c>
      <c r="BC21" s="60">
        <f t="shared" si="246"/>
        <v>1</v>
      </c>
      <c r="BD21" s="60">
        <f t="shared" si="246"/>
        <v>1</v>
      </c>
      <c r="BE21" s="60">
        <f t="shared" si="246"/>
        <v>1</v>
      </c>
      <c r="BF21" s="60">
        <f t="shared" si="246"/>
        <v>1</v>
      </c>
      <c r="BG21" s="60">
        <f t="shared" si="246"/>
        <v>1</v>
      </c>
      <c r="BH21" s="60">
        <f t="shared" si="246"/>
        <v>1</v>
      </c>
      <c r="BI21" s="60">
        <f t="shared" ref="BI21:BI22" si="247">BH21</f>
        <v>1</v>
      </c>
      <c r="BJ21" s="60">
        <f t="shared" ref="BJ21:BJ22" si="248">BI21</f>
        <v>1</v>
      </c>
      <c r="BK21" s="60">
        <f t="shared" ref="BK21:BK22" si="249">BJ21</f>
        <v>1</v>
      </c>
      <c r="BL21" s="60">
        <f t="shared" ref="BL21:BL22" si="250">BK21</f>
        <v>1</v>
      </c>
      <c r="BM21" s="60">
        <f t="shared" ref="BM21:BM22" si="251">BL21</f>
        <v>1</v>
      </c>
      <c r="BN21" s="60">
        <f t="shared" ref="BN21:BN22" si="252">BM21</f>
        <v>1</v>
      </c>
      <c r="BO21" s="60">
        <f t="shared" ref="BO21:BO22" si="253">BN21</f>
        <v>1</v>
      </c>
      <c r="BP21" s="60">
        <f t="shared" ref="BP21:BP22" si="254">BO21</f>
        <v>1</v>
      </c>
      <c r="BQ21" s="60">
        <f t="shared" ref="BQ21:BQ22" si="255">BP21</f>
        <v>1</v>
      </c>
      <c r="BR21" s="60">
        <f t="shared" ref="BR21:BR22" si="256">BQ21</f>
        <v>1</v>
      </c>
      <c r="BS21" s="60">
        <f t="shared" ref="BS21:BS22" si="257">BR21</f>
        <v>1</v>
      </c>
      <c r="BT21" s="60">
        <f t="shared" ref="BT21:BT22" si="258">BS21</f>
        <v>1</v>
      </c>
      <c r="BU21" s="60">
        <f t="shared" ref="BU21:BU22" si="259">BT21</f>
        <v>1</v>
      </c>
      <c r="BV21" s="60">
        <f t="shared" ref="BV21:BV22" si="260">BU21</f>
        <v>1</v>
      </c>
      <c r="BW21" s="60">
        <f t="shared" ref="BW21:BW22" si="261">BV21</f>
        <v>1</v>
      </c>
      <c r="BX21" s="60">
        <f t="shared" ref="BX21:BX22" si="262">BW21</f>
        <v>1</v>
      </c>
      <c r="BY21" s="60">
        <f t="shared" ref="BY21:BY22" si="263">BX21</f>
        <v>1</v>
      </c>
      <c r="BZ21" s="60">
        <f t="shared" ref="BZ21:BZ22" si="264">BY21</f>
        <v>1</v>
      </c>
      <c r="CA21" s="60">
        <f t="shared" ref="CA21:CA22" si="265">BZ21</f>
        <v>1</v>
      </c>
      <c r="CB21" s="60">
        <f t="shared" ref="CB21:CB22" si="266">CA21</f>
        <v>1</v>
      </c>
      <c r="CC21" s="60">
        <f t="shared" ref="CC21:CC22" si="267">CB21</f>
        <v>1</v>
      </c>
      <c r="CD21" s="60">
        <f t="shared" ref="CD21:CD22" si="268">CC21</f>
        <v>1</v>
      </c>
      <c r="CE21" s="60">
        <f t="shared" ref="CE21:CE22" si="269">CD21</f>
        <v>1</v>
      </c>
      <c r="CF21" s="60">
        <f t="shared" ref="CF21:CF22" si="270">CE21</f>
        <v>1</v>
      </c>
      <c r="CG21" s="60">
        <f t="shared" ref="CG21:CG22" si="271">CF21</f>
        <v>1</v>
      </c>
      <c r="CH21" s="60">
        <f t="shared" ref="CH21:CH22" si="272">CG21</f>
        <v>1</v>
      </c>
      <c r="CI21" s="60">
        <f t="shared" ref="CI21:CI22" si="273">CH21</f>
        <v>1</v>
      </c>
      <c r="CJ21" s="60">
        <f t="shared" ref="CJ21:CJ22" si="274">CI21</f>
        <v>1</v>
      </c>
      <c r="CK21" s="60">
        <f t="shared" ref="CK21:CK22" si="275">CJ21</f>
        <v>1</v>
      </c>
      <c r="CL21" s="60">
        <f t="shared" ref="CL21:CL22" si="276">CK21</f>
        <v>1</v>
      </c>
      <c r="CM21" s="60">
        <f t="shared" ref="CM21:CM22" si="277">CL21</f>
        <v>1</v>
      </c>
      <c r="CN21" s="60">
        <f t="shared" ref="CN21:CN22" si="278">CM21</f>
        <v>1</v>
      </c>
      <c r="CO21" s="60">
        <f t="shared" ref="CO21:CO22" si="279">CN21</f>
        <v>1</v>
      </c>
      <c r="CP21" s="60">
        <f t="shared" ref="CP21:CP22" si="280">CO21</f>
        <v>1</v>
      </c>
      <c r="CQ21" s="60">
        <f t="shared" ref="CQ21:CQ22" si="281">CP21</f>
        <v>1</v>
      </c>
      <c r="CR21" s="60">
        <f t="shared" ref="CR21:CR22" si="282">CQ21</f>
        <v>1</v>
      </c>
      <c r="CS21" s="60">
        <f t="shared" ref="CS21:CS22" si="283">CR21</f>
        <v>1</v>
      </c>
      <c r="CT21" s="60">
        <f t="shared" ref="CT21:CT22" si="284">CS21</f>
        <v>1</v>
      </c>
      <c r="CU21" s="60">
        <f t="shared" ref="CU21:CU22" si="285">CT21</f>
        <v>1</v>
      </c>
      <c r="CV21" s="60">
        <f t="shared" ref="CV21:CV22" si="286">CU21</f>
        <v>1</v>
      </c>
      <c r="CW21" s="60">
        <f t="shared" ref="CW21:CW22" si="287">CV21</f>
        <v>1</v>
      </c>
      <c r="CX21" s="60">
        <f t="shared" ref="CX21:CX22" si="288">CW21</f>
        <v>1</v>
      </c>
      <c r="CY21" s="60">
        <f t="shared" ref="CY21:CY22" si="289">CX21</f>
        <v>1</v>
      </c>
      <c r="CZ21" s="60">
        <f t="shared" ref="CZ21:CZ22" si="290">CY21</f>
        <v>1</v>
      </c>
      <c r="DA21" s="60">
        <f t="shared" ref="DA21:DA22" si="291">CZ21</f>
        <v>1</v>
      </c>
      <c r="DB21" s="60">
        <f t="shared" ref="DB21:DB22" si="292">DA21</f>
        <v>1</v>
      </c>
      <c r="DC21" s="60">
        <f t="shared" ref="DC21:DC22" si="293">DB21</f>
        <v>1</v>
      </c>
      <c r="DD21" s="60">
        <f t="shared" ref="DD21:DD22" si="294">DC21</f>
        <v>1</v>
      </c>
      <c r="DE21" s="60">
        <f t="shared" ref="DE21:DE22" si="295">DD21</f>
        <v>1</v>
      </c>
      <c r="DF21" s="60">
        <f t="shared" ref="DF21:DF22" si="296">DE21</f>
        <v>1</v>
      </c>
      <c r="DG21" s="60">
        <f t="shared" ref="DG21:DG22" si="297">DF21</f>
        <v>1</v>
      </c>
      <c r="DH21" s="60">
        <f t="shared" ref="DH21:DH22" si="298">DG21</f>
        <v>1</v>
      </c>
      <c r="DI21" s="60">
        <f t="shared" ref="DI21:DI22" si="299">DH21</f>
        <v>1</v>
      </c>
      <c r="DJ21" s="60">
        <f t="shared" ref="DJ21:DJ22" si="300">DI21</f>
        <v>1</v>
      </c>
      <c r="DK21" s="60">
        <f t="shared" ref="DK21:DK22" si="301">DJ21</f>
        <v>1</v>
      </c>
      <c r="DL21" s="60">
        <f t="shared" ref="DL21:DL22" si="302">DK21</f>
        <v>1</v>
      </c>
      <c r="DM21" s="60">
        <f t="shared" ref="DM21:DM22" si="303">DL21</f>
        <v>1</v>
      </c>
      <c r="DN21" s="60">
        <f t="shared" ref="DN21:DN22" si="304">DM21</f>
        <v>1</v>
      </c>
      <c r="DO21" s="60">
        <f t="shared" ref="DO21:DO22" si="305">DN21</f>
        <v>1</v>
      </c>
      <c r="DP21" s="60">
        <f t="shared" ref="DP21:DP22" si="306">DO21</f>
        <v>1</v>
      </c>
      <c r="DQ21" s="60">
        <f t="shared" ref="DQ21:DQ22" si="307">DP21</f>
        <v>1</v>
      </c>
      <c r="DR21" s="60">
        <f t="shared" ref="DR21:DR22" si="308">DQ21</f>
        <v>1</v>
      </c>
      <c r="DS21" s="60">
        <f t="shared" ref="DS21:DS22" si="309">DR21</f>
        <v>1</v>
      </c>
      <c r="DT21" s="60">
        <f t="shared" ref="DT21:DT22" si="310">DS21</f>
        <v>1</v>
      </c>
      <c r="DU21" s="60">
        <f t="shared" ref="DU21:DU22" si="311">DT21</f>
        <v>1</v>
      </c>
      <c r="DV21" s="60">
        <f t="shared" ref="DV21:DV22" si="312">DU21</f>
        <v>1</v>
      </c>
      <c r="DW21" s="60">
        <f t="shared" ref="DW21:DW22" si="313">DV21</f>
        <v>1</v>
      </c>
      <c r="DX21" s="60">
        <f t="shared" ref="DX21:DX22" si="314">DW21</f>
        <v>1</v>
      </c>
      <c r="DY21" s="60">
        <f t="shared" ref="DY21:DY22" si="315">DX21</f>
        <v>1</v>
      </c>
      <c r="DZ21" s="60">
        <f t="shared" ref="DZ21:DZ22" si="316">DY21</f>
        <v>1</v>
      </c>
      <c r="EA21" s="60">
        <f t="shared" ref="EA21:EA22" si="317">DZ21</f>
        <v>1</v>
      </c>
      <c r="EB21" s="60">
        <f t="shared" ref="EB21:EB22" si="318">EA21</f>
        <v>1</v>
      </c>
      <c r="EC21" s="60">
        <f t="shared" ref="EC21:EC22" si="319">EB21</f>
        <v>1</v>
      </c>
      <c r="ED21" s="60">
        <f t="shared" ref="ED21:ED22" si="320">EC21</f>
        <v>1</v>
      </c>
      <c r="EE21" s="60">
        <f t="shared" ref="EE21:EE22" si="321">ED21</f>
        <v>1</v>
      </c>
      <c r="EF21" s="60">
        <f t="shared" ref="EF21:EF22" si="322">EE21</f>
        <v>1</v>
      </c>
      <c r="EG21" s="60">
        <f t="shared" ref="EG21:EG22" si="323">EF21</f>
        <v>1</v>
      </c>
      <c r="EH21" s="60">
        <f t="shared" ref="EH21:EH22" si="324">EG21</f>
        <v>1</v>
      </c>
      <c r="EI21" s="60">
        <f t="shared" ref="EI21:EI22" si="325">EH21</f>
        <v>1</v>
      </c>
      <c r="EJ21" s="60">
        <f t="shared" ref="EJ21:EJ22" si="326">EI21</f>
        <v>1</v>
      </c>
      <c r="EK21" s="60">
        <f t="shared" ref="EK21:EK22" si="327">EJ21</f>
        <v>1</v>
      </c>
      <c r="EL21" s="60">
        <f t="shared" ref="EL21:EL22" si="328">EK21</f>
        <v>1</v>
      </c>
      <c r="EM21" s="60">
        <f t="shared" ref="EM21:EM22" si="329">EL21</f>
        <v>1</v>
      </c>
      <c r="EN21" s="60">
        <f t="shared" ref="EN21:EN22" si="330">EM21</f>
        <v>1</v>
      </c>
      <c r="EO21" s="60">
        <f t="shared" ref="EO21:EO22" si="331">EN21</f>
        <v>1</v>
      </c>
      <c r="EP21" s="60">
        <f t="shared" ref="EP21:EP22" si="332">EO21</f>
        <v>1</v>
      </c>
      <c r="EQ21" s="60">
        <f t="shared" ref="EQ21:EQ22" si="333">EP21</f>
        <v>1</v>
      </c>
      <c r="ER21" s="60">
        <f t="shared" ref="ER21:ER22" si="334">EQ21</f>
        <v>1</v>
      </c>
      <c r="ES21" s="60">
        <f t="shared" ref="ES21:ES22" si="335">ER21</f>
        <v>1</v>
      </c>
      <c r="ET21" s="60">
        <f t="shared" ref="ET21:ET22" si="336">ES21</f>
        <v>1</v>
      </c>
      <c r="EU21" s="60">
        <f t="shared" ref="EU21:EU22" si="337">ET21</f>
        <v>1</v>
      </c>
      <c r="EV21" s="60">
        <f t="shared" ref="EV21:EV22" si="338">EU21</f>
        <v>1</v>
      </c>
      <c r="EW21" s="60">
        <f t="shared" ref="EW21:EW22" si="339">EV21</f>
        <v>1</v>
      </c>
      <c r="EX21" s="60">
        <f t="shared" ref="EX21:EX22" si="340">EW21</f>
        <v>1</v>
      </c>
      <c r="EY21" s="60">
        <f t="shared" ref="EY21:EY22" si="341">EX21</f>
        <v>1</v>
      </c>
      <c r="EZ21" s="60">
        <f t="shared" ref="EZ21:EZ22" si="342">EY21</f>
        <v>1</v>
      </c>
      <c r="FA21" s="60">
        <f t="shared" ref="FA21:FA22" si="343">EZ21</f>
        <v>1</v>
      </c>
      <c r="FB21" s="60">
        <f t="shared" ref="FB21:FB22" si="344">FA21</f>
        <v>1</v>
      </c>
      <c r="FC21" s="60">
        <f t="shared" ref="FC21:FC22" si="345">FB21</f>
        <v>1</v>
      </c>
      <c r="FD21" s="60">
        <f t="shared" ref="FD21:FD22" si="346">FC21</f>
        <v>1</v>
      </c>
      <c r="FE21" s="60">
        <f t="shared" ref="FE21:FE22" si="347">FD21</f>
        <v>1</v>
      </c>
      <c r="FF21" s="60">
        <f t="shared" ref="FF21:FF22" si="348">FE21</f>
        <v>1</v>
      </c>
      <c r="FG21" s="60">
        <f t="shared" ref="FG21:FG22" si="349">FF21</f>
        <v>1</v>
      </c>
      <c r="FH21" s="60">
        <f t="shared" ref="FH21:FH22" si="350">FG21</f>
        <v>1</v>
      </c>
      <c r="FI21" s="60">
        <f t="shared" ref="FI21:FI22" si="351">FH21</f>
        <v>1</v>
      </c>
      <c r="FJ21" s="60">
        <f t="shared" ref="FJ21:FJ22" si="352">FI21</f>
        <v>1</v>
      </c>
      <c r="FK21" s="60">
        <f t="shared" ref="FK21:FK22" si="353">FJ21</f>
        <v>1</v>
      </c>
      <c r="FL21" s="60">
        <f t="shared" ref="FL21:FL22" si="354">FK21</f>
        <v>1</v>
      </c>
      <c r="FM21" s="60">
        <f t="shared" ref="FM21:FM22" si="355">FL21</f>
        <v>1</v>
      </c>
      <c r="FN21" s="60">
        <f t="shared" ref="FN21:FN22" si="356">FM21</f>
        <v>1</v>
      </c>
      <c r="FO21" s="60">
        <f t="shared" ref="FO21:FO22" si="357">FN21</f>
        <v>1</v>
      </c>
      <c r="FP21" s="60">
        <f t="shared" ref="FP21:FP22" si="358">FO21</f>
        <v>1</v>
      </c>
      <c r="FQ21" s="60">
        <f t="shared" ref="FQ21:FQ22" si="359">FP21</f>
        <v>1</v>
      </c>
      <c r="FR21" s="60">
        <f t="shared" ref="FR21:FR22" si="360">FQ21</f>
        <v>1</v>
      </c>
      <c r="FS21" s="60">
        <f t="shared" ref="FS21:FS22" si="361">FR21</f>
        <v>1</v>
      </c>
      <c r="FT21" s="60">
        <f t="shared" ref="FT21:FT22" si="362">FS21</f>
        <v>1</v>
      </c>
      <c r="FU21" s="60">
        <f t="shared" ref="FU21:FU22" si="363">FT21</f>
        <v>1</v>
      </c>
      <c r="FV21" s="60">
        <f t="shared" ref="FV21:FV22" si="364">FU21</f>
        <v>1</v>
      </c>
      <c r="FW21" s="60">
        <f t="shared" ref="FW21:FW22" si="365">FV21</f>
        <v>1</v>
      </c>
      <c r="FX21" s="60">
        <f t="shared" ref="FX21:FX22" si="366">FW21</f>
        <v>1</v>
      </c>
      <c r="FY21" s="60">
        <f t="shared" ref="FY21:FY22" si="367">FX21</f>
        <v>1</v>
      </c>
      <c r="FZ21" s="61"/>
      <c r="GB21" s="1"/>
    </row>
    <row r="22" spans="1:184" x14ac:dyDescent="0.2">
      <c r="A22" s="2" t="s">
        <v>170</v>
      </c>
      <c r="B22" s="57">
        <f>BEL!E5</f>
        <v>36</v>
      </c>
      <c r="C22" s="58">
        <f>B22</f>
        <v>36</v>
      </c>
      <c r="D22" s="58">
        <f>C22</f>
        <v>36</v>
      </c>
      <c r="E22" s="58">
        <f t="shared" ref="E22:BH22" si="368">D22</f>
        <v>36</v>
      </c>
      <c r="F22" s="58">
        <f t="shared" si="368"/>
        <v>36</v>
      </c>
      <c r="G22" s="58">
        <f t="shared" si="368"/>
        <v>36</v>
      </c>
      <c r="H22" s="58">
        <f t="shared" si="368"/>
        <v>36</v>
      </c>
      <c r="I22" s="58">
        <f t="shared" si="368"/>
        <v>36</v>
      </c>
      <c r="J22" s="58">
        <f t="shared" si="368"/>
        <v>36</v>
      </c>
      <c r="K22" s="58">
        <f t="shared" si="368"/>
        <v>36</v>
      </c>
      <c r="L22" s="58">
        <f t="shared" si="368"/>
        <v>36</v>
      </c>
      <c r="M22" s="58">
        <f t="shared" si="368"/>
        <v>36</v>
      </c>
      <c r="N22" s="58">
        <f t="shared" si="368"/>
        <v>36</v>
      </c>
      <c r="O22" s="58">
        <f t="shared" si="368"/>
        <v>36</v>
      </c>
      <c r="P22" s="58">
        <f t="shared" si="368"/>
        <v>36</v>
      </c>
      <c r="Q22" s="58">
        <f t="shared" si="368"/>
        <v>36</v>
      </c>
      <c r="R22" s="58">
        <f t="shared" si="368"/>
        <v>36</v>
      </c>
      <c r="S22" s="58">
        <f t="shared" si="368"/>
        <v>36</v>
      </c>
      <c r="T22" s="58">
        <f t="shared" si="368"/>
        <v>36</v>
      </c>
      <c r="U22" s="58">
        <f t="shared" si="368"/>
        <v>36</v>
      </c>
      <c r="V22" s="58">
        <f t="shared" si="368"/>
        <v>36</v>
      </c>
      <c r="W22" s="58">
        <f t="shared" si="368"/>
        <v>36</v>
      </c>
      <c r="X22" s="58">
        <f t="shared" si="368"/>
        <v>36</v>
      </c>
      <c r="Y22" s="58">
        <f t="shared" si="368"/>
        <v>36</v>
      </c>
      <c r="Z22" s="58">
        <f t="shared" si="368"/>
        <v>36</v>
      </c>
      <c r="AA22" s="58">
        <f t="shared" si="368"/>
        <v>36</v>
      </c>
      <c r="AB22" s="58">
        <f t="shared" si="368"/>
        <v>36</v>
      </c>
      <c r="AC22" s="58">
        <f t="shared" si="368"/>
        <v>36</v>
      </c>
      <c r="AD22" s="58">
        <f t="shared" si="368"/>
        <v>36</v>
      </c>
      <c r="AE22" s="58">
        <f t="shared" si="368"/>
        <v>36</v>
      </c>
      <c r="AF22" s="58">
        <f t="shared" si="368"/>
        <v>36</v>
      </c>
      <c r="AG22" s="58">
        <f t="shared" si="368"/>
        <v>36</v>
      </c>
      <c r="AH22" s="58">
        <f t="shared" si="368"/>
        <v>36</v>
      </c>
      <c r="AI22" s="58">
        <f t="shared" si="368"/>
        <v>36</v>
      </c>
      <c r="AJ22" s="58">
        <f t="shared" si="368"/>
        <v>36</v>
      </c>
      <c r="AK22" s="58">
        <f t="shared" si="368"/>
        <v>36</v>
      </c>
      <c r="AL22" s="58">
        <f t="shared" si="368"/>
        <v>36</v>
      </c>
      <c r="AM22" s="58">
        <f t="shared" si="368"/>
        <v>36</v>
      </c>
      <c r="AN22" s="58">
        <f t="shared" si="368"/>
        <v>36</v>
      </c>
      <c r="AO22" s="58">
        <f t="shared" si="368"/>
        <v>36</v>
      </c>
      <c r="AP22" s="58">
        <f t="shared" si="368"/>
        <v>36</v>
      </c>
      <c r="AQ22" s="58">
        <f t="shared" si="368"/>
        <v>36</v>
      </c>
      <c r="AR22" s="58">
        <f t="shared" si="368"/>
        <v>36</v>
      </c>
      <c r="AS22" s="58">
        <f t="shared" si="368"/>
        <v>36</v>
      </c>
      <c r="AT22" s="58">
        <f t="shared" si="368"/>
        <v>36</v>
      </c>
      <c r="AU22" s="58">
        <f t="shared" si="368"/>
        <v>36</v>
      </c>
      <c r="AV22" s="58">
        <f t="shared" si="368"/>
        <v>36</v>
      </c>
      <c r="AW22" s="58">
        <f t="shared" si="368"/>
        <v>36</v>
      </c>
      <c r="AX22" s="58">
        <f t="shared" si="368"/>
        <v>36</v>
      </c>
      <c r="AY22" s="58">
        <f t="shared" si="368"/>
        <v>36</v>
      </c>
      <c r="AZ22" s="58">
        <f t="shared" si="368"/>
        <v>36</v>
      </c>
      <c r="BA22" s="58">
        <f t="shared" si="368"/>
        <v>36</v>
      </c>
      <c r="BB22" s="58">
        <f t="shared" si="368"/>
        <v>36</v>
      </c>
      <c r="BC22" s="58">
        <f t="shared" si="368"/>
        <v>36</v>
      </c>
      <c r="BD22" s="58">
        <f t="shared" si="368"/>
        <v>36</v>
      </c>
      <c r="BE22" s="58">
        <f t="shared" si="368"/>
        <v>36</v>
      </c>
      <c r="BF22" s="58">
        <f t="shared" si="368"/>
        <v>36</v>
      </c>
      <c r="BG22" s="58">
        <f t="shared" si="368"/>
        <v>36</v>
      </c>
      <c r="BH22" s="58">
        <f t="shared" si="368"/>
        <v>36</v>
      </c>
      <c r="BI22" s="58">
        <f t="shared" si="247"/>
        <v>36</v>
      </c>
      <c r="BJ22" s="58">
        <f t="shared" si="248"/>
        <v>36</v>
      </c>
      <c r="BK22" s="58">
        <f t="shared" si="249"/>
        <v>36</v>
      </c>
      <c r="BL22" s="58">
        <f t="shared" si="250"/>
        <v>36</v>
      </c>
      <c r="BM22" s="58">
        <f t="shared" si="251"/>
        <v>36</v>
      </c>
      <c r="BN22" s="58">
        <f t="shared" si="252"/>
        <v>36</v>
      </c>
      <c r="BO22" s="58">
        <f t="shared" si="253"/>
        <v>36</v>
      </c>
      <c r="BP22" s="58">
        <f t="shared" si="254"/>
        <v>36</v>
      </c>
      <c r="BQ22" s="58">
        <f t="shared" si="255"/>
        <v>36</v>
      </c>
      <c r="BR22" s="58">
        <f t="shared" si="256"/>
        <v>36</v>
      </c>
      <c r="BS22" s="58">
        <f t="shared" si="257"/>
        <v>36</v>
      </c>
      <c r="BT22" s="58">
        <f t="shared" si="258"/>
        <v>36</v>
      </c>
      <c r="BU22" s="58">
        <f t="shared" si="259"/>
        <v>36</v>
      </c>
      <c r="BV22" s="58">
        <f t="shared" si="260"/>
        <v>36</v>
      </c>
      <c r="BW22" s="58">
        <f t="shared" si="261"/>
        <v>36</v>
      </c>
      <c r="BX22" s="58">
        <f t="shared" si="262"/>
        <v>36</v>
      </c>
      <c r="BY22" s="58">
        <f t="shared" si="263"/>
        <v>36</v>
      </c>
      <c r="BZ22" s="58">
        <f t="shared" si="264"/>
        <v>36</v>
      </c>
      <c r="CA22" s="58">
        <f t="shared" si="265"/>
        <v>36</v>
      </c>
      <c r="CB22" s="58">
        <f t="shared" si="266"/>
        <v>36</v>
      </c>
      <c r="CC22" s="58">
        <f t="shared" si="267"/>
        <v>36</v>
      </c>
      <c r="CD22" s="58">
        <f t="shared" si="268"/>
        <v>36</v>
      </c>
      <c r="CE22" s="58">
        <f t="shared" si="269"/>
        <v>36</v>
      </c>
      <c r="CF22" s="58">
        <f t="shared" si="270"/>
        <v>36</v>
      </c>
      <c r="CG22" s="58">
        <f t="shared" si="271"/>
        <v>36</v>
      </c>
      <c r="CH22" s="58">
        <f t="shared" si="272"/>
        <v>36</v>
      </c>
      <c r="CI22" s="58">
        <f t="shared" si="273"/>
        <v>36</v>
      </c>
      <c r="CJ22" s="58">
        <f t="shared" si="274"/>
        <v>36</v>
      </c>
      <c r="CK22" s="58">
        <f t="shared" si="275"/>
        <v>36</v>
      </c>
      <c r="CL22" s="58">
        <f t="shared" si="276"/>
        <v>36</v>
      </c>
      <c r="CM22" s="58">
        <f t="shared" si="277"/>
        <v>36</v>
      </c>
      <c r="CN22" s="58">
        <f t="shared" si="278"/>
        <v>36</v>
      </c>
      <c r="CO22" s="58">
        <f t="shared" si="279"/>
        <v>36</v>
      </c>
      <c r="CP22" s="58">
        <f t="shared" si="280"/>
        <v>36</v>
      </c>
      <c r="CQ22" s="58">
        <f t="shared" si="281"/>
        <v>36</v>
      </c>
      <c r="CR22" s="58">
        <f t="shared" si="282"/>
        <v>36</v>
      </c>
      <c r="CS22" s="58">
        <f t="shared" si="283"/>
        <v>36</v>
      </c>
      <c r="CT22" s="58">
        <f t="shared" si="284"/>
        <v>36</v>
      </c>
      <c r="CU22" s="58">
        <f t="shared" si="285"/>
        <v>36</v>
      </c>
      <c r="CV22" s="58">
        <f t="shared" si="286"/>
        <v>36</v>
      </c>
      <c r="CW22" s="58">
        <f t="shared" si="287"/>
        <v>36</v>
      </c>
      <c r="CX22" s="58">
        <f t="shared" si="288"/>
        <v>36</v>
      </c>
      <c r="CY22" s="58">
        <f t="shared" si="289"/>
        <v>36</v>
      </c>
      <c r="CZ22" s="58">
        <f t="shared" si="290"/>
        <v>36</v>
      </c>
      <c r="DA22" s="58">
        <f t="shared" si="291"/>
        <v>36</v>
      </c>
      <c r="DB22" s="58">
        <f t="shared" si="292"/>
        <v>36</v>
      </c>
      <c r="DC22" s="58">
        <f t="shared" si="293"/>
        <v>36</v>
      </c>
      <c r="DD22" s="58">
        <f t="shared" si="294"/>
        <v>36</v>
      </c>
      <c r="DE22" s="58">
        <f t="shared" si="295"/>
        <v>36</v>
      </c>
      <c r="DF22" s="58">
        <f t="shared" si="296"/>
        <v>36</v>
      </c>
      <c r="DG22" s="58">
        <f t="shared" si="297"/>
        <v>36</v>
      </c>
      <c r="DH22" s="58">
        <f t="shared" si="298"/>
        <v>36</v>
      </c>
      <c r="DI22" s="58">
        <f t="shared" si="299"/>
        <v>36</v>
      </c>
      <c r="DJ22" s="58">
        <f t="shared" si="300"/>
        <v>36</v>
      </c>
      <c r="DK22" s="58">
        <f t="shared" si="301"/>
        <v>36</v>
      </c>
      <c r="DL22" s="58">
        <f t="shared" si="302"/>
        <v>36</v>
      </c>
      <c r="DM22" s="58">
        <f t="shared" si="303"/>
        <v>36</v>
      </c>
      <c r="DN22" s="58">
        <f t="shared" si="304"/>
        <v>36</v>
      </c>
      <c r="DO22" s="58">
        <f t="shared" si="305"/>
        <v>36</v>
      </c>
      <c r="DP22" s="58">
        <f t="shared" si="306"/>
        <v>36</v>
      </c>
      <c r="DQ22" s="58">
        <f t="shared" si="307"/>
        <v>36</v>
      </c>
      <c r="DR22" s="58">
        <f t="shared" si="308"/>
        <v>36</v>
      </c>
      <c r="DS22" s="58">
        <f t="shared" si="309"/>
        <v>36</v>
      </c>
      <c r="DT22" s="58">
        <f t="shared" si="310"/>
        <v>36</v>
      </c>
      <c r="DU22" s="58">
        <f t="shared" si="311"/>
        <v>36</v>
      </c>
      <c r="DV22" s="58">
        <f t="shared" si="312"/>
        <v>36</v>
      </c>
      <c r="DW22" s="58">
        <f t="shared" si="313"/>
        <v>36</v>
      </c>
      <c r="DX22" s="58">
        <f t="shared" si="314"/>
        <v>36</v>
      </c>
      <c r="DY22" s="58">
        <f t="shared" si="315"/>
        <v>36</v>
      </c>
      <c r="DZ22" s="58">
        <f t="shared" si="316"/>
        <v>36</v>
      </c>
      <c r="EA22" s="58">
        <f t="shared" si="317"/>
        <v>36</v>
      </c>
      <c r="EB22" s="58">
        <f t="shared" si="318"/>
        <v>36</v>
      </c>
      <c r="EC22" s="58">
        <f t="shared" si="319"/>
        <v>36</v>
      </c>
      <c r="ED22" s="58">
        <f t="shared" si="320"/>
        <v>36</v>
      </c>
      <c r="EE22" s="58">
        <f t="shared" si="321"/>
        <v>36</v>
      </c>
      <c r="EF22" s="58">
        <f t="shared" si="322"/>
        <v>36</v>
      </c>
      <c r="EG22" s="58">
        <f t="shared" si="323"/>
        <v>36</v>
      </c>
      <c r="EH22" s="58">
        <f t="shared" si="324"/>
        <v>36</v>
      </c>
      <c r="EI22" s="58">
        <f t="shared" si="325"/>
        <v>36</v>
      </c>
      <c r="EJ22" s="58">
        <f t="shared" si="326"/>
        <v>36</v>
      </c>
      <c r="EK22" s="58">
        <f t="shared" si="327"/>
        <v>36</v>
      </c>
      <c r="EL22" s="58">
        <f t="shared" si="328"/>
        <v>36</v>
      </c>
      <c r="EM22" s="58">
        <f t="shared" si="329"/>
        <v>36</v>
      </c>
      <c r="EN22" s="58">
        <f t="shared" si="330"/>
        <v>36</v>
      </c>
      <c r="EO22" s="58">
        <f t="shared" si="331"/>
        <v>36</v>
      </c>
      <c r="EP22" s="58">
        <f t="shared" si="332"/>
        <v>36</v>
      </c>
      <c r="EQ22" s="58">
        <f t="shared" si="333"/>
        <v>36</v>
      </c>
      <c r="ER22" s="58">
        <f t="shared" si="334"/>
        <v>36</v>
      </c>
      <c r="ES22" s="58">
        <f t="shared" si="335"/>
        <v>36</v>
      </c>
      <c r="ET22" s="58">
        <f t="shared" si="336"/>
        <v>36</v>
      </c>
      <c r="EU22" s="58">
        <f t="shared" si="337"/>
        <v>36</v>
      </c>
      <c r="EV22" s="58">
        <f t="shared" si="338"/>
        <v>36</v>
      </c>
      <c r="EW22" s="58">
        <f t="shared" si="339"/>
        <v>36</v>
      </c>
      <c r="EX22" s="58">
        <f t="shared" si="340"/>
        <v>36</v>
      </c>
      <c r="EY22" s="58">
        <f t="shared" si="341"/>
        <v>36</v>
      </c>
      <c r="EZ22" s="58">
        <f t="shared" si="342"/>
        <v>36</v>
      </c>
      <c r="FA22" s="58">
        <f t="shared" si="343"/>
        <v>36</v>
      </c>
      <c r="FB22" s="58">
        <f t="shared" si="344"/>
        <v>36</v>
      </c>
      <c r="FC22" s="58">
        <f t="shared" si="345"/>
        <v>36</v>
      </c>
      <c r="FD22" s="58">
        <f t="shared" si="346"/>
        <v>36</v>
      </c>
      <c r="FE22" s="58">
        <f t="shared" si="347"/>
        <v>36</v>
      </c>
      <c r="FF22" s="58">
        <f t="shared" si="348"/>
        <v>36</v>
      </c>
      <c r="FG22" s="58">
        <f t="shared" si="349"/>
        <v>36</v>
      </c>
      <c r="FH22" s="58">
        <f t="shared" si="350"/>
        <v>36</v>
      </c>
      <c r="FI22" s="58">
        <f t="shared" si="351"/>
        <v>36</v>
      </c>
      <c r="FJ22" s="58">
        <f t="shared" si="352"/>
        <v>36</v>
      </c>
      <c r="FK22" s="58">
        <f t="shared" si="353"/>
        <v>36</v>
      </c>
      <c r="FL22" s="58">
        <f t="shared" si="354"/>
        <v>36</v>
      </c>
      <c r="FM22" s="58">
        <f t="shared" si="355"/>
        <v>36</v>
      </c>
      <c r="FN22" s="58">
        <f t="shared" si="356"/>
        <v>36</v>
      </c>
      <c r="FO22" s="58">
        <f t="shared" si="357"/>
        <v>36</v>
      </c>
      <c r="FP22" s="58">
        <f t="shared" si="358"/>
        <v>36</v>
      </c>
      <c r="FQ22" s="58">
        <f t="shared" si="359"/>
        <v>36</v>
      </c>
      <c r="FR22" s="58">
        <f t="shared" si="360"/>
        <v>36</v>
      </c>
      <c r="FS22" s="58">
        <f t="shared" si="361"/>
        <v>36</v>
      </c>
      <c r="FT22" s="58">
        <f t="shared" si="362"/>
        <v>36</v>
      </c>
      <c r="FU22" s="58">
        <f t="shared" si="363"/>
        <v>36</v>
      </c>
      <c r="FV22" s="58">
        <f t="shared" si="364"/>
        <v>36</v>
      </c>
      <c r="FW22" s="58">
        <f t="shared" si="365"/>
        <v>36</v>
      </c>
      <c r="FX22" s="58">
        <f t="shared" si="366"/>
        <v>36</v>
      </c>
      <c r="FY22" s="58">
        <f t="shared" si="367"/>
        <v>36</v>
      </c>
      <c r="FZ22" s="59"/>
    </row>
    <row r="23" spans="1:184" x14ac:dyDescent="0.2">
      <c r="A23" s="62" t="s">
        <v>171</v>
      </c>
      <c r="B23" s="63">
        <f>ROUNDDOWN((B1 - 1) / 12,0) + 1</f>
        <v>1</v>
      </c>
      <c r="C23" s="63">
        <f t="shared" ref="C23:BH23" si="369">ROUNDDOWN((C1 - 1) / 12,0) + 1</f>
        <v>1</v>
      </c>
      <c r="D23" s="63">
        <f t="shared" si="369"/>
        <v>1</v>
      </c>
      <c r="E23" s="63">
        <f t="shared" si="369"/>
        <v>1</v>
      </c>
      <c r="F23" s="63">
        <f t="shared" si="369"/>
        <v>1</v>
      </c>
      <c r="G23" s="63">
        <f t="shared" si="369"/>
        <v>1</v>
      </c>
      <c r="H23" s="63">
        <f t="shared" si="369"/>
        <v>1</v>
      </c>
      <c r="I23" s="63">
        <f t="shared" si="369"/>
        <v>1</v>
      </c>
      <c r="J23" s="63">
        <f t="shared" si="369"/>
        <v>1</v>
      </c>
      <c r="K23" s="63">
        <f t="shared" si="369"/>
        <v>1</v>
      </c>
      <c r="L23" s="63">
        <f t="shared" si="369"/>
        <v>1</v>
      </c>
      <c r="M23" s="63">
        <f t="shared" si="369"/>
        <v>1</v>
      </c>
      <c r="N23" s="63">
        <f t="shared" si="369"/>
        <v>2</v>
      </c>
      <c r="O23" s="63">
        <f t="shared" si="369"/>
        <v>2</v>
      </c>
      <c r="P23" s="63">
        <f t="shared" si="369"/>
        <v>2</v>
      </c>
      <c r="Q23" s="63">
        <f t="shared" si="369"/>
        <v>2</v>
      </c>
      <c r="R23" s="63">
        <f t="shared" si="369"/>
        <v>2</v>
      </c>
      <c r="S23" s="63">
        <f t="shared" si="369"/>
        <v>2</v>
      </c>
      <c r="T23" s="63">
        <f t="shared" si="369"/>
        <v>2</v>
      </c>
      <c r="U23" s="63">
        <f t="shared" si="369"/>
        <v>2</v>
      </c>
      <c r="V23" s="63">
        <f t="shared" si="369"/>
        <v>2</v>
      </c>
      <c r="W23" s="63">
        <f t="shared" si="369"/>
        <v>2</v>
      </c>
      <c r="X23" s="63">
        <f t="shared" si="369"/>
        <v>2</v>
      </c>
      <c r="Y23" s="63">
        <f t="shared" si="369"/>
        <v>2</v>
      </c>
      <c r="Z23" s="63">
        <f t="shared" si="369"/>
        <v>3</v>
      </c>
      <c r="AA23" s="63">
        <f t="shared" si="369"/>
        <v>3</v>
      </c>
      <c r="AB23" s="63">
        <f t="shared" si="369"/>
        <v>3</v>
      </c>
      <c r="AC23" s="63">
        <f t="shared" si="369"/>
        <v>3</v>
      </c>
      <c r="AD23" s="63">
        <f t="shared" si="369"/>
        <v>3</v>
      </c>
      <c r="AE23" s="63">
        <f t="shared" si="369"/>
        <v>3</v>
      </c>
      <c r="AF23" s="63">
        <f t="shared" si="369"/>
        <v>3</v>
      </c>
      <c r="AG23" s="63">
        <f t="shared" si="369"/>
        <v>3</v>
      </c>
      <c r="AH23" s="63">
        <f t="shared" si="369"/>
        <v>3</v>
      </c>
      <c r="AI23" s="63">
        <f t="shared" si="369"/>
        <v>3</v>
      </c>
      <c r="AJ23" s="63">
        <f t="shared" si="369"/>
        <v>3</v>
      </c>
      <c r="AK23" s="63">
        <f t="shared" si="369"/>
        <v>3</v>
      </c>
      <c r="AL23" s="63">
        <f t="shared" si="369"/>
        <v>4</v>
      </c>
      <c r="AM23" s="63">
        <f t="shared" si="369"/>
        <v>4</v>
      </c>
      <c r="AN23" s="63">
        <f t="shared" si="369"/>
        <v>4</v>
      </c>
      <c r="AO23" s="63">
        <f t="shared" si="369"/>
        <v>4</v>
      </c>
      <c r="AP23" s="63">
        <f t="shared" si="369"/>
        <v>4</v>
      </c>
      <c r="AQ23" s="63">
        <f t="shared" si="369"/>
        <v>4</v>
      </c>
      <c r="AR23" s="63">
        <f t="shared" si="369"/>
        <v>4</v>
      </c>
      <c r="AS23" s="63">
        <f t="shared" si="369"/>
        <v>4</v>
      </c>
      <c r="AT23" s="63">
        <f t="shared" si="369"/>
        <v>4</v>
      </c>
      <c r="AU23" s="63">
        <f t="shared" si="369"/>
        <v>4</v>
      </c>
      <c r="AV23" s="63">
        <f t="shared" si="369"/>
        <v>4</v>
      </c>
      <c r="AW23" s="63">
        <f t="shared" si="369"/>
        <v>4</v>
      </c>
      <c r="AX23" s="63">
        <f t="shared" si="369"/>
        <v>5</v>
      </c>
      <c r="AY23" s="63">
        <f t="shared" si="369"/>
        <v>5</v>
      </c>
      <c r="AZ23" s="63">
        <f t="shared" si="369"/>
        <v>5</v>
      </c>
      <c r="BA23" s="63">
        <f t="shared" si="369"/>
        <v>5</v>
      </c>
      <c r="BB23" s="63">
        <f t="shared" si="369"/>
        <v>5</v>
      </c>
      <c r="BC23" s="63">
        <f t="shared" si="369"/>
        <v>5</v>
      </c>
      <c r="BD23" s="63">
        <f t="shared" si="369"/>
        <v>5</v>
      </c>
      <c r="BE23" s="63">
        <f t="shared" si="369"/>
        <v>5</v>
      </c>
      <c r="BF23" s="63">
        <f t="shared" si="369"/>
        <v>5</v>
      </c>
      <c r="BG23" s="63">
        <f t="shared" si="369"/>
        <v>5</v>
      </c>
      <c r="BH23" s="63">
        <f t="shared" si="369"/>
        <v>5</v>
      </c>
      <c r="BI23" s="63">
        <f t="shared" ref="BI23:DP23" si="370">ROUNDDOWN((BI1 - 1) / 12,0) + 1</f>
        <v>5</v>
      </c>
      <c r="BJ23" s="63">
        <f t="shared" si="370"/>
        <v>6</v>
      </c>
      <c r="BK23" s="63">
        <f t="shared" si="370"/>
        <v>6</v>
      </c>
      <c r="BL23" s="63">
        <f t="shared" si="370"/>
        <v>6</v>
      </c>
      <c r="BM23" s="63">
        <f t="shared" si="370"/>
        <v>6</v>
      </c>
      <c r="BN23" s="63">
        <f t="shared" si="370"/>
        <v>6</v>
      </c>
      <c r="BO23" s="63">
        <f t="shared" si="370"/>
        <v>6</v>
      </c>
      <c r="BP23" s="63">
        <f t="shared" si="370"/>
        <v>6</v>
      </c>
      <c r="BQ23" s="63">
        <f t="shared" si="370"/>
        <v>6</v>
      </c>
      <c r="BR23" s="63">
        <f t="shared" si="370"/>
        <v>6</v>
      </c>
      <c r="BS23" s="63">
        <f t="shared" si="370"/>
        <v>6</v>
      </c>
      <c r="BT23" s="63">
        <f t="shared" si="370"/>
        <v>6</v>
      </c>
      <c r="BU23" s="63">
        <f t="shared" si="370"/>
        <v>6</v>
      </c>
      <c r="BV23" s="63">
        <f t="shared" si="370"/>
        <v>7</v>
      </c>
      <c r="BW23" s="63">
        <f t="shared" si="370"/>
        <v>7</v>
      </c>
      <c r="BX23" s="63">
        <f t="shared" si="370"/>
        <v>7</v>
      </c>
      <c r="BY23" s="63">
        <f t="shared" si="370"/>
        <v>7</v>
      </c>
      <c r="BZ23" s="63">
        <f t="shared" si="370"/>
        <v>7</v>
      </c>
      <c r="CA23" s="63">
        <f t="shared" si="370"/>
        <v>7</v>
      </c>
      <c r="CB23" s="63">
        <f t="shared" si="370"/>
        <v>7</v>
      </c>
      <c r="CC23" s="63">
        <f t="shared" si="370"/>
        <v>7</v>
      </c>
      <c r="CD23" s="63">
        <f t="shared" si="370"/>
        <v>7</v>
      </c>
      <c r="CE23" s="63">
        <f t="shared" si="370"/>
        <v>7</v>
      </c>
      <c r="CF23" s="63">
        <f t="shared" si="370"/>
        <v>7</v>
      </c>
      <c r="CG23" s="63">
        <f t="shared" si="370"/>
        <v>7</v>
      </c>
      <c r="CH23" s="63">
        <f t="shared" si="370"/>
        <v>8</v>
      </c>
      <c r="CI23" s="63">
        <f t="shared" si="370"/>
        <v>8</v>
      </c>
      <c r="CJ23" s="63">
        <f t="shared" si="370"/>
        <v>8</v>
      </c>
      <c r="CK23" s="63">
        <f t="shared" si="370"/>
        <v>8</v>
      </c>
      <c r="CL23" s="63">
        <f t="shared" si="370"/>
        <v>8</v>
      </c>
      <c r="CM23" s="63">
        <f t="shared" si="370"/>
        <v>8</v>
      </c>
      <c r="CN23" s="63">
        <f t="shared" si="370"/>
        <v>8</v>
      </c>
      <c r="CO23" s="63">
        <f t="shared" si="370"/>
        <v>8</v>
      </c>
      <c r="CP23" s="63">
        <f t="shared" si="370"/>
        <v>8</v>
      </c>
      <c r="CQ23" s="63">
        <f t="shared" si="370"/>
        <v>8</v>
      </c>
      <c r="CR23" s="63">
        <f t="shared" si="370"/>
        <v>8</v>
      </c>
      <c r="CS23" s="63">
        <f t="shared" si="370"/>
        <v>8</v>
      </c>
      <c r="CT23" s="63">
        <f t="shared" si="370"/>
        <v>9</v>
      </c>
      <c r="CU23" s="63">
        <f t="shared" si="370"/>
        <v>9</v>
      </c>
      <c r="CV23" s="63">
        <f t="shared" si="370"/>
        <v>9</v>
      </c>
      <c r="CW23" s="63">
        <f t="shared" si="370"/>
        <v>9</v>
      </c>
      <c r="CX23" s="63">
        <f t="shared" si="370"/>
        <v>9</v>
      </c>
      <c r="CY23" s="63">
        <f t="shared" si="370"/>
        <v>9</v>
      </c>
      <c r="CZ23" s="63">
        <f t="shared" si="370"/>
        <v>9</v>
      </c>
      <c r="DA23" s="63">
        <f t="shared" si="370"/>
        <v>9</v>
      </c>
      <c r="DB23" s="63">
        <f t="shared" si="370"/>
        <v>9</v>
      </c>
      <c r="DC23" s="63">
        <f t="shared" si="370"/>
        <v>9</v>
      </c>
      <c r="DD23" s="63">
        <f t="shared" si="370"/>
        <v>9</v>
      </c>
      <c r="DE23" s="63">
        <f t="shared" si="370"/>
        <v>9</v>
      </c>
      <c r="DF23" s="63">
        <f t="shared" si="370"/>
        <v>10</v>
      </c>
      <c r="DG23" s="63">
        <f t="shared" si="370"/>
        <v>10</v>
      </c>
      <c r="DH23" s="63">
        <f t="shared" si="370"/>
        <v>10</v>
      </c>
      <c r="DI23" s="63">
        <f t="shared" si="370"/>
        <v>10</v>
      </c>
      <c r="DJ23" s="63">
        <f t="shared" si="370"/>
        <v>10</v>
      </c>
      <c r="DK23" s="63">
        <f t="shared" si="370"/>
        <v>10</v>
      </c>
      <c r="DL23" s="63">
        <f t="shared" si="370"/>
        <v>10</v>
      </c>
      <c r="DM23" s="63">
        <f t="shared" si="370"/>
        <v>10</v>
      </c>
      <c r="DN23" s="63">
        <f t="shared" si="370"/>
        <v>10</v>
      </c>
      <c r="DO23" s="63">
        <f t="shared" si="370"/>
        <v>10</v>
      </c>
      <c r="DP23" s="63">
        <f t="shared" si="370"/>
        <v>10</v>
      </c>
      <c r="DQ23" s="63">
        <f t="shared" ref="DQ23:FY23" si="371">ROUNDDOWN((DQ1 - 1) / 12,0) + 1</f>
        <v>10</v>
      </c>
      <c r="DR23" s="63">
        <f t="shared" si="371"/>
        <v>11</v>
      </c>
      <c r="DS23" s="63">
        <f t="shared" si="371"/>
        <v>11</v>
      </c>
      <c r="DT23" s="63">
        <f t="shared" si="371"/>
        <v>11</v>
      </c>
      <c r="DU23" s="63">
        <f t="shared" si="371"/>
        <v>11</v>
      </c>
      <c r="DV23" s="63">
        <f t="shared" si="371"/>
        <v>11</v>
      </c>
      <c r="DW23" s="63">
        <f t="shared" si="371"/>
        <v>11</v>
      </c>
      <c r="DX23" s="63">
        <f t="shared" si="371"/>
        <v>11</v>
      </c>
      <c r="DY23" s="63">
        <f t="shared" si="371"/>
        <v>11</v>
      </c>
      <c r="DZ23" s="63">
        <f t="shared" si="371"/>
        <v>11</v>
      </c>
      <c r="EA23" s="63">
        <f t="shared" si="371"/>
        <v>11</v>
      </c>
      <c r="EB23" s="63">
        <f t="shared" si="371"/>
        <v>11</v>
      </c>
      <c r="EC23" s="63">
        <f t="shared" si="371"/>
        <v>11</v>
      </c>
      <c r="ED23" s="63">
        <f t="shared" si="371"/>
        <v>12</v>
      </c>
      <c r="EE23" s="63">
        <f t="shared" si="371"/>
        <v>12</v>
      </c>
      <c r="EF23" s="63">
        <f t="shared" si="371"/>
        <v>12</v>
      </c>
      <c r="EG23" s="63">
        <f t="shared" si="371"/>
        <v>12</v>
      </c>
      <c r="EH23" s="63">
        <f t="shared" si="371"/>
        <v>12</v>
      </c>
      <c r="EI23" s="63">
        <f t="shared" si="371"/>
        <v>12</v>
      </c>
      <c r="EJ23" s="63">
        <f t="shared" si="371"/>
        <v>12</v>
      </c>
      <c r="EK23" s="63">
        <f t="shared" si="371"/>
        <v>12</v>
      </c>
      <c r="EL23" s="63">
        <f t="shared" si="371"/>
        <v>12</v>
      </c>
      <c r="EM23" s="63">
        <f t="shared" si="371"/>
        <v>12</v>
      </c>
      <c r="EN23" s="63">
        <f t="shared" si="371"/>
        <v>12</v>
      </c>
      <c r="EO23" s="63">
        <f t="shared" si="371"/>
        <v>12</v>
      </c>
      <c r="EP23" s="63">
        <f t="shared" si="371"/>
        <v>13</v>
      </c>
      <c r="EQ23" s="63">
        <f t="shared" si="371"/>
        <v>13</v>
      </c>
      <c r="ER23" s="63">
        <f t="shared" si="371"/>
        <v>13</v>
      </c>
      <c r="ES23" s="63">
        <f t="shared" si="371"/>
        <v>13</v>
      </c>
      <c r="ET23" s="63">
        <f t="shared" si="371"/>
        <v>13</v>
      </c>
      <c r="EU23" s="63">
        <f t="shared" si="371"/>
        <v>13</v>
      </c>
      <c r="EV23" s="63">
        <f t="shared" si="371"/>
        <v>13</v>
      </c>
      <c r="EW23" s="63">
        <f t="shared" si="371"/>
        <v>13</v>
      </c>
      <c r="EX23" s="63">
        <f t="shared" si="371"/>
        <v>13</v>
      </c>
      <c r="EY23" s="63">
        <f t="shared" si="371"/>
        <v>13</v>
      </c>
      <c r="EZ23" s="63">
        <f t="shared" si="371"/>
        <v>13</v>
      </c>
      <c r="FA23" s="63">
        <f t="shared" si="371"/>
        <v>13</v>
      </c>
      <c r="FB23" s="63">
        <f t="shared" si="371"/>
        <v>14</v>
      </c>
      <c r="FC23" s="63">
        <f t="shared" si="371"/>
        <v>14</v>
      </c>
      <c r="FD23" s="63">
        <f t="shared" si="371"/>
        <v>14</v>
      </c>
      <c r="FE23" s="63">
        <f t="shared" si="371"/>
        <v>14</v>
      </c>
      <c r="FF23" s="63">
        <f t="shared" si="371"/>
        <v>14</v>
      </c>
      <c r="FG23" s="63">
        <f t="shared" si="371"/>
        <v>14</v>
      </c>
      <c r="FH23" s="63">
        <f t="shared" si="371"/>
        <v>14</v>
      </c>
      <c r="FI23" s="63">
        <f t="shared" si="371"/>
        <v>14</v>
      </c>
      <c r="FJ23" s="63">
        <f t="shared" si="371"/>
        <v>14</v>
      </c>
      <c r="FK23" s="63">
        <f t="shared" si="371"/>
        <v>14</v>
      </c>
      <c r="FL23" s="63">
        <f t="shared" si="371"/>
        <v>14</v>
      </c>
      <c r="FM23" s="63">
        <f t="shared" si="371"/>
        <v>14</v>
      </c>
      <c r="FN23" s="63">
        <f t="shared" si="371"/>
        <v>15</v>
      </c>
      <c r="FO23" s="63">
        <f t="shared" si="371"/>
        <v>15</v>
      </c>
      <c r="FP23" s="63">
        <f t="shared" si="371"/>
        <v>15</v>
      </c>
      <c r="FQ23" s="63">
        <f t="shared" si="371"/>
        <v>15</v>
      </c>
      <c r="FR23" s="63">
        <f t="shared" si="371"/>
        <v>15</v>
      </c>
      <c r="FS23" s="63">
        <f t="shared" si="371"/>
        <v>15</v>
      </c>
      <c r="FT23" s="63">
        <f t="shared" si="371"/>
        <v>15</v>
      </c>
      <c r="FU23" s="63">
        <f t="shared" si="371"/>
        <v>15</v>
      </c>
      <c r="FV23" s="63">
        <f t="shared" si="371"/>
        <v>15</v>
      </c>
      <c r="FW23" s="63">
        <f t="shared" si="371"/>
        <v>15</v>
      </c>
      <c r="FX23" s="63">
        <f t="shared" si="371"/>
        <v>15</v>
      </c>
      <c r="FY23" s="63">
        <f t="shared" si="371"/>
        <v>15</v>
      </c>
      <c r="FZ23" s="59"/>
    </row>
    <row r="24" spans="1:184" x14ac:dyDescent="0.2">
      <c r="A24" s="62" t="s">
        <v>172</v>
      </c>
      <c r="B24" s="63">
        <f>IF(IF((B23-1)*12+1&lt;B21,B21,(B23-1)*12+1)&gt;B22,B22,IF((B23-1)*12+1&lt;B21,B21,(B23-1)*12+1))</f>
        <v>1</v>
      </c>
      <c r="C24" s="63">
        <f t="shared" ref="C24:BH24" si="372">IF(IF((C23-1)*12+1&lt;C21,C21,(C23-1)*12+1)&gt;C22,C22,IF((C23-1)*12+1&lt;C21,C21,(C23-1)*12+1))</f>
        <v>1</v>
      </c>
      <c r="D24" s="63">
        <f t="shared" si="372"/>
        <v>1</v>
      </c>
      <c r="E24" s="63">
        <f t="shared" si="372"/>
        <v>1</v>
      </c>
      <c r="F24" s="63">
        <f t="shared" si="372"/>
        <v>1</v>
      </c>
      <c r="G24" s="63">
        <f t="shared" si="372"/>
        <v>1</v>
      </c>
      <c r="H24" s="63">
        <f t="shared" si="372"/>
        <v>1</v>
      </c>
      <c r="I24" s="63">
        <f t="shared" si="372"/>
        <v>1</v>
      </c>
      <c r="J24" s="63">
        <f t="shared" si="372"/>
        <v>1</v>
      </c>
      <c r="K24" s="63">
        <f t="shared" si="372"/>
        <v>1</v>
      </c>
      <c r="L24" s="63">
        <f t="shared" si="372"/>
        <v>1</v>
      </c>
      <c r="M24" s="63">
        <f t="shared" si="372"/>
        <v>1</v>
      </c>
      <c r="N24" s="63">
        <f t="shared" si="372"/>
        <v>13</v>
      </c>
      <c r="O24" s="63">
        <f t="shared" si="372"/>
        <v>13</v>
      </c>
      <c r="P24" s="63">
        <f t="shared" si="372"/>
        <v>13</v>
      </c>
      <c r="Q24" s="63">
        <f t="shared" si="372"/>
        <v>13</v>
      </c>
      <c r="R24" s="63">
        <f t="shared" si="372"/>
        <v>13</v>
      </c>
      <c r="S24" s="63">
        <f t="shared" si="372"/>
        <v>13</v>
      </c>
      <c r="T24" s="63">
        <f t="shared" si="372"/>
        <v>13</v>
      </c>
      <c r="U24" s="63">
        <f t="shared" si="372"/>
        <v>13</v>
      </c>
      <c r="V24" s="63">
        <f t="shared" si="372"/>
        <v>13</v>
      </c>
      <c r="W24" s="63">
        <f t="shared" si="372"/>
        <v>13</v>
      </c>
      <c r="X24" s="63">
        <f t="shared" si="372"/>
        <v>13</v>
      </c>
      <c r="Y24" s="63">
        <f t="shared" si="372"/>
        <v>13</v>
      </c>
      <c r="Z24" s="63">
        <f t="shared" si="372"/>
        <v>25</v>
      </c>
      <c r="AA24" s="63">
        <f t="shared" si="372"/>
        <v>25</v>
      </c>
      <c r="AB24" s="63">
        <f t="shared" si="372"/>
        <v>25</v>
      </c>
      <c r="AC24" s="63">
        <f t="shared" si="372"/>
        <v>25</v>
      </c>
      <c r="AD24" s="63">
        <f t="shared" si="372"/>
        <v>25</v>
      </c>
      <c r="AE24" s="63">
        <f t="shared" si="372"/>
        <v>25</v>
      </c>
      <c r="AF24" s="63">
        <f t="shared" si="372"/>
        <v>25</v>
      </c>
      <c r="AG24" s="63">
        <f t="shared" si="372"/>
        <v>25</v>
      </c>
      <c r="AH24" s="63">
        <f t="shared" si="372"/>
        <v>25</v>
      </c>
      <c r="AI24" s="63">
        <f t="shared" si="372"/>
        <v>25</v>
      </c>
      <c r="AJ24" s="63">
        <f t="shared" si="372"/>
        <v>25</v>
      </c>
      <c r="AK24" s="63">
        <f t="shared" si="372"/>
        <v>25</v>
      </c>
      <c r="AL24" s="63">
        <f t="shared" si="372"/>
        <v>36</v>
      </c>
      <c r="AM24" s="63">
        <f t="shared" si="372"/>
        <v>36</v>
      </c>
      <c r="AN24" s="63">
        <f t="shared" si="372"/>
        <v>36</v>
      </c>
      <c r="AO24" s="63">
        <f t="shared" si="372"/>
        <v>36</v>
      </c>
      <c r="AP24" s="63">
        <f t="shared" si="372"/>
        <v>36</v>
      </c>
      <c r="AQ24" s="63">
        <f t="shared" si="372"/>
        <v>36</v>
      </c>
      <c r="AR24" s="63">
        <f t="shared" si="372"/>
        <v>36</v>
      </c>
      <c r="AS24" s="63">
        <f t="shared" si="372"/>
        <v>36</v>
      </c>
      <c r="AT24" s="63">
        <f t="shared" si="372"/>
        <v>36</v>
      </c>
      <c r="AU24" s="63">
        <f t="shared" si="372"/>
        <v>36</v>
      </c>
      <c r="AV24" s="63">
        <f t="shared" si="372"/>
        <v>36</v>
      </c>
      <c r="AW24" s="63">
        <f t="shared" si="372"/>
        <v>36</v>
      </c>
      <c r="AX24" s="63">
        <f t="shared" si="372"/>
        <v>36</v>
      </c>
      <c r="AY24" s="63">
        <f t="shared" si="372"/>
        <v>36</v>
      </c>
      <c r="AZ24" s="63">
        <f t="shared" si="372"/>
        <v>36</v>
      </c>
      <c r="BA24" s="63">
        <f t="shared" si="372"/>
        <v>36</v>
      </c>
      <c r="BB24" s="63">
        <f t="shared" si="372"/>
        <v>36</v>
      </c>
      <c r="BC24" s="63">
        <f t="shared" si="372"/>
        <v>36</v>
      </c>
      <c r="BD24" s="63">
        <f t="shared" si="372"/>
        <v>36</v>
      </c>
      <c r="BE24" s="63">
        <f t="shared" si="372"/>
        <v>36</v>
      </c>
      <c r="BF24" s="63">
        <f t="shared" si="372"/>
        <v>36</v>
      </c>
      <c r="BG24" s="63">
        <f t="shared" si="372"/>
        <v>36</v>
      </c>
      <c r="BH24" s="63">
        <f t="shared" si="372"/>
        <v>36</v>
      </c>
      <c r="BI24" s="63">
        <f t="shared" ref="BI24:DP24" si="373">IF(IF((BI23-1)*12+1&lt;BI21,BI21,(BI23-1)*12+1)&gt;BI22,BI22,IF((BI23-1)*12+1&lt;BI21,BI21,(BI23-1)*12+1))</f>
        <v>36</v>
      </c>
      <c r="BJ24" s="63">
        <f t="shared" si="373"/>
        <v>36</v>
      </c>
      <c r="BK24" s="63">
        <f t="shared" si="373"/>
        <v>36</v>
      </c>
      <c r="BL24" s="63">
        <f t="shared" si="373"/>
        <v>36</v>
      </c>
      <c r="BM24" s="63">
        <f t="shared" si="373"/>
        <v>36</v>
      </c>
      <c r="BN24" s="63">
        <f t="shared" si="373"/>
        <v>36</v>
      </c>
      <c r="BO24" s="63">
        <f t="shared" si="373"/>
        <v>36</v>
      </c>
      <c r="BP24" s="63">
        <f t="shared" si="373"/>
        <v>36</v>
      </c>
      <c r="BQ24" s="63">
        <f t="shared" si="373"/>
        <v>36</v>
      </c>
      <c r="BR24" s="63">
        <f t="shared" si="373"/>
        <v>36</v>
      </c>
      <c r="BS24" s="63">
        <f t="shared" si="373"/>
        <v>36</v>
      </c>
      <c r="BT24" s="63">
        <f t="shared" si="373"/>
        <v>36</v>
      </c>
      <c r="BU24" s="63">
        <f t="shared" si="373"/>
        <v>36</v>
      </c>
      <c r="BV24" s="63">
        <f t="shared" si="373"/>
        <v>36</v>
      </c>
      <c r="BW24" s="63">
        <f t="shared" si="373"/>
        <v>36</v>
      </c>
      <c r="BX24" s="63">
        <f t="shared" si="373"/>
        <v>36</v>
      </c>
      <c r="BY24" s="63">
        <f t="shared" si="373"/>
        <v>36</v>
      </c>
      <c r="BZ24" s="63">
        <f t="shared" si="373"/>
        <v>36</v>
      </c>
      <c r="CA24" s="63">
        <f t="shared" si="373"/>
        <v>36</v>
      </c>
      <c r="CB24" s="63">
        <f t="shared" si="373"/>
        <v>36</v>
      </c>
      <c r="CC24" s="63">
        <f t="shared" si="373"/>
        <v>36</v>
      </c>
      <c r="CD24" s="63">
        <f t="shared" si="373"/>
        <v>36</v>
      </c>
      <c r="CE24" s="63">
        <f t="shared" si="373"/>
        <v>36</v>
      </c>
      <c r="CF24" s="63">
        <f t="shared" si="373"/>
        <v>36</v>
      </c>
      <c r="CG24" s="63">
        <f t="shared" si="373"/>
        <v>36</v>
      </c>
      <c r="CH24" s="63">
        <f t="shared" si="373"/>
        <v>36</v>
      </c>
      <c r="CI24" s="63">
        <f t="shared" si="373"/>
        <v>36</v>
      </c>
      <c r="CJ24" s="63">
        <f t="shared" si="373"/>
        <v>36</v>
      </c>
      <c r="CK24" s="63">
        <f t="shared" si="373"/>
        <v>36</v>
      </c>
      <c r="CL24" s="63">
        <f t="shared" si="373"/>
        <v>36</v>
      </c>
      <c r="CM24" s="63">
        <f t="shared" si="373"/>
        <v>36</v>
      </c>
      <c r="CN24" s="63">
        <f t="shared" si="373"/>
        <v>36</v>
      </c>
      <c r="CO24" s="63">
        <f t="shared" si="373"/>
        <v>36</v>
      </c>
      <c r="CP24" s="63">
        <f t="shared" si="373"/>
        <v>36</v>
      </c>
      <c r="CQ24" s="63">
        <f t="shared" si="373"/>
        <v>36</v>
      </c>
      <c r="CR24" s="63">
        <f t="shared" si="373"/>
        <v>36</v>
      </c>
      <c r="CS24" s="63">
        <f t="shared" si="373"/>
        <v>36</v>
      </c>
      <c r="CT24" s="63">
        <f t="shared" si="373"/>
        <v>36</v>
      </c>
      <c r="CU24" s="63">
        <f t="shared" si="373"/>
        <v>36</v>
      </c>
      <c r="CV24" s="63">
        <f t="shared" si="373"/>
        <v>36</v>
      </c>
      <c r="CW24" s="63">
        <f t="shared" si="373"/>
        <v>36</v>
      </c>
      <c r="CX24" s="63">
        <f t="shared" si="373"/>
        <v>36</v>
      </c>
      <c r="CY24" s="63">
        <f t="shared" si="373"/>
        <v>36</v>
      </c>
      <c r="CZ24" s="63">
        <f t="shared" si="373"/>
        <v>36</v>
      </c>
      <c r="DA24" s="63">
        <f t="shared" si="373"/>
        <v>36</v>
      </c>
      <c r="DB24" s="63">
        <f t="shared" si="373"/>
        <v>36</v>
      </c>
      <c r="DC24" s="63">
        <f t="shared" si="373"/>
        <v>36</v>
      </c>
      <c r="DD24" s="63">
        <f t="shared" si="373"/>
        <v>36</v>
      </c>
      <c r="DE24" s="63">
        <f t="shared" si="373"/>
        <v>36</v>
      </c>
      <c r="DF24" s="63">
        <f t="shared" si="373"/>
        <v>36</v>
      </c>
      <c r="DG24" s="63">
        <f t="shared" si="373"/>
        <v>36</v>
      </c>
      <c r="DH24" s="63">
        <f t="shared" si="373"/>
        <v>36</v>
      </c>
      <c r="DI24" s="63">
        <f t="shared" si="373"/>
        <v>36</v>
      </c>
      <c r="DJ24" s="63">
        <f t="shared" si="373"/>
        <v>36</v>
      </c>
      <c r="DK24" s="63">
        <f t="shared" si="373"/>
        <v>36</v>
      </c>
      <c r="DL24" s="63">
        <f t="shared" si="373"/>
        <v>36</v>
      </c>
      <c r="DM24" s="63">
        <f t="shared" si="373"/>
        <v>36</v>
      </c>
      <c r="DN24" s="63">
        <f t="shared" si="373"/>
        <v>36</v>
      </c>
      <c r="DO24" s="63">
        <f t="shared" si="373"/>
        <v>36</v>
      </c>
      <c r="DP24" s="63">
        <f t="shared" si="373"/>
        <v>36</v>
      </c>
      <c r="DQ24" s="63">
        <f t="shared" ref="DQ24:FY24" si="374">IF(IF((DQ23-1)*12+1&lt;DQ21,DQ21,(DQ23-1)*12+1)&gt;DQ22,DQ22,IF((DQ23-1)*12+1&lt;DQ21,DQ21,(DQ23-1)*12+1))</f>
        <v>36</v>
      </c>
      <c r="DR24" s="63">
        <f t="shared" si="374"/>
        <v>36</v>
      </c>
      <c r="DS24" s="63">
        <f t="shared" si="374"/>
        <v>36</v>
      </c>
      <c r="DT24" s="63">
        <f t="shared" si="374"/>
        <v>36</v>
      </c>
      <c r="DU24" s="63">
        <f t="shared" si="374"/>
        <v>36</v>
      </c>
      <c r="DV24" s="63">
        <f t="shared" si="374"/>
        <v>36</v>
      </c>
      <c r="DW24" s="63">
        <f t="shared" si="374"/>
        <v>36</v>
      </c>
      <c r="DX24" s="63">
        <f t="shared" si="374"/>
        <v>36</v>
      </c>
      <c r="DY24" s="63">
        <f t="shared" si="374"/>
        <v>36</v>
      </c>
      <c r="DZ24" s="63">
        <f t="shared" si="374"/>
        <v>36</v>
      </c>
      <c r="EA24" s="63">
        <f t="shared" si="374"/>
        <v>36</v>
      </c>
      <c r="EB24" s="63">
        <f t="shared" si="374"/>
        <v>36</v>
      </c>
      <c r="EC24" s="63">
        <f t="shared" si="374"/>
        <v>36</v>
      </c>
      <c r="ED24" s="63">
        <f t="shared" si="374"/>
        <v>36</v>
      </c>
      <c r="EE24" s="63">
        <f t="shared" si="374"/>
        <v>36</v>
      </c>
      <c r="EF24" s="63">
        <f t="shared" si="374"/>
        <v>36</v>
      </c>
      <c r="EG24" s="63">
        <f t="shared" si="374"/>
        <v>36</v>
      </c>
      <c r="EH24" s="63">
        <f t="shared" si="374"/>
        <v>36</v>
      </c>
      <c r="EI24" s="63">
        <f t="shared" si="374"/>
        <v>36</v>
      </c>
      <c r="EJ24" s="63">
        <f t="shared" si="374"/>
        <v>36</v>
      </c>
      <c r="EK24" s="63">
        <f t="shared" si="374"/>
        <v>36</v>
      </c>
      <c r="EL24" s="63">
        <f t="shared" si="374"/>
        <v>36</v>
      </c>
      <c r="EM24" s="63">
        <f t="shared" si="374"/>
        <v>36</v>
      </c>
      <c r="EN24" s="63">
        <f t="shared" si="374"/>
        <v>36</v>
      </c>
      <c r="EO24" s="63">
        <f t="shared" si="374"/>
        <v>36</v>
      </c>
      <c r="EP24" s="63">
        <f t="shared" si="374"/>
        <v>36</v>
      </c>
      <c r="EQ24" s="63">
        <f t="shared" si="374"/>
        <v>36</v>
      </c>
      <c r="ER24" s="63">
        <f t="shared" si="374"/>
        <v>36</v>
      </c>
      <c r="ES24" s="63">
        <f t="shared" si="374"/>
        <v>36</v>
      </c>
      <c r="ET24" s="63">
        <f t="shared" si="374"/>
        <v>36</v>
      </c>
      <c r="EU24" s="63">
        <f t="shared" si="374"/>
        <v>36</v>
      </c>
      <c r="EV24" s="63">
        <f t="shared" si="374"/>
        <v>36</v>
      </c>
      <c r="EW24" s="63">
        <f t="shared" si="374"/>
        <v>36</v>
      </c>
      <c r="EX24" s="63">
        <f t="shared" si="374"/>
        <v>36</v>
      </c>
      <c r="EY24" s="63">
        <f t="shared" si="374"/>
        <v>36</v>
      </c>
      <c r="EZ24" s="63">
        <f t="shared" si="374"/>
        <v>36</v>
      </c>
      <c r="FA24" s="63">
        <f t="shared" si="374"/>
        <v>36</v>
      </c>
      <c r="FB24" s="63">
        <f t="shared" si="374"/>
        <v>36</v>
      </c>
      <c r="FC24" s="63">
        <f t="shared" si="374"/>
        <v>36</v>
      </c>
      <c r="FD24" s="63">
        <f t="shared" si="374"/>
        <v>36</v>
      </c>
      <c r="FE24" s="63">
        <f t="shared" si="374"/>
        <v>36</v>
      </c>
      <c r="FF24" s="63">
        <f t="shared" si="374"/>
        <v>36</v>
      </c>
      <c r="FG24" s="63">
        <f t="shared" si="374"/>
        <v>36</v>
      </c>
      <c r="FH24" s="63">
        <f t="shared" si="374"/>
        <v>36</v>
      </c>
      <c r="FI24" s="63">
        <f t="shared" si="374"/>
        <v>36</v>
      </c>
      <c r="FJ24" s="63">
        <f t="shared" si="374"/>
        <v>36</v>
      </c>
      <c r="FK24" s="63">
        <f t="shared" si="374"/>
        <v>36</v>
      </c>
      <c r="FL24" s="63">
        <f t="shared" si="374"/>
        <v>36</v>
      </c>
      <c r="FM24" s="63">
        <f t="shared" si="374"/>
        <v>36</v>
      </c>
      <c r="FN24" s="63">
        <f t="shared" si="374"/>
        <v>36</v>
      </c>
      <c r="FO24" s="63">
        <f t="shared" si="374"/>
        <v>36</v>
      </c>
      <c r="FP24" s="63">
        <f t="shared" si="374"/>
        <v>36</v>
      </c>
      <c r="FQ24" s="63">
        <f t="shared" si="374"/>
        <v>36</v>
      </c>
      <c r="FR24" s="63">
        <f t="shared" si="374"/>
        <v>36</v>
      </c>
      <c r="FS24" s="63">
        <f t="shared" si="374"/>
        <v>36</v>
      </c>
      <c r="FT24" s="63">
        <f t="shared" si="374"/>
        <v>36</v>
      </c>
      <c r="FU24" s="63">
        <f t="shared" si="374"/>
        <v>36</v>
      </c>
      <c r="FV24" s="63">
        <f t="shared" si="374"/>
        <v>36</v>
      </c>
      <c r="FW24" s="63">
        <f t="shared" si="374"/>
        <v>36</v>
      </c>
      <c r="FX24" s="63">
        <f t="shared" si="374"/>
        <v>36</v>
      </c>
      <c r="FY24" s="63">
        <f t="shared" si="374"/>
        <v>36</v>
      </c>
      <c r="FZ24" s="59"/>
    </row>
    <row r="25" spans="1:184" x14ac:dyDescent="0.2">
      <c r="A25" s="62" t="s">
        <v>173</v>
      </c>
      <c r="B25" s="63">
        <f>IF(IF((B23)*12&lt;B21,B21,(B23)*12)&gt;B22,B22,IF((B23)*12&lt;B21,B21,(B23)*12))</f>
        <v>12</v>
      </c>
      <c r="C25" s="63">
        <f t="shared" ref="C25:BH25" si="375">IF(IF((C23)*12&lt;C21,C21,(C23)*12)&gt;C22,C22,IF((C23)*12&lt;C21,C21,(C23)*12))</f>
        <v>12</v>
      </c>
      <c r="D25" s="63">
        <f t="shared" si="375"/>
        <v>12</v>
      </c>
      <c r="E25" s="63">
        <f t="shared" si="375"/>
        <v>12</v>
      </c>
      <c r="F25" s="63">
        <f t="shared" si="375"/>
        <v>12</v>
      </c>
      <c r="G25" s="63">
        <f t="shared" si="375"/>
        <v>12</v>
      </c>
      <c r="H25" s="63">
        <f t="shared" si="375"/>
        <v>12</v>
      </c>
      <c r="I25" s="63">
        <f t="shared" si="375"/>
        <v>12</v>
      </c>
      <c r="J25" s="63">
        <f t="shared" si="375"/>
        <v>12</v>
      </c>
      <c r="K25" s="63">
        <f t="shared" si="375"/>
        <v>12</v>
      </c>
      <c r="L25" s="63">
        <f t="shared" si="375"/>
        <v>12</v>
      </c>
      <c r="M25" s="63">
        <f t="shared" si="375"/>
        <v>12</v>
      </c>
      <c r="N25" s="63">
        <f t="shared" si="375"/>
        <v>24</v>
      </c>
      <c r="O25" s="63">
        <f t="shared" si="375"/>
        <v>24</v>
      </c>
      <c r="P25" s="63">
        <f t="shared" si="375"/>
        <v>24</v>
      </c>
      <c r="Q25" s="63">
        <f t="shared" si="375"/>
        <v>24</v>
      </c>
      <c r="R25" s="63">
        <f t="shared" si="375"/>
        <v>24</v>
      </c>
      <c r="S25" s="63">
        <f t="shared" si="375"/>
        <v>24</v>
      </c>
      <c r="T25" s="63">
        <f t="shared" si="375"/>
        <v>24</v>
      </c>
      <c r="U25" s="63">
        <f t="shared" si="375"/>
        <v>24</v>
      </c>
      <c r="V25" s="63">
        <f t="shared" si="375"/>
        <v>24</v>
      </c>
      <c r="W25" s="63">
        <f t="shared" si="375"/>
        <v>24</v>
      </c>
      <c r="X25" s="63">
        <f t="shared" si="375"/>
        <v>24</v>
      </c>
      <c r="Y25" s="63">
        <f t="shared" si="375"/>
        <v>24</v>
      </c>
      <c r="Z25" s="63">
        <f t="shared" si="375"/>
        <v>36</v>
      </c>
      <c r="AA25" s="63">
        <f t="shared" si="375"/>
        <v>36</v>
      </c>
      <c r="AB25" s="63">
        <f t="shared" si="375"/>
        <v>36</v>
      </c>
      <c r="AC25" s="63">
        <f t="shared" si="375"/>
        <v>36</v>
      </c>
      <c r="AD25" s="63">
        <f t="shared" si="375"/>
        <v>36</v>
      </c>
      <c r="AE25" s="63">
        <f t="shared" si="375"/>
        <v>36</v>
      </c>
      <c r="AF25" s="63">
        <f t="shared" si="375"/>
        <v>36</v>
      </c>
      <c r="AG25" s="63">
        <f t="shared" si="375"/>
        <v>36</v>
      </c>
      <c r="AH25" s="63">
        <f t="shared" si="375"/>
        <v>36</v>
      </c>
      <c r="AI25" s="63">
        <f t="shared" si="375"/>
        <v>36</v>
      </c>
      <c r="AJ25" s="63">
        <f t="shared" si="375"/>
        <v>36</v>
      </c>
      <c r="AK25" s="63">
        <f t="shared" si="375"/>
        <v>36</v>
      </c>
      <c r="AL25" s="63">
        <f t="shared" si="375"/>
        <v>36</v>
      </c>
      <c r="AM25" s="63">
        <f t="shared" si="375"/>
        <v>36</v>
      </c>
      <c r="AN25" s="63">
        <f t="shared" si="375"/>
        <v>36</v>
      </c>
      <c r="AO25" s="63">
        <f t="shared" si="375"/>
        <v>36</v>
      </c>
      <c r="AP25" s="63">
        <f t="shared" si="375"/>
        <v>36</v>
      </c>
      <c r="AQ25" s="63">
        <f t="shared" si="375"/>
        <v>36</v>
      </c>
      <c r="AR25" s="63">
        <f t="shared" si="375"/>
        <v>36</v>
      </c>
      <c r="AS25" s="63">
        <f t="shared" si="375"/>
        <v>36</v>
      </c>
      <c r="AT25" s="63">
        <f t="shared" si="375"/>
        <v>36</v>
      </c>
      <c r="AU25" s="63">
        <f t="shared" si="375"/>
        <v>36</v>
      </c>
      <c r="AV25" s="63">
        <f t="shared" si="375"/>
        <v>36</v>
      </c>
      <c r="AW25" s="63">
        <f t="shared" si="375"/>
        <v>36</v>
      </c>
      <c r="AX25" s="63">
        <f t="shared" si="375"/>
        <v>36</v>
      </c>
      <c r="AY25" s="63">
        <f t="shared" si="375"/>
        <v>36</v>
      </c>
      <c r="AZ25" s="63">
        <f t="shared" si="375"/>
        <v>36</v>
      </c>
      <c r="BA25" s="63">
        <f t="shared" si="375"/>
        <v>36</v>
      </c>
      <c r="BB25" s="63">
        <f t="shared" si="375"/>
        <v>36</v>
      </c>
      <c r="BC25" s="63">
        <f t="shared" si="375"/>
        <v>36</v>
      </c>
      <c r="BD25" s="63">
        <f t="shared" si="375"/>
        <v>36</v>
      </c>
      <c r="BE25" s="63">
        <f t="shared" si="375"/>
        <v>36</v>
      </c>
      <c r="BF25" s="63">
        <f t="shared" si="375"/>
        <v>36</v>
      </c>
      <c r="BG25" s="63">
        <f t="shared" si="375"/>
        <v>36</v>
      </c>
      <c r="BH25" s="63">
        <f t="shared" si="375"/>
        <v>36</v>
      </c>
      <c r="BI25" s="63">
        <f t="shared" ref="BI25:DP25" si="376">IF(IF((BI23)*12&lt;BI21,BI21,(BI23)*12)&gt;BI22,BI22,IF((BI23)*12&lt;BI21,BI21,(BI23)*12))</f>
        <v>36</v>
      </c>
      <c r="BJ25" s="63">
        <f t="shared" si="376"/>
        <v>36</v>
      </c>
      <c r="BK25" s="63">
        <f t="shared" si="376"/>
        <v>36</v>
      </c>
      <c r="BL25" s="63">
        <f t="shared" si="376"/>
        <v>36</v>
      </c>
      <c r="BM25" s="63">
        <f t="shared" si="376"/>
        <v>36</v>
      </c>
      <c r="BN25" s="63">
        <f t="shared" si="376"/>
        <v>36</v>
      </c>
      <c r="BO25" s="63">
        <f t="shared" si="376"/>
        <v>36</v>
      </c>
      <c r="BP25" s="63">
        <f t="shared" si="376"/>
        <v>36</v>
      </c>
      <c r="BQ25" s="63">
        <f t="shared" si="376"/>
        <v>36</v>
      </c>
      <c r="BR25" s="63">
        <f t="shared" si="376"/>
        <v>36</v>
      </c>
      <c r="BS25" s="63">
        <f t="shared" si="376"/>
        <v>36</v>
      </c>
      <c r="BT25" s="63">
        <f t="shared" si="376"/>
        <v>36</v>
      </c>
      <c r="BU25" s="63">
        <f t="shared" si="376"/>
        <v>36</v>
      </c>
      <c r="BV25" s="63">
        <f t="shared" si="376"/>
        <v>36</v>
      </c>
      <c r="BW25" s="63">
        <f t="shared" si="376"/>
        <v>36</v>
      </c>
      <c r="BX25" s="63">
        <f t="shared" si="376"/>
        <v>36</v>
      </c>
      <c r="BY25" s="63">
        <f t="shared" si="376"/>
        <v>36</v>
      </c>
      <c r="BZ25" s="63">
        <f t="shared" si="376"/>
        <v>36</v>
      </c>
      <c r="CA25" s="63">
        <f t="shared" si="376"/>
        <v>36</v>
      </c>
      <c r="CB25" s="63">
        <f t="shared" si="376"/>
        <v>36</v>
      </c>
      <c r="CC25" s="63">
        <f t="shared" si="376"/>
        <v>36</v>
      </c>
      <c r="CD25" s="63">
        <f t="shared" si="376"/>
        <v>36</v>
      </c>
      <c r="CE25" s="63">
        <f t="shared" si="376"/>
        <v>36</v>
      </c>
      <c r="CF25" s="63">
        <f t="shared" si="376"/>
        <v>36</v>
      </c>
      <c r="CG25" s="63">
        <f t="shared" si="376"/>
        <v>36</v>
      </c>
      <c r="CH25" s="63">
        <f t="shared" si="376"/>
        <v>36</v>
      </c>
      <c r="CI25" s="63">
        <f t="shared" si="376"/>
        <v>36</v>
      </c>
      <c r="CJ25" s="63">
        <f t="shared" si="376"/>
        <v>36</v>
      </c>
      <c r="CK25" s="63">
        <f t="shared" si="376"/>
        <v>36</v>
      </c>
      <c r="CL25" s="63">
        <f t="shared" si="376"/>
        <v>36</v>
      </c>
      <c r="CM25" s="63">
        <f t="shared" si="376"/>
        <v>36</v>
      </c>
      <c r="CN25" s="63">
        <f t="shared" si="376"/>
        <v>36</v>
      </c>
      <c r="CO25" s="63">
        <f t="shared" si="376"/>
        <v>36</v>
      </c>
      <c r="CP25" s="63">
        <f t="shared" si="376"/>
        <v>36</v>
      </c>
      <c r="CQ25" s="63">
        <f t="shared" si="376"/>
        <v>36</v>
      </c>
      <c r="CR25" s="63">
        <f t="shared" si="376"/>
        <v>36</v>
      </c>
      <c r="CS25" s="63">
        <f t="shared" si="376"/>
        <v>36</v>
      </c>
      <c r="CT25" s="63">
        <f t="shared" si="376"/>
        <v>36</v>
      </c>
      <c r="CU25" s="63">
        <f t="shared" si="376"/>
        <v>36</v>
      </c>
      <c r="CV25" s="63">
        <f t="shared" si="376"/>
        <v>36</v>
      </c>
      <c r="CW25" s="63">
        <f t="shared" si="376"/>
        <v>36</v>
      </c>
      <c r="CX25" s="63">
        <f t="shared" si="376"/>
        <v>36</v>
      </c>
      <c r="CY25" s="63">
        <f t="shared" si="376"/>
        <v>36</v>
      </c>
      <c r="CZ25" s="63">
        <f t="shared" si="376"/>
        <v>36</v>
      </c>
      <c r="DA25" s="63">
        <f t="shared" si="376"/>
        <v>36</v>
      </c>
      <c r="DB25" s="63">
        <f t="shared" si="376"/>
        <v>36</v>
      </c>
      <c r="DC25" s="63">
        <f t="shared" si="376"/>
        <v>36</v>
      </c>
      <c r="DD25" s="63">
        <f t="shared" si="376"/>
        <v>36</v>
      </c>
      <c r="DE25" s="63">
        <f t="shared" si="376"/>
        <v>36</v>
      </c>
      <c r="DF25" s="63">
        <f t="shared" si="376"/>
        <v>36</v>
      </c>
      <c r="DG25" s="63">
        <f t="shared" si="376"/>
        <v>36</v>
      </c>
      <c r="DH25" s="63">
        <f t="shared" si="376"/>
        <v>36</v>
      </c>
      <c r="DI25" s="63">
        <f t="shared" si="376"/>
        <v>36</v>
      </c>
      <c r="DJ25" s="63">
        <f t="shared" si="376"/>
        <v>36</v>
      </c>
      <c r="DK25" s="63">
        <f t="shared" si="376"/>
        <v>36</v>
      </c>
      <c r="DL25" s="63">
        <f t="shared" si="376"/>
        <v>36</v>
      </c>
      <c r="DM25" s="63">
        <f t="shared" si="376"/>
        <v>36</v>
      </c>
      <c r="DN25" s="63">
        <f t="shared" si="376"/>
        <v>36</v>
      </c>
      <c r="DO25" s="63">
        <f t="shared" si="376"/>
        <v>36</v>
      </c>
      <c r="DP25" s="63">
        <f t="shared" si="376"/>
        <v>36</v>
      </c>
      <c r="DQ25" s="63">
        <f t="shared" ref="DQ25:FY25" si="377">IF(IF((DQ23)*12&lt;DQ21,DQ21,(DQ23)*12)&gt;DQ22,DQ22,IF((DQ23)*12&lt;DQ21,DQ21,(DQ23)*12))</f>
        <v>36</v>
      </c>
      <c r="DR25" s="63">
        <f t="shared" si="377"/>
        <v>36</v>
      </c>
      <c r="DS25" s="63">
        <f t="shared" si="377"/>
        <v>36</v>
      </c>
      <c r="DT25" s="63">
        <f t="shared" si="377"/>
        <v>36</v>
      </c>
      <c r="DU25" s="63">
        <f t="shared" si="377"/>
        <v>36</v>
      </c>
      <c r="DV25" s="63">
        <f t="shared" si="377"/>
        <v>36</v>
      </c>
      <c r="DW25" s="63">
        <f t="shared" si="377"/>
        <v>36</v>
      </c>
      <c r="DX25" s="63">
        <f t="shared" si="377"/>
        <v>36</v>
      </c>
      <c r="DY25" s="63">
        <f t="shared" si="377"/>
        <v>36</v>
      </c>
      <c r="DZ25" s="63">
        <f t="shared" si="377"/>
        <v>36</v>
      </c>
      <c r="EA25" s="63">
        <f t="shared" si="377"/>
        <v>36</v>
      </c>
      <c r="EB25" s="63">
        <f t="shared" si="377"/>
        <v>36</v>
      </c>
      <c r="EC25" s="63">
        <f t="shared" si="377"/>
        <v>36</v>
      </c>
      <c r="ED25" s="63">
        <f t="shared" si="377"/>
        <v>36</v>
      </c>
      <c r="EE25" s="63">
        <f t="shared" si="377"/>
        <v>36</v>
      </c>
      <c r="EF25" s="63">
        <f t="shared" si="377"/>
        <v>36</v>
      </c>
      <c r="EG25" s="63">
        <f t="shared" si="377"/>
        <v>36</v>
      </c>
      <c r="EH25" s="63">
        <f t="shared" si="377"/>
        <v>36</v>
      </c>
      <c r="EI25" s="63">
        <f t="shared" si="377"/>
        <v>36</v>
      </c>
      <c r="EJ25" s="63">
        <f t="shared" si="377"/>
        <v>36</v>
      </c>
      <c r="EK25" s="63">
        <f t="shared" si="377"/>
        <v>36</v>
      </c>
      <c r="EL25" s="63">
        <f t="shared" si="377"/>
        <v>36</v>
      </c>
      <c r="EM25" s="63">
        <f t="shared" si="377"/>
        <v>36</v>
      </c>
      <c r="EN25" s="63">
        <f t="shared" si="377"/>
        <v>36</v>
      </c>
      <c r="EO25" s="63">
        <f t="shared" si="377"/>
        <v>36</v>
      </c>
      <c r="EP25" s="63">
        <f t="shared" si="377"/>
        <v>36</v>
      </c>
      <c r="EQ25" s="63">
        <f t="shared" si="377"/>
        <v>36</v>
      </c>
      <c r="ER25" s="63">
        <f t="shared" si="377"/>
        <v>36</v>
      </c>
      <c r="ES25" s="63">
        <f t="shared" si="377"/>
        <v>36</v>
      </c>
      <c r="ET25" s="63">
        <f t="shared" si="377"/>
        <v>36</v>
      </c>
      <c r="EU25" s="63">
        <f t="shared" si="377"/>
        <v>36</v>
      </c>
      <c r="EV25" s="63">
        <f t="shared" si="377"/>
        <v>36</v>
      </c>
      <c r="EW25" s="63">
        <f t="shared" si="377"/>
        <v>36</v>
      </c>
      <c r="EX25" s="63">
        <f t="shared" si="377"/>
        <v>36</v>
      </c>
      <c r="EY25" s="63">
        <f t="shared" si="377"/>
        <v>36</v>
      </c>
      <c r="EZ25" s="63">
        <f t="shared" si="377"/>
        <v>36</v>
      </c>
      <c r="FA25" s="63">
        <f t="shared" si="377"/>
        <v>36</v>
      </c>
      <c r="FB25" s="63">
        <f t="shared" si="377"/>
        <v>36</v>
      </c>
      <c r="FC25" s="63">
        <f t="shared" si="377"/>
        <v>36</v>
      </c>
      <c r="FD25" s="63">
        <f t="shared" si="377"/>
        <v>36</v>
      </c>
      <c r="FE25" s="63">
        <f t="shared" si="377"/>
        <v>36</v>
      </c>
      <c r="FF25" s="63">
        <f t="shared" si="377"/>
        <v>36</v>
      </c>
      <c r="FG25" s="63">
        <f t="shared" si="377"/>
        <v>36</v>
      </c>
      <c r="FH25" s="63">
        <f t="shared" si="377"/>
        <v>36</v>
      </c>
      <c r="FI25" s="63">
        <f t="shared" si="377"/>
        <v>36</v>
      </c>
      <c r="FJ25" s="63">
        <f t="shared" si="377"/>
        <v>36</v>
      </c>
      <c r="FK25" s="63">
        <f t="shared" si="377"/>
        <v>36</v>
      </c>
      <c r="FL25" s="63">
        <f t="shared" si="377"/>
        <v>36</v>
      </c>
      <c r="FM25" s="63">
        <f t="shared" si="377"/>
        <v>36</v>
      </c>
      <c r="FN25" s="63">
        <f t="shared" si="377"/>
        <v>36</v>
      </c>
      <c r="FO25" s="63">
        <f t="shared" si="377"/>
        <v>36</v>
      </c>
      <c r="FP25" s="63">
        <f t="shared" si="377"/>
        <v>36</v>
      </c>
      <c r="FQ25" s="63">
        <f t="shared" si="377"/>
        <v>36</v>
      </c>
      <c r="FR25" s="63">
        <f t="shared" si="377"/>
        <v>36</v>
      </c>
      <c r="FS25" s="63">
        <f t="shared" si="377"/>
        <v>36</v>
      </c>
      <c r="FT25" s="63">
        <f t="shared" si="377"/>
        <v>36</v>
      </c>
      <c r="FU25" s="63">
        <f t="shared" si="377"/>
        <v>36</v>
      </c>
      <c r="FV25" s="63">
        <f t="shared" si="377"/>
        <v>36</v>
      </c>
      <c r="FW25" s="63">
        <f t="shared" si="377"/>
        <v>36</v>
      </c>
      <c r="FX25" s="63">
        <f t="shared" si="377"/>
        <v>36</v>
      </c>
      <c r="FY25" s="63">
        <f t="shared" si="377"/>
        <v>36</v>
      </c>
      <c r="FZ25" s="59"/>
    </row>
    <row r="26" spans="1:184" x14ac:dyDescent="0.2">
      <c r="B26" s="346" t="s">
        <v>148</v>
      </c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7" t="s">
        <v>149</v>
      </c>
      <c r="O26" s="347"/>
      <c r="P26" s="347"/>
      <c r="Q26" s="347"/>
      <c r="R26" s="347"/>
      <c r="S26" s="347"/>
      <c r="T26" s="347"/>
      <c r="U26" s="347"/>
      <c r="V26" s="347"/>
      <c r="W26" s="347"/>
      <c r="X26" s="347"/>
      <c r="Y26" s="347"/>
      <c r="Z26" s="348" t="s">
        <v>150</v>
      </c>
      <c r="AA26" s="348"/>
      <c r="AB26" s="348"/>
      <c r="AC26" s="348"/>
      <c r="AD26" s="348"/>
      <c r="AE26" s="348"/>
      <c r="AF26" s="348"/>
      <c r="AG26" s="348"/>
      <c r="AH26" s="348"/>
      <c r="AI26" s="348"/>
      <c r="AJ26" s="348"/>
      <c r="AK26" s="348"/>
      <c r="AL26" s="349" t="s">
        <v>151</v>
      </c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64" t="s">
        <v>152</v>
      </c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"/>
    </row>
    <row r="28" spans="1:184" x14ac:dyDescent="0.2">
      <c r="A28" s="345" t="s">
        <v>396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9"/>
    </row>
    <row r="29" spans="1:184" x14ac:dyDescent="0.2">
      <c r="A29" s="34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  <c r="DW29" s="58"/>
      <c r="DX29" s="58"/>
      <c r="DY29" s="58"/>
      <c r="DZ29" s="58"/>
      <c r="EA29" s="58"/>
      <c r="EB29" s="58"/>
      <c r="EC29" s="58"/>
      <c r="ED29" s="58"/>
      <c r="EE29" s="58"/>
      <c r="EF29" s="58"/>
      <c r="EG29" s="58"/>
      <c r="EH29" s="58"/>
      <c r="EI29" s="58"/>
      <c r="EJ29" s="58"/>
      <c r="EK29" s="58"/>
      <c r="EL29" s="58"/>
      <c r="EM29" s="58"/>
      <c r="EN29" s="58"/>
      <c r="EO29" s="58"/>
      <c r="EP29" s="58"/>
      <c r="EQ29" s="58"/>
      <c r="ER29" s="58"/>
      <c r="ES29" s="58"/>
      <c r="ET29" s="58"/>
      <c r="EU29" s="58"/>
      <c r="EV29" s="58"/>
      <c r="EW29" s="58"/>
      <c r="EX29" s="58"/>
      <c r="EY29" s="58"/>
      <c r="EZ29" s="58"/>
      <c r="FA29" s="58"/>
      <c r="FB29" s="58"/>
      <c r="FC29" s="58"/>
      <c r="FD29" s="58"/>
      <c r="FE29" s="58"/>
      <c r="FF29" s="58"/>
      <c r="FG29" s="58"/>
      <c r="FH29" s="58"/>
      <c r="FI29" s="58"/>
      <c r="FJ29" s="58"/>
      <c r="FK29" s="58"/>
      <c r="FL29" s="58"/>
      <c r="FM29" s="58"/>
      <c r="FN29" s="58"/>
      <c r="FO29" s="58"/>
      <c r="FP29" s="58"/>
      <c r="FQ29" s="58"/>
      <c r="FR29" s="58"/>
      <c r="FS29" s="58"/>
      <c r="FT29" s="58"/>
      <c r="FU29" s="58"/>
      <c r="FV29" s="58"/>
      <c r="FW29" s="58"/>
      <c r="FX29" s="58"/>
      <c r="FY29" s="58"/>
      <c r="FZ29" s="59"/>
    </row>
    <row r="30" spans="1:184" x14ac:dyDescent="0.2">
      <c r="A30" s="66" t="s">
        <v>174</v>
      </c>
      <c r="B30" s="67">
        <f t="array" ref="B30:FY30">TRANSPOSE(BEL!BR13:BR192)</f>
        <v>368000</v>
      </c>
      <c r="C30" s="67">
        <v>0</v>
      </c>
      <c r="D30" s="67">
        <v>0</v>
      </c>
      <c r="E30" s="67">
        <v>0</v>
      </c>
      <c r="F30" s="67">
        <v>0</v>
      </c>
      <c r="G30" s="67">
        <v>0</v>
      </c>
      <c r="H30" s="67">
        <v>0</v>
      </c>
      <c r="I30" s="67">
        <v>0</v>
      </c>
      <c r="J30" s="67">
        <v>0</v>
      </c>
      <c r="K30" s="67">
        <v>0</v>
      </c>
      <c r="L30" s="67">
        <v>0</v>
      </c>
      <c r="M30" s="67">
        <v>0</v>
      </c>
      <c r="N30" s="67">
        <v>0</v>
      </c>
      <c r="O30" s="67">
        <v>0</v>
      </c>
      <c r="P30" s="67">
        <v>0</v>
      </c>
      <c r="Q30" s="67">
        <v>0</v>
      </c>
      <c r="R30" s="67">
        <v>0</v>
      </c>
      <c r="S30" s="67">
        <v>0</v>
      </c>
      <c r="T30" s="67">
        <v>0</v>
      </c>
      <c r="U30" s="67">
        <v>0</v>
      </c>
      <c r="V30" s="67">
        <v>0</v>
      </c>
      <c r="W30" s="67">
        <v>0</v>
      </c>
      <c r="X30" s="67">
        <v>0</v>
      </c>
      <c r="Y30" s="67">
        <v>0</v>
      </c>
      <c r="Z30" s="67">
        <v>0</v>
      </c>
      <c r="AA30" s="67">
        <v>0</v>
      </c>
      <c r="AB30" s="67">
        <v>0</v>
      </c>
      <c r="AC30" s="67">
        <v>0</v>
      </c>
      <c r="AD30" s="67">
        <v>0</v>
      </c>
      <c r="AE30" s="67">
        <v>0</v>
      </c>
      <c r="AF30" s="67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7">
        <v>0</v>
      </c>
      <c r="AT30" s="67">
        <v>0</v>
      </c>
      <c r="AU30" s="67">
        <v>0</v>
      </c>
      <c r="AV30" s="67">
        <v>0</v>
      </c>
      <c r="AW30" s="67">
        <v>0</v>
      </c>
      <c r="AX30" s="67">
        <v>0</v>
      </c>
      <c r="AY30" s="67">
        <v>0</v>
      </c>
      <c r="AZ30" s="67">
        <v>0</v>
      </c>
      <c r="BA30" s="67">
        <v>0</v>
      </c>
      <c r="BB30" s="67">
        <v>0</v>
      </c>
      <c r="BC30" s="67">
        <v>0</v>
      </c>
      <c r="BD30" s="67">
        <v>0</v>
      </c>
      <c r="BE30" s="67">
        <v>0</v>
      </c>
      <c r="BF30" s="67">
        <v>0</v>
      </c>
      <c r="BG30" s="67">
        <v>0</v>
      </c>
      <c r="BH30" s="67">
        <v>0</v>
      </c>
      <c r="BI30" s="67">
        <v>0</v>
      </c>
      <c r="BJ30" s="67">
        <v>0</v>
      </c>
      <c r="BK30" s="67">
        <v>0</v>
      </c>
      <c r="BL30" s="67">
        <v>0</v>
      </c>
      <c r="BM30" s="67">
        <v>0</v>
      </c>
      <c r="BN30" s="67">
        <v>0</v>
      </c>
      <c r="BO30" s="67">
        <v>0</v>
      </c>
      <c r="BP30" s="67">
        <v>0</v>
      </c>
      <c r="BQ30" s="67">
        <v>0</v>
      </c>
      <c r="BR30" s="67">
        <v>0</v>
      </c>
      <c r="BS30" s="67">
        <v>0</v>
      </c>
      <c r="BT30" s="67">
        <v>0</v>
      </c>
      <c r="BU30" s="67">
        <v>0</v>
      </c>
      <c r="BV30" s="67">
        <v>0</v>
      </c>
      <c r="BW30" s="67">
        <v>0</v>
      </c>
      <c r="BX30" s="67">
        <v>0</v>
      </c>
      <c r="BY30" s="67">
        <v>0</v>
      </c>
      <c r="BZ30" s="67">
        <v>0</v>
      </c>
      <c r="CA30" s="67">
        <v>0</v>
      </c>
      <c r="CB30" s="67">
        <v>0</v>
      </c>
      <c r="CC30" s="67">
        <v>0</v>
      </c>
      <c r="CD30" s="67">
        <v>0</v>
      </c>
      <c r="CE30" s="67">
        <v>0</v>
      </c>
      <c r="CF30" s="67">
        <v>0</v>
      </c>
      <c r="CG30" s="67">
        <v>0</v>
      </c>
      <c r="CH30" s="67">
        <v>0</v>
      </c>
      <c r="CI30" s="67">
        <v>0</v>
      </c>
      <c r="CJ30" s="67">
        <v>0</v>
      </c>
      <c r="CK30" s="67">
        <v>0</v>
      </c>
      <c r="CL30" s="67">
        <v>0</v>
      </c>
      <c r="CM30" s="67">
        <v>0</v>
      </c>
      <c r="CN30" s="67">
        <v>0</v>
      </c>
      <c r="CO30" s="67">
        <v>0</v>
      </c>
      <c r="CP30" s="67">
        <v>0</v>
      </c>
      <c r="CQ30" s="67">
        <v>0</v>
      </c>
      <c r="CR30" s="67">
        <v>0</v>
      </c>
      <c r="CS30" s="67">
        <v>0</v>
      </c>
      <c r="CT30" s="67">
        <v>0</v>
      </c>
      <c r="CU30" s="67">
        <v>0</v>
      </c>
      <c r="CV30" s="67">
        <v>0</v>
      </c>
      <c r="CW30" s="67">
        <v>0</v>
      </c>
      <c r="CX30" s="67">
        <v>0</v>
      </c>
      <c r="CY30" s="67">
        <v>0</v>
      </c>
      <c r="CZ30" s="67">
        <v>0</v>
      </c>
      <c r="DA30" s="67">
        <v>0</v>
      </c>
      <c r="DB30" s="67">
        <v>0</v>
      </c>
      <c r="DC30" s="67">
        <v>0</v>
      </c>
      <c r="DD30" s="67">
        <v>0</v>
      </c>
      <c r="DE30" s="67">
        <v>0</v>
      </c>
      <c r="DF30" s="67">
        <v>0</v>
      </c>
      <c r="DG30" s="67">
        <v>0</v>
      </c>
      <c r="DH30" s="67">
        <v>0</v>
      </c>
      <c r="DI30" s="67">
        <v>0</v>
      </c>
      <c r="DJ30" s="67">
        <v>0</v>
      </c>
      <c r="DK30" s="67">
        <v>0</v>
      </c>
      <c r="DL30" s="67">
        <v>0</v>
      </c>
      <c r="DM30" s="67">
        <v>0</v>
      </c>
      <c r="DN30" s="67">
        <v>0</v>
      </c>
      <c r="DO30" s="67">
        <v>0</v>
      </c>
      <c r="DP30" s="67">
        <v>0</v>
      </c>
      <c r="DQ30" s="67">
        <v>0</v>
      </c>
      <c r="DR30" s="67">
        <v>0</v>
      </c>
      <c r="DS30" s="67">
        <v>0</v>
      </c>
      <c r="DT30" s="67">
        <v>0</v>
      </c>
      <c r="DU30" s="67">
        <v>0</v>
      </c>
      <c r="DV30" s="67">
        <v>0</v>
      </c>
      <c r="DW30" s="67">
        <v>0</v>
      </c>
      <c r="DX30" s="67">
        <v>0</v>
      </c>
      <c r="DY30" s="67">
        <v>0</v>
      </c>
      <c r="DZ30" s="67">
        <v>0</v>
      </c>
      <c r="EA30" s="67">
        <v>0</v>
      </c>
      <c r="EB30" s="67">
        <v>0</v>
      </c>
      <c r="EC30" s="67">
        <v>0</v>
      </c>
      <c r="ED30" s="67">
        <v>0</v>
      </c>
      <c r="EE30" s="67">
        <v>0</v>
      </c>
      <c r="EF30" s="67">
        <v>0</v>
      </c>
      <c r="EG30" s="67">
        <v>0</v>
      </c>
      <c r="EH30" s="67">
        <v>0</v>
      </c>
      <c r="EI30" s="67">
        <v>0</v>
      </c>
      <c r="EJ30" s="67">
        <v>0</v>
      </c>
      <c r="EK30" s="67">
        <v>0</v>
      </c>
      <c r="EL30" s="67">
        <v>0</v>
      </c>
      <c r="EM30" s="67">
        <v>0</v>
      </c>
      <c r="EN30" s="67">
        <v>0</v>
      </c>
      <c r="EO30" s="67">
        <v>0</v>
      </c>
      <c r="EP30" s="67">
        <v>0</v>
      </c>
      <c r="EQ30" s="67">
        <v>0</v>
      </c>
      <c r="ER30" s="67">
        <v>0</v>
      </c>
      <c r="ES30" s="67">
        <v>0</v>
      </c>
      <c r="ET30" s="67">
        <v>0</v>
      </c>
      <c r="EU30" s="67">
        <v>0</v>
      </c>
      <c r="EV30" s="67">
        <v>0</v>
      </c>
      <c r="EW30" s="67">
        <v>0</v>
      </c>
      <c r="EX30" s="67">
        <v>0</v>
      </c>
      <c r="EY30" s="67">
        <v>0</v>
      </c>
      <c r="EZ30" s="67">
        <v>0</v>
      </c>
      <c r="FA30" s="67">
        <v>0</v>
      </c>
      <c r="FB30" s="67">
        <v>0</v>
      </c>
      <c r="FC30" s="67">
        <v>0</v>
      </c>
      <c r="FD30" s="67">
        <v>0</v>
      </c>
      <c r="FE30" s="67">
        <v>0</v>
      </c>
      <c r="FF30" s="67">
        <v>0</v>
      </c>
      <c r="FG30" s="67">
        <v>0</v>
      </c>
      <c r="FH30" s="67">
        <v>0</v>
      </c>
      <c r="FI30" s="67">
        <v>0</v>
      </c>
      <c r="FJ30" s="67">
        <v>0</v>
      </c>
      <c r="FK30" s="67">
        <v>0</v>
      </c>
      <c r="FL30" s="67">
        <v>0</v>
      </c>
      <c r="FM30" s="67">
        <v>0</v>
      </c>
      <c r="FN30" s="67">
        <v>0</v>
      </c>
      <c r="FO30" s="67">
        <v>0</v>
      </c>
      <c r="FP30" s="67">
        <v>0</v>
      </c>
      <c r="FQ30" s="67">
        <v>0</v>
      </c>
      <c r="FR30" s="67">
        <v>0</v>
      </c>
      <c r="FS30" s="67">
        <v>0</v>
      </c>
      <c r="FT30" s="67">
        <v>0</v>
      </c>
      <c r="FU30" s="67">
        <v>0</v>
      </c>
      <c r="FV30" s="67">
        <v>0</v>
      </c>
      <c r="FW30" s="67">
        <v>0</v>
      </c>
      <c r="FX30" s="67">
        <v>0</v>
      </c>
      <c r="FY30" s="67">
        <v>0</v>
      </c>
      <c r="FZ30" s="59"/>
      <c r="GA30" s="1" t="s">
        <v>260</v>
      </c>
    </row>
    <row r="31" spans="1:184" x14ac:dyDescent="0.2">
      <c r="A31" s="66" t="s">
        <v>175</v>
      </c>
      <c r="B31" s="67">
        <f t="array" ref="B31:FY31">-TRANSPOSE(BEL!BL13:BL192)</f>
        <v>-92000</v>
      </c>
      <c r="C31" s="67">
        <v>0</v>
      </c>
      <c r="D31" s="67">
        <v>0</v>
      </c>
      <c r="E31" s="67">
        <v>0</v>
      </c>
      <c r="F31" s="67">
        <v>0</v>
      </c>
      <c r="G31" s="67">
        <v>0</v>
      </c>
      <c r="H31" s="67">
        <v>0</v>
      </c>
      <c r="I31" s="67">
        <v>0</v>
      </c>
      <c r="J31" s="67">
        <v>0</v>
      </c>
      <c r="K31" s="67">
        <v>0</v>
      </c>
      <c r="L31" s="67">
        <v>0</v>
      </c>
      <c r="M31" s="67">
        <v>0</v>
      </c>
      <c r="N31" s="67">
        <v>0</v>
      </c>
      <c r="O31" s="67">
        <v>0</v>
      </c>
      <c r="P31" s="67">
        <v>0</v>
      </c>
      <c r="Q31" s="67">
        <v>0</v>
      </c>
      <c r="R31" s="67">
        <v>0</v>
      </c>
      <c r="S31" s="67">
        <v>0</v>
      </c>
      <c r="T31" s="67">
        <v>0</v>
      </c>
      <c r="U31" s="67">
        <v>0</v>
      </c>
      <c r="V31" s="67">
        <v>0</v>
      </c>
      <c r="W31" s="67">
        <v>0</v>
      </c>
      <c r="X31" s="67">
        <v>0</v>
      </c>
      <c r="Y31" s="67">
        <v>0</v>
      </c>
      <c r="Z31" s="67">
        <v>0</v>
      </c>
      <c r="AA31" s="67">
        <v>0</v>
      </c>
      <c r="AB31" s="67">
        <v>0</v>
      </c>
      <c r="AC31" s="67">
        <v>0</v>
      </c>
      <c r="AD31" s="67">
        <v>0</v>
      </c>
      <c r="AE31" s="67">
        <v>0</v>
      </c>
      <c r="AF31" s="67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7">
        <v>0</v>
      </c>
      <c r="AT31" s="67">
        <v>0</v>
      </c>
      <c r="AU31" s="67">
        <v>0</v>
      </c>
      <c r="AV31" s="67">
        <v>0</v>
      </c>
      <c r="AW31" s="67">
        <v>0</v>
      </c>
      <c r="AX31" s="67">
        <v>0</v>
      </c>
      <c r="AY31" s="67">
        <v>0</v>
      </c>
      <c r="AZ31" s="67">
        <v>0</v>
      </c>
      <c r="BA31" s="67">
        <v>0</v>
      </c>
      <c r="BB31" s="67">
        <v>0</v>
      </c>
      <c r="BC31" s="67">
        <v>0</v>
      </c>
      <c r="BD31" s="67">
        <v>0</v>
      </c>
      <c r="BE31" s="67">
        <v>0</v>
      </c>
      <c r="BF31" s="67">
        <v>0</v>
      </c>
      <c r="BG31" s="67">
        <v>0</v>
      </c>
      <c r="BH31" s="67">
        <v>0</v>
      </c>
      <c r="BI31" s="67">
        <v>0</v>
      </c>
      <c r="BJ31" s="67">
        <v>0</v>
      </c>
      <c r="BK31" s="67">
        <v>0</v>
      </c>
      <c r="BL31" s="67">
        <v>0</v>
      </c>
      <c r="BM31" s="67">
        <v>0</v>
      </c>
      <c r="BN31" s="67">
        <v>0</v>
      </c>
      <c r="BO31" s="67">
        <v>0</v>
      </c>
      <c r="BP31" s="67">
        <v>0</v>
      </c>
      <c r="BQ31" s="67">
        <v>0</v>
      </c>
      <c r="BR31" s="67">
        <v>0</v>
      </c>
      <c r="BS31" s="67">
        <v>0</v>
      </c>
      <c r="BT31" s="67">
        <v>0</v>
      </c>
      <c r="BU31" s="67">
        <v>0</v>
      </c>
      <c r="BV31" s="67">
        <v>0</v>
      </c>
      <c r="BW31" s="67">
        <v>0</v>
      </c>
      <c r="BX31" s="67">
        <v>0</v>
      </c>
      <c r="BY31" s="67">
        <v>0</v>
      </c>
      <c r="BZ31" s="67">
        <v>0</v>
      </c>
      <c r="CA31" s="67">
        <v>0</v>
      </c>
      <c r="CB31" s="67">
        <v>0</v>
      </c>
      <c r="CC31" s="67">
        <v>0</v>
      </c>
      <c r="CD31" s="67">
        <v>0</v>
      </c>
      <c r="CE31" s="67">
        <v>0</v>
      </c>
      <c r="CF31" s="67">
        <v>0</v>
      </c>
      <c r="CG31" s="67">
        <v>0</v>
      </c>
      <c r="CH31" s="67">
        <v>0</v>
      </c>
      <c r="CI31" s="67">
        <v>0</v>
      </c>
      <c r="CJ31" s="67">
        <v>0</v>
      </c>
      <c r="CK31" s="67">
        <v>0</v>
      </c>
      <c r="CL31" s="67">
        <v>0</v>
      </c>
      <c r="CM31" s="67">
        <v>0</v>
      </c>
      <c r="CN31" s="67">
        <v>0</v>
      </c>
      <c r="CO31" s="67">
        <v>0</v>
      </c>
      <c r="CP31" s="67">
        <v>0</v>
      </c>
      <c r="CQ31" s="67">
        <v>0</v>
      </c>
      <c r="CR31" s="67">
        <v>0</v>
      </c>
      <c r="CS31" s="67">
        <v>0</v>
      </c>
      <c r="CT31" s="67">
        <v>0</v>
      </c>
      <c r="CU31" s="67">
        <v>0</v>
      </c>
      <c r="CV31" s="67">
        <v>0</v>
      </c>
      <c r="CW31" s="67">
        <v>0</v>
      </c>
      <c r="CX31" s="67">
        <v>0</v>
      </c>
      <c r="CY31" s="67">
        <v>0</v>
      </c>
      <c r="CZ31" s="67">
        <v>0</v>
      </c>
      <c r="DA31" s="67">
        <v>0</v>
      </c>
      <c r="DB31" s="67">
        <v>0</v>
      </c>
      <c r="DC31" s="67">
        <v>0</v>
      </c>
      <c r="DD31" s="67">
        <v>0</v>
      </c>
      <c r="DE31" s="67">
        <v>0</v>
      </c>
      <c r="DF31" s="67">
        <v>0</v>
      </c>
      <c r="DG31" s="67">
        <v>0</v>
      </c>
      <c r="DH31" s="67">
        <v>0</v>
      </c>
      <c r="DI31" s="67">
        <v>0</v>
      </c>
      <c r="DJ31" s="67">
        <v>0</v>
      </c>
      <c r="DK31" s="67">
        <v>0</v>
      </c>
      <c r="DL31" s="67">
        <v>0</v>
      </c>
      <c r="DM31" s="67">
        <v>0</v>
      </c>
      <c r="DN31" s="67">
        <v>0</v>
      </c>
      <c r="DO31" s="67">
        <v>0</v>
      </c>
      <c r="DP31" s="67">
        <v>0</v>
      </c>
      <c r="DQ31" s="67">
        <v>0</v>
      </c>
      <c r="DR31" s="67">
        <v>0</v>
      </c>
      <c r="DS31" s="67">
        <v>0</v>
      </c>
      <c r="DT31" s="67">
        <v>0</v>
      </c>
      <c r="DU31" s="67">
        <v>0</v>
      </c>
      <c r="DV31" s="67">
        <v>0</v>
      </c>
      <c r="DW31" s="67">
        <v>0</v>
      </c>
      <c r="DX31" s="67">
        <v>0</v>
      </c>
      <c r="DY31" s="67">
        <v>0</v>
      </c>
      <c r="DZ31" s="67">
        <v>0</v>
      </c>
      <c r="EA31" s="67">
        <v>0</v>
      </c>
      <c r="EB31" s="67">
        <v>0</v>
      </c>
      <c r="EC31" s="67">
        <v>0</v>
      </c>
      <c r="ED31" s="67">
        <v>0</v>
      </c>
      <c r="EE31" s="67">
        <v>0</v>
      </c>
      <c r="EF31" s="67">
        <v>0</v>
      </c>
      <c r="EG31" s="67">
        <v>0</v>
      </c>
      <c r="EH31" s="67">
        <v>0</v>
      </c>
      <c r="EI31" s="67">
        <v>0</v>
      </c>
      <c r="EJ31" s="67">
        <v>0</v>
      </c>
      <c r="EK31" s="67">
        <v>0</v>
      </c>
      <c r="EL31" s="67">
        <v>0</v>
      </c>
      <c r="EM31" s="67">
        <v>0</v>
      </c>
      <c r="EN31" s="67">
        <v>0</v>
      </c>
      <c r="EO31" s="67">
        <v>0</v>
      </c>
      <c r="EP31" s="67">
        <v>0</v>
      </c>
      <c r="EQ31" s="67">
        <v>0</v>
      </c>
      <c r="ER31" s="67">
        <v>0</v>
      </c>
      <c r="ES31" s="67">
        <v>0</v>
      </c>
      <c r="ET31" s="67">
        <v>0</v>
      </c>
      <c r="EU31" s="67">
        <v>0</v>
      </c>
      <c r="EV31" s="67">
        <v>0</v>
      </c>
      <c r="EW31" s="67">
        <v>0</v>
      </c>
      <c r="EX31" s="67">
        <v>0</v>
      </c>
      <c r="EY31" s="67">
        <v>0</v>
      </c>
      <c r="EZ31" s="67">
        <v>0</v>
      </c>
      <c r="FA31" s="67">
        <v>0</v>
      </c>
      <c r="FB31" s="67">
        <v>0</v>
      </c>
      <c r="FC31" s="67">
        <v>0</v>
      </c>
      <c r="FD31" s="67">
        <v>0</v>
      </c>
      <c r="FE31" s="67">
        <v>0</v>
      </c>
      <c r="FF31" s="67">
        <v>0</v>
      </c>
      <c r="FG31" s="67">
        <v>0</v>
      </c>
      <c r="FH31" s="67">
        <v>0</v>
      </c>
      <c r="FI31" s="67">
        <v>0</v>
      </c>
      <c r="FJ31" s="67">
        <v>0</v>
      </c>
      <c r="FK31" s="67">
        <v>0</v>
      </c>
      <c r="FL31" s="67">
        <v>0</v>
      </c>
      <c r="FM31" s="67">
        <v>0</v>
      </c>
      <c r="FN31" s="67">
        <v>0</v>
      </c>
      <c r="FO31" s="67">
        <v>0</v>
      </c>
      <c r="FP31" s="67">
        <v>0</v>
      </c>
      <c r="FQ31" s="67">
        <v>0</v>
      </c>
      <c r="FR31" s="67">
        <v>0</v>
      </c>
      <c r="FS31" s="67">
        <v>0</v>
      </c>
      <c r="FT31" s="67">
        <v>0</v>
      </c>
      <c r="FU31" s="67">
        <v>0</v>
      </c>
      <c r="FV31" s="67">
        <v>0</v>
      </c>
      <c r="FW31" s="67">
        <v>0</v>
      </c>
      <c r="FX31" s="67">
        <v>0</v>
      </c>
      <c r="FY31" s="67">
        <v>0</v>
      </c>
      <c r="FZ31" s="59"/>
      <c r="GA31" s="1" t="s">
        <v>260</v>
      </c>
    </row>
    <row r="32" spans="1:184" x14ac:dyDescent="0.2">
      <c r="A32" s="66" t="s">
        <v>397</v>
      </c>
      <c r="B32" s="67">
        <f t="array" ref="B32:FY32">-TRANSPOSE(BEL!BJ13:BJ192)</f>
        <v>-4460.5212701498422</v>
      </c>
      <c r="C32" s="67">
        <v>-4365.0468616402932</v>
      </c>
      <c r="D32" s="67">
        <v>-4268.2245575021834</v>
      </c>
      <c r="E32" s="67">
        <v>-4170.0330201453553</v>
      </c>
      <c r="F32" s="67">
        <v>-4070.4505766131956</v>
      </c>
      <c r="G32" s="67">
        <v>-3969.4552132530139</v>
      </c>
      <c r="H32" s="67">
        <v>-3867.0245703941059</v>
      </c>
      <c r="I32" s="67">
        <v>-3763.1359369006022</v>
      </c>
      <c r="J32" s="67">
        <v>-3657.7662446265872</v>
      </c>
      <c r="K32" s="67">
        <v>-3550.8920628096162</v>
      </c>
      <c r="L32" s="67">
        <v>-3442.4895924031421</v>
      </c>
      <c r="M32" s="67">
        <v>-3332.5346602159052</v>
      </c>
      <c r="N32" s="67">
        <v>-3221.0027130978447</v>
      </c>
      <c r="O32" s="67">
        <v>-3105.2403359563236</v>
      </c>
      <c r="P32" s="67">
        <v>-2988.0469327873802</v>
      </c>
      <c r="Q32" s="67">
        <v>-2869.4007167820296</v>
      </c>
      <c r="R32" s="67">
        <v>-2749.2795781796403</v>
      </c>
      <c r="S32" s="67">
        <v>-2627.661079423593</v>
      </c>
      <c r="T32" s="67">
        <v>-2504.5224503426143</v>
      </c>
      <c r="U32" s="67">
        <v>-2379.8405831487594</v>
      </c>
      <c r="V32" s="67">
        <v>-2253.59202744603</v>
      </c>
      <c r="W32" s="67">
        <v>-2125.7529851457407</v>
      </c>
      <c r="X32" s="67">
        <v>-1996.2993052728318</v>
      </c>
      <c r="Y32" s="67">
        <v>-1865.2064787081665</v>
      </c>
      <c r="Z32" s="67">
        <v>-1732.4496329111985</v>
      </c>
      <c r="AA32" s="67">
        <v>-1596.638161048216</v>
      </c>
      <c r="AB32" s="67">
        <v>-1459.3455571864881</v>
      </c>
      <c r="AC32" s="67">
        <v>-1320.5499851557354</v>
      </c>
      <c r="AD32" s="67">
        <v>-1180.229305966305</v>
      </c>
      <c r="AE32" s="67">
        <v>-1038.3610736130277</v>
      </c>
      <c r="AF32" s="67">
        <v>-894.92253074742462</v>
      </c>
      <c r="AG32" s="67">
        <v>-749.89060432921815</v>
      </c>
      <c r="AH32" s="67">
        <v>-603.24190117634657</v>
      </c>
      <c r="AI32" s="67">
        <v>-454.95270349297851</v>
      </c>
      <c r="AJ32" s="67">
        <v>-304.99896431371542</v>
      </c>
      <c r="AK32" s="67">
        <v>0</v>
      </c>
      <c r="AL32" s="67">
        <v>0</v>
      </c>
      <c r="AM32" s="67">
        <v>0</v>
      </c>
      <c r="AN32" s="67">
        <v>0</v>
      </c>
      <c r="AO32" s="67">
        <v>0</v>
      </c>
      <c r="AP32" s="67">
        <v>0</v>
      </c>
      <c r="AQ32" s="67">
        <v>0</v>
      </c>
      <c r="AR32" s="67">
        <v>0</v>
      </c>
      <c r="AS32" s="67">
        <v>0</v>
      </c>
      <c r="AT32" s="67">
        <v>0</v>
      </c>
      <c r="AU32" s="67">
        <v>0</v>
      </c>
      <c r="AV32" s="67">
        <v>0</v>
      </c>
      <c r="AW32" s="67">
        <v>0</v>
      </c>
      <c r="AX32" s="67">
        <v>0</v>
      </c>
      <c r="AY32" s="67">
        <v>0</v>
      </c>
      <c r="AZ32" s="67">
        <v>0</v>
      </c>
      <c r="BA32" s="67">
        <v>0</v>
      </c>
      <c r="BB32" s="67">
        <v>0</v>
      </c>
      <c r="BC32" s="67">
        <v>0</v>
      </c>
      <c r="BD32" s="67">
        <v>0</v>
      </c>
      <c r="BE32" s="67">
        <v>0</v>
      </c>
      <c r="BF32" s="67">
        <v>0</v>
      </c>
      <c r="BG32" s="67">
        <v>0</v>
      </c>
      <c r="BH32" s="67">
        <v>0</v>
      </c>
      <c r="BI32" s="67">
        <v>0</v>
      </c>
      <c r="BJ32" s="67">
        <v>0</v>
      </c>
      <c r="BK32" s="67">
        <v>0</v>
      </c>
      <c r="BL32" s="67">
        <v>0</v>
      </c>
      <c r="BM32" s="67">
        <v>0</v>
      </c>
      <c r="BN32" s="67">
        <v>0</v>
      </c>
      <c r="BO32" s="67">
        <v>0</v>
      </c>
      <c r="BP32" s="67">
        <v>0</v>
      </c>
      <c r="BQ32" s="67">
        <v>0</v>
      </c>
      <c r="BR32" s="67">
        <v>0</v>
      </c>
      <c r="BS32" s="67">
        <v>0</v>
      </c>
      <c r="BT32" s="67">
        <v>0</v>
      </c>
      <c r="BU32" s="67">
        <v>0</v>
      </c>
      <c r="BV32" s="67">
        <v>0</v>
      </c>
      <c r="BW32" s="67">
        <v>0</v>
      </c>
      <c r="BX32" s="67">
        <v>0</v>
      </c>
      <c r="BY32" s="67">
        <v>0</v>
      </c>
      <c r="BZ32" s="67">
        <v>0</v>
      </c>
      <c r="CA32" s="67">
        <v>0</v>
      </c>
      <c r="CB32" s="67">
        <v>0</v>
      </c>
      <c r="CC32" s="67">
        <v>0</v>
      </c>
      <c r="CD32" s="67">
        <v>0</v>
      </c>
      <c r="CE32" s="67">
        <v>0</v>
      </c>
      <c r="CF32" s="67">
        <v>0</v>
      </c>
      <c r="CG32" s="67">
        <v>0</v>
      </c>
      <c r="CH32" s="67">
        <v>0</v>
      </c>
      <c r="CI32" s="67">
        <v>0</v>
      </c>
      <c r="CJ32" s="67">
        <v>0</v>
      </c>
      <c r="CK32" s="67">
        <v>0</v>
      </c>
      <c r="CL32" s="67">
        <v>0</v>
      </c>
      <c r="CM32" s="67">
        <v>0</v>
      </c>
      <c r="CN32" s="67">
        <v>0</v>
      </c>
      <c r="CO32" s="67">
        <v>0</v>
      </c>
      <c r="CP32" s="67">
        <v>0</v>
      </c>
      <c r="CQ32" s="67">
        <v>0</v>
      </c>
      <c r="CR32" s="67">
        <v>0</v>
      </c>
      <c r="CS32" s="67">
        <v>0</v>
      </c>
      <c r="CT32" s="67">
        <v>0</v>
      </c>
      <c r="CU32" s="67">
        <v>0</v>
      </c>
      <c r="CV32" s="67">
        <v>0</v>
      </c>
      <c r="CW32" s="67">
        <v>0</v>
      </c>
      <c r="CX32" s="67">
        <v>0</v>
      </c>
      <c r="CY32" s="67">
        <v>0</v>
      </c>
      <c r="CZ32" s="67">
        <v>0</v>
      </c>
      <c r="DA32" s="67">
        <v>0</v>
      </c>
      <c r="DB32" s="67">
        <v>0</v>
      </c>
      <c r="DC32" s="67">
        <v>0</v>
      </c>
      <c r="DD32" s="67">
        <v>0</v>
      </c>
      <c r="DE32" s="67">
        <v>0</v>
      </c>
      <c r="DF32" s="67">
        <v>0</v>
      </c>
      <c r="DG32" s="67">
        <v>0</v>
      </c>
      <c r="DH32" s="67">
        <v>0</v>
      </c>
      <c r="DI32" s="67">
        <v>0</v>
      </c>
      <c r="DJ32" s="67">
        <v>0</v>
      </c>
      <c r="DK32" s="67">
        <v>0</v>
      </c>
      <c r="DL32" s="67">
        <v>0</v>
      </c>
      <c r="DM32" s="67">
        <v>0</v>
      </c>
      <c r="DN32" s="67">
        <v>0</v>
      </c>
      <c r="DO32" s="67">
        <v>0</v>
      </c>
      <c r="DP32" s="67">
        <v>0</v>
      </c>
      <c r="DQ32" s="67">
        <v>0</v>
      </c>
      <c r="DR32" s="67">
        <v>0</v>
      </c>
      <c r="DS32" s="67">
        <v>0</v>
      </c>
      <c r="DT32" s="67">
        <v>0</v>
      </c>
      <c r="DU32" s="67">
        <v>0</v>
      </c>
      <c r="DV32" s="67">
        <v>0</v>
      </c>
      <c r="DW32" s="67">
        <v>0</v>
      </c>
      <c r="DX32" s="67">
        <v>0</v>
      </c>
      <c r="DY32" s="67">
        <v>0</v>
      </c>
      <c r="DZ32" s="67">
        <v>0</v>
      </c>
      <c r="EA32" s="67">
        <v>0</v>
      </c>
      <c r="EB32" s="67">
        <v>0</v>
      </c>
      <c r="EC32" s="67">
        <v>0</v>
      </c>
      <c r="ED32" s="67">
        <v>0</v>
      </c>
      <c r="EE32" s="67">
        <v>0</v>
      </c>
      <c r="EF32" s="67">
        <v>0</v>
      </c>
      <c r="EG32" s="67">
        <v>0</v>
      </c>
      <c r="EH32" s="67">
        <v>0</v>
      </c>
      <c r="EI32" s="67">
        <v>0</v>
      </c>
      <c r="EJ32" s="67">
        <v>0</v>
      </c>
      <c r="EK32" s="67">
        <v>0</v>
      </c>
      <c r="EL32" s="67">
        <v>0</v>
      </c>
      <c r="EM32" s="67">
        <v>0</v>
      </c>
      <c r="EN32" s="67">
        <v>0</v>
      </c>
      <c r="EO32" s="67">
        <v>0</v>
      </c>
      <c r="EP32" s="67">
        <v>0</v>
      </c>
      <c r="EQ32" s="67">
        <v>0</v>
      </c>
      <c r="ER32" s="67">
        <v>0</v>
      </c>
      <c r="ES32" s="67">
        <v>0</v>
      </c>
      <c r="ET32" s="67">
        <v>0</v>
      </c>
      <c r="EU32" s="67">
        <v>0</v>
      </c>
      <c r="EV32" s="67">
        <v>0</v>
      </c>
      <c r="EW32" s="67">
        <v>0</v>
      </c>
      <c r="EX32" s="67">
        <v>0</v>
      </c>
      <c r="EY32" s="67">
        <v>0</v>
      </c>
      <c r="EZ32" s="67">
        <v>0</v>
      </c>
      <c r="FA32" s="67">
        <v>0</v>
      </c>
      <c r="FB32" s="67">
        <v>0</v>
      </c>
      <c r="FC32" s="67">
        <v>0</v>
      </c>
      <c r="FD32" s="67">
        <v>0</v>
      </c>
      <c r="FE32" s="67">
        <v>0</v>
      </c>
      <c r="FF32" s="67">
        <v>0</v>
      </c>
      <c r="FG32" s="67">
        <v>0</v>
      </c>
      <c r="FH32" s="67">
        <v>0</v>
      </c>
      <c r="FI32" s="67">
        <v>0</v>
      </c>
      <c r="FJ32" s="67">
        <v>0</v>
      </c>
      <c r="FK32" s="67">
        <v>0</v>
      </c>
      <c r="FL32" s="67">
        <v>0</v>
      </c>
      <c r="FM32" s="67">
        <v>0</v>
      </c>
      <c r="FN32" s="67">
        <v>0</v>
      </c>
      <c r="FO32" s="67">
        <v>0</v>
      </c>
      <c r="FP32" s="67">
        <v>0</v>
      </c>
      <c r="FQ32" s="67">
        <v>0</v>
      </c>
      <c r="FR32" s="67">
        <v>0</v>
      </c>
      <c r="FS32" s="67">
        <v>0</v>
      </c>
      <c r="FT32" s="67">
        <v>0</v>
      </c>
      <c r="FU32" s="67">
        <v>0</v>
      </c>
      <c r="FV32" s="67">
        <v>0</v>
      </c>
      <c r="FW32" s="67">
        <v>0</v>
      </c>
      <c r="FX32" s="67">
        <v>0</v>
      </c>
      <c r="FY32" s="67">
        <v>0</v>
      </c>
      <c r="FZ32" s="59"/>
      <c r="GA32" s="1" t="s">
        <v>260</v>
      </c>
    </row>
    <row r="33" spans="1:183" x14ac:dyDescent="0.2">
      <c r="A33" s="66" t="s">
        <v>177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  <c r="FL33" s="67"/>
      <c r="FM33" s="67"/>
      <c r="FN33" s="67"/>
      <c r="FO33" s="67"/>
      <c r="FP33" s="67"/>
      <c r="FQ33" s="67"/>
      <c r="FR33" s="67"/>
      <c r="FS33" s="67"/>
      <c r="FT33" s="67"/>
      <c r="FU33" s="67"/>
      <c r="FV33" s="67"/>
      <c r="FW33" s="67"/>
      <c r="FX33" s="67"/>
      <c r="FY33" s="67"/>
      <c r="FZ33" s="59"/>
    </row>
    <row r="34" spans="1:183" x14ac:dyDescent="0.2">
      <c r="A34" s="66" t="s">
        <v>178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  <c r="FL34" s="67"/>
      <c r="FM34" s="67"/>
      <c r="FN34" s="67"/>
      <c r="FO34" s="67"/>
      <c r="FP34" s="67"/>
      <c r="FQ34" s="67"/>
      <c r="FR34" s="67"/>
      <c r="FS34" s="67"/>
      <c r="FT34" s="67"/>
      <c r="FU34" s="67"/>
      <c r="FV34" s="67"/>
      <c r="FW34" s="67"/>
      <c r="FX34" s="67"/>
      <c r="FY34" s="67"/>
      <c r="FZ34" s="59"/>
    </row>
    <row r="35" spans="1:183" x14ac:dyDescent="0.2">
      <c r="A35" s="66" t="s">
        <v>179</v>
      </c>
      <c r="B35" s="67">
        <f t="array" ref="B35:FY35">-TRANSPOSE(BEL!BP13:BP192)</f>
        <v>-28602.141268143001</v>
      </c>
      <c r="C35" s="67">
        <v>-1003.3567619939181</v>
      </c>
      <c r="D35" s="67">
        <v>-1004.5737301133342</v>
      </c>
      <c r="E35" s="67">
        <v>-1005.7921742893833</v>
      </c>
      <c r="F35" s="67">
        <v>-1007.0120963123694</v>
      </c>
      <c r="G35" s="67">
        <v>-1008.2334979747684</v>
      </c>
      <c r="H35" s="67">
        <v>-1009.45638107123</v>
      </c>
      <c r="I35" s="67">
        <v>-1010.6807473985806</v>
      </c>
      <c r="J35" s="67">
        <v>-1011.9065987558262</v>
      </c>
      <c r="K35" s="67">
        <v>-1013.1339369441547</v>
      </c>
      <c r="L35" s="67">
        <v>-1014.3627637669385</v>
      </c>
      <c r="M35" s="67">
        <v>-1015.5930810297375</v>
      </c>
      <c r="N35" s="67">
        <v>-1016.8248905403017</v>
      </c>
      <c r="O35" s="67">
        <v>-1017.1971727297851</v>
      </c>
      <c r="P35" s="67">
        <v>-1017.5695912200515</v>
      </c>
      <c r="Q35" s="67">
        <v>-1017.9421460610038</v>
      </c>
      <c r="R35" s="67">
        <v>-1018.3148373025623</v>
      </c>
      <c r="S35" s="67">
        <v>-1018.6876649946668</v>
      </c>
      <c r="T35" s="67">
        <v>-1019.0606291872748</v>
      </c>
      <c r="U35" s="67">
        <v>-1019.4337299303621</v>
      </c>
      <c r="V35" s="67">
        <v>-1019.8069672739232</v>
      </c>
      <c r="W35" s="67">
        <v>-1020.1803412679704</v>
      </c>
      <c r="X35" s="67">
        <v>-1020.5538519625339</v>
      </c>
      <c r="Y35" s="67">
        <v>-1020.9274994076638</v>
      </c>
      <c r="Z35" s="67">
        <v>-1021.3012836534266</v>
      </c>
      <c r="AA35" s="67">
        <v>-1020.8022654917501</v>
      </c>
      <c r="AB35" s="67">
        <v>-1020.3034911554064</v>
      </c>
      <c r="AC35" s="67">
        <v>-1019.8049605252603</v>
      </c>
      <c r="AD35" s="67">
        <v>-1019.3066734822346</v>
      </c>
      <c r="AE35" s="67">
        <v>-1018.8086299073099</v>
      </c>
      <c r="AF35" s="67">
        <v>-1018.3108296815257</v>
      </c>
      <c r="AG35" s="67">
        <v>-1017.8132726859783</v>
      </c>
      <c r="AH35" s="67">
        <v>-1017.3159588018236</v>
      </c>
      <c r="AI35" s="67">
        <v>-1016.818887910275</v>
      </c>
      <c r="AJ35" s="67">
        <v>-1016.3220598926031</v>
      </c>
      <c r="AK35" s="67">
        <v>-1015.8254746301382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0</v>
      </c>
      <c r="AY35" s="67">
        <v>0</v>
      </c>
      <c r="AZ35" s="67">
        <v>0</v>
      </c>
      <c r="BA35" s="67">
        <v>0</v>
      </c>
      <c r="BB35" s="67">
        <v>0</v>
      </c>
      <c r="BC35" s="67">
        <v>0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0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0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0</v>
      </c>
      <c r="DE35" s="67">
        <v>0</v>
      </c>
      <c r="DF35" s="67">
        <v>0</v>
      </c>
      <c r="DG35" s="67">
        <v>0</v>
      </c>
      <c r="DH35" s="67">
        <v>0</v>
      </c>
      <c r="DI35" s="67">
        <v>0</v>
      </c>
      <c r="DJ35" s="67">
        <v>0</v>
      </c>
      <c r="DK35" s="67">
        <v>0</v>
      </c>
      <c r="DL35" s="67">
        <v>0</v>
      </c>
      <c r="DM35" s="67">
        <v>0</v>
      </c>
      <c r="DN35" s="67">
        <v>0</v>
      </c>
      <c r="DO35" s="67">
        <v>0</v>
      </c>
      <c r="DP35" s="67">
        <v>0</v>
      </c>
      <c r="DQ35" s="67">
        <v>0</v>
      </c>
      <c r="DR35" s="67">
        <v>0</v>
      </c>
      <c r="DS35" s="67">
        <v>0</v>
      </c>
      <c r="DT35" s="67">
        <v>0</v>
      </c>
      <c r="DU35" s="67">
        <v>0</v>
      </c>
      <c r="DV35" s="67">
        <v>0</v>
      </c>
      <c r="DW35" s="67">
        <v>0</v>
      </c>
      <c r="DX35" s="67">
        <v>0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0</v>
      </c>
      <c r="EP35" s="67">
        <v>0</v>
      </c>
      <c r="EQ35" s="67">
        <v>0</v>
      </c>
      <c r="ER35" s="67">
        <v>0</v>
      </c>
      <c r="ES35" s="67">
        <v>0</v>
      </c>
      <c r="ET35" s="67">
        <v>0</v>
      </c>
      <c r="EU35" s="67">
        <v>0</v>
      </c>
      <c r="EV35" s="67">
        <v>0</v>
      </c>
      <c r="EW35" s="67">
        <v>0</v>
      </c>
      <c r="EX35" s="67">
        <v>0</v>
      </c>
      <c r="EY35" s="67">
        <v>0</v>
      </c>
      <c r="EZ35" s="67">
        <v>0</v>
      </c>
      <c r="FA35" s="67">
        <v>0</v>
      </c>
      <c r="FB35" s="67">
        <v>0</v>
      </c>
      <c r="FC35" s="67">
        <v>0</v>
      </c>
      <c r="FD35" s="67">
        <v>0</v>
      </c>
      <c r="FE35" s="67">
        <v>0</v>
      </c>
      <c r="FF35" s="67">
        <v>0</v>
      </c>
      <c r="FG35" s="67">
        <v>0</v>
      </c>
      <c r="FH35" s="67">
        <v>0</v>
      </c>
      <c r="FI35" s="67">
        <v>0</v>
      </c>
      <c r="FJ35" s="67">
        <v>0</v>
      </c>
      <c r="FK35" s="67">
        <v>0</v>
      </c>
      <c r="FL35" s="67">
        <v>0</v>
      </c>
      <c r="FM35" s="67">
        <v>0</v>
      </c>
      <c r="FN35" s="67">
        <v>0</v>
      </c>
      <c r="FO35" s="67">
        <v>0</v>
      </c>
      <c r="FP35" s="67">
        <v>0</v>
      </c>
      <c r="FQ35" s="67">
        <v>0</v>
      </c>
      <c r="FR35" s="67">
        <v>0</v>
      </c>
      <c r="FS35" s="67">
        <v>0</v>
      </c>
      <c r="FT35" s="67">
        <v>0</v>
      </c>
      <c r="FU35" s="67">
        <v>0</v>
      </c>
      <c r="FV35" s="67">
        <v>0</v>
      </c>
      <c r="FW35" s="67">
        <v>0</v>
      </c>
      <c r="FX35" s="67">
        <v>0</v>
      </c>
      <c r="FY35" s="67">
        <v>0</v>
      </c>
      <c r="FZ35" s="59"/>
      <c r="GA35" s="1" t="s">
        <v>260</v>
      </c>
    </row>
    <row r="36" spans="1:183" x14ac:dyDescent="0.2">
      <c r="A36" s="66" t="s">
        <v>180</v>
      </c>
      <c r="B36" s="67">
        <f t="array" ref="B36:FY36">-TRANSPOSE(BEL!BM13:BM192)</f>
        <v>-17000</v>
      </c>
      <c r="C36" s="67">
        <v>0</v>
      </c>
      <c r="D36" s="67">
        <v>0</v>
      </c>
      <c r="E36" s="67">
        <v>0</v>
      </c>
      <c r="F36" s="67">
        <v>0</v>
      </c>
      <c r="G36" s="67">
        <v>0</v>
      </c>
      <c r="H36" s="67">
        <v>0</v>
      </c>
      <c r="I36" s="67">
        <v>0</v>
      </c>
      <c r="J36" s="67">
        <v>0</v>
      </c>
      <c r="K36" s="67">
        <v>0</v>
      </c>
      <c r="L36" s="67">
        <v>0</v>
      </c>
      <c r="M36" s="67">
        <v>0</v>
      </c>
      <c r="N36" s="67">
        <v>0</v>
      </c>
      <c r="O36" s="67">
        <v>0</v>
      </c>
      <c r="P36" s="67">
        <v>0</v>
      </c>
      <c r="Q36" s="67">
        <v>0</v>
      </c>
      <c r="R36" s="67">
        <v>0</v>
      </c>
      <c r="S36" s="67">
        <v>0</v>
      </c>
      <c r="T36" s="67">
        <v>0</v>
      </c>
      <c r="U36" s="67">
        <v>0</v>
      </c>
      <c r="V36" s="67">
        <v>0</v>
      </c>
      <c r="W36" s="67">
        <v>0</v>
      </c>
      <c r="X36" s="67">
        <v>0</v>
      </c>
      <c r="Y36" s="67">
        <v>0</v>
      </c>
      <c r="Z36" s="67">
        <v>0</v>
      </c>
      <c r="AA36" s="67">
        <v>0</v>
      </c>
      <c r="AB36" s="67">
        <v>0</v>
      </c>
      <c r="AC36" s="67">
        <v>0</v>
      </c>
      <c r="AD36" s="67">
        <v>0</v>
      </c>
      <c r="AE36" s="67">
        <v>0</v>
      </c>
      <c r="AF36" s="67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7">
        <v>0</v>
      </c>
      <c r="AT36" s="67">
        <v>0</v>
      </c>
      <c r="AU36" s="67">
        <v>0</v>
      </c>
      <c r="AV36" s="67">
        <v>0</v>
      </c>
      <c r="AW36" s="67">
        <v>0</v>
      </c>
      <c r="AX36" s="67">
        <v>0</v>
      </c>
      <c r="AY36" s="67">
        <v>0</v>
      </c>
      <c r="AZ36" s="67">
        <v>0</v>
      </c>
      <c r="BA36" s="67">
        <v>0</v>
      </c>
      <c r="BB36" s="67">
        <v>0</v>
      </c>
      <c r="BC36" s="67">
        <v>0</v>
      </c>
      <c r="BD36" s="67">
        <v>0</v>
      </c>
      <c r="BE36" s="67">
        <v>0</v>
      </c>
      <c r="BF36" s="67">
        <v>0</v>
      </c>
      <c r="BG36" s="67">
        <v>0</v>
      </c>
      <c r="BH36" s="67">
        <v>0</v>
      </c>
      <c r="BI36" s="67">
        <v>0</v>
      </c>
      <c r="BJ36" s="67">
        <v>0</v>
      </c>
      <c r="BK36" s="67">
        <v>0</v>
      </c>
      <c r="BL36" s="67">
        <v>0</v>
      </c>
      <c r="BM36" s="67">
        <v>0</v>
      </c>
      <c r="BN36" s="67">
        <v>0</v>
      </c>
      <c r="BO36" s="67">
        <v>0</v>
      </c>
      <c r="BP36" s="67">
        <v>0</v>
      </c>
      <c r="BQ36" s="67">
        <v>0</v>
      </c>
      <c r="BR36" s="67">
        <v>0</v>
      </c>
      <c r="BS36" s="67">
        <v>0</v>
      </c>
      <c r="BT36" s="67">
        <v>0</v>
      </c>
      <c r="BU36" s="67">
        <v>0</v>
      </c>
      <c r="BV36" s="67">
        <v>0</v>
      </c>
      <c r="BW36" s="67">
        <v>0</v>
      </c>
      <c r="BX36" s="67">
        <v>0</v>
      </c>
      <c r="BY36" s="67">
        <v>0</v>
      </c>
      <c r="BZ36" s="67">
        <v>0</v>
      </c>
      <c r="CA36" s="67">
        <v>0</v>
      </c>
      <c r="CB36" s="67">
        <v>0</v>
      </c>
      <c r="CC36" s="67">
        <v>0</v>
      </c>
      <c r="CD36" s="67">
        <v>0</v>
      </c>
      <c r="CE36" s="67">
        <v>0</v>
      </c>
      <c r="CF36" s="67">
        <v>0</v>
      </c>
      <c r="CG36" s="67">
        <v>0</v>
      </c>
      <c r="CH36" s="67">
        <v>0</v>
      </c>
      <c r="CI36" s="67">
        <v>0</v>
      </c>
      <c r="CJ36" s="67">
        <v>0</v>
      </c>
      <c r="CK36" s="67">
        <v>0</v>
      </c>
      <c r="CL36" s="67">
        <v>0</v>
      </c>
      <c r="CM36" s="67">
        <v>0</v>
      </c>
      <c r="CN36" s="67">
        <v>0</v>
      </c>
      <c r="CO36" s="67">
        <v>0</v>
      </c>
      <c r="CP36" s="67">
        <v>0</v>
      </c>
      <c r="CQ36" s="67">
        <v>0</v>
      </c>
      <c r="CR36" s="67">
        <v>0</v>
      </c>
      <c r="CS36" s="67">
        <v>0</v>
      </c>
      <c r="CT36" s="67">
        <v>0</v>
      </c>
      <c r="CU36" s="67">
        <v>0</v>
      </c>
      <c r="CV36" s="67">
        <v>0</v>
      </c>
      <c r="CW36" s="67">
        <v>0</v>
      </c>
      <c r="CX36" s="67">
        <v>0</v>
      </c>
      <c r="CY36" s="67">
        <v>0</v>
      </c>
      <c r="CZ36" s="67">
        <v>0</v>
      </c>
      <c r="DA36" s="67">
        <v>0</v>
      </c>
      <c r="DB36" s="67">
        <v>0</v>
      </c>
      <c r="DC36" s="67">
        <v>0</v>
      </c>
      <c r="DD36" s="67">
        <v>0</v>
      </c>
      <c r="DE36" s="67">
        <v>0</v>
      </c>
      <c r="DF36" s="67">
        <v>0</v>
      </c>
      <c r="DG36" s="67">
        <v>0</v>
      </c>
      <c r="DH36" s="67">
        <v>0</v>
      </c>
      <c r="DI36" s="67">
        <v>0</v>
      </c>
      <c r="DJ36" s="67">
        <v>0</v>
      </c>
      <c r="DK36" s="67">
        <v>0</v>
      </c>
      <c r="DL36" s="67">
        <v>0</v>
      </c>
      <c r="DM36" s="67">
        <v>0</v>
      </c>
      <c r="DN36" s="67">
        <v>0</v>
      </c>
      <c r="DO36" s="67">
        <v>0</v>
      </c>
      <c r="DP36" s="67">
        <v>0</v>
      </c>
      <c r="DQ36" s="67">
        <v>0</v>
      </c>
      <c r="DR36" s="67">
        <v>0</v>
      </c>
      <c r="DS36" s="67">
        <v>0</v>
      </c>
      <c r="DT36" s="67">
        <v>0</v>
      </c>
      <c r="DU36" s="67">
        <v>0</v>
      </c>
      <c r="DV36" s="67">
        <v>0</v>
      </c>
      <c r="DW36" s="67">
        <v>0</v>
      </c>
      <c r="DX36" s="67">
        <v>0</v>
      </c>
      <c r="DY36" s="67">
        <v>0</v>
      </c>
      <c r="DZ36" s="67">
        <v>0</v>
      </c>
      <c r="EA36" s="67">
        <v>0</v>
      </c>
      <c r="EB36" s="67">
        <v>0</v>
      </c>
      <c r="EC36" s="67">
        <v>0</v>
      </c>
      <c r="ED36" s="67">
        <v>0</v>
      </c>
      <c r="EE36" s="67">
        <v>0</v>
      </c>
      <c r="EF36" s="67">
        <v>0</v>
      </c>
      <c r="EG36" s="67">
        <v>0</v>
      </c>
      <c r="EH36" s="67">
        <v>0</v>
      </c>
      <c r="EI36" s="67">
        <v>0</v>
      </c>
      <c r="EJ36" s="67">
        <v>0</v>
      </c>
      <c r="EK36" s="67">
        <v>0</v>
      </c>
      <c r="EL36" s="67">
        <v>0</v>
      </c>
      <c r="EM36" s="67">
        <v>0</v>
      </c>
      <c r="EN36" s="67">
        <v>0</v>
      </c>
      <c r="EO36" s="67">
        <v>0</v>
      </c>
      <c r="EP36" s="67">
        <v>0</v>
      </c>
      <c r="EQ36" s="67">
        <v>0</v>
      </c>
      <c r="ER36" s="67">
        <v>0</v>
      </c>
      <c r="ES36" s="67">
        <v>0</v>
      </c>
      <c r="ET36" s="67">
        <v>0</v>
      </c>
      <c r="EU36" s="67">
        <v>0</v>
      </c>
      <c r="EV36" s="67">
        <v>0</v>
      </c>
      <c r="EW36" s="67">
        <v>0</v>
      </c>
      <c r="EX36" s="67">
        <v>0</v>
      </c>
      <c r="EY36" s="67">
        <v>0</v>
      </c>
      <c r="EZ36" s="67">
        <v>0</v>
      </c>
      <c r="FA36" s="67">
        <v>0</v>
      </c>
      <c r="FB36" s="67">
        <v>0</v>
      </c>
      <c r="FC36" s="67">
        <v>0</v>
      </c>
      <c r="FD36" s="67">
        <v>0</v>
      </c>
      <c r="FE36" s="67">
        <v>0</v>
      </c>
      <c r="FF36" s="67">
        <v>0</v>
      </c>
      <c r="FG36" s="67">
        <v>0</v>
      </c>
      <c r="FH36" s="67">
        <v>0</v>
      </c>
      <c r="FI36" s="67">
        <v>0</v>
      </c>
      <c r="FJ36" s="67">
        <v>0</v>
      </c>
      <c r="FK36" s="67">
        <v>0</v>
      </c>
      <c r="FL36" s="67">
        <v>0</v>
      </c>
      <c r="FM36" s="67">
        <v>0</v>
      </c>
      <c r="FN36" s="67">
        <v>0</v>
      </c>
      <c r="FO36" s="67">
        <v>0</v>
      </c>
      <c r="FP36" s="67">
        <v>0</v>
      </c>
      <c r="FQ36" s="67">
        <v>0</v>
      </c>
      <c r="FR36" s="67">
        <v>0</v>
      </c>
      <c r="FS36" s="67">
        <v>0</v>
      </c>
      <c r="FT36" s="67">
        <v>0</v>
      </c>
      <c r="FU36" s="67">
        <v>0</v>
      </c>
      <c r="FV36" s="67">
        <v>0</v>
      </c>
      <c r="FW36" s="67">
        <v>0</v>
      </c>
      <c r="FX36" s="67">
        <v>0</v>
      </c>
      <c r="FY36" s="67">
        <v>0</v>
      </c>
      <c r="FZ36" s="59"/>
    </row>
    <row r="37" spans="1:183" x14ac:dyDescent="0.2">
      <c r="A37" s="66" t="s">
        <v>181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</row>
    <row r="38" spans="1:183" x14ac:dyDescent="0.2">
      <c r="A38" s="66" t="s">
        <v>182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</row>
    <row r="39" spans="1:183" x14ac:dyDescent="0.2">
      <c r="A39" s="66" t="s">
        <v>183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</row>
    <row r="40" spans="1:183" x14ac:dyDescent="0.2">
      <c r="A40" s="66" t="s">
        <v>184</v>
      </c>
      <c r="B40" s="67">
        <f t="array" ref="B40:FY40">-TRANSPOSE(BEL!BK13:BK192)</f>
        <v>-134.78555481841482</v>
      </c>
      <c r="C40" s="67">
        <v>-130.81324280898934</v>
      </c>
      <c r="D40" s="67">
        <v>-126.84817493000902</v>
      </c>
      <c r="E40" s="67">
        <v>-122.89034116874157</v>
      </c>
      <c r="F40" s="67">
        <v>-118.9397315247892</v>
      </c>
      <c r="G40" s="67">
        <v>-114.99633601007432</v>
      </c>
      <c r="H40" s="67">
        <v>-111.06014464882529</v>
      </c>
      <c r="I40" s="67">
        <v>-107.13114747756225</v>
      </c>
      <c r="J40" s="67">
        <v>-103.20933454508285</v>
      </c>
      <c r="K40" s="67">
        <v>-99.294695912448105</v>
      </c>
      <c r="L40" s="67">
        <v>-95.387221652968094</v>
      </c>
      <c r="M40" s="67">
        <v>-91.48690185218797</v>
      </c>
      <c r="N40" s="67">
        <v>-176.00229303252942</v>
      </c>
      <c r="O40" s="67">
        <v>-168.05181211414518</v>
      </c>
      <c r="P40" s="67">
        <v>-160.12894517098934</v>
      </c>
      <c r="Q40" s="67">
        <v>-152.23361932102273</v>
      </c>
      <c r="R40" s="67">
        <v>-144.36576185376177</v>
      </c>
      <c r="S40" s="67">
        <v>-136.52530022989922</v>
      </c>
      <c r="T40" s="67">
        <v>-128.71216208092599</v>
      </c>
      <c r="U40" s="67">
        <v>-120.92627520875367</v>
      </c>
      <c r="V40" s="67">
        <v>-113.16756758533778</v>
      </c>
      <c r="W40" s="67">
        <v>-105.43596735230192</v>
      </c>
      <c r="X40" s="67">
        <v>-97.731402820562707</v>
      </c>
      <c r="Y40" s="67">
        <v>-90.053802469955514</v>
      </c>
      <c r="Z40" s="67">
        <v>-124.18439286596153</v>
      </c>
      <c r="AA40" s="67">
        <v>-112.59863713677322</v>
      </c>
      <c r="AB40" s="67">
        <v>-101.07283423091486</v>
      </c>
      <c r="AC40" s="67">
        <v>-89.606749272944725</v>
      </c>
      <c r="AD40" s="67">
        <v>-78.200148207289772</v>
      </c>
      <c r="AE40" s="67">
        <v>-66.852797795560207</v>
      </c>
      <c r="AF40" s="67">
        <v>-55.564465613872287</v>
      </c>
      <c r="AG40" s="67">
        <v>-44.334920050179647</v>
      </c>
      <c r="AH40" s="67">
        <v>-33.163930301613</v>
      </c>
      <c r="AI40" s="67">
        <v>-22.051266371828181</v>
      </c>
      <c r="AJ40" s="67">
        <v>-10.996699068362615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7">
        <v>0</v>
      </c>
      <c r="AT40" s="67">
        <v>0</v>
      </c>
      <c r="AU40" s="67">
        <v>0</v>
      </c>
      <c r="AV40" s="67">
        <v>0</v>
      </c>
      <c r="AW40" s="67">
        <v>0</v>
      </c>
      <c r="AX40" s="67">
        <v>0</v>
      </c>
      <c r="AY40" s="67">
        <v>0</v>
      </c>
      <c r="AZ40" s="67">
        <v>0</v>
      </c>
      <c r="BA40" s="67">
        <v>0</v>
      </c>
      <c r="BB40" s="67">
        <v>0</v>
      </c>
      <c r="BC40" s="67">
        <v>0</v>
      </c>
      <c r="BD40" s="67">
        <v>0</v>
      </c>
      <c r="BE40" s="67">
        <v>0</v>
      </c>
      <c r="BF40" s="67">
        <v>0</v>
      </c>
      <c r="BG40" s="67">
        <v>0</v>
      </c>
      <c r="BH40" s="67">
        <v>0</v>
      </c>
      <c r="BI40" s="67">
        <v>0</v>
      </c>
      <c r="BJ40" s="67">
        <v>0</v>
      </c>
      <c r="BK40" s="67">
        <v>0</v>
      </c>
      <c r="BL40" s="67">
        <v>0</v>
      </c>
      <c r="BM40" s="67">
        <v>0</v>
      </c>
      <c r="BN40" s="67">
        <v>0</v>
      </c>
      <c r="BO40" s="67">
        <v>0</v>
      </c>
      <c r="BP40" s="67">
        <v>0</v>
      </c>
      <c r="BQ40" s="67">
        <v>0</v>
      </c>
      <c r="BR40" s="67">
        <v>0</v>
      </c>
      <c r="BS40" s="67">
        <v>0</v>
      </c>
      <c r="BT40" s="67">
        <v>0</v>
      </c>
      <c r="BU40" s="67">
        <v>0</v>
      </c>
      <c r="BV40" s="67">
        <v>0</v>
      </c>
      <c r="BW40" s="67">
        <v>0</v>
      </c>
      <c r="BX40" s="67">
        <v>0</v>
      </c>
      <c r="BY40" s="67">
        <v>0</v>
      </c>
      <c r="BZ40" s="67">
        <v>0</v>
      </c>
      <c r="CA40" s="67">
        <v>0</v>
      </c>
      <c r="CB40" s="67">
        <v>0</v>
      </c>
      <c r="CC40" s="67">
        <v>0</v>
      </c>
      <c r="CD40" s="67">
        <v>0</v>
      </c>
      <c r="CE40" s="67">
        <v>0</v>
      </c>
      <c r="CF40" s="67">
        <v>0</v>
      </c>
      <c r="CG40" s="67">
        <v>0</v>
      </c>
      <c r="CH40" s="67">
        <v>0</v>
      </c>
      <c r="CI40" s="67">
        <v>0</v>
      </c>
      <c r="CJ40" s="67">
        <v>0</v>
      </c>
      <c r="CK40" s="67">
        <v>0</v>
      </c>
      <c r="CL40" s="67">
        <v>0</v>
      </c>
      <c r="CM40" s="67">
        <v>0</v>
      </c>
      <c r="CN40" s="67">
        <v>0</v>
      </c>
      <c r="CO40" s="67">
        <v>0</v>
      </c>
      <c r="CP40" s="67">
        <v>0</v>
      </c>
      <c r="CQ40" s="67">
        <v>0</v>
      </c>
      <c r="CR40" s="67">
        <v>0</v>
      </c>
      <c r="CS40" s="67">
        <v>0</v>
      </c>
      <c r="CT40" s="67">
        <v>0</v>
      </c>
      <c r="CU40" s="67">
        <v>0</v>
      </c>
      <c r="CV40" s="67">
        <v>0</v>
      </c>
      <c r="CW40" s="67">
        <v>0</v>
      </c>
      <c r="CX40" s="67">
        <v>0</v>
      </c>
      <c r="CY40" s="67">
        <v>0</v>
      </c>
      <c r="CZ40" s="67">
        <v>0</v>
      </c>
      <c r="DA40" s="67">
        <v>0</v>
      </c>
      <c r="DB40" s="67">
        <v>0</v>
      </c>
      <c r="DC40" s="67">
        <v>0</v>
      </c>
      <c r="DD40" s="67">
        <v>0</v>
      </c>
      <c r="DE40" s="67">
        <v>0</v>
      </c>
      <c r="DF40" s="67">
        <v>0</v>
      </c>
      <c r="DG40" s="67">
        <v>0</v>
      </c>
      <c r="DH40" s="67">
        <v>0</v>
      </c>
      <c r="DI40" s="67">
        <v>0</v>
      </c>
      <c r="DJ40" s="67">
        <v>0</v>
      </c>
      <c r="DK40" s="67">
        <v>0</v>
      </c>
      <c r="DL40" s="67">
        <v>0</v>
      </c>
      <c r="DM40" s="67">
        <v>0</v>
      </c>
      <c r="DN40" s="67">
        <v>0</v>
      </c>
      <c r="DO40" s="67">
        <v>0</v>
      </c>
      <c r="DP40" s="67">
        <v>0</v>
      </c>
      <c r="DQ40" s="67">
        <v>0</v>
      </c>
      <c r="DR40" s="67">
        <v>0</v>
      </c>
      <c r="DS40" s="67">
        <v>0</v>
      </c>
      <c r="DT40" s="67">
        <v>0</v>
      </c>
      <c r="DU40" s="67">
        <v>0</v>
      </c>
      <c r="DV40" s="67">
        <v>0</v>
      </c>
      <c r="DW40" s="67">
        <v>0</v>
      </c>
      <c r="DX40" s="67">
        <v>0</v>
      </c>
      <c r="DY40" s="67">
        <v>0</v>
      </c>
      <c r="DZ40" s="67">
        <v>0</v>
      </c>
      <c r="EA40" s="67">
        <v>0</v>
      </c>
      <c r="EB40" s="67">
        <v>0</v>
      </c>
      <c r="EC40" s="67">
        <v>0</v>
      </c>
      <c r="ED40" s="67">
        <v>0</v>
      </c>
      <c r="EE40" s="67">
        <v>0</v>
      </c>
      <c r="EF40" s="67">
        <v>0</v>
      </c>
      <c r="EG40" s="67">
        <v>0</v>
      </c>
      <c r="EH40" s="67">
        <v>0</v>
      </c>
      <c r="EI40" s="67">
        <v>0</v>
      </c>
      <c r="EJ40" s="67">
        <v>0</v>
      </c>
      <c r="EK40" s="67">
        <v>0</v>
      </c>
      <c r="EL40" s="67">
        <v>0</v>
      </c>
      <c r="EM40" s="67">
        <v>0</v>
      </c>
      <c r="EN40" s="67">
        <v>0</v>
      </c>
      <c r="EO40" s="67">
        <v>0</v>
      </c>
      <c r="EP40" s="67">
        <v>0</v>
      </c>
      <c r="EQ40" s="67">
        <v>0</v>
      </c>
      <c r="ER40" s="67">
        <v>0</v>
      </c>
      <c r="ES40" s="67">
        <v>0</v>
      </c>
      <c r="ET40" s="67">
        <v>0</v>
      </c>
      <c r="EU40" s="67">
        <v>0</v>
      </c>
      <c r="EV40" s="67">
        <v>0</v>
      </c>
      <c r="EW40" s="67">
        <v>0</v>
      </c>
      <c r="EX40" s="67">
        <v>0</v>
      </c>
      <c r="EY40" s="67">
        <v>0</v>
      </c>
      <c r="EZ40" s="67">
        <v>0</v>
      </c>
      <c r="FA40" s="67">
        <v>0</v>
      </c>
      <c r="FB40" s="67">
        <v>0</v>
      </c>
      <c r="FC40" s="67">
        <v>0</v>
      </c>
      <c r="FD40" s="67">
        <v>0</v>
      </c>
      <c r="FE40" s="67">
        <v>0</v>
      </c>
      <c r="FF40" s="67">
        <v>0</v>
      </c>
      <c r="FG40" s="67">
        <v>0</v>
      </c>
      <c r="FH40" s="67">
        <v>0</v>
      </c>
      <c r="FI40" s="67">
        <v>0</v>
      </c>
      <c r="FJ40" s="67">
        <v>0</v>
      </c>
      <c r="FK40" s="67">
        <v>0</v>
      </c>
      <c r="FL40" s="67">
        <v>0</v>
      </c>
      <c r="FM40" s="67">
        <v>0</v>
      </c>
      <c r="FN40" s="67">
        <v>0</v>
      </c>
      <c r="FO40" s="67">
        <v>0</v>
      </c>
      <c r="FP40" s="67">
        <v>0</v>
      </c>
      <c r="FQ40" s="67">
        <v>0</v>
      </c>
      <c r="FR40" s="67">
        <v>0</v>
      </c>
      <c r="FS40" s="67">
        <v>0</v>
      </c>
      <c r="FT40" s="67">
        <v>0</v>
      </c>
      <c r="FU40" s="67">
        <v>0</v>
      </c>
      <c r="FV40" s="67">
        <v>0</v>
      </c>
      <c r="FW40" s="67">
        <v>0</v>
      </c>
      <c r="FX40" s="67">
        <v>0</v>
      </c>
      <c r="FY40" s="67">
        <v>0</v>
      </c>
    </row>
    <row r="42" spans="1:183" x14ac:dyDescent="0.2">
      <c r="A42" s="345" t="s">
        <v>398</v>
      </c>
      <c r="N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8"/>
      <c r="CP42" s="58"/>
      <c r="CQ42" s="58"/>
      <c r="CR42" s="58"/>
      <c r="CS42" s="58"/>
      <c r="CT42" s="58"/>
      <c r="CU42" s="58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8"/>
      <c r="DT42" s="58"/>
      <c r="DU42" s="58"/>
      <c r="DV42" s="58"/>
      <c r="DW42" s="58"/>
      <c r="DX42" s="58"/>
      <c r="DY42" s="58"/>
      <c r="DZ42" s="58"/>
      <c r="EA42" s="58"/>
      <c r="EB42" s="58"/>
      <c r="EC42" s="58"/>
      <c r="ED42" s="58"/>
      <c r="EE42" s="58"/>
      <c r="EF42" s="58"/>
      <c r="EG42" s="58"/>
      <c r="EH42" s="58"/>
      <c r="EI42" s="58"/>
      <c r="EJ42" s="58"/>
      <c r="EK42" s="58"/>
      <c r="EL42" s="58"/>
      <c r="EM42" s="58"/>
      <c r="EN42" s="58"/>
      <c r="EO42" s="58"/>
      <c r="EP42" s="58"/>
      <c r="EQ42" s="58"/>
      <c r="ER42" s="58"/>
      <c r="ES42" s="58"/>
      <c r="ET42" s="58"/>
      <c r="EU42" s="58"/>
      <c r="EV42" s="58"/>
      <c r="EW42" s="58"/>
      <c r="EX42" s="58"/>
      <c r="EY42" s="58"/>
      <c r="EZ42" s="58"/>
      <c r="FA42" s="58"/>
      <c r="FB42" s="58"/>
      <c r="FC42" s="58"/>
      <c r="FD42" s="58"/>
      <c r="FE42" s="58"/>
      <c r="FF42" s="58"/>
      <c r="FG42" s="58"/>
      <c r="FH42" s="58"/>
      <c r="FI42" s="58"/>
      <c r="FJ42" s="58"/>
      <c r="FK42" s="58"/>
      <c r="FL42" s="58"/>
      <c r="FM42" s="58"/>
      <c r="FN42" s="58"/>
      <c r="FO42" s="58"/>
      <c r="FP42" s="58"/>
      <c r="FQ42" s="58"/>
      <c r="FR42" s="58"/>
      <c r="FS42" s="58"/>
      <c r="FT42" s="58"/>
      <c r="FU42" s="58"/>
      <c r="FV42" s="58"/>
      <c r="FW42" s="58"/>
      <c r="FX42" s="58"/>
      <c r="FY42" s="58"/>
      <c r="FZ42" s="59"/>
    </row>
    <row r="43" spans="1:183" x14ac:dyDescent="0.2">
      <c r="A43" s="345"/>
      <c r="B43" s="68"/>
      <c r="N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  <c r="ET43" s="58"/>
      <c r="EU43" s="58"/>
      <c r="EV43" s="58"/>
      <c r="EW43" s="58"/>
      <c r="EX43" s="58"/>
      <c r="EY43" s="58"/>
      <c r="EZ43" s="58"/>
      <c r="FA43" s="58"/>
      <c r="FB43" s="58"/>
      <c r="FC43" s="58"/>
      <c r="FD43" s="58"/>
      <c r="FE43" s="58"/>
      <c r="FF43" s="58"/>
      <c r="FG43" s="58"/>
      <c r="FH43" s="58"/>
      <c r="FI43" s="58"/>
      <c r="FJ43" s="58"/>
      <c r="FK43" s="58"/>
      <c r="FL43" s="58"/>
      <c r="FM43" s="58"/>
      <c r="FN43" s="58"/>
      <c r="FO43" s="58"/>
      <c r="FP43" s="58"/>
      <c r="FQ43" s="58"/>
      <c r="FR43" s="58"/>
      <c r="FS43" s="58"/>
      <c r="FT43" s="58"/>
      <c r="FU43" s="58"/>
      <c r="FV43" s="58"/>
      <c r="FW43" s="58"/>
      <c r="FX43" s="58"/>
      <c r="FY43" s="58"/>
      <c r="FZ43" s="59"/>
    </row>
    <row r="44" spans="1:183" x14ac:dyDescent="0.2">
      <c r="A44" s="66" t="s">
        <v>174</v>
      </c>
      <c r="B44" s="67">
        <f t="array" ref="B44:FY44">TRANSPOSE('RA CSM'!BR13:BR192)</f>
        <v>368000</v>
      </c>
      <c r="C44" s="67">
        <v>0</v>
      </c>
      <c r="D44" s="67">
        <v>0</v>
      </c>
      <c r="E44" s="67">
        <v>0</v>
      </c>
      <c r="F44" s="67">
        <v>0</v>
      </c>
      <c r="G44" s="67">
        <v>0</v>
      </c>
      <c r="H44" s="67">
        <v>0</v>
      </c>
      <c r="I44" s="67">
        <v>0</v>
      </c>
      <c r="J44" s="67">
        <v>0</v>
      </c>
      <c r="K44" s="67">
        <v>0</v>
      </c>
      <c r="L44" s="67">
        <v>0</v>
      </c>
      <c r="M44" s="67">
        <v>0</v>
      </c>
      <c r="N44" s="67">
        <v>0</v>
      </c>
      <c r="O44" s="67">
        <v>0</v>
      </c>
      <c r="P44" s="67">
        <v>0</v>
      </c>
      <c r="Q44" s="67">
        <v>0</v>
      </c>
      <c r="R44" s="67">
        <v>0</v>
      </c>
      <c r="S44" s="67">
        <v>0</v>
      </c>
      <c r="T44" s="67">
        <v>0</v>
      </c>
      <c r="U44" s="67">
        <v>0</v>
      </c>
      <c r="V44" s="67">
        <v>0</v>
      </c>
      <c r="W44" s="67">
        <v>0</v>
      </c>
      <c r="X44" s="67">
        <v>0</v>
      </c>
      <c r="Y44" s="67">
        <v>0</v>
      </c>
      <c r="Z44" s="67">
        <v>0</v>
      </c>
      <c r="AA44" s="67">
        <v>0</v>
      </c>
      <c r="AB44" s="67">
        <v>0</v>
      </c>
      <c r="AC44" s="67">
        <v>0</v>
      </c>
      <c r="AD44" s="67">
        <v>0</v>
      </c>
      <c r="AE44" s="67">
        <v>0</v>
      </c>
      <c r="AF44" s="67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7">
        <v>0</v>
      </c>
      <c r="AT44" s="67">
        <v>0</v>
      </c>
      <c r="AU44" s="67">
        <v>0</v>
      </c>
      <c r="AV44" s="67">
        <v>0</v>
      </c>
      <c r="AW44" s="67">
        <v>0</v>
      </c>
      <c r="AX44" s="67">
        <v>0</v>
      </c>
      <c r="AY44" s="67">
        <v>0</v>
      </c>
      <c r="AZ44" s="67">
        <v>0</v>
      </c>
      <c r="BA44" s="67">
        <v>0</v>
      </c>
      <c r="BB44" s="67">
        <v>0</v>
      </c>
      <c r="BC44" s="67">
        <v>0</v>
      </c>
      <c r="BD44" s="67">
        <v>0</v>
      </c>
      <c r="BE44" s="67">
        <v>0</v>
      </c>
      <c r="BF44" s="67">
        <v>0</v>
      </c>
      <c r="BG44" s="67">
        <v>0</v>
      </c>
      <c r="BH44" s="67">
        <v>0</v>
      </c>
      <c r="BI44" s="67">
        <v>0</v>
      </c>
      <c r="BJ44" s="67">
        <v>0</v>
      </c>
      <c r="BK44" s="67">
        <v>0</v>
      </c>
      <c r="BL44" s="67">
        <v>0</v>
      </c>
      <c r="BM44" s="67">
        <v>0</v>
      </c>
      <c r="BN44" s="67">
        <v>0</v>
      </c>
      <c r="BO44" s="67">
        <v>0</v>
      </c>
      <c r="BP44" s="67">
        <v>0</v>
      </c>
      <c r="BQ44" s="67">
        <v>0</v>
      </c>
      <c r="BR44" s="67">
        <v>0</v>
      </c>
      <c r="BS44" s="67">
        <v>0</v>
      </c>
      <c r="BT44" s="67">
        <v>0</v>
      </c>
      <c r="BU44" s="67">
        <v>0</v>
      </c>
      <c r="BV44" s="67">
        <v>0</v>
      </c>
      <c r="BW44" s="67">
        <v>0</v>
      </c>
      <c r="BX44" s="67">
        <v>0</v>
      </c>
      <c r="BY44" s="67">
        <v>0</v>
      </c>
      <c r="BZ44" s="67">
        <v>0</v>
      </c>
      <c r="CA44" s="67">
        <v>0</v>
      </c>
      <c r="CB44" s="67">
        <v>0</v>
      </c>
      <c r="CC44" s="67">
        <v>0</v>
      </c>
      <c r="CD44" s="67">
        <v>0</v>
      </c>
      <c r="CE44" s="67">
        <v>0</v>
      </c>
      <c r="CF44" s="67">
        <v>0</v>
      </c>
      <c r="CG44" s="67">
        <v>0</v>
      </c>
      <c r="CH44" s="67">
        <v>0</v>
      </c>
      <c r="CI44" s="67">
        <v>0</v>
      </c>
      <c r="CJ44" s="67">
        <v>0</v>
      </c>
      <c r="CK44" s="67">
        <v>0</v>
      </c>
      <c r="CL44" s="67">
        <v>0</v>
      </c>
      <c r="CM44" s="67">
        <v>0</v>
      </c>
      <c r="CN44" s="67">
        <v>0</v>
      </c>
      <c r="CO44" s="67">
        <v>0</v>
      </c>
      <c r="CP44" s="67">
        <v>0</v>
      </c>
      <c r="CQ44" s="67">
        <v>0</v>
      </c>
      <c r="CR44" s="67">
        <v>0</v>
      </c>
      <c r="CS44" s="67">
        <v>0</v>
      </c>
      <c r="CT44" s="67">
        <v>0</v>
      </c>
      <c r="CU44" s="67">
        <v>0</v>
      </c>
      <c r="CV44" s="67">
        <v>0</v>
      </c>
      <c r="CW44" s="67">
        <v>0</v>
      </c>
      <c r="CX44" s="67">
        <v>0</v>
      </c>
      <c r="CY44" s="67">
        <v>0</v>
      </c>
      <c r="CZ44" s="67">
        <v>0</v>
      </c>
      <c r="DA44" s="67">
        <v>0</v>
      </c>
      <c r="DB44" s="67">
        <v>0</v>
      </c>
      <c r="DC44" s="67">
        <v>0</v>
      </c>
      <c r="DD44" s="67">
        <v>0</v>
      </c>
      <c r="DE44" s="67">
        <v>0</v>
      </c>
      <c r="DF44" s="67">
        <v>0</v>
      </c>
      <c r="DG44" s="67">
        <v>0</v>
      </c>
      <c r="DH44" s="67">
        <v>0</v>
      </c>
      <c r="DI44" s="67">
        <v>0</v>
      </c>
      <c r="DJ44" s="67">
        <v>0</v>
      </c>
      <c r="DK44" s="67">
        <v>0</v>
      </c>
      <c r="DL44" s="67">
        <v>0</v>
      </c>
      <c r="DM44" s="67">
        <v>0</v>
      </c>
      <c r="DN44" s="67">
        <v>0</v>
      </c>
      <c r="DO44" s="67">
        <v>0</v>
      </c>
      <c r="DP44" s="67">
        <v>0</v>
      </c>
      <c r="DQ44" s="67">
        <v>0</v>
      </c>
      <c r="DR44" s="67">
        <v>0</v>
      </c>
      <c r="DS44" s="67">
        <v>0</v>
      </c>
      <c r="DT44" s="67">
        <v>0</v>
      </c>
      <c r="DU44" s="67">
        <v>0</v>
      </c>
      <c r="DV44" s="67">
        <v>0</v>
      </c>
      <c r="DW44" s="67">
        <v>0</v>
      </c>
      <c r="DX44" s="67">
        <v>0</v>
      </c>
      <c r="DY44" s="67">
        <v>0</v>
      </c>
      <c r="DZ44" s="67">
        <v>0</v>
      </c>
      <c r="EA44" s="67">
        <v>0</v>
      </c>
      <c r="EB44" s="67">
        <v>0</v>
      </c>
      <c r="EC44" s="67">
        <v>0</v>
      </c>
      <c r="ED44" s="67">
        <v>0</v>
      </c>
      <c r="EE44" s="67">
        <v>0</v>
      </c>
      <c r="EF44" s="67">
        <v>0</v>
      </c>
      <c r="EG44" s="67">
        <v>0</v>
      </c>
      <c r="EH44" s="67">
        <v>0</v>
      </c>
      <c r="EI44" s="67">
        <v>0</v>
      </c>
      <c r="EJ44" s="67">
        <v>0</v>
      </c>
      <c r="EK44" s="67">
        <v>0</v>
      </c>
      <c r="EL44" s="67">
        <v>0</v>
      </c>
      <c r="EM44" s="67">
        <v>0</v>
      </c>
      <c r="EN44" s="67">
        <v>0</v>
      </c>
      <c r="EO44" s="67">
        <v>0</v>
      </c>
      <c r="EP44" s="67">
        <v>0</v>
      </c>
      <c r="EQ44" s="67">
        <v>0</v>
      </c>
      <c r="ER44" s="67">
        <v>0</v>
      </c>
      <c r="ES44" s="67">
        <v>0</v>
      </c>
      <c r="ET44" s="67">
        <v>0</v>
      </c>
      <c r="EU44" s="67">
        <v>0</v>
      </c>
      <c r="EV44" s="67">
        <v>0</v>
      </c>
      <c r="EW44" s="67">
        <v>0</v>
      </c>
      <c r="EX44" s="67">
        <v>0</v>
      </c>
      <c r="EY44" s="67">
        <v>0</v>
      </c>
      <c r="EZ44" s="67">
        <v>0</v>
      </c>
      <c r="FA44" s="67">
        <v>0</v>
      </c>
      <c r="FB44" s="67">
        <v>0</v>
      </c>
      <c r="FC44" s="67">
        <v>0</v>
      </c>
      <c r="FD44" s="67">
        <v>0</v>
      </c>
      <c r="FE44" s="67">
        <v>0</v>
      </c>
      <c r="FF44" s="67">
        <v>0</v>
      </c>
      <c r="FG44" s="67">
        <v>0</v>
      </c>
      <c r="FH44" s="67">
        <v>0</v>
      </c>
      <c r="FI44" s="67">
        <v>0</v>
      </c>
      <c r="FJ44" s="67">
        <v>0</v>
      </c>
      <c r="FK44" s="67">
        <v>0</v>
      </c>
      <c r="FL44" s="67">
        <v>0</v>
      </c>
      <c r="FM44" s="67">
        <v>0</v>
      </c>
      <c r="FN44" s="67">
        <v>0</v>
      </c>
      <c r="FO44" s="67">
        <v>0</v>
      </c>
      <c r="FP44" s="67">
        <v>0</v>
      </c>
      <c r="FQ44" s="67">
        <v>0</v>
      </c>
      <c r="FR44" s="67">
        <v>0</v>
      </c>
      <c r="FS44" s="67">
        <v>0</v>
      </c>
      <c r="FT44" s="67">
        <v>0</v>
      </c>
      <c r="FU44" s="67">
        <v>0</v>
      </c>
      <c r="FV44" s="67">
        <v>0</v>
      </c>
      <c r="FW44" s="67">
        <v>0</v>
      </c>
      <c r="FX44" s="67">
        <v>0</v>
      </c>
      <c r="FY44" s="67">
        <v>0</v>
      </c>
      <c r="FZ44" s="59"/>
      <c r="GA44" s="1" t="s">
        <v>260</v>
      </c>
    </row>
    <row r="45" spans="1:183" x14ac:dyDescent="0.2">
      <c r="A45" s="66" t="s">
        <v>175</v>
      </c>
      <c r="B45" s="67">
        <f t="array" ref="B45:FY45">-TRANSPOSE('RA CSM'!BL13:BL192)</f>
        <v>-92000</v>
      </c>
      <c r="C45" s="67">
        <v>0</v>
      </c>
      <c r="D45" s="67">
        <v>0</v>
      </c>
      <c r="E45" s="67">
        <v>0</v>
      </c>
      <c r="F45" s="67">
        <v>0</v>
      </c>
      <c r="G45" s="67">
        <v>0</v>
      </c>
      <c r="H45" s="67">
        <v>0</v>
      </c>
      <c r="I45" s="67">
        <v>0</v>
      </c>
      <c r="J45" s="67">
        <v>0</v>
      </c>
      <c r="K45" s="67">
        <v>0</v>
      </c>
      <c r="L45" s="67">
        <v>0</v>
      </c>
      <c r="M45" s="67">
        <v>0</v>
      </c>
      <c r="N45" s="67">
        <v>0</v>
      </c>
      <c r="O45" s="67">
        <v>0</v>
      </c>
      <c r="P45" s="67">
        <v>0</v>
      </c>
      <c r="Q45" s="67">
        <v>0</v>
      </c>
      <c r="R45" s="67">
        <v>0</v>
      </c>
      <c r="S45" s="67">
        <v>0</v>
      </c>
      <c r="T45" s="67">
        <v>0</v>
      </c>
      <c r="U45" s="67">
        <v>0</v>
      </c>
      <c r="V45" s="67">
        <v>0</v>
      </c>
      <c r="W45" s="67">
        <v>0</v>
      </c>
      <c r="X45" s="67">
        <v>0</v>
      </c>
      <c r="Y45" s="67">
        <v>0</v>
      </c>
      <c r="Z45" s="67">
        <v>0</v>
      </c>
      <c r="AA45" s="67">
        <v>0</v>
      </c>
      <c r="AB45" s="67">
        <v>0</v>
      </c>
      <c r="AC45" s="67">
        <v>0</v>
      </c>
      <c r="AD45" s="67">
        <v>0</v>
      </c>
      <c r="AE45" s="67">
        <v>0</v>
      </c>
      <c r="AF45" s="67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7">
        <v>0</v>
      </c>
      <c r="AT45" s="67">
        <v>0</v>
      </c>
      <c r="AU45" s="67">
        <v>0</v>
      </c>
      <c r="AV45" s="67">
        <v>0</v>
      </c>
      <c r="AW45" s="67">
        <v>0</v>
      </c>
      <c r="AX45" s="67">
        <v>0</v>
      </c>
      <c r="AY45" s="67">
        <v>0</v>
      </c>
      <c r="AZ45" s="67">
        <v>0</v>
      </c>
      <c r="BA45" s="67">
        <v>0</v>
      </c>
      <c r="BB45" s="67">
        <v>0</v>
      </c>
      <c r="BC45" s="67">
        <v>0</v>
      </c>
      <c r="BD45" s="67">
        <v>0</v>
      </c>
      <c r="BE45" s="67">
        <v>0</v>
      </c>
      <c r="BF45" s="67">
        <v>0</v>
      </c>
      <c r="BG45" s="67">
        <v>0</v>
      </c>
      <c r="BH45" s="67">
        <v>0</v>
      </c>
      <c r="BI45" s="67">
        <v>0</v>
      </c>
      <c r="BJ45" s="67">
        <v>0</v>
      </c>
      <c r="BK45" s="67">
        <v>0</v>
      </c>
      <c r="BL45" s="67">
        <v>0</v>
      </c>
      <c r="BM45" s="67">
        <v>0</v>
      </c>
      <c r="BN45" s="67">
        <v>0</v>
      </c>
      <c r="BO45" s="67">
        <v>0</v>
      </c>
      <c r="BP45" s="67">
        <v>0</v>
      </c>
      <c r="BQ45" s="67">
        <v>0</v>
      </c>
      <c r="BR45" s="67">
        <v>0</v>
      </c>
      <c r="BS45" s="67">
        <v>0</v>
      </c>
      <c r="BT45" s="67">
        <v>0</v>
      </c>
      <c r="BU45" s="67">
        <v>0</v>
      </c>
      <c r="BV45" s="67">
        <v>0</v>
      </c>
      <c r="BW45" s="67">
        <v>0</v>
      </c>
      <c r="BX45" s="67">
        <v>0</v>
      </c>
      <c r="BY45" s="67">
        <v>0</v>
      </c>
      <c r="BZ45" s="67">
        <v>0</v>
      </c>
      <c r="CA45" s="67">
        <v>0</v>
      </c>
      <c r="CB45" s="67">
        <v>0</v>
      </c>
      <c r="CC45" s="67">
        <v>0</v>
      </c>
      <c r="CD45" s="67">
        <v>0</v>
      </c>
      <c r="CE45" s="67">
        <v>0</v>
      </c>
      <c r="CF45" s="67">
        <v>0</v>
      </c>
      <c r="CG45" s="67">
        <v>0</v>
      </c>
      <c r="CH45" s="67">
        <v>0</v>
      </c>
      <c r="CI45" s="67">
        <v>0</v>
      </c>
      <c r="CJ45" s="67">
        <v>0</v>
      </c>
      <c r="CK45" s="67">
        <v>0</v>
      </c>
      <c r="CL45" s="67">
        <v>0</v>
      </c>
      <c r="CM45" s="67">
        <v>0</v>
      </c>
      <c r="CN45" s="67">
        <v>0</v>
      </c>
      <c r="CO45" s="67">
        <v>0</v>
      </c>
      <c r="CP45" s="67">
        <v>0</v>
      </c>
      <c r="CQ45" s="67">
        <v>0</v>
      </c>
      <c r="CR45" s="67">
        <v>0</v>
      </c>
      <c r="CS45" s="67">
        <v>0</v>
      </c>
      <c r="CT45" s="67">
        <v>0</v>
      </c>
      <c r="CU45" s="67">
        <v>0</v>
      </c>
      <c r="CV45" s="67">
        <v>0</v>
      </c>
      <c r="CW45" s="67">
        <v>0</v>
      </c>
      <c r="CX45" s="67">
        <v>0</v>
      </c>
      <c r="CY45" s="67">
        <v>0</v>
      </c>
      <c r="CZ45" s="67">
        <v>0</v>
      </c>
      <c r="DA45" s="67">
        <v>0</v>
      </c>
      <c r="DB45" s="67">
        <v>0</v>
      </c>
      <c r="DC45" s="67">
        <v>0</v>
      </c>
      <c r="DD45" s="67">
        <v>0</v>
      </c>
      <c r="DE45" s="67">
        <v>0</v>
      </c>
      <c r="DF45" s="67">
        <v>0</v>
      </c>
      <c r="DG45" s="67">
        <v>0</v>
      </c>
      <c r="DH45" s="67">
        <v>0</v>
      </c>
      <c r="DI45" s="67">
        <v>0</v>
      </c>
      <c r="DJ45" s="67">
        <v>0</v>
      </c>
      <c r="DK45" s="67">
        <v>0</v>
      </c>
      <c r="DL45" s="67">
        <v>0</v>
      </c>
      <c r="DM45" s="67">
        <v>0</v>
      </c>
      <c r="DN45" s="67">
        <v>0</v>
      </c>
      <c r="DO45" s="67">
        <v>0</v>
      </c>
      <c r="DP45" s="67">
        <v>0</v>
      </c>
      <c r="DQ45" s="67">
        <v>0</v>
      </c>
      <c r="DR45" s="67">
        <v>0</v>
      </c>
      <c r="DS45" s="67">
        <v>0</v>
      </c>
      <c r="DT45" s="67">
        <v>0</v>
      </c>
      <c r="DU45" s="67">
        <v>0</v>
      </c>
      <c r="DV45" s="67">
        <v>0</v>
      </c>
      <c r="DW45" s="67">
        <v>0</v>
      </c>
      <c r="DX45" s="67">
        <v>0</v>
      </c>
      <c r="DY45" s="67">
        <v>0</v>
      </c>
      <c r="DZ45" s="67">
        <v>0</v>
      </c>
      <c r="EA45" s="67">
        <v>0</v>
      </c>
      <c r="EB45" s="67">
        <v>0</v>
      </c>
      <c r="EC45" s="67">
        <v>0</v>
      </c>
      <c r="ED45" s="67">
        <v>0</v>
      </c>
      <c r="EE45" s="67">
        <v>0</v>
      </c>
      <c r="EF45" s="67">
        <v>0</v>
      </c>
      <c r="EG45" s="67">
        <v>0</v>
      </c>
      <c r="EH45" s="67">
        <v>0</v>
      </c>
      <c r="EI45" s="67">
        <v>0</v>
      </c>
      <c r="EJ45" s="67">
        <v>0</v>
      </c>
      <c r="EK45" s="67">
        <v>0</v>
      </c>
      <c r="EL45" s="67">
        <v>0</v>
      </c>
      <c r="EM45" s="67">
        <v>0</v>
      </c>
      <c r="EN45" s="67">
        <v>0</v>
      </c>
      <c r="EO45" s="67">
        <v>0</v>
      </c>
      <c r="EP45" s="67">
        <v>0</v>
      </c>
      <c r="EQ45" s="67">
        <v>0</v>
      </c>
      <c r="ER45" s="67">
        <v>0</v>
      </c>
      <c r="ES45" s="67">
        <v>0</v>
      </c>
      <c r="ET45" s="67">
        <v>0</v>
      </c>
      <c r="EU45" s="67">
        <v>0</v>
      </c>
      <c r="EV45" s="67">
        <v>0</v>
      </c>
      <c r="EW45" s="67">
        <v>0</v>
      </c>
      <c r="EX45" s="67">
        <v>0</v>
      </c>
      <c r="EY45" s="67">
        <v>0</v>
      </c>
      <c r="EZ45" s="67">
        <v>0</v>
      </c>
      <c r="FA45" s="67">
        <v>0</v>
      </c>
      <c r="FB45" s="67">
        <v>0</v>
      </c>
      <c r="FC45" s="67">
        <v>0</v>
      </c>
      <c r="FD45" s="67">
        <v>0</v>
      </c>
      <c r="FE45" s="67">
        <v>0</v>
      </c>
      <c r="FF45" s="67">
        <v>0</v>
      </c>
      <c r="FG45" s="67">
        <v>0</v>
      </c>
      <c r="FH45" s="67">
        <v>0</v>
      </c>
      <c r="FI45" s="67">
        <v>0</v>
      </c>
      <c r="FJ45" s="67">
        <v>0</v>
      </c>
      <c r="FK45" s="67">
        <v>0</v>
      </c>
      <c r="FL45" s="67">
        <v>0</v>
      </c>
      <c r="FM45" s="67">
        <v>0</v>
      </c>
      <c r="FN45" s="67">
        <v>0</v>
      </c>
      <c r="FO45" s="67">
        <v>0</v>
      </c>
      <c r="FP45" s="67">
        <v>0</v>
      </c>
      <c r="FQ45" s="67">
        <v>0</v>
      </c>
      <c r="FR45" s="67">
        <v>0</v>
      </c>
      <c r="FS45" s="67">
        <v>0</v>
      </c>
      <c r="FT45" s="67">
        <v>0</v>
      </c>
      <c r="FU45" s="67">
        <v>0</v>
      </c>
      <c r="FV45" s="67">
        <v>0</v>
      </c>
      <c r="FW45" s="67">
        <v>0</v>
      </c>
      <c r="FX45" s="67">
        <v>0</v>
      </c>
      <c r="FY45" s="67">
        <v>0</v>
      </c>
      <c r="FZ45" s="59"/>
      <c r="GA45" s="1" t="s">
        <v>260</v>
      </c>
    </row>
    <row r="46" spans="1:183" x14ac:dyDescent="0.2">
      <c r="A46" s="66" t="s">
        <v>397</v>
      </c>
      <c r="B46" s="67">
        <f t="array" ref="B46:FY46">-TRANSPOSE('RA CSM'!BJ13:BJ192)</f>
        <v>-4460.5212701498422</v>
      </c>
      <c r="C46" s="67">
        <v>-4365.5955176691459</v>
      </c>
      <c r="D46" s="67">
        <v>-4269.2975972121258</v>
      </c>
      <c r="E46" s="67">
        <v>-4171.6056502337206</v>
      </c>
      <c r="F46" s="67">
        <v>-4072.4974717932173</v>
      </c>
      <c r="G46" s="67">
        <v>-3971.9505050070093</v>
      </c>
      <c r="H46" s="67">
        <v>-3869.9418355049352</v>
      </c>
      <c r="I46" s="67">
        <v>-3766.4481857572096</v>
      </c>
      <c r="J46" s="67">
        <v>-3661.4459092993134</v>
      </c>
      <c r="K46" s="67">
        <v>-3554.9109848909588</v>
      </c>
      <c r="L46" s="67">
        <v>-3446.8190106095572</v>
      </c>
      <c r="M46" s="67">
        <v>-3337.145197746021</v>
      </c>
      <c r="N46" s="67">
        <v>-3225.8643647426461</v>
      </c>
      <c r="O46" s="67">
        <v>-3110.7133541322346</v>
      </c>
      <c r="P46" s="67">
        <v>-2994.0700135911579</v>
      </c>
      <c r="Q46" s="67">
        <v>-2875.9113973551489</v>
      </c>
      <c r="R46" s="67">
        <v>-2756.2142132584122</v>
      </c>
      <c r="S46" s="67">
        <v>-2634.9548174524571</v>
      </c>
      <c r="T46" s="67">
        <v>-2512.1092091430105</v>
      </c>
      <c r="U46" s="67">
        <v>-2387.6530251353042</v>
      </c>
      <c r="V46" s="67">
        <v>-2261.5615343821169</v>
      </c>
      <c r="W46" s="67">
        <v>-2133.8096324302692</v>
      </c>
      <c r="X46" s="67">
        <v>-2004.3718357495518</v>
      </c>
      <c r="Y46" s="67">
        <v>-1873.2222759891094</v>
      </c>
      <c r="Z46" s="67">
        <v>-1740.3346942057537</v>
      </c>
      <c r="AA46" s="67">
        <v>-1604.5165921353935</v>
      </c>
      <c r="AB46" s="67">
        <v>-1467.1056657123816</v>
      </c>
      <c r="AC46" s="67">
        <v>-1328.0781917753604</v>
      </c>
      <c r="AD46" s="67">
        <v>-1187.4101076816414</v>
      </c>
      <c r="AE46" s="67">
        <v>-1045.0770064703843</v>
      </c>
      <c r="AF46" s="67">
        <v>-901.05413188288048</v>
      </c>
      <c r="AG46" s="67">
        <v>-755.3163733513187</v>
      </c>
      <c r="AH46" s="67">
        <v>-607.83826087455645</v>
      </c>
      <c r="AI46" s="67">
        <v>-458.59395986073628</v>
      </c>
      <c r="AJ46" s="67">
        <v>-307.55726587434805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>
        <v>0</v>
      </c>
      <c r="BK46" s="67">
        <v>0</v>
      </c>
      <c r="BL46" s="67">
        <v>0</v>
      </c>
      <c r="BM46" s="67">
        <v>0</v>
      </c>
      <c r="BN46" s="67">
        <v>0</v>
      </c>
      <c r="BO46" s="67">
        <v>0</v>
      </c>
      <c r="BP46" s="67">
        <v>0</v>
      </c>
      <c r="BQ46" s="67">
        <v>0</v>
      </c>
      <c r="BR46" s="67">
        <v>0</v>
      </c>
      <c r="BS46" s="67">
        <v>0</v>
      </c>
      <c r="BT46" s="67">
        <v>0</v>
      </c>
      <c r="BU46" s="67">
        <v>0</v>
      </c>
      <c r="BV46" s="67">
        <v>0</v>
      </c>
      <c r="BW46" s="67">
        <v>0</v>
      </c>
      <c r="BX46" s="67">
        <v>0</v>
      </c>
      <c r="BY46" s="67">
        <v>0</v>
      </c>
      <c r="BZ46" s="67">
        <v>0</v>
      </c>
      <c r="CA46" s="67">
        <v>0</v>
      </c>
      <c r="CB46" s="67">
        <v>0</v>
      </c>
      <c r="CC46" s="67">
        <v>0</v>
      </c>
      <c r="CD46" s="67">
        <v>0</v>
      </c>
      <c r="CE46" s="67">
        <v>0</v>
      </c>
      <c r="CF46" s="67">
        <v>0</v>
      </c>
      <c r="CG46" s="67">
        <v>0</v>
      </c>
      <c r="CH46" s="67">
        <v>0</v>
      </c>
      <c r="CI46" s="67">
        <v>0</v>
      </c>
      <c r="CJ46" s="67">
        <v>0</v>
      </c>
      <c r="CK46" s="67">
        <v>0</v>
      </c>
      <c r="CL46" s="67">
        <v>0</v>
      </c>
      <c r="CM46" s="67">
        <v>0</v>
      </c>
      <c r="CN46" s="67">
        <v>0</v>
      </c>
      <c r="CO46" s="67">
        <v>0</v>
      </c>
      <c r="CP46" s="67">
        <v>0</v>
      </c>
      <c r="CQ46" s="67">
        <v>0</v>
      </c>
      <c r="CR46" s="67">
        <v>0</v>
      </c>
      <c r="CS46" s="67">
        <v>0</v>
      </c>
      <c r="CT46" s="67">
        <v>0</v>
      </c>
      <c r="CU46" s="67">
        <v>0</v>
      </c>
      <c r="CV46" s="67">
        <v>0</v>
      </c>
      <c r="CW46" s="67">
        <v>0</v>
      </c>
      <c r="CX46" s="67">
        <v>0</v>
      </c>
      <c r="CY46" s="67">
        <v>0</v>
      </c>
      <c r="CZ46" s="67">
        <v>0</v>
      </c>
      <c r="DA46" s="67">
        <v>0</v>
      </c>
      <c r="DB46" s="67">
        <v>0</v>
      </c>
      <c r="DC46" s="67">
        <v>0</v>
      </c>
      <c r="DD46" s="67">
        <v>0</v>
      </c>
      <c r="DE46" s="67">
        <v>0</v>
      </c>
      <c r="DF46" s="67">
        <v>0</v>
      </c>
      <c r="DG46" s="67">
        <v>0</v>
      </c>
      <c r="DH46" s="67">
        <v>0</v>
      </c>
      <c r="DI46" s="67">
        <v>0</v>
      </c>
      <c r="DJ46" s="67">
        <v>0</v>
      </c>
      <c r="DK46" s="67">
        <v>0</v>
      </c>
      <c r="DL46" s="67">
        <v>0</v>
      </c>
      <c r="DM46" s="67">
        <v>0</v>
      </c>
      <c r="DN46" s="67">
        <v>0</v>
      </c>
      <c r="DO46" s="67">
        <v>0</v>
      </c>
      <c r="DP46" s="67">
        <v>0</v>
      </c>
      <c r="DQ46" s="67">
        <v>0</v>
      </c>
      <c r="DR46" s="67">
        <v>0</v>
      </c>
      <c r="DS46" s="67">
        <v>0</v>
      </c>
      <c r="DT46" s="67">
        <v>0</v>
      </c>
      <c r="DU46" s="67">
        <v>0</v>
      </c>
      <c r="DV46" s="67">
        <v>0</v>
      </c>
      <c r="DW46" s="67">
        <v>0</v>
      </c>
      <c r="DX46" s="67">
        <v>0</v>
      </c>
      <c r="DY46" s="67">
        <v>0</v>
      </c>
      <c r="DZ46" s="67">
        <v>0</v>
      </c>
      <c r="EA46" s="67">
        <v>0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>
        <v>0</v>
      </c>
      <c r="EZ46" s="67">
        <v>0</v>
      </c>
      <c r="FA46" s="67">
        <v>0</v>
      </c>
      <c r="FB46" s="67">
        <v>0</v>
      </c>
      <c r="FC46" s="67">
        <v>0</v>
      </c>
      <c r="FD46" s="67">
        <v>0</v>
      </c>
      <c r="FE46" s="67">
        <v>0</v>
      </c>
      <c r="FF46" s="67">
        <v>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59"/>
      <c r="GA46" s="1" t="s">
        <v>260</v>
      </c>
    </row>
    <row r="47" spans="1:183" x14ac:dyDescent="0.2">
      <c r="A47" s="66" t="s">
        <v>177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7"/>
      <c r="EY47" s="67"/>
      <c r="EZ47" s="67"/>
      <c r="FA47" s="67"/>
      <c r="FB47" s="67"/>
      <c r="FC47" s="67"/>
      <c r="FD47" s="67"/>
      <c r="FE47" s="67"/>
      <c r="FF47" s="67"/>
      <c r="FG47" s="67"/>
      <c r="FH47" s="67"/>
      <c r="FI47" s="67"/>
      <c r="FJ47" s="67"/>
      <c r="FK47" s="67"/>
      <c r="FL47" s="67"/>
      <c r="FM47" s="67"/>
      <c r="FN47" s="67"/>
      <c r="FO47" s="67"/>
      <c r="FP47" s="67"/>
      <c r="FQ47" s="67"/>
      <c r="FR47" s="67"/>
      <c r="FS47" s="67"/>
      <c r="FT47" s="67"/>
      <c r="FU47" s="67"/>
      <c r="FV47" s="67"/>
      <c r="FW47" s="67"/>
      <c r="FX47" s="67"/>
      <c r="FY47" s="67"/>
      <c r="FZ47" s="59"/>
    </row>
    <row r="48" spans="1:183" x14ac:dyDescent="0.2">
      <c r="A48" s="66" t="s">
        <v>178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7"/>
      <c r="EY48" s="67"/>
      <c r="EZ48" s="67"/>
      <c r="FA48" s="67"/>
      <c r="FB48" s="67"/>
      <c r="FC48" s="67"/>
      <c r="FD48" s="67"/>
      <c r="FE48" s="67"/>
      <c r="FF48" s="67"/>
      <c r="FG48" s="67"/>
      <c r="FH48" s="67"/>
      <c r="FI48" s="67"/>
      <c r="FJ48" s="67"/>
      <c r="FK48" s="67"/>
      <c r="FL48" s="67"/>
      <c r="FM48" s="67"/>
      <c r="FN48" s="67"/>
      <c r="FO48" s="67"/>
      <c r="FP48" s="67"/>
      <c r="FQ48" s="67"/>
      <c r="FR48" s="67"/>
      <c r="FS48" s="67"/>
      <c r="FT48" s="67"/>
      <c r="FU48" s="67"/>
      <c r="FV48" s="67"/>
      <c r="FW48" s="67"/>
      <c r="FX48" s="67"/>
      <c r="FY48" s="67"/>
      <c r="FZ48" s="59"/>
    </row>
    <row r="49" spans="1:183" x14ac:dyDescent="0.2">
      <c r="A49" s="66" t="s">
        <v>179</v>
      </c>
      <c r="B49" s="67">
        <f t="array" ref="B49:FY49">-TRANSPOSE('RA CSM'!BP13:BP192)</f>
        <v>-30032.248331550149</v>
      </c>
      <c r="C49" s="67">
        <v>-1053.6570208079174</v>
      </c>
      <c r="D49" s="67">
        <v>-1055.0675959374569</v>
      </c>
      <c r="E49" s="67">
        <v>-1056.4800594634637</v>
      </c>
      <c r="F49" s="67">
        <v>-1057.8944139140142</v>
      </c>
      <c r="G49" s="67">
        <v>-1059.3106618205691</v>
      </c>
      <c r="H49" s="67">
        <v>-1060.7288057179771</v>
      </c>
      <c r="I49" s="67">
        <v>-1062.1488481444819</v>
      </c>
      <c r="J49" s="67">
        <v>-1063.5707916417243</v>
      </c>
      <c r="K49" s="67">
        <v>-1064.9946387547482</v>
      </c>
      <c r="L49" s="67">
        <v>-1066.4203920320035</v>
      </c>
      <c r="M49" s="67">
        <v>-1067.8480540253538</v>
      </c>
      <c r="N49" s="67">
        <v>-1069.2776272900774</v>
      </c>
      <c r="O49" s="67">
        <v>-1069.9394929193754</v>
      </c>
      <c r="P49" s="67">
        <v>-1070.6017682328379</v>
      </c>
      <c r="Q49" s="67">
        <v>-1071.2644534840526</v>
      </c>
      <c r="R49" s="67">
        <v>-1071.9275489267648</v>
      </c>
      <c r="S49" s="67">
        <v>-1072.5910548148759</v>
      </c>
      <c r="T49" s="67">
        <v>-1073.2549714024453</v>
      </c>
      <c r="U49" s="67">
        <v>-1073.919298943689</v>
      </c>
      <c r="V49" s="67">
        <v>-1074.5840376929812</v>
      </c>
      <c r="W49" s="67">
        <v>-1075.2491879048528</v>
      </c>
      <c r="X49" s="67">
        <v>-1075.9147498339923</v>
      </c>
      <c r="Y49" s="67">
        <v>-1076.5807237352465</v>
      </c>
      <c r="Z49" s="67">
        <v>-1077.247109863619</v>
      </c>
      <c r="AA49" s="67">
        <v>-1077.1312642028993</v>
      </c>
      <c r="AB49" s="67">
        <v>-1077.0154310000614</v>
      </c>
      <c r="AC49" s="67">
        <v>-1076.8996102537653</v>
      </c>
      <c r="AD49" s="67">
        <v>-1076.7838019626722</v>
      </c>
      <c r="AE49" s="67">
        <v>-1076.6680061254417</v>
      </c>
      <c r="AF49" s="67">
        <v>-1076.552222740735</v>
      </c>
      <c r="AG49" s="67">
        <v>-1076.4364518072134</v>
      </c>
      <c r="AH49" s="67">
        <v>-1076.3206933235372</v>
      </c>
      <c r="AI49" s="67">
        <v>-1076.2049472883677</v>
      </c>
      <c r="AJ49" s="67">
        <v>-1076.0892137003664</v>
      </c>
      <c r="AK49" s="67">
        <v>-1075.9734925581949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7">
        <v>0</v>
      </c>
      <c r="AT49" s="67">
        <v>0</v>
      </c>
      <c r="AU49" s="67">
        <v>0</v>
      </c>
      <c r="AV49" s="67">
        <v>0</v>
      </c>
      <c r="AW49" s="67">
        <v>0</v>
      </c>
      <c r="AX49" s="67">
        <v>0</v>
      </c>
      <c r="AY49" s="67">
        <v>0</v>
      </c>
      <c r="AZ49" s="67">
        <v>0</v>
      </c>
      <c r="BA49" s="67">
        <v>0</v>
      </c>
      <c r="BB49" s="67">
        <v>0</v>
      </c>
      <c r="BC49" s="67">
        <v>0</v>
      </c>
      <c r="BD49" s="67">
        <v>0</v>
      </c>
      <c r="BE49" s="67">
        <v>0</v>
      </c>
      <c r="BF49" s="67">
        <v>0</v>
      </c>
      <c r="BG49" s="67">
        <v>0</v>
      </c>
      <c r="BH49" s="67">
        <v>0</v>
      </c>
      <c r="BI49" s="67">
        <v>0</v>
      </c>
      <c r="BJ49" s="67">
        <v>0</v>
      </c>
      <c r="BK49" s="67">
        <v>0</v>
      </c>
      <c r="BL49" s="67">
        <v>0</v>
      </c>
      <c r="BM49" s="67">
        <v>0</v>
      </c>
      <c r="BN49" s="67">
        <v>0</v>
      </c>
      <c r="BO49" s="67">
        <v>0</v>
      </c>
      <c r="BP49" s="67">
        <v>0</v>
      </c>
      <c r="BQ49" s="67">
        <v>0</v>
      </c>
      <c r="BR49" s="67">
        <v>0</v>
      </c>
      <c r="BS49" s="67">
        <v>0</v>
      </c>
      <c r="BT49" s="67">
        <v>0</v>
      </c>
      <c r="BU49" s="67">
        <v>0</v>
      </c>
      <c r="BV49" s="67">
        <v>0</v>
      </c>
      <c r="BW49" s="67">
        <v>0</v>
      </c>
      <c r="BX49" s="67">
        <v>0</v>
      </c>
      <c r="BY49" s="67">
        <v>0</v>
      </c>
      <c r="BZ49" s="67">
        <v>0</v>
      </c>
      <c r="CA49" s="67">
        <v>0</v>
      </c>
      <c r="CB49" s="67">
        <v>0</v>
      </c>
      <c r="CC49" s="67">
        <v>0</v>
      </c>
      <c r="CD49" s="67">
        <v>0</v>
      </c>
      <c r="CE49" s="67">
        <v>0</v>
      </c>
      <c r="CF49" s="67">
        <v>0</v>
      </c>
      <c r="CG49" s="67">
        <v>0</v>
      </c>
      <c r="CH49" s="67">
        <v>0</v>
      </c>
      <c r="CI49" s="67">
        <v>0</v>
      </c>
      <c r="CJ49" s="67">
        <v>0</v>
      </c>
      <c r="CK49" s="67">
        <v>0</v>
      </c>
      <c r="CL49" s="67">
        <v>0</v>
      </c>
      <c r="CM49" s="67">
        <v>0</v>
      </c>
      <c r="CN49" s="67">
        <v>0</v>
      </c>
      <c r="CO49" s="67">
        <v>0</v>
      </c>
      <c r="CP49" s="67">
        <v>0</v>
      </c>
      <c r="CQ49" s="67">
        <v>0</v>
      </c>
      <c r="CR49" s="67">
        <v>0</v>
      </c>
      <c r="CS49" s="67">
        <v>0</v>
      </c>
      <c r="CT49" s="67">
        <v>0</v>
      </c>
      <c r="CU49" s="67">
        <v>0</v>
      </c>
      <c r="CV49" s="67">
        <v>0</v>
      </c>
      <c r="CW49" s="67">
        <v>0</v>
      </c>
      <c r="CX49" s="67">
        <v>0</v>
      </c>
      <c r="CY49" s="67">
        <v>0</v>
      </c>
      <c r="CZ49" s="67">
        <v>0</v>
      </c>
      <c r="DA49" s="67">
        <v>0</v>
      </c>
      <c r="DB49" s="67">
        <v>0</v>
      </c>
      <c r="DC49" s="67">
        <v>0</v>
      </c>
      <c r="DD49" s="67">
        <v>0</v>
      </c>
      <c r="DE49" s="67">
        <v>0</v>
      </c>
      <c r="DF49" s="67">
        <v>0</v>
      </c>
      <c r="DG49" s="67">
        <v>0</v>
      </c>
      <c r="DH49" s="67">
        <v>0</v>
      </c>
      <c r="DI49" s="67">
        <v>0</v>
      </c>
      <c r="DJ49" s="67">
        <v>0</v>
      </c>
      <c r="DK49" s="67">
        <v>0</v>
      </c>
      <c r="DL49" s="67">
        <v>0</v>
      </c>
      <c r="DM49" s="67">
        <v>0</v>
      </c>
      <c r="DN49" s="67">
        <v>0</v>
      </c>
      <c r="DO49" s="67">
        <v>0</v>
      </c>
      <c r="DP49" s="67">
        <v>0</v>
      </c>
      <c r="DQ49" s="67">
        <v>0</v>
      </c>
      <c r="DR49" s="67">
        <v>0</v>
      </c>
      <c r="DS49" s="67">
        <v>0</v>
      </c>
      <c r="DT49" s="67">
        <v>0</v>
      </c>
      <c r="DU49" s="67">
        <v>0</v>
      </c>
      <c r="DV49" s="67">
        <v>0</v>
      </c>
      <c r="DW49" s="67">
        <v>0</v>
      </c>
      <c r="DX49" s="67">
        <v>0</v>
      </c>
      <c r="DY49" s="67">
        <v>0</v>
      </c>
      <c r="DZ49" s="67">
        <v>0</v>
      </c>
      <c r="EA49" s="67">
        <v>0</v>
      </c>
      <c r="EB49" s="67">
        <v>0</v>
      </c>
      <c r="EC49" s="67">
        <v>0</v>
      </c>
      <c r="ED49" s="67">
        <v>0</v>
      </c>
      <c r="EE49" s="67">
        <v>0</v>
      </c>
      <c r="EF49" s="67">
        <v>0</v>
      </c>
      <c r="EG49" s="67">
        <v>0</v>
      </c>
      <c r="EH49" s="67">
        <v>0</v>
      </c>
      <c r="EI49" s="67">
        <v>0</v>
      </c>
      <c r="EJ49" s="67">
        <v>0</v>
      </c>
      <c r="EK49" s="67">
        <v>0</v>
      </c>
      <c r="EL49" s="67">
        <v>0</v>
      </c>
      <c r="EM49" s="67">
        <v>0</v>
      </c>
      <c r="EN49" s="67">
        <v>0</v>
      </c>
      <c r="EO49" s="67">
        <v>0</v>
      </c>
      <c r="EP49" s="67">
        <v>0</v>
      </c>
      <c r="EQ49" s="67">
        <v>0</v>
      </c>
      <c r="ER49" s="67">
        <v>0</v>
      </c>
      <c r="ES49" s="67">
        <v>0</v>
      </c>
      <c r="ET49" s="67">
        <v>0</v>
      </c>
      <c r="EU49" s="67">
        <v>0</v>
      </c>
      <c r="EV49" s="67">
        <v>0</v>
      </c>
      <c r="EW49" s="67">
        <v>0</v>
      </c>
      <c r="EX49" s="67">
        <v>0</v>
      </c>
      <c r="EY49" s="67">
        <v>0</v>
      </c>
      <c r="EZ49" s="67">
        <v>0</v>
      </c>
      <c r="FA49" s="67">
        <v>0</v>
      </c>
      <c r="FB49" s="67">
        <v>0</v>
      </c>
      <c r="FC49" s="67">
        <v>0</v>
      </c>
      <c r="FD49" s="67">
        <v>0</v>
      </c>
      <c r="FE49" s="67">
        <v>0</v>
      </c>
      <c r="FF49" s="67">
        <v>0</v>
      </c>
      <c r="FG49" s="67">
        <v>0</v>
      </c>
      <c r="FH49" s="67">
        <v>0</v>
      </c>
      <c r="FI49" s="67">
        <v>0</v>
      </c>
      <c r="FJ49" s="67">
        <v>0</v>
      </c>
      <c r="FK49" s="67">
        <v>0</v>
      </c>
      <c r="FL49" s="67">
        <v>0</v>
      </c>
      <c r="FM49" s="67">
        <v>0</v>
      </c>
      <c r="FN49" s="67">
        <v>0</v>
      </c>
      <c r="FO49" s="67">
        <v>0</v>
      </c>
      <c r="FP49" s="67">
        <v>0</v>
      </c>
      <c r="FQ49" s="67">
        <v>0</v>
      </c>
      <c r="FR49" s="67">
        <v>0</v>
      </c>
      <c r="FS49" s="67">
        <v>0</v>
      </c>
      <c r="FT49" s="67">
        <v>0</v>
      </c>
      <c r="FU49" s="67">
        <v>0</v>
      </c>
      <c r="FV49" s="67">
        <v>0</v>
      </c>
      <c r="FW49" s="67">
        <v>0</v>
      </c>
      <c r="FX49" s="67">
        <v>0</v>
      </c>
      <c r="FY49" s="67">
        <v>0</v>
      </c>
      <c r="FZ49" s="59"/>
      <c r="GA49" s="1" t="s">
        <v>260</v>
      </c>
    </row>
    <row r="50" spans="1:183" x14ac:dyDescent="0.2">
      <c r="A50" s="66" t="s">
        <v>180</v>
      </c>
      <c r="B50" s="67">
        <f t="array" ref="B50:FY50">-TRANSPOSE('RA CSM'!BM13:BM192)</f>
        <v>-17000</v>
      </c>
      <c r="C50" s="67">
        <v>0</v>
      </c>
      <c r="D50" s="67">
        <v>0</v>
      </c>
      <c r="E50" s="67">
        <v>0</v>
      </c>
      <c r="F50" s="67">
        <v>0</v>
      </c>
      <c r="G50" s="67">
        <v>0</v>
      </c>
      <c r="H50" s="67">
        <v>0</v>
      </c>
      <c r="I50" s="67">
        <v>0</v>
      </c>
      <c r="J50" s="67">
        <v>0</v>
      </c>
      <c r="K50" s="67">
        <v>0</v>
      </c>
      <c r="L50" s="67">
        <v>0</v>
      </c>
      <c r="M50" s="67">
        <v>0</v>
      </c>
      <c r="N50" s="67">
        <v>0</v>
      </c>
      <c r="O50" s="67">
        <v>0</v>
      </c>
      <c r="P50" s="67">
        <v>0</v>
      </c>
      <c r="Q50" s="67">
        <v>0</v>
      </c>
      <c r="R50" s="67">
        <v>0</v>
      </c>
      <c r="S50" s="67">
        <v>0</v>
      </c>
      <c r="T50" s="67">
        <v>0</v>
      </c>
      <c r="U50" s="67">
        <v>0</v>
      </c>
      <c r="V50" s="67">
        <v>0</v>
      </c>
      <c r="W50" s="67">
        <v>0</v>
      </c>
      <c r="X50" s="67">
        <v>0</v>
      </c>
      <c r="Y50" s="67">
        <v>0</v>
      </c>
      <c r="Z50" s="67">
        <v>0</v>
      </c>
      <c r="AA50" s="67">
        <v>0</v>
      </c>
      <c r="AB50" s="67">
        <v>0</v>
      </c>
      <c r="AC50" s="67">
        <v>0</v>
      </c>
      <c r="AD50" s="67">
        <v>0</v>
      </c>
      <c r="AE50" s="67">
        <v>0</v>
      </c>
      <c r="AF50" s="67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7">
        <v>0</v>
      </c>
      <c r="AT50" s="67">
        <v>0</v>
      </c>
      <c r="AU50" s="67">
        <v>0</v>
      </c>
      <c r="AV50" s="67">
        <v>0</v>
      </c>
      <c r="AW50" s="67">
        <v>0</v>
      </c>
      <c r="AX50" s="67">
        <v>0</v>
      </c>
      <c r="AY50" s="67">
        <v>0</v>
      </c>
      <c r="AZ50" s="67">
        <v>0</v>
      </c>
      <c r="BA50" s="67">
        <v>0</v>
      </c>
      <c r="BB50" s="67">
        <v>0</v>
      </c>
      <c r="BC50" s="67">
        <v>0</v>
      </c>
      <c r="BD50" s="67">
        <v>0</v>
      </c>
      <c r="BE50" s="67">
        <v>0</v>
      </c>
      <c r="BF50" s="67">
        <v>0</v>
      </c>
      <c r="BG50" s="67">
        <v>0</v>
      </c>
      <c r="BH50" s="67">
        <v>0</v>
      </c>
      <c r="BI50" s="67">
        <v>0</v>
      </c>
      <c r="BJ50" s="67">
        <v>0</v>
      </c>
      <c r="BK50" s="67">
        <v>0</v>
      </c>
      <c r="BL50" s="67">
        <v>0</v>
      </c>
      <c r="BM50" s="67">
        <v>0</v>
      </c>
      <c r="BN50" s="67">
        <v>0</v>
      </c>
      <c r="BO50" s="67">
        <v>0</v>
      </c>
      <c r="BP50" s="67">
        <v>0</v>
      </c>
      <c r="BQ50" s="67">
        <v>0</v>
      </c>
      <c r="BR50" s="67">
        <v>0</v>
      </c>
      <c r="BS50" s="67">
        <v>0</v>
      </c>
      <c r="BT50" s="67">
        <v>0</v>
      </c>
      <c r="BU50" s="67">
        <v>0</v>
      </c>
      <c r="BV50" s="67">
        <v>0</v>
      </c>
      <c r="BW50" s="67">
        <v>0</v>
      </c>
      <c r="BX50" s="67">
        <v>0</v>
      </c>
      <c r="BY50" s="67">
        <v>0</v>
      </c>
      <c r="BZ50" s="67">
        <v>0</v>
      </c>
      <c r="CA50" s="67">
        <v>0</v>
      </c>
      <c r="CB50" s="67">
        <v>0</v>
      </c>
      <c r="CC50" s="67">
        <v>0</v>
      </c>
      <c r="CD50" s="67">
        <v>0</v>
      </c>
      <c r="CE50" s="67">
        <v>0</v>
      </c>
      <c r="CF50" s="67">
        <v>0</v>
      </c>
      <c r="CG50" s="67">
        <v>0</v>
      </c>
      <c r="CH50" s="67">
        <v>0</v>
      </c>
      <c r="CI50" s="67">
        <v>0</v>
      </c>
      <c r="CJ50" s="67">
        <v>0</v>
      </c>
      <c r="CK50" s="67">
        <v>0</v>
      </c>
      <c r="CL50" s="67">
        <v>0</v>
      </c>
      <c r="CM50" s="67">
        <v>0</v>
      </c>
      <c r="CN50" s="67">
        <v>0</v>
      </c>
      <c r="CO50" s="67">
        <v>0</v>
      </c>
      <c r="CP50" s="67">
        <v>0</v>
      </c>
      <c r="CQ50" s="67">
        <v>0</v>
      </c>
      <c r="CR50" s="67">
        <v>0</v>
      </c>
      <c r="CS50" s="67">
        <v>0</v>
      </c>
      <c r="CT50" s="67">
        <v>0</v>
      </c>
      <c r="CU50" s="67">
        <v>0</v>
      </c>
      <c r="CV50" s="67">
        <v>0</v>
      </c>
      <c r="CW50" s="67">
        <v>0</v>
      </c>
      <c r="CX50" s="67">
        <v>0</v>
      </c>
      <c r="CY50" s="67">
        <v>0</v>
      </c>
      <c r="CZ50" s="67">
        <v>0</v>
      </c>
      <c r="DA50" s="67">
        <v>0</v>
      </c>
      <c r="DB50" s="67">
        <v>0</v>
      </c>
      <c r="DC50" s="67">
        <v>0</v>
      </c>
      <c r="DD50" s="67">
        <v>0</v>
      </c>
      <c r="DE50" s="67">
        <v>0</v>
      </c>
      <c r="DF50" s="67">
        <v>0</v>
      </c>
      <c r="DG50" s="67">
        <v>0</v>
      </c>
      <c r="DH50" s="67">
        <v>0</v>
      </c>
      <c r="DI50" s="67">
        <v>0</v>
      </c>
      <c r="DJ50" s="67">
        <v>0</v>
      </c>
      <c r="DK50" s="67">
        <v>0</v>
      </c>
      <c r="DL50" s="67">
        <v>0</v>
      </c>
      <c r="DM50" s="67">
        <v>0</v>
      </c>
      <c r="DN50" s="67">
        <v>0</v>
      </c>
      <c r="DO50" s="67">
        <v>0</v>
      </c>
      <c r="DP50" s="67">
        <v>0</v>
      </c>
      <c r="DQ50" s="67">
        <v>0</v>
      </c>
      <c r="DR50" s="67">
        <v>0</v>
      </c>
      <c r="DS50" s="67">
        <v>0</v>
      </c>
      <c r="DT50" s="67">
        <v>0</v>
      </c>
      <c r="DU50" s="67">
        <v>0</v>
      </c>
      <c r="DV50" s="67">
        <v>0</v>
      </c>
      <c r="DW50" s="67">
        <v>0</v>
      </c>
      <c r="DX50" s="67">
        <v>0</v>
      </c>
      <c r="DY50" s="67">
        <v>0</v>
      </c>
      <c r="DZ50" s="67">
        <v>0</v>
      </c>
      <c r="EA50" s="67">
        <v>0</v>
      </c>
      <c r="EB50" s="67">
        <v>0</v>
      </c>
      <c r="EC50" s="67">
        <v>0</v>
      </c>
      <c r="ED50" s="67">
        <v>0</v>
      </c>
      <c r="EE50" s="67">
        <v>0</v>
      </c>
      <c r="EF50" s="67">
        <v>0</v>
      </c>
      <c r="EG50" s="67">
        <v>0</v>
      </c>
      <c r="EH50" s="67">
        <v>0</v>
      </c>
      <c r="EI50" s="67">
        <v>0</v>
      </c>
      <c r="EJ50" s="67">
        <v>0</v>
      </c>
      <c r="EK50" s="67">
        <v>0</v>
      </c>
      <c r="EL50" s="67">
        <v>0</v>
      </c>
      <c r="EM50" s="67">
        <v>0</v>
      </c>
      <c r="EN50" s="67">
        <v>0</v>
      </c>
      <c r="EO50" s="67">
        <v>0</v>
      </c>
      <c r="EP50" s="67">
        <v>0</v>
      </c>
      <c r="EQ50" s="67">
        <v>0</v>
      </c>
      <c r="ER50" s="67">
        <v>0</v>
      </c>
      <c r="ES50" s="67">
        <v>0</v>
      </c>
      <c r="ET50" s="67">
        <v>0</v>
      </c>
      <c r="EU50" s="67">
        <v>0</v>
      </c>
      <c r="EV50" s="67">
        <v>0</v>
      </c>
      <c r="EW50" s="67">
        <v>0</v>
      </c>
      <c r="EX50" s="67">
        <v>0</v>
      </c>
      <c r="EY50" s="67">
        <v>0</v>
      </c>
      <c r="EZ50" s="67">
        <v>0</v>
      </c>
      <c r="FA50" s="67">
        <v>0</v>
      </c>
      <c r="FB50" s="67">
        <v>0</v>
      </c>
      <c r="FC50" s="67">
        <v>0</v>
      </c>
      <c r="FD50" s="67">
        <v>0</v>
      </c>
      <c r="FE50" s="67">
        <v>0</v>
      </c>
      <c r="FF50" s="67">
        <v>0</v>
      </c>
      <c r="FG50" s="67">
        <v>0</v>
      </c>
      <c r="FH50" s="67">
        <v>0</v>
      </c>
      <c r="FI50" s="67">
        <v>0</v>
      </c>
      <c r="FJ50" s="67">
        <v>0</v>
      </c>
      <c r="FK50" s="67">
        <v>0</v>
      </c>
      <c r="FL50" s="67">
        <v>0</v>
      </c>
      <c r="FM50" s="67">
        <v>0</v>
      </c>
      <c r="FN50" s="67">
        <v>0</v>
      </c>
      <c r="FO50" s="67">
        <v>0</v>
      </c>
      <c r="FP50" s="67">
        <v>0</v>
      </c>
      <c r="FQ50" s="67">
        <v>0</v>
      </c>
      <c r="FR50" s="67">
        <v>0</v>
      </c>
      <c r="FS50" s="67">
        <v>0</v>
      </c>
      <c r="FT50" s="67">
        <v>0</v>
      </c>
      <c r="FU50" s="67">
        <v>0</v>
      </c>
      <c r="FV50" s="67">
        <v>0</v>
      </c>
      <c r="FW50" s="67">
        <v>0</v>
      </c>
      <c r="FX50" s="67">
        <v>0</v>
      </c>
      <c r="FY50" s="67">
        <v>0</v>
      </c>
      <c r="FZ50" s="59"/>
    </row>
    <row r="51" spans="1:183" x14ac:dyDescent="0.2">
      <c r="A51" s="66" t="s">
        <v>181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</row>
    <row r="52" spans="1:183" x14ac:dyDescent="0.2">
      <c r="A52" s="66" t="s">
        <v>182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</row>
    <row r="53" spans="1:183" x14ac:dyDescent="0.2">
      <c r="A53" s="66" t="s">
        <v>183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</row>
    <row r="54" spans="1:183" x14ac:dyDescent="0.2">
      <c r="A54" s="66" t="s">
        <v>184</v>
      </c>
      <c r="B54" s="67">
        <f t="array" ref="B54:FY54">-TRANSPOSE('RA CSM'!BK13:BK192)</f>
        <v>-114.56772159565259</v>
      </c>
      <c r="C54" s="67">
        <v>-111.20523235516353</v>
      </c>
      <c r="D54" s="67">
        <v>-107.84805508051831</v>
      </c>
      <c r="E54" s="67">
        <v>-104.49618342031309</v>
      </c>
      <c r="F54" s="67">
        <v>-101.14961102991006</v>
      </c>
      <c r="G54" s="67">
        <v>-97.808331571430685</v>
      </c>
      <c r="H54" s="67">
        <v>-94.472338713748769</v>
      </c>
      <c r="I54" s="67">
        <v>-91.141626132483992</v>
      </c>
      <c r="J54" s="67">
        <v>-87.816187509994904</v>
      </c>
      <c r="K54" s="67">
        <v>-84.496016535372348</v>
      </c>
      <c r="L54" s="67">
        <v>-81.181106904432667</v>
      </c>
      <c r="M54" s="67">
        <v>-77.871452319710983</v>
      </c>
      <c r="N54" s="67">
        <v>-149.82775222858845</v>
      </c>
      <c r="O54" s="67">
        <v>-143.09580439393196</v>
      </c>
      <c r="P54" s="67">
        <v>-136.38396292109829</v>
      </c>
      <c r="Q54" s="67">
        <v>-129.69218225936976</v>
      </c>
      <c r="R54" s="67">
        <v>-123.02041695002008</v>
      </c>
      <c r="S54" s="67">
        <v>-116.36862162613998</v>
      </c>
      <c r="T54" s="67">
        <v>-109.73675101246319</v>
      </c>
      <c r="U54" s="67">
        <v>-103.12475992519265</v>
      </c>
      <c r="V54" s="67">
        <v>-96.532603271827142</v>
      </c>
      <c r="W54" s="67">
        <v>-89.960236050988115</v>
      </c>
      <c r="X54" s="67">
        <v>-83.407613352247012</v>
      </c>
      <c r="Y54" s="67">
        <v>-76.874690355952694</v>
      </c>
      <c r="Z54" s="67">
        <v>-106.03716424776435</v>
      </c>
      <c r="AA54" s="67">
        <v>-96.181106059934564</v>
      </c>
      <c r="AB54" s="67">
        <v>-86.368747940902693</v>
      </c>
      <c r="AC54" s="67">
        <v>-76.599943395220393</v>
      </c>
      <c r="AD54" s="67">
        <v>-66.874546364857736</v>
      </c>
      <c r="AE54" s="67">
        <v>-57.192411227977864</v>
      </c>
      <c r="AF54" s="67">
        <v>-47.553392797714793</v>
      </c>
      <c r="AG54" s="67">
        <v>-37.957346320954514</v>
      </c>
      <c r="AH54" s="67">
        <v>-28.404127477119427</v>
      </c>
      <c r="AI54" s="67">
        <v>-18.893592376956068</v>
      </c>
      <c r="AJ54" s="67">
        <v>-9.4255975613259846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7">
        <v>0</v>
      </c>
      <c r="AT54" s="67">
        <v>0</v>
      </c>
      <c r="AU54" s="67">
        <v>0</v>
      </c>
      <c r="AV54" s="67">
        <v>0</v>
      </c>
      <c r="AW54" s="67">
        <v>0</v>
      </c>
      <c r="AX54" s="67">
        <v>0</v>
      </c>
      <c r="AY54" s="67">
        <v>0</v>
      </c>
      <c r="AZ54" s="67">
        <v>0</v>
      </c>
      <c r="BA54" s="67">
        <v>0</v>
      </c>
      <c r="BB54" s="67">
        <v>0</v>
      </c>
      <c r="BC54" s="67">
        <v>0</v>
      </c>
      <c r="BD54" s="67">
        <v>0</v>
      </c>
      <c r="BE54" s="67">
        <v>0</v>
      </c>
      <c r="BF54" s="67">
        <v>0</v>
      </c>
      <c r="BG54" s="67">
        <v>0</v>
      </c>
      <c r="BH54" s="67">
        <v>0</v>
      </c>
      <c r="BI54" s="67">
        <v>0</v>
      </c>
      <c r="BJ54" s="67">
        <v>0</v>
      </c>
      <c r="BK54" s="67">
        <v>0</v>
      </c>
      <c r="BL54" s="67">
        <v>0</v>
      </c>
      <c r="BM54" s="67">
        <v>0</v>
      </c>
      <c r="BN54" s="67">
        <v>0</v>
      </c>
      <c r="BO54" s="67">
        <v>0</v>
      </c>
      <c r="BP54" s="67">
        <v>0</v>
      </c>
      <c r="BQ54" s="67">
        <v>0</v>
      </c>
      <c r="BR54" s="67">
        <v>0</v>
      </c>
      <c r="BS54" s="67">
        <v>0</v>
      </c>
      <c r="BT54" s="67">
        <v>0</v>
      </c>
      <c r="BU54" s="67">
        <v>0</v>
      </c>
      <c r="BV54" s="67">
        <v>0</v>
      </c>
      <c r="BW54" s="67">
        <v>0</v>
      </c>
      <c r="BX54" s="67">
        <v>0</v>
      </c>
      <c r="BY54" s="67">
        <v>0</v>
      </c>
      <c r="BZ54" s="67">
        <v>0</v>
      </c>
      <c r="CA54" s="67">
        <v>0</v>
      </c>
      <c r="CB54" s="67">
        <v>0</v>
      </c>
      <c r="CC54" s="67">
        <v>0</v>
      </c>
      <c r="CD54" s="67">
        <v>0</v>
      </c>
      <c r="CE54" s="67">
        <v>0</v>
      </c>
      <c r="CF54" s="67">
        <v>0</v>
      </c>
      <c r="CG54" s="67">
        <v>0</v>
      </c>
      <c r="CH54" s="67">
        <v>0</v>
      </c>
      <c r="CI54" s="67">
        <v>0</v>
      </c>
      <c r="CJ54" s="67">
        <v>0</v>
      </c>
      <c r="CK54" s="67">
        <v>0</v>
      </c>
      <c r="CL54" s="67">
        <v>0</v>
      </c>
      <c r="CM54" s="67">
        <v>0</v>
      </c>
      <c r="CN54" s="67">
        <v>0</v>
      </c>
      <c r="CO54" s="67">
        <v>0</v>
      </c>
      <c r="CP54" s="67">
        <v>0</v>
      </c>
      <c r="CQ54" s="67">
        <v>0</v>
      </c>
      <c r="CR54" s="67">
        <v>0</v>
      </c>
      <c r="CS54" s="67">
        <v>0</v>
      </c>
      <c r="CT54" s="67">
        <v>0</v>
      </c>
      <c r="CU54" s="67">
        <v>0</v>
      </c>
      <c r="CV54" s="67">
        <v>0</v>
      </c>
      <c r="CW54" s="67">
        <v>0</v>
      </c>
      <c r="CX54" s="67">
        <v>0</v>
      </c>
      <c r="CY54" s="67">
        <v>0</v>
      </c>
      <c r="CZ54" s="67">
        <v>0</v>
      </c>
      <c r="DA54" s="67">
        <v>0</v>
      </c>
      <c r="DB54" s="67">
        <v>0</v>
      </c>
      <c r="DC54" s="67">
        <v>0</v>
      </c>
      <c r="DD54" s="67">
        <v>0</v>
      </c>
      <c r="DE54" s="67">
        <v>0</v>
      </c>
      <c r="DF54" s="67">
        <v>0</v>
      </c>
      <c r="DG54" s="67">
        <v>0</v>
      </c>
      <c r="DH54" s="67">
        <v>0</v>
      </c>
      <c r="DI54" s="67">
        <v>0</v>
      </c>
      <c r="DJ54" s="67">
        <v>0</v>
      </c>
      <c r="DK54" s="67">
        <v>0</v>
      </c>
      <c r="DL54" s="67">
        <v>0</v>
      </c>
      <c r="DM54" s="67">
        <v>0</v>
      </c>
      <c r="DN54" s="67">
        <v>0</v>
      </c>
      <c r="DO54" s="67">
        <v>0</v>
      </c>
      <c r="DP54" s="67">
        <v>0</v>
      </c>
      <c r="DQ54" s="67">
        <v>0</v>
      </c>
      <c r="DR54" s="67">
        <v>0</v>
      </c>
      <c r="DS54" s="67">
        <v>0</v>
      </c>
      <c r="DT54" s="67">
        <v>0</v>
      </c>
      <c r="DU54" s="67">
        <v>0</v>
      </c>
      <c r="DV54" s="67">
        <v>0</v>
      </c>
      <c r="DW54" s="67">
        <v>0</v>
      </c>
      <c r="DX54" s="67">
        <v>0</v>
      </c>
      <c r="DY54" s="67">
        <v>0</v>
      </c>
      <c r="DZ54" s="67">
        <v>0</v>
      </c>
      <c r="EA54" s="67">
        <v>0</v>
      </c>
      <c r="EB54" s="67">
        <v>0</v>
      </c>
      <c r="EC54" s="67">
        <v>0</v>
      </c>
      <c r="ED54" s="67">
        <v>0</v>
      </c>
      <c r="EE54" s="67">
        <v>0</v>
      </c>
      <c r="EF54" s="67">
        <v>0</v>
      </c>
      <c r="EG54" s="67">
        <v>0</v>
      </c>
      <c r="EH54" s="67">
        <v>0</v>
      </c>
      <c r="EI54" s="67">
        <v>0</v>
      </c>
      <c r="EJ54" s="67">
        <v>0</v>
      </c>
      <c r="EK54" s="67">
        <v>0</v>
      </c>
      <c r="EL54" s="67">
        <v>0</v>
      </c>
      <c r="EM54" s="67">
        <v>0</v>
      </c>
      <c r="EN54" s="67">
        <v>0</v>
      </c>
      <c r="EO54" s="67">
        <v>0</v>
      </c>
      <c r="EP54" s="67">
        <v>0</v>
      </c>
      <c r="EQ54" s="67">
        <v>0</v>
      </c>
      <c r="ER54" s="67">
        <v>0</v>
      </c>
      <c r="ES54" s="67">
        <v>0</v>
      </c>
      <c r="ET54" s="67">
        <v>0</v>
      </c>
      <c r="EU54" s="67">
        <v>0</v>
      </c>
      <c r="EV54" s="67">
        <v>0</v>
      </c>
      <c r="EW54" s="67">
        <v>0</v>
      </c>
      <c r="EX54" s="67">
        <v>0</v>
      </c>
      <c r="EY54" s="67">
        <v>0</v>
      </c>
      <c r="EZ54" s="67">
        <v>0</v>
      </c>
      <c r="FA54" s="67">
        <v>0</v>
      </c>
      <c r="FB54" s="67">
        <v>0</v>
      </c>
      <c r="FC54" s="67">
        <v>0</v>
      </c>
      <c r="FD54" s="67">
        <v>0</v>
      </c>
      <c r="FE54" s="67">
        <v>0</v>
      </c>
      <c r="FF54" s="67">
        <v>0</v>
      </c>
      <c r="FG54" s="67">
        <v>0</v>
      </c>
      <c r="FH54" s="67">
        <v>0</v>
      </c>
      <c r="FI54" s="67">
        <v>0</v>
      </c>
      <c r="FJ54" s="67">
        <v>0</v>
      </c>
      <c r="FK54" s="67">
        <v>0</v>
      </c>
      <c r="FL54" s="67">
        <v>0</v>
      </c>
      <c r="FM54" s="67">
        <v>0</v>
      </c>
      <c r="FN54" s="67">
        <v>0</v>
      </c>
      <c r="FO54" s="67">
        <v>0</v>
      </c>
      <c r="FP54" s="67">
        <v>0</v>
      </c>
      <c r="FQ54" s="67">
        <v>0</v>
      </c>
      <c r="FR54" s="67">
        <v>0</v>
      </c>
      <c r="FS54" s="67">
        <v>0</v>
      </c>
      <c r="FT54" s="67">
        <v>0</v>
      </c>
      <c r="FU54" s="67">
        <v>0</v>
      </c>
      <c r="FV54" s="67">
        <v>0</v>
      </c>
      <c r="FW54" s="67">
        <v>0</v>
      </c>
      <c r="FX54" s="67">
        <v>0</v>
      </c>
      <c r="FY54" s="67">
        <v>0</v>
      </c>
    </row>
    <row r="56" spans="1:183" hidden="1" outlineLevel="1" x14ac:dyDescent="0.2">
      <c r="A56" s="345" t="s">
        <v>150</v>
      </c>
      <c r="N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</row>
    <row r="57" spans="1:183" hidden="1" outlineLevel="1" x14ac:dyDescent="0.2">
      <c r="A57" s="345"/>
      <c r="N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</row>
    <row r="58" spans="1:183" hidden="1" outlineLevel="1" x14ac:dyDescent="0.2">
      <c r="A58" s="66" t="s">
        <v>174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7"/>
      <c r="EY58" s="67"/>
      <c r="EZ58" s="67"/>
      <c r="FA58" s="67"/>
      <c r="FB58" s="67"/>
      <c r="FC58" s="67"/>
      <c r="FD58" s="67"/>
      <c r="FE58" s="67"/>
      <c r="FF58" s="67"/>
      <c r="FG58" s="67"/>
      <c r="FH58" s="67"/>
      <c r="FI58" s="67"/>
      <c r="FJ58" s="67"/>
      <c r="FK58" s="67"/>
      <c r="FL58" s="67"/>
      <c r="FM58" s="67"/>
      <c r="FN58" s="67"/>
      <c r="FO58" s="67"/>
      <c r="FP58" s="67"/>
      <c r="FQ58" s="67"/>
      <c r="FR58" s="67"/>
      <c r="FS58" s="67"/>
      <c r="FT58" s="67"/>
      <c r="FU58" s="67"/>
      <c r="FV58" s="67"/>
      <c r="FW58" s="67"/>
      <c r="FX58" s="67"/>
      <c r="FY58" s="67"/>
      <c r="FZ58" s="59"/>
      <c r="GA58" s="1"/>
    </row>
    <row r="59" spans="1:183" hidden="1" outlineLevel="1" x14ac:dyDescent="0.2">
      <c r="A59" s="66" t="s">
        <v>175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59"/>
      <c r="GA59" s="1"/>
    </row>
    <row r="60" spans="1:183" hidden="1" outlineLevel="1" x14ac:dyDescent="0.2">
      <c r="A60" s="66" t="s">
        <v>397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7"/>
      <c r="FQ60" s="67"/>
      <c r="FR60" s="67"/>
      <c r="FS60" s="67"/>
      <c r="FT60" s="67"/>
      <c r="FU60" s="67"/>
      <c r="FV60" s="67"/>
      <c r="FW60" s="67"/>
      <c r="FX60" s="67"/>
      <c r="FY60" s="67"/>
      <c r="FZ60" s="59"/>
      <c r="GA60" s="1"/>
    </row>
    <row r="61" spans="1:183" hidden="1" outlineLevel="1" x14ac:dyDescent="0.2">
      <c r="A61" s="66" t="s">
        <v>177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59"/>
    </row>
    <row r="62" spans="1:183" hidden="1" outlineLevel="1" x14ac:dyDescent="0.2">
      <c r="A62" s="66" t="s">
        <v>178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7"/>
      <c r="EY62" s="67"/>
      <c r="EZ62" s="67"/>
      <c r="FA62" s="67"/>
      <c r="FB62" s="67"/>
      <c r="FC62" s="67"/>
      <c r="FD62" s="67"/>
      <c r="FE62" s="67"/>
      <c r="FF62" s="67"/>
      <c r="FG62" s="67"/>
      <c r="FH62" s="67"/>
      <c r="FI62" s="67"/>
      <c r="FJ62" s="67"/>
      <c r="FK62" s="67"/>
      <c r="FL62" s="67"/>
      <c r="FM62" s="67"/>
      <c r="FN62" s="67"/>
      <c r="FO62" s="67"/>
      <c r="FP62" s="67"/>
      <c r="FQ62" s="67"/>
      <c r="FR62" s="67"/>
      <c r="FS62" s="67"/>
      <c r="FT62" s="67"/>
      <c r="FU62" s="67"/>
      <c r="FV62" s="67"/>
      <c r="FW62" s="67"/>
      <c r="FX62" s="67"/>
      <c r="FY62" s="67"/>
      <c r="FZ62" s="59"/>
    </row>
    <row r="63" spans="1:183" hidden="1" outlineLevel="1" x14ac:dyDescent="0.2">
      <c r="A63" s="66" t="s">
        <v>179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59"/>
      <c r="GA63" s="1"/>
    </row>
    <row r="64" spans="1:183" hidden="1" outlineLevel="1" x14ac:dyDescent="0.2">
      <c r="A64" s="66" t="s">
        <v>180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</row>
    <row r="65" spans="1:183" hidden="1" outlineLevel="1" x14ac:dyDescent="0.2">
      <c r="A65" s="66" t="s">
        <v>181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</row>
    <row r="66" spans="1:183" hidden="1" outlineLevel="1" x14ac:dyDescent="0.2">
      <c r="A66" s="66" t="s">
        <v>182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</row>
    <row r="67" spans="1:183" hidden="1" outlineLevel="1" x14ac:dyDescent="0.2">
      <c r="A67" s="66" t="s">
        <v>183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</row>
    <row r="68" spans="1:183" hidden="1" outlineLevel="1" x14ac:dyDescent="0.2">
      <c r="A68" s="66" t="s">
        <v>184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</row>
    <row r="69" spans="1:183" hidden="1" outlineLevel="1" x14ac:dyDescent="0.2"/>
    <row r="70" spans="1:183" hidden="1" outlineLevel="1" x14ac:dyDescent="0.2">
      <c r="A70" s="345" t="s">
        <v>151</v>
      </c>
      <c r="N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</row>
    <row r="71" spans="1:183" hidden="1" outlineLevel="1" x14ac:dyDescent="0.2">
      <c r="A71" s="345"/>
      <c r="N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</row>
    <row r="72" spans="1:183" hidden="1" outlineLevel="1" x14ac:dyDescent="0.2">
      <c r="A72" s="66" t="s">
        <v>174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7"/>
      <c r="DW72" s="67"/>
      <c r="DX72" s="67"/>
      <c r="DY72" s="67"/>
      <c r="DZ72" s="67"/>
      <c r="EA72" s="67"/>
      <c r="EB72" s="67"/>
      <c r="EC72" s="67"/>
      <c r="ED72" s="67"/>
      <c r="EE72" s="67"/>
      <c r="EF72" s="67"/>
      <c r="EG72" s="67"/>
      <c r="EH72" s="67"/>
      <c r="EI72" s="67"/>
      <c r="EJ72" s="67"/>
      <c r="EK72" s="67"/>
      <c r="EL72" s="67"/>
      <c r="EM72" s="67"/>
      <c r="EN72" s="67"/>
      <c r="EO72" s="67"/>
      <c r="EP72" s="67"/>
      <c r="EQ72" s="67"/>
      <c r="ER72" s="67"/>
      <c r="ES72" s="67"/>
      <c r="ET72" s="67"/>
      <c r="EU72" s="67"/>
      <c r="EV72" s="67"/>
      <c r="EW72" s="67"/>
      <c r="EX72" s="67"/>
      <c r="EY72" s="67"/>
      <c r="EZ72" s="67"/>
      <c r="FA72" s="67"/>
      <c r="FB72" s="67"/>
      <c r="FC72" s="67"/>
      <c r="FD72" s="67"/>
      <c r="FE72" s="67"/>
      <c r="FF72" s="67"/>
      <c r="FG72" s="67"/>
      <c r="FH72" s="67"/>
      <c r="FI72" s="67"/>
      <c r="FJ72" s="67"/>
      <c r="FK72" s="67"/>
      <c r="FL72" s="67"/>
      <c r="FM72" s="67"/>
      <c r="FN72" s="67"/>
      <c r="FO72" s="67"/>
      <c r="FP72" s="67"/>
      <c r="FQ72" s="67"/>
      <c r="FR72" s="67"/>
      <c r="FS72" s="67"/>
      <c r="FT72" s="67"/>
      <c r="FU72" s="67"/>
      <c r="FV72" s="67"/>
      <c r="FW72" s="67"/>
      <c r="FX72" s="67"/>
      <c r="FY72" s="67"/>
      <c r="FZ72" s="59"/>
      <c r="GA72" s="1"/>
    </row>
    <row r="73" spans="1:183" hidden="1" outlineLevel="1" x14ac:dyDescent="0.2">
      <c r="A73" s="66" t="s">
        <v>175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7"/>
      <c r="DW73" s="67"/>
      <c r="DX73" s="67"/>
      <c r="DY73" s="67"/>
      <c r="DZ73" s="67"/>
      <c r="EA73" s="67"/>
      <c r="EB73" s="67"/>
      <c r="EC73" s="67"/>
      <c r="ED73" s="67"/>
      <c r="EE73" s="67"/>
      <c r="EF73" s="67"/>
      <c r="EG73" s="67"/>
      <c r="EH73" s="67"/>
      <c r="EI73" s="67"/>
      <c r="EJ73" s="67"/>
      <c r="EK73" s="67"/>
      <c r="EL73" s="67"/>
      <c r="EM73" s="67"/>
      <c r="EN73" s="67"/>
      <c r="EO73" s="67"/>
      <c r="EP73" s="67"/>
      <c r="EQ73" s="67"/>
      <c r="ER73" s="67"/>
      <c r="ES73" s="67"/>
      <c r="ET73" s="67"/>
      <c r="EU73" s="67"/>
      <c r="EV73" s="67"/>
      <c r="EW73" s="67"/>
      <c r="EX73" s="67"/>
      <c r="EY73" s="67"/>
      <c r="EZ73" s="67"/>
      <c r="FA73" s="67"/>
      <c r="FB73" s="67"/>
      <c r="FC73" s="67"/>
      <c r="FD73" s="67"/>
      <c r="FE73" s="67"/>
      <c r="FF73" s="67"/>
      <c r="FG73" s="67"/>
      <c r="FH73" s="67"/>
      <c r="FI73" s="67"/>
      <c r="FJ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59"/>
      <c r="GA73" s="1"/>
    </row>
    <row r="74" spans="1:183" hidden="1" outlineLevel="1" x14ac:dyDescent="0.2">
      <c r="A74" s="66" t="s">
        <v>397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/>
      <c r="DS74" s="67"/>
      <c r="DT74" s="67"/>
      <c r="DU74" s="67"/>
      <c r="DV74" s="67"/>
      <c r="DW74" s="67"/>
      <c r="DX74" s="67"/>
      <c r="DY74" s="67"/>
      <c r="DZ74" s="67"/>
      <c r="EA74" s="67"/>
      <c r="EB74" s="67"/>
      <c r="EC74" s="67"/>
      <c r="ED74" s="67"/>
      <c r="EE74" s="67"/>
      <c r="EF74" s="67"/>
      <c r="EG74" s="67"/>
      <c r="EH74" s="67"/>
      <c r="EI74" s="67"/>
      <c r="EJ74" s="67"/>
      <c r="EK74" s="67"/>
      <c r="EL74" s="67"/>
      <c r="EM74" s="67"/>
      <c r="EN74" s="67"/>
      <c r="EO74" s="67"/>
      <c r="EP74" s="67"/>
      <c r="EQ74" s="67"/>
      <c r="ER74" s="67"/>
      <c r="ES74" s="67"/>
      <c r="ET74" s="67"/>
      <c r="EU74" s="67"/>
      <c r="EV74" s="67"/>
      <c r="EW74" s="67"/>
      <c r="EX74" s="67"/>
      <c r="EY74" s="67"/>
      <c r="EZ74" s="67"/>
      <c r="FA74" s="67"/>
      <c r="FB74" s="67"/>
      <c r="FC74" s="67"/>
      <c r="FD74" s="67"/>
      <c r="FE74" s="67"/>
      <c r="FF74" s="67"/>
      <c r="FG74" s="67"/>
      <c r="FH74" s="67"/>
      <c r="FI74" s="67"/>
      <c r="FJ74" s="67"/>
      <c r="FK74" s="67"/>
      <c r="FL74" s="67"/>
      <c r="FM74" s="67"/>
      <c r="FN74" s="67"/>
      <c r="FO74" s="67"/>
      <c r="FP74" s="67"/>
      <c r="FQ74" s="67"/>
      <c r="FR74" s="67"/>
      <c r="FS74" s="67"/>
      <c r="FT74" s="67"/>
      <c r="FU74" s="67"/>
      <c r="FV74" s="67"/>
      <c r="FW74" s="67"/>
      <c r="FX74" s="67"/>
      <c r="FY74" s="67"/>
      <c r="FZ74" s="59"/>
      <c r="GA74" s="1"/>
    </row>
    <row r="75" spans="1:183" hidden="1" outlineLevel="1" x14ac:dyDescent="0.2">
      <c r="A75" s="66" t="s">
        <v>177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7"/>
      <c r="DW75" s="67"/>
      <c r="DX75" s="67"/>
      <c r="DY75" s="67"/>
      <c r="DZ75" s="67"/>
      <c r="EA75" s="67"/>
      <c r="EB75" s="67"/>
      <c r="EC75" s="67"/>
      <c r="ED75" s="67"/>
      <c r="EE75" s="67"/>
      <c r="EF75" s="67"/>
      <c r="EG75" s="67"/>
      <c r="EH75" s="67"/>
      <c r="EI75" s="67"/>
      <c r="EJ75" s="67"/>
      <c r="EK75" s="67"/>
      <c r="EL75" s="67"/>
      <c r="EM75" s="67"/>
      <c r="EN75" s="67"/>
      <c r="EO75" s="67"/>
      <c r="EP75" s="67"/>
      <c r="EQ75" s="67"/>
      <c r="ER75" s="67"/>
      <c r="ES75" s="67"/>
      <c r="ET75" s="67"/>
      <c r="EU75" s="67"/>
      <c r="EV75" s="67"/>
      <c r="EW75" s="67"/>
      <c r="EX75" s="67"/>
      <c r="EY75" s="67"/>
      <c r="EZ75" s="67"/>
      <c r="FA75" s="67"/>
      <c r="FB75" s="67"/>
      <c r="FC75" s="67"/>
      <c r="FD75" s="67"/>
      <c r="FE75" s="67"/>
      <c r="FF75" s="67"/>
      <c r="FG75" s="67"/>
      <c r="FH75" s="67"/>
      <c r="FI75" s="67"/>
      <c r="FJ75" s="67"/>
      <c r="FK75" s="67"/>
      <c r="FL75" s="67"/>
      <c r="FM75" s="67"/>
      <c r="FN75" s="67"/>
      <c r="FO75" s="67"/>
      <c r="FP75" s="67"/>
      <c r="FQ75" s="67"/>
      <c r="FR75" s="67"/>
      <c r="FS75" s="67"/>
      <c r="FT75" s="67"/>
      <c r="FU75" s="67"/>
      <c r="FV75" s="67"/>
      <c r="FW75" s="67"/>
      <c r="FX75" s="67"/>
      <c r="FY75" s="67"/>
      <c r="FZ75" s="59"/>
    </row>
    <row r="76" spans="1:183" hidden="1" outlineLevel="1" x14ac:dyDescent="0.2">
      <c r="A76" s="66" t="s">
        <v>178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7"/>
      <c r="DW76" s="67"/>
      <c r="DX76" s="67"/>
      <c r="DY76" s="67"/>
      <c r="DZ76" s="67"/>
      <c r="EA76" s="67"/>
      <c r="EB76" s="67"/>
      <c r="EC76" s="67"/>
      <c r="ED76" s="67"/>
      <c r="EE76" s="67"/>
      <c r="EF76" s="67"/>
      <c r="EG76" s="67"/>
      <c r="EH76" s="67"/>
      <c r="EI76" s="67"/>
      <c r="EJ76" s="67"/>
      <c r="EK76" s="67"/>
      <c r="EL76" s="67"/>
      <c r="EM76" s="67"/>
      <c r="EN76" s="67"/>
      <c r="EO76" s="67"/>
      <c r="EP76" s="67"/>
      <c r="EQ76" s="67"/>
      <c r="ER76" s="67"/>
      <c r="ES76" s="67"/>
      <c r="ET76" s="67"/>
      <c r="EU76" s="67"/>
      <c r="EV76" s="67"/>
      <c r="EW76" s="67"/>
      <c r="EX76" s="67"/>
      <c r="EY76" s="67"/>
      <c r="EZ76" s="67"/>
      <c r="FA76" s="67"/>
      <c r="FB76" s="67"/>
      <c r="FC76" s="67"/>
      <c r="FD76" s="67"/>
      <c r="FE76" s="67"/>
      <c r="FF76" s="67"/>
      <c r="FG76" s="67"/>
      <c r="FH76" s="67"/>
      <c r="FI76" s="67"/>
      <c r="FJ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59"/>
    </row>
    <row r="77" spans="1:183" hidden="1" outlineLevel="1" x14ac:dyDescent="0.2">
      <c r="A77" s="66" t="s">
        <v>179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7"/>
      <c r="EY77" s="67"/>
      <c r="EZ77" s="67"/>
      <c r="FA77" s="67"/>
      <c r="FB77" s="67"/>
      <c r="FC77" s="67"/>
      <c r="FD77" s="67"/>
      <c r="FE77" s="67"/>
      <c r="FF77" s="67"/>
      <c r="FG77" s="67"/>
      <c r="FH77" s="67"/>
      <c r="FI77" s="67"/>
      <c r="FJ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59"/>
      <c r="GA77" s="1"/>
    </row>
    <row r="78" spans="1:183" hidden="1" outlineLevel="1" x14ac:dyDescent="0.2">
      <c r="A78" s="66" t="s">
        <v>180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</row>
    <row r="79" spans="1:183" hidden="1" outlineLevel="1" x14ac:dyDescent="0.2">
      <c r="A79" s="66" t="s">
        <v>181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</row>
    <row r="80" spans="1:183" hidden="1" outlineLevel="1" x14ac:dyDescent="0.2">
      <c r="A80" s="66" t="s">
        <v>182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</row>
    <row r="81" spans="1:182" hidden="1" outlineLevel="1" x14ac:dyDescent="0.2">
      <c r="A81" s="66" t="s">
        <v>183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</row>
    <row r="82" spans="1:182" hidden="1" outlineLevel="1" x14ac:dyDescent="0.2">
      <c r="A82" s="66" t="s">
        <v>184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</row>
    <row r="83" spans="1:182" collapsed="1" x14ac:dyDescent="0.2">
      <c r="B83" s="70"/>
    </row>
    <row r="84" spans="1:182" hidden="1" outlineLevel="1" x14ac:dyDescent="0.2">
      <c r="A84" s="345" t="s">
        <v>152</v>
      </c>
      <c r="N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8"/>
      <c r="CP84" s="58"/>
      <c r="CQ84" s="58"/>
      <c r="CR84" s="58"/>
      <c r="CS84" s="58"/>
      <c r="CT84" s="58"/>
      <c r="CU84" s="58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8"/>
      <c r="DT84" s="58"/>
      <c r="DU84" s="58"/>
      <c r="DV84" s="58"/>
      <c r="DW84" s="58"/>
      <c r="DX84" s="58"/>
      <c r="DY84" s="58"/>
      <c r="DZ84" s="58"/>
      <c r="EA84" s="58"/>
      <c r="EB84" s="58"/>
      <c r="EC84" s="58"/>
      <c r="ED84" s="58"/>
      <c r="EE84" s="58"/>
      <c r="EF84" s="58"/>
      <c r="EG84" s="58"/>
      <c r="EH84" s="58"/>
      <c r="EI84" s="58"/>
      <c r="EJ84" s="58"/>
      <c r="EK84" s="58"/>
      <c r="EL84" s="58"/>
      <c r="EM84" s="58"/>
      <c r="EN84" s="58"/>
      <c r="EO84" s="58"/>
      <c r="EP84" s="58"/>
      <c r="EQ84" s="58"/>
      <c r="ER84" s="58"/>
      <c r="ES84" s="58"/>
      <c r="ET84" s="58"/>
      <c r="EU84" s="58"/>
      <c r="EV84" s="58"/>
      <c r="EW84" s="58"/>
      <c r="EX84" s="58"/>
      <c r="EY84" s="58"/>
      <c r="EZ84" s="58"/>
      <c r="FA84" s="58"/>
      <c r="FB84" s="58"/>
      <c r="FC84" s="58"/>
      <c r="FD84" s="58"/>
      <c r="FE84" s="58"/>
      <c r="FF84" s="58"/>
      <c r="FG84" s="58"/>
      <c r="FH84" s="58"/>
      <c r="FI84" s="58"/>
      <c r="FJ84" s="58"/>
      <c r="FK84" s="58"/>
      <c r="FL84" s="58"/>
      <c r="FM84" s="58"/>
      <c r="FN84" s="58"/>
      <c r="FO84" s="58"/>
      <c r="FP84" s="58"/>
      <c r="FQ84" s="58"/>
      <c r="FR84" s="58"/>
      <c r="FS84" s="58"/>
      <c r="FT84" s="58"/>
      <c r="FU84" s="58"/>
      <c r="FV84" s="58"/>
      <c r="FW84" s="58"/>
      <c r="FX84" s="58"/>
      <c r="FY84" s="58"/>
      <c r="FZ84" s="59"/>
    </row>
    <row r="85" spans="1:182" hidden="1" outlineLevel="1" x14ac:dyDescent="0.2">
      <c r="A85" s="345"/>
      <c r="N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8"/>
      <c r="CP85" s="58"/>
      <c r="CQ85" s="58"/>
      <c r="CR85" s="58"/>
      <c r="CS85" s="58"/>
      <c r="CT85" s="58"/>
      <c r="CU85" s="58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8"/>
      <c r="DT85" s="58"/>
      <c r="DU85" s="58"/>
      <c r="DV85" s="58"/>
      <c r="DW85" s="58"/>
      <c r="DX85" s="58"/>
      <c r="DY85" s="58"/>
      <c r="DZ85" s="58"/>
      <c r="EA85" s="58"/>
      <c r="EB85" s="58"/>
      <c r="EC85" s="58"/>
      <c r="ED85" s="58"/>
      <c r="EE85" s="58"/>
      <c r="EF85" s="58"/>
      <c r="EG85" s="58"/>
      <c r="EH85" s="58"/>
      <c r="EI85" s="58"/>
      <c r="EJ85" s="58"/>
      <c r="EK85" s="58"/>
      <c r="EL85" s="58"/>
      <c r="EM85" s="58"/>
      <c r="EN85" s="58"/>
      <c r="EO85" s="58"/>
      <c r="EP85" s="58"/>
      <c r="EQ85" s="58"/>
      <c r="ER85" s="58"/>
      <c r="ES85" s="58"/>
      <c r="ET85" s="58"/>
      <c r="EU85" s="58"/>
      <c r="EV85" s="58"/>
      <c r="EW85" s="58"/>
      <c r="EX85" s="58"/>
      <c r="EY85" s="58"/>
      <c r="EZ85" s="58"/>
      <c r="FA85" s="58"/>
      <c r="FB85" s="58"/>
      <c r="FC85" s="58"/>
      <c r="FD85" s="58"/>
      <c r="FE85" s="58"/>
      <c r="FF85" s="58"/>
      <c r="FG85" s="58"/>
      <c r="FH85" s="58"/>
      <c r="FI85" s="58"/>
      <c r="FJ85" s="58"/>
      <c r="FK85" s="58"/>
      <c r="FL85" s="58"/>
      <c r="FM85" s="58"/>
      <c r="FN85" s="58"/>
      <c r="FO85" s="58"/>
      <c r="FP85" s="58"/>
      <c r="FQ85" s="58"/>
      <c r="FR85" s="58"/>
      <c r="FS85" s="58"/>
      <c r="FT85" s="58"/>
      <c r="FU85" s="58"/>
      <c r="FV85" s="58"/>
      <c r="FW85" s="58"/>
      <c r="FX85" s="58"/>
      <c r="FY85" s="58"/>
      <c r="FZ85" s="59"/>
    </row>
    <row r="86" spans="1:182" hidden="1" outlineLevel="1" x14ac:dyDescent="0.2">
      <c r="A86" s="2" t="s">
        <v>174</v>
      </c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  <c r="FB86" s="57"/>
      <c r="FC86" s="57"/>
      <c r="FD86" s="57"/>
      <c r="FE86" s="57"/>
      <c r="FF86" s="57"/>
      <c r="FG86" s="57"/>
      <c r="FH86" s="57"/>
      <c r="FI86" s="57"/>
      <c r="FJ86" s="57"/>
      <c r="FK86" s="57"/>
      <c r="FL86" s="57"/>
      <c r="FM86" s="57"/>
      <c r="FN86" s="57"/>
      <c r="FO86" s="57"/>
      <c r="FP86" s="57"/>
      <c r="FQ86" s="57"/>
      <c r="FR86" s="57"/>
      <c r="FS86" s="57"/>
      <c r="FT86" s="57"/>
      <c r="FU86" s="57"/>
      <c r="FV86" s="57"/>
      <c r="FW86" s="57"/>
      <c r="FX86" s="57"/>
      <c r="FY86" s="57"/>
      <c r="FZ86" s="59"/>
    </row>
    <row r="87" spans="1:182" hidden="1" outlineLevel="1" x14ac:dyDescent="0.2">
      <c r="A87" s="2" t="s">
        <v>175</v>
      </c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  <c r="FB87" s="57"/>
      <c r="FC87" s="57"/>
      <c r="FD87" s="57"/>
      <c r="FE87" s="57"/>
      <c r="FF87" s="57"/>
      <c r="FG87" s="57"/>
      <c r="FH87" s="57"/>
      <c r="FI87" s="57"/>
      <c r="FJ87" s="57"/>
      <c r="FK87" s="57"/>
      <c r="FL87" s="57"/>
      <c r="FM87" s="57"/>
      <c r="FN87" s="57"/>
      <c r="FO87" s="57"/>
      <c r="FP87" s="57"/>
      <c r="FQ87" s="57"/>
      <c r="FR87" s="57"/>
      <c r="FS87" s="57"/>
      <c r="FT87" s="57"/>
      <c r="FU87" s="57"/>
      <c r="FV87" s="57"/>
      <c r="FW87" s="57"/>
      <c r="FX87" s="57"/>
      <c r="FY87" s="57"/>
      <c r="FZ87" s="59"/>
    </row>
    <row r="88" spans="1:182" hidden="1" outlineLevel="1" x14ac:dyDescent="0.2">
      <c r="A88" s="2" t="s">
        <v>176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  <c r="FB88" s="57"/>
      <c r="FC88" s="57"/>
      <c r="FD88" s="57"/>
      <c r="FE88" s="57"/>
      <c r="FF88" s="57"/>
      <c r="FG88" s="57"/>
      <c r="FH88" s="57"/>
      <c r="FI88" s="57"/>
      <c r="FJ88" s="57"/>
      <c r="FK88" s="57"/>
      <c r="FL88" s="57"/>
      <c r="FM88" s="57"/>
      <c r="FN88" s="57"/>
      <c r="FO88" s="57"/>
      <c r="FP88" s="57"/>
      <c r="FQ88" s="57"/>
      <c r="FR88" s="57"/>
      <c r="FS88" s="57"/>
      <c r="FT88" s="57"/>
      <c r="FU88" s="57"/>
      <c r="FV88" s="57"/>
      <c r="FW88" s="57"/>
      <c r="FX88" s="57"/>
      <c r="FY88" s="57"/>
      <c r="FZ88" s="59"/>
    </row>
    <row r="89" spans="1:182" hidden="1" outlineLevel="1" x14ac:dyDescent="0.2">
      <c r="A89" s="2" t="s">
        <v>177</v>
      </c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  <c r="FB89" s="57"/>
      <c r="FC89" s="57"/>
      <c r="FD89" s="57"/>
      <c r="FE89" s="57"/>
      <c r="FF89" s="57"/>
      <c r="FG89" s="57"/>
      <c r="FH89" s="57"/>
      <c r="FI89" s="57"/>
      <c r="FJ89" s="57"/>
      <c r="FK89" s="57"/>
      <c r="FL89" s="57"/>
      <c r="FM89" s="57"/>
      <c r="FN89" s="57"/>
      <c r="FO89" s="57"/>
      <c r="FP89" s="57"/>
      <c r="FQ89" s="57"/>
      <c r="FR89" s="57"/>
      <c r="FS89" s="57"/>
      <c r="FT89" s="57"/>
      <c r="FU89" s="57"/>
      <c r="FV89" s="57"/>
      <c r="FW89" s="57"/>
      <c r="FX89" s="57"/>
      <c r="FY89" s="57"/>
      <c r="FZ89" s="59"/>
    </row>
    <row r="90" spans="1:182" hidden="1" outlineLevel="1" x14ac:dyDescent="0.2">
      <c r="A90" s="2" t="s">
        <v>178</v>
      </c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  <c r="FB90" s="57"/>
      <c r="FC90" s="57"/>
      <c r="FD90" s="57"/>
      <c r="FE90" s="57"/>
      <c r="FF90" s="57"/>
      <c r="FG90" s="57"/>
      <c r="FH90" s="57"/>
      <c r="FI90" s="57"/>
      <c r="FJ90" s="57"/>
      <c r="FK90" s="57"/>
      <c r="FL90" s="57"/>
      <c r="FM90" s="57"/>
      <c r="FN90" s="57"/>
      <c r="FO90" s="57"/>
      <c r="FP90" s="57"/>
      <c r="FQ90" s="57"/>
      <c r="FR90" s="57"/>
      <c r="FS90" s="57"/>
      <c r="FT90" s="57"/>
      <c r="FU90" s="57"/>
      <c r="FV90" s="57"/>
      <c r="FW90" s="57"/>
      <c r="FX90" s="57"/>
      <c r="FY90" s="57"/>
      <c r="FZ90" s="59"/>
    </row>
    <row r="91" spans="1:182" hidden="1" outlineLevel="1" x14ac:dyDescent="0.2">
      <c r="A91" s="2" t="s">
        <v>179</v>
      </c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  <c r="FB91" s="57"/>
      <c r="FC91" s="57"/>
      <c r="FD91" s="57"/>
      <c r="FE91" s="57"/>
      <c r="FF91" s="57"/>
      <c r="FG91" s="57"/>
      <c r="FH91" s="57"/>
      <c r="FI91" s="57"/>
      <c r="FJ91" s="57"/>
      <c r="FK91" s="57"/>
      <c r="FL91" s="57"/>
      <c r="FM91" s="57"/>
      <c r="FN91" s="57"/>
      <c r="FO91" s="57"/>
      <c r="FP91" s="57"/>
      <c r="FQ91" s="57"/>
      <c r="FR91" s="57"/>
      <c r="FS91" s="57"/>
      <c r="FT91" s="57"/>
      <c r="FU91" s="57"/>
      <c r="FV91" s="57"/>
      <c r="FW91" s="57"/>
      <c r="FX91" s="57"/>
      <c r="FY91" s="57"/>
      <c r="FZ91" s="59"/>
    </row>
    <row r="92" spans="1:182" hidden="1" outlineLevel="1" x14ac:dyDescent="0.2">
      <c r="A92" s="2" t="s">
        <v>180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  <c r="FB92" s="57"/>
      <c r="FC92" s="57"/>
      <c r="FD92" s="57"/>
      <c r="FE92" s="57"/>
      <c r="FF92" s="57"/>
      <c r="FG92" s="57"/>
      <c r="FH92" s="57"/>
      <c r="FI92" s="57"/>
      <c r="FJ92" s="57"/>
      <c r="FK92" s="57"/>
      <c r="FL92" s="57"/>
      <c r="FM92" s="57"/>
      <c r="FN92" s="57"/>
      <c r="FO92" s="57"/>
      <c r="FP92" s="57"/>
      <c r="FQ92" s="57"/>
      <c r="FR92" s="57"/>
      <c r="FS92" s="57"/>
      <c r="FT92" s="57"/>
      <c r="FU92" s="57"/>
      <c r="FV92" s="57"/>
      <c r="FW92" s="57"/>
      <c r="FX92" s="57"/>
      <c r="FY92" s="57"/>
      <c r="FZ92" s="59"/>
    </row>
    <row r="93" spans="1:182" hidden="1" outlineLevel="1" x14ac:dyDescent="0.2">
      <c r="A93" s="2" t="s">
        <v>181</v>
      </c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  <c r="FB93" s="57"/>
      <c r="FC93" s="57"/>
      <c r="FD93" s="57"/>
      <c r="FE93" s="57"/>
      <c r="FF93" s="57"/>
      <c r="FG93" s="57"/>
      <c r="FH93" s="57"/>
      <c r="FI93" s="57"/>
      <c r="FJ93" s="57"/>
      <c r="FK93" s="57"/>
      <c r="FL93" s="57"/>
      <c r="FM93" s="57"/>
      <c r="FN93" s="57"/>
      <c r="FO93" s="57"/>
      <c r="FP93" s="57"/>
      <c r="FQ93" s="57"/>
      <c r="FR93" s="57"/>
      <c r="FS93" s="57"/>
      <c r="FT93" s="57"/>
      <c r="FU93" s="57"/>
      <c r="FV93" s="57"/>
      <c r="FW93" s="57"/>
      <c r="FX93" s="57"/>
      <c r="FY93" s="57"/>
      <c r="FZ93" s="59"/>
    </row>
    <row r="94" spans="1:182" hidden="1" outlineLevel="1" x14ac:dyDescent="0.2">
      <c r="A94" s="2" t="s">
        <v>182</v>
      </c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  <c r="FB94" s="57"/>
      <c r="FC94" s="57"/>
      <c r="FD94" s="57"/>
      <c r="FE94" s="57"/>
      <c r="FF94" s="57"/>
      <c r="FG94" s="57"/>
      <c r="FH94" s="57"/>
      <c r="FI94" s="57"/>
      <c r="FJ94" s="57"/>
      <c r="FK94" s="57"/>
      <c r="FL94" s="57"/>
      <c r="FM94" s="57"/>
      <c r="FN94" s="57"/>
      <c r="FO94" s="57"/>
      <c r="FP94" s="57"/>
      <c r="FQ94" s="57"/>
      <c r="FR94" s="57"/>
      <c r="FS94" s="57"/>
      <c r="FT94" s="57"/>
      <c r="FU94" s="57"/>
      <c r="FV94" s="57"/>
      <c r="FW94" s="57"/>
      <c r="FX94" s="57"/>
      <c r="FY94" s="57"/>
      <c r="FZ94" s="59"/>
    </row>
    <row r="95" spans="1:182" hidden="1" outlineLevel="1" x14ac:dyDescent="0.2">
      <c r="A95" s="2" t="s">
        <v>183</v>
      </c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  <c r="FB95" s="57"/>
      <c r="FC95" s="57"/>
      <c r="FD95" s="57"/>
      <c r="FE95" s="57"/>
      <c r="FF95" s="57"/>
      <c r="FG95" s="57"/>
      <c r="FH95" s="57"/>
      <c r="FI95" s="57"/>
      <c r="FJ95" s="57"/>
      <c r="FK95" s="57"/>
      <c r="FL95" s="57"/>
      <c r="FM95" s="57"/>
      <c r="FN95" s="57"/>
      <c r="FO95" s="57"/>
      <c r="FP95" s="57"/>
      <c r="FQ95" s="57"/>
      <c r="FR95" s="57"/>
      <c r="FS95" s="57"/>
      <c r="FT95" s="57"/>
      <c r="FU95" s="57"/>
      <c r="FV95" s="57"/>
      <c r="FW95" s="57"/>
      <c r="FX95" s="57"/>
      <c r="FY95" s="57"/>
      <c r="FZ95" s="59"/>
    </row>
    <row r="96" spans="1:182" hidden="1" outlineLevel="1" x14ac:dyDescent="0.2">
      <c r="A96" s="2" t="s">
        <v>184</v>
      </c>
      <c r="Z96" s="57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7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7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8"/>
      <c r="CP96" s="58"/>
      <c r="CQ96" s="58"/>
      <c r="CR96" s="58"/>
      <c r="CS96" s="58"/>
      <c r="CT96" s="58"/>
      <c r="CU96" s="58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8"/>
      <c r="DT96" s="58"/>
      <c r="DU96" s="58"/>
      <c r="DV96" s="58"/>
      <c r="DW96" s="58"/>
      <c r="DX96" s="58"/>
      <c r="DY96" s="58"/>
      <c r="DZ96" s="58"/>
      <c r="EA96" s="58"/>
      <c r="EB96" s="58"/>
      <c r="EC96" s="58"/>
      <c r="ED96" s="58"/>
      <c r="EE96" s="58"/>
      <c r="EF96" s="58"/>
      <c r="EG96" s="58"/>
      <c r="EH96" s="58"/>
      <c r="EI96" s="58"/>
      <c r="EJ96" s="58"/>
      <c r="EK96" s="58"/>
      <c r="EL96" s="58"/>
      <c r="EM96" s="58"/>
      <c r="EN96" s="58"/>
      <c r="EO96" s="58"/>
      <c r="EP96" s="58"/>
      <c r="EQ96" s="58"/>
      <c r="ER96" s="58"/>
      <c r="ES96" s="58"/>
      <c r="ET96" s="58"/>
      <c r="EU96" s="58"/>
      <c r="EV96" s="58"/>
      <c r="EW96" s="58"/>
      <c r="EX96" s="58"/>
      <c r="EY96" s="58"/>
      <c r="EZ96" s="58"/>
      <c r="FA96" s="58"/>
      <c r="FB96" s="58"/>
      <c r="FC96" s="58"/>
      <c r="FD96" s="58"/>
      <c r="FE96" s="58"/>
      <c r="FF96" s="58"/>
      <c r="FG96" s="58"/>
      <c r="FH96" s="58"/>
      <c r="FI96" s="58"/>
      <c r="FJ96" s="58"/>
      <c r="FK96" s="58"/>
      <c r="FL96" s="58"/>
      <c r="FM96" s="58"/>
      <c r="FN96" s="58"/>
      <c r="FO96" s="58"/>
      <c r="FP96" s="58"/>
      <c r="FQ96" s="58"/>
      <c r="FR96" s="58"/>
      <c r="FS96" s="58"/>
      <c r="FT96" s="58"/>
      <c r="FU96" s="58"/>
      <c r="FV96" s="58"/>
      <c r="FW96" s="58"/>
      <c r="FX96" s="58"/>
      <c r="FY96" s="58"/>
      <c r="FZ96" s="59"/>
    </row>
    <row r="97" spans="1:182" hidden="1" outlineLevel="1" x14ac:dyDescent="0.2">
      <c r="Z97" s="71"/>
      <c r="AA97" s="72"/>
      <c r="AB97" s="72"/>
      <c r="AC97" s="72"/>
    </row>
    <row r="98" spans="1:182" s="6" customFormat="1" collapsed="1" x14ac:dyDescent="0.2">
      <c r="A98" s="73" t="s">
        <v>147</v>
      </c>
      <c r="B98" s="74">
        <v>0</v>
      </c>
      <c r="C98" s="74">
        <f>B98+1</f>
        <v>1</v>
      </c>
      <c r="D98" s="74">
        <f t="shared" ref="D98:BH98" si="378">C98+1</f>
        <v>2</v>
      </c>
      <c r="E98" s="74">
        <f t="shared" si="378"/>
        <v>3</v>
      </c>
      <c r="F98" s="74">
        <f t="shared" si="378"/>
        <v>4</v>
      </c>
      <c r="G98" s="74">
        <f t="shared" si="378"/>
        <v>5</v>
      </c>
      <c r="H98" s="74">
        <f t="shared" si="378"/>
        <v>6</v>
      </c>
      <c r="I98" s="74">
        <f t="shared" si="378"/>
        <v>7</v>
      </c>
      <c r="J98" s="74">
        <f t="shared" si="378"/>
        <v>8</v>
      </c>
      <c r="K98" s="74">
        <f t="shared" si="378"/>
        <v>9</v>
      </c>
      <c r="L98" s="74">
        <f t="shared" si="378"/>
        <v>10</v>
      </c>
      <c r="M98" s="74">
        <f t="shared" si="378"/>
        <v>11</v>
      </c>
      <c r="N98" s="74">
        <f t="shared" si="378"/>
        <v>12</v>
      </c>
      <c r="O98" s="74">
        <f t="shared" si="378"/>
        <v>13</v>
      </c>
      <c r="P98" s="74">
        <f t="shared" si="378"/>
        <v>14</v>
      </c>
      <c r="Q98" s="74">
        <f t="shared" si="378"/>
        <v>15</v>
      </c>
      <c r="R98" s="74">
        <f t="shared" si="378"/>
        <v>16</v>
      </c>
      <c r="S98" s="74">
        <f t="shared" si="378"/>
        <v>17</v>
      </c>
      <c r="T98" s="74">
        <f t="shared" si="378"/>
        <v>18</v>
      </c>
      <c r="U98" s="74">
        <f t="shared" si="378"/>
        <v>19</v>
      </c>
      <c r="V98" s="74">
        <f t="shared" si="378"/>
        <v>20</v>
      </c>
      <c r="W98" s="74">
        <f t="shared" si="378"/>
        <v>21</v>
      </c>
      <c r="X98" s="74">
        <f t="shared" si="378"/>
        <v>22</v>
      </c>
      <c r="Y98" s="74">
        <f t="shared" si="378"/>
        <v>23</v>
      </c>
      <c r="Z98" s="74">
        <f t="shared" si="378"/>
        <v>24</v>
      </c>
      <c r="AA98" s="74">
        <f t="shared" si="378"/>
        <v>25</v>
      </c>
      <c r="AB98" s="74">
        <f t="shared" si="378"/>
        <v>26</v>
      </c>
      <c r="AC98" s="74">
        <f t="shared" si="378"/>
        <v>27</v>
      </c>
      <c r="AD98" s="74">
        <f t="shared" si="378"/>
        <v>28</v>
      </c>
      <c r="AE98" s="74">
        <f t="shared" si="378"/>
        <v>29</v>
      </c>
      <c r="AF98" s="74">
        <f t="shared" si="378"/>
        <v>30</v>
      </c>
      <c r="AG98" s="74">
        <f t="shared" si="378"/>
        <v>31</v>
      </c>
      <c r="AH98" s="74">
        <f t="shared" si="378"/>
        <v>32</v>
      </c>
      <c r="AI98" s="74">
        <f t="shared" si="378"/>
        <v>33</v>
      </c>
      <c r="AJ98" s="74">
        <f t="shared" si="378"/>
        <v>34</v>
      </c>
      <c r="AK98" s="74">
        <f t="shared" si="378"/>
        <v>35</v>
      </c>
      <c r="AL98" s="74">
        <f t="shared" si="378"/>
        <v>36</v>
      </c>
      <c r="AM98" s="74">
        <f t="shared" si="378"/>
        <v>37</v>
      </c>
      <c r="AN98" s="74">
        <f t="shared" si="378"/>
        <v>38</v>
      </c>
      <c r="AO98" s="74">
        <f t="shared" si="378"/>
        <v>39</v>
      </c>
      <c r="AP98" s="74">
        <f t="shared" si="378"/>
        <v>40</v>
      </c>
      <c r="AQ98" s="74">
        <f t="shared" si="378"/>
        <v>41</v>
      </c>
      <c r="AR98" s="74">
        <f t="shared" si="378"/>
        <v>42</v>
      </c>
      <c r="AS98" s="74">
        <f t="shared" si="378"/>
        <v>43</v>
      </c>
      <c r="AT98" s="74">
        <f t="shared" si="378"/>
        <v>44</v>
      </c>
      <c r="AU98" s="74">
        <f t="shared" si="378"/>
        <v>45</v>
      </c>
      <c r="AV98" s="74">
        <f t="shared" si="378"/>
        <v>46</v>
      </c>
      <c r="AW98" s="74">
        <f t="shared" si="378"/>
        <v>47</v>
      </c>
      <c r="AX98" s="74">
        <f t="shared" si="378"/>
        <v>48</v>
      </c>
      <c r="AY98" s="74">
        <f t="shared" si="378"/>
        <v>49</v>
      </c>
      <c r="AZ98" s="74">
        <f t="shared" si="378"/>
        <v>50</v>
      </c>
      <c r="BA98" s="74">
        <f t="shared" si="378"/>
        <v>51</v>
      </c>
      <c r="BB98" s="74">
        <f t="shared" si="378"/>
        <v>52</v>
      </c>
      <c r="BC98" s="74">
        <f t="shared" si="378"/>
        <v>53</v>
      </c>
      <c r="BD98" s="74">
        <f t="shared" si="378"/>
        <v>54</v>
      </c>
      <c r="BE98" s="74">
        <f t="shared" si="378"/>
        <v>55</v>
      </c>
      <c r="BF98" s="74">
        <f t="shared" si="378"/>
        <v>56</v>
      </c>
      <c r="BG98" s="74">
        <f t="shared" si="378"/>
        <v>57</v>
      </c>
      <c r="BH98" s="74">
        <f t="shared" si="378"/>
        <v>58</v>
      </c>
      <c r="BI98" s="74">
        <f t="shared" ref="BI98" si="379">BH98+1</f>
        <v>59</v>
      </c>
      <c r="BJ98" s="74">
        <f t="shared" ref="BJ98" si="380">BI98+1</f>
        <v>60</v>
      </c>
      <c r="BK98" s="74">
        <f t="shared" ref="BK98" si="381">BJ98+1</f>
        <v>61</v>
      </c>
      <c r="BL98" s="74">
        <f t="shared" ref="BL98" si="382">BK98+1</f>
        <v>62</v>
      </c>
      <c r="BM98" s="74">
        <f t="shared" ref="BM98" si="383">BL98+1</f>
        <v>63</v>
      </c>
      <c r="BN98" s="74">
        <f t="shared" ref="BN98" si="384">BM98+1</f>
        <v>64</v>
      </c>
      <c r="BO98" s="74">
        <f t="shared" ref="BO98" si="385">BN98+1</f>
        <v>65</v>
      </c>
      <c r="BP98" s="74">
        <f t="shared" ref="BP98" si="386">BO98+1</f>
        <v>66</v>
      </c>
      <c r="BQ98" s="74">
        <f t="shared" ref="BQ98" si="387">BP98+1</f>
        <v>67</v>
      </c>
      <c r="BR98" s="74">
        <f t="shared" ref="BR98" si="388">BQ98+1</f>
        <v>68</v>
      </c>
      <c r="BS98" s="74">
        <f t="shared" ref="BS98" si="389">BR98+1</f>
        <v>69</v>
      </c>
      <c r="BT98" s="74">
        <f t="shared" ref="BT98" si="390">BS98+1</f>
        <v>70</v>
      </c>
      <c r="BU98" s="74">
        <f t="shared" ref="BU98" si="391">BT98+1</f>
        <v>71</v>
      </c>
      <c r="BV98" s="74">
        <f t="shared" ref="BV98" si="392">BU98+1</f>
        <v>72</v>
      </c>
      <c r="BW98" s="74">
        <f t="shared" ref="BW98" si="393">BV98+1</f>
        <v>73</v>
      </c>
      <c r="BX98" s="74">
        <f t="shared" ref="BX98" si="394">BW98+1</f>
        <v>74</v>
      </c>
      <c r="BY98" s="74">
        <f t="shared" ref="BY98" si="395">BX98+1</f>
        <v>75</v>
      </c>
      <c r="BZ98" s="74">
        <f t="shared" ref="BZ98" si="396">BY98+1</f>
        <v>76</v>
      </c>
      <c r="CA98" s="74">
        <f t="shared" ref="CA98" si="397">BZ98+1</f>
        <v>77</v>
      </c>
      <c r="CB98" s="74">
        <f t="shared" ref="CB98" si="398">CA98+1</f>
        <v>78</v>
      </c>
      <c r="CC98" s="74">
        <f t="shared" ref="CC98" si="399">CB98+1</f>
        <v>79</v>
      </c>
      <c r="CD98" s="74">
        <f t="shared" ref="CD98" si="400">CC98+1</f>
        <v>80</v>
      </c>
      <c r="CE98" s="74">
        <f t="shared" ref="CE98" si="401">CD98+1</f>
        <v>81</v>
      </c>
      <c r="CF98" s="74">
        <f t="shared" ref="CF98" si="402">CE98+1</f>
        <v>82</v>
      </c>
      <c r="CG98" s="74">
        <f t="shared" ref="CG98" si="403">CF98+1</f>
        <v>83</v>
      </c>
      <c r="CH98" s="74">
        <f t="shared" ref="CH98" si="404">CG98+1</f>
        <v>84</v>
      </c>
      <c r="CI98" s="74">
        <f t="shared" ref="CI98" si="405">CH98+1</f>
        <v>85</v>
      </c>
      <c r="CJ98" s="74">
        <f t="shared" ref="CJ98" si="406">CI98+1</f>
        <v>86</v>
      </c>
      <c r="CK98" s="74">
        <f t="shared" ref="CK98" si="407">CJ98+1</f>
        <v>87</v>
      </c>
      <c r="CL98" s="74">
        <f t="shared" ref="CL98" si="408">CK98+1</f>
        <v>88</v>
      </c>
      <c r="CM98" s="74">
        <f t="shared" ref="CM98" si="409">CL98+1</f>
        <v>89</v>
      </c>
      <c r="CN98" s="74">
        <f t="shared" ref="CN98" si="410">CM98+1</f>
        <v>90</v>
      </c>
      <c r="CO98" s="74">
        <f t="shared" ref="CO98" si="411">CN98+1</f>
        <v>91</v>
      </c>
      <c r="CP98" s="74">
        <f t="shared" ref="CP98" si="412">CO98+1</f>
        <v>92</v>
      </c>
      <c r="CQ98" s="74">
        <f t="shared" ref="CQ98" si="413">CP98+1</f>
        <v>93</v>
      </c>
      <c r="CR98" s="74">
        <f t="shared" ref="CR98" si="414">CQ98+1</f>
        <v>94</v>
      </c>
      <c r="CS98" s="74">
        <f t="shared" ref="CS98" si="415">CR98+1</f>
        <v>95</v>
      </c>
      <c r="CT98" s="74">
        <f t="shared" ref="CT98" si="416">CS98+1</f>
        <v>96</v>
      </c>
      <c r="CU98" s="74">
        <f t="shared" ref="CU98" si="417">CT98+1</f>
        <v>97</v>
      </c>
      <c r="CV98" s="74">
        <f t="shared" ref="CV98" si="418">CU98+1</f>
        <v>98</v>
      </c>
      <c r="CW98" s="74">
        <f t="shared" ref="CW98" si="419">CV98+1</f>
        <v>99</v>
      </c>
      <c r="CX98" s="74">
        <f t="shared" ref="CX98" si="420">CW98+1</f>
        <v>100</v>
      </c>
      <c r="CY98" s="74">
        <f t="shared" ref="CY98" si="421">CX98+1</f>
        <v>101</v>
      </c>
      <c r="CZ98" s="74">
        <f t="shared" ref="CZ98" si="422">CY98+1</f>
        <v>102</v>
      </c>
      <c r="DA98" s="74">
        <f t="shared" ref="DA98" si="423">CZ98+1</f>
        <v>103</v>
      </c>
      <c r="DB98" s="74">
        <f t="shared" ref="DB98" si="424">DA98+1</f>
        <v>104</v>
      </c>
      <c r="DC98" s="74">
        <f t="shared" ref="DC98" si="425">DB98+1</f>
        <v>105</v>
      </c>
      <c r="DD98" s="74">
        <f t="shared" ref="DD98" si="426">DC98+1</f>
        <v>106</v>
      </c>
      <c r="DE98" s="74">
        <f t="shared" ref="DE98" si="427">DD98+1</f>
        <v>107</v>
      </c>
      <c r="DF98" s="74">
        <f t="shared" ref="DF98" si="428">DE98+1</f>
        <v>108</v>
      </c>
      <c r="DG98" s="74">
        <f t="shared" ref="DG98" si="429">DF98+1</f>
        <v>109</v>
      </c>
      <c r="DH98" s="74">
        <f t="shared" ref="DH98" si="430">DG98+1</f>
        <v>110</v>
      </c>
      <c r="DI98" s="74">
        <f t="shared" ref="DI98" si="431">DH98+1</f>
        <v>111</v>
      </c>
      <c r="DJ98" s="74">
        <f t="shared" ref="DJ98" si="432">DI98+1</f>
        <v>112</v>
      </c>
      <c r="DK98" s="74">
        <f t="shared" ref="DK98" si="433">DJ98+1</f>
        <v>113</v>
      </c>
      <c r="DL98" s="74">
        <f t="shared" ref="DL98" si="434">DK98+1</f>
        <v>114</v>
      </c>
      <c r="DM98" s="74">
        <f t="shared" ref="DM98" si="435">DL98+1</f>
        <v>115</v>
      </c>
      <c r="DN98" s="74">
        <f t="shared" ref="DN98" si="436">DM98+1</f>
        <v>116</v>
      </c>
      <c r="DO98" s="74">
        <f t="shared" ref="DO98" si="437">DN98+1</f>
        <v>117</v>
      </c>
      <c r="DP98" s="74">
        <f t="shared" ref="DP98" si="438">DO98+1</f>
        <v>118</v>
      </c>
      <c r="DQ98" s="74">
        <f t="shared" ref="DQ98" si="439">DP98+1</f>
        <v>119</v>
      </c>
      <c r="DR98" s="74">
        <f t="shared" ref="DR98" si="440">DQ98+1</f>
        <v>120</v>
      </c>
      <c r="DS98" s="74">
        <f t="shared" ref="DS98" si="441">DR98+1</f>
        <v>121</v>
      </c>
      <c r="DT98" s="74">
        <f t="shared" ref="DT98" si="442">DS98+1</f>
        <v>122</v>
      </c>
      <c r="DU98" s="74">
        <f t="shared" ref="DU98" si="443">DT98+1</f>
        <v>123</v>
      </c>
      <c r="DV98" s="74">
        <f t="shared" ref="DV98" si="444">DU98+1</f>
        <v>124</v>
      </c>
      <c r="DW98" s="74">
        <f t="shared" ref="DW98" si="445">DV98+1</f>
        <v>125</v>
      </c>
      <c r="DX98" s="74">
        <f t="shared" ref="DX98" si="446">DW98+1</f>
        <v>126</v>
      </c>
      <c r="DY98" s="74">
        <f t="shared" ref="DY98" si="447">DX98+1</f>
        <v>127</v>
      </c>
      <c r="DZ98" s="74">
        <f t="shared" ref="DZ98" si="448">DY98+1</f>
        <v>128</v>
      </c>
      <c r="EA98" s="74">
        <f t="shared" ref="EA98" si="449">DZ98+1</f>
        <v>129</v>
      </c>
      <c r="EB98" s="74">
        <f t="shared" ref="EB98" si="450">EA98+1</f>
        <v>130</v>
      </c>
      <c r="EC98" s="74">
        <f t="shared" ref="EC98" si="451">EB98+1</f>
        <v>131</v>
      </c>
      <c r="ED98" s="74">
        <f t="shared" ref="ED98" si="452">EC98+1</f>
        <v>132</v>
      </c>
      <c r="EE98" s="74">
        <f t="shared" ref="EE98" si="453">ED98+1</f>
        <v>133</v>
      </c>
      <c r="EF98" s="74">
        <f t="shared" ref="EF98" si="454">EE98+1</f>
        <v>134</v>
      </c>
      <c r="EG98" s="74">
        <f t="shared" ref="EG98" si="455">EF98+1</f>
        <v>135</v>
      </c>
      <c r="EH98" s="74">
        <f t="shared" ref="EH98" si="456">EG98+1</f>
        <v>136</v>
      </c>
      <c r="EI98" s="74">
        <f t="shared" ref="EI98" si="457">EH98+1</f>
        <v>137</v>
      </c>
      <c r="EJ98" s="74">
        <f t="shared" ref="EJ98" si="458">EI98+1</f>
        <v>138</v>
      </c>
      <c r="EK98" s="74">
        <f t="shared" ref="EK98" si="459">EJ98+1</f>
        <v>139</v>
      </c>
      <c r="EL98" s="74">
        <f t="shared" ref="EL98" si="460">EK98+1</f>
        <v>140</v>
      </c>
      <c r="EM98" s="74">
        <f t="shared" ref="EM98" si="461">EL98+1</f>
        <v>141</v>
      </c>
      <c r="EN98" s="74">
        <f t="shared" ref="EN98" si="462">EM98+1</f>
        <v>142</v>
      </c>
      <c r="EO98" s="74">
        <f t="shared" ref="EO98" si="463">EN98+1</f>
        <v>143</v>
      </c>
      <c r="EP98" s="74">
        <f t="shared" ref="EP98" si="464">EO98+1</f>
        <v>144</v>
      </c>
      <c r="EQ98" s="74">
        <f t="shared" ref="EQ98" si="465">EP98+1</f>
        <v>145</v>
      </c>
      <c r="ER98" s="74">
        <f t="shared" ref="ER98" si="466">EQ98+1</f>
        <v>146</v>
      </c>
      <c r="ES98" s="74">
        <f t="shared" ref="ES98" si="467">ER98+1</f>
        <v>147</v>
      </c>
      <c r="ET98" s="74">
        <f t="shared" ref="ET98" si="468">ES98+1</f>
        <v>148</v>
      </c>
      <c r="EU98" s="74">
        <f t="shared" ref="EU98" si="469">ET98+1</f>
        <v>149</v>
      </c>
      <c r="EV98" s="74">
        <f t="shared" ref="EV98" si="470">EU98+1</f>
        <v>150</v>
      </c>
      <c r="EW98" s="74">
        <f t="shared" ref="EW98" si="471">EV98+1</f>
        <v>151</v>
      </c>
      <c r="EX98" s="74">
        <f t="shared" ref="EX98" si="472">EW98+1</f>
        <v>152</v>
      </c>
      <c r="EY98" s="74">
        <f t="shared" ref="EY98" si="473">EX98+1</f>
        <v>153</v>
      </c>
      <c r="EZ98" s="74">
        <f t="shared" ref="EZ98" si="474">EY98+1</f>
        <v>154</v>
      </c>
      <c r="FA98" s="74">
        <f t="shared" ref="FA98" si="475">EZ98+1</f>
        <v>155</v>
      </c>
      <c r="FB98" s="74">
        <f t="shared" ref="FB98" si="476">FA98+1</f>
        <v>156</v>
      </c>
      <c r="FC98" s="74">
        <f t="shared" ref="FC98" si="477">FB98+1</f>
        <v>157</v>
      </c>
      <c r="FD98" s="74">
        <f t="shared" ref="FD98" si="478">FC98+1</f>
        <v>158</v>
      </c>
      <c r="FE98" s="74">
        <f t="shared" ref="FE98" si="479">FD98+1</f>
        <v>159</v>
      </c>
      <c r="FF98" s="74">
        <f t="shared" ref="FF98" si="480">FE98+1</f>
        <v>160</v>
      </c>
      <c r="FG98" s="74">
        <f t="shared" ref="FG98" si="481">FF98+1</f>
        <v>161</v>
      </c>
      <c r="FH98" s="74">
        <f t="shared" ref="FH98" si="482">FG98+1</f>
        <v>162</v>
      </c>
      <c r="FI98" s="74">
        <f t="shared" ref="FI98" si="483">FH98+1</f>
        <v>163</v>
      </c>
      <c r="FJ98" s="74">
        <f t="shared" ref="FJ98" si="484">FI98+1</f>
        <v>164</v>
      </c>
      <c r="FK98" s="74">
        <f t="shared" ref="FK98" si="485">FJ98+1</f>
        <v>165</v>
      </c>
      <c r="FL98" s="74">
        <f t="shared" ref="FL98" si="486">FK98+1</f>
        <v>166</v>
      </c>
      <c r="FM98" s="74">
        <f t="shared" ref="FM98" si="487">FL98+1</f>
        <v>167</v>
      </c>
      <c r="FN98" s="74">
        <f t="shared" ref="FN98" si="488">FM98+1</f>
        <v>168</v>
      </c>
      <c r="FO98" s="74">
        <f t="shared" ref="FO98" si="489">FN98+1</f>
        <v>169</v>
      </c>
      <c r="FP98" s="74">
        <f t="shared" ref="FP98" si="490">FO98+1</f>
        <v>170</v>
      </c>
      <c r="FQ98" s="74">
        <f t="shared" ref="FQ98" si="491">FP98+1</f>
        <v>171</v>
      </c>
      <c r="FR98" s="74">
        <f t="shared" ref="FR98" si="492">FQ98+1</f>
        <v>172</v>
      </c>
      <c r="FS98" s="74">
        <f t="shared" ref="FS98" si="493">FR98+1</f>
        <v>173</v>
      </c>
      <c r="FT98" s="74">
        <f t="shared" ref="FT98" si="494">FS98+1</f>
        <v>174</v>
      </c>
      <c r="FU98" s="74">
        <f t="shared" ref="FU98" si="495">FT98+1</f>
        <v>175</v>
      </c>
      <c r="FV98" s="74">
        <f t="shared" ref="FV98" si="496">FU98+1</f>
        <v>176</v>
      </c>
      <c r="FW98" s="74">
        <f t="shared" ref="FW98" si="497">FV98+1</f>
        <v>177</v>
      </c>
      <c r="FX98" s="74">
        <f t="shared" ref="FX98" si="498">FW98+1</f>
        <v>178</v>
      </c>
      <c r="FY98" s="74">
        <f t="shared" ref="FY98" si="499">FX98+1</f>
        <v>179</v>
      </c>
      <c r="FZ98" s="75"/>
    </row>
    <row r="99" spans="1:182" x14ac:dyDescent="0.2">
      <c r="A99" s="76" t="s">
        <v>267</v>
      </c>
      <c r="B99" s="77">
        <f t="shared" ref="B99:AG99" si="500">((1+B2)^(1/12)-1)</f>
        <v>4.3684958147485187E-3</v>
      </c>
      <c r="C99" s="77">
        <f>((1+C2)^(1/12)-1)</f>
        <v>4.3684958147485187E-3</v>
      </c>
      <c r="D99" s="77">
        <f t="shared" si="500"/>
        <v>4.3684958147485187E-3</v>
      </c>
      <c r="E99" s="77">
        <f t="shared" si="500"/>
        <v>4.3684958147485187E-3</v>
      </c>
      <c r="F99" s="77">
        <f t="shared" si="500"/>
        <v>4.3684958147485187E-3</v>
      </c>
      <c r="G99" s="77">
        <f t="shared" si="500"/>
        <v>4.3684958147485187E-3</v>
      </c>
      <c r="H99" s="77">
        <f t="shared" si="500"/>
        <v>4.3684958147485187E-3</v>
      </c>
      <c r="I99" s="77">
        <f t="shared" si="500"/>
        <v>4.3684958147485187E-3</v>
      </c>
      <c r="J99" s="77">
        <f t="shared" si="500"/>
        <v>4.3684958147485187E-3</v>
      </c>
      <c r="K99" s="77">
        <f t="shared" si="500"/>
        <v>4.3684958147485187E-3</v>
      </c>
      <c r="L99" s="77">
        <f t="shared" si="500"/>
        <v>4.3684958147485187E-3</v>
      </c>
      <c r="M99" s="77">
        <f t="shared" si="500"/>
        <v>4.3684958147485187E-3</v>
      </c>
      <c r="N99" s="77">
        <f t="shared" si="500"/>
        <v>4.3684958147485187E-3</v>
      </c>
      <c r="O99" s="77">
        <f t="shared" si="500"/>
        <v>4.3684958147485187E-3</v>
      </c>
      <c r="P99" s="77">
        <f t="shared" si="500"/>
        <v>4.3684958147485187E-3</v>
      </c>
      <c r="Q99" s="77">
        <f t="shared" si="500"/>
        <v>4.3684958147485187E-3</v>
      </c>
      <c r="R99" s="77">
        <f t="shared" si="500"/>
        <v>4.3684958147485187E-3</v>
      </c>
      <c r="S99" s="77">
        <f t="shared" si="500"/>
        <v>4.3684958147485187E-3</v>
      </c>
      <c r="T99" s="77">
        <f t="shared" si="500"/>
        <v>4.3684958147485187E-3</v>
      </c>
      <c r="U99" s="77">
        <f t="shared" si="500"/>
        <v>4.3684958147485187E-3</v>
      </c>
      <c r="V99" s="77">
        <f t="shared" si="500"/>
        <v>4.3684958147485187E-3</v>
      </c>
      <c r="W99" s="77">
        <f t="shared" si="500"/>
        <v>4.3684958147485187E-3</v>
      </c>
      <c r="X99" s="77">
        <f t="shared" si="500"/>
        <v>4.3684958147485187E-3</v>
      </c>
      <c r="Y99" s="77">
        <f t="shared" si="500"/>
        <v>4.3684958147485187E-3</v>
      </c>
      <c r="Z99" s="77">
        <f t="shared" si="500"/>
        <v>4.3684958147485187E-3</v>
      </c>
      <c r="AA99" s="77">
        <f t="shared" si="500"/>
        <v>4.3684958147485187E-3</v>
      </c>
      <c r="AB99" s="77">
        <f t="shared" si="500"/>
        <v>4.3684958147485187E-3</v>
      </c>
      <c r="AC99" s="77">
        <f t="shared" si="500"/>
        <v>4.3684958147485187E-3</v>
      </c>
      <c r="AD99" s="77">
        <f t="shared" si="500"/>
        <v>4.3684958147485187E-3</v>
      </c>
      <c r="AE99" s="77">
        <f t="shared" si="500"/>
        <v>4.3684958147485187E-3</v>
      </c>
      <c r="AF99" s="77">
        <f t="shared" si="500"/>
        <v>4.3684958147485187E-3</v>
      </c>
      <c r="AG99" s="77">
        <f t="shared" si="500"/>
        <v>4.3684958147485187E-3</v>
      </c>
      <c r="AH99" s="77">
        <f t="shared" ref="AH99:BH99" si="501">((1+AH2)^(1/12)-1)</f>
        <v>4.3684958147485187E-3</v>
      </c>
      <c r="AI99" s="77">
        <f t="shared" si="501"/>
        <v>4.3684958147485187E-3</v>
      </c>
      <c r="AJ99" s="77">
        <f t="shared" si="501"/>
        <v>4.3684958147485187E-3</v>
      </c>
      <c r="AK99" s="77">
        <f t="shared" si="501"/>
        <v>4.3684958147485187E-3</v>
      </c>
      <c r="AL99" s="77">
        <f t="shared" si="501"/>
        <v>4.3684958147485187E-3</v>
      </c>
      <c r="AM99" s="77">
        <f t="shared" si="501"/>
        <v>4.3684958147485187E-3</v>
      </c>
      <c r="AN99" s="77">
        <f t="shared" si="501"/>
        <v>4.3684958147485187E-3</v>
      </c>
      <c r="AO99" s="77">
        <f t="shared" si="501"/>
        <v>4.3684958147485187E-3</v>
      </c>
      <c r="AP99" s="77">
        <f t="shared" si="501"/>
        <v>4.3684958147485187E-3</v>
      </c>
      <c r="AQ99" s="77">
        <f t="shared" si="501"/>
        <v>4.3684958147485187E-3</v>
      </c>
      <c r="AR99" s="77">
        <f t="shared" si="501"/>
        <v>4.3684958147485187E-3</v>
      </c>
      <c r="AS99" s="77">
        <f t="shared" si="501"/>
        <v>4.3684958147485187E-3</v>
      </c>
      <c r="AT99" s="77">
        <f t="shared" si="501"/>
        <v>4.3684958147485187E-3</v>
      </c>
      <c r="AU99" s="77">
        <f t="shared" si="501"/>
        <v>4.3684958147485187E-3</v>
      </c>
      <c r="AV99" s="77">
        <f t="shared" si="501"/>
        <v>4.3684958147485187E-3</v>
      </c>
      <c r="AW99" s="77">
        <f t="shared" si="501"/>
        <v>4.3684958147485187E-3</v>
      </c>
      <c r="AX99" s="77">
        <f t="shared" si="501"/>
        <v>4.3684958147485187E-3</v>
      </c>
      <c r="AY99" s="77">
        <f t="shared" si="501"/>
        <v>4.3684958147485187E-3</v>
      </c>
      <c r="AZ99" s="77">
        <f t="shared" si="501"/>
        <v>4.3684958147485187E-3</v>
      </c>
      <c r="BA99" s="77">
        <f t="shared" si="501"/>
        <v>4.3684958147485187E-3</v>
      </c>
      <c r="BB99" s="77">
        <f t="shared" si="501"/>
        <v>4.3684958147485187E-3</v>
      </c>
      <c r="BC99" s="77">
        <f t="shared" si="501"/>
        <v>4.3684958147485187E-3</v>
      </c>
      <c r="BD99" s="77">
        <f t="shared" si="501"/>
        <v>4.3684958147485187E-3</v>
      </c>
      <c r="BE99" s="77">
        <f t="shared" si="501"/>
        <v>4.3684958147485187E-3</v>
      </c>
      <c r="BF99" s="77">
        <f t="shared" si="501"/>
        <v>4.3684958147485187E-3</v>
      </c>
      <c r="BG99" s="77">
        <f t="shared" si="501"/>
        <v>4.3684958147485187E-3</v>
      </c>
      <c r="BH99" s="77">
        <f t="shared" si="501"/>
        <v>4.3684958147485187E-3</v>
      </c>
      <c r="BI99" s="77">
        <f t="shared" ref="BI99:DP99" si="502">((1+BI2)^(1/12)-1)</f>
        <v>4.3684958147485187E-3</v>
      </c>
      <c r="BJ99" s="77">
        <f t="shared" si="502"/>
        <v>4.3684958147485187E-3</v>
      </c>
      <c r="BK99" s="77">
        <f t="shared" si="502"/>
        <v>4.3684958147485187E-3</v>
      </c>
      <c r="BL99" s="77">
        <f t="shared" si="502"/>
        <v>4.3684958147485187E-3</v>
      </c>
      <c r="BM99" s="77">
        <f t="shared" si="502"/>
        <v>4.3684958147485187E-3</v>
      </c>
      <c r="BN99" s="77">
        <f t="shared" si="502"/>
        <v>4.3684958147485187E-3</v>
      </c>
      <c r="BO99" s="77">
        <f t="shared" si="502"/>
        <v>4.3684958147485187E-3</v>
      </c>
      <c r="BP99" s="77">
        <f t="shared" si="502"/>
        <v>4.3684958147485187E-3</v>
      </c>
      <c r="BQ99" s="77">
        <f t="shared" si="502"/>
        <v>4.3684958147485187E-3</v>
      </c>
      <c r="BR99" s="77">
        <f t="shared" si="502"/>
        <v>4.3684958147485187E-3</v>
      </c>
      <c r="BS99" s="77">
        <f t="shared" si="502"/>
        <v>4.3684958147485187E-3</v>
      </c>
      <c r="BT99" s="77">
        <f t="shared" si="502"/>
        <v>4.3684958147485187E-3</v>
      </c>
      <c r="BU99" s="77">
        <f t="shared" si="502"/>
        <v>4.3684958147485187E-3</v>
      </c>
      <c r="BV99" s="77">
        <f t="shared" si="502"/>
        <v>4.3684958147485187E-3</v>
      </c>
      <c r="BW99" s="77">
        <f t="shared" si="502"/>
        <v>4.3684958147485187E-3</v>
      </c>
      <c r="BX99" s="77">
        <f t="shared" si="502"/>
        <v>4.3684958147485187E-3</v>
      </c>
      <c r="BY99" s="77">
        <f t="shared" si="502"/>
        <v>4.3684958147485187E-3</v>
      </c>
      <c r="BZ99" s="77">
        <f t="shared" si="502"/>
        <v>4.3684958147485187E-3</v>
      </c>
      <c r="CA99" s="77">
        <f t="shared" si="502"/>
        <v>4.3684958147485187E-3</v>
      </c>
      <c r="CB99" s="77">
        <f t="shared" si="502"/>
        <v>4.3684958147485187E-3</v>
      </c>
      <c r="CC99" s="77">
        <f t="shared" si="502"/>
        <v>4.3684958147485187E-3</v>
      </c>
      <c r="CD99" s="77">
        <f t="shared" si="502"/>
        <v>4.3684958147485187E-3</v>
      </c>
      <c r="CE99" s="77">
        <f t="shared" si="502"/>
        <v>4.3684958147485187E-3</v>
      </c>
      <c r="CF99" s="77">
        <f t="shared" si="502"/>
        <v>4.3684958147485187E-3</v>
      </c>
      <c r="CG99" s="77">
        <f t="shared" si="502"/>
        <v>4.3684958147485187E-3</v>
      </c>
      <c r="CH99" s="77">
        <f t="shared" si="502"/>
        <v>4.3684958147485187E-3</v>
      </c>
      <c r="CI99" s="77">
        <f t="shared" si="502"/>
        <v>4.3684958147485187E-3</v>
      </c>
      <c r="CJ99" s="77">
        <f t="shared" si="502"/>
        <v>4.3684958147485187E-3</v>
      </c>
      <c r="CK99" s="77">
        <f t="shared" si="502"/>
        <v>4.3684958147485187E-3</v>
      </c>
      <c r="CL99" s="77">
        <f t="shared" si="502"/>
        <v>4.3684958147485187E-3</v>
      </c>
      <c r="CM99" s="77">
        <f t="shared" si="502"/>
        <v>4.3684958147485187E-3</v>
      </c>
      <c r="CN99" s="77">
        <f t="shared" si="502"/>
        <v>4.3684958147485187E-3</v>
      </c>
      <c r="CO99" s="77">
        <f t="shared" si="502"/>
        <v>4.3684958147485187E-3</v>
      </c>
      <c r="CP99" s="77">
        <f t="shared" si="502"/>
        <v>4.3684958147485187E-3</v>
      </c>
      <c r="CQ99" s="77">
        <f t="shared" si="502"/>
        <v>4.3684958147485187E-3</v>
      </c>
      <c r="CR99" s="77">
        <f t="shared" si="502"/>
        <v>4.3684958147485187E-3</v>
      </c>
      <c r="CS99" s="77">
        <f t="shared" si="502"/>
        <v>4.3684958147485187E-3</v>
      </c>
      <c r="CT99" s="77">
        <f t="shared" si="502"/>
        <v>4.3684958147485187E-3</v>
      </c>
      <c r="CU99" s="77">
        <f t="shared" si="502"/>
        <v>4.3684958147485187E-3</v>
      </c>
      <c r="CV99" s="77">
        <f t="shared" si="502"/>
        <v>4.3684958147485187E-3</v>
      </c>
      <c r="CW99" s="77">
        <f t="shared" si="502"/>
        <v>4.3684958147485187E-3</v>
      </c>
      <c r="CX99" s="77">
        <f t="shared" si="502"/>
        <v>4.3684958147485187E-3</v>
      </c>
      <c r="CY99" s="77">
        <f t="shared" si="502"/>
        <v>4.3684958147485187E-3</v>
      </c>
      <c r="CZ99" s="77">
        <f t="shared" si="502"/>
        <v>4.3684958147485187E-3</v>
      </c>
      <c r="DA99" s="77">
        <f t="shared" si="502"/>
        <v>4.3684958147485187E-3</v>
      </c>
      <c r="DB99" s="77">
        <f t="shared" si="502"/>
        <v>4.3684958147485187E-3</v>
      </c>
      <c r="DC99" s="77">
        <f t="shared" si="502"/>
        <v>4.3684958147485187E-3</v>
      </c>
      <c r="DD99" s="77">
        <f t="shared" si="502"/>
        <v>4.3684958147485187E-3</v>
      </c>
      <c r="DE99" s="77">
        <f t="shared" si="502"/>
        <v>4.3684958147485187E-3</v>
      </c>
      <c r="DF99" s="77">
        <f t="shared" si="502"/>
        <v>4.3684958147485187E-3</v>
      </c>
      <c r="DG99" s="77">
        <f t="shared" si="502"/>
        <v>4.3684958147485187E-3</v>
      </c>
      <c r="DH99" s="77">
        <f t="shared" si="502"/>
        <v>4.3684958147485187E-3</v>
      </c>
      <c r="DI99" s="77">
        <f t="shared" si="502"/>
        <v>4.3684958147485187E-3</v>
      </c>
      <c r="DJ99" s="77">
        <f t="shared" si="502"/>
        <v>4.3684958147485187E-3</v>
      </c>
      <c r="DK99" s="77">
        <f t="shared" si="502"/>
        <v>4.3684958147485187E-3</v>
      </c>
      <c r="DL99" s="77">
        <f t="shared" si="502"/>
        <v>4.3684958147485187E-3</v>
      </c>
      <c r="DM99" s="77">
        <f t="shared" si="502"/>
        <v>4.3684958147485187E-3</v>
      </c>
      <c r="DN99" s="77">
        <f t="shared" si="502"/>
        <v>4.3684958147485187E-3</v>
      </c>
      <c r="DO99" s="77">
        <f t="shared" si="502"/>
        <v>4.3684958147485187E-3</v>
      </c>
      <c r="DP99" s="77">
        <f t="shared" si="502"/>
        <v>4.3684958147485187E-3</v>
      </c>
      <c r="DQ99" s="77">
        <f t="shared" ref="DQ99:FY99" si="503">((1+DQ2)^(1/12)-1)</f>
        <v>4.3684958147485187E-3</v>
      </c>
      <c r="DR99" s="77">
        <f t="shared" si="503"/>
        <v>4.3684958147485187E-3</v>
      </c>
      <c r="DS99" s="77">
        <f t="shared" si="503"/>
        <v>4.3684958147485187E-3</v>
      </c>
      <c r="DT99" s="77">
        <f t="shared" si="503"/>
        <v>4.3684958147485187E-3</v>
      </c>
      <c r="DU99" s="77">
        <f t="shared" si="503"/>
        <v>4.3684958147485187E-3</v>
      </c>
      <c r="DV99" s="77">
        <f t="shared" si="503"/>
        <v>4.3684958147485187E-3</v>
      </c>
      <c r="DW99" s="77">
        <f t="shared" si="503"/>
        <v>4.3684958147485187E-3</v>
      </c>
      <c r="DX99" s="77">
        <f t="shared" si="503"/>
        <v>4.3684958147485187E-3</v>
      </c>
      <c r="DY99" s="77">
        <f t="shared" si="503"/>
        <v>4.3684958147485187E-3</v>
      </c>
      <c r="DZ99" s="77">
        <f t="shared" si="503"/>
        <v>4.3684958147485187E-3</v>
      </c>
      <c r="EA99" s="77">
        <f t="shared" si="503"/>
        <v>4.3684958147485187E-3</v>
      </c>
      <c r="EB99" s="77">
        <f t="shared" si="503"/>
        <v>4.3684958147485187E-3</v>
      </c>
      <c r="EC99" s="77">
        <f t="shared" si="503"/>
        <v>4.3684958147485187E-3</v>
      </c>
      <c r="ED99" s="77">
        <f t="shared" si="503"/>
        <v>4.3684958147485187E-3</v>
      </c>
      <c r="EE99" s="77">
        <f t="shared" si="503"/>
        <v>4.3684958147485187E-3</v>
      </c>
      <c r="EF99" s="77">
        <f t="shared" si="503"/>
        <v>4.3684958147485187E-3</v>
      </c>
      <c r="EG99" s="77">
        <f t="shared" si="503"/>
        <v>4.3684958147485187E-3</v>
      </c>
      <c r="EH99" s="77">
        <f t="shared" si="503"/>
        <v>4.3684958147485187E-3</v>
      </c>
      <c r="EI99" s="77">
        <f t="shared" si="503"/>
        <v>4.3684958147485187E-3</v>
      </c>
      <c r="EJ99" s="77">
        <f t="shared" si="503"/>
        <v>4.3684958147485187E-3</v>
      </c>
      <c r="EK99" s="77">
        <f t="shared" si="503"/>
        <v>4.3684958147485187E-3</v>
      </c>
      <c r="EL99" s="77">
        <f t="shared" si="503"/>
        <v>4.3684958147485187E-3</v>
      </c>
      <c r="EM99" s="77">
        <f t="shared" si="503"/>
        <v>4.3684958147485187E-3</v>
      </c>
      <c r="EN99" s="77">
        <f t="shared" si="503"/>
        <v>4.3684958147485187E-3</v>
      </c>
      <c r="EO99" s="77">
        <f t="shared" si="503"/>
        <v>4.3684958147485187E-3</v>
      </c>
      <c r="EP99" s="77">
        <f t="shared" si="503"/>
        <v>4.3684958147485187E-3</v>
      </c>
      <c r="EQ99" s="77">
        <f t="shared" si="503"/>
        <v>4.3684958147485187E-3</v>
      </c>
      <c r="ER99" s="77">
        <f t="shared" si="503"/>
        <v>4.3684958147485187E-3</v>
      </c>
      <c r="ES99" s="77">
        <f t="shared" si="503"/>
        <v>4.3684958147485187E-3</v>
      </c>
      <c r="ET99" s="77">
        <f t="shared" si="503"/>
        <v>4.3684958147485187E-3</v>
      </c>
      <c r="EU99" s="77">
        <f t="shared" si="503"/>
        <v>4.3684958147485187E-3</v>
      </c>
      <c r="EV99" s="77">
        <f t="shared" si="503"/>
        <v>4.3684958147485187E-3</v>
      </c>
      <c r="EW99" s="77">
        <f t="shared" si="503"/>
        <v>4.3684958147485187E-3</v>
      </c>
      <c r="EX99" s="77">
        <f t="shared" si="503"/>
        <v>4.3684958147485187E-3</v>
      </c>
      <c r="EY99" s="77">
        <f t="shared" si="503"/>
        <v>4.3684958147485187E-3</v>
      </c>
      <c r="EZ99" s="77">
        <f t="shared" si="503"/>
        <v>4.3684958147485187E-3</v>
      </c>
      <c r="FA99" s="77">
        <f t="shared" si="503"/>
        <v>4.3684958147485187E-3</v>
      </c>
      <c r="FB99" s="77">
        <f t="shared" si="503"/>
        <v>4.3684958147485187E-3</v>
      </c>
      <c r="FC99" s="77">
        <f t="shared" si="503"/>
        <v>4.3684958147485187E-3</v>
      </c>
      <c r="FD99" s="77">
        <f t="shared" si="503"/>
        <v>4.3684958147485187E-3</v>
      </c>
      <c r="FE99" s="77">
        <f t="shared" si="503"/>
        <v>4.3684958147485187E-3</v>
      </c>
      <c r="FF99" s="77">
        <f t="shared" si="503"/>
        <v>4.3684958147485187E-3</v>
      </c>
      <c r="FG99" s="77">
        <f t="shared" si="503"/>
        <v>4.3684958147485187E-3</v>
      </c>
      <c r="FH99" s="77">
        <f t="shared" si="503"/>
        <v>4.3684958147485187E-3</v>
      </c>
      <c r="FI99" s="77">
        <f t="shared" si="503"/>
        <v>4.3684958147485187E-3</v>
      </c>
      <c r="FJ99" s="77">
        <f t="shared" si="503"/>
        <v>4.3684958147485187E-3</v>
      </c>
      <c r="FK99" s="77">
        <f t="shared" si="503"/>
        <v>4.3684958147485187E-3</v>
      </c>
      <c r="FL99" s="77">
        <f t="shared" si="503"/>
        <v>4.3684958147485187E-3</v>
      </c>
      <c r="FM99" s="77">
        <f t="shared" si="503"/>
        <v>4.3684958147485187E-3</v>
      </c>
      <c r="FN99" s="77">
        <f t="shared" si="503"/>
        <v>4.3684958147485187E-3</v>
      </c>
      <c r="FO99" s="77">
        <f t="shared" si="503"/>
        <v>4.3684958147485187E-3</v>
      </c>
      <c r="FP99" s="77">
        <f t="shared" si="503"/>
        <v>4.3684958147485187E-3</v>
      </c>
      <c r="FQ99" s="77">
        <f t="shared" si="503"/>
        <v>4.3684958147485187E-3</v>
      </c>
      <c r="FR99" s="77">
        <f t="shared" si="503"/>
        <v>4.3684958147485187E-3</v>
      </c>
      <c r="FS99" s="77">
        <f t="shared" si="503"/>
        <v>4.3684958147485187E-3</v>
      </c>
      <c r="FT99" s="77">
        <f t="shared" si="503"/>
        <v>4.3684958147485187E-3</v>
      </c>
      <c r="FU99" s="77">
        <f t="shared" si="503"/>
        <v>4.3684958147485187E-3</v>
      </c>
      <c r="FV99" s="77">
        <f t="shared" si="503"/>
        <v>4.3684958147485187E-3</v>
      </c>
      <c r="FW99" s="77">
        <f t="shared" si="503"/>
        <v>4.3684958147485187E-3</v>
      </c>
      <c r="FX99" s="77">
        <f t="shared" si="503"/>
        <v>4.3684958147485187E-3</v>
      </c>
      <c r="FY99" s="77">
        <f t="shared" si="503"/>
        <v>4.3684958147485187E-3</v>
      </c>
      <c r="FZ99" s="78"/>
    </row>
    <row r="100" spans="1:182" x14ac:dyDescent="0.2">
      <c r="A100" s="76" t="s">
        <v>185</v>
      </c>
      <c r="B100" s="79">
        <f>(1+B99)</f>
        <v>1.0043684958147485</v>
      </c>
      <c r="C100" s="79">
        <f t="shared" ref="C100:BH100" si="504">(1+C99)</f>
        <v>1.0043684958147485</v>
      </c>
      <c r="D100" s="79">
        <f t="shared" si="504"/>
        <v>1.0043684958147485</v>
      </c>
      <c r="E100" s="79">
        <f t="shared" si="504"/>
        <v>1.0043684958147485</v>
      </c>
      <c r="F100" s="79">
        <f t="shared" si="504"/>
        <v>1.0043684958147485</v>
      </c>
      <c r="G100" s="79">
        <f t="shared" si="504"/>
        <v>1.0043684958147485</v>
      </c>
      <c r="H100" s="79">
        <f t="shared" si="504"/>
        <v>1.0043684958147485</v>
      </c>
      <c r="I100" s="79">
        <f t="shared" si="504"/>
        <v>1.0043684958147485</v>
      </c>
      <c r="J100" s="79">
        <f t="shared" si="504"/>
        <v>1.0043684958147485</v>
      </c>
      <c r="K100" s="79">
        <f t="shared" si="504"/>
        <v>1.0043684958147485</v>
      </c>
      <c r="L100" s="79">
        <f t="shared" si="504"/>
        <v>1.0043684958147485</v>
      </c>
      <c r="M100" s="79">
        <f t="shared" si="504"/>
        <v>1.0043684958147485</v>
      </c>
      <c r="N100" s="79">
        <f t="shared" si="504"/>
        <v>1.0043684958147485</v>
      </c>
      <c r="O100" s="79">
        <f t="shared" si="504"/>
        <v>1.0043684958147485</v>
      </c>
      <c r="P100" s="79">
        <f t="shared" si="504"/>
        <v>1.0043684958147485</v>
      </c>
      <c r="Q100" s="79">
        <f t="shared" si="504"/>
        <v>1.0043684958147485</v>
      </c>
      <c r="R100" s="79">
        <f t="shared" si="504"/>
        <v>1.0043684958147485</v>
      </c>
      <c r="S100" s="79">
        <f t="shared" si="504"/>
        <v>1.0043684958147485</v>
      </c>
      <c r="T100" s="79">
        <f t="shared" si="504"/>
        <v>1.0043684958147485</v>
      </c>
      <c r="U100" s="79">
        <f t="shared" si="504"/>
        <v>1.0043684958147485</v>
      </c>
      <c r="V100" s="79">
        <f t="shared" si="504"/>
        <v>1.0043684958147485</v>
      </c>
      <c r="W100" s="79">
        <f t="shared" si="504"/>
        <v>1.0043684958147485</v>
      </c>
      <c r="X100" s="79">
        <f t="shared" si="504"/>
        <v>1.0043684958147485</v>
      </c>
      <c r="Y100" s="79">
        <f t="shared" si="504"/>
        <v>1.0043684958147485</v>
      </c>
      <c r="Z100" s="79">
        <f t="shared" si="504"/>
        <v>1.0043684958147485</v>
      </c>
      <c r="AA100" s="79">
        <f t="shared" si="504"/>
        <v>1.0043684958147485</v>
      </c>
      <c r="AB100" s="79">
        <f t="shared" si="504"/>
        <v>1.0043684958147485</v>
      </c>
      <c r="AC100" s="79">
        <f t="shared" si="504"/>
        <v>1.0043684958147485</v>
      </c>
      <c r="AD100" s="79">
        <f t="shared" si="504"/>
        <v>1.0043684958147485</v>
      </c>
      <c r="AE100" s="79">
        <f t="shared" si="504"/>
        <v>1.0043684958147485</v>
      </c>
      <c r="AF100" s="79">
        <f t="shared" si="504"/>
        <v>1.0043684958147485</v>
      </c>
      <c r="AG100" s="79">
        <f t="shared" si="504"/>
        <v>1.0043684958147485</v>
      </c>
      <c r="AH100" s="79">
        <f t="shared" si="504"/>
        <v>1.0043684958147485</v>
      </c>
      <c r="AI100" s="79">
        <f t="shared" si="504"/>
        <v>1.0043684958147485</v>
      </c>
      <c r="AJ100" s="79">
        <f t="shared" si="504"/>
        <v>1.0043684958147485</v>
      </c>
      <c r="AK100" s="79">
        <f t="shared" si="504"/>
        <v>1.0043684958147485</v>
      </c>
      <c r="AL100" s="79">
        <f t="shared" si="504"/>
        <v>1.0043684958147485</v>
      </c>
      <c r="AM100" s="79">
        <f t="shared" si="504"/>
        <v>1.0043684958147485</v>
      </c>
      <c r="AN100" s="79">
        <f t="shared" si="504"/>
        <v>1.0043684958147485</v>
      </c>
      <c r="AO100" s="79">
        <f t="shared" si="504"/>
        <v>1.0043684958147485</v>
      </c>
      <c r="AP100" s="79">
        <f t="shared" si="504"/>
        <v>1.0043684958147485</v>
      </c>
      <c r="AQ100" s="79">
        <f t="shared" si="504"/>
        <v>1.0043684958147485</v>
      </c>
      <c r="AR100" s="79">
        <f t="shared" si="504"/>
        <v>1.0043684958147485</v>
      </c>
      <c r="AS100" s="79">
        <f t="shared" si="504"/>
        <v>1.0043684958147485</v>
      </c>
      <c r="AT100" s="79">
        <f t="shared" si="504"/>
        <v>1.0043684958147485</v>
      </c>
      <c r="AU100" s="79">
        <f t="shared" si="504"/>
        <v>1.0043684958147485</v>
      </c>
      <c r="AV100" s="79">
        <f t="shared" si="504"/>
        <v>1.0043684958147485</v>
      </c>
      <c r="AW100" s="79">
        <f t="shared" si="504"/>
        <v>1.0043684958147485</v>
      </c>
      <c r="AX100" s="79">
        <f t="shared" si="504"/>
        <v>1.0043684958147485</v>
      </c>
      <c r="AY100" s="79">
        <f t="shared" si="504"/>
        <v>1.0043684958147485</v>
      </c>
      <c r="AZ100" s="79">
        <f t="shared" si="504"/>
        <v>1.0043684958147485</v>
      </c>
      <c r="BA100" s="79">
        <f t="shared" si="504"/>
        <v>1.0043684958147485</v>
      </c>
      <c r="BB100" s="79">
        <f t="shared" si="504"/>
        <v>1.0043684958147485</v>
      </c>
      <c r="BC100" s="79">
        <f t="shared" si="504"/>
        <v>1.0043684958147485</v>
      </c>
      <c r="BD100" s="79">
        <f t="shared" si="504"/>
        <v>1.0043684958147485</v>
      </c>
      <c r="BE100" s="79">
        <f t="shared" si="504"/>
        <v>1.0043684958147485</v>
      </c>
      <c r="BF100" s="79">
        <f t="shared" si="504"/>
        <v>1.0043684958147485</v>
      </c>
      <c r="BG100" s="79">
        <f t="shared" si="504"/>
        <v>1.0043684958147485</v>
      </c>
      <c r="BH100" s="79">
        <f t="shared" si="504"/>
        <v>1.0043684958147485</v>
      </c>
      <c r="BI100" s="79">
        <f t="shared" ref="BI100:DP100" si="505">(1+BI99)</f>
        <v>1.0043684958147485</v>
      </c>
      <c r="BJ100" s="79">
        <f t="shared" si="505"/>
        <v>1.0043684958147485</v>
      </c>
      <c r="BK100" s="79">
        <f t="shared" si="505"/>
        <v>1.0043684958147485</v>
      </c>
      <c r="BL100" s="79">
        <f t="shared" si="505"/>
        <v>1.0043684958147485</v>
      </c>
      <c r="BM100" s="79">
        <f t="shared" si="505"/>
        <v>1.0043684958147485</v>
      </c>
      <c r="BN100" s="79">
        <f t="shared" si="505"/>
        <v>1.0043684958147485</v>
      </c>
      <c r="BO100" s="79">
        <f t="shared" si="505"/>
        <v>1.0043684958147485</v>
      </c>
      <c r="BP100" s="79">
        <f t="shared" si="505"/>
        <v>1.0043684958147485</v>
      </c>
      <c r="BQ100" s="79">
        <f t="shared" si="505"/>
        <v>1.0043684958147485</v>
      </c>
      <c r="BR100" s="79">
        <f t="shared" si="505"/>
        <v>1.0043684958147485</v>
      </c>
      <c r="BS100" s="79">
        <f t="shared" si="505"/>
        <v>1.0043684958147485</v>
      </c>
      <c r="BT100" s="79">
        <f t="shared" si="505"/>
        <v>1.0043684958147485</v>
      </c>
      <c r="BU100" s="79">
        <f t="shared" si="505"/>
        <v>1.0043684958147485</v>
      </c>
      <c r="BV100" s="79">
        <f t="shared" si="505"/>
        <v>1.0043684958147485</v>
      </c>
      <c r="BW100" s="79">
        <f t="shared" si="505"/>
        <v>1.0043684958147485</v>
      </c>
      <c r="BX100" s="79">
        <f t="shared" si="505"/>
        <v>1.0043684958147485</v>
      </c>
      <c r="BY100" s="79">
        <f t="shared" si="505"/>
        <v>1.0043684958147485</v>
      </c>
      <c r="BZ100" s="79">
        <f t="shared" si="505"/>
        <v>1.0043684958147485</v>
      </c>
      <c r="CA100" s="79">
        <f t="shared" si="505"/>
        <v>1.0043684958147485</v>
      </c>
      <c r="CB100" s="79">
        <f t="shared" si="505"/>
        <v>1.0043684958147485</v>
      </c>
      <c r="CC100" s="79">
        <f t="shared" si="505"/>
        <v>1.0043684958147485</v>
      </c>
      <c r="CD100" s="79">
        <f t="shared" si="505"/>
        <v>1.0043684958147485</v>
      </c>
      <c r="CE100" s="79">
        <f t="shared" si="505"/>
        <v>1.0043684958147485</v>
      </c>
      <c r="CF100" s="79">
        <f t="shared" si="505"/>
        <v>1.0043684958147485</v>
      </c>
      <c r="CG100" s="79">
        <f t="shared" si="505"/>
        <v>1.0043684958147485</v>
      </c>
      <c r="CH100" s="79">
        <f t="shared" si="505"/>
        <v>1.0043684958147485</v>
      </c>
      <c r="CI100" s="79">
        <f t="shared" si="505"/>
        <v>1.0043684958147485</v>
      </c>
      <c r="CJ100" s="79">
        <f t="shared" si="505"/>
        <v>1.0043684958147485</v>
      </c>
      <c r="CK100" s="79">
        <f t="shared" si="505"/>
        <v>1.0043684958147485</v>
      </c>
      <c r="CL100" s="79">
        <f t="shared" si="505"/>
        <v>1.0043684958147485</v>
      </c>
      <c r="CM100" s="79">
        <f t="shared" si="505"/>
        <v>1.0043684958147485</v>
      </c>
      <c r="CN100" s="79">
        <f t="shared" si="505"/>
        <v>1.0043684958147485</v>
      </c>
      <c r="CO100" s="79">
        <f t="shared" si="505"/>
        <v>1.0043684958147485</v>
      </c>
      <c r="CP100" s="79">
        <f t="shared" si="505"/>
        <v>1.0043684958147485</v>
      </c>
      <c r="CQ100" s="79">
        <f t="shared" si="505"/>
        <v>1.0043684958147485</v>
      </c>
      <c r="CR100" s="79">
        <f t="shared" si="505"/>
        <v>1.0043684958147485</v>
      </c>
      <c r="CS100" s="79">
        <f t="shared" si="505"/>
        <v>1.0043684958147485</v>
      </c>
      <c r="CT100" s="79">
        <f t="shared" si="505"/>
        <v>1.0043684958147485</v>
      </c>
      <c r="CU100" s="79">
        <f t="shared" si="505"/>
        <v>1.0043684958147485</v>
      </c>
      <c r="CV100" s="79">
        <f t="shared" si="505"/>
        <v>1.0043684958147485</v>
      </c>
      <c r="CW100" s="79">
        <f t="shared" si="505"/>
        <v>1.0043684958147485</v>
      </c>
      <c r="CX100" s="79">
        <f t="shared" si="505"/>
        <v>1.0043684958147485</v>
      </c>
      <c r="CY100" s="79">
        <f t="shared" si="505"/>
        <v>1.0043684958147485</v>
      </c>
      <c r="CZ100" s="79">
        <f t="shared" si="505"/>
        <v>1.0043684958147485</v>
      </c>
      <c r="DA100" s="79">
        <f t="shared" si="505"/>
        <v>1.0043684958147485</v>
      </c>
      <c r="DB100" s="79">
        <f t="shared" si="505"/>
        <v>1.0043684958147485</v>
      </c>
      <c r="DC100" s="79">
        <f t="shared" si="505"/>
        <v>1.0043684958147485</v>
      </c>
      <c r="DD100" s="79">
        <f t="shared" si="505"/>
        <v>1.0043684958147485</v>
      </c>
      <c r="DE100" s="79">
        <f t="shared" si="505"/>
        <v>1.0043684958147485</v>
      </c>
      <c r="DF100" s="79">
        <f t="shared" si="505"/>
        <v>1.0043684958147485</v>
      </c>
      <c r="DG100" s="79">
        <f t="shared" si="505"/>
        <v>1.0043684958147485</v>
      </c>
      <c r="DH100" s="79">
        <f t="shared" si="505"/>
        <v>1.0043684958147485</v>
      </c>
      <c r="DI100" s="79">
        <f t="shared" si="505"/>
        <v>1.0043684958147485</v>
      </c>
      <c r="DJ100" s="79">
        <f t="shared" si="505"/>
        <v>1.0043684958147485</v>
      </c>
      <c r="DK100" s="79">
        <f t="shared" si="505"/>
        <v>1.0043684958147485</v>
      </c>
      <c r="DL100" s="79">
        <f t="shared" si="505"/>
        <v>1.0043684958147485</v>
      </c>
      <c r="DM100" s="79">
        <f t="shared" si="505"/>
        <v>1.0043684958147485</v>
      </c>
      <c r="DN100" s="79">
        <f t="shared" si="505"/>
        <v>1.0043684958147485</v>
      </c>
      <c r="DO100" s="79">
        <f t="shared" si="505"/>
        <v>1.0043684958147485</v>
      </c>
      <c r="DP100" s="79">
        <f t="shared" si="505"/>
        <v>1.0043684958147485</v>
      </c>
      <c r="DQ100" s="79">
        <f t="shared" ref="DQ100:FY100" si="506">(1+DQ99)</f>
        <v>1.0043684958147485</v>
      </c>
      <c r="DR100" s="79">
        <f t="shared" si="506"/>
        <v>1.0043684958147485</v>
      </c>
      <c r="DS100" s="79">
        <f t="shared" si="506"/>
        <v>1.0043684958147485</v>
      </c>
      <c r="DT100" s="79">
        <f t="shared" si="506"/>
        <v>1.0043684958147485</v>
      </c>
      <c r="DU100" s="79">
        <f t="shared" si="506"/>
        <v>1.0043684958147485</v>
      </c>
      <c r="DV100" s="79">
        <f t="shared" si="506"/>
        <v>1.0043684958147485</v>
      </c>
      <c r="DW100" s="79">
        <f t="shared" si="506"/>
        <v>1.0043684958147485</v>
      </c>
      <c r="DX100" s="79">
        <f t="shared" si="506"/>
        <v>1.0043684958147485</v>
      </c>
      <c r="DY100" s="79">
        <f t="shared" si="506"/>
        <v>1.0043684958147485</v>
      </c>
      <c r="DZ100" s="79">
        <f t="shared" si="506"/>
        <v>1.0043684958147485</v>
      </c>
      <c r="EA100" s="79">
        <f t="shared" si="506"/>
        <v>1.0043684958147485</v>
      </c>
      <c r="EB100" s="79">
        <f t="shared" si="506"/>
        <v>1.0043684958147485</v>
      </c>
      <c r="EC100" s="79">
        <f t="shared" si="506"/>
        <v>1.0043684958147485</v>
      </c>
      <c r="ED100" s="79">
        <f t="shared" si="506"/>
        <v>1.0043684958147485</v>
      </c>
      <c r="EE100" s="79">
        <f t="shared" si="506"/>
        <v>1.0043684958147485</v>
      </c>
      <c r="EF100" s="79">
        <f t="shared" si="506"/>
        <v>1.0043684958147485</v>
      </c>
      <c r="EG100" s="79">
        <f t="shared" si="506"/>
        <v>1.0043684958147485</v>
      </c>
      <c r="EH100" s="79">
        <f t="shared" si="506"/>
        <v>1.0043684958147485</v>
      </c>
      <c r="EI100" s="79">
        <f t="shared" si="506"/>
        <v>1.0043684958147485</v>
      </c>
      <c r="EJ100" s="79">
        <f t="shared" si="506"/>
        <v>1.0043684958147485</v>
      </c>
      <c r="EK100" s="79">
        <f t="shared" si="506"/>
        <v>1.0043684958147485</v>
      </c>
      <c r="EL100" s="79">
        <f t="shared" si="506"/>
        <v>1.0043684958147485</v>
      </c>
      <c r="EM100" s="79">
        <f t="shared" si="506"/>
        <v>1.0043684958147485</v>
      </c>
      <c r="EN100" s="79">
        <f t="shared" si="506"/>
        <v>1.0043684958147485</v>
      </c>
      <c r="EO100" s="79">
        <f t="shared" si="506"/>
        <v>1.0043684958147485</v>
      </c>
      <c r="EP100" s="79">
        <f t="shared" si="506"/>
        <v>1.0043684958147485</v>
      </c>
      <c r="EQ100" s="79">
        <f t="shared" si="506"/>
        <v>1.0043684958147485</v>
      </c>
      <c r="ER100" s="79">
        <f t="shared" si="506"/>
        <v>1.0043684958147485</v>
      </c>
      <c r="ES100" s="79">
        <f t="shared" si="506"/>
        <v>1.0043684958147485</v>
      </c>
      <c r="ET100" s="79">
        <f t="shared" si="506"/>
        <v>1.0043684958147485</v>
      </c>
      <c r="EU100" s="79">
        <f t="shared" si="506"/>
        <v>1.0043684958147485</v>
      </c>
      <c r="EV100" s="79">
        <f t="shared" si="506"/>
        <v>1.0043684958147485</v>
      </c>
      <c r="EW100" s="79">
        <f t="shared" si="506"/>
        <v>1.0043684958147485</v>
      </c>
      <c r="EX100" s="79">
        <f t="shared" si="506"/>
        <v>1.0043684958147485</v>
      </c>
      <c r="EY100" s="79">
        <f t="shared" si="506"/>
        <v>1.0043684958147485</v>
      </c>
      <c r="EZ100" s="79">
        <f t="shared" si="506"/>
        <v>1.0043684958147485</v>
      </c>
      <c r="FA100" s="79">
        <f t="shared" si="506"/>
        <v>1.0043684958147485</v>
      </c>
      <c r="FB100" s="79">
        <f t="shared" si="506"/>
        <v>1.0043684958147485</v>
      </c>
      <c r="FC100" s="79">
        <f t="shared" si="506"/>
        <v>1.0043684958147485</v>
      </c>
      <c r="FD100" s="79">
        <f t="shared" si="506"/>
        <v>1.0043684958147485</v>
      </c>
      <c r="FE100" s="79">
        <f t="shared" si="506"/>
        <v>1.0043684958147485</v>
      </c>
      <c r="FF100" s="79">
        <f t="shared" si="506"/>
        <v>1.0043684958147485</v>
      </c>
      <c r="FG100" s="79">
        <f t="shared" si="506"/>
        <v>1.0043684958147485</v>
      </c>
      <c r="FH100" s="79">
        <f t="shared" si="506"/>
        <v>1.0043684958147485</v>
      </c>
      <c r="FI100" s="79">
        <f t="shared" si="506"/>
        <v>1.0043684958147485</v>
      </c>
      <c r="FJ100" s="79">
        <f t="shared" si="506"/>
        <v>1.0043684958147485</v>
      </c>
      <c r="FK100" s="79">
        <f t="shared" si="506"/>
        <v>1.0043684958147485</v>
      </c>
      <c r="FL100" s="79">
        <f t="shared" si="506"/>
        <v>1.0043684958147485</v>
      </c>
      <c r="FM100" s="79">
        <f t="shared" si="506"/>
        <v>1.0043684958147485</v>
      </c>
      <c r="FN100" s="79">
        <f t="shared" si="506"/>
        <v>1.0043684958147485</v>
      </c>
      <c r="FO100" s="79">
        <f t="shared" si="506"/>
        <v>1.0043684958147485</v>
      </c>
      <c r="FP100" s="79">
        <f t="shared" si="506"/>
        <v>1.0043684958147485</v>
      </c>
      <c r="FQ100" s="79">
        <f t="shared" si="506"/>
        <v>1.0043684958147485</v>
      </c>
      <c r="FR100" s="79">
        <f t="shared" si="506"/>
        <v>1.0043684958147485</v>
      </c>
      <c r="FS100" s="79">
        <f t="shared" si="506"/>
        <v>1.0043684958147485</v>
      </c>
      <c r="FT100" s="79">
        <f t="shared" si="506"/>
        <v>1.0043684958147485</v>
      </c>
      <c r="FU100" s="79">
        <f t="shared" si="506"/>
        <v>1.0043684958147485</v>
      </c>
      <c r="FV100" s="79">
        <f t="shared" si="506"/>
        <v>1.0043684958147485</v>
      </c>
      <c r="FW100" s="79">
        <f t="shared" si="506"/>
        <v>1.0043684958147485</v>
      </c>
      <c r="FX100" s="79">
        <f t="shared" si="506"/>
        <v>1.0043684958147485</v>
      </c>
      <c r="FY100" s="79">
        <f t="shared" si="506"/>
        <v>1.0043684958147485</v>
      </c>
      <c r="FZ100" s="80"/>
    </row>
    <row r="101" spans="1:182" x14ac:dyDescent="0.2">
      <c r="A101" s="81"/>
      <c r="B101" s="82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2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2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2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2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80"/>
      <c r="CA101" s="80"/>
      <c r="CB101" s="80"/>
      <c r="CC101" s="80"/>
      <c r="CD101" s="80"/>
      <c r="CE101" s="80"/>
      <c r="CF101" s="80"/>
      <c r="CG101" s="80"/>
      <c r="CH101" s="80"/>
      <c r="CI101" s="80"/>
      <c r="CJ101" s="80"/>
      <c r="CK101" s="80"/>
      <c r="CL101" s="80"/>
      <c r="CM101" s="80"/>
      <c r="CN101" s="80"/>
      <c r="CO101" s="80"/>
      <c r="CP101" s="80"/>
      <c r="CQ101" s="80"/>
      <c r="CR101" s="80"/>
      <c r="CS101" s="80"/>
      <c r="CT101" s="80"/>
      <c r="CU101" s="80"/>
      <c r="CV101" s="80"/>
      <c r="CW101" s="80"/>
      <c r="CX101" s="80"/>
      <c r="CY101" s="80"/>
      <c r="CZ101" s="80"/>
      <c r="DA101" s="80"/>
      <c r="DB101" s="80"/>
      <c r="DC101" s="80"/>
      <c r="DD101" s="80"/>
      <c r="DE101" s="80"/>
      <c r="DF101" s="80"/>
      <c r="DG101" s="80"/>
      <c r="DH101" s="80"/>
      <c r="DI101" s="80"/>
      <c r="DJ101" s="80"/>
      <c r="DK101" s="80"/>
      <c r="DL101" s="80"/>
      <c r="DM101" s="80"/>
      <c r="DN101" s="80"/>
      <c r="DO101" s="80"/>
      <c r="DP101" s="80"/>
      <c r="DQ101" s="80"/>
      <c r="DR101" s="80"/>
      <c r="DS101" s="80"/>
      <c r="DT101" s="80"/>
      <c r="DU101" s="80"/>
      <c r="DV101" s="80"/>
      <c r="DW101" s="80"/>
      <c r="DX101" s="80"/>
      <c r="DY101" s="80"/>
      <c r="DZ101" s="80"/>
      <c r="EA101" s="80"/>
      <c r="EB101" s="80"/>
      <c r="EC101" s="80"/>
      <c r="ED101" s="80"/>
      <c r="EE101" s="80"/>
      <c r="EF101" s="80"/>
      <c r="EG101" s="80"/>
      <c r="EH101" s="80"/>
      <c r="EI101" s="80"/>
      <c r="EJ101" s="80"/>
      <c r="EK101" s="80"/>
      <c r="EL101" s="80"/>
      <c r="EM101" s="80"/>
      <c r="EN101" s="80"/>
      <c r="EO101" s="80"/>
      <c r="EP101" s="80"/>
      <c r="EQ101" s="80"/>
      <c r="ER101" s="80"/>
      <c r="ES101" s="80"/>
      <c r="ET101" s="80"/>
      <c r="EU101" s="80"/>
      <c r="EV101" s="80"/>
      <c r="EW101" s="80"/>
      <c r="EX101" s="80"/>
      <c r="EY101" s="80"/>
      <c r="EZ101" s="80"/>
      <c r="FA101" s="80"/>
      <c r="FB101" s="80"/>
      <c r="FC101" s="80"/>
      <c r="FD101" s="80"/>
      <c r="FE101" s="80"/>
      <c r="FF101" s="80"/>
      <c r="FG101" s="80"/>
      <c r="FH101" s="80"/>
      <c r="FI101" s="80"/>
      <c r="FJ101" s="80"/>
      <c r="FK101" s="80"/>
      <c r="FL101" s="80"/>
      <c r="FM101" s="80"/>
      <c r="FN101" s="80"/>
      <c r="FO101" s="80"/>
      <c r="FP101" s="80"/>
      <c r="FQ101" s="80"/>
      <c r="FR101" s="80"/>
      <c r="FS101" s="80"/>
      <c r="FT101" s="80"/>
      <c r="FU101" s="80"/>
      <c r="FV101" s="80"/>
      <c r="FW101" s="80"/>
      <c r="FX101" s="80"/>
      <c r="FY101" s="80"/>
      <c r="FZ101" s="80"/>
    </row>
    <row r="102" spans="1:182" hidden="1" outlineLevel="1" x14ac:dyDescent="0.2">
      <c r="A102" s="81" t="s">
        <v>148</v>
      </c>
      <c r="B102" s="82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2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2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2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2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80"/>
      <c r="CA102" s="80"/>
      <c r="CB102" s="80"/>
      <c r="CC102" s="80"/>
      <c r="CD102" s="80"/>
      <c r="CE102" s="80"/>
      <c r="CF102" s="80"/>
      <c r="CG102" s="80"/>
      <c r="CH102" s="80"/>
      <c r="CI102" s="80"/>
      <c r="CJ102" s="80"/>
      <c r="CK102" s="80"/>
      <c r="CL102" s="80"/>
      <c r="CM102" s="80"/>
      <c r="CN102" s="80"/>
      <c r="CO102" s="80"/>
      <c r="CP102" s="80"/>
      <c r="CQ102" s="80"/>
      <c r="CR102" s="80"/>
      <c r="CS102" s="80"/>
      <c r="CT102" s="80"/>
      <c r="CU102" s="80"/>
      <c r="CV102" s="80"/>
      <c r="CW102" s="80"/>
      <c r="CX102" s="80"/>
      <c r="CY102" s="80"/>
      <c r="CZ102" s="80"/>
      <c r="DA102" s="80"/>
      <c r="DB102" s="80"/>
      <c r="DC102" s="80"/>
      <c r="DD102" s="80"/>
      <c r="DE102" s="80"/>
      <c r="DF102" s="80"/>
      <c r="DG102" s="80"/>
      <c r="DH102" s="80"/>
      <c r="DI102" s="80"/>
      <c r="DJ102" s="80"/>
      <c r="DK102" s="80"/>
      <c r="DL102" s="80"/>
      <c r="DM102" s="80"/>
      <c r="DN102" s="80"/>
      <c r="DO102" s="80"/>
      <c r="DP102" s="80"/>
      <c r="DQ102" s="80"/>
      <c r="DR102" s="80"/>
      <c r="DS102" s="80"/>
      <c r="DT102" s="80"/>
      <c r="DU102" s="80"/>
      <c r="DV102" s="80"/>
      <c r="DW102" s="80"/>
      <c r="DX102" s="80"/>
      <c r="DY102" s="80"/>
      <c r="DZ102" s="80"/>
      <c r="EA102" s="80"/>
      <c r="EB102" s="80"/>
      <c r="EC102" s="80"/>
      <c r="ED102" s="80"/>
      <c r="EE102" s="80"/>
      <c r="EF102" s="80"/>
      <c r="EG102" s="80"/>
      <c r="EH102" s="80"/>
      <c r="EI102" s="80"/>
      <c r="EJ102" s="80"/>
      <c r="EK102" s="80"/>
      <c r="EL102" s="80"/>
      <c r="EM102" s="80"/>
      <c r="EN102" s="80"/>
      <c r="EO102" s="80"/>
      <c r="EP102" s="80"/>
      <c r="EQ102" s="80"/>
      <c r="ER102" s="80"/>
      <c r="ES102" s="80"/>
      <c r="ET102" s="80"/>
      <c r="EU102" s="80"/>
      <c r="EV102" s="80"/>
      <c r="EW102" s="80"/>
      <c r="EX102" s="80"/>
      <c r="EY102" s="80"/>
      <c r="EZ102" s="80"/>
      <c r="FA102" s="80"/>
      <c r="FB102" s="80"/>
      <c r="FC102" s="80"/>
      <c r="FD102" s="80"/>
      <c r="FE102" s="80"/>
      <c r="FF102" s="80"/>
      <c r="FG102" s="80"/>
      <c r="FH102" s="80"/>
      <c r="FI102" s="80"/>
      <c r="FJ102" s="80"/>
      <c r="FK102" s="80"/>
      <c r="FL102" s="80"/>
      <c r="FM102" s="80"/>
      <c r="FN102" s="80"/>
      <c r="FO102" s="80"/>
      <c r="FP102" s="80"/>
      <c r="FQ102" s="80"/>
      <c r="FR102" s="80"/>
      <c r="FS102" s="80"/>
      <c r="FT102" s="80"/>
      <c r="FU102" s="80"/>
      <c r="FV102" s="80"/>
      <c r="FW102" s="80"/>
      <c r="FX102" s="80"/>
      <c r="FY102" s="80"/>
      <c r="FZ102" s="80"/>
    </row>
    <row r="103" spans="1:182" s="293" customFormat="1" hidden="1" outlineLevel="1" x14ac:dyDescent="0.2">
      <c r="A103" s="83" t="s">
        <v>186</v>
      </c>
      <c r="B103" s="84">
        <f>(1/B100^IF((0-B98+1)&lt;0,0,(0-B98+1))-(1/B100^IF(((B107)-B98+1)&lt;0,0,((B107)-B98+1))))/(B100-1)</f>
        <v>11.615349980677049</v>
      </c>
      <c r="C103" s="85">
        <f t="shared" ref="C103:M103" si="507">(1/C100^IF((0-C98+1)&lt;0,0,(0-C98+1))-(1/C100^IF(((C107)-C98+1)&lt;0,0,((C107)-C98+1))))/(C100-1)</f>
        <v>11.666091588454478</v>
      </c>
      <c r="D103" s="85">
        <f t="shared" si="507"/>
        <v>10.717054860733144</v>
      </c>
      <c r="E103" s="85">
        <f t="shared" si="507"/>
        <v>9.7638722700386715</v>
      </c>
      <c r="F103" s="85">
        <f t="shared" si="507"/>
        <v>8.8065257051860577</v>
      </c>
      <c r="G103" s="85">
        <f t="shared" si="507"/>
        <v>7.8449969758716236</v>
      </c>
      <c r="H103" s="85">
        <f t="shared" si="507"/>
        <v>6.8792678123274458</v>
      </c>
      <c r="I103" s="85">
        <f t="shared" si="507"/>
        <v>5.9093198649741243</v>
      </c>
      <c r="J103" s="85">
        <f t="shared" si="507"/>
        <v>4.9351347040723015</v>
      </c>
      <c r="K103" s="85">
        <f t="shared" si="507"/>
        <v>3.9566938193722483</v>
      </c>
      <c r="L103" s="85">
        <f t="shared" si="507"/>
        <v>2.9739786197624354</v>
      </c>
      <c r="M103" s="85">
        <f t="shared" si="507"/>
        <v>1.9869704329160223</v>
      </c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5"/>
      <c r="CZ103" s="85"/>
      <c r="DA103" s="85"/>
      <c r="DB103" s="85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5"/>
      <c r="DZ103" s="85"/>
      <c r="EA103" s="85"/>
      <c r="EB103" s="85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5"/>
      <c r="EZ103" s="85"/>
      <c r="FA103" s="85"/>
      <c r="FB103" s="85"/>
      <c r="FC103" s="85"/>
      <c r="FD103" s="85"/>
      <c r="FE103" s="85"/>
      <c r="FF103" s="85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6"/>
    </row>
    <row r="104" spans="1:182" s="293" customFormat="1" hidden="1" outlineLevel="1" x14ac:dyDescent="0.2">
      <c r="A104" s="83" t="s">
        <v>187</v>
      </c>
      <c r="B104" s="84">
        <f>(1/B100^IF((12-B98+1+(B98-0-1))&lt;0,0,(12-B98+1+(B98-0-1)))-(1/B100^IF((12+(B107)-B98+1)&lt;0,0,(12+(B107)-B98+1))))/(B100-1)</f>
        <v>11.968302634158947</v>
      </c>
      <c r="C104" s="85">
        <f t="shared" ref="C104:M104" si="508">(1/C100^IF((12-C98+1+(C98-0-1))&lt;0,0,(12-C98+1+(C98-0-1)))-(1/C100^IF((12+(C107)-C98+1)&lt;0,0,(12+(C107)-C98+1))))/(C100-1)</f>
        <v>11.071549386404531</v>
      </c>
      <c r="D104" s="85">
        <f t="shared" si="508"/>
        <v>10.170878675840484</v>
      </c>
      <c r="E104" s="85">
        <f t="shared" si="508"/>
        <v>9.2662733890468427</v>
      </c>
      <c r="F104" s="85">
        <f t="shared" si="508"/>
        <v>8.3577163378438684</v>
      </c>
      <c r="G104" s="85">
        <f t="shared" si="508"/>
        <v>7.4451902589652237</v>
      </c>
      <c r="H104" s="85">
        <f t="shared" si="508"/>
        <v>6.5286778137301731</v>
      </c>
      <c r="I104" s="85">
        <f t="shared" si="508"/>
        <v>5.6081615877139139</v>
      </c>
      <c r="J104" s="85">
        <f t="shared" si="508"/>
        <v>4.6836240904169326</v>
      </c>
      <c r="K104" s="85">
        <f t="shared" si="508"/>
        <v>3.7550477549323835</v>
      </c>
      <c r="L104" s="85">
        <f t="shared" si="508"/>
        <v>2.8224149376126033</v>
      </c>
      <c r="M104" s="85">
        <f t="shared" si="508"/>
        <v>1.8857079177336911</v>
      </c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  <c r="DF104" s="85"/>
      <c r="DG104" s="85"/>
      <c r="DH104" s="85"/>
      <c r="DI104" s="85"/>
      <c r="DJ104" s="85"/>
      <c r="DK104" s="85"/>
      <c r="DL104" s="85"/>
      <c r="DM104" s="85"/>
      <c r="DN104" s="85"/>
      <c r="DO104" s="85"/>
      <c r="DP104" s="85"/>
      <c r="DQ104" s="85"/>
      <c r="DR104" s="85"/>
      <c r="DS104" s="85"/>
      <c r="DT104" s="85"/>
      <c r="DU104" s="85"/>
      <c r="DV104" s="85"/>
      <c r="DW104" s="85"/>
      <c r="DX104" s="85"/>
      <c r="DY104" s="85"/>
      <c r="DZ104" s="85"/>
      <c r="EA104" s="85"/>
      <c r="EB104" s="85"/>
      <c r="EC104" s="85"/>
      <c r="ED104" s="85"/>
      <c r="EE104" s="85"/>
      <c r="EF104" s="85"/>
      <c r="EG104" s="85"/>
      <c r="EH104" s="85"/>
      <c r="EI104" s="85"/>
      <c r="EJ104" s="85"/>
      <c r="EK104" s="85"/>
      <c r="EL104" s="85"/>
      <c r="EM104" s="85"/>
      <c r="EN104" s="85"/>
      <c r="EO104" s="85"/>
      <c r="EP104" s="85"/>
      <c r="EQ104" s="85"/>
      <c r="ER104" s="85"/>
      <c r="ES104" s="85"/>
      <c r="ET104" s="85"/>
      <c r="EU104" s="85"/>
      <c r="EV104" s="85"/>
      <c r="EW104" s="85"/>
      <c r="EX104" s="85"/>
      <c r="EY104" s="85"/>
      <c r="EZ104" s="85"/>
      <c r="FA104" s="85"/>
      <c r="FB104" s="85"/>
      <c r="FC104" s="85"/>
      <c r="FD104" s="85"/>
      <c r="FE104" s="85"/>
      <c r="FF104" s="85"/>
      <c r="FG104" s="85"/>
      <c r="FH104" s="85"/>
      <c r="FI104" s="85"/>
      <c r="FJ104" s="85"/>
      <c r="FK104" s="85"/>
      <c r="FL104" s="85"/>
      <c r="FM104" s="85"/>
      <c r="FN104" s="85"/>
      <c r="FO104" s="85"/>
      <c r="FP104" s="85"/>
      <c r="FQ104" s="85"/>
      <c r="FR104" s="85"/>
      <c r="FS104" s="85"/>
      <c r="FT104" s="85"/>
      <c r="FU104" s="85"/>
      <c r="FV104" s="85"/>
      <c r="FW104" s="85"/>
      <c r="FX104" s="85"/>
      <c r="FY104" s="85"/>
      <c r="FZ104" s="86"/>
    </row>
    <row r="105" spans="1:182" s="293" customFormat="1" hidden="1" outlineLevel="1" x14ac:dyDescent="0.2">
      <c r="A105" s="83" t="s">
        <v>188</v>
      </c>
      <c r="B105" s="84">
        <f>(1/B100^IF((24-B98+1+(B98-0-1))&lt;0,0,(24-B98+1+(B98-0-1)))-(1/B100^IF((24+(B107)-B98+1)&lt;0,0,(24+(B107)-B98+1))))/(B100-1)</f>
        <v>11.358358768301255</v>
      </c>
      <c r="C105" s="85">
        <f t="shared" ref="C105:M105" si="509">(1/C100^IF((24-C98+1+(C98-0-1))&lt;0,0,(24-C98+1+(C98-0-1)))-(1/C100^IF((24+(C107)-C98+1)&lt;0,0,(24+(C107)-C98+1))))/(C100-1)</f>
        <v>10.507307000478871</v>
      </c>
      <c r="D105" s="85">
        <f t="shared" si="509"/>
        <v>9.6525374165706967</v>
      </c>
      <c r="E105" s="85">
        <f t="shared" si="509"/>
        <v>8.7940337753126183</v>
      </c>
      <c r="F105" s="85">
        <f t="shared" si="509"/>
        <v>7.9317797644907424</v>
      </c>
      <c r="G105" s="85">
        <f t="shared" si="509"/>
        <v>7.0657590006313509</v>
      </c>
      <c r="H105" s="85">
        <f t="shared" si="509"/>
        <v>6.1959550286895393</v>
      </c>
      <c r="I105" s="85">
        <f t="shared" si="509"/>
        <v>5.3223513217366634</v>
      </c>
      <c r="J105" s="85">
        <f t="shared" si="509"/>
        <v>4.4449312806462205</v>
      </c>
      <c r="K105" s="85">
        <f t="shared" si="509"/>
        <v>3.5636782337785338</v>
      </c>
      <c r="L105" s="85">
        <f t="shared" si="509"/>
        <v>2.678575436663837</v>
      </c>
      <c r="M105" s="85">
        <f t="shared" si="509"/>
        <v>1.7896060716843145</v>
      </c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  <c r="AU105" s="85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85"/>
      <c r="CG105" s="85"/>
      <c r="CH105" s="85"/>
      <c r="CI105" s="85"/>
      <c r="CJ105" s="85"/>
      <c r="CK105" s="85"/>
      <c r="CL105" s="85"/>
      <c r="CM105" s="85"/>
      <c r="CN105" s="85"/>
      <c r="CO105" s="85"/>
      <c r="CP105" s="85"/>
      <c r="CQ105" s="85"/>
      <c r="CR105" s="85"/>
      <c r="CS105" s="85"/>
      <c r="CT105" s="85"/>
      <c r="CU105" s="85"/>
      <c r="CV105" s="85"/>
      <c r="CW105" s="85"/>
      <c r="CX105" s="85"/>
      <c r="CY105" s="85"/>
      <c r="CZ105" s="85"/>
      <c r="DA105" s="85"/>
      <c r="DB105" s="85"/>
      <c r="DC105" s="85"/>
      <c r="DD105" s="85"/>
      <c r="DE105" s="85"/>
      <c r="DF105" s="85"/>
      <c r="DG105" s="85"/>
      <c r="DH105" s="85"/>
      <c r="DI105" s="85"/>
      <c r="DJ105" s="85"/>
      <c r="DK105" s="85"/>
      <c r="DL105" s="85"/>
      <c r="DM105" s="85"/>
      <c r="DN105" s="85"/>
      <c r="DO105" s="85"/>
      <c r="DP105" s="85"/>
      <c r="DQ105" s="85"/>
      <c r="DR105" s="85"/>
      <c r="DS105" s="85"/>
      <c r="DT105" s="85"/>
      <c r="DU105" s="85"/>
      <c r="DV105" s="85"/>
      <c r="DW105" s="85"/>
      <c r="DX105" s="85"/>
      <c r="DY105" s="85"/>
      <c r="DZ105" s="85"/>
      <c r="EA105" s="85"/>
      <c r="EB105" s="85"/>
      <c r="EC105" s="85"/>
      <c r="ED105" s="85"/>
      <c r="EE105" s="85"/>
      <c r="EF105" s="85"/>
      <c r="EG105" s="85"/>
      <c r="EH105" s="85"/>
      <c r="EI105" s="85"/>
      <c r="EJ105" s="85"/>
      <c r="EK105" s="85"/>
      <c r="EL105" s="85"/>
      <c r="EM105" s="85"/>
      <c r="EN105" s="85"/>
      <c r="EO105" s="85"/>
      <c r="EP105" s="85"/>
      <c r="EQ105" s="85"/>
      <c r="ER105" s="85"/>
      <c r="ES105" s="85"/>
      <c r="ET105" s="85"/>
      <c r="EU105" s="85"/>
      <c r="EV105" s="85"/>
      <c r="EW105" s="85"/>
      <c r="EX105" s="85"/>
      <c r="EY105" s="85"/>
      <c r="EZ105" s="85"/>
      <c r="FA105" s="85"/>
      <c r="FB105" s="85"/>
      <c r="FC105" s="85"/>
      <c r="FD105" s="85"/>
      <c r="FE105" s="85"/>
      <c r="FF105" s="85"/>
      <c r="FG105" s="85"/>
      <c r="FH105" s="85"/>
      <c r="FI105" s="85"/>
      <c r="FJ105" s="85"/>
      <c r="FK105" s="85"/>
      <c r="FL105" s="85"/>
      <c r="FM105" s="85"/>
      <c r="FN105" s="85"/>
      <c r="FO105" s="85"/>
      <c r="FP105" s="85"/>
      <c r="FQ105" s="85"/>
      <c r="FR105" s="85"/>
      <c r="FS105" s="85"/>
      <c r="FT105" s="85"/>
      <c r="FU105" s="85"/>
      <c r="FV105" s="85"/>
      <c r="FW105" s="85"/>
      <c r="FX105" s="85"/>
      <c r="FY105" s="85"/>
      <c r="FZ105" s="86"/>
    </row>
    <row r="106" spans="1:182" hidden="1" outlineLevel="1" x14ac:dyDescent="0.2">
      <c r="A106" s="87" t="s">
        <v>172</v>
      </c>
      <c r="B106" s="65">
        <f t="shared" ref="B106:AG106" si="510">IF(IF((1-1)*12+1&lt;B21,B21,(1-1)*12+1)&gt;B22,B22,IF((1-1)*12+1&lt;B21,B21,(1-1)*12+1))</f>
        <v>1</v>
      </c>
      <c r="C106" s="57">
        <f t="shared" si="510"/>
        <v>1</v>
      </c>
      <c r="D106" s="57">
        <f t="shared" si="510"/>
        <v>1</v>
      </c>
      <c r="E106" s="57">
        <f t="shared" si="510"/>
        <v>1</v>
      </c>
      <c r="F106" s="57">
        <f t="shared" si="510"/>
        <v>1</v>
      </c>
      <c r="G106" s="57">
        <f t="shared" si="510"/>
        <v>1</v>
      </c>
      <c r="H106" s="57">
        <f t="shared" si="510"/>
        <v>1</v>
      </c>
      <c r="I106" s="57">
        <f t="shared" si="510"/>
        <v>1</v>
      </c>
      <c r="J106" s="57">
        <f t="shared" si="510"/>
        <v>1</v>
      </c>
      <c r="K106" s="57">
        <f t="shared" si="510"/>
        <v>1</v>
      </c>
      <c r="L106" s="57">
        <f t="shared" si="510"/>
        <v>1</v>
      </c>
      <c r="M106" s="57">
        <f t="shared" si="510"/>
        <v>1</v>
      </c>
      <c r="N106" s="57">
        <f t="shared" si="510"/>
        <v>1</v>
      </c>
      <c r="O106" s="57">
        <f t="shared" si="510"/>
        <v>1</v>
      </c>
      <c r="P106" s="57">
        <f t="shared" si="510"/>
        <v>1</v>
      </c>
      <c r="Q106" s="57">
        <f t="shared" si="510"/>
        <v>1</v>
      </c>
      <c r="R106" s="57">
        <f t="shared" si="510"/>
        <v>1</v>
      </c>
      <c r="S106" s="57">
        <f t="shared" si="510"/>
        <v>1</v>
      </c>
      <c r="T106" s="57">
        <f t="shared" si="510"/>
        <v>1</v>
      </c>
      <c r="U106" s="57">
        <f t="shared" si="510"/>
        <v>1</v>
      </c>
      <c r="V106" s="57">
        <f t="shared" si="510"/>
        <v>1</v>
      </c>
      <c r="W106" s="57">
        <f t="shared" si="510"/>
        <v>1</v>
      </c>
      <c r="X106" s="57">
        <f t="shared" si="510"/>
        <v>1</v>
      </c>
      <c r="Y106" s="57">
        <f t="shared" si="510"/>
        <v>1</v>
      </c>
      <c r="Z106" s="57">
        <f t="shared" si="510"/>
        <v>1</v>
      </c>
      <c r="AA106" s="57">
        <f t="shared" si="510"/>
        <v>1</v>
      </c>
      <c r="AB106" s="57">
        <f t="shared" si="510"/>
        <v>1</v>
      </c>
      <c r="AC106" s="57">
        <f t="shared" si="510"/>
        <v>1</v>
      </c>
      <c r="AD106" s="57">
        <f t="shared" si="510"/>
        <v>1</v>
      </c>
      <c r="AE106" s="57">
        <f t="shared" si="510"/>
        <v>1</v>
      </c>
      <c r="AF106" s="57">
        <f t="shared" si="510"/>
        <v>1</v>
      </c>
      <c r="AG106" s="57">
        <f t="shared" si="510"/>
        <v>1</v>
      </c>
      <c r="AH106" s="57">
        <f t="shared" ref="AH106:BH106" si="511">IF(IF((1-1)*12+1&lt;AH21,AH21,(1-1)*12+1)&gt;AH22,AH22,IF((1-1)*12+1&lt;AH21,AH21,(1-1)*12+1))</f>
        <v>1</v>
      </c>
      <c r="AI106" s="57">
        <f t="shared" si="511"/>
        <v>1</v>
      </c>
      <c r="AJ106" s="57">
        <f t="shared" si="511"/>
        <v>1</v>
      </c>
      <c r="AK106" s="57">
        <f t="shared" si="511"/>
        <v>1</v>
      </c>
      <c r="AL106" s="57">
        <f t="shared" si="511"/>
        <v>1</v>
      </c>
      <c r="AM106" s="57">
        <f t="shared" si="511"/>
        <v>1</v>
      </c>
      <c r="AN106" s="57">
        <f t="shared" si="511"/>
        <v>1</v>
      </c>
      <c r="AO106" s="57">
        <f t="shared" si="511"/>
        <v>1</v>
      </c>
      <c r="AP106" s="57">
        <f t="shared" si="511"/>
        <v>1</v>
      </c>
      <c r="AQ106" s="57">
        <f t="shared" si="511"/>
        <v>1</v>
      </c>
      <c r="AR106" s="57">
        <f t="shared" si="511"/>
        <v>1</v>
      </c>
      <c r="AS106" s="57">
        <f t="shared" si="511"/>
        <v>1</v>
      </c>
      <c r="AT106" s="57">
        <f t="shared" si="511"/>
        <v>1</v>
      </c>
      <c r="AU106" s="57">
        <f t="shared" si="511"/>
        <v>1</v>
      </c>
      <c r="AV106" s="57">
        <f t="shared" si="511"/>
        <v>1</v>
      </c>
      <c r="AW106" s="57">
        <f t="shared" si="511"/>
        <v>1</v>
      </c>
      <c r="AX106" s="57">
        <f t="shared" si="511"/>
        <v>1</v>
      </c>
      <c r="AY106" s="57">
        <f t="shared" si="511"/>
        <v>1</v>
      </c>
      <c r="AZ106" s="57">
        <f t="shared" si="511"/>
        <v>1</v>
      </c>
      <c r="BA106" s="57">
        <f t="shared" si="511"/>
        <v>1</v>
      </c>
      <c r="BB106" s="57">
        <f t="shared" si="511"/>
        <v>1</v>
      </c>
      <c r="BC106" s="57">
        <f t="shared" si="511"/>
        <v>1</v>
      </c>
      <c r="BD106" s="57">
        <f t="shared" si="511"/>
        <v>1</v>
      </c>
      <c r="BE106" s="57">
        <f t="shared" si="511"/>
        <v>1</v>
      </c>
      <c r="BF106" s="57">
        <f t="shared" si="511"/>
        <v>1</v>
      </c>
      <c r="BG106" s="57">
        <f t="shared" si="511"/>
        <v>1</v>
      </c>
      <c r="BH106" s="57">
        <f t="shared" si="511"/>
        <v>1</v>
      </c>
      <c r="BI106" s="57">
        <f t="shared" ref="BI106:DP106" si="512">IF(IF((1-1)*12+1&lt;BI21,BI21,(1-1)*12+1)&gt;BI22,BI22,IF((1-1)*12+1&lt;BI21,BI21,(1-1)*12+1))</f>
        <v>1</v>
      </c>
      <c r="BJ106" s="57">
        <f t="shared" si="512"/>
        <v>1</v>
      </c>
      <c r="BK106" s="57">
        <f t="shared" si="512"/>
        <v>1</v>
      </c>
      <c r="BL106" s="57">
        <f t="shared" si="512"/>
        <v>1</v>
      </c>
      <c r="BM106" s="57">
        <f t="shared" si="512"/>
        <v>1</v>
      </c>
      <c r="BN106" s="57">
        <f t="shared" si="512"/>
        <v>1</v>
      </c>
      <c r="BO106" s="57">
        <f t="shared" si="512"/>
        <v>1</v>
      </c>
      <c r="BP106" s="57">
        <f t="shared" si="512"/>
        <v>1</v>
      </c>
      <c r="BQ106" s="57">
        <f t="shared" si="512"/>
        <v>1</v>
      </c>
      <c r="BR106" s="57">
        <f t="shared" si="512"/>
        <v>1</v>
      </c>
      <c r="BS106" s="57">
        <f t="shared" si="512"/>
        <v>1</v>
      </c>
      <c r="BT106" s="57">
        <f t="shared" si="512"/>
        <v>1</v>
      </c>
      <c r="BU106" s="57">
        <f t="shared" si="512"/>
        <v>1</v>
      </c>
      <c r="BV106" s="57">
        <f t="shared" si="512"/>
        <v>1</v>
      </c>
      <c r="BW106" s="57">
        <f t="shared" si="512"/>
        <v>1</v>
      </c>
      <c r="BX106" s="57">
        <f t="shared" si="512"/>
        <v>1</v>
      </c>
      <c r="BY106" s="57">
        <f t="shared" si="512"/>
        <v>1</v>
      </c>
      <c r="BZ106" s="57">
        <f t="shared" si="512"/>
        <v>1</v>
      </c>
      <c r="CA106" s="57">
        <f t="shared" si="512"/>
        <v>1</v>
      </c>
      <c r="CB106" s="57">
        <f t="shared" si="512"/>
        <v>1</v>
      </c>
      <c r="CC106" s="57">
        <f t="shared" si="512"/>
        <v>1</v>
      </c>
      <c r="CD106" s="57">
        <f t="shared" si="512"/>
        <v>1</v>
      </c>
      <c r="CE106" s="57">
        <f t="shared" si="512"/>
        <v>1</v>
      </c>
      <c r="CF106" s="57">
        <f t="shared" si="512"/>
        <v>1</v>
      </c>
      <c r="CG106" s="57">
        <f t="shared" si="512"/>
        <v>1</v>
      </c>
      <c r="CH106" s="57">
        <f t="shared" si="512"/>
        <v>1</v>
      </c>
      <c r="CI106" s="57">
        <f t="shared" si="512"/>
        <v>1</v>
      </c>
      <c r="CJ106" s="57">
        <f t="shared" si="512"/>
        <v>1</v>
      </c>
      <c r="CK106" s="57">
        <f t="shared" si="512"/>
        <v>1</v>
      </c>
      <c r="CL106" s="57">
        <f t="shared" si="512"/>
        <v>1</v>
      </c>
      <c r="CM106" s="57">
        <f t="shared" si="512"/>
        <v>1</v>
      </c>
      <c r="CN106" s="57">
        <f t="shared" si="512"/>
        <v>1</v>
      </c>
      <c r="CO106" s="57">
        <f t="shared" si="512"/>
        <v>1</v>
      </c>
      <c r="CP106" s="57">
        <f t="shared" si="512"/>
        <v>1</v>
      </c>
      <c r="CQ106" s="57">
        <f t="shared" si="512"/>
        <v>1</v>
      </c>
      <c r="CR106" s="57">
        <f t="shared" si="512"/>
        <v>1</v>
      </c>
      <c r="CS106" s="57">
        <f t="shared" si="512"/>
        <v>1</v>
      </c>
      <c r="CT106" s="57">
        <f t="shared" si="512"/>
        <v>1</v>
      </c>
      <c r="CU106" s="57">
        <f t="shared" si="512"/>
        <v>1</v>
      </c>
      <c r="CV106" s="57">
        <f t="shared" si="512"/>
        <v>1</v>
      </c>
      <c r="CW106" s="57">
        <f t="shared" si="512"/>
        <v>1</v>
      </c>
      <c r="CX106" s="57">
        <f t="shared" si="512"/>
        <v>1</v>
      </c>
      <c r="CY106" s="57">
        <f t="shared" si="512"/>
        <v>1</v>
      </c>
      <c r="CZ106" s="57">
        <f t="shared" si="512"/>
        <v>1</v>
      </c>
      <c r="DA106" s="57">
        <f t="shared" si="512"/>
        <v>1</v>
      </c>
      <c r="DB106" s="57">
        <f t="shared" si="512"/>
        <v>1</v>
      </c>
      <c r="DC106" s="57">
        <f t="shared" si="512"/>
        <v>1</v>
      </c>
      <c r="DD106" s="57">
        <f t="shared" si="512"/>
        <v>1</v>
      </c>
      <c r="DE106" s="57">
        <f t="shared" si="512"/>
        <v>1</v>
      </c>
      <c r="DF106" s="57">
        <f t="shared" si="512"/>
        <v>1</v>
      </c>
      <c r="DG106" s="57">
        <f t="shared" si="512"/>
        <v>1</v>
      </c>
      <c r="DH106" s="57">
        <f t="shared" si="512"/>
        <v>1</v>
      </c>
      <c r="DI106" s="57">
        <f t="shared" si="512"/>
        <v>1</v>
      </c>
      <c r="DJ106" s="57">
        <f t="shared" si="512"/>
        <v>1</v>
      </c>
      <c r="DK106" s="57">
        <f t="shared" si="512"/>
        <v>1</v>
      </c>
      <c r="DL106" s="57">
        <f t="shared" si="512"/>
        <v>1</v>
      </c>
      <c r="DM106" s="57">
        <f t="shared" si="512"/>
        <v>1</v>
      </c>
      <c r="DN106" s="57">
        <f t="shared" si="512"/>
        <v>1</v>
      </c>
      <c r="DO106" s="57">
        <f t="shared" si="512"/>
        <v>1</v>
      </c>
      <c r="DP106" s="57">
        <f t="shared" si="512"/>
        <v>1</v>
      </c>
      <c r="DQ106" s="57">
        <f t="shared" ref="DQ106:FY106" si="513">IF(IF((1-1)*12+1&lt;DQ21,DQ21,(1-1)*12+1)&gt;DQ22,DQ22,IF((1-1)*12+1&lt;DQ21,DQ21,(1-1)*12+1))</f>
        <v>1</v>
      </c>
      <c r="DR106" s="57">
        <f t="shared" si="513"/>
        <v>1</v>
      </c>
      <c r="DS106" s="57">
        <f t="shared" si="513"/>
        <v>1</v>
      </c>
      <c r="DT106" s="57">
        <f t="shared" si="513"/>
        <v>1</v>
      </c>
      <c r="DU106" s="57">
        <f t="shared" si="513"/>
        <v>1</v>
      </c>
      <c r="DV106" s="57">
        <f t="shared" si="513"/>
        <v>1</v>
      </c>
      <c r="DW106" s="57">
        <f t="shared" si="513"/>
        <v>1</v>
      </c>
      <c r="DX106" s="57">
        <f t="shared" si="513"/>
        <v>1</v>
      </c>
      <c r="DY106" s="57">
        <f t="shared" si="513"/>
        <v>1</v>
      </c>
      <c r="DZ106" s="57">
        <f t="shared" si="513"/>
        <v>1</v>
      </c>
      <c r="EA106" s="57">
        <f t="shared" si="513"/>
        <v>1</v>
      </c>
      <c r="EB106" s="57">
        <f t="shared" si="513"/>
        <v>1</v>
      </c>
      <c r="EC106" s="57">
        <f t="shared" si="513"/>
        <v>1</v>
      </c>
      <c r="ED106" s="57">
        <f t="shared" si="513"/>
        <v>1</v>
      </c>
      <c r="EE106" s="57">
        <f t="shared" si="513"/>
        <v>1</v>
      </c>
      <c r="EF106" s="57">
        <f t="shared" si="513"/>
        <v>1</v>
      </c>
      <c r="EG106" s="57">
        <f t="shared" si="513"/>
        <v>1</v>
      </c>
      <c r="EH106" s="57">
        <f t="shared" si="513"/>
        <v>1</v>
      </c>
      <c r="EI106" s="57">
        <f t="shared" si="513"/>
        <v>1</v>
      </c>
      <c r="EJ106" s="57">
        <f t="shared" si="513"/>
        <v>1</v>
      </c>
      <c r="EK106" s="57">
        <f t="shared" si="513"/>
        <v>1</v>
      </c>
      <c r="EL106" s="57">
        <f t="shared" si="513"/>
        <v>1</v>
      </c>
      <c r="EM106" s="57">
        <f t="shared" si="513"/>
        <v>1</v>
      </c>
      <c r="EN106" s="57">
        <f t="shared" si="513"/>
        <v>1</v>
      </c>
      <c r="EO106" s="57">
        <f t="shared" si="513"/>
        <v>1</v>
      </c>
      <c r="EP106" s="57">
        <f t="shared" si="513"/>
        <v>1</v>
      </c>
      <c r="EQ106" s="57">
        <f t="shared" si="513"/>
        <v>1</v>
      </c>
      <c r="ER106" s="57">
        <f t="shared" si="513"/>
        <v>1</v>
      </c>
      <c r="ES106" s="57">
        <f t="shared" si="513"/>
        <v>1</v>
      </c>
      <c r="ET106" s="57">
        <f t="shared" si="513"/>
        <v>1</v>
      </c>
      <c r="EU106" s="57">
        <f t="shared" si="513"/>
        <v>1</v>
      </c>
      <c r="EV106" s="57">
        <f t="shared" si="513"/>
        <v>1</v>
      </c>
      <c r="EW106" s="57">
        <f t="shared" si="513"/>
        <v>1</v>
      </c>
      <c r="EX106" s="57">
        <f t="shared" si="513"/>
        <v>1</v>
      </c>
      <c r="EY106" s="57">
        <f t="shared" si="513"/>
        <v>1</v>
      </c>
      <c r="EZ106" s="57">
        <f t="shared" si="513"/>
        <v>1</v>
      </c>
      <c r="FA106" s="57">
        <f t="shared" si="513"/>
        <v>1</v>
      </c>
      <c r="FB106" s="57">
        <f t="shared" si="513"/>
        <v>1</v>
      </c>
      <c r="FC106" s="57">
        <f t="shared" si="513"/>
        <v>1</v>
      </c>
      <c r="FD106" s="57">
        <f t="shared" si="513"/>
        <v>1</v>
      </c>
      <c r="FE106" s="57">
        <f t="shared" si="513"/>
        <v>1</v>
      </c>
      <c r="FF106" s="57">
        <f t="shared" si="513"/>
        <v>1</v>
      </c>
      <c r="FG106" s="57">
        <f t="shared" si="513"/>
        <v>1</v>
      </c>
      <c r="FH106" s="57">
        <f t="shared" si="513"/>
        <v>1</v>
      </c>
      <c r="FI106" s="57">
        <f t="shared" si="513"/>
        <v>1</v>
      </c>
      <c r="FJ106" s="57">
        <f t="shared" si="513"/>
        <v>1</v>
      </c>
      <c r="FK106" s="57">
        <f t="shared" si="513"/>
        <v>1</v>
      </c>
      <c r="FL106" s="57">
        <f t="shared" si="513"/>
        <v>1</v>
      </c>
      <c r="FM106" s="57">
        <f t="shared" si="513"/>
        <v>1</v>
      </c>
      <c r="FN106" s="57">
        <f t="shared" si="513"/>
        <v>1</v>
      </c>
      <c r="FO106" s="57">
        <f t="shared" si="513"/>
        <v>1</v>
      </c>
      <c r="FP106" s="57">
        <f t="shared" si="513"/>
        <v>1</v>
      </c>
      <c r="FQ106" s="57">
        <f t="shared" si="513"/>
        <v>1</v>
      </c>
      <c r="FR106" s="57">
        <f t="shared" si="513"/>
        <v>1</v>
      </c>
      <c r="FS106" s="57">
        <f t="shared" si="513"/>
        <v>1</v>
      </c>
      <c r="FT106" s="57">
        <f t="shared" si="513"/>
        <v>1</v>
      </c>
      <c r="FU106" s="57">
        <f t="shared" si="513"/>
        <v>1</v>
      </c>
      <c r="FV106" s="57">
        <f t="shared" si="513"/>
        <v>1</v>
      </c>
      <c r="FW106" s="57">
        <f t="shared" si="513"/>
        <v>1</v>
      </c>
      <c r="FX106" s="57">
        <f t="shared" si="513"/>
        <v>1</v>
      </c>
      <c r="FY106" s="57">
        <f t="shared" si="513"/>
        <v>1</v>
      </c>
      <c r="FZ106" s="59"/>
    </row>
    <row r="107" spans="1:182" hidden="1" outlineLevel="1" x14ac:dyDescent="0.2">
      <c r="A107" s="87" t="s">
        <v>173</v>
      </c>
      <c r="B107" s="65">
        <f t="shared" ref="B107:AG107" si="514">IF(IF((1)*12&lt;B21,B21,(1)*12)&gt;B22,B22,IF((1)*12&lt;B21,B21,(1)*12))</f>
        <v>12</v>
      </c>
      <c r="C107" s="57">
        <f t="shared" si="514"/>
        <v>12</v>
      </c>
      <c r="D107" s="57">
        <f t="shared" si="514"/>
        <v>12</v>
      </c>
      <c r="E107" s="57">
        <f t="shared" si="514"/>
        <v>12</v>
      </c>
      <c r="F107" s="57">
        <f t="shared" si="514"/>
        <v>12</v>
      </c>
      <c r="G107" s="57">
        <f t="shared" si="514"/>
        <v>12</v>
      </c>
      <c r="H107" s="57">
        <f t="shared" si="514"/>
        <v>12</v>
      </c>
      <c r="I107" s="57">
        <f t="shared" si="514"/>
        <v>12</v>
      </c>
      <c r="J107" s="57">
        <f t="shared" si="514"/>
        <v>12</v>
      </c>
      <c r="K107" s="57">
        <f t="shared" si="514"/>
        <v>12</v>
      </c>
      <c r="L107" s="57">
        <f t="shared" si="514"/>
        <v>12</v>
      </c>
      <c r="M107" s="57">
        <f t="shared" si="514"/>
        <v>12</v>
      </c>
      <c r="N107" s="57">
        <f t="shared" si="514"/>
        <v>12</v>
      </c>
      <c r="O107" s="57">
        <f t="shared" si="514"/>
        <v>12</v>
      </c>
      <c r="P107" s="57">
        <f t="shared" si="514"/>
        <v>12</v>
      </c>
      <c r="Q107" s="57">
        <f t="shared" si="514"/>
        <v>12</v>
      </c>
      <c r="R107" s="57">
        <f t="shared" si="514"/>
        <v>12</v>
      </c>
      <c r="S107" s="57">
        <f t="shared" si="514"/>
        <v>12</v>
      </c>
      <c r="T107" s="57">
        <f t="shared" si="514"/>
        <v>12</v>
      </c>
      <c r="U107" s="57">
        <f t="shared" si="514"/>
        <v>12</v>
      </c>
      <c r="V107" s="57">
        <f t="shared" si="514"/>
        <v>12</v>
      </c>
      <c r="W107" s="57">
        <f t="shared" si="514"/>
        <v>12</v>
      </c>
      <c r="X107" s="57">
        <f t="shared" si="514"/>
        <v>12</v>
      </c>
      <c r="Y107" s="57">
        <f t="shared" si="514"/>
        <v>12</v>
      </c>
      <c r="Z107" s="57">
        <f t="shared" si="514"/>
        <v>12</v>
      </c>
      <c r="AA107" s="57">
        <f t="shared" si="514"/>
        <v>12</v>
      </c>
      <c r="AB107" s="57">
        <f t="shared" si="514"/>
        <v>12</v>
      </c>
      <c r="AC107" s="57">
        <f t="shared" si="514"/>
        <v>12</v>
      </c>
      <c r="AD107" s="57">
        <f t="shared" si="514"/>
        <v>12</v>
      </c>
      <c r="AE107" s="57">
        <f t="shared" si="514"/>
        <v>12</v>
      </c>
      <c r="AF107" s="57">
        <f t="shared" si="514"/>
        <v>12</v>
      </c>
      <c r="AG107" s="57">
        <f t="shared" si="514"/>
        <v>12</v>
      </c>
      <c r="AH107" s="57">
        <f t="shared" ref="AH107:BH107" si="515">IF(IF((1)*12&lt;AH21,AH21,(1)*12)&gt;AH22,AH22,IF((1)*12&lt;AH21,AH21,(1)*12))</f>
        <v>12</v>
      </c>
      <c r="AI107" s="57">
        <f t="shared" si="515"/>
        <v>12</v>
      </c>
      <c r="AJ107" s="57">
        <f t="shared" si="515"/>
        <v>12</v>
      </c>
      <c r="AK107" s="57">
        <f t="shared" si="515"/>
        <v>12</v>
      </c>
      <c r="AL107" s="57">
        <f t="shared" si="515"/>
        <v>12</v>
      </c>
      <c r="AM107" s="57">
        <f t="shared" si="515"/>
        <v>12</v>
      </c>
      <c r="AN107" s="57">
        <f t="shared" si="515"/>
        <v>12</v>
      </c>
      <c r="AO107" s="57">
        <f t="shared" si="515"/>
        <v>12</v>
      </c>
      <c r="AP107" s="57">
        <f t="shared" si="515"/>
        <v>12</v>
      </c>
      <c r="AQ107" s="57">
        <f t="shared" si="515"/>
        <v>12</v>
      </c>
      <c r="AR107" s="57">
        <f t="shared" si="515"/>
        <v>12</v>
      </c>
      <c r="AS107" s="57">
        <f t="shared" si="515"/>
        <v>12</v>
      </c>
      <c r="AT107" s="57">
        <f t="shared" si="515"/>
        <v>12</v>
      </c>
      <c r="AU107" s="57">
        <f t="shared" si="515"/>
        <v>12</v>
      </c>
      <c r="AV107" s="57">
        <f t="shared" si="515"/>
        <v>12</v>
      </c>
      <c r="AW107" s="57">
        <f t="shared" si="515"/>
        <v>12</v>
      </c>
      <c r="AX107" s="57">
        <f t="shared" si="515"/>
        <v>12</v>
      </c>
      <c r="AY107" s="57">
        <f t="shared" si="515"/>
        <v>12</v>
      </c>
      <c r="AZ107" s="57">
        <f t="shared" si="515"/>
        <v>12</v>
      </c>
      <c r="BA107" s="57">
        <f t="shared" si="515"/>
        <v>12</v>
      </c>
      <c r="BB107" s="57">
        <f t="shared" si="515"/>
        <v>12</v>
      </c>
      <c r="BC107" s="57">
        <f t="shared" si="515"/>
        <v>12</v>
      </c>
      <c r="BD107" s="57">
        <f t="shared" si="515"/>
        <v>12</v>
      </c>
      <c r="BE107" s="57">
        <f t="shared" si="515"/>
        <v>12</v>
      </c>
      <c r="BF107" s="57">
        <f t="shared" si="515"/>
        <v>12</v>
      </c>
      <c r="BG107" s="57">
        <f t="shared" si="515"/>
        <v>12</v>
      </c>
      <c r="BH107" s="57">
        <f t="shared" si="515"/>
        <v>12</v>
      </c>
      <c r="BI107" s="57">
        <f t="shared" ref="BI107:DP107" si="516">IF(IF((1)*12&lt;BI21,BI21,(1)*12)&gt;BI22,BI22,IF((1)*12&lt;BI21,BI21,(1)*12))</f>
        <v>12</v>
      </c>
      <c r="BJ107" s="57">
        <f t="shared" si="516"/>
        <v>12</v>
      </c>
      <c r="BK107" s="57">
        <f t="shared" si="516"/>
        <v>12</v>
      </c>
      <c r="BL107" s="57">
        <f t="shared" si="516"/>
        <v>12</v>
      </c>
      <c r="BM107" s="57">
        <f t="shared" si="516"/>
        <v>12</v>
      </c>
      <c r="BN107" s="57">
        <f t="shared" si="516"/>
        <v>12</v>
      </c>
      <c r="BO107" s="57">
        <f t="shared" si="516"/>
        <v>12</v>
      </c>
      <c r="BP107" s="57">
        <f t="shared" si="516"/>
        <v>12</v>
      </c>
      <c r="BQ107" s="57">
        <f t="shared" si="516"/>
        <v>12</v>
      </c>
      <c r="BR107" s="57">
        <f t="shared" si="516"/>
        <v>12</v>
      </c>
      <c r="BS107" s="57">
        <f t="shared" si="516"/>
        <v>12</v>
      </c>
      <c r="BT107" s="57">
        <f t="shared" si="516"/>
        <v>12</v>
      </c>
      <c r="BU107" s="57">
        <f t="shared" si="516"/>
        <v>12</v>
      </c>
      <c r="BV107" s="57">
        <f t="shared" si="516"/>
        <v>12</v>
      </c>
      <c r="BW107" s="57">
        <f t="shared" si="516"/>
        <v>12</v>
      </c>
      <c r="BX107" s="57">
        <f t="shared" si="516"/>
        <v>12</v>
      </c>
      <c r="BY107" s="57">
        <f t="shared" si="516"/>
        <v>12</v>
      </c>
      <c r="BZ107" s="57">
        <f t="shared" si="516"/>
        <v>12</v>
      </c>
      <c r="CA107" s="57">
        <f t="shared" si="516"/>
        <v>12</v>
      </c>
      <c r="CB107" s="57">
        <f t="shared" si="516"/>
        <v>12</v>
      </c>
      <c r="CC107" s="57">
        <f t="shared" si="516"/>
        <v>12</v>
      </c>
      <c r="CD107" s="57">
        <f t="shared" si="516"/>
        <v>12</v>
      </c>
      <c r="CE107" s="57">
        <f t="shared" si="516"/>
        <v>12</v>
      </c>
      <c r="CF107" s="57">
        <f t="shared" si="516"/>
        <v>12</v>
      </c>
      <c r="CG107" s="57">
        <f t="shared" si="516"/>
        <v>12</v>
      </c>
      <c r="CH107" s="57">
        <f t="shared" si="516"/>
        <v>12</v>
      </c>
      <c r="CI107" s="57">
        <f t="shared" si="516"/>
        <v>12</v>
      </c>
      <c r="CJ107" s="57">
        <f t="shared" si="516"/>
        <v>12</v>
      </c>
      <c r="CK107" s="57">
        <f t="shared" si="516"/>
        <v>12</v>
      </c>
      <c r="CL107" s="57">
        <f t="shared" si="516"/>
        <v>12</v>
      </c>
      <c r="CM107" s="57">
        <f t="shared" si="516"/>
        <v>12</v>
      </c>
      <c r="CN107" s="57">
        <f t="shared" si="516"/>
        <v>12</v>
      </c>
      <c r="CO107" s="57">
        <f t="shared" si="516"/>
        <v>12</v>
      </c>
      <c r="CP107" s="57">
        <f t="shared" si="516"/>
        <v>12</v>
      </c>
      <c r="CQ107" s="57">
        <f t="shared" si="516"/>
        <v>12</v>
      </c>
      <c r="CR107" s="57">
        <f t="shared" si="516"/>
        <v>12</v>
      </c>
      <c r="CS107" s="57">
        <f t="shared" si="516"/>
        <v>12</v>
      </c>
      <c r="CT107" s="57">
        <f t="shared" si="516"/>
        <v>12</v>
      </c>
      <c r="CU107" s="57">
        <f t="shared" si="516"/>
        <v>12</v>
      </c>
      <c r="CV107" s="57">
        <f t="shared" si="516"/>
        <v>12</v>
      </c>
      <c r="CW107" s="57">
        <f t="shared" si="516"/>
        <v>12</v>
      </c>
      <c r="CX107" s="57">
        <f t="shared" si="516"/>
        <v>12</v>
      </c>
      <c r="CY107" s="57">
        <f t="shared" si="516"/>
        <v>12</v>
      </c>
      <c r="CZ107" s="57">
        <f t="shared" si="516"/>
        <v>12</v>
      </c>
      <c r="DA107" s="57">
        <f t="shared" si="516"/>
        <v>12</v>
      </c>
      <c r="DB107" s="57">
        <f t="shared" si="516"/>
        <v>12</v>
      </c>
      <c r="DC107" s="57">
        <f t="shared" si="516"/>
        <v>12</v>
      </c>
      <c r="DD107" s="57">
        <f t="shared" si="516"/>
        <v>12</v>
      </c>
      <c r="DE107" s="57">
        <f t="shared" si="516"/>
        <v>12</v>
      </c>
      <c r="DF107" s="57">
        <f t="shared" si="516"/>
        <v>12</v>
      </c>
      <c r="DG107" s="57">
        <f t="shared" si="516"/>
        <v>12</v>
      </c>
      <c r="DH107" s="57">
        <f t="shared" si="516"/>
        <v>12</v>
      </c>
      <c r="DI107" s="57">
        <f t="shared" si="516"/>
        <v>12</v>
      </c>
      <c r="DJ107" s="57">
        <f t="shared" si="516"/>
        <v>12</v>
      </c>
      <c r="DK107" s="57">
        <f t="shared" si="516"/>
        <v>12</v>
      </c>
      <c r="DL107" s="57">
        <f t="shared" si="516"/>
        <v>12</v>
      </c>
      <c r="DM107" s="57">
        <f t="shared" si="516"/>
        <v>12</v>
      </c>
      <c r="DN107" s="57">
        <f t="shared" si="516"/>
        <v>12</v>
      </c>
      <c r="DO107" s="57">
        <f t="shared" si="516"/>
        <v>12</v>
      </c>
      <c r="DP107" s="57">
        <f t="shared" si="516"/>
        <v>12</v>
      </c>
      <c r="DQ107" s="57">
        <f t="shared" ref="DQ107:FY107" si="517">IF(IF((1)*12&lt;DQ21,DQ21,(1)*12)&gt;DQ22,DQ22,IF((1)*12&lt;DQ21,DQ21,(1)*12))</f>
        <v>12</v>
      </c>
      <c r="DR107" s="57">
        <f t="shared" si="517"/>
        <v>12</v>
      </c>
      <c r="DS107" s="57">
        <f t="shared" si="517"/>
        <v>12</v>
      </c>
      <c r="DT107" s="57">
        <f t="shared" si="517"/>
        <v>12</v>
      </c>
      <c r="DU107" s="57">
        <f t="shared" si="517"/>
        <v>12</v>
      </c>
      <c r="DV107" s="57">
        <f t="shared" si="517"/>
        <v>12</v>
      </c>
      <c r="DW107" s="57">
        <f t="shared" si="517"/>
        <v>12</v>
      </c>
      <c r="DX107" s="57">
        <f t="shared" si="517"/>
        <v>12</v>
      </c>
      <c r="DY107" s="57">
        <f t="shared" si="517"/>
        <v>12</v>
      </c>
      <c r="DZ107" s="57">
        <f t="shared" si="517"/>
        <v>12</v>
      </c>
      <c r="EA107" s="57">
        <f t="shared" si="517"/>
        <v>12</v>
      </c>
      <c r="EB107" s="57">
        <f t="shared" si="517"/>
        <v>12</v>
      </c>
      <c r="EC107" s="57">
        <f t="shared" si="517"/>
        <v>12</v>
      </c>
      <c r="ED107" s="57">
        <f t="shared" si="517"/>
        <v>12</v>
      </c>
      <c r="EE107" s="57">
        <f t="shared" si="517"/>
        <v>12</v>
      </c>
      <c r="EF107" s="57">
        <f t="shared" si="517"/>
        <v>12</v>
      </c>
      <c r="EG107" s="57">
        <f t="shared" si="517"/>
        <v>12</v>
      </c>
      <c r="EH107" s="57">
        <f t="shared" si="517"/>
        <v>12</v>
      </c>
      <c r="EI107" s="57">
        <f t="shared" si="517"/>
        <v>12</v>
      </c>
      <c r="EJ107" s="57">
        <f t="shared" si="517"/>
        <v>12</v>
      </c>
      <c r="EK107" s="57">
        <f t="shared" si="517"/>
        <v>12</v>
      </c>
      <c r="EL107" s="57">
        <f t="shared" si="517"/>
        <v>12</v>
      </c>
      <c r="EM107" s="57">
        <f t="shared" si="517"/>
        <v>12</v>
      </c>
      <c r="EN107" s="57">
        <f t="shared" si="517"/>
        <v>12</v>
      </c>
      <c r="EO107" s="57">
        <f t="shared" si="517"/>
        <v>12</v>
      </c>
      <c r="EP107" s="57">
        <f t="shared" si="517"/>
        <v>12</v>
      </c>
      <c r="EQ107" s="57">
        <f t="shared" si="517"/>
        <v>12</v>
      </c>
      <c r="ER107" s="57">
        <f t="shared" si="517"/>
        <v>12</v>
      </c>
      <c r="ES107" s="57">
        <f t="shared" si="517"/>
        <v>12</v>
      </c>
      <c r="ET107" s="57">
        <f t="shared" si="517"/>
        <v>12</v>
      </c>
      <c r="EU107" s="57">
        <f t="shared" si="517"/>
        <v>12</v>
      </c>
      <c r="EV107" s="57">
        <f t="shared" si="517"/>
        <v>12</v>
      </c>
      <c r="EW107" s="57">
        <f t="shared" si="517"/>
        <v>12</v>
      </c>
      <c r="EX107" s="57">
        <f t="shared" si="517"/>
        <v>12</v>
      </c>
      <c r="EY107" s="57">
        <f t="shared" si="517"/>
        <v>12</v>
      </c>
      <c r="EZ107" s="57">
        <f t="shared" si="517"/>
        <v>12</v>
      </c>
      <c r="FA107" s="57">
        <f t="shared" si="517"/>
        <v>12</v>
      </c>
      <c r="FB107" s="57">
        <f t="shared" si="517"/>
        <v>12</v>
      </c>
      <c r="FC107" s="57">
        <f t="shared" si="517"/>
        <v>12</v>
      </c>
      <c r="FD107" s="57">
        <f t="shared" si="517"/>
        <v>12</v>
      </c>
      <c r="FE107" s="57">
        <f t="shared" si="517"/>
        <v>12</v>
      </c>
      <c r="FF107" s="57">
        <f t="shared" si="517"/>
        <v>12</v>
      </c>
      <c r="FG107" s="57">
        <f t="shared" si="517"/>
        <v>12</v>
      </c>
      <c r="FH107" s="57">
        <f t="shared" si="517"/>
        <v>12</v>
      </c>
      <c r="FI107" s="57">
        <f t="shared" si="517"/>
        <v>12</v>
      </c>
      <c r="FJ107" s="57">
        <f t="shared" si="517"/>
        <v>12</v>
      </c>
      <c r="FK107" s="57">
        <f t="shared" si="517"/>
        <v>12</v>
      </c>
      <c r="FL107" s="57">
        <f t="shared" si="517"/>
        <v>12</v>
      </c>
      <c r="FM107" s="57">
        <f t="shared" si="517"/>
        <v>12</v>
      </c>
      <c r="FN107" s="57">
        <f t="shared" si="517"/>
        <v>12</v>
      </c>
      <c r="FO107" s="57">
        <f t="shared" si="517"/>
        <v>12</v>
      </c>
      <c r="FP107" s="57">
        <f t="shared" si="517"/>
        <v>12</v>
      </c>
      <c r="FQ107" s="57">
        <f t="shared" si="517"/>
        <v>12</v>
      </c>
      <c r="FR107" s="57">
        <f t="shared" si="517"/>
        <v>12</v>
      </c>
      <c r="FS107" s="57">
        <f t="shared" si="517"/>
        <v>12</v>
      </c>
      <c r="FT107" s="57">
        <f t="shared" si="517"/>
        <v>12</v>
      </c>
      <c r="FU107" s="57">
        <f t="shared" si="517"/>
        <v>12</v>
      </c>
      <c r="FV107" s="57">
        <f t="shared" si="517"/>
        <v>12</v>
      </c>
      <c r="FW107" s="57">
        <f t="shared" si="517"/>
        <v>12</v>
      </c>
      <c r="FX107" s="57">
        <f t="shared" si="517"/>
        <v>12</v>
      </c>
      <c r="FY107" s="57">
        <f t="shared" si="517"/>
        <v>12</v>
      </c>
      <c r="FZ107" s="59"/>
    </row>
    <row r="108" spans="1:182" hidden="1" outlineLevel="1" x14ac:dyDescent="0.2">
      <c r="A108" s="81"/>
      <c r="B108" s="8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2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2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2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2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  <c r="CB108" s="80"/>
      <c r="CC108" s="80"/>
      <c r="CD108" s="80"/>
      <c r="CE108" s="80"/>
      <c r="CF108" s="80"/>
      <c r="CG108" s="80"/>
      <c r="CH108" s="80"/>
      <c r="CI108" s="80"/>
      <c r="CJ108" s="80"/>
      <c r="CK108" s="80"/>
      <c r="CL108" s="80"/>
      <c r="CM108" s="80"/>
      <c r="CN108" s="80"/>
      <c r="CO108" s="80"/>
      <c r="CP108" s="80"/>
      <c r="CQ108" s="80"/>
      <c r="CR108" s="80"/>
      <c r="CS108" s="80"/>
      <c r="CT108" s="80"/>
      <c r="CU108" s="80"/>
      <c r="CV108" s="80"/>
      <c r="CW108" s="80"/>
      <c r="CX108" s="80"/>
      <c r="CY108" s="80"/>
      <c r="CZ108" s="80"/>
      <c r="DA108" s="80"/>
      <c r="DB108" s="80"/>
      <c r="DC108" s="80"/>
      <c r="DD108" s="80"/>
      <c r="DE108" s="80"/>
      <c r="DF108" s="80"/>
      <c r="DG108" s="80"/>
      <c r="DH108" s="80"/>
      <c r="DI108" s="80"/>
      <c r="DJ108" s="80"/>
      <c r="DK108" s="80"/>
      <c r="DL108" s="80"/>
      <c r="DM108" s="80"/>
      <c r="DN108" s="80"/>
      <c r="DO108" s="80"/>
      <c r="DP108" s="80"/>
      <c r="DQ108" s="80"/>
      <c r="DR108" s="80"/>
      <c r="DS108" s="80"/>
      <c r="DT108" s="80"/>
      <c r="DU108" s="80"/>
      <c r="DV108" s="80"/>
      <c r="DW108" s="80"/>
      <c r="DX108" s="80"/>
      <c r="DY108" s="80"/>
      <c r="DZ108" s="80"/>
      <c r="EA108" s="80"/>
      <c r="EB108" s="80"/>
      <c r="EC108" s="80"/>
      <c r="ED108" s="80"/>
      <c r="EE108" s="80"/>
      <c r="EF108" s="80"/>
      <c r="EG108" s="80"/>
      <c r="EH108" s="80"/>
      <c r="EI108" s="80"/>
      <c r="EJ108" s="80"/>
      <c r="EK108" s="80"/>
      <c r="EL108" s="80"/>
      <c r="EM108" s="80"/>
      <c r="EN108" s="80"/>
      <c r="EO108" s="80"/>
      <c r="EP108" s="80"/>
      <c r="EQ108" s="80"/>
      <c r="ER108" s="80"/>
      <c r="ES108" s="80"/>
      <c r="ET108" s="80"/>
      <c r="EU108" s="80"/>
      <c r="EV108" s="80"/>
      <c r="EW108" s="80"/>
      <c r="EX108" s="80"/>
      <c r="EY108" s="80"/>
      <c r="EZ108" s="80"/>
      <c r="FA108" s="80"/>
      <c r="FB108" s="80"/>
      <c r="FC108" s="80"/>
      <c r="FD108" s="80"/>
      <c r="FE108" s="80"/>
      <c r="FF108" s="80"/>
      <c r="FG108" s="80"/>
      <c r="FH108" s="80"/>
      <c r="FI108" s="80"/>
      <c r="FJ108" s="80"/>
      <c r="FK108" s="80"/>
      <c r="FL108" s="80"/>
      <c r="FM108" s="80"/>
      <c r="FN108" s="80"/>
      <c r="FO108" s="80"/>
      <c r="FP108" s="80"/>
      <c r="FQ108" s="80"/>
      <c r="FR108" s="80"/>
      <c r="FS108" s="80"/>
      <c r="FT108" s="80"/>
      <c r="FU108" s="80"/>
      <c r="FV108" s="80"/>
      <c r="FW108" s="80"/>
      <c r="FX108" s="80"/>
      <c r="FY108" s="80"/>
      <c r="FZ108" s="80"/>
    </row>
    <row r="109" spans="1:182" hidden="1" outlineLevel="1" x14ac:dyDescent="0.2">
      <c r="A109" s="81" t="s">
        <v>149</v>
      </c>
      <c r="B109" s="8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2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2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2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2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80"/>
      <c r="CA109" s="80"/>
      <c r="CB109" s="80"/>
      <c r="CC109" s="80"/>
      <c r="CD109" s="80"/>
      <c r="CE109" s="80"/>
      <c r="CF109" s="80"/>
      <c r="CG109" s="80"/>
      <c r="CH109" s="80"/>
      <c r="CI109" s="80"/>
      <c r="CJ109" s="80"/>
      <c r="CK109" s="80"/>
      <c r="CL109" s="80"/>
      <c r="CM109" s="80"/>
      <c r="CN109" s="80"/>
      <c r="CO109" s="80"/>
      <c r="CP109" s="80"/>
      <c r="CQ109" s="80"/>
      <c r="CR109" s="80"/>
      <c r="CS109" s="80"/>
      <c r="CT109" s="80"/>
      <c r="CU109" s="80"/>
      <c r="CV109" s="80"/>
      <c r="CW109" s="80"/>
      <c r="CX109" s="80"/>
      <c r="CY109" s="80"/>
      <c r="CZ109" s="80"/>
      <c r="DA109" s="80"/>
      <c r="DB109" s="80"/>
      <c r="DC109" s="80"/>
      <c r="DD109" s="80"/>
      <c r="DE109" s="80"/>
      <c r="DF109" s="80"/>
      <c r="DG109" s="80"/>
      <c r="DH109" s="80"/>
      <c r="DI109" s="80"/>
      <c r="DJ109" s="80"/>
      <c r="DK109" s="80"/>
      <c r="DL109" s="80"/>
      <c r="DM109" s="80"/>
      <c r="DN109" s="80"/>
      <c r="DO109" s="80"/>
      <c r="DP109" s="80"/>
      <c r="DQ109" s="80"/>
      <c r="DR109" s="80"/>
      <c r="DS109" s="80"/>
      <c r="DT109" s="80"/>
      <c r="DU109" s="80"/>
      <c r="DV109" s="80"/>
      <c r="DW109" s="80"/>
      <c r="DX109" s="80"/>
      <c r="DY109" s="80"/>
      <c r="DZ109" s="80"/>
      <c r="EA109" s="80"/>
      <c r="EB109" s="80"/>
      <c r="EC109" s="80"/>
      <c r="ED109" s="80"/>
      <c r="EE109" s="80"/>
      <c r="EF109" s="80"/>
      <c r="EG109" s="80"/>
      <c r="EH109" s="80"/>
      <c r="EI109" s="80"/>
      <c r="EJ109" s="80"/>
      <c r="EK109" s="80"/>
      <c r="EL109" s="80"/>
      <c r="EM109" s="80"/>
      <c r="EN109" s="80"/>
      <c r="EO109" s="80"/>
      <c r="EP109" s="80"/>
      <c r="EQ109" s="80"/>
      <c r="ER109" s="80"/>
      <c r="ES109" s="80"/>
      <c r="ET109" s="80"/>
      <c r="EU109" s="80"/>
      <c r="EV109" s="80"/>
      <c r="EW109" s="80"/>
      <c r="EX109" s="80"/>
      <c r="EY109" s="80"/>
      <c r="EZ109" s="80"/>
      <c r="FA109" s="80"/>
      <c r="FB109" s="80"/>
      <c r="FC109" s="80"/>
      <c r="FD109" s="80"/>
      <c r="FE109" s="80"/>
      <c r="FF109" s="80"/>
      <c r="FG109" s="80"/>
      <c r="FH109" s="80"/>
      <c r="FI109" s="80"/>
      <c r="FJ109" s="80"/>
      <c r="FK109" s="80"/>
      <c r="FL109" s="80"/>
      <c r="FM109" s="80"/>
      <c r="FN109" s="80"/>
      <c r="FO109" s="80"/>
      <c r="FP109" s="80"/>
      <c r="FQ109" s="80"/>
      <c r="FR109" s="80"/>
      <c r="FS109" s="80"/>
      <c r="FT109" s="80"/>
      <c r="FU109" s="80"/>
      <c r="FV109" s="80"/>
      <c r="FW109" s="80"/>
      <c r="FX109" s="80"/>
      <c r="FY109" s="80"/>
      <c r="FZ109" s="80"/>
    </row>
    <row r="110" spans="1:182" s="293" customFormat="1" hidden="1" outlineLevel="1" x14ac:dyDescent="0.2">
      <c r="A110" s="83" t="s">
        <v>186</v>
      </c>
      <c r="B110" s="84">
        <f>(1/B100^IF((12-B98+1)&lt;0,0,(12-B98+1))-(1/B100^IF(((B114)-B98+1)&lt;0,0,((B114)-B98+1))))/(B100-1)</f>
        <v>11.023393737000152</v>
      </c>
      <c r="C110" s="85">
        <f t="shared" ref="C110:Y110" si="518">(1/C100^IF((12-C98+1)&lt;0,0,(12-C98+1))-(1/C100^IF(((C114)-C98+1)&lt;0,0,((C114)-C98+1))))/(C100-1)</f>
        <v>11.071549386404531</v>
      </c>
      <c r="D110" s="85">
        <f t="shared" si="518"/>
        <v>11.119915403561818</v>
      </c>
      <c r="E110" s="85">
        <f t="shared" si="518"/>
        <v>11.168492707462649</v>
      </c>
      <c r="F110" s="85">
        <f t="shared" si="518"/>
        <v>11.217282221112288</v>
      </c>
      <c r="G110" s="85">
        <f t="shared" si="518"/>
        <v>11.266284871548079</v>
      </c>
      <c r="H110" s="85">
        <f t="shared" si="518"/>
        <v>11.315501589857206</v>
      </c>
      <c r="I110" s="85">
        <f t="shared" si="518"/>
        <v>11.364933311194267</v>
      </c>
      <c r="J110" s="85">
        <f t="shared" si="518"/>
        <v>11.414580974799108</v>
      </c>
      <c r="K110" s="85">
        <f t="shared" si="518"/>
        <v>11.464445524014613</v>
      </c>
      <c r="L110" s="85">
        <f t="shared" si="518"/>
        <v>11.514527906304647</v>
      </c>
      <c r="M110" s="85">
        <f t="shared" si="518"/>
        <v>11.564829073272147</v>
      </c>
      <c r="N110" s="85">
        <f t="shared" si="518"/>
        <v>11.615349980677049</v>
      </c>
      <c r="O110" s="85">
        <f t="shared" si="518"/>
        <v>11.666091588454478</v>
      </c>
      <c r="P110" s="85">
        <f t="shared" si="518"/>
        <v>10.717054860733144</v>
      </c>
      <c r="Q110" s="85">
        <f t="shared" si="518"/>
        <v>9.7638722700386715</v>
      </c>
      <c r="R110" s="85">
        <f t="shared" si="518"/>
        <v>8.8065257051860577</v>
      </c>
      <c r="S110" s="85">
        <f t="shared" si="518"/>
        <v>7.8449969758716236</v>
      </c>
      <c r="T110" s="85">
        <f t="shared" si="518"/>
        <v>6.8792678123274458</v>
      </c>
      <c r="U110" s="85">
        <f t="shared" si="518"/>
        <v>5.9093198649741243</v>
      </c>
      <c r="V110" s="85">
        <f t="shared" si="518"/>
        <v>4.9351347040723015</v>
      </c>
      <c r="W110" s="85">
        <f t="shared" si="518"/>
        <v>3.9566938193722483</v>
      </c>
      <c r="X110" s="85">
        <f t="shared" si="518"/>
        <v>2.9739786197624354</v>
      </c>
      <c r="Y110" s="85">
        <f t="shared" si="518"/>
        <v>1.9869704329160223</v>
      </c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  <c r="DF110" s="85"/>
      <c r="DG110" s="85"/>
      <c r="DH110" s="85"/>
      <c r="DI110" s="85"/>
      <c r="DJ110" s="85"/>
      <c r="DK110" s="85"/>
      <c r="DL110" s="85"/>
      <c r="DM110" s="85"/>
      <c r="DN110" s="85"/>
      <c r="DO110" s="85"/>
      <c r="DP110" s="85"/>
      <c r="DQ110" s="85"/>
      <c r="DR110" s="85"/>
      <c r="DS110" s="85"/>
      <c r="DT110" s="85"/>
      <c r="DU110" s="85"/>
      <c r="DV110" s="85"/>
      <c r="DW110" s="85"/>
      <c r="DX110" s="85"/>
      <c r="DY110" s="85"/>
      <c r="DZ110" s="85"/>
      <c r="EA110" s="85"/>
      <c r="EB110" s="85"/>
      <c r="EC110" s="85"/>
      <c r="ED110" s="85"/>
      <c r="EE110" s="85"/>
      <c r="EF110" s="85"/>
      <c r="EG110" s="85"/>
      <c r="EH110" s="85"/>
      <c r="EI110" s="85"/>
      <c r="EJ110" s="85"/>
      <c r="EK110" s="85"/>
      <c r="EL110" s="85"/>
      <c r="EM110" s="85"/>
      <c r="EN110" s="85"/>
      <c r="EO110" s="85"/>
      <c r="EP110" s="85"/>
      <c r="EQ110" s="85"/>
      <c r="ER110" s="85"/>
      <c r="ES110" s="85"/>
      <c r="ET110" s="85"/>
      <c r="EU110" s="85"/>
      <c r="EV110" s="85"/>
      <c r="EW110" s="85"/>
      <c r="EX110" s="85"/>
      <c r="EY110" s="85"/>
      <c r="EZ110" s="85"/>
      <c r="FA110" s="85"/>
      <c r="FB110" s="85"/>
      <c r="FC110" s="85"/>
      <c r="FD110" s="85"/>
      <c r="FE110" s="85"/>
      <c r="FF110" s="85"/>
      <c r="FG110" s="85"/>
      <c r="FH110" s="85"/>
      <c r="FI110" s="85"/>
      <c r="FJ110" s="85"/>
      <c r="FK110" s="85"/>
      <c r="FL110" s="85"/>
      <c r="FM110" s="85"/>
      <c r="FN110" s="85"/>
      <c r="FO110" s="85"/>
      <c r="FP110" s="85"/>
      <c r="FQ110" s="85"/>
      <c r="FR110" s="85"/>
      <c r="FS110" s="85"/>
      <c r="FT110" s="85"/>
      <c r="FU110" s="85"/>
      <c r="FV110" s="85"/>
      <c r="FW110" s="85"/>
      <c r="FX110" s="85"/>
      <c r="FY110" s="85"/>
      <c r="FZ110" s="86"/>
    </row>
    <row r="111" spans="1:182" s="293" customFormat="1" hidden="1" outlineLevel="1" x14ac:dyDescent="0.2">
      <c r="A111" s="83" t="s">
        <v>187</v>
      </c>
      <c r="B111" s="84">
        <f>(1/B100^IF((24-B98+1)&lt;0,0,(24-B98+1))-(1/B100^IF((12+(B114)-B98+1)&lt;0,0,(12+(B114)-B98+1))))/(B100-1)</f>
        <v>10.461605520546838</v>
      </c>
      <c r="C111" s="85">
        <f t="shared" ref="C111:M111" si="519">(1/C100^IF((24-C98+1)&lt;0,0,(24-C98+1))-(1/C100^IF((12+(C114)-C98+1)&lt;0,0,(12+(C114)-C98+1))))/(C100-1)</f>
        <v>10.507307000478871</v>
      </c>
      <c r="D111" s="85">
        <f t="shared" si="519"/>
        <v>10.553208127134743</v>
      </c>
      <c r="E111" s="85">
        <f t="shared" si="519"/>
        <v>10.599309772670306</v>
      </c>
      <c r="F111" s="85">
        <f t="shared" si="519"/>
        <v>10.645612813051404</v>
      </c>
      <c r="G111" s="85">
        <f t="shared" si="519"/>
        <v>10.692118128070657</v>
      </c>
      <c r="H111" s="85">
        <f t="shared" si="519"/>
        <v>10.738826601363897</v>
      </c>
      <c r="I111" s="85">
        <f t="shared" si="519"/>
        <v>10.78573912042728</v>
      </c>
      <c r="J111" s="85">
        <f t="shared" si="519"/>
        <v>10.832856576633818</v>
      </c>
      <c r="K111" s="85">
        <f t="shared" si="519"/>
        <v>10.88017986525068</v>
      </c>
      <c r="L111" s="85">
        <f t="shared" si="519"/>
        <v>10.927709885455764</v>
      </c>
      <c r="M111" s="85">
        <f t="shared" si="519"/>
        <v>10.975447540355153</v>
      </c>
      <c r="N111" s="85">
        <f>(1/N100^IF((24-N98+1+(N98-12-1))&lt;0,0,(24-N98+1+(N98-12-1)))-(1/N100^IF((12+(N114)-N98+1)&lt;0,0,(12+(N114)-N98+1))))/(N100-1)</f>
        <v>11.968302634158947</v>
      </c>
      <c r="O111" s="85">
        <f t="shared" ref="O111:Y111" si="520">(1/O100^IF((24-O98+1+(O98-12-1))&lt;0,0,(24-O98+1+(O98-12-1)))-(1/O100^IF((12+(O114)-O98+1)&lt;0,0,(12+(O114)-O98+1))))/(O100-1)</f>
        <v>11.071549386404531</v>
      </c>
      <c r="P111" s="85">
        <f t="shared" si="520"/>
        <v>10.170878675840484</v>
      </c>
      <c r="Q111" s="85">
        <f t="shared" si="520"/>
        <v>9.2662733890468427</v>
      </c>
      <c r="R111" s="85">
        <f t="shared" si="520"/>
        <v>8.3577163378438684</v>
      </c>
      <c r="S111" s="85">
        <f t="shared" si="520"/>
        <v>7.4451902589652237</v>
      </c>
      <c r="T111" s="85">
        <f t="shared" si="520"/>
        <v>6.5286778137301731</v>
      </c>
      <c r="U111" s="85">
        <f t="shared" si="520"/>
        <v>5.6081615877139139</v>
      </c>
      <c r="V111" s="85">
        <f t="shared" si="520"/>
        <v>4.6836240904169326</v>
      </c>
      <c r="W111" s="85">
        <f t="shared" si="520"/>
        <v>3.7550477549323835</v>
      </c>
      <c r="X111" s="85">
        <f t="shared" si="520"/>
        <v>2.8224149376126033</v>
      </c>
      <c r="Y111" s="85">
        <f t="shared" si="520"/>
        <v>1.8857079177336911</v>
      </c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  <c r="BQ111" s="85"/>
      <c r="BR111" s="85"/>
      <c r="BS111" s="85"/>
      <c r="BT111" s="85"/>
      <c r="BU111" s="85"/>
      <c r="BV111" s="85"/>
      <c r="BW111" s="85"/>
      <c r="BX111" s="85"/>
      <c r="BY111" s="85"/>
      <c r="BZ111" s="85"/>
      <c r="CA111" s="85"/>
      <c r="CB111" s="85"/>
      <c r="CC111" s="85"/>
      <c r="CD111" s="85"/>
      <c r="CE111" s="85"/>
      <c r="CF111" s="85"/>
      <c r="CG111" s="85"/>
      <c r="CH111" s="85"/>
      <c r="CI111" s="85"/>
      <c r="CJ111" s="85"/>
      <c r="CK111" s="85"/>
      <c r="CL111" s="85"/>
      <c r="CM111" s="85"/>
      <c r="CN111" s="85"/>
      <c r="CO111" s="85"/>
      <c r="CP111" s="85"/>
      <c r="CQ111" s="85"/>
      <c r="CR111" s="85"/>
      <c r="CS111" s="85"/>
      <c r="CT111" s="85"/>
      <c r="CU111" s="85"/>
      <c r="CV111" s="85"/>
      <c r="CW111" s="85"/>
      <c r="CX111" s="85"/>
      <c r="CY111" s="85"/>
      <c r="CZ111" s="85"/>
      <c r="DA111" s="85"/>
      <c r="DB111" s="85"/>
      <c r="DC111" s="85"/>
      <c r="DD111" s="85"/>
      <c r="DE111" s="85"/>
      <c r="DF111" s="85"/>
      <c r="DG111" s="85"/>
      <c r="DH111" s="85"/>
      <c r="DI111" s="85"/>
      <c r="DJ111" s="85"/>
      <c r="DK111" s="85"/>
      <c r="DL111" s="85"/>
      <c r="DM111" s="85"/>
      <c r="DN111" s="85"/>
      <c r="DO111" s="85"/>
      <c r="DP111" s="85"/>
      <c r="DQ111" s="85"/>
      <c r="DR111" s="85"/>
      <c r="DS111" s="85"/>
      <c r="DT111" s="85"/>
      <c r="DU111" s="85"/>
      <c r="DV111" s="85"/>
      <c r="DW111" s="85"/>
      <c r="DX111" s="85"/>
      <c r="DY111" s="85"/>
      <c r="DZ111" s="85"/>
      <c r="EA111" s="85"/>
      <c r="EB111" s="85"/>
      <c r="EC111" s="85"/>
      <c r="ED111" s="85"/>
      <c r="EE111" s="85"/>
      <c r="EF111" s="85"/>
      <c r="EG111" s="85"/>
      <c r="EH111" s="85"/>
      <c r="EI111" s="85"/>
      <c r="EJ111" s="85"/>
      <c r="EK111" s="85"/>
      <c r="EL111" s="85"/>
      <c r="EM111" s="85"/>
      <c r="EN111" s="85"/>
      <c r="EO111" s="85"/>
      <c r="EP111" s="85"/>
      <c r="EQ111" s="85"/>
      <c r="ER111" s="85"/>
      <c r="ES111" s="85"/>
      <c r="ET111" s="85"/>
      <c r="EU111" s="85"/>
      <c r="EV111" s="85"/>
      <c r="EW111" s="85"/>
      <c r="EX111" s="85"/>
      <c r="EY111" s="85"/>
      <c r="EZ111" s="85"/>
      <c r="FA111" s="85"/>
      <c r="FB111" s="85"/>
      <c r="FC111" s="85"/>
      <c r="FD111" s="85"/>
      <c r="FE111" s="85"/>
      <c r="FF111" s="85"/>
      <c r="FG111" s="85"/>
      <c r="FH111" s="85"/>
      <c r="FI111" s="85"/>
      <c r="FJ111" s="85"/>
      <c r="FK111" s="85"/>
      <c r="FL111" s="85"/>
      <c r="FM111" s="85"/>
      <c r="FN111" s="85"/>
      <c r="FO111" s="85"/>
      <c r="FP111" s="85"/>
      <c r="FQ111" s="85"/>
      <c r="FR111" s="85"/>
      <c r="FS111" s="85"/>
      <c r="FT111" s="85"/>
      <c r="FU111" s="85"/>
      <c r="FV111" s="85"/>
      <c r="FW111" s="85"/>
      <c r="FX111" s="85"/>
      <c r="FY111" s="85"/>
      <c r="FZ111" s="86"/>
    </row>
    <row r="112" spans="1:182" s="293" customFormat="1" hidden="1" outlineLevel="1" x14ac:dyDescent="0.2">
      <c r="A112" s="83" t="s">
        <v>188</v>
      </c>
      <c r="B112" s="84">
        <f>(1/B100^IF((36-B98+1)&lt;0,0,(36-B98+1))-(1/B100^IF((24+(B114)-B98+1)&lt;0,0,(24+(B114)-B98+1))))/(B100-1)</f>
        <v>9.9284478699314782</v>
      </c>
      <c r="C112" s="85">
        <f t="shared" ref="C112:M112" si="521">(1/C100^IF((36-C98+1)&lt;0,0,(36-C98+1))-(1/C100^IF((24+(C114)-C98+1)&lt;0,0,(24+(C114)-C98+1))))/(C100-1)</f>
        <v>9.971820252898242</v>
      </c>
      <c r="D112" s="85">
        <f t="shared" si="521"/>
        <v>10.015382107938397</v>
      </c>
      <c r="E112" s="85">
        <f t="shared" si="521"/>
        <v>10.059134262760049</v>
      </c>
      <c r="F112" s="85">
        <f t="shared" si="521"/>
        <v>10.103077548686924</v>
      </c>
      <c r="G112" s="85">
        <f t="shared" si="521"/>
        <v>10.147212800674479</v>
      </c>
      <c r="H112" s="85">
        <f t="shared" si="521"/>
        <v>10.191540857325606</v>
      </c>
      <c r="I112" s="85">
        <f t="shared" si="521"/>
        <v>10.236062560906669</v>
      </c>
      <c r="J112" s="85">
        <f t="shared" si="521"/>
        <v>10.280778757363464</v>
      </c>
      <c r="K112" s="85">
        <f t="shared" si="521"/>
        <v>10.325690296337335</v>
      </c>
      <c r="L112" s="85">
        <f t="shared" si="521"/>
        <v>10.370798031181257</v>
      </c>
      <c r="M112" s="85">
        <f t="shared" si="521"/>
        <v>10.416102818976105</v>
      </c>
      <c r="N112" s="85">
        <f>(1/N100^IF((36-N98+1+(N98-12-1))&lt;0,0,(36-N98+1+(N98-12-1)))-(1/N100^IF((24+(N114)-N98+1)&lt;0,0,(24+(N114)-N98+1))))/(N100-1)</f>
        <v>11.358358768301255</v>
      </c>
      <c r="O112" s="85">
        <f t="shared" ref="O112:Y112" si="522">(1/O100^IF((36-O98+1+(O98-12-1))&lt;0,0,(36-O98+1+(O98-12-1)))-(1/O100^IF((24+(O114)-O98+1)&lt;0,0,(24+(O114)-O98+1))))/(O100-1)</f>
        <v>10.507307000478871</v>
      </c>
      <c r="P112" s="85">
        <f t="shared" si="522"/>
        <v>9.6525374165706967</v>
      </c>
      <c r="Q112" s="85">
        <f t="shared" si="522"/>
        <v>8.7940337753126183</v>
      </c>
      <c r="R112" s="85">
        <f t="shared" si="522"/>
        <v>7.9317797644907424</v>
      </c>
      <c r="S112" s="85">
        <f t="shared" si="522"/>
        <v>7.0657590006313509</v>
      </c>
      <c r="T112" s="85">
        <f t="shared" si="522"/>
        <v>6.1959550286895393</v>
      </c>
      <c r="U112" s="85">
        <f t="shared" si="522"/>
        <v>5.3223513217366634</v>
      </c>
      <c r="V112" s="85">
        <f t="shared" si="522"/>
        <v>4.4449312806462205</v>
      </c>
      <c r="W112" s="85">
        <f t="shared" si="522"/>
        <v>3.5636782337785338</v>
      </c>
      <c r="X112" s="85">
        <f t="shared" si="522"/>
        <v>2.678575436663837</v>
      </c>
      <c r="Y112" s="85">
        <f t="shared" si="522"/>
        <v>1.7896060716843145</v>
      </c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  <c r="AY112" s="85"/>
      <c r="AZ112" s="85"/>
      <c r="BA112" s="85"/>
      <c r="BB112" s="85"/>
      <c r="BC112" s="85"/>
      <c r="BD112" s="85"/>
      <c r="BE112" s="85"/>
      <c r="BF112" s="85"/>
      <c r="BG112" s="85"/>
      <c r="BH112" s="85"/>
      <c r="BI112" s="85"/>
      <c r="BJ112" s="85"/>
      <c r="BK112" s="85"/>
      <c r="BL112" s="85"/>
      <c r="BM112" s="85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  <c r="DF112" s="85"/>
      <c r="DG112" s="85"/>
      <c r="DH112" s="85"/>
      <c r="DI112" s="85"/>
      <c r="DJ112" s="85"/>
      <c r="DK112" s="85"/>
      <c r="DL112" s="85"/>
      <c r="DM112" s="85"/>
      <c r="DN112" s="85"/>
      <c r="DO112" s="85"/>
      <c r="DP112" s="85"/>
      <c r="DQ112" s="85"/>
      <c r="DR112" s="85"/>
      <c r="DS112" s="85"/>
      <c r="DT112" s="85"/>
      <c r="DU112" s="85"/>
      <c r="DV112" s="85"/>
      <c r="DW112" s="85"/>
      <c r="DX112" s="85"/>
      <c r="DY112" s="85"/>
      <c r="DZ112" s="85"/>
      <c r="EA112" s="85"/>
      <c r="EB112" s="85"/>
      <c r="EC112" s="85"/>
      <c r="ED112" s="85"/>
      <c r="EE112" s="85"/>
      <c r="EF112" s="85"/>
      <c r="EG112" s="85"/>
      <c r="EH112" s="85"/>
      <c r="EI112" s="85"/>
      <c r="EJ112" s="85"/>
      <c r="EK112" s="85"/>
      <c r="EL112" s="85"/>
      <c r="EM112" s="85"/>
      <c r="EN112" s="85"/>
      <c r="EO112" s="85"/>
      <c r="EP112" s="85"/>
      <c r="EQ112" s="85"/>
      <c r="ER112" s="85"/>
      <c r="ES112" s="85"/>
      <c r="ET112" s="85"/>
      <c r="EU112" s="85"/>
      <c r="EV112" s="85"/>
      <c r="EW112" s="85"/>
      <c r="EX112" s="85"/>
      <c r="EY112" s="85"/>
      <c r="EZ112" s="85"/>
      <c r="FA112" s="85"/>
      <c r="FB112" s="85"/>
      <c r="FC112" s="85"/>
      <c r="FD112" s="85"/>
      <c r="FE112" s="85"/>
      <c r="FF112" s="85"/>
      <c r="FG112" s="85"/>
      <c r="FH112" s="85"/>
      <c r="FI112" s="85"/>
      <c r="FJ112" s="85"/>
      <c r="FK112" s="85"/>
      <c r="FL112" s="85"/>
      <c r="FM112" s="85"/>
      <c r="FN112" s="85"/>
      <c r="FO112" s="85"/>
      <c r="FP112" s="85"/>
      <c r="FQ112" s="85"/>
      <c r="FR112" s="85"/>
      <c r="FS112" s="85"/>
      <c r="FT112" s="85"/>
      <c r="FU112" s="85"/>
      <c r="FV112" s="85"/>
      <c r="FW112" s="85"/>
      <c r="FX112" s="85"/>
      <c r="FY112" s="85"/>
      <c r="FZ112" s="86"/>
    </row>
    <row r="113" spans="1:182" hidden="1" outlineLevel="1" x14ac:dyDescent="0.2">
      <c r="A113" s="87" t="s">
        <v>172</v>
      </c>
      <c r="B113" s="65">
        <f t="shared" ref="B113:AG113" si="523">IF(IF((2-1)*12+1&lt;B21,B21,(2-1)*12+1)&gt;B22,B22,IF((2-1)*12+1&lt;B21,B21,(2-1)*12+1))</f>
        <v>13</v>
      </c>
      <c r="C113" s="57">
        <f t="shared" si="523"/>
        <v>13</v>
      </c>
      <c r="D113" s="57">
        <f t="shared" si="523"/>
        <v>13</v>
      </c>
      <c r="E113" s="57">
        <f t="shared" si="523"/>
        <v>13</v>
      </c>
      <c r="F113" s="57">
        <f t="shared" si="523"/>
        <v>13</v>
      </c>
      <c r="G113" s="57">
        <f t="shared" si="523"/>
        <v>13</v>
      </c>
      <c r="H113" s="57">
        <f t="shared" si="523"/>
        <v>13</v>
      </c>
      <c r="I113" s="57">
        <f t="shared" si="523"/>
        <v>13</v>
      </c>
      <c r="J113" s="57">
        <f t="shared" si="523"/>
        <v>13</v>
      </c>
      <c r="K113" s="57">
        <f t="shared" si="523"/>
        <v>13</v>
      </c>
      <c r="L113" s="57">
        <f t="shared" si="523"/>
        <v>13</v>
      </c>
      <c r="M113" s="57">
        <f t="shared" si="523"/>
        <v>13</v>
      </c>
      <c r="N113" s="57">
        <f t="shared" si="523"/>
        <v>13</v>
      </c>
      <c r="O113" s="57">
        <f t="shared" si="523"/>
        <v>13</v>
      </c>
      <c r="P113" s="57">
        <f t="shared" si="523"/>
        <v>13</v>
      </c>
      <c r="Q113" s="57">
        <f t="shared" si="523"/>
        <v>13</v>
      </c>
      <c r="R113" s="57">
        <f t="shared" si="523"/>
        <v>13</v>
      </c>
      <c r="S113" s="57">
        <f t="shared" si="523"/>
        <v>13</v>
      </c>
      <c r="T113" s="57">
        <f t="shared" si="523"/>
        <v>13</v>
      </c>
      <c r="U113" s="57">
        <f t="shared" si="523"/>
        <v>13</v>
      </c>
      <c r="V113" s="57">
        <f t="shared" si="523"/>
        <v>13</v>
      </c>
      <c r="W113" s="57">
        <f t="shared" si="523"/>
        <v>13</v>
      </c>
      <c r="X113" s="57">
        <f t="shared" si="523"/>
        <v>13</v>
      </c>
      <c r="Y113" s="57">
        <f t="shared" si="523"/>
        <v>13</v>
      </c>
      <c r="Z113" s="57">
        <f t="shared" si="523"/>
        <v>13</v>
      </c>
      <c r="AA113" s="57">
        <f t="shared" si="523"/>
        <v>13</v>
      </c>
      <c r="AB113" s="57">
        <f t="shared" si="523"/>
        <v>13</v>
      </c>
      <c r="AC113" s="57">
        <f t="shared" si="523"/>
        <v>13</v>
      </c>
      <c r="AD113" s="57">
        <f t="shared" si="523"/>
        <v>13</v>
      </c>
      <c r="AE113" s="57">
        <f t="shared" si="523"/>
        <v>13</v>
      </c>
      <c r="AF113" s="57">
        <f t="shared" si="523"/>
        <v>13</v>
      </c>
      <c r="AG113" s="57">
        <f t="shared" si="523"/>
        <v>13</v>
      </c>
      <c r="AH113" s="57">
        <f t="shared" ref="AH113:BH113" si="524">IF(IF((2-1)*12+1&lt;AH21,AH21,(2-1)*12+1)&gt;AH22,AH22,IF((2-1)*12+1&lt;AH21,AH21,(2-1)*12+1))</f>
        <v>13</v>
      </c>
      <c r="AI113" s="57">
        <f t="shared" si="524"/>
        <v>13</v>
      </c>
      <c r="AJ113" s="57">
        <f t="shared" si="524"/>
        <v>13</v>
      </c>
      <c r="AK113" s="57">
        <f t="shared" si="524"/>
        <v>13</v>
      </c>
      <c r="AL113" s="57">
        <f t="shared" si="524"/>
        <v>13</v>
      </c>
      <c r="AM113" s="57">
        <f t="shared" si="524"/>
        <v>13</v>
      </c>
      <c r="AN113" s="57">
        <f t="shared" si="524"/>
        <v>13</v>
      </c>
      <c r="AO113" s="57">
        <f t="shared" si="524"/>
        <v>13</v>
      </c>
      <c r="AP113" s="57">
        <f t="shared" si="524"/>
        <v>13</v>
      </c>
      <c r="AQ113" s="57">
        <f t="shared" si="524"/>
        <v>13</v>
      </c>
      <c r="AR113" s="57">
        <f t="shared" si="524"/>
        <v>13</v>
      </c>
      <c r="AS113" s="57">
        <f t="shared" si="524"/>
        <v>13</v>
      </c>
      <c r="AT113" s="57">
        <f t="shared" si="524"/>
        <v>13</v>
      </c>
      <c r="AU113" s="57">
        <f t="shared" si="524"/>
        <v>13</v>
      </c>
      <c r="AV113" s="57">
        <f t="shared" si="524"/>
        <v>13</v>
      </c>
      <c r="AW113" s="57">
        <f t="shared" si="524"/>
        <v>13</v>
      </c>
      <c r="AX113" s="57">
        <f t="shared" si="524"/>
        <v>13</v>
      </c>
      <c r="AY113" s="57">
        <f t="shared" si="524"/>
        <v>13</v>
      </c>
      <c r="AZ113" s="57">
        <f t="shared" si="524"/>
        <v>13</v>
      </c>
      <c r="BA113" s="57">
        <f t="shared" si="524"/>
        <v>13</v>
      </c>
      <c r="BB113" s="57">
        <f t="shared" si="524"/>
        <v>13</v>
      </c>
      <c r="BC113" s="57">
        <f t="shared" si="524"/>
        <v>13</v>
      </c>
      <c r="BD113" s="57">
        <f t="shared" si="524"/>
        <v>13</v>
      </c>
      <c r="BE113" s="57">
        <f t="shared" si="524"/>
        <v>13</v>
      </c>
      <c r="BF113" s="57">
        <f t="shared" si="524"/>
        <v>13</v>
      </c>
      <c r="BG113" s="57">
        <f t="shared" si="524"/>
        <v>13</v>
      </c>
      <c r="BH113" s="57">
        <f t="shared" si="524"/>
        <v>13</v>
      </c>
      <c r="BI113" s="57">
        <f t="shared" ref="BI113:DP113" si="525">IF(IF((2-1)*12+1&lt;BI21,BI21,(2-1)*12+1)&gt;BI22,BI22,IF((2-1)*12+1&lt;BI21,BI21,(2-1)*12+1))</f>
        <v>13</v>
      </c>
      <c r="BJ113" s="57">
        <f t="shared" si="525"/>
        <v>13</v>
      </c>
      <c r="BK113" s="57">
        <f t="shared" si="525"/>
        <v>13</v>
      </c>
      <c r="BL113" s="57">
        <f t="shared" si="525"/>
        <v>13</v>
      </c>
      <c r="BM113" s="57">
        <f t="shared" si="525"/>
        <v>13</v>
      </c>
      <c r="BN113" s="57">
        <f t="shared" si="525"/>
        <v>13</v>
      </c>
      <c r="BO113" s="57">
        <f t="shared" si="525"/>
        <v>13</v>
      </c>
      <c r="BP113" s="57">
        <f t="shared" si="525"/>
        <v>13</v>
      </c>
      <c r="BQ113" s="57">
        <f t="shared" si="525"/>
        <v>13</v>
      </c>
      <c r="BR113" s="57">
        <f t="shared" si="525"/>
        <v>13</v>
      </c>
      <c r="BS113" s="57">
        <f t="shared" si="525"/>
        <v>13</v>
      </c>
      <c r="BT113" s="57">
        <f t="shared" si="525"/>
        <v>13</v>
      </c>
      <c r="BU113" s="57">
        <f t="shared" si="525"/>
        <v>13</v>
      </c>
      <c r="BV113" s="57">
        <f t="shared" si="525"/>
        <v>13</v>
      </c>
      <c r="BW113" s="57">
        <f t="shared" si="525"/>
        <v>13</v>
      </c>
      <c r="BX113" s="57">
        <f t="shared" si="525"/>
        <v>13</v>
      </c>
      <c r="BY113" s="57">
        <f t="shared" si="525"/>
        <v>13</v>
      </c>
      <c r="BZ113" s="57">
        <f t="shared" si="525"/>
        <v>13</v>
      </c>
      <c r="CA113" s="57">
        <f t="shared" si="525"/>
        <v>13</v>
      </c>
      <c r="CB113" s="57">
        <f t="shared" si="525"/>
        <v>13</v>
      </c>
      <c r="CC113" s="57">
        <f t="shared" si="525"/>
        <v>13</v>
      </c>
      <c r="CD113" s="57">
        <f t="shared" si="525"/>
        <v>13</v>
      </c>
      <c r="CE113" s="57">
        <f t="shared" si="525"/>
        <v>13</v>
      </c>
      <c r="CF113" s="57">
        <f t="shared" si="525"/>
        <v>13</v>
      </c>
      <c r="CG113" s="57">
        <f t="shared" si="525"/>
        <v>13</v>
      </c>
      <c r="CH113" s="57">
        <f t="shared" si="525"/>
        <v>13</v>
      </c>
      <c r="CI113" s="57">
        <f t="shared" si="525"/>
        <v>13</v>
      </c>
      <c r="CJ113" s="57">
        <f t="shared" si="525"/>
        <v>13</v>
      </c>
      <c r="CK113" s="57">
        <f t="shared" si="525"/>
        <v>13</v>
      </c>
      <c r="CL113" s="57">
        <f t="shared" si="525"/>
        <v>13</v>
      </c>
      <c r="CM113" s="57">
        <f t="shared" si="525"/>
        <v>13</v>
      </c>
      <c r="CN113" s="57">
        <f t="shared" si="525"/>
        <v>13</v>
      </c>
      <c r="CO113" s="57">
        <f t="shared" si="525"/>
        <v>13</v>
      </c>
      <c r="CP113" s="57">
        <f t="shared" si="525"/>
        <v>13</v>
      </c>
      <c r="CQ113" s="57">
        <f t="shared" si="525"/>
        <v>13</v>
      </c>
      <c r="CR113" s="57">
        <f t="shared" si="525"/>
        <v>13</v>
      </c>
      <c r="CS113" s="57">
        <f t="shared" si="525"/>
        <v>13</v>
      </c>
      <c r="CT113" s="57">
        <f t="shared" si="525"/>
        <v>13</v>
      </c>
      <c r="CU113" s="57">
        <f t="shared" si="525"/>
        <v>13</v>
      </c>
      <c r="CV113" s="57">
        <f t="shared" si="525"/>
        <v>13</v>
      </c>
      <c r="CW113" s="57">
        <f t="shared" si="525"/>
        <v>13</v>
      </c>
      <c r="CX113" s="57">
        <f t="shared" si="525"/>
        <v>13</v>
      </c>
      <c r="CY113" s="57">
        <f t="shared" si="525"/>
        <v>13</v>
      </c>
      <c r="CZ113" s="57">
        <f t="shared" si="525"/>
        <v>13</v>
      </c>
      <c r="DA113" s="57">
        <f t="shared" si="525"/>
        <v>13</v>
      </c>
      <c r="DB113" s="57">
        <f t="shared" si="525"/>
        <v>13</v>
      </c>
      <c r="DC113" s="57">
        <f t="shared" si="525"/>
        <v>13</v>
      </c>
      <c r="DD113" s="57">
        <f t="shared" si="525"/>
        <v>13</v>
      </c>
      <c r="DE113" s="57">
        <f t="shared" si="525"/>
        <v>13</v>
      </c>
      <c r="DF113" s="57">
        <f t="shared" si="525"/>
        <v>13</v>
      </c>
      <c r="DG113" s="57">
        <f t="shared" si="525"/>
        <v>13</v>
      </c>
      <c r="DH113" s="57">
        <f t="shared" si="525"/>
        <v>13</v>
      </c>
      <c r="DI113" s="57">
        <f t="shared" si="525"/>
        <v>13</v>
      </c>
      <c r="DJ113" s="57">
        <f t="shared" si="525"/>
        <v>13</v>
      </c>
      <c r="DK113" s="57">
        <f t="shared" si="525"/>
        <v>13</v>
      </c>
      <c r="DL113" s="57">
        <f t="shared" si="525"/>
        <v>13</v>
      </c>
      <c r="DM113" s="57">
        <f t="shared" si="525"/>
        <v>13</v>
      </c>
      <c r="DN113" s="57">
        <f t="shared" si="525"/>
        <v>13</v>
      </c>
      <c r="DO113" s="57">
        <f t="shared" si="525"/>
        <v>13</v>
      </c>
      <c r="DP113" s="57">
        <f t="shared" si="525"/>
        <v>13</v>
      </c>
      <c r="DQ113" s="57">
        <f t="shared" ref="DQ113:FY113" si="526">IF(IF((2-1)*12+1&lt;DQ21,DQ21,(2-1)*12+1)&gt;DQ22,DQ22,IF((2-1)*12+1&lt;DQ21,DQ21,(2-1)*12+1))</f>
        <v>13</v>
      </c>
      <c r="DR113" s="57">
        <f t="shared" si="526"/>
        <v>13</v>
      </c>
      <c r="DS113" s="57">
        <f t="shared" si="526"/>
        <v>13</v>
      </c>
      <c r="DT113" s="57">
        <f t="shared" si="526"/>
        <v>13</v>
      </c>
      <c r="DU113" s="57">
        <f t="shared" si="526"/>
        <v>13</v>
      </c>
      <c r="DV113" s="57">
        <f t="shared" si="526"/>
        <v>13</v>
      </c>
      <c r="DW113" s="57">
        <f t="shared" si="526"/>
        <v>13</v>
      </c>
      <c r="DX113" s="57">
        <f t="shared" si="526"/>
        <v>13</v>
      </c>
      <c r="DY113" s="57">
        <f t="shared" si="526"/>
        <v>13</v>
      </c>
      <c r="DZ113" s="57">
        <f t="shared" si="526"/>
        <v>13</v>
      </c>
      <c r="EA113" s="57">
        <f t="shared" si="526"/>
        <v>13</v>
      </c>
      <c r="EB113" s="57">
        <f t="shared" si="526"/>
        <v>13</v>
      </c>
      <c r="EC113" s="57">
        <f t="shared" si="526"/>
        <v>13</v>
      </c>
      <c r="ED113" s="57">
        <f t="shared" si="526"/>
        <v>13</v>
      </c>
      <c r="EE113" s="57">
        <f t="shared" si="526"/>
        <v>13</v>
      </c>
      <c r="EF113" s="57">
        <f t="shared" si="526"/>
        <v>13</v>
      </c>
      <c r="EG113" s="57">
        <f t="shared" si="526"/>
        <v>13</v>
      </c>
      <c r="EH113" s="57">
        <f t="shared" si="526"/>
        <v>13</v>
      </c>
      <c r="EI113" s="57">
        <f t="shared" si="526"/>
        <v>13</v>
      </c>
      <c r="EJ113" s="57">
        <f t="shared" si="526"/>
        <v>13</v>
      </c>
      <c r="EK113" s="57">
        <f t="shared" si="526"/>
        <v>13</v>
      </c>
      <c r="EL113" s="57">
        <f t="shared" si="526"/>
        <v>13</v>
      </c>
      <c r="EM113" s="57">
        <f t="shared" si="526"/>
        <v>13</v>
      </c>
      <c r="EN113" s="57">
        <f t="shared" si="526"/>
        <v>13</v>
      </c>
      <c r="EO113" s="57">
        <f t="shared" si="526"/>
        <v>13</v>
      </c>
      <c r="EP113" s="57">
        <f t="shared" si="526"/>
        <v>13</v>
      </c>
      <c r="EQ113" s="57">
        <f t="shared" si="526"/>
        <v>13</v>
      </c>
      <c r="ER113" s="57">
        <f t="shared" si="526"/>
        <v>13</v>
      </c>
      <c r="ES113" s="57">
        <f t="shared" si="526"/>
        <v>13</v>
      </c>
      <c r="ET113" s="57">
        <f t="shared" si="526"/>
        <v>13</v>
      </c>
      <c r="EU113" s="57">
        <f t="shared" si="526"/>
        <v>13</v>
      </c>
      <c r="EV113" s="57">
        <f t="shared" si="526"/>
        <v>13</v>
      </c>
      <c r="EW113" s="57">
        <f t="shared" si="526"/>
        <v>13</v>
      </c>
      <c r="EX113" s="57">
        <f t="shared" si="526"/>
        <v>13</v>
      </c>
      <c r="EY113" s="57">
        <f t="shared" si="526"/>
        <v>13</v>
      </c>
      <c r="EZ113" s="57">
        <f t="shared" si="526"/>
        <v>13</v>
      </c>
      <c r="FA113" s="57">
        <f t="shared" si="526"/>
        <v>13</v>
      </c>
      <c r="FB113" s="57">
        <f t="shared" si="526"/>
        <v>13</v>
      </c>
      <c r="FC113" s="57">
        <f t="shared" si="526"/>
        <v>13</v>
      </c>
      <c r="FD113" s="57">
        <f t="shared" si="526"/>
        <v>13</v>
      </c>
      <c r="FE113" s="57">
        <f t="shared" si="526"/>
        <v>13</v>
      </c>
      <c r="FF113" s="57">
        <f t="shared" si="526"/>
        <v>13</v>
      </c>
      <c r="FG113" s="57">
        <f t="shared" si="526"/>
        <v>13</v>
      </c>
      <c r="FH113" s="57">
        <f t="shared" si="526"/>
        <v>13</v>
      </c>
      <c r="FI113" s="57">
        <f t="shared" si="526"/>
        <v>13</v>
      </c>
      <c r="FJ113" s="57">
        <f t="shared" si="526"/>
        <v>13</v>
      </c>
      <c r="FK113" s="57">
        <f t="shared" si="526"/>
        <v>13</v>
      </c>
      <c r="FL113" s="57">
        <f t="shared" si="526"/>
        <v>13</v>
      </c>
      <c r="FM113" s="57">
        <f t="shared" si="526"/>
        <v>13</v>
      </c>
      <c r="FN113" s="57">
        <f t="shared" si="526"/>
        <v>13</v>
      </c>
      <c r="FO113" s="57">
        <f t="shared" si="526"/>
        <v>13</v>
      </c>
      <c r="FP113" s="57">
        <f t="shared" si="526"/>
        <v>13</v>
      </c>
      <c r="FQ113" s="57">
        <f t="shared" si="526"/>
        <v>13</v>
      </c>
      <c r="FR113" s="57">
        <f t="shared" si="526"/>
        <v>13</v>
      </c>
      <c r="FS113" s="57">
        <f t="shared" si="526"/>
        <v>13</v>
      </c>
      <c r="FT113" s="57">
        <f t="shared" si="526"/>
        <v>13</v>
      </c>
      <c r="FU113" s="57">
        <f t="shared" si="526"/>
        <v>13</v>
      </c>
      <c r="FV113" s="57">
        <f t="shared" si="526"/>
        <v>13</v>
      </c>
      <c r="FW113" s="57">
        <f t="shared" si="526"/>
        <v>13</v>
      </c>
      <c r="FX113" s="57">
        <f t="shared" si="526"/>
        <v>13</v>
      </c>
      <c r="FY113" s="57">
        <f t="shared" si="526"/>
        <v>13</v>
      </c>
      <c r="FZ113" s="59"/>
    </row>
    <row r="114" spans="1:182" hidden="1" outlineLevel="1" x14ac:dyDescent="0.2">
      <c r="A114" s="87" t="s">
        <v>173</v>
      </c>
      <c r="B114" s="65">
        <f t="shared" ref="B114:AG114" si="527">IF(IF((2)*12&lt;B21,B21,(2)*12)&gt;B22,B22,IF((2)*12&lt;B21,B21,(2)*12))</f>
        <v>24</v>
      </c>
      <c r="C114" s="57">
        <f t="shared" si="527"/>
        <v>24</v>
      </c>
      <c r="D114" s="57">
        <f t="shared" si="527"/>
        <v>24</v>
      </c>
      <c r="E114" s="57">
        <f t="shared" si="527"/>
        <v>24</v>
      </c>
      <c r="F114" s="57">
        <f t="shared" si="527"/>
        <v>24</v>
      </c>
      <c r="G114" s="57">
        <f t="shared" si="527"/>
        <v>24</v>
      </c>
      <c r="H114" s="57">
        <f t="shared" si="527"/>
        <v>24</v>
      </c>
      <c r="I114" s="57">
        <f t="shared" si="527"/>
        <v>24</v>
      </c>
      <c r="J114" s="57">
        <f t="shared" si="527"/>
        <v>24</v>
      </c>
      <c r="K114" s="57">
        <f t="shared" si="527"/>
        <v>24</v>
      </c>
      <c r="L114" s="57">
        <f t="shared" si="527"/>
        <v>24</v>
      </c>
      <c r="M114" s="57">
        <f t="shared" si="527"/>
        <v>24</v>
      </c>
      <c r="N114" s="57">
        <f t="shared" si="527"/>
        <v>24</v>
      </c>
      <c r="O114" s="57">
        <f t="shared" si="527"/>
        <v>24</v>
      </c>
      <c r="P114" s="57">
        <f t="shared" si="527"/>
        <v>24</v>
      </c>
      <c r="Q114" s="57">
        <f t="shared" si="527"/>
        <v>24</v>
      </c>
      <c r="R114" s="57">
        <f t="shared" si="527"/>
        <v>24</v>
      </c>
      <c r="S114" s="57">
        <f t="shared" si="527"/>
        <v>24</v>
      </c>
      <c r="T114" s="57">
        <f t="shared" si="527"/>
        <v>24</v>
      </c>
      <c r="U114" s="57">
        <f t="shared" si="527"/>
        <v>24</v>
      </c>
      <c r="V114" s="57">
        <f t="shared" si="527"/>
        <v>24</v>
      </c>
      <c r="W114" s="57">
        <f t="shared" si="527"/>
        <v>24</v>
      </c>
      <c r="X114" s="57">
        <f t="shared" si="527"/>
        <v>24</v>
      </c>
      <c r="Y114" s="57">
        <f t="shared" si="527"/>
        <v>24</v>
      </c>
      <c r="Z114" s="57">
        <f t="shared" si="527"/>
        <v>24</v>
      </c>
      <c r="AA114" s="57">
        <f t="shared" si="527"/>
        <v>24</v>
      </c>
      <c r="AB114" s="57">
        <f t="shared" si="527"/>
        <v>24</v>
      </c>
      <c r="AC114" s="57">
        <f t="shared" si="527"/>
        <v>24</v>
      </c>
      <c r="AD114" s="57">
        <f t="shared" si="527"/>
        <v>24</v>
      </c>
      <c r="AE114" s="57">
        <f t="shared" si="527"/>
        <v>24</v>
      </c>
      <c r="AF114" s="57">
        <f t="shared" si="527"/>
        <v>24</v>
      </c>
      <c r="AG114" s="57">
        <f t="shared" si="527"/>
        <v>24</v>
      </c>
      <c r="AH114" s="57">
        <f t="shared" ref="AH114:BH114" si="528">IF(IF((2)*12&lt;AH21,AH21,(2)*12)&gt;AH22,AH22,IF((2)*12&lt;AH21,AH21,(2)*12))</f>
        <v>24</v>
      </c>
      <c r="AI114" s="57">
        <f t="shared" si="528"/>
        <v>24</v>
      </c>
      <c r="AJ114" s="57">
        <f t="shared" si="528"/>
        <v>24</v>
      </c>
      <c r="AK114" s="57">
        <f t="shared" si="528"/>
        <v>24</v>
      </c>
      <c r="AL114" s="57">
        <f t="shared" si="528"/>
        <v>24</v>
      </c>
      <c r="AM114" s="57">
        <f t="shared" si="528"/>
        <v>24</v>
      </c>
      <c r="AN114" s="57">
        <f t="shared" si="528"/>
        <v>24</v>
      </c>
      <c r="AO114" s="57">
        <f t="shared" si="528"/>
        <v>24</v>
      </c>
      <c r="AP114" s="57">
        <f t="shared" si="528"/>
        <v>24</v>
      </c>
      <c r="AQ114" s="57">
        <f t="shared" si="528"/>
        <v>24</v>
      </c>
      <c r="AR114" s="57">
        <f t="shared" si="528"/>
        <v>24</v>
      </c>
      <c r="AS114" s="57">
        <f t="shared" si="528"/>
        <v>24</v>
      </c>
      <c r="AT114" s="57">
        <f t="shared" si="528"/>
        <v>24</v>
      </c>
      <c r="AU114" s="57">
        <f t="shared" si="528"/>
        <v>24</v>
      </c>
      <c r="AV114" s="57">
        <f t="shared" si="528"/>
        <v>24</v>
      </c>
      <c r="AW114" s="57">
        <f t="shared" si="528"/>
        <v>24</v>
      </c>
      <c r="AX114" s="57">
        <f t="shared" si="528"/>
        <v>24</v>
      </c>
      <c r="AY114" s="57">
        <f t="shared" si="528"/>
        <v>24</v>
      </c>
      <c r="AZ114" s="57">
        <f t="shared" si="528"/>
        <v>24</v>
      </c>
      <c r="BA114" s="57">
        <f t="shared" si="528"/>
        <v>24</v>
      </c>
      <c r="BB114" s="57">
        <f t="shared" si="528"/>
        <v>24</v>
      </c>
      <c r="BC114" s="57">
        <f t="shared" si="528"/>
        <v>24</v>
      </c>
      <c r="BD114" s="57">
        <f t="shared" si="528"/>
        <v>24</v>
      </c>
      <c r="BE114" s="57">
        <f t="shared" si="528"/>
        <v>24</v>
      </c>
      <c r="BF114" s="57">
        <f t="shared" si="528"/>
        <v>24</v>
      </c>
      <c r="BG114" s="57">
        <f t="shared" si="528"/>
        <v>24</v>
      </c>
      <c r="BH114" s="57">
        <f t="shared" si="528"/>
        <v>24</v>
      </c>
      <c r="BI114" s="57">
        <f t="shared" ref="BI114:DP114" si="529">IF(IF((2)*12&lt;BI21,BI21,(2)*12)&gt;BI22,BI22,IF((2)*12&lt;BI21,BI21,(2)*12))</f>
        <v>24</v>
      </c>
      <c r="BJ114" s="57">
        <f t="shared" si="529"/>
        <v>24</v>
      </c>
      <c r="BK114" s="57">
        <f t="shared" si="529"/>
        <v>24</v>
      </c>
      <c r="BL114" s="57">
        <f t="shared" si="529"/>
        <v>24</v>
      </c>
      <c r="BM114" s="57">
        <f t="shared" si="529"/>
        <v>24</v>
      </c>
      <c r="BN114" s="57">
        <f t="shared" si="529"/>
        <v>24</v>
      </c>
      <c r="BO114" s="57">
        <f t="shared" si="529"/>
        <v>24</v>
      </c>
      <c r="BP114" s="57">
        <f t="shared" si="529"/>
        <v>24</v>
      </c>
      <c r="BQ114" s="57">
        <f t="shared" si="529"/>
        <v>24</v>
      </c>
      <c r="BR114" s="57">
        <f t="shared" si="529"/>
        <v>24</v>
      </c>
      <c r="BS114" s="57">
        <f t="shared" si="529"/>
        <v>24</v>
      </c>
      <c r="BT114" s="57">
        <f t="shared" si="529"/>
        <v>24</v>
      </c>
      <c r="BU114" s="57">
        <f t="shared" si="529"/>
        <v>24</v>
      </c>
      <c r="BV114" s="57">
        <f t="shared" si="529"/>
        <v>24</v>
      </c>
      <c r="BW114" s="57">
        <f t="shared" si="529"/>
        <v>24</v>
      </c>
      <c r="BX114" s="57">
        <f t="shared" si="529"/>
        <v>24</v>
      </c>
      <c r="BY114" s="57">
        <f t="shared" si="529"/>
        <v>24</v>
      </c>
      <c r="BZ114" s="57">
        <f t="shared" si="529"/>
        <v>24</v>
      </c>
      <c r="CA114" s="57">
        <f t="shared" si="529"/>
        <v>24</v>
      </c>
      <c r="CB114" s="57">
        <f t="shared" si="529"/>
        <v>24</v>
      </c>
      <c r="CC114" s="57">
        <f t="shared" si="529"/>
        <v>24</v>
      </c>
      <c r="CD114" s="57">
        <f t="shared" si="529"/>
        <v>24</v>
      </c>
      <c r="CE114" s="57">
        <f t="shared" si="529"/>
        <v>24</v>
      </c>
      <c r="CF114" s="57">
        <f t="shared" si="529"/>
        <v>24</v>
      </c>
      <c r="CG114" s="57">
        <f t="shared" si="529"/>
        <v>24</v>
      </c>
      <c r="CH114" s="57">
        <f t="shared" si="529"/>
        <v>24</v>
      </c>
      <c r="CI114" s="57">
        <f t="shared" si="529"/>
        <v>24</v>
      </c>
      <c r="CJ114" s="57">
        <f t="shared" si="529"/>
        <v>24</v>
      </c>
      <c r="CK114" s="57">
        <f t="shared" si="529"/>
        <v>24</v>
      </c>
      <c r="CL114" s="57">
        <f t="shared" si="529"/>
        <v>24</v>
      </c>
      <c r="CM114" s="57">
        <f t="shared" si="529"/>
        <v>24</v>
      </c>
      <c r="CN114" s="57">
        <f t="shared" si="529"/>
        <v>24</v>
      </c>
      <c r="CO114" s="57">
        <f t="shared" si="529"/>
        <v>24</v>
      </c>
      <c r="CP114" s="57">
        <f t="shared" si="529"/>
        <v>24</v>
      </c>
      <c r="CQ114" s="57">
        <f t="shared" si="529"/>
        <v>24</v>
      </c>
      <c r="CR114" s="57">
        <f t="shared" si="529"/>
        <v>24</v>
      </c>
      <c r="CS114" s="57">
        <f t="shared" si="529"/>
        <v>24</v>
      </c>
      <c r="CT114" s="57">
        <f t="shared" si="529"/>
        <v>24</v>
      </c>
      <c r="CU114" s="57">
        <f t="shared" si="529"/>
        <v>24</v>
      </c>
      <c r="CV114" s="57">
        <f t="shared" si="529"/>
        <v>24</v>
      </c>
      <c r="CW114" s="57">
        <f t="shared" si="529"/>
        <v>24</v>
      </c>
      <c r="CX114" s="57">
        <f t="shared" si="529"/>
        <v>24</v>
      </c>
      <c r="CY114" s="57">
        <f t="shared" si="529"/>
        <v>24</v>
      </c>
      <c r="CZ114" s="57">
        <f t="shared" si="529"/>
        <v>24</v>
      </c>
      <c r="DA114" s="57">
        <f t="shared" si="529"/>
        <v>24</v>
      </c>
      <c r="DB114" s="57">
        <f t="shared" si="529"/>
        <v>24</v>
      </c>
      <c r="DC114" s="57">
        <f t="shared" si="529"/>
        <v>24</v>
      </c>
      <c r="DD114" s="57">
        <f t="shared" si="529"/>
        <v>24</v>
      </c>
      <c r="DE114" s="57">
        <f t="shared" si="529"/>
        <v>24</v>
      </c>
      <c r="DF114" s="57">
        <f t="shared" si="529"/>
        <v>24</v>
      </c>
      <c r="DG114" s="57">
        <f t="shared" si="529"/>
        <v>24</v>
      </c>
      <c r="DH114" s="57">
        <f t="shared" si="529"/>
        <v>24</v>
      </c>
      <c r="DI114" s="57">
        <f t="shared" si="529"/>
        <v>24</v>
      </c>
      <c r="DJ114" s="57">
        <f t="shared" si="529"/>
        <v>24</v>
      </c>
      <c r="DK114" s="57">
        <f t="shared" si="529"/>
        <v>24</v>
      </c>
      <c r="DL114" s="57">
        <f t="shared" si="529"/>
        <v>24</v>
      </c>
      <c r="DM114" s="57">
        <f t="shared" si="529"/>
        <v>24</v>
      </c>
      <c r="DN114" s="57">
        <f t="shared" si="529"/>
        <v>24</v>
      </c>
      <c r="DO114" s="57">
        <f t="shared" si="529"/>
        <v>24</v>
      </c>
      <c r="DP114" s="57">
        <f t="shared" si="529"/>
        <v>24</v>
      </c>
      <c r="DQ114" s="57">
        <f t="shared" ref="DQ114:FY114" si="530">IF(IF((2)*12&lt;DQ21,DQ21,(2)*12)&gt;DQ22,DQ22,IF((2)*12&lt;DQ21,DQ21,(2)*12))</f>
        <v>24</v>
      </c>
      <c r="DR114" s="57">
        <f t="shared" si="530"/>
        <v>24</v>
      </c>
      <c r="DS114" s="57">
        <f t="shared" si="530"/>
        <v>24</v>
      </c>
      <c r="DT114" s="57">
        <f t="shared" si="530"/>
        <v>24</v>
      </c>
      <c r="DU114" s="57">
        <f t="shared" si="530"/>
        <v>24</v>
      </c>
      <c r="DV114" s="57">
        <f t="shared" si="530"/>
        <v>24</v>
      </c>
      <c r="DW114" s="57">
        <f t="shared" si="530"/>
        <v>24</v>
      </c>
      <c r="DX114" s="57">
        <f t="shared" si="530"/>
        <v>24</v>
      </c>
      <c r="DY114" s="57">
        <f t="shared" si="530"/>
        <v>24</v>
      </c>
      <c r="DZ114" s="57">
        <f t="shared" si="530"/>
        <v>24</v>
      </c>
      <c r="EA114" s="57">
        <f t="shared" si="530"/>
        <v>24</v>
      </c>
      <c r="EB114" s="57">
        <f t="shared" si="530"/>
        <v>24</v>
      </c>
      <c r="EC114" s="57">
        <f t="shared" si="530"/>
        <v>24</v>
      </c>
      <c r="ED114" s="57">
        <f t="shared" si="530"/>
        <v>24</v>
      </c>
      <c r="EE114" s="57">
        <f t="shared" si="530"/>
        <v>24</v>
      </c>
      <c r="EF114" s="57">
        <f t="shared" si="530"/>
        <v>24</v>
      </c>
      <c r="EG114" s="57">
        <f t="shared" si="530"/>
        <v>24</v>
      </c>
      <c r="EH114" s="57">
        <f t="shared" si="530"/>
        <v>24</v>
      </c>
      <c r="EI114" s="57">
        <f t="shared" si="530"/>
        <v>24</v>
      </c>
      <c r="EJ114" s="57">
        <f t="shared" si="530"/>
        <v>24</v>
      </c>
      <c r="EK114" s="57">
        <f t="shared" si="530"/>
        <v>24</v>
      </c>
      <c r="EL114" s="57">
        <f t="shared" si="530"/>
        <v>24</v>
      </c>
      <c r="EM114" s="57">
        <f t="shared" si="530"/>
        <v>24</v>
      </c>
      <c r="EN114" s="57">
        <f t="shared" si="530"/>
        <v>24</v>
      </c>
      <c r="EO114" s="57">
        <f t="shared" si="530"/>
        <v>24</v>
      </c>
      <c r="EP114" s="57">
        <f t="shared" si="530"/>
        <v>24</v>
      </c>
      <c r="EQ114" s="57">
        <f t="shared" si="530"/>
        <v>24</v>
      </c>
      <c r="ER114" s="57">
        <f t="shared" si="530"/>
        <v>24</v>
      </c>
      <c r="ES114" s="57">
        <f t="shared" si="530"/>
        <v>24</v>
      </c>
      <c r="ET114" s="57">
        <f t="shared" si="530"/>
        <v>24</v>
      </c>
      <c r="EU114" s="57">
        <f t="shared" si="530"/>
        <v>24</v>
      </c>
      <c r="EV114" s="57">
        <f t="shared" si="530"/>
        <v>24</v>
      </c>
      <c r="EW114" s="57">
        <f t="shared" si="530"/>
        <v>24</v>
      </c>
      <c r="EX114" s="57">
        <f t="shared" si="530"/>
        <v>24</v>
      </c>
      <c r="EY114" s="57">
        <f t="shared" si="530"/>
        <v>24</v>
      </c>
      <c r="EZ114" s="57">
        <f t="shared" si="530"/>
        <v>24</v>
      </c>
      <c r="FA114" s="57">
        <f t="shared" si="530"/>
        <v>24</v>
      </c>
      <c r="FB114" s="57">
        <f t="shared" si="530"/>
        <v>24</v>
      </c>
      <c r="FC114" s="57">
        <f t="shared" si="530"/>
        <v>24</v>
      </c>
      <c r="FD114" s="57">
        <f t="shared" si="530"/>
        <v>24</v>
      </c>
      <c r="FE114" s="57">
        <f t="shared" si="530"/>
        <v>24</v>
      </c>
      <c r="FF114" s="57">
        <f t="shared" si="530"/>
        <v>24</v>
      </c>
      <c r="FG114" s="57">
        <f t="shared" si="530"/>
        <v>24</v>
      </c>
      <c r="FH114" s="57">
        <f t="shared" si="530"/>
        <v>24</v>
      </c>
      <c r="FI114" s="57">
        <f t="shared" si="530"/>
        <v>24</v>
      </c>
      <c r="FJ114" s="57">
        <f t="shared" si="530"/>
        <v>24</v>
      </c>
      <c r="FK114" s="57">
        <f t="shared" si="530"/>
        <v>24</v>
      </c>
      <c r="FL114" s="57">
        <f t="shared" si="530"/>
        <v>24</v>
      </c>
      <c r="FM114" s="57">
        <f t="shared" si="530"/>
        <v>24</v>
      </c>
      <c r="FN114" s="57">
        <f t="shared" si="530"/>
        <v>24</v>
      </c>
      <c r="FO114" s="57">
        <f t="shared" si="530"/>
        <v>24</v>
      </c>
      <c r="FP114" s="57">
        <f t="shared" si="530"/>
        <v>24</v>
      </c>
      <c r="FQ114" s="57">
        <f t="shared" si="530"/>
        <v>24</v>
      </c>
      <c r="FR114" s="57">
        <f t="shared" si="530"/>
        <v>24</v>
      </c>
      <c r="FS114" s="57">
        <f t="shared" si="530"/>
        <v>24</v>
      </c>
      <c r="FT114" s="57">
        <f t="shared" si="530"/>
        <v>24</v>
      </c>
      <c r="FU114" s="57">
        <f t="shared" si="530"/>
        <v>24</v>
      </c>
      <c r="FV114" s="57">
        <f t="shared" si="530"/>
        <v>24</v>
      </c>
      <c r="FW114" s="57">
        <f t="shared" si="530"/>
        <v>24</v>
      </c>
      <c r="FX114" s="57">
        <f t="shared" si="530"/>
        <v>24</v>
      </c>
      <c r="FY114" s="57">
        <f t="shared" si="530"/>
        <v>24</v>
      </c>
      <c r="FZ114" s="59"/>
    </row>
    <row r="115" spans="1:182" s="293" customFormat="1" hidden="1" outlineLevel="1" x14ac:dyDescent="0.2">
      <c r="A115" s="83"/>
      <c r="B115" s="84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  <c r="AU115" s="85"/>
      <c r="AV115" s="85"/>
      <c r="AW115" s="85"/>
      <c r="AX115" s="85"/>
      <c r="AY115" s="85"/>
      <c r="AZ115" s="85"/>
      <c r="BA115" s="85"/>
      <c r="BB115" s="85"/>
      <c r="BC115" s="85"/>
      <c r="BD115" s="85"/>
      <c r="BE115" s="85"/>
      <c r="BF115" s="85"/>
      <c r="BG115" s="85"/>
      <c r="BH115" s="85"/>
      <c r="BI115" s="85"/>
      <c r="BJ115" s="85"/>
      <c r="BK115" s="85"/>
      <c r="BL115" s="85"/>
      <c r="BM115" s="85"/>
      <c r="BN115" s="85"/>
      <c r="BO115" s="85"/>
      <c r="BP115" s="85"/>
      <c r="BQ115" s="85"/>
      <c r="BR115" s="85"/>
      <c r="BS115" s="85"/>
      <c r="BT115" s="85"/>
      <c r="BU115" s="85"/>
      <c r="BV115" s="85"/>
      <c r="BW115" s="85"/>
      <c r="BX115" s="85"/>
      <c r="BY115" s="85"/>
      <c r="BZ115" s="85"/>
      <c r="CA115" s="85"/>
      <c r="CB115" s="85"/>
      <c r="CC115" s="85"/>
      <c r="CD115" s="85"/>
      <c r="CE115" s="85"/>
      <c r="CF115" s="85"/>
      <c r="CG115" s="85"/>
      <c r="CH115" s="85"/>
      <c r="CI115" s="85"/>
      <c r="CJ115" s="85"/>
      <c r="CK115" s="85"/>
      <c r="CL115" s="85"/>
      <c r="CM115" s="85"/>
      <c r="CN115" s="85"/>
      <c r="CO115" s="85"/>
      <c r="CP115" s="85"/>
      <c r="CQ115" s="85"/>
      <c r="CR115" s="85"/>
      <c r="CS115" s="85"/>
      <c r="CT115" s="85"/>
      <c r="CU115" s="85"/>
      <c r="CV115" s="85"/>
      <c r="CW115" s="85"/>
      <c r="CX115" s="85"/>
      <c r="CY115" s="85"/>
      <c r="CZ115" s="85"/>
      <c r="DA115" s="85"/>
      <c r="DB115" s="85"/>
      <c r="DC115" s="85"/>
      <c r="DD115" s="85"/>
      <c r="DE115" s="85"/>
      <c r="DF115" s="85"/>
      <c r="DG115" s="85"/>
      <c r="DH115" s="85"/>
      <c r="DI115" s="85"/>
      <c r="DJ115" s="85"/>
      <c r="DK115" s="85"/>
      <c r="DL115" s="85"/>
      <c r="DM115" s="85"/>
      <c r="DN115" s="85"/>
      <c r="DO115" s="85"/>
      <c r="DP115" s="85"/>
      <c r="DQ115" s="85"/>
      <c r="DR115" s="85"/>
      <c r="DS115" s="85"/>
      <c r="DT115" s="85"/>
      <c r="DU115" s="85"/>
      <c r="DV115" s="85"/>
      <c r="DW115" s="85"/>
      <c r="DX115" s="85"/>
      <c r="DY115" s="85"/>
      <c r="DZ115" s="85"/>
      <c r="EA115" s="85"/>
      <c r="EB115" s="85"/>
      <c r="EC115" s="85"/>
      <c r="ED115" s="85"/>
      <c r="EE115" s="85"/>
      <c r="EF115" s="85"/>
      <c r="EG115" s="85"/>
      <c r="EH115" s="85"/>
      <c r="EI115" s="85"/>
      <c r="EJ115" s="85"/>
      <c r="EK115" s="85"/>
      <c r="EL115" s="85"/>
      <c r="EM115" s="85"/>
      <c r="EN115" s="85"/>
      <c r="EO115" s="85"/>
      <c r="EP115" s="85"/>
      <c r="EQ115" s="85"/>
      <c r="ER115" s="85"/>
      <c r="ES115" s="85"/>
      <c r="ET115" s="85"/>
      <c r="EU115" s="85"/>
      <c r="EV115" s="85"/>
      <c r="EW115" s="85"/>
      <c r="EX115" s="85"/>
      <c r="EY115" s="85"/>
      <c r="EZ115" s="85"/>
      <c r="FA115" s="85"/>
      <c r="FB115" s="85"/>
      <c r="FC115" s="85"/>
      <c r="FD115" s="85"/>
      <c r="FE115" s="85"/>
      <c r="FF115" s="85"/>
      <c r="FG115" s="85"/>
      <c r="FH115" s="85"/>
      <c r="FI115" s="85"/>
      <c r="FJ115" s="85"/>
      <c r="FK115" s="85"/>
      <c r="FL115" s="85"/>
      <c r="FM115" s="85"/>
      <c r="FN115" s="85"/>
      <c r="FO115" s="85"/>
      <c r="FP115" s="85"/>
      <c r="FQ115" s="85"/>
      <c r="FR115" s="85"/>
      <c r="FS115" s="85"/>
      <c r="FT115" s="85"/>
      <c r="FU115" s="85"/>
      <c r="FV115" s="85"/>
      <c r="FW115" s="85"/>
      <c r="FX115" s="85"/>
      <c r="FY115" s="85"/>
      <c r="FZ115" s="86"/>
    </row>
    <row r="116" spans="1:182" hidden="1" outlineLevel="1" x14ac:dyDescent="0.2">
      <c r="A116" s="81" t="s">
        <v>150</v>
      </c>
      <c r="B116" s="8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2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2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2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2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80"/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80"/>
      <c r="CU116" s="80"/>
      <c r="CV116" s="80"/>
      <c r="CW116" s="80"/>
      <c r="CX116" s="80"/>
      <c r="CY116" s="80"/>
      <c r="CZ116" s="80"/>
      <c r="DA116" s="80"/>
      <c r="DB116" s="80"/>
      <c r="DC116" s="80"/>
      <c r="DD116" s="80"/>
      <c r="DE116" s="80"/>
      <c r="DF116" s="80"/>
      <c r="DG116" s="80"/>
      <c r="DH116" s="80"/>
      <c r="DI116" s="80"/>
      <c r="DJ116" s="80"/>
      <c r="DK116" s="80"/>
      <c r="DL116" s="80"/>
      <c r="DM116" s="80"/>
      <c r="DN116" s="80"/>
      <c r="DO116" s="80"/>
      <c r="DP116" s="80"/>
      <c r="DQ116" s="80"/>
      <c r="DR116" s="80"/>
      <c r="DS116" s="80"/>
      <c r="DT116" s="80"/>
      <c r="DU116" s="80"/>
      <c r="DV116" s="80"/>
      <c r="DW116" s="80"/>
      <c r="DX116" s="80"/>
      <c r="DY116" s="80"/>
      <c r="DZ116" s="80"/>
      <c r="EA116" s="80"/>
      <c r="EB116" s="80"/>
      <c r="EC116" s="80"/>
      <c r="ED116" s="80"/>
      <c r="EE116" s="80"/>
      <c r="EF116" s="80"/>
      <c r="EG116" s="80"/>
      <c r="EH116" s="80"/>
      <c r="EI116" s="80"/>
      <c r="EJ116" s="80"/>
      <c r="EK116" s="80"/>
      <c r="EL116" s="80"/>
      <c r="EM116" s="80"/>
      <c r="EN116" s="80"/>
      <c r="EO116" s="80"/>
      <c r="EP116" s="80"/>
      <c r="EQ116" s="80"/>
      <c r="ER116" s="80"/>
      <c r="ES116" s="80"/>
      <c r="ET116" s="80"/>
      <c r="EU116" s="80"/>
      <c r="EV116" s="80"/>
      <c r="EW116" s="80"/>
      <c r="EX116" s="80"/>
      <c r="EY116" s="80"/>
      <c r="EZ116" s="80"/>
      <c r="FA116" s="80"/>
      <c r="FB116" s="80"/>
      <c r="FC116" s="80"/>
      <c r="FD116" s="80"/>
      <c r="FE116" s="80"/>
      <c r="FF116" s="80"/>
      <c r="FG116" s="80"/>
      <c r="FH116" s="80"/>
      <c r="FI116" s="80"/>
      <c r="FJ116" s="80"/>
      <c r="FK116" s="80"/>
      <c r="FL116" s="80"/>
      <c r="FM116" s="80"/>
      <c r="FN116" s="80"/>
      <c r="FO116" s="80"/>
      <c r="FP116" s="80"/>
      <c r="FQ116" s="80"/>
      <c r="FR116" s="80"/>
      <c r="FS116" s="80"/>
      <c r="FT116" s="80"/>
      <c r="FU116" s="80"/>
      <c r="FV116" s="80"/>
      <c r="FW116" s="80"/>
      <c r="FX116" s="80"/>
      <c r="FY116" s="80"/>
      <c r="FZ116" s="80"/>
    </row>
    <row r="117" spans="1:182" s="293" customFormat="1" hidden="1" outlineLevel="1" x14ac:dyDescent="0.2">
      <c r="A117" s="83" t="s">
        <v>186</v>
      </c>
      <c r="B117" s="84">
        <f>(1/B100^IF((24-B98+1)&lt;0,0,(24-B98+1))-(1/B100^IF(((B121)-B98+1)&lt;0,0,((B121)-B98+1))))/(B100-1)</f>
        <v>10.461605520546838</v>
      </c>
      <c r="C117" s="85">
        <f t="shared" ref="C117:AK117" si="531">(1/C100^IF((24-C98+1)&lt;0,0,(24-C98+1))-(1/C100^IF(((C121)-C98+1)&lt;0,0,((C121)-C98+1))))/(C100-1)</f>
        <v>10.507307000478871</v>
      </c>
      <c r="D117" s="85">
        <f t="shared" si="531"/>
        <v>10.553208127134743</v>
      </c>
      <c r="E117" s="85">
        <f t="shared" si="531"/>
        <v>10.599309772670306</v>
      </c>
      <c r="F117" s="85">
        <f t="shared" si="531"/>
        <v>10.645612813051404</v>
      </c>
      <c r="G117" s="85">
        <f t="shared" si="531"/>
        <v>10.692118128070657</v>
      </c>
      <c r="H117" s="85">
        <f t="shared" si="531"/>
        <v>10.738826601363897</v>
      </c>
      <c r="I117" s="85">
        <f t="shared" si="531"/>
        <v>10.78573912042728</v>
      </c>
      <c r="J117" s="85">
        <f t="shared" si="531"/>
        <v>10.832856576633818</v>
      </c>
      <c r="K117" s="85">
        <f t="shared" si="531"/>
        <v>10.88017986525068</v>
      </c>
      <c r="L117" s="85">
        <f t="shared" si="531"/>
        <v>10.927709885455764</v>
      </c>
      <c r="M117" s="85">
        <f t="shared" si="531"/>
        <v>10.975447540355153</v>
      </c>
      <c r="N117" s="85">
        <f t="shared" si="531"/>
        <v>11.023393737000152</v>
      </c>
      <c r="O117" s="85">
        <f t="shared" si="531"/>
        <v>11.071549386404531</v>
      </c>
      <c r="P117" s="85">
        <f t="shared" si="531"/>
        <v>11.119915403561818</v>
      </c>
      <c r="Q117" s="85">
        <f t="shared" si="531"/>
        <v>11.168492707462649</v>
      </c>
      <c r="R117" s="85">
        <f t="shared" si="531"/>
        <v>11.217282221112288</v>
      </c>
      <c r="S117" s="85">
        <f t="shared" si="531"/>
        <v>11.266284871548079</v>
      </c>
      <c r="T117" s="85">
        <f t="shared" si="531"/>
        <v>11.315501589857206</v>
      </c>
      <c r="U117" s="85">
        <f t="shared" si="531"/>
        <v>11.364933311194267</v>
      </c>
      <c r="V117" s="85">
        <f t="shared" si="531"/>
        <v>11.414580974799108</v>
      </c>
      <c r="W117" s="85">
        <f t="shared" si="531"/>
        <v>11.464445524014613</v>
      </c>
      <c r="X117" s="85">
        <f t="shared" si="531"/>
        <v>11.514527906304647</v>
      </c>
      <c r="Y117" s="85">
        <f t="shared" si="531"/>
        <v>11.564829073272147</v>
      </c>
      <c r="Z117" s="85">
        <f t="shared" si="531"/>
        <v>11.615349980677049</v>
      </c>
      <c r="AA117" s="85">
        <f t="shared" si="531"/>
        <v>11.666091588454478</v>
      </c>
      <c r="AB117" s="85">
        <f t="shared" si="531"/>
        <v>10.717054860733144</v>
      </c>
      <c r="AC117" s="85">
        <f t="shared" si="531"/>
        <v>9.7638722700386715</v>
      </c>
      <c r="AD117" s="85">
        <f t="shared" si="531"/>
        <v>8.8065257051860577</v>
      </c>
      <c r="AE117" s="85">
        <f t="shared" si="531"/>
        <v>7.8449969758716236</v>
      </c>
      <c r="AF117" s="85">
        <f t="shared" si="531"/>
        <v>6.8792678123274458</v>
      </c>
      <c r="AG117" s="85">
        <f t="shared" si="531"/>
        <v>5.9093198649741243</v>
      </c>
      <c r="AH117" s="85">
        <f t="shared" si="531"/>
        <v>4.9351347040723015</v>
      </c>
      <c r="AI117" s="85">
        <f t="shared" si="531"/>
        <v>3.9566938193722483</v>
      </c>
      <c r="AJ117" s="85">
        <f t="shared" si="531"/>
        <v>2.9739786197624354</v>
      </c>
      <c r="AK117" s="85">
        <f t="shared" si="531"/>
        <v>1.9869704329160223</v>
      </c>
      <c r="AL117" s="85"/>
      <c r="AM117" s="85"/>
      <c r="AN117" s="85"/>
      <c r="AO117" s="85"/>
      <c r="AP117" s="85"/>
      <c r="AQ117" s="85"/>
      <c r="AR117" s="85"/>
      <c r="AS117" s="85"/>
      <c r="AT117" s="85"/>
      <c r="AU117" s="85"/>
      <c r="AV117" s="85"/>
      <c r="AW117" s="85"/>
      <c r="AX117" s="85"/>
      <c r="AY117" s="85"/>
      <c r="AZ117" s="85"/>
      <c r="BA117" s="85"/>
      <c r="BB117" s="85"/>
      <c r="BC117" s="85"/>
      <c r="BD117" s="85"/>
      <c r="BE117" s="85"/>
      <c r="BF117" s="85"/>
      <c r="BG117" s="85"/>
      <c r="BH117" s="85"/>
      <c r="BI117" s="85"/>
      <c r="BJ117" s="85"/>
      <c r="BK117" s="85"/>
      <c r="BL117" s="85"/>
      <c r="BM117" s="85"/>
      <c r="BN117" s="85"/>
      <c r="BO117" s="85"/>
      <c r="BP117" s="85"/>
      <c r="BQ117" s="85"/>
      <c r="BR117" s="85"/>
      <c r="BS117" s="85"/>
      <c r="BT117" s="85"/>
      <c r="BU117" s="85"/>
      <c r="BV117" s="85"/>
      <c r="BW117" s="85"/>
      <c r="BX117" s="85"/>
      <c r="BY117" s="85"/>
      <c r="BZ117" s="85"/>
      <c r="CA117" s="85"/>
      <c r="CB117" s="85"/>
      <c r="CC117" s="85"/>
      <c r="CD117" s="85"/>
      <c r="CE117" s="85"/>
      <c r="CF117" s="85"/>
      <c r="CG117" s="85"/>
      <c r="CH117" s="85"/>
      <c r="CI117" s="85"/>
      <c r="CJ117" s="85"/>
      <c r="CK117" s="85"/>
      <c r="CL117" s="85"/>
      <c r="CM117" s="85"/>
      <c r="CN117" s="85"/>
      <c r="CO117" s="85"/>
      <c r="CP117" s="85"/>
      <c r="CQ117" s="85"/>
      <c r="CR117" s="85"/>
      <c r="CS117" s="85"/>
      <c r="CT117" s="85"/>
      <c r="CU117" s="85"/>
      <c r="CV117" s="85"/>
      <c r="CW117" s="85"/>
      <c r="CX117" s="85"/>
      <c r="CY117" s="85"/>
      <c r="CZ117" s="85"/>
      <c r="DA117" s="85"/>
      <c r="DB117" s="85"/>
      <c r="DC117" s="85"/>
      <c r="DD117" s="85"/>
      <c r="DE117" s="85"/>
      <c r="DF117" s="85"/>
      <c r="DG117" s="85"/>
      <c r="DH117" s="85"/>
      <c r="DI117" s="85"/>
      <c r="DJ117" s="85"/>
      <c r="DK117" s="85"/>
      <c r="DL117" s="85"/>
      <c r="DM117" s="85"/>
      <c r="DN117" s="85"/>
      <c r="DO117" s="85"/>
      <c r="DP117" s="85"/>
      <c r="DQ117" s="85"/>
      <c r="DR117" s="85"/>
      <c r="DS117" s="85"/>
      <c r="DT117" s="85"/>
      <c r="DU117" s="85"/>
      <c r="DV117" s="85"/>
      <c r="DW117" s="85"/>
      <c r="DX117" s="85"/>
      <c r="DY117" s="85"/>
      <c r="DZ117" s="85"/>
      <c r="EA117" s="85"/>
      <c r="EB117" s="85"/>
      <c r="EC117" s="85"/>
      <c r="ED117" s="85"/>
      <c r="EE117" s="85"/>
      <c r="EF117" s="85"/>
      <c r="EG117" s="85"/>
      <c r="EH117" s="85"/>
      <c r="EI117" s="85"/>
      <c r="EJ117" s="85"/>
      <c r="EK117" s="85"/>
      <c r="EL117" s="85"/>
      <c r="EM117" s="85"/>
      <c r="EN117" s="85"/>
      <c r="EO117" s="85"/>
      <c r="EP117" s="85"/>
      <c r="EQ117" s="85"/>
      <c r="ER117" s="85"/>
      <c r="ES117" s="85"/>
      <c r="ET117" s="85"/>
      <c r="EU117" s="85"/>
      <c r="EV117" s="85"/>
      <c r="EW117" s="85"/>
      <c r="EX117" s="85"/>
      <c r="EY117" s="85"/>
      <c r="EZ117" s="85"/>
      <c r="FA117" s="85"/>
      <c r="FB117" s="85"/>
      <c r="FC117" s="85"/>
      <c r="FD117" s="85"/>
      <c r="FE117" s="85"/>
      <c r="FF117" s="85"/>
      <c r="FG117" s="85"/>
      <c r="FH117" s="85"/>
      <c r="FI117" s="85"/>
      <c r="FJ117" s="85"/>
      <c r="FK117" s="85"/>
      <c r="FL117" s="85"/>
      <c r="FM117" s="85"/>
      <c r="FN117" s="85"/>
      <c r="FO117" s="85"/>
      <c r="FP117" s="85"/>
      <c r="FQ117" s="85"/>
      <c r="FR117" s="85"/>
      <c r="FS117" s="85"/>
      <c r="FT117" s="85"/>
      <c r="FU117" s="85"/>
      <c r="FV117" s="85"/>
      <c r="FW117" s="85"/>
      <c r="FX117" s="85"/>
      <c r="FY117" s="85"/>
      <c r="FZ117" s="86"/>
    </row>
    <row r="118" spans="1:182" s="293" customFormat="1" hidden="1" outlineLevel="1" x14ac:dyDescent="0.2">
      <c r="A118" s="83" t="s">
        <v>187</v>
      </c>
      <c r="B118" s="84">
        <f>(1/B100^IF((36-B98+1)&lt;0,0,(36-B98+1))-(1/B100^IF((12+(B121)-B98+1)&lt;0,0,(12+(B121)-B98+1))))/(B100-1)</f>
        <v>9.9284478699314782</v>
      </c>
      <c r="C118" s="85">
        <f t="shared" ref="C118:Y118" si="532">(1/C100^IF((36-C98+1)&lt;0,0,(36-C98+1))-(1/C100^IF((12+(C121)-C98+1)&lt;0,0,(12+(C121)-C98+1))))/(C100-1)</f>
        <v>9.971820252898242</v>
      </c>
      <c r="D118" s="85">
        <f t="shared" si="532"/>
        <v>10.015382107938397</v>
      </c>
      <c r="E118" s="85">
        <f t="shared" si="532"/>
        <v>10.059134262760049</v>
      </c>
      <c r="F118" s="85">
        <f t="shared" si="532"/>
        <v>10.103077548686924</v>
      </c>
      <c r="G118" s="85">
        <f t="shared" si="532"/>
        <v>10.147212800674479</v>
      </c>
      <c r="H118" s="85">
        <f t="shared" si="532"/>
        <v>10.191540857325606</v>
      </c>
      <c r="I118" s="85">
        <f t="shared" si="532"/>
        <v>10.236062560906669</v>
      </c>
      <c r="J118" s="85">
        <f t="shared" si="532"/>
        <v>10.280778757363464</v>
      </c>
      <c r="K118" s="85">
        <f t="shared" si="532"/>
        <v>10.325690296337335</v>
      </c>
      <c r="L118" s="85">
        <f t="shared" si="532"/>
        <v>10.370798031181257</v>
      </c>
      <c r="M118" s="85">
        <f t="shared" si="532"/>
        <v>10.416102818976105</v>
      </c>
      <c r="N118" s="85">
        <f t="shared" si="532"/>
        <v>10.461605520546838</v>
      </c>
      <c r="O118" s="85">
        <f t="shared" si="532"/>
        <v>10.507307000478871</v>
      </c>
      <c r="P118" s="85">
        <f t="shared" si="532"/>
        <v>10.553208127134743</v>
      </c>
      <c r="Q118" s="85">
        <f t="shared" si="532"/>
        <v>10.599309772670306</v>
      </c>
      <c r="R118" s="85">
        <f t="shared" si="532"/>
        <v>10.645612813051404</v>
      </c>
      <c r="S118" s="85">
        <f t="shared" si="532"/>
        <v>10.692118128070657</v>
      </c>
      <c r="T118" s="85">
        <f t="shared" si="532"/>
        <v>10.738826601363897</v>
      </c>
      <c r="U118" s="85">
        <f t="shared" si="532"/>
        <v>10.78573912042728</v>
      </c>
      <c r="V118" s="85">
        <f t="shared" si="532"/>
        <v>10.832856576633818</v>
      </c>
      <c r="W118" s="85">
        <f t="shared" si="532"/>
        <v>10.88017986525068</v>
      </c>
      <c r="X118" s="85">
        <f t="shared" si="532"/>
        <v>10.927709885455764</v>
      </c>
      <c r="Y118" s="85">
        <f t="shared" si="532"/>
        <v>10.975447540355153</v>
      </c>
      <c r="Z118" s="85">
        <f>(1/Z100^IF((36-Z98+1+(Z98-24-1))&lt;0,0,(36-Z98+1+(Z98-24-1)))-(1/Z100^IF((12+(Z121)-Z98+1)&lt;0,0,(12+(Z121)-Z98+1))))/(Z100-1)</f>
        <v>11.968302634158947</v>
      </c>
      <c r="AA118" s="85">
        <f t="shared" ref="AA118:AK118" si="533">(1/AA100^IF((36-AA98+1+(AA98-24-1))&lt;0,0,(36-AA98+1+(AA98-24-1)))-(1/AA100^IF((12+(AA121)-AA98+1)&lt;0,0,(12+(AA121)-AA98+1))))/(AA100-1)</f>
        <v>11.071549386404531</v>
      </c>
      <c r="AB118" s="85">
        <f t="shared" si="533"/>
        <v>10.170878675840484</v>
      </c>
      <c r="AC118" s="85">
        <f t="shared" si="533"/>
        <v>9.2662733890468427</v>
      </c>
      <c r="AD118" s="85">
        <f t="shared" si="533"/>
        <v>8.3577163378438684</v>
      </c>
      <c r="AE118" s="85">
        <f t="shared" si="533"/>
        <v>7.4451902589652237</v>
      </c>
      <c r="AF118" s="85">
        <f t="shared" si="533"/>
        <v>6.5286778137301731</v>
      </c>
      <c r="AG118" s="85">
        <f t="shared" si="533"/>
        <v>5.6081615877139139</v>
      </c>
      <c r="AH118" s="85">
        <f t="shared" si="533"/>
        <v>4.6836240904169326</v>
      </c>
      <c r="AI118" s="85">
        <f t="shared" si="533"/>
        <v>3.7550477549323835</v>
      </c>
      <c r="AJ118" s="85">
        <f t="shared" si="533"/>
        <v>2.8224149376126033</v>
      </c>
      <c r="AK118" s="85">
        <f t="shared" si="533"/>
        <v>1.8857079177336911</v>
      </c>
      <c r="AL118" s="85"/>
      <c r="AM118" s="85"/>
      <c r="AN118" s="85"/>
      <c r="AO118" s="85"/>
      <c r="AP118" s="85"/>
      <c r="AQ118" s="85"/>
      <c r="AR118" s="85"/>
      <c r="AS118" s="85"/>
      <c r="AT118" s="85"/>
      <c r="AU118" s="85"/>
      <c r="AV118" s="85"/>
      <c r="AW118" s="85"/>
      <c r="AX118" s="85"/>
      <c r="AY118" s="85"/>
      <c r="AZ118" s="85"/>
      <c r="BA118" s="85"/>
      <c r="BB118" s="85"/>
      <c r="BC118" s="85"/>
      <c r="BD118" s="85"/>
      <c r="BE118" s="85"/>
      <c r="BF118" s="85"/>
      <c r="BG118" s="85"/>
      <c r="BH118" s="85"/>
      <c r="BI118" s="85"/>
      <c r="BJ118" s="85"/>
      <c r="BK118" s="85"/>
      <c r="BL118" s="85"/>
      <c r="BM118" s="85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  <c r="DF118" s="85"/>
      <c r="DG118" s="85"/>
      <c r="DH118" s="85"/>
      <c r="DI118" s="85"/>
      <c r="DJ118" s="85"/>
      <c r="DK118" s="85"/>
      <c r="DL118" s="85"/>
      <c r="DM118" s="85"/>
      <c r="DN118" s="85"/>
      <c r="DO118" s="85"/>
      <c r="DP118" s="85"/>
      <c r="DQ118" s="85"/>
      <c r="DR118" s="85"/>
      <c r="DS118" s="85"/>
      <c r="DT118" s="85"/>
      <c r="DU118" s="85"/>
      <c r="DV118" s="85"/>
      <c r="DW118" s="85"/>
      <c r="DX118" s="85"/>
      <c r="DY118" s="85"/>
      <c r="DZ118" s="85"/>
      <c r="EA118" s="85"/>
      <c r="EB118" s="85"/>
      <c r="EC118" s="85"/>
      <c r="ED118" s="85"/>
      <c r="EE118" s="85"/>
      <c r="EF118" s="85"/>
      <c r="EG118" s="85"/>
      <c r="EH118" s="85"/>
      <c r="EI118" s="85"/>
      <c r="EJ118" s="85"/>
      <c r="EK118" s="85"/>
      <c r="EL118" s="85"/>
      <c r="EM118" s="85"/>
      <c r="EN118" s="85"/>
      <c r="EO118" s="85"/>
      <c r="EP118" s="85"/>
      <c r="EQ118" s="85"/>
      <c r="ER118" s="85"/>
      <c r="ES118" s="85"/>
      <c r="ET118" s="85"/>
      <c r="EU118" s="85"/>
      <c r="EV118" s="85"/>
      <c r="EW118" s="85"/>
      <c r="EX118" s="85"/>
      <c r="EY118" s="85"/>
      <c r="EZ118" s="85"/>
      <c r="FA118" s="85"/>
      <c r="FB118" s="85"/>
      <c r="FC118" s="85"/>
      <c r="FD118" s="85"/>
      <c r="FE118" s="85"/>
      <c r="FF118" s="85"/>
      <c r="FG118" s="85"/>
      <c r="FH118" s="85"/>
      <c r="FI118" s="85"/>
      <c r="FJ118" s="85"/>
      <c r="FK118" s="85"/>
      <c r="FL118" s="85"/>
      <c r="FM118" s="85"/>
      <c r="FN118" s="85"/>
      <c r="FO118" s="85"/>
      <c r="FP118" s="85"/>
      <c r="FQ118" s="85"/>
      <c r="FR118" s="85"/>
      <c r="FS118" s="85"/>
      <c r="FT118" s="85"/>
      <c r="FU118" s="85"/>
      <c r="FV118" s="85"/>
      <c r="FW118" s="85"/>
      <c r="FX118" s="85"/>
      <c r="FY118" s="85"/>
      <c r="FZ118" s="86"/>
    </row>
    <row r="119" spans="1:182" s="293" customFormat="1" hidden="1" outlineLevel="1" x14ac:dyDescent="0.2">
      <c r="A119" s="83" t="s">
        <v>188</v>
      </c>
      <c r="B119" s="84">
        <f>(1/B100^IF((48-B98+1)&lt;0,0,(48-B98+1))-(1/B100^IF((24+(B121)-B98+1)&lt;0,0,(24+(B121)-B98+1))))/(B100-1)</f>
        <v>9.4224616778318886</v>
      </c>
      <c r="C119" s="85">
        <f t="shared" ref="C119:Y119" si="534">(1/C100^IF((48-C98+1)&lt;0,0,(48-C98+1))-(1/C100^IF((24+(C121)-C98+1)&lt;0,0,(24+(C121)-C98+1))))/(C100-1)</f>
        <v>9.4636236622361771</v>
      </c>
      <c r="D119" s="85">
        <f t="shared" si="534"/>
        <v>9.5049654625970703</v>
      </c>
      <c r="E119" s="85">
        <f t="shared" si="534"/>
        <v>9.5464878644397242</v>
      </c>
      <c r="F119" s="85">
        <f t="shared" si="534"/>
        <v>9.5881916567210421</v>
      </c>
      <c r="G119" s="85">
        <f t="shared" si="534"/>
        <v>9.6300776318443884</v>
      </c>
      <c r="H119" s="85">
        <f t="shared" si="534"/>
        <v>9.6721465856748328</v>
      </c>
      <c r="I119" s="85">
        <f t="shared" si="534"/>
        <v>9.7143993175539727</v>
      </c>
      <c r="J119" s="85">
        <f t="shared" si="534"/>
        <v>9.7568366303155614</v>
      </c>
      <c r="K119" s="85">
        <f t="shared" si="534"/>
        <v>9.7994593303002429</v>
      </c>
      <c r="L119" s="85">
        <f t="shared" si="534"/>
        <v>9.8422682273714699</v>
      </c>
      <c r="M119" s="85">
        <f t="shared" si="534"/>
        <v>9.8852641349303383</v>
      </c>
      <c r="N119" s="85">
        <f t="shared" si="534"/>
        <v>9.9284478699314782</v>
      </c>
      <c r="O119" s="85">
        <f t="shared" si="534"/>
        <v>9.971820252898242</v>
      </c>
      <c r="P119" s="85">
        <f t="shared" si="534"/>
        <v>10.015382107938397</v>
      </c>
      <c r="Q119" s="85">
        <f t="shared" si="534"/>
        <v>10.059134262760049</v>
      </c>
      <c r="R119" s="85">
        <f t="shared" si="534"/>
        <v>10.103077548686924</v>
      </c>
      <c r="S119" s="85">
        <f t="shared" si="534"/>
        <v>10.147212800674479</v>
      </c>
      <c r="T119" s="85">
        <f t="shared" si="534"/>
        <v>10.191540857325606</v>
      </c>
      <c r="U119" s="85">
        <f t="shared" si="534"/>
        <v>10.236062560906669</v>
      </c>
      <c r="V119" s="85">
        <f t="shared" si="534"/>
        <v>10.280778757363464</v>
      </c>
      <c r="W119" s="85">
        <f t="shared" si="534"/>
        <v>10.325690296337335</v>
      </c>
      <c r="X119" s="85">
        <f t="shared" si="534"/>
        <v>10.370798031181257</v>
      </c>
      <c r="Y119" s="85">
        <f t="shared" si="534"/>
        <v>10.416102818976105</v>
      </c>
      <c r="Z119" s="85">
        <f>(1/Z100^IF((48-Z98+1+(Z98-24-1))&lt;0,0,(48-Z98+1+(Z98-24-1)))-(1/Z100^IF((24+(Z121)-Z98+1)&lt;0,0,(24+(Z121)-Z98+1))))/(Z100-1)</f>
        <v>11.358358768301255</v>
      </c>
      <c r="AA119" s="85">
        <f t="shared" ref="AA119:AK119" si="535">(1/AA100^IF((48-AA98+1+(AA98-24-1))&lt;0,0,(48-AA98+1+(AA98-24-1)))-(1/AA100^IF((24+(AA121)-AA98+1)&lt;0,0,(24+(AA121)-AA98+1))))/(AA100-1)</f>
        <v>10.507307000478871</v>
      </c>
      <c r="AB119" s="85">
        <f t="shared" si="535"/>
        <v>9.6525374165706967</v>
      </c>
      <c r="AC119" s="85">
        <f t="shared" si="535"/>
        <v>8.7940337753126183</v>
      </c>
      <c r="AD119" s="85">
        <f t="shared" si="535"/>
        <v>7.9317797644907424</v>
      </c>
      <c r="AE119" s="85">
        <f t="shared" si="535"/>
        <v>7.0657590006313509</v>
      </c>
      <c r="AF119" s="85">
        <f t="shared" si="535"/>
        <v>6.1959550286895393</v>
      </c>
      <c r="AG119" s="85">
        <f t="shared" si="535"/>
        <v>5.3223513217366634</v>
      </c>
      <c r="AH119" s="85">
        <f t="shared" si="535"/>
        <v>4.4449312806462205</v>
      </c>
      <c r="AI119" s="85">
        <f t="shared" si="535"/>
        <v>3.5636782337785338</v>
      </c>
      <c r="AJ119" s="85">
        <f t="shared" si="535"/>
        <v>2.678575436663837</v>
      </c>
      <c r="AK119" s="85">
        <f t="shared" si="535"/>
        <v>1.7896060716843145</v>
      </c>
      <c r="AL119" s="85"/>
      <c r="AM119" s="85"/>
      <c r="AN119" s="85"/>
      <c r="AO119" s="85"/>
      <c r="AP119" s="85"/>
      <c r="AQ119" s="85"/>
      <c r="AR119" s="85"/>
      <c r="AS119" s="85"/>
      <c r="AT119" s="85"/>
      <c r="AU119" s="85"/>
      <c r="AV119" s="85"/>
      <c r="AW119" s="85"/>
      <c r="AX119" s="85"/>
      <c r="AY119" s="85"/>
      <c r="AZ119" s="85"/>
      <c r="BA119" s="85"/>
      <c r="BB119" s="85"/>
      <c r="BC119" s="85"/>
      <c r="BD119" s="85"/>
      <c r="BE119" s="85"/>
      <c r="BF119" s="85"/>
      <c r="BG119" s="85"/>
      <c r="BH119" s="85"/>
      <c r="BI119" s="85"/>
      <c r="BJ119" s="85"/>
      <c r="BK119" s="85"/>
      <c r="BL119" s="85"/>
      <c r="BM119" s="85"/>
      <c r="BN119" s="85"/>
      <c r="BO119" s="85"/>
      <c r="BP119" s="85"/>
      <c r="BQ119" s="85"/>
      <c r="BR119" s="85"/>
      <c r="BS119" s="85"/>
      <c r="BT119" s="85"/>
      <c r="BU119" s="85"/>
      <c r="BV119" s="85"/>
      <c r="BW119" s="85"/>
      <c r="BX119" s="85"/>
      <c r="BY119" s="85"/>
      <c r="BZ119" s="85"/>
      <c r="CA119" s="85"/>
      <c r="CB119" s="85"/>
      <c r="CC119" s="85"/>
      <c r="CD119" s="85"/>
      <c r="CE119" s="85"/>
      <c r="CF119" s="85"/>
      <c r="CG119" s="85"/>
      <c r="CH119" s="85"/>
      <c r="CI119" s="85"/>
      <c r="CJ119" s="85"/>
      <c r="CK119" s="85"/>
      <c r="CL119" s="85"/>
      <c r="CM119" s="85"/>
      <c r="CN119" s="85"/>
      <c r="CO119" s="85"/>
      <c r="CP119" s="85"/>
      <c r="CQ119" s="85"/>
      <c r="CR119" s="85"/>
      <c r="CS119" s="85"/>
      <c r="CT119" s="85"/>
      <c r="CU119" s="85"/>
      <c r="CV119" s="85"/>
      <c r="CW119" s="85"/>
      <c r="CX119" s="85"/>
      <c r="CY119" s="85"/>
      <c r="CZ119" s="85"/>
      <c r="DA119" s="85"/>
      <c r="DB119" s="85"/>
      <c r="DC119" s="85"/>
      <c r="DD119" s="85"/>
      <c r="DE119" s="85"/>
      <c r="DF119" s="85"/>
      <c r="DG119" s="85"/>
      <c r="DH119" s="85"/>
      <c r="DI119" s="85"/>
      <c r="DJ119" s="85"/>
      <c r="DK119" s="85"/>
      <c r="DL119" s="85"/>
      <c r="DM119" s="85"/>
      <c r="DN119" s="85"/>
      <c r="DO119" s="85"/>
      <c r="DP119" s="85"/>
      <c r="DQ119" s="85"/>
      <c r="DR119" s="85"/>
      <c r="DS119" s="85"/>
      <c r="DT119" s="85"/>
      <c r="DU119" s="85"/>
      <c r="DV119" s="85"/>
      <c r="DW119" s="85"/>
      <c r="DX119" s="85"/>
      <c r="DY119" s="85"/>
      <c r="DZ119" s="85"/>
      <c r="EA119" s="85"/>
      <c r="EB119" s="85"/>
      <c r="EC119" s="85"/>
      <c r="ED119" s="85"/>
      <c r="EE119" s="85"/>
      <c r="EF119" s="85"/>
      <c r="EG119" s="85"/>
      <c r="EH119" s="85"/>
      <c r="EI119" s="85"/>
      <c r="EJ119" s="85"/>
      <c r="EK119" s="85"/>
      <c r="EL119" s="85"/>
      <c r="EM119" s="85"/>
      <c r="EN119" s="85"/>
      <c r="EO119" s="85"/>
      <c r="EP119" s="85"/>
      <c r="EQ119" s="85"/>
      <c r="ER119" s="85"/>
      <c r="ES119" s="85"/>
      <c r="ET119" s="85"/>
      <c r="EU119" s="85"/>
      <c r="EV119" s="85"/>
      <c r="EW119" s="85"/>
      <c r="EX119" s="85"/>
      <c r="EY119" s="85"/>
      <c r="EZ119" s="85"/>
      <c r="FA119" s="85"/>
      <c r="FB119" s="85"/>
      <c r="FC119" s="85"/>
      <c r="FD119" s="85"/>
      <c r="FE119" s="85"/>
      <c r="FF119" s="85"/>
      <c r="FG119" s="85"/>
      <c r="FH119" s="85"/>
      <c r="FI119" s="85"/>
      <c r="FJ119" s="85"/>
      <c r="FK119" s="85"/>
      <c r="FL119" s="85"/>
      <c r="FM119" s="85"/>
      <c r="FN119" s="85"/>
      <c r="FO119" s="85"/>
      <c r="FP119" s="85"/>
      <c r="FQ119" s="85"/>
      <c r="FR119" s="85"/>
      <c r="FS119" s="85"/>
      <c r="FT119" s="85"/>
      <c r="FU119" s="85"/>
      <c r="FV119" s="85"/>
      <c r="FW119" s="85"/>
      <c r="FX119" s="85"/>
      <c r="FY119" s="85"/>
      <c r="FZ119" s="86"/>
    </row>
    <row r="120" spans="1:182" hidden="1" outlineLevel="1" x14ac:dyDescent="0.2">
      <c r="A120" s="87" t="s">
        <v>172</v>
      </c>
      <c r="B120" s="65">
        <f t="shared" ref="B120:AG120" si="536">IF(IF((3-1)*12+1&lt;B21,B21,(3-1)*12+1)&gt;B22,B22,IF((3-1)*12+1&lt;B21,B21,(3-1)*12+1))</f>
        <v>25</v>
      </c>
      <c r="C120" s="57">
        <f t="shared" si="536"/>
        <v>25</v>
      </c>
      <c r="D120" s="57">
        <f t="shared" si="536"/>
        <v>25</v>
      </c>
      <c r="E120" s="57">
        <f t="shared" si="536"/>
        <v>25</v>
      </c>
      <c r="F120" s="57">
        <f t="shared" si="536"/>
        <v>25</v>
      </c>
      <c r="G120" s="57">
        <f t="shared" si="536"/>
        <v>25</v>
      </c>
      <c r="H120" s="57">
        <f t="shared" si="536"/>
        <v>25</v>
      </c>
      <c r="I120" s="57">
        <f t="shared" si="536"/>
        <v>25</v>
      </c>
      <c r="J120" s="57">
        <f t="shared" si="536"/>
        <v>25</v>
      </c>
      <c r="K120" s="57">
        <f t="shared" si="536"/>
        <v>25</v>
      </c>
      <c r="L120" s="57">
        <f t="shared" si="536"/>
        <v>25</v>
      </c>
      <c r="M120" s="57">
        <f t="shared" si="536"/>
        <v>25</v>
      </c>
      <c r="N120" s="57">
        <f t="shared" si="536"/>
        <v>25</v>
      </c>
      <c r="O120" s="57">
        <f t="shared" si="536"/>
        <v>25</v>
      </c>
      <c r="P120" s="57">
        <f t="shared" si="536"/>
        <v>25</v>
      </c>
      <c r="Q120" s="57">
        <f t="shared" si="536"/>
        <v>25</v>
      </c>
      <c r="R120" s="57">
        <f t="shared" si="536"/>
        <v>25</v>
      </c>
      <c r="S120" s="57">
        <f t="shared" si="536"/>
        <v>25</v>
      </c>
      <c r="T120" s="57">
        <f t="shared" si="536"/>
        <v>25</v>
      </c>
      <c r="U120" s="57">
        <f t="shared" si="536"/>
        <v>25</v>
      </c>
      <c r="V120" s="57">
        <f t="shared" si="536"/>
        <v>25</v>
      </c>
      <c r="W120" s="57">
        <f t="shared" si="536"/>
        <v>25</v>
      </c>
      <c r="X120" s="57">
        <f t="shared" si="536"/>
        <v>25</v>
      </c>
      <c r="Y120" s="57">
        <f t="shared" si="536"/>
        <v>25</v>
      </c>
      <c r="Z120" s="57">
        <f t="shared" si="536"/>
        <v>25</v>
      </c>
      <c r="AA120" s="57">
        <f t="shared" si="536"/>
        <v>25</v>
      </c>
      <c r="AB120" s="57">
        <f t="shared" si="536"/>
        <v>25</v>
      </c>
      <c r="AC120" s="57">
        <f t="shared" si="536"/>
        <v>25</v>
      </c>
      <c r="AD120" s="57">
        <f t="shared" si="536"/>
        <v>25</v>
      </c>
      <c r="AE120" s="57">
        <f t="shared" si="536"/>
        <v>25</v>
      </c>
      <c r="AF120" s="57">
        <f t="shared" si="536"/>
        <v>25</v>
      </c>
      <c r="AG120" s="57">
        <f t="shared" si="536"/>
        <v>25</v>
      </c>
      <c r="AH120" s="57">
        <f t="shared" ref="AH120:BH120" si="537">IF(IF((3-1)*12+1&lt;AH21,AH21,(3-1)*12+1)&gt;AH22,AH22,IF((3-1)*12+1&lt;AH21,AH21,(3-1)*12+1))</f>
        <v>25</v>
      </c>
      <c r="AI120" s="57">
        <f t="shared" si="537"/>
        <v>25</v>
      </c>
      <c r="AJ120" s="57">
        <f t="shared" si="537"/>
        <v>25</v>
      </c>
      <c r="AK120" s="57">
        <f t="shared" si="537"/>
        <v>25</v>
      </c>
      <c r="AL120" s="57">
        <f t="shared" si="537"/>
        <v>25</v>
      </c>
      <c r="AM120" s="57">
        <f t="shared" si="537"/>
        <v>25</v>
      </c>
      <c r="AN120" s="57">
        <f t="shared" si="537"/>
        <v>25</v>
      </c>
      <c r="AO120" s="57">
        <f t="shared" si="537"/>
        <v>25</v>
      </c>
      <c r="AP120" s="57">
        <f t="shared" si="537"/>
        <v>25</v>
      </c>
      <c r="AQ120" s="57">
        <f t="shared" si="537"/>
        <v>25</v>
      </c>
      <c r="AR120" s="57">
        <f t="shared" si="537"/>
        <v>25</v>
      </c>
      <c r="AS120" s="57">
        <f t="shared" si="537"/>
        <v>25</v>
      </c>
      <c r="AT120" s="57">
        <f t="shared" si="537"/>
        <v>25</v>
      </c>
      <c r="AU120" s="57">
        <f t="shared" si="537"/>
        <v>25</v>
      </c>
      <c r="AV120" s="57">
        <f t="shared" si="537"/>
        <v>25</v>
      </c>
      <c r="AW120" s="57">
        <f t="shared" si="537"/>
        <v>25</v>
      </c>
      <c r="AX120" s="57">
        <f t="shared" si="537"/>
        <v>25</v>
      </c>
      <c r="AY120" s="57">
        <f t="shared" si="537"/>
        <v>25</v>
      </c>
      <c r="AZ120" s="57">
        <f t="shared" si="537"/>
        <v>25</v>
      </c>
      <c r="BA120" s="57">
        <f t="shared" si="537"/>
        <v>25</v>
      </c>
      <c r="BB120" s="57">
        <f t="shared" si="537"/>
        <v>25</v>
      </c>
      <c r="BC120" s="57">
        <f t="shared" si="537"/>
        <v>25</v>
      </c>
      <c r="BD120" s="57">
        <f t="shared" si="537"/>
        <v>25</v>
      </c>
      <c r="BE120" s="57">
        <f t="shared" si="537"/>
        <v>25</v>
      </c>
      <c r="BF120" s="57">
        <f t="shared" si="537"/>
        <v>25</v>
      </c>
      <c r="BG120" s="57">
        <f t="shared" si="537"/>
        <v>25</v>
      </c>
      <c r="BH120" s="57">
        <f t="shared" si="537"/>
        <v>25</v>
      </c>
      <c r="BI120" s="57">
        <f t="shared" ref="BI120:DP120" si="538">IF(IF((3-1)*12+1&lt;BI21,BI21,(3-1)*12+1)&gt;BI22,BI22,IF((3-1)*12+1&lt;BI21,BI21,(3-1)*12+1))</f>
        <v>25</v>
      </c>
      <c r="BJ120" s="57">
        <f t="shared" si="538"/>
        <v>25</v>
      </c>
      <c r="BK120" s="57">
        <f t="shared" si="538"/>
        <v>25</v>
      </c>
      <c r="BL120" s="57">
        <f t="shared" si="538"/>
        <v>25</v>
      </c>
      <c r="BM120" s="57">
        <f t="shared" si="538"/>
        <v>25</v>
      </c>
      <c r="BN120" s="57">
        <f t="shared" si="538"/>
        <v>25</v>
      </c>
      <c r="BO120" s="57">
        <f t="shared" si="538"/>
        <v>25</v>
      </c>
      <c r="BP120" s="57">
        <f t="shared" si="538"/>
        <v>25</v>
      </c>
      <c r="BQ120" s="57">
        <f t="shared" si="538"/>
        <v>25</v>
      </c>
      <c r="BR120" s="57">
        <f t="shared" si="538"/>
        <v>25</v>
      </c>
      <c r="BS120" s="57">
        <f t="shared" si="538"/>
        <v>25</v>
      </c>
      <c r="BT120" s="57">
        <f t="shared" si="538"/>
        <v>25</v>
      </c>
      <c r="BU120" s="57">
        <f t="shared" si="538"/>
        <v>25</v>
      </c>
      <c r="BV120" s="57">
        <f t="shared" si="538"/>
        <v>25</v>
      </c>
      <c r="BW120" s="57">
        <f t="shared" si="538"/>
        <v>25</v>
      </c>
      <c r="BX120" s="57">
        <f t="shared" si="538"/>
        <v>25</v>
      </c>
      <c r="BY120" s="57">
        <f t="shared" si="538"/>
        <v>25</v>
      </c>
      <c r="BZ120" s="57">
        <f t="shared" si="538"/>
        <v>25</v>
      </c>
      <c r="CA120" s="57">
        <f t="shared" si="538"/>
        <v>25</v>
      </c>
      <c r="CB120" s="57">
        <f t="shared" si="538"/>
        <v>25</v>
      </c>
      <c r="CC120" s="57">
        <f t="shared" si="538"/>
        <v>25</v>
      </c>
      <c r="CD120" s="57">
        <f t="shared" si="538"/>
        <v>25</v>
      </c>
      <c r="CE120" s="57">
        <f t="shared" si="538"/>
        <v>25</v>
      </c>
      <c r="CF120" s="57">
        <f t="shared" si="538"/>
        <v>25</v>
      </c>
      <c r="CG120" s="57">
        <f t="shared" si="538"/>
        <v>25</v>
      </c>
      <c r="CH120" s="57">
        <f t="shared" si="538"/>
        <v>25</v>
      </c>
      <c r="CI120" s="57">
        <f t="shared" si="538"/>
        <v>25</v>
      </c>
      <c r="CJ120" s="57">
        <f t="shared" si="538"/>
        <v>25</v>
      </c>
      <c r="CK120" s="57">
        <f t="shared" si="538"/>
        <v>25</v>
      </c>
      <c r="CL120" s="57">
        <f t="shared" si="538"/>
        <v>25</v>
      </c>
      <c r="CM120" s="57">
        <f t="shared" si="538"/>
        <v>25</v>
      </c>
      <c r="CN120" s="57">
        <f t="shared" si="538"/>
        <v>25</v>
      </c>
      <c r="CO120" s="57">
        <f t="shared" si="538"/>
        <v>25</v>
      </c>
      <c r="CP120" s="57">
        <f t="shared" si="538"/>
        <v>25</v>
      </c>
      <c r="CQ120" s="57">
        <f t="shared" si="538"/>
        <v>25</v>
      </c>
      <c r="CR120" s="57">
        <f t="shared" si="538"/>
        <v>25</v>
      </c>
      <c r="CS120" s="57">
        <f t="shared" si="538"/>
        <v>25</v>
      </c>
      <c r="CT120" s="57">
        <f t="shared" si="538"/>
        <v>25</v>
      </c>
      <c r="CU120" s="57">
        <f t="shared" si="538"/>
        <v>25</v>
      </c>
      <c r="CV120" s="57">
        <f t="shared" si="538"/>
        <v>25</v>
      </c>
      <c r="CW120" s="57">
        <f t="shared" si="538"/>
        <v>25</v>
      </c>
      <c r="CX120" s="57">
        <f t="shared" si="538"/>
        <v>25</v>
      </c>
      <c r="CY120" s="57">
        <f t="shared" si="538"/>
        <v>25</v>
      </c>
      <c r="CZ120" s="57">
        <f t="shared" si="538"/>
        <v>25</v>
      </c>
      <c r="DA120" s="57">
        <f t="shared" si="538"/>
        <v>25</v>
      </c>
      <c r="DB120" s="57">
        <f t="shared" si="538"/>
        <v>25</v>
      </c>
      <c r="DC120" s="57">
        <f t="shared" si="538"/>
        <v>25</v>
      </c>
      <c r="DD120" s="57">
        <f t="shared" si="538"/>
        <v>25</v>
      </c>
      <c r="DE120" s="57">
        <f t="shared" si="538"/>
        <v>25</v>
      </c>
      <c r="DF120" s="57">
        <f t="shared" si="538"/>
        <v>25</v>
      </c>
      <c r="DG120" s="57">
        <f t="shared" si="538"/>
        <v>25</v>
      </c>
      <c r="DH120" s="57">
        <f t="shared" si="538"/>
        <v>25</v>
      </c>
      <c r="DI120" s="57">
        <f t="shared" si="538"/>
        <v>25</v>
      </c>
      <c r="DJ120" s="57">
        <f t="shared" si="538"/>
        <v>25</v>
      </c>
      <c r="DK120" s="57">
        <f t="shared" si="538"/>
        <v>25</v>
      </c>
      <c r="DL120" s="57">
        <f t="shared" si="538"/>
        <v>25</v>
      </c>
      <c r="DM120" s="57">
        <f t="shared" si="538"/>
        <v>25</v>
      </c>
      <c r="DN120" s="57">
        <f t="shared" si="538"/>
        <v>25</v>
      </c>
      <c r="DO120" s="57">
        <f t="shared" si="538"/>
        <v>25</v>
      </c>
      <c r="DP120" s="57">
        <f t="shared" si="538"/>
        <v>25</v>
      </c>
      <c r="DQ120" s="57">
        <f t="shared" ref="DQ120:FY120" si="539">IF(IF((3-1)*12+1&lt;DQ21,DQ21,(3-1)*12+1)&gt;DQ22,DQ22,IF((3-1)*12+1&lt;DQ21,DQ21,(3-1)*12+1))</f>
        <v>25</v>
      </c>
      <c r="DR120" s="57">
        <f t="shared" si="539"/>
        <v>25</v>
      </c>
      <c r="DS120" s="57">
        <f t="shared" si="539"/>
        <v>25</v>
      </c>
      <c r="DT120" s="57">
        <f t="shared" si="539"/>
        <v>25</v>
      </c>
      <c r="DU120" s="57">
        <f t="shared" si="539"/>
        <v>25</v>
      </c>
      <c r="DV120" s="57">
        <f t="shared" si="539"/>
        <v>25</v>
      </c>
      <c r="DW120" s="57">
        <f t="shared" si="539"/>
        <v>25</v>
      </c>
      <c r="DX120" s="57">
        <f t="shared" si="539"/>
        <v>25</v>
      </c>
      <c r="DY120" s="57">
        <f t="shared" si="539"/>
        <v>25</v>
      </c>
      <c r="DZ120" s="57">
        <f t="shared" si="539"/>
        <v>25</v>
      </c>
      <c r="EA120" s="57">
        <f t="shared" si="539"/>
        <v>25</v>
      </c>
      <c r="EB120" s="57">
        <f t="shared" si="539"/>
        <v>25</v>
      </c>
      <c r="EC120" s="57">
        <f t="shared" si="539"/>
        <v>25</v>
      </c>
      <c r="ED120" s="57">
        <f t="shared" si="539"/>
        <v>25</v>
      </c>
      <c r="EE120" s="57">
        <f t="shared" si="539"/>
        <v>25</v>
      </c>
      <c r="EF120" s="57">
        <f t="shared" si="539"/>
        <v>25</v>
      </c>
      <c r="EG120" s="57">
        <f t="shared" si="539"/>
        <v>25</v>
      </c>
      <c r="EH120" s="57">
        <f t="shared" si="539"/>
        <v>25</v>
      </c>
      <c r="EI120" s="57">
        <f t="shared" si="539"/>
        <v>25</v>
      </c>
      <c r="EJ120" s="57">
        <f t="shared" si="539"/>
        <v>25</v>
      </c>
      <c r="EK120" s="57">
        <f t="shared" si="539"/>
        <v>25</v>
      </c>
      <c r="EL120" s="57">
        <f t="shared" si="539"/>
        <v>25</v>
      </c>
      <c r="EM120" s="57">
        <f t="shared" si="539"/>
        <v>25</v>
      </c>
      <c r="EN120" s="57">
        <f t="shared" si="539"/>
        <v>25</v>
      </c>
      <c r="EO120" s="57">
        <f t="shared" si="539"/>
        <v>25</v>
      </c>
      <c r="EP120" s="57">
        <f t="shared" si="539"/>
        <v>25</v>
      </c>
      <c r="EQ120" s="57">
        <f t="shared" si="539"/>
        <v>25</v>
      </c>
      <c r="ER120" s="57">
        <f t="shared" si="539"/>
        <v>25</v>
      </c>
      <c r="ES120" s="57">
        <f t="shared" si="539"/>
        <v>25</v>
      </c>
      <c r="ET120" s="57">
        <f t="shared" si="539"/>
        <v>25</v>
      </c>
      <c r="EU120" s="57">
        <f t="shared" si="539"/>
        <v>25</v>
      </c>
      <c r="EV120" s="57">
        <f t="shared" si="539"/>
        <v>25</v>
      </c>
      <c r="EW120" s="57">
        <f t="shared" si="539"/>
        <v>25</v>
      </c>
      <c r="EX120" s="57">
        <f t="shared" si="539"/>
        <v>25</v>
      </c>
      <c r="EY120" s="57">
        <f t="shared" si="539"/>
        <v>25</v>
      </c>
      <c r="EZ120" s="57">
        <f t="shared" si="539"/>
        <v>25</v>
      </c>
      <c r="FA120" s="57">
        <f t="shared" si="539"/>
        <v>25</v>
      </c>
      <c r="FB120" s="57">
        <f t="shared" si="539"/>
        <v>25</v>
      </c>
      <c r="FC120" s="57">
        <f t="shared" si="539"/>
        <v>25</v>
      </c>
      <c r="FD120" s="57">
        <f t="shared" si="539"/>
        <v>25</v>
      </c>
      <c r="FE120" s="57">
        <f t="shared" si="539"/>
        <v>25</v>
      </c>
      <c r="FF120" s="57">
        <f t="shared" si="539"/>
        <v>25</v>
      </c>
      <c r="FG120" s="57">
        <f t="shared" si="539"/>
        <v>25</v>
      </c>
      <c r="FH120" s="57">
        <f t="shared" si="539"/>
        <v>25</v>
      </c>
      <c r="FI120" s="57">
        <f t="shared" si="539"/>
        <v>25</v>
      </c>
      <c r="FJ120" s="57">
        <f t="shared" si="539"/>
        <v>25</v>
      </c>
      <c r="FK120" s="57">
        <f t="shared" si="539"/>
        <v>25</v>
      </c>
      <c r="FL120" s="57">
        <f t="shared" si="539"/>
        <v>25</v>
      </c>
      <c r="FM120" s="57">
        <f t="shared" si="539"/>
        <v>25</v>
      </c>
      <c r="FN120" s="57">
        <f t="shared" si="539"/>
        <v>25</v>
      </c>
      <c r="FO120" s="57">
        <f t="shared" si="539"/>
        <v>25</v>
      </c>
      <c r="FP120" s="57">
        <f t="shared" si="539"/>
        <v>25</v>
      </c>
      <c r="FQ120" s="57">
        <f t="shared" si="539"/>
        <v>25</v>
      </c>
      <c r="FR120" s="57">
        <f t="shared" si="539"/>
        <v>25</v>
      </c>
      <c r="FS120" s="57">
        <f t="shared" si="539"/>
        <v>25</v>
      </c>
      <c r="FT120" s="57">
        <f t="shared" si="539"/>
        <v>25</v>
      </c>
      <c r="FU120" s="57">
        <f t="shared" si="539"/>
        <v>25</v>
      </c>
      <c r="FV120" s="57">
        <f t="shared" si="539"/>
        <v>25</v>
      </c>
      <c r="FW120" s="57">
        <f t="shared" si="539"/>
        <v>25</v>
      </c>
      <c r="FX120" s="57">
        <f t="shared" si="539"/>
        <v>25</v>
      </c>
      <c r="FY120" s="57">
        <f t="shared" si="539"/>
        <v>25</v>
      </c>
      <c r="FZ120" s="59"/>
    </row>
    <row r="121" spans="1:182" hidden="1" outlineLevel="1" x14ac:dyDescent="0.2">
      <c r="A121" s="87" t="s">
        <v>173</v>
      </c>
      <c r="B121" s="65">
        <f t="shared" ref="B121:AG121" si="540">IF(IF((3)*12&lt;B21,B21,(3)*12)&gt;B22,B22,IF((3)*12&lt;B21,B21,(3)*12))</f>
        <v>36</v>
      </c>
      <c r="C121" s="57">
        <f t="shared" si="540"/>
        <v>36</v>
      </c>
      <c r="D121" s="57">
        <f t="shared" si="540"/>
        <v>36</v>
      </c>
      <c r="E121" s="57">
        <f t="shared" si="540"/>
        <v>36</v>
      </c>
      <c r="F121" s="57">
        <f t="shared" si="540"/>
        <v>36</v>
      </c>
      <c r="G121" s="57">
        <f t="shared" si="540"/>
        <v>36</v>
      </c>
      <c r="H121" s="57">
        <f t="shared" si="540"/>
        <v>36</v>
      </c>
      <c r="I121" s="57">
        <f t="shared" si="540"/>
        <v>36</v>
      </c>
      <c r="J121" s="57">
        <f t="shared" si="540"/>
        <v>36</v>
      </c>
      <c r="K121" s="57">
        <f t="shared" si="540"/>
        <v>36</v>
      </c>
      <c r="L121" s="57">
        <f t="shared" si="540"/>
        <v>36</v>
      </c>
      <c r="M121" s="57">
        <f t="shared" si="540"/>
        <v>36</v>
      </c>
      <c r="N121" s="57">
        <f t="shared" si="540"/>
        <v>36</v>
      </c>
      <c r="O121" s="57">
        <f t="shared" si="540"/>
        <v>36</v>
      </c>
      <c r="P121" s="57">
        <f t="shared" si="540"/>
        <v>36</v>
      </c>
      <c r="Q121" s="57">
        <f t="shared" si="540"/>
        <v>36</v>
      </c>
      <c r="R121" s="57">
        <f t="shared" si="540"/>
        <v>36</v>
      </c>
      <c r="S121" s="57">
        <f t="shared" si="540"/>
        <v>36</v>
      </c>
      <c r="T121" s="57">
        <f t="shared" si="540"/>
        <v>36</v>
      </c>
      <c r="U121" s="57">
        <f t="shared" si="540"/>
        <v>36</v>
      </c>
      <c r="V121" s="57">
        <f t="shared" si="540"/>
        <v>36</v>
      </c>
      <c r="W121" s="57">
        <f t="shared" si="540"/>
        <v>36</v>
      </c>
      <c r="X121" s="57">
        <f t="shared" si="540"/>
        <v>36</v>
      </c>
      <c r="Y121" s="57">
        <f t="shared" si="540"/>
        <v>36</v>
      </c>
      <c r="Z121" s="57">
        <f t="shared" si="540"/>
        <v>36</v>
      </c>
      <c r="AA121" s="57">
        <f t="shared" si="540"/>
        <v>36</v>
      </c>
      <c r="AB121" s="57">
        <f t="shared" si="540"/>
        <v>36</v>
      </c>
      <c r="AC121" s="57">
        <f t="shared" si="540"/>
        <v>36</v>
      </c>
      <c r="AD121" s="57">
        <f t="shared" si="540"/>
        <v>36</v>
      </c>
      <c r="AE121" s="57">
        <f t="shared" si="540"/>
        <v>36</v>
      </c>
      <c r="AF121" s="57">
        <f t="shared" si="540"/>
        <v>36</v>
      </c>
      <c r="AG121" s="57">
        <f t="shared" si="540"/>
        <v>36</v>
      </c>
      <c r="AH121" s="57">
        <f t="shared" ref="AH121:BH121" si="541">IF(IF((3)*12&lt;AH21,AH21,(3)*12)&gt;AH22,AH22,IF((3)*12&lt;AH21,AH21,(3)*12))</f>
        <v>36</v>
      </c>
      <c r="AI121" s="57">
        <f t="shared" si="541"/>
        <v>36</v>
      </c>
      <c r="AJ121" s="57">
        <f t="shared" si="541"/>
        <v>36</v>
      </c>
      <c r="AK121" s="57">
        <f t="shared" si="541"/>
        <v>36</v>
      </c>
      <c r="AL121" s="57">
        <f t="shared" si="541"/>
        <v>36</v>
      </c>
      <c r="AM121" s="57">
        <f t="shared" si="541"/>
        <v>36</v>
      </c>
      <c r="AN121" s="57">
        <f t="shared" si="541"/>
        <v>36</v>
      </c>
      <c r="AO121" s="57">
        <f t="shared" si="541"/>
        <v>36</v>
      </c>
      <c r="AP121" s="57">
        <f t="shared" si="541"/>
        <v>36</v>
      </c>
      <c r="AQ121" s="57">
        <f t="shared" si="541"/>
        <v>36</v>
      </c>
      <c r="AR121" s="57">
        <f t="shared" si="541"/>
        <v>36</v>
      </c>
      <c r="AS121" s="57">
        <f t="shared" si="541"/>
        <v>36</v>
      </c>
      <c r="AT121" s="57">
        <f t="shared" si="541"/>
        <v>36</v>
      </c>
      <c r="AU121" s="57">
        <f t="shared" si="541"/>
        <v>36</v>
      </c>
      <c r="AV121" s="57">
        <f t="shared" si="541"/>
        <v>36</v>
      </c>
      <c r="AW121" s="57">
        <f t="shared" si="541"/>
        <v>36</v>
      </c>
      <c r="AX121" s="57">
        <f t="shared" si="541"/>
        <v>36</v>
      </c>
      <c r="AY121" s="57">
        <f t="shared" si="541"/>
        <v>36</v>
      </c>
      <c r="AZ121" s="57">
        <f t="shared" si="541"/>
        <v>36</v>
      </c>
      <c r="BA121" s="57">
        <f t="shared" si="541"/>
        <v>36</v>
      </c>
      <c r="BB121" s="57">
        <f t="shared" si="541"/>
        <v>36</v>
      </c>
      <c r="BC121" s="57">
        <f t="shared" si="541"/>
        <v>36</v>
      </c>
      <c r="BD121" s="57">
        <f t="shared" si="541"/>
        <v>36</v>
      </c>
      <c r="BE121" s="57">
        <f t="shared" si="541"/>
        <v>36</v>
      </c>
      <c r="BF121" s="57">
        <f t="shared" si="541"/>
        <v>36</v>
      </c>
      <c r="BG121" s="57">
        <f t="shared" si="541"/>
        <v>36</v>
      </c>
      <c r="BH121" s="57">
        <f t="shared" si="541"/>
        <v>36</v>
      </c>
      <c r="BI121" s="57">
        <f t="shared" ref="BI121:DP121" si="542">IF(IF((3)*12&lt;BI21,BI21,(3)*12)&gt;BI22,BI22,IF((3)*12&lt;BI21,BI21,(3)*12))</f>
        <v>36</v>
      </c>
      <c r="BJ121" s="57">
        <f t="shared" si="542"/>
        <v>36</v>
      </c>
      <c r="BK121" s="57">
        <f t="shared" si="542"/>
        <v>36</v>
      </c>
      <c r="BL121" s="57">
        <f t="shared" si="542"/>
        <v>36</v>
      </c>
      <c r="BM121" s="57">
        <f t="shared" si="542"/>
        <v>36</v>
      </c>
      <c r="BN121" s="57">
        <f t="shared" si="542"/>
        <v>36</v>
      </c>
      <c r="BO121" s="57">
        <f t="shared" si="542"/>
        <v>36</v>
      </c>
      <c r="BP121" s="57">
        <f t="shared" si="542"/>
        <v>36</v>
      </c>
      <c r="BQ121" s="57">
        <f t="shared" si="542"/>
        <v>36</v>
      </c>
      <c r="BR121" s="57">
        <f t="shared" si="542"/>
        <v>36</v>
      </c>
      <c r="BS121" s="57">
        <f t="shared" si="542"/>
        <v>36</v>
      </c>
      <c r="BT121" s="57">
        <f t="shared" si="542"/>
        <v>36</v>
      </c>
      <c r="BU121" s="57">
        <f t="shared" si="542"/>
        <v>36</v>
      </c>
      <c r="BV121" s="57">
        <f t="shared" si="542"/>
        <v>36</v>
      </c>
      <c r="BW121" s="57">
        <f t="shared" si="542"/>
        <v>36</v>
      </c>
      <c r="BX121" s="57">
        <f t="shared" si="542"/>
        <v>36</v>
      </c>
      <c r="BY121" s="57">
        <f t="shared" si="542"/>
        <v>36</v>
      </c>
      <c r="BZ121" s="57">
        <f t="shared" si="542"/>
        <v>36</v>
      </c>
      <c r="CA121" s="57">
        <f t="shared" si="542"/>
        <v>36</v>
      </c>
      <c r="CB121" s="57">
        <f t="shared" si="542"/>
        <v>36</v>
      </c>
      <c r="CC121" s="57">
        <f t="shared" si="542"/>
        <v>36</v>
      </c>
      <c r="CD121" s="57">
        <f t="shared" si="542"/>
        <v>36</v>
      </c>
      <c r="CE121" s="57">
        <f t="shared" si="542"/>
        <v>36</v>
      </c>
      <c r="CF121" s="57">
        <f t="shared" si="542"/>
        <v>36</v>
      </c>
      <c r="CG121" s="57">
        <f t="shared" si="542"/>
        <v>36</v>
      </c>
      <c r="CH121" s="57">
        <f t="shared" si="542"/>
        <v>36</v>
      </c>
      <c r="CI121" s="57">
        <f t="shared" si="542"/>
        <v>36</v>
      </c>
      <c r="CJ121" s="57">
        <f t="shared" si="542"/>
        <v>36</v>
      </c>
      <c r="CK121" s="57">
        <f t="shared" si="542"/>
        <v>36</v>
      </c>
      <c r="CL121" s="57">
        <f t="shared" si="542"/>
        <v>36</v>
      </c>
      <c r="CM121" s="57">
        <f t="shared" si="542"/>
        <v>36</v>
      </c>
      <c r="CN121" s="57">
        <f t="shared" si="542"/>
        <v>36</v>
      </c>
      <c r="CO121" s="57">
        <f t="shared" si="542"/>
        <v>36</v>
      </c>
      <c r="CP121" s="57">
        <f t="shared" si="542"/>
        <v>36</v>
      </c>
      <c r="CQ121" s="57">
        <f t="shared" si="542"/>
        <v>36</v>
      </c>
      <c r="CR121" s="57">
        <f t="shared" si="542"/>
        <v>36</v>
      </c>
      <c r="CS121" s="57">
        <f t="shared" si="542"/>
        <v>36</v>
      </c>
      <c r="CT121" s="57">
        <f t="shared" si="542"/>
        <v>36</v>
      </c>
      <c r="CU121" s="57">
        <f t="shared" si="542"/>
        <v>36</v>
      </c>
      <c r="CV121" s="57">
        <f t="shared" si="542"/>
        <v>36</v>
      </c>
      <c r="CW121" s="57">
        <f t="shared" si="542"/>
        <v>36</v>
      </c>
      <c r="CX121" s="57">
        <f t="shared" si="542"/>
        <v>36</v>
      </c>
      <c r="CY121" s="57">
        <f t="shared" si="542"/>
        <v>36</v>
      </c>
      <c r="CZ121" s="57">
        <f t="shared" si="542"/>
        <v>36</v>
      </c>
      <c r="DA121" s="57">
        <f t="shared" si="542"/>
        <v>36</v>
      </c>
      <c r="DB121" s="57">
        <f t="shared" si="542"/>
        <v>36</v>
      </c>
      <c r="DC121" s="57">
        <f t="shared" si="542"/>
        <v>36</v>
      </c>
      <c r="DD121" s="57">
        <f t="shared" si="542"/>
        <v>36</v>
      </c>
      <c r="DE121" s="57">
        <f t="shared" si="542"/>
        <v>36</v>
      </c>
      <c r="DF121" s="57">
        <f t="shared" si="542"/>
        <v>36</v>
      </c>
      <c r="DG121" s="57">
        <f t="shared" si="542"/>
        <v>36</v>
      </c>
      <c r="DH121" s="57">
        <f t="shared" si="542"/>
        <v>36</v>
      </c>
      <c r="DI121" s="57">
        <f t="shared" si="542"/>
        <v>36</v>
      </c>
      <c r="DJ121" s="57">
        <f t="shared" si="542"/>
        <v>36</v>
      </c>
      <c r="DK121" s="57">
        <f t="shared" si="542"/>
        <v>36</v>
      </c>
      <c r="DL121" s="57">
        <f t="shared" si="542"/>
        <v>36</v>
      </c>
      <c r="DM121" s="57">
        <f t="shared" si="542"/>
        <v>36</v>
      </c>
      <c r="DN121" s="57">
        <f t="shared" si="542"/>
        <v>36</v>
      </c>
      <c r="DO121" s="57">
        <f t="shared" si="542"/>
        <v>36</v>
      </c>
      <c r="DP121" s="57">
        <f t="shared" si="542"/>
        <v>36</v>
      </c>
      <c r="DQ121" s="57">
        <f t="shared" ref="DQ121:FY121" si="543">IF(IF((3)*12&lt;DQ21,DQ21,(3)*12)&gt;DQ22,DQ22,IF((3)*12&lt;DQ21,DQ21,(3)*12))</f>
        <v>36</v>
      </c>
      <c r="DR121" s="57">
        <f t="shared" si="543"/>
        <v>36</v>
      </c>
      <c r="DS121" s="57">
        <f t="shared" si="543"/>
        <v>36</v>
      </c>
      <c r="DT121" s="57">
        <f t="shared" si="543"/>
        <v>36</v>
      </c>
      <c r="DU121" s="57">
        <f t="shared" si="543"/>
        <v>36</v>
      </c>
      <c r="DV121" s="57">
        <f t="shared" si="543"/>
        <v>36</v>
      </c>
      <c r="DW121" s="57">
        <f t="shared" si="543"/>
        <v>36</v>
      </c>
      <c r="DX121" s="57">
        <f t="shared" si="543"/>
        <v>36</v>
      </c>
      <c r="DY121" s="57">
        <f t="shared" si="543"/>
        <v>36</v>
      </c>
      <c r="DZ121" s="57">
        <f t="shared" si="543"/>
        <v>36</v>
      </c>
      <c r="EA121" s="57">
        <f t="shared" si="543"/>
        <v>36</v>
      </c>
      <c r="EB121" s="57">
        <f t="shared" si="543"/>
        <v>36</v>
      </c>
      <c r="EC121" s="57">
        <f t="shared" si="543"/>
        <v>36</v>
      </c>
      <c r="ED121" s="57">
        <f t="shared" si="543"/>
        <v>36</v>
      </c>
      <c r="EE121" s="57">
        <f t="shared" si="543"/>
        <v>36</v>
      </c>
      <c r="EF121" s="57">
        <f t="shared" si="543"/>
        <v>36</v>
      </c>
      <c r="EG121" s="57">
        <f t="shared" si="543"/>
        <v>36</v>
      </c>
      <c r="EH121" s="57">
        <f t="shared" si="543"/>
        <v>36</v>
      </c>
      <c r="EI121" s="57">
        <f t="shared" si="543"/>
        <v>36</v>
      </c>
      <c r="EJ121" s="57">
        <f t="shared" si="543"/>
        <v>36</v>
      </c>
      <c r="EK121" s="57">
        <f t="shared" si="543"/>
        <v>36</v>
      </c>
      <c r="EL121" s="57">
        <f t="shared" si="543"/>
        <v>36</v>
      </c>
      <c r="EM121" s="57">
        <f t="shared" si="543"/>
        <v>36</v>
      </c>
      <c r="EN121" s="57">
        <f t="shared" si="543"/>
        <v>36</v>
      </c>
      <c r="EO121" s="57">
        <f t="shared" si="543"/>
        <v>36</v>
      </c>
      <c r="EP121" s="57">
        <f t="shared" si="543"/>
        <v>36</v>
      </c>
      <c r="EQ121" s="57">
        <f t="shared" si="543"/>
        <v>36</v>
      </c>
      <c r="ER121" s="57">
        <f t="shared" si="543"/>
        <v>36</v>
      </c>
      <c r="ES121" s="57">
        <f t="shared" si="543"/>
        <v>36</v>
      </c>
      <c r="ET121" s="57">
        <f t="shared" si="543"/>
        <v>36</v>
      </c>
      <c r="EU121" s="57">
        <f t="shared" si="543"/>
        <v>36</v>
      </c>
      <c r="EV121" s="57">
        <f t="shared" si="543"/>
        <v>36</v>
      </c>
      <c r="EW121" s="57">
        <f t="shared" si="543"/>
        <v>36</v>
      </c>
      <c r="EX121" s="57">
        <f t="shared" si="543"/>
        <v>36</v>
      </c>
      <c r="EY121" s="57">
        <f t="shared" si="543"/>
        <v>36</v>
      </c>
      <c r="EZ121" s="57">
        <f t="shared" si="543"/>
        <v>36</v>
      </c>
      <c r="FA121" s="57">
        <f t="shared" si="543"/>
        <v>36</v>
      </c>
      <c r="FB121" s="57">
        <f t="shared" si="543"/>
        <v>36</v>
      </c>
      <c r="FC121" s="57">
        <f t="shared" si="543"/>
        <v>36</v>
      </c>
      <c r="FD121" s="57">
        <f t="shared" si="543"/>
        <v>36</v>
      </c>
      <c r="FE121" s="57">
        <f t="shared" si="543"/>
        <v>36</v>
      </c>
      <c r="FF121" s="57">
        <f t="shared" si="543"/>
        <v>36</v>
      </c>
      <c r="FG121" s="57">
        <f t="shared" si="543"/>
        <v>36</v>
      </c>
      <c r="FH121" s="57">
        <f t="shared" si="543"/>
        <v>36</v>
      </c>
      <c r="FI121" s="57">
        <f t="shared" si="543"/>
        <v>36</v>
      </c>
      <c r="FJ121" s="57">
        <f t="shared" si="543"/>
        <v>36</v>
      </c>
      <c r="FK121" s="57">
        <f t="shared" si="543"/>
        <v>36</v>
      </c>
      <c r="FL121" s="57">
        <f t="shared" si="543"/>
        <v>36</v>
      </c>
      <c r="FM121" s="57">
        <f t="shared" si="543"/>
        <v>36</v>
      </c>
      <c r="FN121" s="57">
        <f t="shared" si="543"/>
        <v>36</v>
      </c>
      <c r="FO121" s="57">
        <f t="shared" si="543"/>
        <v>36</v>
      </c>
      <c r="FP121" s="57">
        <f t="shared" si="543"/>
        <v>36</v>
      </c>
      <c r="FQ121" s="57">
        <f t="shared" si="543"/>
        <v>36</v>
      </c>
      <c r="FR121" s="57">
        <f t="shared" si="543"/>
        <v>36</v>
      </c>
      <c r="FS121" s="57">
        <f t="shared" si="543"/>
        <v>36</v>
      </c>
      <c r="FT121" s="57">
        <f t="shared" si="543"/>
        <v>36</v>
      </c>
      <c r="FU121" s="57">
        <f t="shared" si="543"/>
        <v>36</v>
      </c>
      <c r="FV121" s="57">
        <f t="shared" si="543"/>
        <v>36</v>
      </c>
      <c r="FW121" s="57">
        <f t="shared" si="543"/>
        <v>36</v>
      </c>
      <c r="FX121" s="57">
        <f t="shared" si="543"/>
        <v>36</v>
      </c>
      <c r="FY121" s="57">
        <f t="shared" si="543"/>
        <v>36</v>
      </c>
      <c r="FZ121" s="59"/>
    </row>
    <row r="122" spans="1:182" s="293" customFormat="1" hidden="1" outlineLevel="1" x14ac:dyDescent="0.2">
      <c r="A122" s="83"/>
      <c r="B122" s="84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  <c r="AX122" s="85"/>
      <c r="AY122" s="85"/>
      <c r="AZ122" s="85"/>
      <c r="BA122" s="85"/>
      <c r="BB122" s="85"/>
      <c r="BC122" s="85"/>
      <c r="BD122" s="85"/>
      <c r="BE122" s="85"/>
      <c r="BF122" s="85"/>
      <c r="BG122" s="85"/>
      <c r="BH122" s="85"/>
      <c r="BI122" s="85"/>
      <c r="BJ122" s="85"/>
      <c r="BK122" s="85"/>
      <c r="BL122" s="85"/>
      <c r="BM122" s="85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  <c r="DF122" s="85"/>
      <c r="DG122" s="85"/>
      <c r="DH122" s="85"/>
      <c r="DI122" s="85"/>
      <c r="DJ122" s="85"/>
      <c r="DK122" s="85"/>
      <c r="DL122" s="85"/>
      <c r="DM122" s="85"/>
      <c r="DN122" s="85"/>
      <c r="DO122" s="85"/>
      <c r="DP122" s="85"/>
      <c r="DQ122" s="85"/>
      <c r="DR122" s="85"/>
      <c r="DS122" s="85"/>
      <c r="DT122" s="85"/>
      <c r="DU122" s="85"/>
      <c r="DV122" s="85"/>
      <c r="DW122" s="85"/>
      <c r="DX122" s="85"/>
      <c r="DY122" s="85"/>
      <c r="DZ122" s="85"/>
      <c r="EA122" s="85"/>
      <c r="EB122" s="85"/>
      <c r="EC122" s="85"/>
      <c r="ED122" s="85"/>
      <c r="EE122" s="85"/>
      <c r="EF122" s="85"/>
      <c r="EG122" s="85"/>
      <c r="EH122" s="85"/>
      <c r="EI122" s="85"/>
      <c r="EJ122" s="85"/>
      <c r="EK122" s="85"/>
      <c r="EL122" s="85"/>
      <c r="EM122" s="85"/>
      <c r="EN122" s="85"/>
      <c r="EO122" s="85"/>
      <c r="EP122" s="85"/>
      <c r="EQ122" s="85"/>
      <c r="ER122" s="85"/>
      <c r="ES122" s="85"/>
      <c r="ET122" s="85"/>
      <c r="EU122" s="85"/>
      <c r="EV122" s="85"/>
      <c r="EW122" s="85"/>
      <c r="EX122" s="85"/>
      <c r="EY122" s="85"/>
      <c r="EZ122" s="85"/>
      <c r="FA122" s="85"/>
      <c r="FB122" s="85"/>
      <c r="FC122" s="85"/>
      <c r="FD122" s="85"/>
      <c r="FE122" s="85"/>
      <c r="FF122" s="85"/>
      <c r="FG122" s="85"/>
      <c r="FH122" s="85"/>
      <c r="FI122" s="85"/>
      <c r="FJ122" s="85"/>
      <c r="FK122" s="85"/>
      <c r="FL122" s="85"/>
      <c r="FM122" s="85"/>
      <c r="FN122" s="85"/>
      <c r="FO122" s="85"/>
      <c r="FP122" s="85"/>
      <c r="FQ122" s="85"/>
      <c r="FR122" s="85"/>
      <c r="FS122" s="85"/>
      <c r="FT122" s="85"/>
      <c r="FU122" s="85"/>
      <c r="FV122" s="85"/>
      <c r="FW122" s="85"/>
      <c r="FX122" s="85"/>
      <c r="FY122" s="85"/>
      <c r="FZ122" s="86"/>
    </row>
    <row r="123" spans="1:182" hidden="1" outlineLevel="1" x14ac:dyDescent="0.2">
      <c r="A123" s="81" t="s">
        <v>151</v>
      </c>
      <c r="B123" s="8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2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2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2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2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80"/>
      <c r="CA123" s="80"/>
      <c r="CB123" s="80"/>
      <c r="CC123" s="80"/>
      <c r="CD123" s="80"/>
      <c r="CE123" s="80"/>
      <c r="CF123" s="80"/>
      <c r="CG123" s="80"/>
      <c r="CH123" s="80"/>
      <c r="CI123" s="80"/>
      <c r="CJ123" s="80"/>
      <c r="CK123" s="80"/>
      <c r="CL123" s="80"/>
      <c r="CM123" s="80"/>
      <c r="CN123" s="80"/>
      <c r="CO123" s="80"/>
      <c r="CP123" s="80"/>
      <c r="CQ123" s="80"/>
      <c r="CR123" s="80"/>
      <c r="CS123" s="80"/>
      <c r="CT123" s="80"/>
      <c r="CU123" s="80"/>
      <c r="CV123" s="80"/>
      <c r="CW123" s="80"/>
      <c r="CX123" s="80"/>
      <c r="CY123" s="80"/>
      <c r="CZ123" s="80"/>
      <c r="DA123" s="80"/>
      <c r="DB123" s="80"/>
      <c r="DC123" s="80"/>
      <c r="DD123" s="80"/>
      <c r="DE123" s="80"/>
      <c r="DF123" s="80"/>
      <c r="DG123" s="80"/>
      <c r="DH123" s="80"/>
      <c r="DI123" s="80"/>
      <c r="DJ123" s="80"/>
      <c r="DK123" s="80"/>
      <c r="DL123" s="80"/>
      <c r="DM123" s="80"/>
      <c r="DN123" s="80"/>
      <c r="DO123" s="80"/>
      <c r="DP123" s="80"/>
      <c r="DQ123" s="80"/>
      <c r="DR123" s="80"/>
      <c r="DS123" s="80"/>
      <c r="DT123" s="80"/>
      <c r="DU123" s="80"/>
      <c r="DV123" s="80"/>
      <c r="DW123" s="80"/>
      <c r="DX123" s="80"/>
      <c r="DY123" s="80"/>
      <c r="DZ123" s="80"/>
      <c r="EA123" s="80"/>
      <c r="EB123" s="80"/>
      <c r="EC123" s="80"/>
      <c r="ED123" s="80"/>
      <c r="EE123" s="80"/>
      <c r="EF123" s="80"/>
      <c r="EG123" s="80"/>
      <c r="EH123" s="80"/>
      <c r="EI123" s="80"/>
      <c r="EJ123" s="80"/>
      <c r="EK123" s="80"/>
      <c r="EL123" s="80"/>
      <c r="EM123" s="80"/>
      <c r="EN123" s="80"/>
      <c r="EO123" s="80"/>
      <c r="EP123" s="80"/>
      <c r="EQ123" s="80"/>
      <c r="ER123" s="80"/>
      <c r="ES123" s="80"/>
      <c r="ET123" s="80"/>
      <c r="EU123" s="80"/>
      <c r="EV123" s="80"/>
      <c r="EW123" s="80"/>
      <c r="EX123" s="80"/>
      <c r="EY123" s="80"/>
      <c r="EZ123" s="80"/>
      <c r="FA123" s="80"/>
      <c r="FB123" s="80"/>
      <c r="FC123" s="80"/>
      <c r="FD123" s="80"/>
      <c r="FE123" s="80"/>
      <c r="FF123" s="80"/>
      <c r="FG123" s="80"/>
      <c r="FH123" s="80"/>
      <c r="FI123" s="80"/>
      <c r="FJ123" s="80"/>
      <c r="FK123" s="80"/>
      <c r="FL123" s="80"/>
      <c r="FM123" s="80"/>
      <c r="FN123" s="80"/>
      <c r="FO123" s="80"/>
      <c r="FP123" s="80"/>
      <c r="FQ123" s="80"/>
      <c r="FR123" s="80"/>
      <c r="FS123" s="80"/>
      <c r="FT123" s="80"/>
      <c r="FU123" s="80"/>
      <c r="FV123" s="80"/>
      <c r="FW123" s="80"/>
      <c r="FX123" s="80"/>
      <c r="FY123" s="80"/>
      <c r="FZ123" s="80"/>
    </row>
    <row r="124" spans="1:182" s="293" customFormat="1" hidden="1" outlineLevel="1" x14ac:dyDescent="0.2">
      <c r="A124" s="83" t="s">
        <v>186</v>
      </c>
      <c r="B124" s="84">
        <f>(1/B100^IF((36-B98+1)&lt;0,0,(36-B98+1))-(1/B100^IF(((B128)-B98+1)&lt;0,0,((B128)-B98+1))))/(B100-1)</f>
        <v>0</v>
      </c>
      <c r="C124" s="85">
        <f t="shared" ref="C124:AW124" si="544">(1/C100^IF((36-C98+1)&lt;0,0,(36-C98+1))-(1/C100^IF(((C128)-C98+1)&lt;0,0,((C128)-C98+1))))/(C100-1)</f>
        <v>0</v>
      </c>
      <c r="D124" s="85">
        <f t="shared" si="544"/>
        <v>0</v>
      </c>
      <c r="E124" s="85">
        <f t="shared" si="544"/>
        <v>0</v>
      </c>
      <c r="F124" s="85">
        <f t="shared" si="544"/>
        <v>0</v>
      </c>
      <c r="G124" s="85">
        <f t="shared" si="544"/>
        <v>0</v>
      </c>
      <c r="H124" s="85">
        <f t="shared" si="544"/>
        <v>0</v>
      </c>
      <c r="I124" s="85">
        <f t="shared" si="544"/>
        <v>0</v>
      </c>
      <c r="J124" s="85">
        <f t="shared" si="544"/>
        <v>0</v>
      </c>
      <c r="K124" s="85">
        <f t="shared" si="544"/>
        <v>0</v>
      </c>
      <c r="L124" s="85">
        <f t="shared" si="544"/>
        <v>0</v>
      </c>
      <c r="M124" s="85">
        <f t="shared" si="544"/>
        <v>0</v>
      </c>
      <c r="N124" s="85">
        <f t="shared" si="544"/>
        <v>0</v>
      </c>
      <c r="O124" s="85">
        <f t="shared" si="544"/>
        <v>0</v>
      </c>
      <c r="P124" s="85">
        <f t="shared" si="544"/>
        <v>0</v>
      </c>
      <c r="Q124" s="85">
        <f t="shared" si="544"/>
        <v>0</v>
      </c>
      <c r="R124" s="85">
        <f t="shared" si="544"/>
        <v>0</v>
      </c>
      <c r="S124" s="85">
        <f t="shared" si="544"/>
        <v>0</v>
      </c>
      <c r="T124" s="85">
        <f t="shared" si="544"/>
        <v>0</v>
      </c>
      <c r="U124" s="85">
        <f t="shared" si="544"/>
        <v>0</v>
      </c>
      <c r="V124" s="85">
        <f t="shared" si="544"/>
        <v>0</v>
      </c>
      <c r="W124" s="85">
        <f t="shared" si="544"/>
        <v>0</v>
      </c>
      <c r="X124" s="85">
        <f t="shared" si="544"/>
        <v>0</v>
      </c>
      <c r="Y124" s="85">
        <f t="shared" si="544"/>
        <v>0</v>
      </c>
      <c r="Z124" s="85">
        <f t="shared" si="544"/>
        <v>0</v>
      </c>
      <c r="AA124" s="85">
        <f t="shared" si="544"/>
        <v>0</v>
      </c>
      <c r="AB124" s="85">
        <f t="shared" si="544"/>
        <v>0</v>
      </c>
      <c r="AC124" s="85">
        <f t="shared" si="544"/>
        <v>0</v>
      </c>
      <c r="AD124" s="85">
        <f t="shared" si="544"/>
        <v>0</v>
      </c>
      <c r="AE124" s="85">
        <f t="shared" si="544"/>
        <v>0</v>
      </c>
      <c r="AF124" s="85">
        <f t="shared" si="544"/>
        <v>0</v>
      </c>
      <c r="AG124" s="85">
        <f t="shared" si="544"/>
        <v>0</v>
      </c>
      <c r="AH124" s="85">
        <f t="shared" si="544"/>
        <v>0</v>
      </c>
      <c r="AI124" s="85">
        <f t="shared" si="544"/>
        <v>0</v>
      </c>
      <c r="AJ124" s="85">
        <f t="shared" si="544"/>
        <v>0</v>
      </c>
      <c r="AK124" s="85">
        <f t="shared" si="544"/>
        <v>0</v>
      </c>
      <c r="AL124" s="85">
        <f t="shared" si="544"/>
        <v>0</v>
      </c>
      <c r="AM124" s="85">
        <f t="shared" si="544"/>
        <v>0</v>
      </c>
      <c r="AN124" s="85">
        <f t="shared" si="544"/>
        <v>0</v>
      </c>
      <c r="AO124" s="85">
        <f t="shared" si="544"/>
        <v>0</v>
      </c>
      <c r="AP124" s="85">
        <f t="shared" si="544"/>
        <v>0</v>
      </c>
      <c r="AQ124" s="85">
        <f t="shared" si="544"/>
        <v>0</v>
      </c>
      <c r="AR124" s="85">
        <f t="shared" si="544"/>
        <v>0</v>
      </c>
      <c r="AS124" s="85">
        <f t="shared" si="544"/>
        <v>0</v>
      </c>
      <c r="AT124" s="85">
        <f t="shared" si="544"/>
        <v>0</v>
      </c>
      <c r="AU124" s="85">
        <f t="shared" si="544"/>
        <v>0</v>
      </c>
      <c r="AV124" s="85">
        <f t="shared" si="544"/>
        <v>0</v>
      </c>
      <c r="AW124" s="85">
        <f t="shared" si="544"/>
        <v>0</v>
      </c>
      <c r="AX124" s="85"/>
      <c r="AY124" s="85"/>
      <c r="AZ124" s="85"/>
      <c r="BA124" s="85"/>
      <c r="BB124" s="85"/>
      <c r="BC124" s="85"/>
      <c r="BD124" s="85"/>
      <c r="BE124" s="85"/>
      <c r="BF124" s="85"/>
      <c r="BG124" s="85"/>
      <c r="BH124" s="85"/>
      <c r="BI124" s="85"/>
      <c r="BJ124" s="85"/>
      <c r="BK124" s="85"/>
      <c r="BL124" s="85"/>
      <c r="BM124" s="85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  <c r="DF124" s="85"/>
      <c r="DG124" s="85"/>
      <c r="DH124" s="85"/>
      <c r="DI124" s="85"/>
      <c r="DJ124" s="85"/>
      <c r="DK124" s="85"/>
      <c r="DL124" s="85"/>
      <c r="DM124" s="85"/>
      <c r="DN124" s="85"/>
      <c r="DO124" s="85"/>
      <c r="DP124" s="85"/>
      <c r="DQ124" s="85"/>
      <c r="DR124" s="85"/>
      <c r="DS124" s="85"/>
      <c r="DT124" s="85"/>
      <c r="DU124" s="85"/>
      <c r="DV124" s="85"/>
      <c r="DW124" s="85"/>
      <c r="DX124" s="85"/>
      <c r="DY124" s="85"/>
      <c r="DZ124" s="85"/>
      <c r="EA124" s="85"/>
      <c r="EB124" s="85"/>
      <c r="EC124" s="85"/>
      <c r="ED124" s="85"/>
      <c r="EE124" s="85"/>
      <c r="EF124" s="85"/>
      <c r="EG124" s="85"/>
      <c r="EH124" s="85"/>
      <c r="EI124" s="85"/>
      <c r="EJ124" s="85"/>
      <c r="EK124" s="85"/>
      <c r="EL124" s="85"/>
      <c r="EM124" s="85"/>
      <c r="EN124" s="85"/>
      <c r="EO124" s="85"/>
      <c r="EP124" s="85"/>
      <c r="EQ124" s="85"/>
      <c r="ER124" s="85"/>
      <c r="ES124" s="85"/>
      <c r="ET124" s="85"/>
      <c r="EU124" s="85"/>
      <c r="EV124" s="85"/>
      <c r="EW124" s="85"/>
      <c r="EX124" s="85"/>
      <c r="EY124" s="85"/>
      <c r="EZ124" s="85"/>
      <c r="FA124" s="85"/>
      <c r="FB124" s="85"/>
      <c r="FC124" s="85"/>
      <c r="FD124" s="85"/>
      <c r="FE124" s="85"/>
      <c r="FF124" s="85"/>
      <c r="FG124" s="85"/>
      <c r="FH124" s="85"/>
      <c r="FI124" s="85"/>
      <c r="FJ124" s="85"/>
      <c r="FK124" s="85"/>
      <c r="FL124" s="85"/>
      <c r="FM124" s="85"/>
      <c r="FN124" s="85"/>
      <c r="FO124" s="85"/>
      <c r="FP124" s="85"/>
      <c r="FQ124" s="85"/>
      <c r="FR124" s="85"/>
      <c r="FS124" s="85"/>
      <c r="FT124" s="85"/>
      <c r="FU124" s="85"/>
      <c r="FV124" s="85"/>
      <c r="FW124" s="85"/>
      <c r="FX124" s="85"/>
      <c r="FY124" s="85"/>
      <c r="FZ124" s="86"/>
    </row>
    <row r="125" spans="1:182" s="293" customFormat="1" hidden="1" outlineLevel="1" x14ac:dyDescent="0.2">
      <c r="A125" s="83" t="s">
        <v>187</v>
      </c>
      <c r="B125" s="84">
        <f>(1/B100^IF((48-B98+1)&lt;0,0,(48-B98+1))-(1/B100^IF((12+(B128)-B98+1)&lt;0,0,(12+(B128)-B98+1))))/(B100-1)</f>
        <v>0</v>
      </c>
      <c r="C125" s="85">
        <f t="shared" ref="C125:AK125" si="545">(1/C100^IF((48-C98+1)&lt;0,0,(48-C98+1))-(1/C100^IF((12+(C128)-C98+1)&lt;0,0,(12+(C128)-C98+1))))/(C100-1)</f>
        <v>0</v>
      </c>
      <c r="D125" s="85">
        <f t="shared" si="545"/>
        <v>0</v>
      </c>
      <c r="E125" s="85">
        <f t="shared" si="545"/>
        <v>0</v>
      </c>
      <c r="F125" s="85">
        <f t="shared" si="545"/>
        <v>0</v>
      </c>
      <c r="G125" s="85">
        <f t="shared" si="545"/>
        <v>0</v>
      </c>
      <c r="H125" s="85">
        <f t="shared" si="545"/>
        <v>0</v>
      </c>
      <c r="I125" s="85">
        <f t="shared" si="545"/>
        <v>0</v>
      </c>
      <c r="J125" s="85">
        <f t="shared" si="545"/>
        <v>0</v>
      </c>
      <c r="K125" s="85">
        <f t="shared" si="545"/>
        <v>0</v>
      </c>
      <c r="L125" s="85">
        <f t="shared" si="545"/>
        <v>0</v>
      </c>
      <c r="M125" s="85">
        <f t="shared" si="545"/>
        <v>0</v>
      </c>
      <c r="N125" s="85">
        <f t="shared" si="545"/>
        <v>0</v>
      </c>
      <c r="O125" s="85">
        <f t="shared" si="545"/>
        <v>0</v>
      </c>
      <c r="P125" s="85">
        <f t="shared" si="545"/>
        <v>0</v>
      </c>
      <c r="Q125" s="85">
        <f t="shared" si="545"/>
        <v>0</v>
      </c>
      <c r="R125" s="85">
        <f t="shared" si="545"/>
        <v>0</v>
      </c>
      <c r="S125" s="85">
        <f t="shared" si="545"/>
        <v>0</v>
      </c>
      <c r="T125" s="85">
        <f t="shared" si="545"/>
        <v>0</v>
      </c>
      <c r="U125" s="85">
        <f t="shared" si="545"/>
        <v>0</v>
      </c>
      <c r="V125" s="85">
        <f t="shared" si="545"/>
        <v>0</v>
      </c>
      <c r="W125" s="85">
        <f t="shared" si="545"/>
        <v>0</v>
      </c>
      <c r="X125" s="85">
        <f t="shared" si="545"/>
        <v>0</v>
      </c>
      <c r="Y125" s="85">
        <f t="shared" si="545"/>
        <v>0</v>
      </c>
      <c r="Z125" s="85">
        <f t="shared" si="545"/>
        <v>0</v>
      </c>
      <c r="AA125" s="85">
        <f t="shared" si="545"/>
        <v>0</v>
      </c>
      <c r="AB125" s="85">
        <f t="shared" si="545"/>
        <v>0</v>
      </c>
      <c r="AC125" s="85">
        <f t="shared" si="545"/>
        <v>0</v>
      </c>
      <c r="AD125" s="85">
        <f t="shared" si="545"/>
        <v>0</v>
      </c>
      <c r="AE125" s="85">
        <f t="shared" si="545"/>
        <v>0</v>
      </c>
      <c r="AF125" s="85">
        <f t="shared" si="545"/>
        <v>0</v>
      </c>
      <c r="AG125" s="85">
        <f t="shared" si="545"/>
        <v>0</v>
      </c>
      <c r="AH125" s="85">
        <f t="shared" si="545"/>
        <v>0</v>
      </c>
      <c r="AI125" s="85">
        <f t="shared" si="545"/>
        <v>0</v>
      </c>
      <c r="AJ125" s="85">
        <f t="shared" si="545"/>
        <v>0</v>
      </c>
      <c r="AK125" s="85">
        <f t="shared" si="545"/>
        <v>0</v>
      </c>
      <c r="AL125" s="85">
        <f>(1/AL100^IF((48-AL98+1+(AL98-36-1))&lt;0,0,(48-AL98+1+(AL98-36-1)))-(1/AL100^IF((12+(AL128)-AL98+1)&lt;0,0,(12+(AL128)-AL98+1))))/(AL100-1)</f>
        <v>0.94490889715879478</v>
      </c>
      <c r="AM125" s="85">
        <f t="shared" ref="AM125:AW125" si="546">(1/AM100^IF((48-AM98+1+(AM98-36-1))&lt;0,0,(48-AM98+1+(AM98-36-1)))-(1/AM100^IF((12+(AM128)-AM98+1)&lt;0,0,(12+(AM128)-AM98+1))))/(AM100-1)</f>
        <v>0</v>
      </c>
      <c r="AN125" s="85">
        <f t="shared" si="546"/>
        <v>-0.94903672772133307</v>
      </c>
      <c r="AO125" s="85">
        <f t="shared" si="546"/>
        <v>-1.9022193184158072</v>
      </c>
      <c r="AP125" s="85">
        <f t="shared" si="546"/>
        <v>-2.8595658832684205</v>
      </c>
      <c r="AQ125" s="85">
        <f t="shared" si="546"/>
        <v>-3.8210946125828547</v>
      </c>
      <c r="AR125" s="85">
        <f t="shared" si="546"/>
        <v>-4.786823776127032</v>
      </c>
      <c r="AS125" s="85">
        <f t="shared" si="546"/>
        <v>-5.7567717234803535</v>
      </c>
      <c r="AT125" s="85">
        <f t="shared" si="546"/>
        <v>-6.7309568843821763</v>
      </c>
      <c r="AU125" s="85">
        <f t="shared" si="546"/>
        <v>-7.70939776908223</v>
      </c>
      <c r="AV125" s="85">
        <f t="shared" si="546"/>
        <v>-8.692112968692042</v>
      </c>
      <c r="AW125" s="85">
        <f t="shared" si="546"/>
        <v>-9.6791211555384553</v>
      </c>
      <c r="AX125" s="85"/>
      <c r="AY125" s="85"/>
      <c r="AZ125" s="85"/>
      <c r="BA125" s="85"/>
      <c r="BB125" s="85"/>
      <c r="BC125" s="85"/>
      <c r="BD125" s="85"/>
      <c r="BE125" s="85"/>
      <c r="BF125" s="85"/>
      <c r="BG125" s="85"/>
      <c r="BH125" s="85"/>
      <c r="BI125" s="85"/>
      <c r="BJ125" s="85"/>
      <c r="BK125" s="85"/>
      <c r="BL125" s="85"/>
      <c r="BM125" s="85"/>
      <c r="BN125" s="85"/>
      <c r="BO125" s="85"/>
      <c r="BP125" s="85"/>
      <c r="BQ125" s="85"/>
      <c r="BR125" s="85"/>
      <c r="BS125" s="85"/>
      <c r="BT125" s="85"/>
      <c r="BU125" s="85"/>
      <c r="BV125" s="85"/>
      <c r="BW125" s="85"/>
      <c r="BX125" s="85"/>
      <c r="BY125" s="85"/>
      <c r="BZ125" s="85"/>
      <c r="CA125" s="85"/>
      <c r="CB125" s="85"/>
      <c r="CC125" s="85"/>
      <c r="CD125" s="85"/>
      <c r="CE125" s="85"/>
      <c r="CF125" s="85"/>
      <c r="CG125" s="85"/>
      <c r="CH125" s="85"/>
      <c r="CI125" s="85"/>
      <c r="CJ125" s="85"/>
      <c r="CK125" s="85"/>
      <c r="CL125" s="85"/>
      <c r="CM125" s="85"/>
      <c r="CN125" s="85"/>
      <c r="CO125" s="85"/>
      <c r="CP125" s="85"/>
      <c r="CQ125" s="85"/>
      <c r="CR125" s="85"/>
      <c r="CS125" s="85"/>
      <c r="CT125" s="85"/>
      <c r="CU125" s="85"/>
      <c r="CV125" s="85"/>
      <c r="CW125" s="85"/>
      <c r="CX125" s="85"/>
      <c r="CY125" s="85"/>
      <c r="CZ125" s="85"/>
      <c r="DA125" s="85"/>
      <c r="DB125" s="85"/>
      <c r="DC125" s="85"/>
      <c r="DD125" s="85"/>
      <c r="DE125" s="85"/>
      <c r="DF125" s="85"/>
      <c r="DG125" s="85"/>
      <c r="DH125" s="85"/>
      <c r="DI125" s="85"/>
      <c r="DJ125" s="85"/>
      <c r="DK125" s="85"/>
      <c r="DL125" s="85"/>
      <c r="DM125" s="85"/>
      <c r="DN125" s="85"/>
      <c r="DO125" s="85"/>
      <c r="DP125" s="85"/>
      <c r="DQ125" s="85"/>
      <c r="DR125" s="85"/>
      <c r="DS125" s="85"/>
      <c r="DT125" s="85"/>
      <c r="DU125" s="85"/>
      <c r="DV125" s="85"/>
      <c r="DW125" s="85"/>
      <c r="DX125" s="85"/>
      <c r="DY125" s="85"/>
      <c r="DZ125" s="85"/>
      <c r="EA125" s="85"/>
      <c r="EB125" s="85"/>
      <c r="EC125" s="85"/>
      <c r="ED125" s="85"/>
      <c r="EE125" s="85"/>
      <c r="EF125" s="85"/>
      <c r="EG125" s="85"/>
      <c r="EH125" s="85"/>
      <c r="EI125" s="85"/>
      <c r="EJ125" s="85"/>
      <c r="EK125" s="85"/>
      <c r="EL125" s="85"/>
      <c r="EM125" s="85"/>
      <c r="EN125" s="85"/>
      <c r="EO125" s="85"/>
      <c r="EP125" s="85"/>
      <c r="EQ125" s="85"/>
      <c r="ER125" s="85"/>
      <c r="ES125" s="85"/>
      <c r="ET125" s="85"/>
      <c r="EU125" s="85"/>
      <c r="EV125" s="85"/>
      <c r="EW125" s="85"/>
      <c r="EX125" s="85"/>
      <c r="EY125" s="85"/>
      <c r="EZ125" s="85"/>
      <c r="FA125" s="85"/>
      <c r="FB125" s="85"/>
      <c r="FC125" s="85"/>
      <c r="FD125" s="85"/>
      <c r="FE125" s="85"/>
      <c r="FF125" s="85"/>
      <c r="FG125" s="85"/>
      <c r="FH125" s="85"/>
      <c r="FI125" s="85"/>
      <c r="FJ125" s="85"/>
      <c r="FK125" s="85"/>
      <c r="FL125" s="85"/>
      <c r="FM125" s="85"/>
      <c r="FN125" s="85"/>
      <c r="FO125" s="85"/>
      <c r="FP125" s="85"/>
      <c r="FQ125" s="85"/>
      <c r="FR125" s="85"/>
      <c r="FS125" s="85"/>
      <c r="FT125" s="85"/>
      <c r="FU125" s="85"/>
      <c r="FV125" s="85"/>
      <c r="FW125" s="85"/>
      <c r="FX125" s="85"/>
      <c r="FY125" s="85"/>
      <c r="FZ125" s="86"/>
    </row>
    <row r="126" spans="1:182" s="293" customFormat="1" hidden="1" outlineLevel="1" x14ac:dyDescent="0.2">
      <c r="A126" s="83" t="s">
        <v>188</v>
      </c>
      <c r="B126" s="84">
        <f>(1/B100^IF((60-B98+1)&lt;0,0,(60-B98+1))-(1/B100^IF((24+(B128)-B98+1)&lt;0,0,(24+(B128)-B98+1))))/(B100-1)</f>
        <v>0</v>
      </c>
      <c r="C126" s="85">
        <f t="shared" ref="C126:AK126" si="547">(1/C100^IF((60-C98+1)&lt;0,0,(60-C98+1))-(1/C100^IF((24+(C128)-C98+1)&lt;0,0,(24+(C128)-C98+1))))/(C100-1)</f>
        <v>0</v>
      </c>
      <c r="D126" s="85">
        <f t="shared" si="547"/>
        <v>0</v>
      </c>
      <c r="E126" s="85">
        <f t="shared" si="547"/>
        <v>0</v>
      </c>
      <c r="F126" s="85">
        <f t="shared" si="547"/>
        <v>0</v>
      </c>
      <c r="G126" s="85">
        <f t="shared" si="547"/>
        <v>0</v>
      </c>
      <c r="H126" s="85">
        <f t="shared" si="547"/>
        <v>0</v>
      </c>
      <c r="I126" s="85">
        <f t="shared" si="547"/>
        <v>0</v>
      </c>
      <c r="J126" s="85">
        <f t="shared" si="547"/>
        <v>0</v>
      </c>
      <c r="K126" s="85">
        <f t="shared" si="547"/>
        <v>0</v>
      </c>
      <c r="L126" s="85">
        <f t="shared" si="547"/>
        <v>0</v>
      </c>
      <c r="M126" s="85">
        <f t="shared" si="547"/>
        <v>0</v>
      </c>
      <c r="N126" s="85">
        <f t="shared" si="547"/>
        <v>0</v>
      </c>
      <c r="O126" s="85">
        <f t="shared" si="547"/>
        <v>0</v>
      </c>
      <c r="P126" s="85">
        <f t="shared" si="547"/>
        <v>0</v>
      </c>
      <c r="Q126" s="85">
        <f t="shared" si="547"/>
        <v>0</v>
      </c>
      <c r="R126" s="85">
        <f t="shared" si="547"/>
        <v>0</v>
      </c>
      <c r="S126" s="85">
        <f t="shared" si="547"/>
        <v>0</v>
      </c>
      <c r="T126" s="85">
        <f t="shared" si="547"/>
        <v>0</v>
      </c>
      <c r="U126" s="85">
        <f t="shared" si="547"/>
        <v>0</v>
      </c>
      <c r="V126" s="85">
        <f t="shared" si="547"/>
        <v>0</v>
      </c>
      <c r="W126" s="85">
        <f t="shared" si="547"/>
        <v>0</v>
      </c>
      <c r="X126" s="85">
        <f t="shared" si="547"/>
        <v>0</v>
      </c>
      <c r="Y126" s="85">
        <f t="shared" si="547"/>
        <v>0</v>
      </c>
      <c r="Z126" s="85">
        <f t="shared" si="547"/>
        <v>0</v>
      </c>
      <c r="AA126" s="85">
        <f t="shared" si="547"/>
        <v>0</v>
      </c>
      <c r="AB126" s="85">
        <f t="shared" si="547"/>
        <v>0</v>
      </c>
      <c r="AC126" s="85">
        <f t="shared" si="547"/>
        <v>0</v>
      </c>
      <c r="AD126" s="85">
        <f t="shared" si="547"/>
        <v>0</v>
      </c>
      <c r="AE126" s="85">
        <f t="shared" si="547"/>
        <v>0</v>
      </c>
      <c r="AF126" s="85">
        <f t="shared" si="547"/>
        <v>0</v>
      </c>
      <c r="AG126" s="85">
        <f t="shared" si="547"/>
        <v>0</v>
      </c>
      <c r="AH126" s="85">
        <f t="shared" si="547"/>
        <v>0</v>
      </c>
      <c r="AI126" s="85">
        <f t="shared" si="547"/>
        <v>0</v>
      </c>
      <c r="AJ126" s="85">
        <f t="shared" si="547"/>
        <v>0</v>
      </c>
      <c r="AK126" s="85">
        <f t="shared" si="547"/>
        <v>0</v>
      </c>
      <c r="AL126" s="85">
        <f>(1/AL100^IF((60-AL98+1+(AL98-36-1))&lt;0,0,(60-AL98+1+(AL98-36-1)))-(1/AL100^IF((24+(AL128)-AL98+1)&lt;0,0,(24+(AL128)-AL98+1))))/(AL100-1)</f>
        <v>0.89675324775441601</v>
      </c>
      <c r="AM126" s="85">
        <f t="shared" ref="AM126:AW126" si="548">(1/AM100^IF((60-AM98+1+(AM98-36-1))&lt;0,0,(60-AM98+1+(AM98-36-1)))-(1/AM100^IF((24+(AM128)-AM98+1)&lt;0,0,(24+(AM128)-AM98+1))))/(AM100-1)</f>
        <v>0</v>
      </c>
      <c r="AN126" s="85">
        <f t="shared" si="548"/>
        <v>-0.90067071056404657</v>
      </c>
      <c r="AO126" s="85">
        <f t="shared" si="548"/>
        <v>-1.805275997357688</v>
      </c>
      <c r="AP126" s="85">
        <f t="shared" si="548"/>
        <v>-2.7138330485606614</v>
      </c>
      <c r="AQ126" s="85">
        <f t="shared" si="548"/>
        <v>-3.6263591274393066</v>
      </c>
      <c r="AR126" s="85">
        <f t="shared" si="548"/>
        <v>-4.5428715726743567</v>
      </c>
      <c r="AS126" s="85">
        <f t="shared" si="548"/>
        <v>-5.4633877986906167</v>
      </c>
      <c r="AT126" s="85">
        <f t="shared" si="548"/>
        <v>-6.3879252959875981</v>
      </c>
      <c r="AU126" s="85">
        <f t="shared" si="548"/>
        <v>-7.3165016314721463</v>
      </c>
      <c r="AV126" s="85">
        <f t="shared" si="548"/>
        <v>-8.249134448791926</v>
      </c>
      <c r="AW126" s="85">
        <f t="shared" si="548"/>
        <v>-9.1858414686708389</v>
      </c>
      <c r="AX126" s="85"/>
      <c r="AY126" s="85"/>
      <c r="AZ126" s="85"/>
      <c r="BA126" s="85"/>
      <c r="BB126" s="85"/>
      <c r="BC126" s="85"/>
      <c r="BD126" s="85"/>
      <c r="BE126" s="85"/>
      <c r="BF126" s="85"/>
      <c r="BG126" s="85"/>
      <c r="BH126" s="85"/>
      <c r="BI126" s="85"/>
      <c r="BJ126" s="85"/>
      <c r="BK126" s="85"/>
      <c r="BL126" s="85"/>
      <c r="BM126" s="85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  <c r="DF126" s="85"/>
      <c r="DG126" s="85"/>
      <c r="DH126" s="85"/>
      <c r="DI126" s="85"/>
      <c r="DJ126" s="85"/>
      <c r="DK126" s="85"/>
      <c r="DL126" s="85"/>
      <c r="DM126" s="85"/>
      <c r="DN126" s="85"/>
      <c r="DO126" s="85"/>
      <c r="DP126" s="85"/>
      <c r="DQ126" s="85"/>
      <c r="DR126" s="85"/>
      <c r="DS126" s="85"/>
      <c r="DT126" s="85"/>
      <c r="DU126" s="85"/>
      <c r="DV126" s="85"/>
      <c r="DW126" s="85"/>
      <c r="DX126" s="85"/>
      <c r="DY126" s="85"/>
      <c r="DZ126" s="85"/>
      <c r="EA126" s="85"/>
      <c r="EB126" s="85"/>
      <c r="EC126" s="85"/>
      <c r="ED126" s="85"/>
      <c r="EE126" s="85"/>
      <c r="EF126" s="85"/>
      <c r="EG126" s="85"/>
      <c r="EH126" s="85"/>
      <c r="EI126" s="85"/>
      <c r="EJ126" s="85"/>
      <c r="EK126" s="85"/>
      <c r="EL126" s="85"/>
      <c r="EM126" s="85"/>
      <c r="EN126" s="85"/>
      <c r="EO126" s="85"/>
      <c r="EP126" s="85"/>
      <c r="EQ126" s="85"/>
      <c r="ER126" s="85"/>
      <c r="ES126" s="85"/>
      <c r="ET126" s="85"/>
      <c r="EU126" s="85"/>
      <c r="EV126" s="85"/>
      <c r="EW126" s="85"/>
      <c r="EX126" s="85"/>
      <c r="EY126" s="85"/>
      <c r="EZ126" s="85"/>
      <c r="FA126" s="85"/>
      <c r="FB126" s="85"/>
      <c r="FC126" s="85"/>
      <c r="FD126" s="85"/>
      <c r="FE126" s="85"/>
      <c r="FF126" s="85"/>
      <c r="FG126" s="85"/>
      <c r="FH126" s="85"/>
      <c r="FI126" s="85"/>
      <c r="FJ126" s="85"/>
      <c r="FK126" s="85"/>
      <c r="FL126" s="85"/>
      <c r="FM126" s="85"/>
      <c r="FN126" s="85"/>
      <c r="FO126" s="85"/>
      <c r="FP126" s="85"/>
      <c r="FQ126" s="85"/>
      <c r="FR126" s="85"/>
      <c r="FS126" s="85"/>
      <c r="FT126" s="85"/>
      <c r="FU126" s="85"/>
      <c r="FV126" s="85"/>
      <c r="FW126" s="85"/>
      <c r="FX126" s="85"/>
      <c r="FY126" s="85"/>
      <c r="FZ126" s="86"/>
    </row>
    <row r="127" spans="1:182" hidden="1" outlineLevel="1" x14ac:dyDescent="0.2">
      <c r="A127" s="87" t="s">
        <v>172</v>
      </c>
      <c r="B127" s="65">
        <f t="shared" ref="B127:AG127" si="549">IF(IF((4-1)*12+1&lt;B21,B21,(4-1)*12+1)&gt;B22,B22,IF((4-1)*12+1&lt;B21,B21,(4-1)*12+1))</f>
        <v>36</v>
      </c>
      <c r="C127" s="57">
        <f t="shared" si="549"/>
        <v>36</v>
      </c>
      <c r="D127" s="57">
        <f t="shared" si="549"/>
        <v>36</v>
      </c>
      <c r="E127" s="57">
        <f t="shared" si="549"/>
        <v>36</v>
      </c>
      <c r="F127" s="57">
        <f t="shared" si="549"/>
        <v>36</v>
      </c>
      <c r="G127" s="57">
        <f t="shared" si="549"/>
        <v>36</v>
      </c>
      <c r="H127" s="57">
        <f t="shared" si="549"/>
        <v>36</v>
      </c>
      <c r="I127" s="57">
        <f t="shared" si="549"/>
        <v>36</v>
      </c>
      <c r="J127" s="57">
        <f t="shared" si="549"/>
        <v>36</v>
      </c>
      <c r="K127" s="57">
        <f t="shared" si="549"/>
        <v>36</v>
      </c>
      <c r="L127" s="57">
        <f t="shared" si="549"/>
        <v>36</v>
      </c>
      <c r="M127" s="57">
        <f t="shared" si="549"/>
        <v>36</v>
      </c>
      <c r="N127" s="57">
        <f t="shared" si="549"/>
        <v>36</v>
      </c>
      <c r="O127" s="57">
        <f t="shared" si="549"/>
        <v>36</v>
      </c>
      <c r="P127" s="57">
        <f t="shared" si="549"/>
        <v>36</v>
      </c>
      <c r="Q127" s="57">
        <f t="shared" si="549"/>
        <v>36</v>
      </c>
      <c r="R127" s="57">
        <f t="shared" si="549"/>
        <v>36</v>
      </c>
      <c r="S127" s="57">
        <f t="shared" si="549"/>
        <v>36</v>
      </c>
      <c r="T127" s="57">
        <f t="shared" si="549"/>
        <v>36</v>
      </c>
      <c r="U127" s="57">
        <f t="shared" si="549"/>
        <v>36</v>
      </c>
      <c r="V127" s="57">
        <f t="shared" si="549"/>
        <v>36</v>
      </c>
      <c r="W127" s="57">
        <f t="shared" si="549"/>
        <v>36</v>
      </c>
      <c r="X127" s="57">
        <f t="shared" si="549"/>
        <v>36</v>
      </c>
      <c r="Y127" s="57">
        <f t="shared" si="549"/>
        <v>36</v>
      </c>
      <c r="Z127" s="57">
        <f t="shared" si="549"/>
        <v>36</v>
      </c>
      <c r="AA127" s="57">
        <f t="shared" si="549"/>
        <v>36</v>
      </c>
      <c r="AB127" s="57">
        <f t="shared" si="549"/>
        <v>36</v>
      </c>
      <c r="AC127" s="57">
        <f t="shared" si="549"/>
        <v>36</v>
      </c>
      <c r="AD127" s="57">
        <f t="shared" si="549"/>
        <v>36</v>
      </c>
      <c r="AE127" s="57">
        <f t="shared" si="549"/>
        <v>36</v>
      </c>
      <c r="AF127" s="57">
        <f t="shared" si="549"/>
        <v>36</v>
      </c>
      <c r="AG127" s="57">
        <f t="shared" si="549"/>
        <v>36</v>
      </c>
      <c r="AH127" s="57">
        <f t="shared" ref="AH127:BH127" si="550">IF(IF((4-1)*12+1&lt;AH21,AH21,(4-1)*12+1)&gt;AH22,AH22,IF((4-1)*12+1&lt;AH21,AH21,(4-1)*12+1))</f>
        <v>36</v>
      </c>
      <c r="AI127" s="57">
        <f t="shared" si="550"/>
        <v>36</v>
      </c>
      <c r="AJ127" s="57">
        <f t="shared" si="550"/>
        <v>36</v>
      </c>
      <c r="AK127" s="57">
        <f t="shared" si="550"/>
        <v>36</v>
      </c>
      <c r="AL127" s="57">
        <f t="shared" si="550"/>
        <v>36</v>
      </c>
      <c r="AM127" s="57">
        <f t="shared" si="550"/>
        <v>36</v>
      </c>
      <c r="AN127" s="57">
        <f t="shared" si="550"/>
        <v>36</v>
      </c>
      <c r="AO127" s="57">
        <f t="shared" si="550"/>
        <v>36</v>
      </c>
      <c r="AP127" s="57">
        <f t="shared" si="550"/>
        <v>36</v>
      </c>
      <c r="AQ127" s="57">
        <f t="shared" si="550"/>
        <v>36</v>
      </c>
      <c r="AR127" s="57">
        <f t="shared" si="550"/>
        <v>36</v>
      </c>
      <c r="AS127" s="57">
        <f t="shared" si="550"/>
        <v>36</v>
      </c>
      <c r="AT127" s="57">
        <f t="shared" si="550"/>
        <v>36</v>
      </c>
      <c r="AU127" s="57">
        <f t="shared" si="550"/>
        <v>36</v>
      </c>
      <c r="AV127" s="57">
        <f t="shared" si="550"/>
        <v>36</v>
      </c>
      <c r="AW127" s="57">
        <f t="shared" si="550"/>
        <v>36</v>
      </c>
      <c r="AX127" s="57">
        <f t="shared" si="550"/>
        <v>36</v>
      </c>
      <c r="AY127" s="57">
        <f t="shared" si="550"/>
        <v>36</v>
      </c>
      <c r="AZ127" s="57">
        <f t="shared" si="550"/>
        <v>36</v>
      </c>
      <c r="BA127" s="57">
        <f t="shared" si="550"/>
        <v>36</v>
      </c>
      <c r="BB127" s="57">
        <f t="shared" si="550"/>
        <v>36</v>
      </c>
      <c r="BC127" s="57">
        <f t="shared" si="550"/>
        <v>36</v>
      </c>
      <c r="BD127" s="57">
        <f t="shared" si="550"/>
        <v>36</v>
      </c>
      <c r="BE127" s="57">
        <f t="shared" si="550"/>
        <v>36</v>
      </c>
      <c r="BF127" s="57">
        <f t="shared" si="550"/>
        <v>36</v>
      </c>
      <c r="BG127" s="57">
        <f t="shared" si="550"/>
        <v>36</v>
      </c>
      <c r="BH127" s="57">
        <f t="shared" si="550"/>
        <v>36</v>
      </c>
      <c r="BI127" s="57">
        <f t="shared" ref="BI127:DP127" si="551">IF(IF((4-1)*12+1&lt;BI21,BI21,(4-1)*12+1)&gt;BI22,BI22,IF((4-1)*12+1&lt;BI21,BI21,(4-1)*12+1))</f>
        <v>36</v>
      </c>
      <c r="BJ127" s="57">
        <f t="shared" si="551"/>
        <v>36</v>
      </c>
      <c r="BK127" s="57">
        <f t="shared" si="551"/>
        <v>36</v>
      </c>
      <c r="BL127" s="57">
        <f t="shared" si="551"/>
        <v>36</v>
      </c>
      <c r="BM127" s="57">
        <f t="shared" si="551"/>
        <v>36</v>
      </c>
      <c r="BN127" s="57">
        <f t="shared" si="551"/>
        <v>36</v>
      </c>
      <c r="BO127" s="57">
        <f t="shared" si="551"/>
        <v>36</v>
      </c>
      <c r="BP127" s="57">
        <f t="shared" si="551"/>
        <v>36</v>
      </c>
      <c r="BQ127" s="57">
        <f t="shared" si="551"/>
        <v>36</v>
      </c>
      <c r="BR127" s="57">
        <f t="shared" si="551"/>
        <v>36</v>
      </c>
      <c r="BS127" s="57">
        <f t="shared" si="551"/>
        <v>36</v>
      </c>
      <c r="BT127" s="57">
        <f t="shared" si="551"/>
        <v>36</v>
      </c>
      <c r="BU127" s="57">
        <f t="shared" si="551"/>
        <v>36</v>
      </c>
      <c r="BV127" s="57">
        <f t="shared" si="551"/>
        <v>36</v>
      </c>
      <c r="BW127" s="57">
        <f t="shared" si="551"/>
        <v>36</v>
      </c>
      <c r="BX127" s="57">
        <f t="shared" si="551"/>
        <v>36</v>
      </c>
      <c r="BY127" s="57">
        <f t="shared" si="551"/>
        <v>36</v>
      </c>
      <c r="BZ127" s="57">
        <f t="shared" si="551"/>
        <v>36</v>
      </c>
      <c r="CA127" s="57">
        <f t="shared" si="551"/>
        <v>36</v>
      </c>
      <c r="CB127" s="57">
        <f t="shared" si="551"/>
        <v>36</v>
      </c>
      <c r="CC127" s="57">
        <f t="shared" si="551"/>
        <v>36</v>
      </c>
      <c r="CD127" s="57">
        <f t="shared" si="551"/>
        <v>36</v>
      </c>
      <c r="CE127" s="57">
        <f t="shared" si="551"/>
        <v>36</v>
      </c>
      <c r="CF127" s="57">
        <f t="shared" si="551"/>
        <v>36</v>
      </c>
      <c r="CG127" s="57">
        <f t="shared" si="551"/>
        <v>36</v>
      </c>
      <c r="CH127" s="57">
        <f t="shared" si="551"/>
        <v>36</v>
      </c>
      <c r="CI127" s="57">
        <f t="shared" si="551"/>
        <v>36</v>
      </c>
      <c r="CJ127" s="57">
        <f t="shared" si="551"/>
        <v>36</v>
      </c>
      <c r="CK127" s="57">
        <f t="shared" si="551"/>
        <v>36</v>
      </c>
      <c r="CL127" s="57">
        <f t="shared" si="551"/>
        <v>36</v>
      </c>
      <c r="CM127" s="57">
        <f t="shared" si="551"/>
        <v>36</v>
      </c>
      <c r="CN127" s="57">
        <f t="shared" si="551"/>
        <v>36</v>
      </c>
      <c r="CO127" s="57">
        <f t="shared" si="551"/>
        <v>36</v>
      </c>
      <c r="CP127" s="57">
        <f t="shared" si="551"/>
        <v>36</v>
      </c>
      <c r="CQ127" s="57">
        <f t="shared" si="551"/>
        <v>36</v>
      </c>
      <c r="CR127" s="57">
        <f t="shared" si="551"/>
        <v>36</v>
      </c>
      <c r="CS127" s="57">
        <f t="shared" si="551"/>
        <v>36</v>
      </c>
      <c r="CT127" s="57">
        <f t="shared" si="551"/>
        <v>36</v>
      </c>
      <c r="CU127" s="57">
        <f t="shared" si="551"/>
        <v>36</v>
      </c>
      <c r="CV127" s="57">
        <f t="shared" si="551"/>
        <v>36</v>
      </c>
      <c r="CW127" s="57">
        <f t="shared" si="551"/>
        <v>36</v>
      </c>
      <c r="CX127" s="57">
        <f t="shared" si="551"/>
        <v>36</v>
      </c>
      <c r="CY127" s="57">
        <f t="shared" si="551"/>
        <v>36</v>
      </c>
      <c r="CZ127" s="57">
        <f t="shared" si="551"/>
        <v>36</v>
      </c>
      <c r="DA127" s="57">
        <f t="shared" si="551"/>
        <v>36</v>
      </c>
      <c r="DB127" s="57">
        <f t="shared" si="551"/>
        <v>36</v>
      </c>
      <c r="DC127" s="57">
        <f t="shared" si="551"/>
        <v>36</v>
      </c>
      <c r="DD127" s="57">
        <f t="shared" si="551"/>
        <v>36</v>
      </c>
      <c r="DE127" s="57">
        <f t="shared" si="551"/>
        <v>36</v>
      </c>
      <c r="DF127" s="57">
        <f t="shared" si="551"/>
        <v>36</v>
      </c>
      <c r="DG127" s="57">
        <f t="shared" si="551"/>
        <v>36</v>
      </c>
      <c r="DH127" s="57">
        <f t="shared" si="551"/>
        <v>36</v>
      </c>
      <c r="DI127" s="57">
        <f t="shared" si="551"/>
        <v>36</v>
      </c>
      <c r="DJ127" s="57">
        <f t="shared" si="551"/>
        <v>36</v>
      </c>
      <c r="DK127" s="57">
        <f t="shared" si="551"/>
        <v>36</v>
      </c>
      <c r="DL127" s="57">
        <f t="shared" si="551"/>
        <v>36</v>
      </c>
      <c r="DM127" s="57">
        <f t="shared" si="551"/>
        <v>36</v>
      </c>
      <c r="DN127" s="57">
        <f t="shared" si="551"/>
        <v>36</v>
      </c>
      <c r="DO127" s="57">
        <f t="shared" si="551"/>
        <v>36</v>
      </c>
      <c r="DP127" s="57">
        <f t="shared" si="551"/>
        <v>36</v>
      </c>
      <c r="DQ127" s="57">
        <f t="shared" ref="DQ127:FY127" si="552">IF(IF((4-1)*12+1&lt;DQ21,DQ21,(4-1)*12+1)&gt;DQ22,DQ22,IF((4-1)*12+1&lt;DQ21,DQ21,(4-1)*12+1))</f>
        <v>36</v>
      </c>
      <c r="DR127" s="57">
        <f t="shared" si="552"/>
        <v>36</v>
      </c>
      <c r="DS127" s="57">
        <f t="shared" si="552"/>
        <v>36</v>
      </c>
      <c r="DT127" s="57">
        <f t="shared" si="552"/>
        <v>36</v>
      </c>
      <c r="DU127" s="57">
        <f t="shared" si="552"/>
        <v>36</v>
      </c>
      <c r="DV127" s="57">
        <f t="shared" si="552"/>
        <v>36</v>
      </c>
      <c r="DW127" s="57">
        <f t="shared" si="552"/>
        <v>36</v>
      </c>
      <c r="DX127" s="57">
        <f t="shared" si="552"/>
        <v>36</v>
      </c>
      <c r="DY127" s="57">
        <f t="shared" si="552"/>
        <v>36</v>
      </c>
      <c r="DZ127" s="57">
        <f t="shared" si="552"/>
        <v>36</v>
      </c>
      <c r="EA127" s="57">
        <f t="shared" si="552"/>
        <v>36</v>
      </c>
      <c r="EB127" s="57">
        <f t="shared" si="552"/>
        <v>36</v>
      </c>
      <c r="EC127" s="57">
        <f t="shared" si="552"/>
        <v>36</v>
      </c>
      <c r="ED127" s="57">
        <f t="shared" si="552"/>
        <v>36</v>
      </c>
      <c r="EE127" s="57">
        <f t="shared" si="552"/>
        <v>36</v>
      </c>
      <c r="EF127" s="57">
        <f t="shared" si="552"/>
        <v>36</v>
      </c>
      <c r="EG127" s="57">
        <f t="shared" si="552"/>
        <v>36</v>
      </c>
      <c r="EH127" s="57">
        <f t="shared" si="552"/>
        <v>36</v>
      </c>
      <c r="EI127" s="57">
        <f t="shared" si="552"/>
        <v>36</v>
      </c>
      <c r="EJ127" s="57">
        <f t="shared" si="552"/>
        <v>36</v>
      </c>
      <c r="EK127" s="57">
        <f t="shared" si="552"/>
        <v>36</v>
      </c>
      <c r="EL127" s="57">
        <f t="shared" si="552"/>
        <v>36</v>
      </c>
      <c r="EM127" s="57">
        <f t="shared" si="552"/>
        <v>36</v>
      </c>
      <c r="EN127" s="57">
        <f t="shared" si="552"/>
        <v>36</v>
      </c>
      <c r="EO127" s="57">
        <f t="shared" si="552"/>
        <v>36</v>
      </c>
      <c r="EP127" s="57">
        <f t="shared" si="552"/>
        <v>36</v>
      </c>
      <c r="EQ127" s="57">
        <f t="shared" si="552"/>
        <v>36</v>
      </c>
      <c r="ER127" s="57">
        <f t="shared" si="552"/>
        <v>36</v>
      </c>
      <c r="ES127" s="57">
        <f t="shared" si="552"/>
        <v>36</v>
      </c>
      <c r="ET127" s="57">
        <f t="shared" si="552"/>
        <v>36</v>
      </c>
      <c r="EU127" s="57">
        <f t="shared" si="552"/>
        <v>36</v>
      </c>
      <c r="EV127" s="57">
        <f t="shared" si="552"/>
        <v>36</v>
      </c>
      <c r="EW127" s="57">
        <f t="shared" si="552"/>
        <v>36</v>
      </c>
      <c r="EX127" s="57">
        <f t="shared" si="552"/>
        <v>36</v>
      </c>
      <c r="EY127" s="57">
        <f t="shared" si="552"/>
        <v>36</v>
      </c>
      <c r="EZ127" s="57">
        <f t="shared" si="552"/>
        <v>36</v>
      </c>
      <c r="FA127" s="57">
        <f t="shared" si="552"/>
        <v>36</v>
      </c>
      <c r="FB127" s="57">
        <f t="shared" si="552"/>
        <v>36</v>
      </c>
      <c r="FC127" s="57">
        <f t="shared" si="552"/>
        <v>36</v>
      </c>
      <c r="FD127" s="57">
        <f t="shared" si="552"/>
        <v>36</v>
      </c>
      <c r="FE127" s="57">
        <f t="shared" si="552"/>
        <v>36</v>
      </c>
      <c r="FF127" s="57">
        <f t="shared" si="552"/>
        <v>36</v>
      </c>
      <c r="FG127" s="57">
        <f t="shared" si="552"/>
        <v>36</v>
      </c>
      <c r="FH127" s="57">
        <f t="shared" si="552"/>
        <v>36</v>
      </c>
      <c r="FI127" s="57">
        <f t="shared" si="552"/>
        <v>36</v>
      </c>
      <c r="FJ127" s="57">
        <f t="shared" si="552"/>
        <v>36</v>
      </c>
      <c r="FK127" s="57">
        <f t="shared" si="552"/>
        <v>36</v>
      </c>
      <c r="FL127" s="57">
        <f t="shared" si="552"/>
        <v>36</v>
      </c>
      <c r="FM127" s="57">
        <f t="shared" si="552"/>
        <v>36</v>
      </c>
      <c r="FN127" s="57">
        <f t="shared" si="552"/>
        <v>36</v>
      </c>
      <c r="FO127" s="57">
        <f t="shared" si="552"/>
        <v>36</v>
      </c>
      <c r="FP127" s="57">
        <f t="shared" si="552"/>
        <v>36</v>
      </c>
      <c r="FQ127" s="57">
        <f t="shared" si="552"/>
        <v>36</v>
      </c>
      <c r="FR127" s="57">
        <f t="shared" si="552"/>
        <v>36</v>
      </c>
      <c r="FS127" s="57">
        <f t="shared" si="552"/>
        <v>36</v>
      </c>
      <c r="FT127" s="57">
        <f t="shared" si="552"/>
        <v>36</v>
      </c>
      <c r="FU127" s="57">
        <f t="shared" si="552"/>
        <v>36</v>
      </c>
      <c r="FV127" s="57">
        <f t="shared" si="552"/>
        <v>36</v>
      </c>
      <c r="FW127" s="57">
        <f t="shared" si="552"/>
        <v>36</v>
      </c>
      <c r="FX127" s="57">
        <f t="shared" si="552"/>
        <v>36</v>
      </c>
      <c r="FY127" s="57">
        <f t="shared" si="552"/>
        <v>36</v>
      </c>
      <c r="FZ127" s="59"/>
    </row>
    <row r="128" spans="1:182" hidden="1" outlineLevel="1" x14ac:dyDescent="0.2">
      <c r="A128" s="87" t="s">
        <v>173</v>
      </c>
      <c r="B128" s="65">
        <f t="shared" ref="B128:AG128" si="553">IF(IF((4)*12&lt;B21,B21,(4)*12)&gt;B22,B22,IF((4)*12&lt;B21,B21,(4)*12))</f>
        <v>36</v>
      </c>
      <c r="C128" s="57">
        <f t="shared" si="553"/>
        <v>36</v>
      </c>
      <c r="D128" s="57">
        <f t="shared" si="553"/>
        <v>36</v>
      </c>
      <c r="E128" s="57">
        <f t="shared" si="553"/>
        <v>36</v>
      </c>
      <c r="F128" s="57">
        <f t="shared" si="553"/>
        <v>36</v>
      </c>
      <c r="G128" s="57">
        <f t="shared" si="553"/>
        <v>36</v>
      </c>
      <c r="H128" s="57">
        <f t="shared" si="553"/>
        <v>36</v>
      </c>
      <c r="I128" s="57">
        <f t="shared" si="553"/>
        <v>36</v>
      </c>
      <c r="J128" s="57">
        <f t="shared" si="553"/>
        <v>36</v>
      </c>
      <c r="K128" s="57">
        <f t="shared" si="553"/>
        <v>36</v>
      </c>
      <c r="L128" s="57">
        <f t="shared" si="553"/>
        <v>36</v>
      </c>
      <c r="M128" s="57">
        <f t="shared" si="553"/>
        <v>36</v>
      </c>
      <c r="N128" s="57">
        <f t="shared" si="553"/>
        <v>36</v>
      </c>
      <c r="O128" s="57">
        <f t="shared" si="553"/>
        <v>36</v>
      </c>
      <c r="P128" s="57">
        <f t="shared" si="553"/>
        <v>36</v>
      </c>
      <c r="Q128" s="57">
        <f t="shared" si="553"/>
        <v>36</v>
      </c>
      <c r="R128" s="57">
        <f t="shared" si="553"/>
        <v>36</v>
      </c>
      <c r="S128" s="57">
        <f t="shared" si="553"/>
        <v>36</v>
      </c>
      <c r="T128" s="57">
        <f t="shared" si="553"/>
        <v>36</v>
      </c>
      <c r="U128" s="57">
        <f t="shared" si="553"/>
        <v>36</v>
      </c>
      <c r="V128" s="57">
        <f t="shared" si="553"/>
        <v>36</v>
      </c>
      <c r="W128" s="57">
        <f t="shared" si="553"/>
        <v>36</v>
      </c>
      <c r="X128" s="57">
        <f t="shared" si="553"/>
        <v>36</v>
      </c>
      <c r="Y128" s="57">
        <f t="shared" si="553"/>
        <v>36</v>
      </c>
      <c r="Z128" s="57">
        <f t="shared" si="553"/>
        <v>36</v>
      </c>
      <c r="AA128" s="57">
        <f t="shared" si="553"/>
        <v>36</v>
      </c>
      <c r="AB128" s="57">
        <f t="shared" si="553"/>
        <v>36</v>
      </c>
      <c r="AC128" s="57">
        <f t="shared" si="553"/>
        <v>36</v>
      </c>
      <c r="AD128" s="57">
        <f t="shared" si="553"/>
        <v>36</v>
      </c>
      <c r="AE128" s="57">
        <f t="shared" si="553"/>
        <v>36</v>
      </c>
      <c r="AF128" s="57">
        <f t="shared" si="553"/>
        <v>36</v>
      </c>
      <c r="AG128" s="57">
        <f t="shared" si="553"/>
        <v>36</v>
      </c>
      <c r="AH128" s="57">
        <f t="shared" ref="AH128:BH128" si="554">IF(IF((4)*12&lt;AH21,AH21,(4)*12)&gt;AH22,AH22,IF((4)*12&lt;AH21,AH21,(4)*12))</f>
        <v>36</v>
      </c>
      <c r="AI128" s="57">
        <f t="shared" si="554"/>
        <v>36</v>
      </c>
      <c r="AJ128" s="57">
        <f t="shared" si="554"/>
        <v>36</v>
      </c>
      <c r="AK128" s="57">
        <f t="shared" si="554"/>
        <v>36</v>
      </c>
      <c r="AL128" s="57">
        <f t="shared" si="554"/>
        <v>36</v>
      </c>
      <c r="AM128" s="57">
        <f t="shared" si="554"/>
        <v>36</v>
      </c>
      <c r="AN128" s="57">
        <f t="shared" si="554"/>
        <v>36</v>
      </c>
      <c r="AO128" s="57">
        <f t="shared" si="554"/>
        <v>36</v>
      </c>
      <c r="AP128" s="57">
        <f t="shared" si="554"/>
        <v>36</v>
      </c>
      <c r="AQ128" s="57">
        <f t="shared" si="554"/>
        <v>36</v>
      </c>
      <c r="AR128" s="57">
        <f t="shared" si="554"/>
        <v>36</v>
      </c>
      <c r="AS128" s="57">
        <f t="shared" si="554"/>
        <v>36</v>
      </c>
      <c r="AT128" s="57">
        <f t="shared" si="554"/>
        <v>36</v>
      </c>
      <c r="AU128" s="57">
        <f t="shared" si="554"/>
        <v>36</v>
      </c>
      <c r="AV128" s="57">
        <f t="shared" si="554"/>
        <v>36</v>
      </c>
      <c r="AW128" s="57">
        <f t="shared" si="554"/>
        <v>36</v>
      </c>
      <c r="AX128" s="57">
        <f t="shared" si="554"/>
        <v>36</v>
      </c>
      <c r="AY128" s="57">
        <f t="shared" si="554"/>
        <v>36</v>
      </c>
      <c r="AZ128" s="57">
        <f t="shared" si="554"/>
        <v>36</v>
      </c>
      <c r="BA128" s="57">
        <f t="shared" si="554"/>
        <v>36</v>
      </c>
      <c r="BB128" s="57">
        <f t="shared" si="554"/>
        <v>36</v>
      </c>
      <c r="BC128" s="57">
        <f t="shared" si="554"/>
        <v>36</v>
      </c>
      <c r="BD128" s="57">
        <f t="shared" si="554"/>
        <v>36</v>
      </c>
      <c r="BE128" s="57">
        <f t="shared" si="554"/>
        <v>36</v>
      </c>
      <c r="BF128" s="57">
        <f t="shared" si="554"/>
        <v>36</v>
      </c>
      <c r="BG128" s="57">
        <f t="shared" si="554"/>
        <v>36</v>
      </c>
      <c r="BH128" s="57">
        <f t="shared" si="554"/>
        <v>36</v>
      </c>
      <c r="BI128" s="57">
        <f t="shared" ref="BI128:DP128" si="555">IF(IF((4)*12&lt;BI21,BI21,(4)*12)&gt;BI22,BI22,IF((4)*12&lt;BI21,BI21,(4)*12))</f>
        <v>36</v>
      </c>
      <c r="BJ128" s="57">
        <f t="shared" si="555"/>
        <v>36</v>
      </c>
      <c r="BK128" s="57">
        <f t="shared" si="555"/>
        <v>36</v>
      </c>
      <c r="BL128" s="57">
        <f t="shared" si="555"/>
        <v>36</v>
      </c>
      <c r="BM128" s="57">
        <f t="shared" si="555"/>
        <v>36</v>
      </c>
      <c r="BN128" s="57">
        <f t="shared" si="555"/>
        <v>36</v>
      </c>
      <c r="BO128" s="57">
        <f t="shared" si="555"/>
        <v>36</v>
      </c>
      <c r="BP128" s="57">
        <f t="shared" si="555"/>
        <v>36</v>
      </c>
      <c r="BQ128" s="57">
        <f t="shared" si="555"/>
        <v>36</v>
      </c>
      <c r="BR128" s="57">
        <f t="shared" si="555"/>
        <v>36</v>
      </c>
      <c r="BS128" s="57">
        <f t="shared" si="555"/>
        <v>36</v>
      </c>
      <c r="BT128" s="57">
        <f t="shared" si="555"/>
        <v>36</v>
      </c>
      <c r="BU128" s="57">
        <f t="shared" si="555"/>
        <v>36</v>
      </c>
      <c r="BV128" s="57">
        <f t="shared" si="555"/>
        <v>36</v>
      </c>
      <c r="BW128" s="57">
        <f t="shared" si="555"/>
        <v>36</v>
      </c>
      <c r="BX128" s="57">
        <f t="shared" si="555"/>
        <v>36</v>
      </c>
      <c r="BY128" s="57">
        <f t="shared" si="555"/>
        <v>36</v>
      </c>
      <c r="BZ128" s="57">
        <f t="shared" si="555"/>
        <v>36</v>
      </c>
      <c r="CA128" s="57">
        <f t="shared" si="555"/>
        <v>36</v>
      </c>
      <c r="CB128" s="57">
        <f t="shared" si="555"/>
        <v>36</v>
      </c>
      <c r="CC128" s="57">
        <f t="shared" si="555"/>
        <v>36</v>
      </c>
      <c r="CD128" s="57">
        <f t="shared" si="555"/>
        <v>36</v>
      </c>
      <c r="CE128" s="57">
        <f t="shared" si="555"/>
        <v>36</v>
      </c>
      <c r="CF128" s="57">
        <f t="shared" si="555"/>
        <v>36</v>
      </c>
      <c r="CG128" s="57">
        <f t="shared" si="555"/>
        <v>36</v>
      </c>
      <c r="CH128" s="57">
        <f t="shared" si="555"/>
        <v>36</v>
      </c>
      <c r="CI128" s="57">
        <f t="shared" si="555"/>
        <v>36</v>
      </c>
      <c r="CJ128" s="57">
        <f t="shared" si="555"/>
        <v>36</v>
      </c>
      <c r="CK128" s="57">
        <f t="shared" si="555"/>
        <v>36</v>
      </c>
      <c r="CL128" s="57">
        <f t="shared" si="555"/>
        <v>36</v>
      </c>
      <c r="CM128" s="57">
        <f t="shared" si="555"/>
        <v>36</v>
      </c>
      <c r="CN128" s="57">
        <f t="shared" si="555"/>
        <v>36</v>
      </c>
      <c r="CO128" s="57">
        <f t="shared" si="555"/>
        <v>36</v>
      </c>
      <c r="CP128" s="57">
        <f t="shared" si="555"/>
        <v>36</v>
      </c>
      <c r="CQ128" s="57">
        <f t="shared" si="555"/>
        <v>36</v>
      </c>
      <c r="CR128" s="57">
        <f t="shared" si="555"/>
        <v>36</v>
      </c>
      <c r="CS128" s="57">
        <f t="shared" si="555"/>
        <v>36</v>
      </c>
      <c r="CT128" s="57">
        <f t="shared" si="555"/>
        <v>36</v>
      </c>
      <c r="CU128" s="57">
        <f t="shared" si="555"/>
        <v>36</v>
      </c>
      <c r="CV128" s="57">
        <f t="shared" si="555"/>
        <v>36</v>
      </c>
      <c r="CW128" s="57">
        <f t="shared" si="555"/>
        <v>36</v>
      </c>
      <c r="CX128" s="57">
        <f t="shared" si="555"/>
        <v>36</v>
      </c>
      <c r="CY128" s="57">
        <f t="shared" si="555"/>
        <v>36</v>
      </c>
      <c r="CZ128" s="57">
        <f t="shared" si="555"/>
        <v>36</v>
      </c>
      <c r="DA128" s="57">
        <f t="shared" si="555"/>
        <v>36</v>
      </c>
      <c r="DB128" s="57">
        <f t="shared" si="555"/>
        <v>36</v>
      </c>
      <c r="DC128" s="57">
        <f t="shared" si="555"/>
        <v>36</v>
      </c>
      <c r="DD128" s="57">
        <f t="shared" si="555"/>
        <v>36</v>
      </c>
      <c r="DE128" s="57">
        <f t="shared" si="555"/>
        <v>36</v>
      </c>
      <c r="DF128" s="57">
        <f t="shared" si="555"/>
        <v>36</v>
      </c>
      <c r="DG128" s="57">
        <f t="shared" si="555"/>
        <v>36</v>
      </c>
      <c r="DH128" s="57">
        <f t="shared" si="555"/>
        <v>36</v>
      </c>
      <c r="DI128" s="57">
        <f t="shared" si="555"/>
        <v>36</v>
      </c>
      <c r="DJ128" s="57">
        <f t="shared" si="555"/>
        <v>36</v>
      </c>
      <c r="DK128" s="57">
        <f t="shared" si="555"/>
        <v>36</v>
      </c>
      <c r="DL128" s="57">
        <f t="shared" si="555"/>
        <v>36</v>
      </c>
      <c r="DM128" s="57">
        <f t="shared" si="555"/>
        <v>36</v>
      </c>
      <c r="DN128" s="57">
        <f t="shared" si="555"/>
        <v>36</v>
      </c>
      <c r="DO128" s="57">
        <f t="shared" si="555"/>
        <v>36</v>
      </c>
      <c r="DP128" s="57">
        <f t="shared" si="555"/>
        <v>36</v>
      </c>
      <c r="DQ128" s="57">
        <f t="shared" ref="DQ128:FY128" si="556">IF(IF((4)*12&lt;DQ21,DQ21,(4)*12)&gt;DQ22,DQ22,IF((4)*12&lt;DQ21,DQ21,(4)*12))</f>
        <v>36</v>
      </c>
      <c r="DR128" s="57">
        <f t="shared" si="556"/>
        <v>36</v>
      </c>
      <c r="DS128" s="57">
        <f t="shared" si="556"/>
        <v>36</v>
      </c>
      <c r="DT128" s="57">
        <f t="shared" si="556"/>
        <v>36</v>
      </c>
      <c r="DU128" s="57">
        <f t="shared" si="556"/>
        <v>36</v>
      </c>
      <c r="DV128" s="57">
        <f t="shared" si="556"/>
        <v>36</v>
      </c>
      <c r="DW128" s="57">
        <f t="shared" si="556"/>
        <v>36</v>
      </c>
      <c r="DX128" s="57">
        <f t="shared" si="556"/>
        <v>36</v>
      </c>
      <c r="DY128" s="57">
        <f t="shared" si="556"/>
        <v>36</v>
      </c>
      <c r="DZ128" s="57">
        <f t="shared" si="556"/>
        <v>36</v>
      </c>
      <c r="EA128" s="57">
        <f t="shared" si="556"/>
        <v>36</v>
      </c>
      <c r="EB128" s="57">
        <f t="shared" si="556"/>
        <v>36</v>
      </c>
      <c r="EC128" s="57">
        <f t="shared" si="556"/>
        <v>36</v>
      </c>
      <c r="ED128" s="57">
        <f t="shared" si="556"/>
        <v>36</v>
      </c>
      <c r="EE128" s="57">
        <f t="shared" si="556"/>
        <v>36</v>
      </c>
      <c r="EF128" s="57">
        <f t="shared" si="556"/>
        <v>36</v>
      </c>
      <c r="EG128" s="57">
        <f t="shared" si="556"/>
        <v>36</v>
      </c>
      <c r="EH128" s="57">
        <f t="shared" si="556"/>
        <v>36</v>
      </c>
      <c r="EI128" s="57">
        <f t="shared" si="556"/>
        <v>36</v>
      </c>
      <c r="EJ128" s="57">
        <f t="shared" si="556"/>
        <v>36</v>
      </c>
      <c r="EK128" s="57">
        <f t="shared" si="556"/>
        <v>36</v>
      </c>
      <c r="EL128" s="57">
        <f t="shared" si="556"/>
        <v>36</v>
      </c>
      <c r="EM128" s="57">
        <f t="shared" si="556"/>
        <v>36</v>
      </c>
      <c r="EN128" s="57">
        <f t="shared" si="556"/>
        <v>36</v>
      </c>
      <c r="EO128" s="57">
        <f t="shared" si="556"/>
        <v>36</v>
      </c>
      <c r="EP128" s="57">
        <f t="shared" si="556"/>
        <v>36</v>
      </c>
      <c r="EQ128" s="57">
        <f t="shared" si="556"/>
        <v>36</v>
      </c>
      <c r="ER128" s="57">
        <f t="shared" si="556"/>
        <v>36</v>
      </c>
      <c r="ES128" s="57">
        <f t="shared" si="556"/>
        <v>36</v>
      </c>
      <c r="ET128" s="57">
        <f t="shared" si="556"/>
        <v>36</v>
      </c>
      <c r="EU128" s="57">
        <f t="shared" si="556"/>
        <v>36</v>
      </c>
      <c r="EV128" s="57">
        <f t="shared" si="556"/>
        <v>36</v>
      </c>
      <c r="EW128" s="57">
        <f t="shared" si="556"/>
        <v>36</v>
      </c>
      <c r="EX128" s="57">
        <f t="shared" si="556"/>
        <v>36</v>
      </c>
      <c r="EY128" s="57">
        <f t="shared" si="556"/>
        <v>36</v>
      </c>
      <c r="EZ128" s="57">
        <f t="shared" si="556"/>
        <v>36</v>
      </c>
      <c r="FA128" s="57">
        <f t="shared" si="556"/>
        <v>36</v>
      </c>
      <c r="FB128" s="57">
        <f t="shared" si="556"/>
        <v>36</v>
      </c>
      <c r="FC128" s="57">
        <f t="shared" si="556"/>
        <v>36</v>
      </c>
      <c r="FD128" s="57">
        <f t="shared" si="556"/>
        <v>36</v>
      </c>
      <c r="FE128" s="57">
        <f t="shared" si="556"/>
        <v>36</v>
      </c>
      <c r="FF128" s="57">
        <f t="shared" si="556"/>
        <v>36</v>
      </c>
      <c r="FG128" s="57">
        <f t="shared" si="556"/>
        <v>36</v>
      </c>
      <c r="FH128" s="57">
        <f t="shared" si="556"/>
        <v>36</v>
      </c>
      <c r="FI128" s="57">
        <f t="shared" si="556"/>
        <v>36</v>
      </c>
      <c r="FJ128" s="57">
        <f t="shared" si="556"/>
        <v>36</v>
      </c>
      <c r="FK128" s="57">
        <f t="shared" si="556"/>
        <v>36</v>
      </c>
      <c r="FL128" s="57">
        <f t="shared" si="556"/>
        <v>36</v>
      </c>
      <c r="FM128" s="57">
        <f t="shared" si="556"/>
        <v>36</v>
      </c>
      <c r="FN128" s="57">
        <f t="shared" si="556"/>
        <v>36</v>
      </c>
      <c r="FO128" s="57">
        <f t="shared" si="556"/>
        <v>36</v>
      </c>
      <c r="FP128" s="57">
        <f t="shared" si="556"/>
        <v>36</v>
      </c>
      <c r="FQ128" s="57">
        <f t="shared" si="556"/>
        <v>36</v>
      </c>
      <c r="FR128" s="57">
        <f t="shared" si="556"/>
        <v>36</v>
      </c>
      <c r="FS128" s="57">
        <f t="shared" si="556"/>
        <v>36</v>
      </c>
      <c r="FT128" s="57">
        <f t="shared" si="556"/>
        <v>36</v>
      </c>
      <c r="FU128" s="57">
        <f t="shared" si="556"/>
        <v>36</v>
      </c>
      <c r="FV128" s="57">
        <f t="shared" si="556"/>
        <v>36</v>
      </c>
      <c r="FW128" s="57">
        <f t="shared" si="556"/>
        <v>36</v>
      </c>
      <c r="FX128" s="57">
        <f t="shared" si="556"/>
        <v>36</v>
      </c>
      <c r="FY128" s="57">
        <f t="shared" si="556"/>
        <v>36</v>
      </c>
      <c r="FZ128" s="59"/>
    </row>
    <row r="129" spans="1:182" s="293" customFormat="1" hidden="1" outlineLevel="1" x14ac:dyDescent="0.2">
      <c r="A129" s="83"/>
      <c r="B129" s="84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85"/>
      <c r="AN129" s="85"/>
      <c r="AO129" s="85"/>
      <c r="AP129" s="85"/>
      <c r="AQ129" s="85"/>
      <c r="AR129" s="85"/>
      <c r="AS129" s="85"/>
      <c r="AT129" s="85"/>
      <c r="AU129" s="85"/>
      <c r="AV129" s="85"/>
      <c r="AW129" s="85"/>
      <c r="AX129" s="85"/>
      <c r="AY129" s="85"/>
      <c r="AZ129" s="85"/>
      <c r="BA129" s="85"/>
      <c r="BB129" s="85"/>
      <c r="BC129" s="85"/>
      <c r="BD129" s="85"/>
      <c r="BE129" s="85"/>
      <c r="BF129" s="85"/>
      <c r="BG129" s="85"/>
      <c r="BH129" s="85"/>
      <c r="BI129" s="85"/>
      <c r="BJ129" s="85"/>
      <c r="BK129" s="85"/>
      <c r="BL129" s="85"/>
      <c r="BM129" s="85"/>
      <c r="BN129" s="85"/>
      <c r="BO129" s="85"/>
      <c r="BP129" s="85"/>
      <c r="BQ129" s="85"/>
      <c r="BR129" s="85"/>
      <c r="BS129" s="85"/>
      <c r="BT129" s="85"/>
      <c r="BU129" s="85"/>
      <c r="BV129" s="85"/>
      <c r="BW129" s="85"/>
      <c r="BX129" s="85"/>
      <c r="BY129" s="85"/>
      <c r="BZ129" s="85"/>
      <c r="CA129" s="85"/>
      <c r="CB129" s="85"/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  <c r="CS129" s="85"/>
      <c r="CT129" s="85"/>
      <c r="CU129" s="85"/>
      <c r="CV129" s="85"/>
      <c r="CW129" s="85"/>
      <c r="CX129" s="85"/>
      <c r="CY129" s="85"/>
      <c r="CZ129" s="85"/>
      <c r="DA129" s="85"/>
      <c r="DB129" s="85"/>
      <c r="DC129" s="85"/>
      <c r="DD129" s="85"/>
      <c r="DE129" s="85"/>
      <c r="DF129" s="85"/>
      <c r="DG129" s="85"/>
      <c r="DH129" s="85"/>
      <c r="DI129" s="85"/>
      <c r="DJ129" s="85"/>
      <c r="DK129" s="85"/>
      <c r="DL129" s="85"/>
      <c r="DM129" s="85"/>
      <c r="DN129" s="85"/>
      <c r="DO129" s="85"/>
      <c r="DP129" s="85"/>
      <c r="DQ129" s="85"/>
      <c r="DR129" s="85"/>
      <c r="DS129" s="85"/>
      <c r="DT129" s="85"/>
      <c r="DU129" s="85"/>
      <c r="DV129" s="85"/>
      <c r="DW129" s="85"/>
      <c r="DX129" s="85"/>
      <c r="DY129" s="85"/>
      <c r="DZ129" s="85"/>
      <c r="EA129" s="85"/>
      <c r="EB129" s="85"/>
      <c r="EC129" s="85"/>
      <c r="ED129" s="85"/>
      <c r="EE129" s="85"/>
      <c r="EF129" s="85"/>
      <c r="EG129" s="85"/>
      <c r="EH129" s="85"/>
      <c r="EI129" s="85"/>
      <c r="EJ129" s="85"/>
      <c r="EK129" s="85"/>
      <c r="EL129" s="85"/>
      <c r="EM129" s="85"/>
      <c r="EN129" s="85"/>
      <c r="EO129" s="85"/>
      <c r="EP129" s="85"/>
      <c r="EQ129" s="85"/>
      <c r="ER129" s="85"/>
      <c r="ES129" s="85"/>
      <c r="ET129" s="85"/>
      <c r="EU129" s="85"/>
      <c r="EV129" s="85"/>
      <c r="EW129" s="85"/>
      <c r="EX129" s="85"/>
      <c r="EY129" s="85"/>
      <c r="EZ129" s="85"/>
      <c r="FA129" s="85"/>
      <c r="FB129" s="85"/>
      <c r="FC129" s="85"/>
      <c r="FD129" s="85"/>
      <c r="FE129" s="85"/>
      <c r="FF129" s="85"/>
      <c r="FG129" s="85"/>
      <c r="FH129" s="85"/>
      <c r="FI129" s="85"/>
      <c r="FJ129" s="85"/>
      <c r="FK129" s="85"/>
      <c r="FL129" s="85"/>
      <c r="FM129" s="85"/>
      <c r="FN129" s="85"/>
      <c r="FO129" s="85"/>
      <c r="FP129" s="85"/>
      <c r="FQ129" s="85"/>
      <c r="FR129" s="85"/>
      <c r="FS129" s="85"/>
      <c r="FT129" s="85"/>
      <c r="FU129" s="85"/>
      <c r="FV129" s="85"/>
      <c r="FW129" s="85"/>
      <c r="FX129" s="85"/>
      <c r="FY129" s="85"/>
      <c r="FZ129" s="86"/>
    </row>
    <row r="130" spans="1:182" hidden="1" outlineLevel="1" x14ac:dyDescent="0.2">
      <c r="A130" s="81" t="s">
        <v>152</v>
      </c>
      <c r="B130" s="8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2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2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2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2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80"/>
      <c r="BZ130" s="80"/>
      <c r="CA130" s="80"/>
      <c r="CB130" s="80"/>
      <c r="CC130" s="80"/>
      <c r="CD130" s="80"/>
      <c r="CE130" s="80"/>
      <c r="CF130" s="80"/>
      <c r="CG130" s="80"/>
      <c r="CH130" s="80"/>
      <c r="CI130" s="80"/>
      <c r="CJ130" s="80"/>
      <c r="CK130" s="80"/>
      <c r="CL130" s="80"/>
      <c r="CM130" s="80"/>
      <c r="CN130" s="80"/>
      <c r="CO130" s="80"/>
      <c r="CP130" s="80"/>
      <c r="CQ130" s="80"/>
      <c r="CR130" s="80"/>
      <c r="CS130" s="80"/>
      <c r="CT130" s="80"/>
      <c r="CU130" s="80"/>
      <c r="CV130" s="80"/>
      <c r="CW130" s="80"/>
      <c r="CX130" s="80"/>
      <c r="CY130" s="80"/>
      <c r="CZ130" s="80"/>
      <c r="DA130" s="80"/>
      <c r="DB130" s="80"/>
      <c r="DC130" s="80"/>
      <c r="DD130" s="80"/>
      <c r="DE130" s="80"/>
      <c r="DF130" s="80"/>
      <c r="DG130" s="80"/>
      <c r="DH130" s="80"/>
      <c r="DI130" s="80"/>
      <c r="DJ130" s="80"/>
      <c r="DK130" s="80"/>
      <c r="DL130" s="80"/>
      <c r="DM130" s="80"/>
      <c r="DN130" s="80"/>
      <c r="DO130" s="80"/>
      <c r="DP130" s="80"/>
      <c r="DQ130" s="80"/>
      <c r="DR130" s="80"/>
      <c r="DS130" s="80"/>
      <c r="DT130" s="80"/>
      <c r="DU130" s="80"/>
      <c r="DV130" s="80"/>
      <c r="DW130" s="80"/>
      <c r="DX130" s="80"/>
      <c r="DY130" s="80"/>
      <c r="DZ130" s="80"/>
      <c r="EA130" s="80"/>
      <c r="EB130" s="80"/>
      <c r="EC130" s="80"/>
      <c r="ED130" s="80"/>
      <c r="EE130" s="80"/>
      <c r="EF130" s="80"/>
      <c r="EG130" s="80"/>
      <c r="EH130" s="80"/>
      <c r="EI130" s="80"/>
      <c r="EJ130" s="80"/>
      <c r="EK130" s="80"/>
      <c r="EL130" s="80"/>
      <c r="EM130" s="80"/>
      <c r="EN130" s="80"/>
      <c r="EO130" s="80"/>
      <c r="EP130" s="80"/>
      <c r="EQ130" s="80"/>
      <c r="ER130" s="80"/>
      <c r="ES130" s="80"/>
      <c r="ET130" s="80"/>
      <c r="EU130" s="80"/>
      <c r="EV130" s="80"/>
      <c r="EW130" s="80"/>
      <c r="EX130" s="80"/>
      <c r="EY130" s="80"/>
      <c r="EZ130" s="80"/>
      <c r="FA130" s="80"/>
      <c r="FB130" s="80"/>
      <c r="FC130" s="80"/>
      <c r="FD130" s="80"/>
      <c r="FE130" s="80"/>
      <c r="FF130" s="80"/>
      <c r="FG130" s="80"/>
      <c r="FH130" s="80"/>
      <c r="FI130" s="80"/>
      <c r="FJ130" s="80"/>
      <c r="FK130" s="80"/>
      <c r="FL130" s="80"/>
      <c r="FM130" s="80"/>
      <c r="FN130" s="80"/>
      <c r="FO130" s="80"/>
      <c r="FP130" s="80"/>
      <c r="FQ130" s="80"/>
      <c r="FR130" s="80"/>
      <c r="FS130" s="80"/>
      <c r="FT130" s="80"/>
      <c r="FU130" s="80"/>
      <c r="FV130" s="80"/>
      <c r="FW130" s="80"/>
      <c r="FX130" s="80"/>
      <c r="FY130" s="80"/>
      <c r="FZ130" s="80"/>
    </row>
    <row r="131" spans="1:182" s="293" customFormat="1" hidden="1" outlineLevel="1" x14ac:dyDescent="0.2">
      <c r="A131" s="83" t="s">
        <v>186</v>
      </c>
      <c r="B131" s="84">
        <f>(1/B100^IF((48-B98+1)&lt;0,0,(48-B98+1))-(1/B100^IF(((B135)-B98+1)&lt;0,0,((B135)-B98+1))))/(B100-1)</f>
        <v>-9.9284478699314782</v>
      </c>
      <c r="C131" s="85">
        <f t="shared" ref="C131:BH131" si="557">(1/C100^IF((48-C98+1)&lt;0,0,(48-C98+1))-(1/C100^IF(((C135)-C98+1)&lt;0,0,((C135)-C98+1))))/(C100-1)</f>
        <v>-9.971820252898242</v>
      </c>
      <c r="D131" s="85">
        <f t="shared" si="557"/>
        <v>-10.015382107938397</v>
      </c>
      <c r="E131" s="85">
        <f t="shared" si="557"/>
        <v>-10.059134262760049</v>
      </c>
      <c r="F131" s="85">
        <f t="shared" si="557"/>
        <v>-10.103077548686924</v>
      </c>
      <c r="G131" s="85">
        <f t="shared" si="557"/>
        <v>-10.147212800674479</v>
      </c>
      <c r="H131" s="85">
        <f t="shared" si="557"/>
        <v>-10.191540857325606</v>
      </c>
      <c r="I131" s="85">
        <f t="shared" si="557"/>
        <v>-10.236062560906669</v>
      </c>
      <c r="J131" s="85">
        <f t="shared" si="557"/>
        <v>-10.280778757363464</v>
      </c>
      <c r="K131" s="85">
        <f t="shared" si="557"/>
        <v>-10.325690296337335</v>
      </c>
      <c r="L131" s="85">
        <f t="shared" si="557"/>
        <v>-10.370798031181257</v>
      </c>
      <c r="M131" s="85">
        <f t="shared" si="557"/>
        <v>-10.416102818976105</v>
      </c>
      <c r="N131" s="85">
        <f t="shared" si="557"/>
        <v>-10.461605520546838</v>
      </c>
      <c r="O131" s="85">
        <f t="shared" si="557"/>
        <v>-10.507307000478871</v>
      </c>
      <c r="P131" s="85">
        <f t="shared" si="557"/>
        <v>-10.553208127134743</v>
      </c>
      <c r="Q131" s="85">
        <f t="shared" si="557"/>
        <v>-10.599309772670306</v>
      </c>
      <c r="R131" s="85">
        <f t="shared" si="557"/>
        <v>-10.645612813051404</v>
      </c>
      <c r="S131" s="85">
        <f t="shared" si="557"/>
        <v>-10.692118128070657</v>
      </c>
      <c r="T131" s="85">
        <f t="shared" si="557"/>
        <v>-10.738826601363897</v>
      </c>
      <c r="U131" s="85">
        <f t="shared" si="557"/>
        <v>-10.78573912042728</v>
      </c>
      <c r="V131" s="85">
        <f t="shared" si="557"/>
        <v>-10.832856576633818</v>
      </c>
      <c r="W131" s="85">
        <f t="shared" si="557"/>
        <v>-10.88017986525068</v>
      </c>
      <c r="X131" s="85">
        <f t="shared" si="557"/>
        <v>-10.927709885455764</v>
      </c>
      <c r="Y131" s="85">
        <f t="shared" si="557"/>
        <v>-10.975447540355153</v>
      </c>
      <c r="Z131" s="85">
        <f t="shared" si="557"/>
        <v>-11.023393737000152</v>
      </c>
      <c r="AA131" s="85">
        <f t="shared" si="557"/>
        <v>-11.071549386404531</v>
      </c>
      <c r="AB131" s="85">
        <f t="shared" si="557"/>
        <v>-11.119915403561818</v>
      </c>
      <c r="AC131" s="85">
        <f t="shared" si="557"/>
        <v>-11.168492707462649</v>
      </c>
      <c r="AD131" s="85">
        <f t="shared" si="557"/>
        <v>-11.217282221112288</v>
      </c>
      <c r="AE131" s="85">
        <f t="shared" si="557"/>
        <v>-11.266284871548079</v>
      </c>
      <c r="AF131" s="85">
        <f t="shared" si="557"/>
        <v>-11.315501589857206</v>
      </c>
      <c r="AG131" s="85">
        <f t="shared" si="557"/>
        <v>-11.364933311194267</v>
      </c>
      <c r="AH131" s="85">
        <f t="shared" si="557"/>
        <v>-11.414580974799108</v>
      </c>
      <c r="AI131" s="85">
        <f t="shared" si="557"/>
        <v>-11.464445524014613</v>
      </c>
      <c r="AJ131" s="85">
        <f t="shared" si="557"/>
        <v>-11.514527906304647</v>
      </c>
      <c r="AK131" s="85">
        <f t="shared" si="557"/>
        <v>-11.564829073272147</v>
      </c>
      <c r="AL131" s="85">
        <f t="shared" si="557"/>
        <v>-11.615349980677049</v>
      </c>
      <c r="AM131" s="85">
        <f t="shared" si="557"/>
        <v>-11.666091588454478</v>
      </c>
      <c r="AN131" s="85">
        <f t="shared" si="557"/>
        <v>-10.717054860733144</v>
      </c>
      <c r="AO131" s="85">
        <f t="shared" si="557"/>
        <v>-9.7638722700386715</v>
      </c>
      <c r="AP131" s="85">
        <f t="shared" si="557"/>
        <v>-8.8065257051860577</v>
      </c>
      <c r="AQ131" s="85">
        <f t="shared" si="557"/>
        <v>-7.8449969758716236</v>
      </c>
      <c r="AR131" s="85">
        <f t="shared" si="557"/>
        <v>-6.8792678123274458</v>
      </c>
      <c r="AS131" s="85">
        <f t="shared" si="557"/>
        <v>-5.9093198649741243</v>
      </c>
      <c r="AT131" s="85">
        <f t="shared" si="557"/>
        <v>-4.9351347040723015</v>
      </c>
      <c r="AU131" s="85">
        <f t="shared" si="557"/>
        <v>-3.9566938193722483</v>
      </c>
      <c r="AV131" s="85">
        <f t="shared" si="557"/>
        <v>-2.9739786197624354</v>
      </c>
      <c r="AW131" s="85">
        <f t="shared" si="557"/>
        <v>-1.9869704329160223</v>
      </c>
      <c r="AX131" s="85">
        <f t="shared" si="557"/>
        <v>-0.99565050493622309</v>
      </c>
      <c r="AY131" s="85">
        <f t="shared" si="557"/>
        <v>0</v>
      </c>
      <c r="AZ131" s="85">
        <f t="shared" si="557"/>
        <v>0</v>
      </c>
      <c r="BA131" s="85">
        <f t="shared" si="557"/>
        <v>0</v>
      </c>
      <c r="BB131" s="85">
        <f t="shared" si="557"/>
        <v>0</v>
      </c>
      <c r="BC131" s="85">
        <f t="shared" si="557"/>
        <v>0</v>
      </c>
      <c r="BD131" s="85">
        <f t="shared" si="557"/>
        <v>0</v>
      </c>
      <c r="BE131" s="85">
        <f t="shared" si="557"/>
        <v>0</v>
      </c>
      <c r="BF131" s="85">
        <f t="shared" si="557"/>
        <v>0</v>
      </c>
      <c r="BG131" s="85">
        <f t="shared" si="557"/>
        <v>0</v>
      </c>
      <c r="BH131" s="85">
        <f t="shared" si="557"/>
        <v>0</v>
      </c>
      <c r="BI131" s="85">
        <f t="shared" ref="BI131:DP131" si="558">(1/BI100^IF((48-BI98+1)&lt;0,0,(48-BI98+1))-(1/BI100^IF(((BI135)-BI98+1)&lt;0,0,((BI135)-BI98+1))))/(BI100-1)</f>
        <v>0</v>
      </c>
      <c r="BJ131" s="85">
        <f t="shared" si="558"/>
        <v>0</v>
      </c>
      <c r="BK131" s="85">
        <f t="shared" si="558"/>
        <v>0</v>
      </c>
      <c r="BL131" s="85">
        <f t="shared" si="558"/>
        <v>0</v>
      </c>
      <c r="BM131" s="85">
        <f t="shared" si="558"/>
        <v>0</v>
      </c>
      <c r="BN131" s="85">
        <f t="shared" si="558"/>
        <v>0</v>
      </c>
      <c r="BO131" s="85">
        <f t="shared" si="558"/>
        <v>0</v>
      </c>
      <c r="BP131" s="85">
        <f t="shared" si="558"/>
        <v>0</v>
      </c>
      <c r="BQ131" s="85">
        <f t="shared" si="558"/>
        <v>0</v>
      </c>
      <c r="BR131" s="85">
        <f t="shared" si="558"/>
        <v>0</v>
      </c>
      <c r="BS131" s="85">
        <f t="shared" si="558"/>
        <v>0</v>
      </c>
      <c r="BT131" s="85">
        <f t="shared" si="558"/>
        <v>0</v>
      </c>
      <c r="BU131" s="85">
        <f t="shared" si="558"/>
        <v>0</v>
      </c>
      <c r="BV131" s="85">
        <f t="shared" si="558"/>
        <v>0</v>
      </c>
      <c r="BW131" s="85">
        <f t="shared" si="558"/>
        <v>0</v>
      </c>
      <c r="BX131" s="85">
        <f t="shared" si="558"/>
        <v>0</v>
      </c>
      <c r="BY131" s="85">
        <f t="shared" si="558"/>
        <v>0</v>
      </c>
      <c r="BZ131" s="85">
        <f t="shared" si="558"/>
        <v>0</v>
      </c>
      <c r="CA131" s="85">
        <f t="shared" si="558"/>
        <v>0</v>
      </c>
      <c r="CB131" s="85">
        <f t="shared" si="558"/>
        <v>0</v>
      </c>
      <c r="CC131" s="85">
        <f t="shared" si="558"/>
        <v>0</v>
      </c>
      <c r="CD131" s="85">
        <f t="shared" si="558"/>
        <v>0</v>
      </c>
      <c r="CE131" s="85">
        <f t="shared" si="558"/>
        <v>0</v>
      </c>
      <c r="CF131" s="85">
        <f t="shared" si="558"/>
        <v>0</v>
      </c>
      <c r="CG131" s="85">
        <f t="shared" si="558"/>
        <v>0</v>
      </c>
      <c r="CH131" s="85">
        <f t="shared" si="558"/>
        <v>0</v>
      </c>
      <c r="CI131" s="85">
        <f t="shared" si="558"/>
        <v>0</v>
      </c>
      <c r="CJ131" s="85">
        <f t="shared" si="558"/>
        <v>0</v>
      </c>
      <c r="CK131" s="85">
        <f t="shared" si="558"/>
        <v>0</v>
      </c>
      <c r="CL131" s="85">
        <f t="shared" si="558"/>
        <v>0</v>
      </c>
      <c r="CM131" s="85">
        <f t="shared" si="558"/>
        <v>0</v>
      </c>
      <c r="CN131" s="85">
        <f t="shared" si="558"/>
        <v>0</v>
      </c>
      <c r="CO131" s="85">
        <f t="shared" si="558"/>
        <v>0</v>
      </c>
      <c r="CP131" s="85">
        <f t="shared" si="558"/>
        <v>0</v>
      </c>
      <c r="CQ131" s="85">
        <f t="shared" si="558"/>
        <v>0</v>
      </c>
      <c r="CR131" s="85">
        <f t="shared" si="558"/>
        <v>0</v>
      </c>
      <c r="CS131" s="85">
        <f t="shared" si="558"/>
        <v>0</v>
      </c>
      <c r="CT131" s="85">
        <f t="shared" si="558"/>
        <v>0</v>
      </c>
      <c r="CU131" s="85">
        <f t="shared" si="558"/>
        <v>0</v>
      </c>
      <c r="CV131" s="85">
        <f t="shared" si="558"/>
        <v>0</v>
      </c>
      <c r="CW131" s="85">
        <f t="shared" si="558"/>
        <v>0</v>
      </c>
      <c r="CX131" s="85">
        <f t="shared" si="558"/>
        <v>0</v>
      </c>
      <c r="CY131" s="85">
        <f t="shared" si="558"/>
        <v>0</v>
      </c>
      <c r="CZ131" s="85">
        <f t="shared" si="558"/>
        <v>0</v>
      </c>
      <c r="DA131" s="85">
        <f t="shared" si="558"/>
        <v>0</v>
      </c>
      <c r="DB131" s="85">
        <f t="shared" si="558"/>
        <v>0</v>
      </c>
      <c r="DC131" s="85">
        <f t="shared" si="558"/>
        <v>0</v>
      </c>
      <c r="DD131" s="85">
        <f t="shared" si="558"/>
        <v>0</v>
      </c>
      <c r="DE131" s="85">
        <f t="shared" si="558"/>
        <v>0</v>
      </c>
      <c r="DF131" s="85">
        <f t="shared" si="558"/>
        <v>0</v>
      </c>
      <c r="DG131" s="85">
        <f t="shared" si="558"/>
        <v>0</v>
      </c>
      <c r="DH131" s="85">
        <f t="shared" si="558"/>
        <v>0</v>
      </c>
      <c r="DI131" s="85">
        <f t="shared" si="558"/>
        <v>0</v>
      </c>
      <c r="DJ131" s="85">
        <f t="shared" si="558"/>
        <v>0</v>
      </c>
      <c r="DK131" s="85">
        <f t="shared" si="558"/>
        <v>0</v>
      </c>
      <c r="DL131" s="85">
        <f t="shared" si="558"/>
        <v>0</v>
      </c>
      <c r="DM131" s="85">
        <f t="shared" si="558"/>
        <v>0</v>
      </c>
      <c r="DN131" s="85">
        <f t="shared" si="558"/>
        <v>0</v>
      </c>
      <c r="DO131" s="85">
        <f t="shared" si="558"/>
        <v>0</v>
      </c>
      <c r="DP131" s="85">
        <f t="shared" si="558"/>
        <v>0</v>
      </c>
      <c r="DQ131" s="85">
        <f t="shared" ref="DQ131:FY131" si="559">(1/DQ100^IF((48-DQ98+1)&lt;0,0,(48-DQ98+1))-(1/DQ100^IF(((DQ135)-DQ98+1)&lt;0,0,((DQ135)-DQ98+1))))/(DQ100-1)</f>
        <v>0</v>
      </c>
      <c r="DR131" s="85">
        <f t="shared" si="559"/>
        <v>0</v>
      </c>
      <c r="DS131" s="85">
        <f t="shared" si="559"/>
        <v>0</v>
      </c>
      <c r="DT131" s="85">
        <f t="shared" si="559"/>
        <v>0</v>
      </c>
      <c r="DU131" s="85">
        <f t="shared" si="559"/>
        <v>0</v>
      </c>
      <c r="DV131" s="85">
        <f t="shared" si="559"/>
        <v>0</v>
      </c>
      <c r="DW131" s="85">
        <f t="shared" si="559"/>
        <v>0</v>
      </c>
      <c r="DX131" s="85">
        <f t="shared" si="559"/>
        <v>0</v>
      </c>
      <c r="DY131" s="85">
        <f t="shared" si="559"/>
        <v>0</v>
      </c>
      <c r="DZ131" s="85">
        <f t="shared" si="559"/>
        <v>0</v>
      </c>
      <c r="EA131" s="85">
        <f t="shared" si="559"/>
        <v>0</v>
      </c>
      <c r="EB131" s="85">
        <f t="shared" si="559"/>
        <v>0</v>
      </c>
      <c r="EC131" s="85">
        <f t="shared" si="559"/>
        <v>0</v>
      </c>
      <c r="ED131" s="85">
        <f t="shared" si="559"/>
        <v>0</v>
      </c>
      <c r="EE131" s="85">
        <f t="shared" si="559"/>
        <v>0</v>
      </c>
      <c r="EF131" s="85">
        <f t="shared" si="559"/>
        <v>0</v>
      </c>
      <c r="EG131" s="85">
        <f t="shared" si="559"/>
        <v>0</v>
      </c>
      <c r="EH131" s="85">
        <f t="shared" si="559"/>
        <v>0</v>
      </c>
      <c r="EI131" s="85">
        <f t="shared" si="559"/>
        <v>0</v>
      </c>
      <c r="EJ131" s="85">
        <f t="shared" si="559"/>
        <v>0</v>
      </c>
      <c r="EK131" s="85">
        <f t="shared" si="559"/>
        <v>0</v>
      </c>
      <c r="EL131" s="85">
        <f t="shared" si="559"/>
        <v>0</v>
      </c>
      <c r="EM131" s="85">
        <f t="shared" si="559"/>
        <v>0</v>
      </c>
      <c r="EN131" s="85">
        <f t="shared" si="559"/>
        <v>0</v>
      </c>
      <c r="EO131" s="85">
        <f t="shared" si="559"/>
        <v>0</v>
      </c>
      <c r="EP131" s="85">
        <f t="shared" si="559"/>
        <v>0</v>
      </c>
      <c r="EQ131" s="85">
        <f t="shared" si="559"/>
        <v>0</v>
      </c>
      <c r="ER131" s="85">
        <f t="shared" si="559"/>
        <v>0</v>
      </c>
      <c r="ES131" s="85">
        <f t="shared" si="559"/>
        <v>0</v>
      </c>
      <c r="ET131" s="85">
        <f t="shared" si="559"/>
        <v>0</v>
      </c>
      <c r="EU131" s="85">
        <f t="shared" si="559"/>
        <v>0</v>
      </c>
      <c r="EV131" s="85">
        <f t="shared" si="559"/>
        <v>0</v>
      </c>
      <c r="EW131" s="85">
        <f t="shared" si="559"/>
        <v>0</v>
      </c>
      <c r="EX131" s="85">
        <f t="shared" si="559"/>
        <v>0</v>
      </c>
      <c r="EY131" s="85">
        <f t="shared" si="559"/>
        <v>0</v>
      </c>
      <c r="EZ131" s="85">
        <f t="shared" si="559"/>
        <v>0</v>
      </c>
      <c r="FA131" s="85">
        <f t="shared" si="559"/>
        <v>0</v>
      </c>
      <c r="FB131" s="85">
        <f t="shared" si="559"/>
        <v>0</v>
      </c>
      <c r="FC131" s="85">
        <f t="shared" si="559"/>
        <v>0</v>
      </c>
      <c r="FD131" s="85">
        <f t="shared" si="559"/>
        <v>0</v>
      </c>
      <c r="FE131" s="85">
        <f t="shared" si="559"/>
        <v>0</v>
      </c>
      <c r="FF131" s="85">
        <f t="shared" si="559"/>
        <v>0</v>
      </c>
      <c r="FG131" s="85">
        <f t="shared" si="559"/>
        <v>0</v>
      </c>
      <c r="FH131" s="85">
        <f t="shared" si="559"/>
        <v>0</v>
      </c>
      <c r="FI131" s="85">
        <f t="shared" si="559"/>
        <v>0</v>
      </c>
      <c r="FJ131" s="85">
        <f t="shared" si="559"/>
        <v>0</v>
      </c>
      <c r="FK131" s="85">
        <f t="shared" si="559"/>
        <v>0</v>
      </c>
      <c r="FL131" s="85">
        <f t="shared" si="559"/>
        <v>0</v>
      </c>
      <c r="FM131" s="85">
        <f t="shared" si="559"/>
        <v>0</v>
      </c>
      <c r="FN131" s="85">
        <f t="shared" si="559"/>
        <v>0</v>
      </c>
      <c r="FO131" s="85">
        <f t="shared" si="559"/>
        <v>0</v>
      </c>
      <c r="FP131" s="85">
        <f t="shared" si="559"/>
        <v>0</v>
      </c>
      <c r="FQ131" s="85">
        <f t="shared" si="559"/>
        <v>0</v>
      </c>
      <c r="FR131" s="85">
        <f t="shared" si="559"/>
        <v>0</v>
      </c>
      <c r="FS131" s="85">
        <f t="shared" si="559"/>
        <v>0</v>
      </c>
      <c r="FT131" s="85">
        <f t="shared" si="559"/>
        <v>0</v>
      </c>
      <c r="FU131" s="85">
        <f t="shared" si="559"/>
        <v>0</v>
      </c>
      <c r="FV131" s="85">
        <f t="shared" si="559"/>
        <v>0</v>
      </c>
      <c r="FW131" s="85">
        <f t="shared" si="559"/>
        <v>0</v>
      </c>
      <c r="FX131" s="85">
        <f t="shared" si="559"/>
        <v>0</v>
      </c>
      <c r="FY131" s="85">
        <f t="shared" si="559"/>
        <v>0</v>
      </c>
      <c r="FZ131" s="86"/>
    </row>
    <row r="132" spans="1:182" s="293" customFormat="1" hidden="1" outlineLevel="1" x14ac:dyDescent="0.2">
      <c r="A132" s="83" t="s">
        <v>187</v>
      </c>
      <c r="B132" s="84">
        <f>(1/B100^IF((60-B98+1)&lt;0,0,(60-B98+1))-(1/B100^IF((12+(B135)-B98+1)&lt;0,0,(12+(B135)-B98+1))))/(B100-1)</f>
        <v>-9.4224616778318886</v>
      </c>
      <c r="C132" s="85">
        <f t="shared" ref="C132:AW132" si="560">(1/C100^IF((60-C98+1)&lt;0,0,(60-C98+1))-(1/C100^IF((12+(C135)-C98+1)&lt;0,0,(12+(C135)-C98+1))))/(C100-1)</f>
        <v>-9.4636236622361771</v>
      </c>
      <c r="D132" s="85">
        <f t="shared" si="560"/>
        <v>-9.5049654625970703</v>
      </c>
      <c r="E132" s="85">
        <f t="shared" si="560"/>
        <v>-9.5464878644397242</v>
      </c>
      <c r="F132" s="85">
        <f t="shared" si="560"/>
        <v>-9.5881916567210421</v>
      </c>
      <c r="G132" s="85">
        <f t="shared" si="560"/>
        <v>-9.6300776318443884</v>
      </c>
      <c r="H132" s="85">
        <f t="shared" si="560"/>
        <v>-9.6721465856748328</v>
      </c>
      <c r="I132" s="85">
        <f t="shared" si="560"/>
        <v>-9.7143993175539727</v>
      </c>
      <c r="J132" s="85">
        <f t="shared" si="560"/>
        <v>-9.7568366303155614</v>
      </c>
      <c r="K132" s="85">
        <f t="shared" si="560"/>
        <v>-9.7994593303002429</v>
      </c>
      <c r="L132" s="85">
        <f t="shared" si="560"/>
        <v>-9.8422682273714699</v>
      </c>
      <c r="M132" s="85">
        <f t="shared" si="560"/>
        <v>-9.8852641349303383</v>
      </c>
      <c r="N132" s="85">
        <f t="shared" si="560"/>
        <v>-9.9284478699314782</v>
      </c>
      <c r="O132" s="85">
        <f t="shared" si="560"/>
        <v>-9.971820252898242</v>
      </c>
      <c r="P132" s="85">
        <f t="shared" si="560"/>
        <v>-10.015382107938397</v>
      </c>
      <c r="Q132" s="85">
        <f t="shared" si="560"/>
        <v>-10.059134262760049</v>
      </c>
      <c r="R132" s="85">
        <f t="shared" si="560"/>
        <v>-10.103077548686924</v>
      </c>
      <c r="S132" s="85">
        <f t="shared" si="560"/>
        <v>-10.147212800674479</v>
      </c>
      <c r="T132" s="85">
        <f t="shared" si="560"/>
        <v>-10.191540857325606</v>
      </c>
      <c r="U132" s="85">
        <f t="shared" si="560"/>
        <v>-10.236062560906669</v>
      </c>
      <c r="V132" s="85">
        <f t="shared" si="560"/>
        <v>-10.280778757363464</v>
      </c>
      <c r="W132" s="85">
        <f t="shared" si="560"/>
        <v>-10.325690296337335</v>
      </c>
      <c r="X132" s="85">
        <f t="shared" si="560"/>
        <v>-10.370798031181257</v>
      </c>
      <c r="Y132" s="85">
        <f t="shared" si="560"/>
        <v>-10.416102818976105</v>
      </c>
      <c r="Z132" s="85">
        <f t="shared" si="560"/>
        <v>-10.461605520546838</v>
      </c>
      <c r="AA132" s="85">
        <f t="shared" si="560"/>
        <v>-10.507307000478871</v>
      </c>
      <c r="AB132" s="85">
        <f t="shared" si="560"/>
        <v>-10.553208127134743</v>
      </c>
      <c r="AC132" s="85">
        <f t="shared" si="560"/>
        <v>-10.599309772670306</v>
      </c>
      <c r="AD132" s="85">
        <f t="shared" si="560"/>
        <v>-10.645612813051404</v>
      </c>
      <c r="AE132" s="85">
        <f t="shared" si="560"/>
        <v>-10.692118128070657</v>
      </c>
      <c r="AF132" s="85">
        <f t="shared" si="560"/>
        <v>-10.738826601363897</v>
      </c>
      <c r="AG132" s="85">
        <f t="shared" si="560"/>
        <v>-10.78573912042728</v>
      </c>
      <c r="AH132" s="85">
        <f t="shared" si="560"/>
        <v>-10.832856576633818</v>
      </c>
      <c r="AI132" s="85">
        <f t="shared" si="560"/>
        <v>-10.88017986525068</v>
      </c>
      <c r="AJ132" s="85">
        <f t="shared" si="560"/>
        <v>-10.927709885455764</v>
      </c>
      <c r="AK132" s="85">
        <f t="shared" si="560"/>
        <v>-10.975447540355153</v>
      </c>
      <c r="AL132" s="85">
        <f t="shared" si="560"/>
        <v>-11.023393737000152</v>
      </c>
      <c r="AM132" s="85">
        <f t="shared" si="560"/>
        <v>-11.071549386404531</v>
      </c>
      <c r="AN132" s="85">
        <f t="shared" si="560"/>
        <v>-11.119915403561818</v>
      </c>
      <c r="AO132" s="85">
        <f t="shared" si="560"/>
        <v>-11.168492707462649</v>
      </c>
      <c r="AP132" s="85">
        <f t="shared" si="560"/>
        <v>-11.217282221112288</v>
      </c>
      <c r="AQ132" s="85">
        <f t="shared" si="560"/>
        <v>-11.266284871548079</v>
      </c>
      <c r="AR132" s="85">
        <f t="shared" si="560"/>
        <v>-11.315501589857206</v>
      </c>
      <c r="AS132" s="85">
        <f t="shared" si="560"/>
        <v>-11.364933311194267</v>
      </c>
      <c r="AT132" s="85">
        <f t="shared" si="560"/>
        <v>-11.414580974799108</v>
      </c>
      <c r="AU132" s="85">
        <f t="shared" si="560"/>
        <v>-11.464445524014613</v>
      </c>
      <c r="AV132" s="85">
        <f t="shared" si="560"/>
        <v>-11.514527906304647</v>
      </c>
      <c r="AW132" s="85">
        <f t="shared" si="560"/>
        <v>-11.564829073272147</v>
      </c>
      <c r="AX132" s="85">
        <f>(1/AX100^IF((60-AX98+1+(AX98-48-1))&lt;0,0,(60-AX98+1+(AX98-48-1)))-(1/AX100^IF((12+(AX135)-AX98+1)&lt;0,0,(12+(AX135)-AX98+1))))/(AX100-1)</f>
        <v>-10.670441083518254</v>
      </c>
      <c r="AY132" s="85">
        <f t="shared" ref="AY132:BH132" si="561">(1/AY100^IF((60-AY98+1+(AY98-48-1))&lt;0,0,(60-AY98+1+(AY98-48-1)))-(1/AY100^IF((12+(AY135)-AY98+1)&lt;0,0,(12+(AY135)-AY98+1))))/(AY100-1)</f>
        <v>-11.666091588454478</v>
      </c>
      <c r="AZ132" s="85">
        <f t="shared" si="561"/>
        <v>-11.666091588454478</v>
      </c>
      <c r="BA132" s="85">
        <f t="shared" si="561"/>
        <v>-11.666091588454478</v>
      </c>
      <c r="BB132" s="85">
        <f t="shared" si="561"/>
        <v>-11.666091588454478</v>
      </c>
      <c r="BC132" s="85">
        <f t="shared" si="561"/>
        <v>-11.666091588454478</v>
      </c>
      <c r="BD132" s="85">
        <f t="shared" si="561"/>
        <v>-11.666091588454478</v>
      </c>
      <c r="BE132" s="85">
        <f t="shared" si="561"/>
        <v>-11.666091588454478</v>
      </c>
      <c r="BF132" s="85">
        <f t="shared" si="561"/>
        <v>-11.666091588454478</v>
      </c>
      <c r="BG132" s="85">
        <f t="shared" si="561"/>
        <v>-11.666091588454478</v>
      </c>
      <c r="BH132" s="85">
        <f t="shared" si="561"/>
        <v>-11.666091588454478</v>
      </c>
      <c r="BI132" s="85">
        <f t="shared" ref="BI132:DP132" si="562">(1/BI100^IF((60-BI98+1+(BI98-48-1))&lt;0,0,(60-BI98+1+(BI98-48-1)))-(1/BI100^IF((12+(BI135)-BI98+1)&lt;0,0,(12+(BI135)-BI98+1))))/(BI100-1)</f>
        <v>-11.666091588454478</v>
      </c>
      <c r="BJ132" s="85">
        <f t="shared" si="562"/>
        <v>-11.666091588454478</v>
      </c>
      <c r="BK132" s="85">
        <f t="shared" si="562"/>
        <v>-11.666091588454478</v>
      </c>
      <c r="BL132" s="85">
        <f t="shared" si="562"/>
        <v>-11.666091588454478</v>
      </c>
      <c r="BM132" s="85">
        <f t="shared" si="562"/>
        <v>-11.666091588454478</v>
      </c>
      <c r="BN132" s="85">
        <f t="shared" si="562"/>
        <v>-11.666091588454478</v>
      </c>
      <c r="BO132" s="85">
        <f t="shared" si="562"/>
        <v>-11.666091588454478</v>
      </c>
      <c r="BP132" s="85">
        <f t="shared" si="562"/>
        <v>-11.666091588454478</v>
      </c>
      <c r="BQ132" s="85">
        <f t="shared" si="562"/>
        <v>-11.666091588454478</v>
      </c>
      <c r="BR132" s="85">
        <f t="shared" si="562"/>
        <v>-11.666091588454478</v>
      </c>
      <c r="BS132" s="85">
        <f t="shared" si="562"/>
        <v>-11.666091588454478</v>
      </c>
      <c r="BT132" s="85">
        <f t="shared" si="562"/>
        <v>-11.666091588454478</v>
      </c>
      <c r="BU132" s="85">
        <f t="shared" si="562"/>
        <v>-11.666091588454478</v>
      </c>
      <c r="BV132" s="85">
        <f t="shared" si="562"/>
        <v>-11.666091588454478</v>
      </c>
      <c r="BW132" s="85">
        <f t="shared" si="562"/>
        <v>-11.666091588454478</v>
      </c>
      <c r="BX132" s="85">
        <f t="shared" si="562"/>
        <v>-11.666091588454478</v>
      </c>
      <c r="BY132" s="85">
        <f t="shared" si="562"/>
        <v>-11.666091588454478</v>
      </c>
      <c r="BZ132" s="85">
        <f t="shared" si="562"/>
        <v>-11.666091588454478</v>
      </c>
      <c r="CA132" s="85">
        <f t="shared" si="562"/>
        <v>-11.666091588454478</v>
      </c>
      <c r="CB132" s="85">
        <f t="shared" si="562"/>
        <v>-11.666091588454478</v>
      </c>
      <c r="CC132" s="85">
        <f t="shared" si="562"/>
        <v>-11.666091588454478</v>
      </c>
      <c r="CD132" s="85">
        <f t="shared" si="562"/>
        <v>-11.666091588454478</v>
      </c>
      <c r="CE132" s="85">
        <f t="shared" si="562"/>
        <v>-11.666091588454478</v>
      </c>
      <c r="CF132" s="85">
        <f t="shared" si="562"/>
        <v>-11.666091588454478</v>
      </c>
      <c r="CG132" s="85">
        <f t="shared" si="562"/>
        <v>-11.666091588454478</v>
      </c>
      <c r="CH132" s="85">
        <f t="shared" si="562"/>
        <v>-11.666091588454478</v>
      </c>
      <c r="CI132" s="85">
        <f t="shared" si="562"/>
        <v>-11.666091588454478</v>
      </c>
      <c r="CJ132" s="85">
        <f t="shared" si="562"/>
        <v>-11.666091588454478</v>
      </c>
      <c r="CK132" s="85">
        <f t="shared" si="562"/>
        <v>-11.666091588454478</v>
      </c>
      <c r="CL132" s="85">
        <f t="shared" si="562"/>
        <v>-11.666091588454478</v>
      </c>
      <c r="CM132" s="85">
        <f t="shared" si="562"/>
        <v>-11.666091588454478</v>
      </c>
      <c r="CN132" s="85">
        <f t="shared" si="562"/>
        <v>-11.666091588454478</v>
      </c>
      <c r="CO132" s="85">
        <f t="shared" si="562"/>
        <v>-11.666091588454478</v>
      </c>
      <c r="CP132" s="85">
        <f t="shared" si="562"/>
        <v>-11.666091588454478</v>
      </c>
      <c r="CQ132" s="85">
        <f t="shared" si="562"/>
        <v>-11.666091588454478</v>
      </c>
      <c r="CR132" s="85">
        <f t="shared" si="562"/>
        <v>-11.666091588454478</v>
      </c>
      <c r="CS132" s="85">
        <f t="shared" si="562"/>
        <v>-11.666091588454478</v>
      </c>
      <c r="CT132" s="85">
        <f t="shared" si="562"/>
        <v>-11.666091588454478</v>
      </c>
      <c r="CU132" s="85">
        <f t="shared" si="562"/>
        <v>-11.666091588454478</v>
      </c>
      <c r="CV132" s="85">
        <f t="shared" si="562"/>
        <v>-11.666091588454478</v>
      </c>
      <c r="CW132" s="85">
        <f t="shared" si="562"/>
        <v>-11.666091588454478</v>
      </c>
      <c r="CX132" s="85">
        <f t="shared" si="562"/>
        <v>-11.666091588454478</v>
      </c>
      <c r="CY132" s="85">
        <f t="shared" si="562"/>
        <v>-11.666091588454478</v>
      </c>
      <c r="CZ132" s="85">
        <f t="shared" si="562"/>
        <v>-11.666091588454478</v>
      </c>
      <c r="DA132" s="85">
        <f t="shared" si="562"/>
        <v>-11.666091588454478</v>
      </c>
      <c r="DB132" s="85">
        <f t="shared" si="562"/>
        <v>-11.666091588454478</v>
      </c>
      <c r="DC132" s="85">
        <f t="shared" si="562"/>
        <v>-11.666091588454478</v>
      </c>
      <c r="DD132" s="85">
        <f t="shared" si="562"/>
        <v>-11.666091588454478</v>
      </c>
      <c r="DE132" s="85">
        <f t="shared" si="562"/>
        <v>-11.666091588454478</v>
      </c>
      <c r="DF132" s="85">
        <f t="shared" si="562"/>
        <v>-11.666091588454478</v>
      </c>
      <c r="DG132" s="85">
        <f t="shared" si="562"/>
        <v>-11.666091588454478</v>
      </c>
      <c r="DH132" s="85">
        <f t="shared" si="562"/>
        <v>-11.666091588454478</v>
      </c>
      <c r="DI132" s="85">
        <f t="shared" si="562"/>
        <v>-11.666091588454478</v>
      </c>
      <c r="DJ132" s="85">
        <f t="shared" si="562"/>
        <v>-11.666091588454478</v>
      </c>
      <c r="DK132" s="85">
        <f t="shared" si="562"/>
        <v>-11.666091588454478</v>
      </c>
      <c r="DL132" s="85">
        <f t="shared" si="562"/>
        <v>-11.666091588454478</v>
      </c>
      <c r="DM132" s="85">
        <f t="shared" si="562"/>
        <v>-11.666091588454478</v>
      </c>
      <c r="DN132" s="85">
        <f t="shared" si="562"/>
        <v>-11.666091588454478</v>
      </c>
      <c r="DO132" s="85">
        <f t="shared" si="562"/>
        <v>-11.666091588454478</v>
      </c>
      <c r="DP132" s="85">
        <f t="shared" si="562"/>
        <v>-11.666091588454478</v>
      </c>
      <c r="DQ132" s="85">
        <f t="shared" ref="DQ132:FY132" si="563">(1/DQ100^IF((60-DQ98+1+(DQ98-48-1))&lt;0,0,(60-DQ98+1+(DQ98-48-1)))-(1/DQ100^IF((12+(DQ135)-DQ98+1)&lt;0,0,(12+(DQ135)-DQ98+1))))/(DQ100-1)</f>
        <v>-11.666091588454478</v>
      </c>
      <c r="DR132" s="85">
        <f t="shared" si="563"/>
        <v>-11.666091588454478</v>
      </c>
      <c r="DS132" s="85">
        <f t="shared" si="563"/>
        <v>-11.666091588454478</v>
      </c>
      <c r="DT132" s="85">
        <f t="shared" si="563"/>
        <v>-11.666091588454478</v>
      </c>
      <c r="DU132" s="85">
        <f t="shared" si="563"/>
        <v>-11.666091588454478</v>
      </c>
      <c r="DV132" s="85">
        <f t="shared" si="563"/>
        <v>-11.666091588454478</v>
      </c>
      <c r="DW132" s="85">
        <f t="shared" si="563"/>
        <v>-11.666091588454478</v>
      </c>
      <c r="DX132" s="85">
        <f t="shared" si="563"/>
        <v>-11.666091588454478</v>
      </c>
      <c r="DY132" s="85">
        <f t="shared" si="563"/>
        <v>-11.666091588454478</v>
      </c>
      <c r="DZ132" s="85">
        <f t="shared" si="563"/>
        <v>-11.666091588454478</v>
      </c>
      <c r="EA132" s="85">
        <f t="shared" si="563"/>
        <v>-11.666091588454478</v>
      </c>
      <c r="EB132" s="85">
        <f t="shared" si="563"/>
        <v>-11.666091588454478</v>
      </c>
      <c r="EC132" s="85">
        <f t="shared" si="563"/>
        <v>-11.666091588454478</v>
      </c>
      <c r="ED132" s="85">
        <f t="shared" si="563"/>
        <v>-11.666091588454478</v>
      </c>
      <c r="EE132" s="85">
        <f t="shared" si="563"/>
        <v>-11.666091588454478</v>
      </c>
      <c r="EF132" s="85">
        <f t="shared" si="563"/>
        <v>-11.666091588454478</v>
      </c>
      <c r="EG132" s="85">
        <f t="shared" si="563"/>
        <v>-11.666091588454478</v>
      </c>
      <c r="EH132" s="85">
        <f t="shared" si="563"/>
        <v>-11.666091588454478</v>
      </c>
      <c r="EI132" s="85">
        <f t="shared" si="563"/>
        <v>-11.666091588454478</v>
      </c>
      <c r="EJ132" s="85">
        <f t="shared" si="563"/>
        <v>-11.666091588454478</v>
      </c>
      <c r="EK132" s="85">
        <f t="shared" si="563"/>
        <v>-11.666091588454478</v>
      </c>
      <c r="EL132" s="85">
        <f t="shared" si="563"/>
        <v>-11.666091588454478</v>
      </c>
      <c r="EM132" s="85">
        <f t="shared" si="563"/>
        <v>-11.666091588454478</v>
      </c>
      <c r="EN132" s="85">
        <f t="shared" si="563"/>
        <v>-11.666091588454478</v>
      </c>
      <c r="EO132" s="85">
        <f t="shared" si="563"/>
        <v>-11.666091588454478</v>
      </c>
      <c r="EP132" s="85">
        <f t="shared" si="563"/>
        <v>-11.666091588454478</v>
      </c>
      <c r="EQ132" s="85">
        <f t="shared" si="563"/>
        <v>-11.666091588454478</v>
      </c>
      <c r="ER132" s="85">
        <f t="shared" si="563"/>
        <v>-11.666091588454478</v>
      </c>
      <c r="ES132" s="85">
        <f t="shared" si="563"/>
        <v>-11.666091588454478</v>
      </c>
      <c r="ET132" s="85">
        <f t="shared" si="563"/>
        <v>-11.666091588454478</v>
      </c>
      <c r="EU132" s="85">
        <f t="shared" si="563"/>
        <v>-11.666091588454478</v>
      </c>
      <c r="EV132" s="85">
        <f t="shared" si="563"/>
        <v>-11.666091588454478</v>
      </c>
      <c r="EW132" s="85">
        <f t="shared" si="563"/>
        <v>-11.666091588454478</v>
      </c>
      <c r="EX132" s="85">
        <f t="shared" si="563"/>
        <v>-11.666091588454478</v>
      </c>
      <c r="EY132" s="85">
        <f t="shared" si="563"/>
        <v>-11.666091588454478</v>
      </c>
      <c r="EZ132" s="85">
        <f t="shared" si="563"/>
        <v>-11.666091588454478</v>
      </c>
      <c r="FA132" s="85">
        <f t="shared" si="563"/>
        <v>-11.666091588454478</v>
      </c>
      <c r="FB132" s="85">
        <f t="shared" si="563"/>
        <v>-11.666091588454478</v>
      </c>
      <c r="FC132" s="85">
        <f t="shared" si="563"/>
        <v>-11.666091588454478</v>
      </c>
      <c r="FD132" s="85">
        <f t="shared" si="563"/>
        <v>-11.666091588454478</v>
      </c>
      <c r="FE132" s="85">
        <f t="shared" si="563"/>
        <v>-11.666091588454478</v>
      </c>
      <c r="FF132" s="85">
        <f t="shared" si="563"/>
        <v>-11.666091588454478</v>
      </c>
      <c r="FG132" s="85">
        <f t="shared" si="563"/>
        <v>-11.666091588454478</v>
      </c>
      <c r="FH132" s="85">
        <f t="shared" si="563"/>
        <v>-11.666091588454478</v>
      </c>
      <c r="FI132" s="85">
        <f t="shared" si="563"/>
        <v>-11.666091588454478</v>
      </c>
      <c r="FJ132" s="85">
        <f t="shared" si="563"/>
        <v>-11.666091588454478</v>
      </c>
      <c r="FK132" s="85">
        <f t="shared" si="563"/>
        <v>-11.666091588454478</v>
      </c>
      <c r="FL132" s="85">
        <f t="shared" si="563"/>
        <v>-11.666091588454478</v>
      </c>
      <c r="FM132" s="85">
        <f t="shared" si="563"/>
        <v>-11.666091588454478</v>
      </c>
      <c r="FN132" s="85">
        <f t="shared" si="563"/>
        <v>-11.666091588454478</v>
      </c>
      <c r="FO132" s="85">
        <f t="shared" si="563"/>
        <v>-11.666091588454478</v>
      </c>
      <c r="FP132" s="85">
        <f t="shared" si="563"/>
        <v>-11.666091588454478</v>
      </c>
      <c r="FQ132" s="85">
        <f t="shared" si="563"/>
        <v>-11.666091588454478</v>
      </c>
      <c r="FR132" s="85">
        <f t="shared" si="563"/>
        <v>-11.666091588454478</v>
      </c>
      <c r="FS132" s="85">
        <f t="shared" si="563"/>
        <v>-11.666091588454478</v>
      </c>
      <c r="FT132" s="85">
        <f t="shared" si="563"/>
        <v>-11.666091588454478</v>
      </c>
      <c r="FU132" s="85">
        <f t="shared" si="563"/>
        <v>-11.666091588454478</v>
      </c>
      <c r="FV132" s="85">
        <f t="shared" si="563"/>
        <v>-11.666091588454478</v>
      </c>
      <c r="FW132" s="85">
        <f t="shared" si="563"/>
        <v>-11.666091588454478</v>
      </c>
      <c r="FX132" s="85">
        <f t="shared" si="563"/>
        <v>-11.666091588454478</v>
      </c>
      <c r="FY132" s="85">
        <f t="shared" si="563"/>
        <v>-11.666091588454478</v>
      </c>
      <c r="FZ132" s="86"/>
    </row>
    <row r="133" spans="1:182" s="293" customFormat="1" hidden="1" outlineLevel="1" x14ac:dyDescent="0.2">
      <c r="A133" s="83" t="s">
        <v>188</v>
      </c>
      <c r="B133" s="84">
        <f>(1/B100^IF((72-B98+1)&lt;0,0,(72-B98+1))-(1/B100^IF((24+(B135)-B98+1)&lt;0,0,(24+(B135)-B98+1))))/(B100-1)</f>
        <v>-8.9422621978096046</v>
      </c>
      <c r="C133" s="85">
        <f t="shared" ref="C133:AW133" si="564">(1/C100^IF((72-C98+1)&lt;0,0,(72-C98+1))-(1/C100^IF((24+(C135)-C98+1)&lt;0,0,(24+(C135)-C98+1))))/(C100-1)</f>
        <v>-8.981326432795095</v>
      </c>
      <c r="D133" s="85">
        <f t="shared" si="564"/>
        <v>-9.0205613197276016</v>
      </c>
      <c r="E133" s="85">
        <f t="shared" si="564"/>
        <v>-9.0599676040995138</v>
      </c>
      <c r="F133" s="85">
        <f t="shared" si="564"/>
        <v>-9.0995460346598538</v>
      </c>
      <c r="G133" s="85">
        <f t="shared" si="564"/>
        <v>-9.1392973634283727</v>
      </c>
      <c r="H133" s="85">
        <f t="shared" si="564"/>
        <v>-9.1792223457102242</v>
      </c>
      <c r="I133" s="85">
        <f t="shared" si="564"/>
        <v>-9.2193217401101304</v>
      </c>
      <c r="J133" s="85">
        <f t="shared" si="564"/>
        <v>-9.2595963085465822</v>
      </c>
      <c r="K133" s="85">
        <f t="shared" si="564"/>
        <v>-9.3000468162667396</v>
      </c>
      <c r="L133" s="85">
        <f t="shared" si="564"/>
        <v>-9.3406740318605284</v>
      </c>
      <c r="M133" s="85">
        <f t="shared" si="564"/>
        <v>-9.381478727275665</v>
      </c>
      <c r="N133" s="85">
        <f t="shared" si="564"/>
        <v>-9.4224616778318886</v>
      </c>
      <c r="O133" s="85">
        <f t="shared" si="564"/>
        <v>-9.4636236622361771</v>
      </c>
      <c r="P133" s="85">
        <f t="shared" si="564"/>
        <v>-9.5049654625970703</v>
      </c>
      <c r="Q133" s="85">
        <f t="shared" si="564"/>
        <v>-9.5464878644397242</v>
      </c>
      <c r="R133" s="85">
        <f t="shared" si="564"/>
        <v>-9.5881916567210421</v>
      </c>
      <c r="S133" s="85">
        <f t="shared" si="564"/>
        <v>-9.6300776318443884</v>
      </c>
      <c r="T133" s="85">
        <f t="shared" si="564"/>
        <v>-9.6721465856748328</v>
      </c>
      <c r="U133" s="85">
        <f t="shared" si="564"/>
        <v>-9.7143993175539727</v>
      </c>
      <c r="V133" s="85">
        <f t="shared" si="564"/>
        <v>-9.7568366303155614</v>
      </c>
      <c r="W133" s="85">
        <f t="shared" si="564"/>
        <v>-9.7994593303002429</v>
      </c>
      <c r="X133" s="85">
        <f t="shared" si="564"/>
        <v>-9.8422682273714699</v>
      </c>
      <c r="Y133" s="85">
        <f t="shared" si="564"/>
        <v>-9.8852641349303383</v>
      </c>
      <c r="Z133" s="85">
        <f t="shared" si="564"/>
        <v>-9.9284478699314782</v>
      </c>
      <c r="AA133" s="85">
        <f t="shared" si="564"/>
        <v>-9.971820252898242</v>
      </c>
      <c r="AB133" s="85">
        <f t="shared" si="564"/>
        <v>-10.015382107938397</v>
      </c>
      <c r="AC133" s="85">
        <f t="shared" si="564"/>
        <v>-10.059134262760049</v>
      </c>
      <c r="AD133" s="85">
        <f t="shared" si="564"/>
        <v>-10.103077548686924</v>
      </c>
      <c r="AE133" s="85">
        <f t="shared" si="564"/>
        <v>-10.147212800674479</v>
      </c>
      <c r="AF133" s="85">
        <f t="shared" si="564"/>
        <v>-10.191540857325606</v>
      </c>
      <c r="AG133" s="85">
        <f t="shared" si="564"/>
        <v>-10.236062560906669</v>
      </c>
      <c r="AH133" s="85">
        <f t="shared" si="564"/>
        <v>-10.280778757363464</v>
      </c>
      <c r="AI133" s="85">
        <f t="shared" si="564"/>
        <v>-10.325690296337335</v>
      </c>
      <c r="AJ133" s="85">
        <f t="shared" si="564"/>
        <v>-10.370798031181257</v>
      </c>
      <c r="AK133" s="85">
        <f t="shared" si="564"/>
        <v>-10.416102818976105</v>
      </c>
      <c r="AL133" s="85">
        <f t="shared" si="564"/>
        <v>-10.461605520546838</v>
      </c>
      <c r="AM133" s="85">
        <f t="shared" si="564"/>
        <v>-10.507307000478871</v>
      </c>
      <c r="AN133" s="85">
        <f t="shared" si="564"/>
        <v>-10.553208127134743</v>
      </c>
      <c r="AO133" s="85">
        <f t="shared" si="564"/>
        <v>-10.599309772670306</v>
      </c>
      <c r="AP133" s="85">
        <f t="shared" si="564"/>
        <v>-10.645612813051404</v>
      </c>
      <c r="AQ133" s="85">
        <f t="shared" si="564"/>
        <v>-10.692118128070657</v>
      </c>
      <c r="AR133" s="85">
        <f t="shared" si="564"/>
        <v>-10.738826601363897</v>
      </c>
      <c r="AS133" s="85">
        <f t="shared" si="564"/>
        <v>-10.78573912042728</v>
      </c>
      <c r="AT133" s="85">
        <f t="shared" si="564"/>
        <v>-10.832856576633818</v>
      </c>
      <c r="AU133" s="85">
        <f t="shared" si="564"/>
        <v>-10.88017986525068</v>
      </c>
      <c r="AV133" s="85">
        <f t="shared" si="564"/>
        <v>-10.927709885455764</v>
      </c>
      <c r="AW133" s="85">
        <f t="shared" si="564"/>
        <v>-10.975447540355153</v>
      </c>
      <c r="AX133" s="85">
        <f>(1/AX100^IF((72-AX98+1+(AX98-48-1))&lt;0,0,(72-AX98+1+(AX98-48-1)))-(1/AX100^IF((24+(AX135)-AX98+1)&lt;0,0,(24+(AX135)-AX98+1))))/(AX100-1)</f>
        <v>-10.126640489245736</v>
      </c>
      <c r="AY133" s="85">
        <f t="shared" ref="AY133:BH133" si="565">(1/AY100^IF((72-AY98+1+(AY98-48-1))&lt;0,0,(72-AY98+1+(AY98-48-1)))-(1/AY100^IF((24+(AY135)-AY98+1)&lt;0,0,(24+(AY135)-AY98+1))))/(AY100-1)</f>
        <v>-11.071549386404531</v>
      </c>
      <c r="AZ133" s="85">
        <f t="shared" si="565"/>
        <v>-12.020586114125864</v>
      </c>
      <c r="BA133" s="85">
        <f t="shared" si="565"/>
        <v>-12.973768704820337</v>
      </c>
      <c r="BB133" s="85">
        <f t="shared" si="565"/>
        <v>-13.931115269672951</v>
      </c>
      <c r="BC133" s="85">
        <f t="shared" si="565"/>
        <v>-14.892643998987385</v>
      </c>
      <c r="BD133" s="85">
        <f t="shared" si="565"/>
        <v>-15.858373162531562</v>
      </c>
      <c r="BE133" s="85">
        <f t="shared" si="565"/>
        <v>-16.828321109884882</v>
      </c>
      <c r="BF133" s="85">
        <f t="shared" si="565"/>
        <v>-17.802506270786708</v>
      </c>
      <c r="BG133" s="85">
        <f t="shared" si="565"/>
        <v>-18.780947155486761</v>
      </c>
      <c r="BH133" s="85">
        <f t="shared" si="565"/>
        <v>-19.763662355096571</v>
      </c>
      <c r="BI133" s="85">
        <f t="shared" ref="BI133:DP133" si="566">(1/BI100^IF((72-BI98+1+(BI98-48-1))&lt;0,0,(72-BI98+1+(BI98-48-1)))-(1/BI100^IF((24+(BI135)-BI98+1)&lt;0,0,(24+(BI135)-BI98+1))))/(BI100-1)</f>
        <v>-20.750670541942984</v>
      </c>
      <c r="BJ133" s="85">
        <f t="shared" si="566"/>
        <v>-21.741990469922786</v>
      </c>
      <c r="BK133" s="85">
        <f t="shared" si="566"/>
        <v>-22.737640974859008</v>
      </c>
      <c r="BL133" s="85">
        <f t="shared" si="566"/>
        <v>-22.737640974859008</v>
      </c>
      <c r="BM133" s="85">
        <f t="shared" si="566"/>
        <v>-22.737640974859008</v>
      </c>
      <c r="BN133" s="85">
        <f t="shared" si="566"/>
        <v>-22.737640974859008</v>
      </c>
      <c r="BO133" s="85">
        <f t="shared" si="566"/>
        <v>-22.737640974859008</v>
      </c>
      <c r="BP133" s="85">
        <f t="shared" si="566"/>
        <v>-22.737640974859008</v>
      </c>
      <c r="BQ133" s="85">
        <f t="shared" si="566"/>
        <v>-22.737640974859008</v>
      </c>
      <c r="BR133" s="85">
        <f t="shared" si="566"/>
        <v>-22.737640974859008</v>
      </c>
      <c r="BS133" s="85">
        <f t="shared" si="566"/>
        <v>-22.737640974859008</v>
      </c>
      <c r="BT133" s="85">
        <f t="shared" si="566"/>
        <v>-22.737640974859008</v>
      </c>
      <c r="BU133" s="85">
        <f t="shared" si="566"/>
        <v>-22.737640974859008</v>
      </c>
      <c r="BV133" s="85">
        <f t="shared" si="566"/>
        <v>-22.737640974859008</v>
      </c>
      <c r="BW133" s="85">
        <f t="shared" si="566"/>
        <v>-22.737640974859008</v>
      </c>
      <c r="BX133" s="85">
        <f t="shared" si="566"/>
        <v>-22.737640974859008</v>
      </c>
      <c r="BY133" s="85">
        <f t="shared" si="566"/>
        <v>-22.737640974859008</v>
      </c>
      <c r="BZ133" s="85">
        <f t="shared" si="566"/>
        <v>-22.737640974859008</v>
      </c>
      <c r="CA133" s="85">
        <f t="shared" si="566"/>
        <v>-22.737640974859008</v>
      </c>
      <c r="CB133" s="85">
        <f t="shared" si="566"/>
        <v>-22.737640974859008</v>
      </c>
      <c r="CC133" s="85">
        <f t="shared" si="566"/>
        <v>-22.737640974859008</v>
      </c>
      <c r="CD133" s="85">
        <f t="shared" si="566"/>
        <v>-22.737640974859008</v>
      </c>
      <c r="CE133" s="85">
        <f t="shared" si="566"/>
        <v>-22.737640974859008</v>
      </c>
      <c r="CF133" s="85">
        <f t="shared" si="566"/>
        <v>-22.737640974859008</v>
      </c>
      <c r="CG133" s="85">
        <f t="shared" si="566"/>
        <v>-22.737640974859008</v>
      </c>
      <c r="CH133" s="85">
        <f t="shared" si="566"/>
        <v>-22.737640974859008</v>
      </c>
      <c r="CI133" s="85">
        <f t="shared" si="566"/>
        <v>-22.737640974859008</v>
      </c>
      <c r="CJ133" s="85">
        <f t="shared" si="566"/>
        <v>-22.737640974859008</v>
      </c>
      <c r="CK133" s="85">
        <f t="shared" si="566"/>
        <v>-22.737640974859008</v>
      </c>
      <c r="CL133" s="85">
        <f t="shared" si="566"/>
        <v>-22.737640974859008</v>
      </c>
      <c r="CM133" s="85">
        <f t="shared" si="566"/>
        <v>-22.737640974859008</v>
      </c>
      <c r="CN133" s="85">
        <f t="shared" si="566"/>
        <v>-22.737640974859008</v>
      </c>
      <c r="CO133" s="85">
        <f t="shared" si="566"/>
        <v>-22.737640974859008</v>
      </c>
      <c r="CP133" s="85">
        <f t="shared" si="566"/>
        <v>-22.737640974859008</v>
      </c>
      <c r="CQ133" s="85">
        <f t="shared" si="566"/>
        <v>-22.737640974859008</v>
      </c>
      <c r="CR133" s="85">
        <f t="shared" si="566"/>
        <v>-22.737640974859008</v>
      </c>
      <c r="CS133" s="85">
        <f t="shared" si="566"/>
        <v>-22.737640974859008</v>
      </c>
      <c r="CT133" s="85">
        <f t="shared" si="566"/>
        <v>-22.737640974859008</v>
      </c>
      <c r="CU133" s="85">
        <f t="shared" si="566"/>
        <v>-22.737640974859008</v>
      </c>
      <c r="CV133" s="85">
        <f t="shared" si="566"/>
        <v>-22.737640974859008</v>
      </c>
      <c r="CW133" s="85">
        <f t="shared" si="566"/>
        <v>-22.737640974859008</v>
      </c>
      <c r="CX133" s="85">
        <f t="shared" si="566"/>
        <v>-22.737640974859008</v>
      </c>
      <c r="CY133" s="85">
        <f t="shared" si="566"/>
        <v>-22.737640974859008</v>
      </c>
      <c r="CZ133" s="85">
        <f t="shared" si="566"/>
        <v>-22.737640974859008</v>
      </c>
      <c r="DA133" s="85">
        <f t="shared" si="566"/>
        <v>-22.737640974859008</v>
      </c>
      <c r="DB133" s="85">
        <f t="shared" si="566"/>
        <v>-22.737640974859008</v>
      </c>
      <c r="DC133" s="85">
        <f t="shared" si="566"/>
        <v>-22.737640974859008</v>
      </c>
      <c r="DD133" s="85">
        <f t="shared" si="566"/>
        <v>-22.737640974859008</v>
      </c>
      <c r="DE133" s="85">
        <f t="shared" si="566"/>
        <v>-22.737640974859008</v>
      </c>
      <c r="DF133" s="85">
        <f t="shared" si="566"/>
        <v>-22.737640974859008</v>
      </c>
      <c r="DG133" s="85">
        <f t="shared" si="566"/>
        <v>-22.737640974859008</v>
      </c>
      <c r="DH133" s="85">
        <f t="shared" si="566"/>
        <v>-22.737640974859008</v>
      </c>
      <c r="DI133" s="85">
        <f t="shared" si="566"/>
        <v>-22.737640974859008</v>
      </c>
      <c r="DJ133" s="85">
        <f t="shared" si="566"/>
        <v>-22.737640974859008</v>
      </c>
      <c r="DK133" s="85">
        <f t="shared" si="566"/>
        <v>-22.737640974859008</v>
      </c>
      <c r="DL133" s="85">
        <f t="shared" si="566"/>
        <v>-22.737640974859008</v>
      </c>
      <c r="DM133" s="85">
        <f t="shared" si="566"/>
        <v>-22.737640974859008</v>
      </c>
      <c r="DN133" s="85">
        <f t="shared" si="566"/>
        <v>-22.737640974859008</v>
      </c>
      <c r="DO133" s="85">
        <f t="shared" si="566"/>
        <v>-22.737640974859008</v>
      </c>
      <c r="DP133" s="85">
        <f t="shared" si="566"/>
        <v>-22.737640974859008</v>
      </c>
      <c r="DQ133" s="85">
        <f t="shared" ref="DQ133:FY133" si="567">(1/DQ100^IF((72-DQ98+1+(DQ98-48-1))&lt;0,0,(72-DQ98+1+(DQ98-48-1)))-(1/DQ100^IF((24+(DQ135)-DQ98+1)&lt;0,0,(24+(DQ135)-DQ98+1))))/(DQ100-1)</f>
        <v>-22.737640974859008</v>
      </c>
      <c r="DR133" s="85">
        <f t="shared" si="567"/>
        <v>-22.737640974859008</v>
      </c>
      <c r="DS133" s="85">
        <f t="shared" si="567"/>
        <v>-22.737640974859008</v>
      </c>
      <c r="DT133" s="85">
        <f t="shared" si="567"/>
        <v>-22.737640974859008</v>
      </c>
      <c r="DU133" s="85">
        <f t="shared" si="567"/>
        <v>-22.737640974859008</v>
      </c>
      <c r="DV133" s="85">
        <f t="shared" si="567"/>
        <v>-22.737640974859008</v>
      </c>
      <c r="DW133" s="85">
        <f t="shared" si="567"/>
        <v>-22.737640974859008</v>
      </c>
      <c r="DX133" s="85">
        <f t="shared" si="567"/>
        <v>-22.737640974859008</v>
      </c>
      <c r="DY133" s="85">
        <f t="shared" si="567"/>
        <v>-22.737640974859008</v>
      </c>
      <c r="DZ133" s="85">
        <f t="shared" si="567"/>
        <v>-22.737640974859008</v>
      </c>
      <c r="EA133" s="85">
        <f t="shared" si="567"/>
        <v>-22.737640974859008</v>
      </c>
      <c r="EB133" s="85">
        <f t="shared" si="567"/>
        <v>-22.737640974859008</v>
      </c>
      <c r="EC133" s="85">
        <f t="shared" si="567"/>
        <v>-22.737640974859008</v>
      </c>
      <c r="ED133" s="85">
        <f t="shared" si="567"/>
        <v>-22.737640974859008</v>
      </c>
      <c r="EE133" s="85">
        <f t="shared" si="567"/>
        <v>-22.737640974859008</v>
      </c>
      <c r="EF133" s="85">
        <f t="shared" si="567"/>
        <v>-22.737640974859008</v>
      </c>
      <c r="EG133" s="85">
        <f t="shared" si="567"/>
        <v>-22.737640974859008</v>
      </c>
      <c r="EH133" s="85">
        <f t="shared" si="567"/>
        <v>-22.737640974859008</v>
      </c>
      <c r="EI133" s="85">
        <f t="shared" si="567"/>
        <v>-22.737640974859008</v>
      </c>
      <c r="EJ133" s="85">
        <f t="shared" si="567"/>
        <v>-22.737640974859008</v>
      </c>
      <c r="EK133" s="85">
        <f t="shared" si="567"/>
        <v>-22.737640974859008</v>
      </c>
      <c r="EL133" s="85">
        <f t="shared" si="567"/>
        <v>-22.737640974859008</v>
      </c>
      <c r="EM133" s="85">
        <f t="shared" si="567"/>
        <v>-22.737640974859008</v>
      </c>
      <c r="EN133" s="85">
        <f t="shared" si="567"/>
        <v>-22.737640974859008</v>
      </c>
      <c r="EO133" s="85">
        <f t="shared" si="567"/>
        <v>-22.737640974859008</v>
      </c>
      <c r="EP133" s="85">
        <f t="shared" si="567"/>
        <v>-22.737640974859008</v>
      </c>
      <c r="EQ133" s="85">
        <f t="shared" si="567"/>
        <v>-22.737640974859008</v>
      </c>
      <c r="ER133" s="85">
        <f t="shared" si="567"/>
        <v>-22.737640974859008</v>
      </c>
      <c r="ES133" s="85">
        <f t="shared" si="567"/>
        <v>-22.737640974859008</v>
      </c>
      <c r="ET133" s="85">
        <f t="shared" si="567"/>
        <v>-22.737640974859008</v>
      </c>
      <c r="EU133" s="85">
        <f t="shared" si="567"/>
        <v>-22.737640974859008</v>
      </c>
      <c r="EV133" s="85">
        <f t="shared" si="567"/>
        <v>-22.737640974859008</v>
      </c>
      <c r="EW133" s="85">
        <f t="shared" si="567"/>
        <v>-22.737640974859008</v>
      </c>
      <c r="EX133" s="85">
        <f t="shared" si="567"/>
        <v>-22.737640974859008</v>
      </c>
      <c r="EY133" s="85">
        <f t="shared" si="567"/>
        <v>-22.737640974859008</v>
      </c>
      <c r="EZ133" s="85">
        <f t="shared" si="567"/>
        <v>-22.737640974859008</v>
      </c>
      <c r="FA133" s="85">
        <f t="shared" si="567"/>
        <v>-22.737640974859008</v>
      </c>
      <c r="FB133" s="85">
        <f t="shared" si="567"/>
        <v>-22.737640974859008</v>
      </c>
      <c r="FC133" s="85">
        <f t="shared" si="567"/>
        <v>-22.737640974859008</v>
      </c>
      <c r="FD133" s="85">
        <f t="shared" si="567"/>
        <v>-22.737640974859008</v>
      </c>
      <c r="FE133" s="85">
        <f t="shared" si="567"/>
        <v>-22.737640974859008</v>
      </c>
      <c r="FF133" s="85">
        <f t="shared" si="567"/>
        <v>-22.737640974859008</v>
      </c>
      <c r="FG133" s="85">
        <f t="shared" si="567"/>
        <v>-22.737640974859008</v>
      </c>
      <c r="FH133" s="85">
        <f t="shared" si="567"/>
        <v>-22.737640974859008</v>
      </c>
      <c r="FI133" s="85">
        <f t="shared" si="567"/>
        <v>-22.737640974859008</v>
      </c>
      <c r="FJ133" s="85">
        <f t="shared" si="567"/>
        <v>-22.737640974859008</v>
      </c>
      <c r="FK133" s="85">
        <f t="shared" si="567"/>
        <v>-22.737640974859008</v>
      </c>
      <c r="FL133" s="85">
        <f t="shared" si="567"/>
        <v>-22.737640974859008</v>
      </c>
      <c r="FM133" s="85">
        <f t="shared" si="567"/>
        <v>-22.737640974859008</v>
      </c>
      <c r="FN133" s="85">
        <f t="shared" si="567"/>
        <v>-22.737640974859008</v>
      </c>
      <c r="FO133" s="85">
        <f t="shared" si="567"/>
        <v>-22.737640974859008</v>
      </c>
      <c r="FP133" s="85">
        <f t="shared" si="567"/>
        <v>-22.737640974859008</v>
      </c>
      <c r="FQ133" s="85">
        <f t="shared" si="567"/>
        <v>-22.737640974859008</v>
      </c>
      <c r="FR133" s="85">
        <f t="shared" si="567"/>
        <v>-22.737640974859008</v>
      </c>
      <c r="FS133" s="85">
        <f t="shared" si="567"/>
        <v>-22.737640974859008</v>
      </c>
      <c r="FT133" s="85">
        <f t="shared" si="567"/>
        <v>-22.737640974859008</v>
      </c>
      <c r="FU133" s="85">
        <f t="shared" si="567"/>
        <v>-22.737640974859008</v>
      </c>
      <c r="FV133" s="85">
        <f t="shared" si="567"/>
        <v>-22.737640974859008</v>
      </c>
      <c r="FW133" s="85">
        <f t="shared" si="567"/>
        <v>-22.737640974859008</v>
      </c>
      <c r="FX133" s="85">
        <f t="shared" si="567"/>
        <v>-22.737640974859008</v>
      </c>
      <c r="FY133" s="85">
        <f t="shared" si="567"/>
        <v>-22.737640974859008</v>
      </c>
      <c r="FZ133" s="86"/>
    </row>
    <row r="134" spans="1:182" hidden="1" outlineLevel="1" x14ac:dyDescent="0.2">
      <c r="A134" s="87" t="s">
        <v>172</v>
      </c>
      <c r="B134" s="65">
        <f t="shared" ref="B134:AG134" si="568">IF(IF((5-1)*12+1&lt;B21,B21,(5-1)*12+1)&gt;B22,B22,IF((5-1)*12+1&lt;B21,B21,(5-1)*12+1))</f>
        <v>36</v>
      </c>
      <c r="C134" s="57">
        <f t="shared" si="568"/>
        <v>36</v>
      </c>
      <c r="D134" s="57">
        <f t="shared" si="568"/>
        <v>36</v>
      </c>
      <c r="E134" s="57">
        <f t="shared" si="568"/>
        <v>36</v>
      </c>
      <c r="F134" s="57">
        <f t="shared" si="568"/>
        <v>36</v>
      </c>
      <c r="G134" s="57">
        <f t="shared" si="568"/>
        <v>36</v>
      </c>
      <c r="H134" s="57">
        <f t="shared" si="568"/>
        <v>36</v>
      </c>
      <c r="I134" s="57">
        <f t="shared" si="568"/>
        <v>36</v>
      </c>
      <c r="J134" s="57">
        <f t="shared" si="568"/>
        <v>36</v>
      </c>
      <c r="K134" s="57">
        <f t="shared" si="568"/>
        <v>36</v>
      </c>
      <c r="L134" s="57">
        <f t="shared" si="568"/>
        <v>36</v>
      </c>
      <c r="M134" s="57">
        <f t="shared" si="568"/>
        <v>36</v>
      </c>
      <c r="N134" s="57">
        <f t="shared" si="568"/>
        <v>36</v>
      </c>
      <c r="O134" s="57">
        <f t="shared" si="568"/>
        <v>36</v>
      </c>
      <c r="P134" s="57">
        <f t="shared" si="568"/>
        <v>36</v>
      </c>
      <c r="Q134" s="57">
        <f t="shared" si="568"/>
        <v>36</v>
      </c>
      <c r="R134" s="57">
        <f t="shared" si="568"/>
        <v>36</v>
      </c>
      <c r="S134" s="57">
        <f t="shared" si="568"/>
        <v>36</v>
      </c>
      <c r="T134" s="57">
        <f t="shared" si="568"/>
        <v>36</v>
      </c>
      <c r="U134" s="57">
        <f t="shared" si="568"/>
        <v>36</v>
      </c>
      <c r="V134" s="57">
        <f t="shared" si="568"/>
        <v>36</v>
      </c>
      <c r="W134" s="57">
        <f t="shared" si="568"/>
        <v>36</v>
      </c>
      <c r="X134" s="57">
        <f t="shared" si="568"/>
        <v>36</v>
      </c>
      <c r="Y134" s="57">
        <f t="shared" si="568"/>
        <v>36</v>
      </c>
      <c r="Z134" s="57">
        <f t="shared" si="568"/>
        <v>36</v>
      </c>
      <c r="AA134" s="57">
        <f t="shared" si="568"/>
        <v>36</v>
      </c>
      <c r="AB134" s="57">
        <f t="shared" si="568"/>
        <v>36</v>
      </c>
      <c r="AC134" s="57">
        <f t="shared" si="568"/>
        <v>36</v>
      </c>
      <c r="AD134" s="57">
        <f t="shared" si="568"/>
        <v>36</v>
      </c>
      <c r="AE134" s="57">
        <f t="shared" si="568"/>
        <v>36</v>
      </c>
      <c r="AF134" s="57">
        <f t="shared" si="568"/>
        <v>36</v>
      </c>
      <c r="AG134" s="57">
        <f t="shared" si="568"/>
        <v>36</v>
      </c>
      <c r="AH134" s="57">
        <f t="shared" ref="AH134:BH134" si="569">IF(IF((5-1)*12+1&lt;AH21,AH21,(5-1)*12+1)&gt;AH22,AH22,IF((5-1)*12+1&lt;AH21,AH21,(5-1)*12+1))</f>
        <v>36</v>
      </c>
      <c r="AI134" s="57">
        <f t="shared" si="569"/>
        <v>36</v>
      </c>
      <c r="AJ134" s="57">
        <f t="shared" si="569"/>
        <v>36</v>
      </c>
      <c r="AK134" s="57">
        <f t="shared" si="569"/>
        <v>36</v>
      </c>
      <c r="AL134" s="57">
        <f t="shared" si="569"/>
        <v>36</v>
      </c>
      <c r="AM134" s="57">
        <f t="shared" si="569"/>
        <v>36</v>
      </c>
      <c r="AN134" s="57">
        <f t="shared" si="569"/>
        <v>36</v>
      </c>
      <c r="AO134" s="57">
        <f t="shared" si="569"/>
        <v>36</v>
      </c>
      <c r="AP134" s="57">
        <f t="shared" si="569"/>
        <v>36</v>
      </c>
      <c r="AQ134" s="57">
        <f t="shared" si="569"/>
        <v>36</v>
      </c>
      <c r="AR134" s="57">
        <f t="shared" si="569"/>
        <v>36</v>
      </c>
      <c r="AS134" s="57">
        <f t="shared" si="569"/>
        <v>36</v>
      </c>
      <c r="AT134" s="57">
        <f t="shared" si="569"/>
        <v>36</v>
      </c>
      <c r="AU134" s="57">
        <f t="shared" si="569"/>
        <v>36</v>
      </c>
      <c r="AV134" s="57">
        <f t="shared" si="569"/>
        <v>36</v>
      </c>
      <c r="AW134" s="57">
        <f t="shared" si="569"/>
        <v>36</v>
      </c>
      <c r="AX134" s="57">
        <f t="shared" si="569"/>
        <v>36</v>
      </c>
      <c r="AY134" s="57">
        <f t="shared" si="569"/>
        <v>36</v>
      </c>
      <c r="AZ134" s="57">
        <f t="shared" si="569"/>
        <v>36</v>
      </c>
      <c r="BA134" s="57">
        <f t="shared" si="569"/>
        <v>36</v>
      </c>
      <c r="BB134" s="57">
        <f t="shared" si="569"/>
        <v>36</v>
      </c>
      <c r="BC134" s="57">
        <f t="shared" si="569"/>
        <v>36</v>
      </c>
      <c r="BD134" s="57">
        <f t="shared" si="569"/>
        <v>36</v>
      </c>
      <c r="BE134" s="57">
        <f t="shared" si="569"/>
        <v>36</v>
      </c>
      <c r="BF134" s="57">
        <f t="shared" si="569"/>
        <v>36</v>
      </c>
      <c r="BG134" s="57">
        <f t="shared" si="569"/>
        <v>36</v>
      </c>
      <c r="BH134" s="57">
        <f t="shared" si="569"/>
        <v>36</v>
      </c>
      <c r="BI134" s="57">
        <f t="shared" ref="BI134:DP134" si="570">IF(IF((5-1)*12+1&lt;BI21,BI21,(5-1)*12+1)&gt;BI22,BI22,IF((5-1)*12+1&lt;BI21,BI21,(5-1)*12+1))</f>
        <v>36</v>
      </c>
      <c r="BJ134" s="57">
        <f t="shared" si="570"/>
        <v>36</v>
      </c>
      <c r="BK134" s="57">
        <f t="shared" si="570"/>
        <v>36</v>
      </c>
      <c r="BL134" s="57">
        <f t="shared" si="570"/>
        <v>36</v>
      </c>
      <c r="BM134" s="57">
        <f t="shared" si="570"/>
        <v>36</v>
      </c>
      <c r="BN134" s="57">
        <f t="shared" si="570"/>
        <v>36</v>
      </c>
      <c r="BO134" s="57">
        <f t="shared" si="570"/>
        <v>36</v>
      </c>
      <c r="BP134" s="57">
        <f t="shared" si="570"/>
        <v>36</v>
      </c>
      <c r="BQ134" s="57">
        <f t="shared" si="570"/>
        <v>36</v>
      </c>
      <c r="BR134" s="57">
        <f t="shared" si="570"/>
        <v>36</v>
      </c>
      <c r="BS134" s="57">
        <f t="shared" si="570"/>
        <v>36</v>
      </c>
      <c r="BT134" s="57">
        <f t="shared" si="570"/>
        <v>36</v>
      </c>
      <c r="BU134" s="57">
        <f t="shared" si="570"/>
        <v>36</v>
      </c>
      <c r="BV134" s="57">
        <f t="shared" si="570"/>
        <v>36</v>
      </c>
      <c r="BW134" s="57">
        <f t="shared" si="570"/>
        <v>36</v>
      </c>
      <c r="BX134" s="57">
        <f t="shared" si="570"/>
        <v>36</v>
      </c>
      <c r="BY134" s="57">
        <f t="shared" si="570"/>
        <v>36</v>
      </c>
      <c r="BZ134" s="57">
        <f t="shared" si="570"/>
        <v>36</v>
      </c>
      <c r="CA134" s="57">
        <f t="shared" si="570"/>
        <v>36</v>
      </c>
      <c r="CB134" s="57">
        <f t="shared" si="570"/>
        <v>36</v>
      </c>
      <c r="CC134" s="57">
        <f t="shared" si="570"/>
        <v>36</v>
      </c>
      <c r="CD134" s="57">
        <f t="shared" si="570"/>
        <v>36</v>
      </c>
      <c r="CE134" s="57">
        <f t="shared" si="570"/>
        <v>36</v>
      </c>
      <c r="CF134" s="57">
        <f t="shared" si="570"/>
        <v>36</v>
      </c>
      <c r="CG134" s="57">
        <f t="shared" si="570"/>
        <v>36</v>
      </c>
      <c r="CH134" s="57">
        <f t="shared" si="570"/>
        <v>36</v>
      </c>
      <c r="CI134" s="57">
        <f t="shared" si="570"/>
        <v>36</v>
      </c>
      <c r="CJ134" s="57">
        <f t="shared" si="570"/>
        <v>36</v>
      </c>
      <c r="CK134" s="57">
        <f t="shared" si="570"/>
        <v>36</v>
      </c>
      <c r="CL134" s="57">
        <f t="shared" si="570"/>
        <v>36</v>
      </c>
      <c r="CM134" s="57">
        <f t="shared" si="570"/>
        <v>36</v>
      </c>
      <c r="CN134" s="57">
        <f t="shared" si="570"/>
        <v>36</v>
      </c>
      <c r="CO134" s="57">
        <f t="shared" si="570"/>
        <v>36</v>
      </c>
      <c r="CP134" s="57">
        <f t="shared" si="570"/>
        <v>36</v>
      </c>
      <c r="CQ134" s="57">
        <f t="shared" si="570"/>
        <v>36</v>
      </c>
      <c r="CR134" s="57">
        <f t="shared" si="570"/>
        <v>36</v>
      </c>
      <c r="CS134" s="57">
        <f t="shared" si="570"/>
        <v>36</v>
      </c>
      <c r="CT134" s="57">
        <f t="shared" si="570"/>
        <v>36</v>
      </c>
      <c r="CU134" s="57">
        <f t="shared" si="570"/>
        <v>36</v>
      </c>
      <c r="CV134" s="57">
        <f t="shared" si="570"/>
        <v>36</v>
      </c>
      <c r="CW134" s="57">
        <f t="shared" si="570"/>
        <v>36</v>
      </c>
      <c r="CX134" s="57">
        <f t="shared" si="570"/>
        <v>36</v>
      </c>
      <c r="CY134" s="57">
        <f t="shared" si="570"/>
        <v>36</v>
      </c>
      <c r="CZ134" s="57">
        <f t="shared" si="570"/>
        <v>36</v>
      </c>
      <c r="DA134" s="57">
        <f t="shared" si="570"/>
        <v>36</v>
      </c>
      <c r="DB134" s="57">
        <f t="shared" si="570"/>
        <v>36</v>
      </c>
      <c r="DC134" s="57">
        <f t="shared" si="570"/>
        <v>36</v>
      </c>
      <c r="DD134" s="57">
        <f t="shared" si="570"/>
        <v>36</v>
      </c>
      <c r="DE134" s="57">
        <f t="shared" si="570"/>
        <v>36</v>
      </c>
      <c r="DF134" s="57">
        <f t="shared" si="570"/>
        <v>36</v>
      </c>
      <c r="DG134" s="57">
        <f t="shared" si="570"/>
        <v>36</v>
      </c>
      <c r="DH134" s="57">
        <f t="shared" si="570"/>
        <v>36</v>
      </c>
      <c r="DI134" s="57">
        <f t="shared" si="570"/>
        <v>36</v>
      </c>
      <c r="DJ134" s="57">
        <f t="shared" si="570"/>
        <v>36</v>
      </c>
      <c r="DK134" s="57">
        <f t="shared" si="570"/>
        <v>36</v>
      </c>
      <c r="DL134" s="57">
        <f t="shared" si="570"/>
        <v>36</v>
      </c>
      <c r="DM134" s="57">
        <f t="shared" si="570"/>
        <v>36</v>
      </c>
      <c r="DN134" s="57">
        <f t="shared" si="570"/>
        <v>36</v>
      </c>
      <c r="DO134" s="57">
        <f t="shared" si="570"/>
        <v>36</v>
      </c>
      <c r="DP134" s="57">
        <f t="shared" si="570"/>
        <v>36</v>
      </c>
      <c r="DQ134" s="57">
        <f t="shared" ref="DQ134:FY134" si="571">IF(IF((5-1)*12+1&lt;DQ21,DQ21,(5-1)*12+1)&gt;DQ22,DQ22,IF((5-1)*12+1&lt;DQ21,DQ21,(5-1)*12+1))</f>
        <v>36</v>
      </c>
      <c r="DR134" s="57">
        <f t="shared" si="571"/>
        <v>36</v>
      </c>
      <c r="DS134" s="57">
        <f t="shared" si="571"/>
        <v>36</v>
      </c>
      <c r="DT134" s="57">
        <f t="shared" si="571"/>
        <v>36</v>
      </c>
      <c r="DU134" s="57">
        <f t="shared" si="571"/>
        <v>36</v>
      </c>
      <c r="DV134" s="57">
        <f t="shared" si="571"/>
        <v>36</v>
      </c>
      <c r="DW134" s="57">
        <f t="shared" si="571"/>
        <v>36</v>
      </c>
      <c r="DX134" s="57">
        <f t="shared" si="571"/>
        <v>36</v>
      </c>
      <c r="DY134" s="57">
        <f t="shared" si="571"/>
        <v>36</v>
      </c>
      <c r="DZ134" s="57">
        <f t="shared" si="571"/>
        <v>36</v>
      </c>
      <c r="EA134" s="57">
        <f t="shared" si="571"/>
        <v>36</v>
      </c>
      <c r="EB134" s="57">
        <f t="shared" si="571"/>
        <v>36</v>
      </c>
      <c r="EC134" s="57">
        <f t="shared" si="571"/>
        <v>36</v>
      </c>
      <c r="ED134" s="57">
        <f t="shared" si="571"/>
        <v>36</v>
      </c>
      <c r="EE134" s="57">
        <f t="shared" si="571"/>
        <v>36</v>
      </c>
      <c r="EF134" s="57">
        <f t="shared" si="571"/>
        <v>36</v>
      </c>
      <c r="EG134" s="57">
        <f t="shared" si="571"/>
        <v>36</v>
      </c>
      <c r="EH134" s="57">
        <f t="shared" si="571"/>
        <v>36</v>
      </c>
      <c r="EI134" s="57">
        <f t="shared" si="571"/>
        <v>36</v>
      </c>
      <c r="EJ134" s="57">
        <f t="shared" si="571"/>
        <v>36</v>
      </c>
      <c r="EK134" s="57">
        <f t="shared" si="571"/>
        <v>36</v>
      </c>
      <c r="EL134" s="57">
        <f t="shared" si="571"/>
        <v>36</v>
      </c>
      <c r="EM134" s="57">
        <f t="shared" si="571"/>
        <v>36</v>
      </c>
      <c r="EN134" s="57">
        <f t="shared" si="571"/>
        <v>36</v>
      </c>
      <c r="EO134" s="57">
        <f t="shared" si="571"/>
        <v>36</v>
      </c>
      <c r="EP134" s="57">
        <f t="shared" si="571"/>
        <v>36</v>
      </c>
      <c r="EQ134" s="57">
        <f t="shared" si="571"/>
        <v>36</v>
      </c>
      <c r="ER134" s="57">
        <f t="shared" si="571"/>
        <v>36</v>
      </c>
      <c r="ES134" s="57">
        <f t="shared" si="571"/>
        <v>36</v>
      </c>
      <c r="ET134" s="57">
        <f t="shared" si="571"/>
        <v>36</v>
      </c>
      <c r="EU134" s="57">
        <f t="shared" si="571"/>
        <v>36</v>
      </c>
      <c r="EV134" s="57">
        <f t="shared" si="571"/>
        <v>36</v>
      </c>
      <c r="EW134" s="57">
        <f t="shared" si="571"/>
        <v>36</v>
      </c>
      <c r="EX134" s="57">
        <f t="shared" si="571"/>
        <v>36</v>
      </c>
      <c r="EY134" s="57">
        <f t="shared" si="571"/>
        <v>36</v>
      </c>
      <c r="EZ134" s="57">
        <f t="shared" si="571"/>
        <v>36</v>
      </c>
      <c r="FA134" s="57">
        <f t="shared" si="571"/>
        <v>36</v>
      </c>
      <c r="FB134" s="57">
        <f t="shared" si="571"/>
        <v>36</v>
      </c>
      <c r="FC134" s="57">
        <f t="shared" si="571"/>
        <v>36</v>
      </c>
      <c r="FD134" s="57">
        <f t="shared" si="571"/>
        <v>36</v>
      </c>
      <c r="FE134" s="57">
        <f t="shared" si="571"/>
        <v>36</v>
      </c>
      <c r="FF134" s="57">
        <f t="shared" si="571"/>
        <v>36</v>
      </c>
      <c r="FG134" s="57">
        <f t="shared" si="571"/>
        <v>36</v>
      </c>
      <c r="FH134" s="57">
        <f t="shared" si="571"/>
        <v>36</v>
      </c>
      <c r="FI134" s="57">
        <f t="shared" si="571"/>
        <v>36</v>
      </c>
      <c r="FJ134" s="57">
        <f t="shared" si="571"/>
        <v>36</v>
      </c>
      <c r="FK134" s="57">
        <f t="shared" si="571"/>
        <v>36</v>
      </c>
      <c r="FL134" s="57">
        <f t="shared" si="571"/>
        <v>36</v>
      </c>
      <c r="FM134" s="57">
        <f t="shared" si="571"/>
        <v>36</v>
      </c>
      <c r="FN134" s="57">
        <f t="shared" si="571"/>
        <v>36</v>
      </c>
      <c r="FO134" s="57">
        <f t="shared" si="571"/>
        <v>36</v>
      </c>
      <c r="FP134" s="57">
        <f t="shared" si="571"/>
        <v>36</v>
      </c>
      <c r="FQ134" s="57">
        <f t="shared" si="571"/>
        <v>36</v>
      </c>
      <c r="FR134" s="57">
        <f t="shared" si="571"/>
        <v>36</v>
      </c>
      <c r="FS134" s="57">
        <f t="shared" si="571"/>
        <v>36</v>
      </c>
      <c r="FT134" s="57">
        <f t="shared" si="571"/>
        <v>36</v>
      </c>
      <c r="FU134" s="57">
        <f t="shared" si="571"/>
        <v>36</v>
      </c>
      <c r="FV134" s="57">
        <f t="shared" si="571"/>
        <v>36</v>
      </c>
      <c r="FW134" s="57">
        <f t="shared" si="571"/>
        <v>36</v>
      </c>
      <c r="FX134" s="57">
        <f t="shared" si="571"/>
        <v>36</v>
      </c>
      <c r="FY134" s="57">
        <f t="shared" si="571"/>
        <v>36</v>
      </c>
      <c r="FZ134" s="59"/>
    </row>
    <row r="135" spans="1:182" hidden="1" outlineLevel="1" x14ac:dyDescent="0.2">
      <c r="A135" s="87" t="s">
        <v>173</v>
      </c>
      <c r="B135" s="65">
        <f t="shared" ref="B135:AG135" si="572">IF(IF((5)*12&lt;B21,B21,(5)*12)&gt;B22,B22,IF((5)*12&lt;B21,B21,(5)*12))</f>
        <v>36</v>
      </c>
      <c r="C135" s="57">
        <f t="shared" si="572"/>
        <v>36</v>
      </c>
      <c r="D135" s="57">
        <f t="shared" si="572"/>
        <v>36</v>
      </c>
      <c r="E135" s="57">
        <f t="shared" si="572"/>
        <v>36</v>
      </c>
      <c r="F135" s="57">
        <f t="shared" si="572"/>
        <v>36</v>
      </c>
      <c r="G135" s="57">
        <f t="shared" si="572"/>
        <v>36</v>
      </c>
      <c r="H135" s="57">
        <f t="shared" si="572"/>
        <v>36</v>
      </c>
      <c r="I135" s="57">
        <f t="shared" si="572"/>
        <v>36</v>
      </c>
      <c r="J135" s="57">
        <f t="shared" si="572"/>
        <v>36</v>
      </c>
      <c r="K135" s="57">
        <f t="shared" si="572"/>
        <v>36</v>
      </c>
      <c r="L135" s="57">
        <f t="shared" si="572"/>
        <v>36</v>
      </c>
      <c r="M135" s="57">
        <f t="shared" si="572"/>
        <v>36</v>
      </c>
      <c r="N135" s="57">
        <f t="shared" si="572"/>
        <v>36</v>
      </c>
      <c r="O135" s="57">
        <f t="shared" si="572"/>
        <v>36</v>
      </c>
      <c r="P135" s="57">
        <f t="shared" si="572"/>
        <v>36</v>
      </c>
      <c r="Q135" s="57">
        <f t="shared" si="572"/>
        <v>36</v>
      </c>
      <c r="R135" s="57">
        <f t="shared" si="572"/>
        <v>36</v>
      </c>
      <c r="S135" s="57">
        <f t="shared" si="572"/>
        <v>36</v>
      </c>
      <c r="T135" s="57">
        <f t="shared" si="572"/>
        <v>36</v>
      </c>
      <c r="U135" s="57">
        <f t="shared" si="572"/>
        <v>36</v>
      </c>
      <c r="V135" s="57">
        <f t="shared" si="572"/>
        <v>36</v>
      </c>
      <c r="W135" s="57">
        <f t="shared" si="572"/>
        <v>36</v>
      </c>
      <c r="X135" s="57">
        <f t="shared" si="572"/>
        <v>36</v>
      </c>
      <c r="Y135" s="57">
        <f t="shared" si="572"/>
        <v>36</v>
      </c>
      <c r="Z135" s="57">
        <f t="shared" si="572"/>
        <v>36</v>
      </c>
      <c r="AA135" s="57">
        <f t="shared" si="572"/>
        <v>36</v>
      </c>
      <c r="AB135" s="57">
        <f t="shared" si="572"/>
        <v>36</v>
      </c>
      <c r="AC135" s="57">
        <f t="shared" si="572"/>
        <v>36</v>
      </c>
      <c r="AD135" s="57">
        <f t="shared" si="572"/>
        <v>36</v>
      </c>
      <c r="AE135" s="57">
        <f t="shared" si="572"/>
        <v>36</v>
      </c>
      <c r="AF135" s="57">
        <f t="shared" si="572"/>
        <v>36</v>
      </c>
      <c r="AG135" s="57">
        <f t="shared" si="572"/>
        <v>36</v>
      </c>
      <c r="AH135" s="57">
        <f t="shared" ref="AH135:BH135" si="573">IF(IF((5)*12&lt;AH21,AH21,(5)*12)&gt;AH22,AH22,IF((5)*12&lt;AH21,AH21,(5)*12))</f>
        <v>36</v>
      </c>
      <c r="AI135" s="57">
        <f t="shared" si="573"/>
        <v>36</v>
      </c>
      <c r="AJ135" s="57">
        <f t="shared" si="573"/>
        <v>36</v>
      </c>
      <c r="AK135" s="57">
        <f t="shared" si="573"/>
        <v>36</v>
      </c>
      <c r="AL135" s="57">
        <f t="shared" si="573"/>
        <v>36</v>
      </c>
      <c r="AM135" s="57">
        <f t="shared" si="573"/>
        <v>36</v>
      </c>
      <c r="AN135" s="57">
        <f t="shared" si="573"/>
        <v>36</v>
      </c>
      <c r="AO135" s="57">
        <f t="shared" si="573"/>
        <v>36</v>
      </c>
      <c r="AP135" s="57">
        <f t="shared" si="573"/>
        <v>36</v>
      </c>
      <c r="AQ135" s="57">
        <f t="shared" si="573"/>
        <v>36</v>
      </c>
      <c r="AR135" s="57">
        <f t="shared" si="573"/>
        <v>36</v>
      </c>
      <c r="AS135" s="57">
        <f t="shared" si="573"/>
        <v>36</v>
      </c>
      <c r="AT135" s="57">
        <f t="shared" si="573"/>
        <v>36</v>
      </c>
      <c r="AU135" s="57">
        <f t="shared" si="573"/>
        <v>36</v>
      </c>
      <c r="AV135" s="57">
        <f t="shared" si="573"/>
        <v>36</v>
      </c>
      <c r="AW135" s="57">
        <f t="shared" si="573"/>
        <v>36</v>
      </c>
      <c r="AX135" s="57">
        <f t="shared" si="573"/>
        <v>36</v>
      </c>
      <c r="AY135" s="57">
        <f t="shared" si="573"/>
        <v>36</v>
      </c>
      <c r="AZ135" s="57">
        <f t="shared" si="573"/>
        <v>36</v>
      </c>
      <c r="BA135" s="57">
        <f t="shared" si="573"/>
        <v>36</v>
      </c>
      <c r="BB135" s="57">
        <f t="shared" si="573"/>
        <v>36</v>
      </c>
      <c r="BC135" s="57">
        <f t="shared" si="573"/>
        <v>36</v>
      </c>
      <c r="BD135" s="57">
        <f t="shared" si="573"/>
        <v>36</v>
      </c>
      <c r="BE135" s="57">
        <f t="shared" si="573"/>
        <v>36</v>
      </c>
      <c r="BF135" s="57">
        <f t="shared" si="573"/>
        <v>36</v>
      </c>
      <c r="BG135" s="57">
        <f t="shared" si="573"/>
        <v>36</v>
      </c>
      <c r="BH135" s="57">
        <f t="shared" si="573"/>
        <v>36</v>
      </c>
      <c r="BI135" s="57">
        <f t="shared" ref="BI135:DP135" si="574">IF(IF((5)*12&lt;BI21,BI21,(5)*12)&gt;BI22,BI22,IF((5)*12&lt;BI21,BI21,(5)*12))</f>
        <v>36</v>
      </c>
      <c r="BJ135" s="57">
        <f t="shared" si="574"/>
        <v>36</v>
      </c>
      <c r="BK135" s="57">
        <f t="shared" si="574"/>
        <v>36</v>
      </c>
      <c r="BL135" s="57">
        <f t="shared" si="574"/>
        <v>36</v>
      </c>
      <c r="BM135" s="57">
        <f t="shared" si="574"/>
        <v>36</v>
      </c>
      <c r="BN135" s="57">
        <f t="shared" si="574"/>
        <v>36</v>
      </c>
      <c r="BO135" s="57">
        <f t="shared" si="574"/>
        <v>36</v>
      </c>
      <c r="BP135" s="57">
        <f t="shared" si="574"/>
        <v>36</v>
      </c>
      <c r="BQ135" s="57">
        <f t="shared" si="574"/>
        <v>36</v>
      </c>
      <c r="BR135" s="57">
        <f t="shared" si="574"/>
        <v>36</v>
      </c>
      <c r="BS135" s="57">
        <f t="shared" si="574"/>
        <v>36</v>
      </c>
      <c r="BT135" s="57">
        <f t="shared" si="574"/>
        <v>36</v>
      </c>
      <c r="BU135" s="57">
        <f t="shared" si="574"/>
        <v>36</v>
      </c>
      <c r="BV135" s="57">
        <f t="shared" si="574"/>
        <v>36</v>
      </c>
      <c r="BW135" s="57">
        <f t="shared" si="574"/>
        <v>36</v>
      </c>
      <c r="BX135" s="57">
        <f t="shared" si="574"/>
        <v>36</v>
      </c>
      <c r="BY135" s="57">
        <f t="shared" si="574"/>
        <v>36</v>
      </c>
      <c r="BZ135" s="57">
        <f t="shared" si="574"/>
        <v>36</v>
      </c>
      <c r="CA135" s="57">
        <f t="shared" si="574"/>
        <v>36</v>
      </c>
      <c r="CB135" s="57">
        <f t="shared" si="574"/>
        <v>36</v>
      </c>
      <c r="CC135" s="57">
        <f t="shared" si="574"/>
        <v>36</v>
      </c>
      <c r="CD135" s="57">
        <f t="shared" si="574"/>
        <v>36</v>
      </c>
      <c r="CE135" s="57">
        <f t="shared" si="574"/>
        <v>36</v>
      </c>
      <c r="CF135" s="57">
        <f t="shared" si="574"/>
        <v>36</v>
      </c>
      <c r="CG135" s="57">
        <f t="shared" si="574"/>
        <v>36</v>
      </c>
      <c r="CH135" s="57">
        <f t="shared" si="574"/>
        <v>36</v>
      </c>
      <c r="CI135" s="57">
        <f t="shared" si="574"/>
        <v>36</v>
      </c>
      <c r="CJ135" s="57">
        <f t="shared" si="574"/>
        <v>36</v>
      </c>
      <c r="CK135" s="57">
        <f t="shared" si="574"/>
        <v>36</v>
      </c>
      <c r="CL135" s="57">
        <f t="shared" si="574"/>
        <v>36</v>
      </c>
      <c r="CM135" s="57">
        <f t="shared" si="574"/>
        <v>36</v>
      </c>
      <c r="CN135" s="57">
        <f t="shared" si="574"/>
        <v>36</v>
      </c>
      <c r="CO135" s="57">
        <f t="shared" si="574"/>
        <v>36</v>
      </c>
      <c r="CP135" s="57">
        <f t="shared" si="574"/>
        <v>36</v>
      </c>
      <c r="CQ135" s="57">
        <f t="shared" si="574"/>
        <v>36</v>
      </c>
      <c r="CR135" s="57">
        <f t="shared" si="574"/>
        <v>36</v>
      </c>
      <c r="CS135" s="57">
        <f t="shared" si="574"/>
        <v>36</v>
      </c>
      <c r="CT135" s="57">
        <f t="shared" si="574"/>
        <v>36</v>
      </c>
      <c r="CU135" s="57">
        <f t="shared" si="574"/>
        <v>36</v>
      </c>
      <c r="CV135" s="57">
        <f t="shared" si="574"/>
        <v>36</v>
      </c>
      <c r="CW135" s="57">
        <f t="shared" si="574"/>
        <v>36</v>
      </c>
      <c r="CX135" s="57">
        <f t="shared" si="574"/>
        <v>36</v>
      </c>
      <c r="CY135" s="57">
        <f t="shared" si="574"/>
        <v>36</v>
      </c>
      <c r="CZ135" s="57">
        <f t="shared" si="574"/>
        <v>36</v>
      </c>
      <c r="DA135" s="57">
        <f t="shared" si="574"/>
        <v>36</v>
      </c>
      <c r="DB135" s="57">
        <f t="shared" si="574"/>
        <v>36</v>
      </c>
      <c r="DC135" s="57">
        <f t="shared" si="574"/>
        <v>36</v>
      </c>
      <c r="DD135" s="57">
        <f t="shared" si="574"/>
        <v>36</v>
      </c>
      <c r="DE135" s="57">
        <f t="shared" si="574"/>
        <v>36</v>
      </c>
      <c r="DF135" s="57">
        <f t="shared" si="574"/>
        <v>36</v>
      </c>
      <c r="DG135" s="57">
        <f t="shared" si="574"/>
        <v>36</v>
      </c>
      <c r="DH135" s="57">
        <f t="shared" si="574"/>
        <v>36</v>
      </c>
      <c r="DI135" s="57">
        <f t="shared" si="574"/>
        <v>36</v>
      </c>
      <c r="DJ135" s="57">
        <f t="shared" si="574"/>
        <v>36</v>
      </c>
      <c r="DK135" s="57">
        <f t="shared" si="574"/>
        <v>36</v>
      </c>
      <c r="DL135" s="57">
        <f t="shared" si="574"/>
        <v>36</v>
      </c>
      <c r="DM135" s="57">
        <f t="shared" si="574"/>
        <v>36</v>
      </c>
      <c r="DN135" s="57">
        <f t="shared" si="574"/>
        <v>36</v>
      </c>
      <c r="DO135" s="57">
        <f t="shared" si="574"/>
        <v>36</v>
      </c>
      <c r="DP135" s="57">
        <f t="shared" si="574"/>
        <v>36</v>
      </c>
      <c r="DQ135" s="57">
        <f t="shared" ref="DQ135:FY135" si="575">IF(IF((5)*12&lt;DQ21,DQ21,(5)*12)&gt;DQ22,DQ22,IF((5)*12&lt;DQ21,DQ21,(5)*12))</f>
        <v>36</v>
      </c>
      <c r="DR135" s="57">
        <f t="shared" si="575"/>
        <v>36</v>
      </c>
      <c r="DS135" s="57">
        <f t="shared" si="575"/>
        <v>36</v>
      </c>
      <c r="DT135" s="57">
        <f t="shared" si="575"/>
        <v>36</v>
      </c>
      <c r="DU135" s="57">
        <f t="shared" si="575"/>
        <v>36</v>
      </c>
      <c r="DV135" s="57">
        <f t="shared" si="575"/>
        <v>36</v>
      </c>
      <c r="DW135" s="57">
        <f t="shared" si="575"/>
        <v>36</v>
      </c>
      <c r="DX135" s="57">
        <f t="shared" si="575"/>
        <v>36</v>
      </c>
      <c r="DY135" s="57">
        <f t="shared" si="575"/>
        <v>36</v>
      </c>
      <c r="DZ135" s="57">
        <f t="shared" si="575"/>
        <v>36</v>
      </c>
      <c r="EA135" s="57">
        <f t="shared" si="575"/>
        <v>36</v>
      </c>
      <c r="EB135" s="57">
        <f t="shared" si="575"/>
        <v>36</v>
      </c>
      <c r="EC135" s="57">
        <f t="shared" si="575"/>
        <v>36</v>
      </c>
      <c r="ED135" s="57">
        <f t="shared" si="575"/>
        <v>36</v>
      </c>
      <c r="EE135" s="57">
        <f t="shared" si="575"/>
        <v>36</v>
      </c>
      <c r="EF135" s="57">
        <f t="shared" si="575"/>
        <v>36</v>
      </c>
      <c r="EG135" s="57">
        <f t="shared" si="575"/>
        <v>36</v>
      </c>
      <c r="EH135" s="57">
        <f t="shared" si="575"/>
        <v>36</v>
      </c>
      <c r="EI135" s="57">
        <f t="shared" si="575"/>
        <v>36</v>
      </c>
      <c r="EJ135" s="57">
        <f t="shared" si="575"/>
        <v>36</v>
      </c>
      <c r="EK135" s="57">
        <f t="shared" si="575"/>
        <v>36</v>
      </c>
      <c r="EL135" s="57">
        <f t="shared" si="575"/>
        <v>36</v>
      </c>
      <c r="EM135" s="57">
        <f t="shared" si="575"/>
        <v>36</v>
      </c>
      <c r="EN135" s="57">
        <f t="shared" si="575"/>
        <v>36</v>
      </c>
      <c r="EO135" s="57">
        <f t="shared" si="575"/>
        <v>36</v>
      </c>
      <c r="EP135" s="57">
        <f t="shared" si="575"/>
        <v>36</v>
      </c>
      <c r="EQ135" s="57">
        <f t="shared" si="575"/>
        <v>36</v>
      </c>
      <c r="ER135" s="57">
        <f t="shared" si="575"/>
        <v>36</v>
      </c>
      <c r="ES135" s="57">
        <f t="shared" si="575"/>
        <v>36</v>
      </c>
      <c r="ET135" s="57">
        <f t="shared" si="575"/>
        <v>36</v>
      </c>
      <c r="EU135" s="57">
        <f t="shared" si="575"/>
        <v>36</v>
      </c>
      <c r="EV135" s="57">
        <f t="shared" si="575"/>
        <v>36</v>
      </c>
      <c r="EW135" s="57">
        <f t="shared" si="575"/>
        <v>36</v>
      </c>
      <c r="EX135" s="57">
        <f t="shared" si="575"/>
        <v>36</v>
      </c>
      <c r="EY135" s="57">
        <f t="shared" si="575"/>
        <v>36</v>
      </c>
      <c r="EZ135" s="57">
        <f t="shared" si="575"/>
        <v>36</v>
      </c>
      <c r="FA135" s="57">
        <f t="shared" si="575"/>
        <v>36</v>
      </c>
      <c r="FB135" s="57">
        <f t="shared" si="575"/>
        <v>36</v>
      </c>
      <c r="FC135" s="57">
        <f t="shared" si="575"/>
        <v>36</v>
      </c>
      <c r="FD135" s="57">
        <f t="shared" si="575"/>
        <v>36</v>
      </c>
      <c r="FE135" s="57">
        <f t="shared" si="575"/>
        <v>36</v>
      </c>
      <c r="FF135" s="57">
        <f t="shared" si="575"/>
        <v>36</v>
      </c>
      <c r="FG135" s="57">
        <f t="shared" si="575"/>
        <v>36</v>
      </c>
      <c r="FH135" s="57">
        <f t="shared" si="575"/>
        <v>36</v>
      </c>
      <c r="FI135" s="57">
        <f t="shared" si="575"/>
        <v>36</v>
      </c>
      <c r="FJ135" s="57">
        <f t="shared" si="575"/>
        <v>36</v>
      </c>
      <c r="FK135" s="57">
        <f t="shared" si="575"/>
        <v>36</v>
      </c>
      <c r="FL135" s="57">
        <f t="shared" si="575"/>
        <v>36</v>
      </c>
      <c r="FM135" s="57">
        <f t="shared" si="575"/>
        <v>36</v>
      </c>
      <c r="FN135" s="57">
        <f t="shared" si="575"/>
        <v>36</v>
      </c>
      <c r="FO135" s="57">
        <f t="shared" si="575"/>
        <v>36</v>
      </c>
      <c r="FP135" s="57">
        <f t="shared" si="575"/>
        <v>36</v>
      </c>
      <c r="FQ135" s="57">
        <f t="shared" si="575"/>
        <v>36</v>
      </c>
      <c r="FR135" s="57">
        <f t="shared" si="575"/>
        <v>36</v>
      </c>
      <c r="FS135" s="57">
        <f t="shared" si="575"/>
        <v>36</v>
      </c>
      <c r="FT135" s="57">
        <f t="shared" si="575"/>
        <v>36</v>
      </c>
      <c r="FU135" s="57">
        <f t="shared" si="575"/>
        <v>36</v>
      </c>
      <c r="FV135" s="57">
        <f t="shared" si="575"/>
        <v>36</v>
      </c>
      <c r="FW135" s="57">
        <f t="shared" si="575"/>
        <v>36</v>
      </c>
      <c r="FX135" s="57">
        <f t="shared" si="575"/>
        <v>36</v>
      </c>
      <c r="FY135" s="57">
        <f t="shared" si="575"/>
        <v>36</v>
      </c>
      <c r="FZ135" s="59"/>
    </row>
    <row r="136" spans="1:182" hidden="1" outlineLevel="1" x14ac:dyDescent="0.2"/>
    <row r="137" spans="1:182" collapsed="1" x14ac:dyDescent="0.2">
      <c r="A137" s="76" t="s">
        <v>268</v>
      </c>
      <c r="B137" s="89">
        <f>B2</f>
        <v>5.3699999999999998E-2</v>
      </c>
      <c r="C137" s="90">
        <f>B137</f>
        <v>5.3699999999999998E-2</v>
      </c>
      <c r="D137" s="90">
        <f t="shared" ref="D137:BH137" si="576">C137</f>
        <v>5.3699999999999998E-2</v>
      </c>
      <c r="E137" s="90">
        <f t="shared" si="576"/>
        <v>5.3699999999999998E-2</v>
      </c>
      <c r="F137" s="90">
        <f t="shared" si="576"/>
        <v>5.3699999999999998E-2</v>
      </c>
      <c r="G137" s="90">
        <f t="shared" si="576"/>
        <v>5.3699999999999998E-2</v>
      </c>
      <c r="H137" s="90">
        <f t="shared" si="576"/>
        <v>5.3699999999999998E-2</v>
      </c>
      <c r="I137" s="90">
        <f t="shared" si="576"/>
        <v>5.3699999999999998E-2</v>
      </c>
      <c r="J137" s="90">
        <f t="shared" si="576"/>
        <v>5.3699999999999998E-2</v>
      </c>
      <c r="K137" s="90">
        <f t="shared" si="576"/>
        <v>5.3699999999999998E-2</v>
      </c>
      <c r="L137" s="90">
        <f t="shared" si="576"/>
        <v>5.3699999999999998E-2</v>
      </c>
      <c r="M137" s="90">
        <f t="shared" si="576"/>
        <v>5.3699999999999998E-2</v>
      </c>
      <c r="N137" s="90">
        <f t="shared" si="576"/>
        <v>5.3699999999999998E-2</v>
      </c>
      <c r="O137" s="90">
        <f t="shared" si="576"/>
        <v>5.3699999999999998E-2</v>
      </c>
      <c r="P137" s="90">
        <f t="shared" si="576"/>
        <v>5.3699999999999998E-2</v>
      </c>
      <c r="Q137" s="90">
        <f t="shared" si="576"/>
        <v>5.3699999999999998E-2</v>
      </c>
      <c r="R137" s="90">
        <f t="shared" si="576"/>
        <v>5.3699999999999998E-2</v>
      </c>
      <c r="S137" s="90">
        <f t="shared" si="576"/>
        <v>5.3699999999999998E-2</v>
      </c>
      <c r="T137" s="90">
        <f t="shared" si="576"/>
        <v>5.3699999999999998E-2</v>
      </c>
      <c r="U137" s="90">
        <f t="shared" si="576"/>
        <v>5.3699999999999998E-2</v>
      </c>
      <c r="V137" s="90">
        <f t="shared" si="576"/>
        <v>5.3699999999999998E-2</v>
      </c>
      <c r="W137" s="90">
        <f t="shared" si="576"/>
        <v>5.3699999999999998E-2</v>
      </c>
      <c r="X137" s="90">
        <f t="shared" si="576"/>
        <v>5.3699999999999998E-2</v>
      </c>
      <c r="Y137" s="90">
        <f t="shared" si="576"/>
        <v>5.3699999999999998E-2</v>
      </c>
      <c r="Z137" s="90">
        <f t="shared" si="576"/>
        <v>5.3699999999999998E-2</v>
      </c>
      <c r="AA137" s="90">
        <f t="shared" si="576"/>
        <v>5.3699999999999998E-2</v>
      </c>
      <c r="AB137" s="90">
        <f t="shared" si="576"/>
        <v>5.3699999999999998E-2</v>
      </c>
      <c r="AC137" s="90">
        <f t="shared" si="576"/>
        <v>5.3699999999999998E-2</v>
      </c>
      <c r="AD137" s="90">
        <f t="shared" si="576"/>
        <v>5.3699999999999998E-2</v>
      </c>
      <c r="AE137" s="90">
        <f t="shared" si="576"/>
        <v>5.3699999999999998E-2</v>
      </c>
      <c r="AF137" s="90">
        <f t="shared" si="576"/>
        <v>5.3699999999999998E-2</v>
      </c>
      <c r="AG137" s="90">
        <f t="shared" si="576"/>
        <v>5.3699999999999998E-2</v>
      </c>
      <c r="AH137" s="90">
        <f t="shared" si="576"/>
        <v>5.3699999999999998E-2</v>
      </c>
      <c r="AI137" s="90">
        <f t="shared" si="576"/>
        <v>5.3699999999999998E-2</v>
      </c>
      <c r="AJ137" s="90">
        <f t="shared" si="576"/>
        <v>5.3699999999999998E-2</v>
      </c>
      <c r="AK137" s="90">
        <f t="shared" si="576"/>
        <v>5.3699999999999998E-2</v>
      </c>
      <c r="AL137" s="90">
        <f t="shared" si="576"/>
        <v>5.3699999999999998E-2</v>
      </c>
      <c r="AM137" s="90">
        <f t="shared" si="576"/>
        <v>5.3699999999999998E-2</v>
      </c>
      <c r="AN137" s="90">
        <f t="shared" si="576"/>
        <v>5.3699999999999998E-2</v>
      </c>
      <c r="AO137" s="90">
        <f t="shared" si="576"/>
        <v>5.3699999999999998E-2</v>
      </c>
      <c r="AP137" s="90">
        <f t="shared" si="576"/>
        <v>5.3699999999999998E-2</v>
      </c>
      <c r="AQ137" s="90">
        <f t="shared" si="576"/>
        <v>5.3699999999999998E-2</v>
      </c>
      <c r="AR137" s="90">
        <f t="shared" si="576"/>
        <v>5.3699999999999998E-2</v>
      </c>
      <c r="AS137" s="90">
        <f t="shared" si="576"/>
        <v>5.3699999999999998E-2</v>
      </c>
      <c r="AT137" s="90">
        <f t="shared" si="576"/>
        <v>5.3699999999999998E-2</v>
      </c>
      <c r="AU137" s="90">
        <f t="shared" si="576"/>
        <v>5.3699999999999998E-2</v>
      </c>
      <c r="AV137" s="90">
        <f t="shared" si="576"/>
        <v>5.3699999999999998E-2</v>
      </c>
      <c r="AW137" s="90">
        <f t="shared" si="576"/>
        <v>5.3699999999999998E-2</v>
      </c>
      <c r="AX137" s="90">
        <f t="shared" si="576"/>
        <v>5.3699999999999998E-2</v>
      </c>
      <c r="AY137" s="90">
        <f t="shared" si="576"/>
        <v>5.3699999999999998E-2</v>
      </c>
      <c r="AZ137" s="90">
        <f t="shared" si="576"/>
        <v>5.3699999999999998E-2</v>
      </c>
      <c r="BA137" s="90">
        <f t="shared" si="576"/>
        <v>5.3699999999999998E-2</v>
      </c>
      <c r="BB137" s="90">
        <f t="shared" si="576"/>
        <v>5.3699999999999998E-2</v>
      </c>
      <c r="BC137" s="90">
        <f t="shared" si="576"/>
        <v>5.3699999999999998E-2</v>
      </c>
      <c r="BD137" s="90">
        <f t="shared" si="576"/>
        <v>5.3699999999999998E-2</v>
      </c>
      <c r="BE137" s="90">
        <f t="shared" si="576"/>
        <v>5.3699999999999998E-2</v>
      </c>
      <c r="BF137" s="90">
        <f t="shared" si="576"/>
        <v>5.3699999999999998E-2</v>
      </c>
      <c r="BG137" s="90">
        <f t="shared" si="576"/>
        <v>5.3699999999999998E-2</v>
      </c>
      <c r="BH137" s="90">
        <f t="shared" si="576"/>
        <v>5.3699999999999998E-2</v>
      </c>
      <c r="BI137" s="90">
        <f t="shared" ref="BI137" si="577">BH137</f>
        <v>5.3699999999999998E-2</v>
      </c>
      <c r="BJ137" s="90">
        <f t="shared" ref="BJ137" si="578">BI137</f>
        <v>5.3699999999999998E-2</v>
      </c>
      <c r="BK137" s="90">
        <f t="shared" ref="BK137" si="579">BJ137</f>
        <v>5.3699999999999998E-2</v>
      </c>
      <c r="BL137" s="90">
        <f t="shared" ref="BL137" si="580">BK137</f>
        <v>5.3699999999999998E-2</v>
      </c>
      <c r="BM137" s="90">
        <f t="shared" ref="BM137" si="581">BL137</f>
        <v>5.3699999999999998E-2</v>
      </c>
      <c r="BN137" s="90">
        <f t="shared" ref="BN137" si="582">BM137</f>
        <v>5.3699999999999998E-2</v>
      </c>
      <c r="BO137" s="90">
        <f t="shared" ref="BO137" si="583">BN137</f>
        <v>5.3699999999999998E-2</v>
      </c>
      <c r="BP137" s="90">
        <f t="shared" ref="BP137" si="584">BO137</f>
        <v>5.3699999999999998E-2</v>
      </c>
      <c r="BQ137" s="90">
        <f t="shared" ref="BQ137" si="585">BP137</f>
        <v>5.3699999999999998E-2</v>
      </c>
      <c r="BR137" s="90">
        <f t="shared" ref="BR137" si="586">BQ137</f>
        <v>5.3699999999999998E-2</v>
      </c>
      <c r="BS137" s="90">
        <f t="shared" ref="BS137" si="587">BR137</f>
        <v>5.3699999999999998E-2</v>
      </c>
      <c r="BT137" s="90">
        <f t="shared" ref="BT137" si="588">BS137</f>
        <v>5.3699999999999998E-2</v>
      </c>
      <c r="BU137" s="90">
        <f t="shared" ref="BU137" si="589">BT137</f>
        <v>5.3699999999999998E-2</v>
      </c>
      <c r="BV137" s="90">
        <f t="shared" ref="BV137" si="590">BU137</f>
        <v>5.3699999999999998E-2</v>
      </c>
      <c r="BW137" s="90">
        <f t="shared" ref="BW137" si="591">BV137</f>
        <v>5.3699999999999998E-2</v>
      </c>
      <c r="BX137" s="90">
        <f t="shared" ref="BX137" si="592">BW137</f>
        <v>5.3699999999999998E-2</v>
      </c>
      <c r="BY137" s="90">
        <f t="shared" ref="BY137" si="593">BX137</f>
        <v>5.3699999999999998E-2</v>
      </c>
      <c r="BZ137" s="90">
        <f t="shared" ref="BZ137" si="594">BY137</f>
        <v>5.3699999999999998E-2</v>
      </c>
      <c r="CA137" s="90">
        <f t="shared" ref="CA137" si="595">BZ137</f>
        <v>5.3699999999999998E-2</v>
      </c>
      <c r="CB137" s="90">
        <f t="shared" ref="CB137" si="596">CA137</f>
        <v>5.3699999999999998E-2</v>
      </c>
      <c r="CC137" s="90">
        <f t="shared" ref="CC137" si="597">CB137</f>
        <v>5.3699999999999998E-2</v>
      </c>
      <c r="CD137" s="90">
        <f t="shared" ref="CD137" si="598">CC137</f>
        <v>5.3699999999999998E-2</v>
      </c>
      <c r="CE137" s="90">
        <f t="shared" ref="CE137" si="599">CD137</f>
        <v>5.3699999999999998E-2</v>
      </c>
      <c r="CF137" s="90">
        <f t="shared" ref="CF137" si="600">CE137</f>
        <v>5.3699999999999998E-2</v>
      </c>
      <c r="CG137" s="90">
        <f t="shared" ref="CG137" si="601">CF137</f>
        <v>5.3699999999999998E-2</v>
      </c>
      <c r="CH137" s="90">
        <f t="shared" ref="CH137" si="602">CG137</f>
        <v>5.3699999999999998E-2</v>
      </c>
      <c r="CI137" s="90">
        <f t="shared" ref="CI137" si="603">CH137</f>
        <v>5.3699999999999998E-2</v>
      </c>
      <c r="CJ137" s="90">
        <f t="shared" ref="CJ137" si="604">CI137</f>
        <v>5.3699999999999998E-2</v>
      </c>
      <c r="CK137" s="90">
        <f t="shared" ref="CK137" si="605">CJ137</f>
        <v>5.3699999999999998E-2</v>
      </c>
      <c r="CL137" s="90">
        <f t="shared" ref="CL137" si="606">CK137</f>
        <v>5.3699999999999998E-2</v>
      </c>
      <c r="CM137" s="90">
        <f t="shared" ref="CM137" si="607">CL137</f>
        <v>5.3699999999999998E-2</v>
      </c>
      <c r="CN137" s="90">
        <f t="shared" ref="CN137" si="608">CM137</f>
        <v>5.3699999999999998E-2</v>
      </c>
      <c r="CO137" s="90">
        <f t="shared" ref="CO137" si="609">CN137</f>
        <v>5.3699999999999998E-2</v>
      </c>
      <c r="CP137" s="90">
        <f t="shared" ref="CP137" si="610">CO137</f>
        <v>5.3699999999999998E-2</v>
      </c>
      <c r="CQ137" s="90">
        <f t="shared" ref="CQ137" si="611">CP137</f>
        <v>5.3699999999999998E-2</v>
      </c>
      <c r="CR137" s="90">
        <f t="shared" ref="CR137" si="612">CQ137</f>
        <v>5.3699999999999998E-2</v>
      </c>
      <c r="CS137" s="90">
        <f t="shared" ref="CS137" si="613">CR137</f>
        <v>5.3699999999999998E-2</v>
      </c>
      <c r="CT137" s="90">
        <f t="shared" ref="CT137" si="614">CS137</f>
        <v>5.3699999999999998E-2</v>
      </c>
      <c r="CU137" s="90">
        <f t="shared" ref="CU137" si="615">CT137</f>
        <v>5.3699999999999998E-2</v>
      </c>
      <c r="CV137" s="90">
        <f t="shared" ref="CV137" si="616">CU137</f>
        <v>5.3699999999999998E-2</v>
      </c>
      <c r="CW137" s="90">
        <f t="shared" ref="CW137" si="617">CV137</f>
        <v>5.3699999999999998E-2</v>
      </c>
      <c r="CX137" s="90">
        <f t="shared" ref="CX137" si="618">CW137</f>
        <v>5.3699999999999998E-2</v>
      </c>
      <c r="CY137" s="90">
        <f t="shared" ref="CY137" si="619">CX137</f>
        <v>5.3699999999999998E-2</v>
      </c>
      <c r="CZ137" s="90">
        <f t="shared" ref="CZ137" si="620">CY137</f>
        <v>5.3699999999999998E-2</v>
      </c>
      <c r="DA137" s="90">
        <f t="shared" ref="DA137" si="621">CZ137</f>
        <v>5.3699999999999998E-2</v>
      </c>
      <c r="DB137" s="90">
        <f t="shared" ref="DB137" si="622">DA137</f>
        <v>5.3699999999999998E-2</v>
      </c>
      <c r="DC137" s="90">
        <f t="shared" ref="DC137" si="623">DB137</f>
        <v>5.3699999999999998E-2</v>
      </c>
      <c r="DD137" s="90">
        <f t="shared" ref="DD137" si="624">DC137</f>
        <v>5.3699999999999998E-2</v>
      </c>
      <c r="DE137" s="90">
        <f t="shared" ref="DE137" si="625">DD137</f>
        <v>5.3699999999999998E-2</v>
      </c>
      <c r="DF137" s="90">
        <f t="shared" ref="DF137" si="626">DE137</f>
        <v>5.3699999999999998E-2</v>
      </c>
      <c r="DG137" s="90">
        <f t="shared" ref="DG137" si="627">DF137</f>
        <v>5.3699999999999998E-2</v>
      </c>
      <c r="DH137" s="90">
        <f t="shared" ref="DH137" si="628">DG137</f>
        <v>5.3699999999999998E-2</v>
      </c>
      <c r="DI137" s="90">
        <f t="shared" ref="DI137" si="629">DH137</f>
        <v>5.3699999999999998E-2</v>
      </c>
      <c r="DJ137" s="90">
        <f t="shared" ref="DJ137" si="630">DI137</f>
        <v>5.3699999999999998E-2</v>
      </c>
      <c r="DK137" s="90">
        <f t="shared" ref="DK137" si="631">DJ137</f>
        <v>5.3699999999999998E-2</v>
      </c>
      <c r="DL137" s="90">
        <f t="shared" ref="DL137" si="632">DK137</f>
        <v>5.3699999999999998E-2</v>
      </c>
      <c r="DM137" s="90">
        <f t="shared" ref="DM137" si="633">DL137</f>
        <v>5.3699999999999998E-2</v>
      </c>
      <c r="DN137" s="90">
        <f t="shared" ref="DN137" si="634">DM137</f>
        <v>5.3699999999999998E-2</v>
      </c>
      <c r="DO137" s="90">
        <f t="shared" ref="DO137" si="635">DN137</f>
        <v>5.3699999999999998E-2</v>
      </c>
      <c r="DP137" s="90">
        <f t="shared" ref="DP137" si="636">DO137</f>
        <v>5.3699999999999998E-2</v>
      </c>
      <c r="DQ137" s="90">
        <f t="shared" ref="DQ137" si="637">DP137</f>
        <v>5.3699999999999998E-2</v>
      </c>
      <c r="DR137" s="90">
        <f t="shared" ref="DR137" si="638">DQ137</f>
        <v>5.3699999999999998E-2</v>
      </c>
      <c r="DS137" s="90">
        <f t="shared" ref="DS137" si="639">DR137</f>
        <v>5.3699999999999998E-2</v>
      </c>
      <c r="DT137" s="90">
        <f t="shared" ref="DT137" si="640">DS137</f>
        <v>5.3699999999999998E-2</v>
      </c>
      <c r="DU137" s="90">
        <f t="shared" ref="DU137" si="641">DT137</f>
        <v>5.3699999999999998E-2</v>
      </c>
      <c r="DV137" s="90">
        <f t="shared" ref="DV137" si="642">DU137</f>
        <v>5.3699999999999998E-2</v>
      </c>
      <c r="DW137" s="90">
        <f t="shared" ref="DW137" si="643">DV137</f>
        <v>5.3699999999999998E-2</v>
      </c>
      <c r="DX137" s="90">
        <f t="shared" ref="DX137" si="644">DW137</f>
        <v>5.3699999999999998E-2</v>
      </c>
      <c r="DY137" s="90">
        <f t="shared" ref="DY137" si="645">DX137</f>
        <v>5.3699999999999998E-2</v>
      </c>
      <c r="DZ137" s="90">
        <f t="shared" ref="DZ137" si="646">DY137</f>
        <v>5.3699999999999998E-2</v>
      </c>
      <c r="EA137" s="90">
        <f t="shared" ref="EA137" si="647">DZ137</f>
        <v>5.3699999999999998E-2</v>
      </c>
      <c r="EB137" s="90">
        <f t="shared" ref="EB137" si="648">EA137</f>
        <v>5.3699999999999998E-2</v>
      </c>
      <c r="EC137" s="90">
        <f t="shared" ref="EC137" si="649">EB137</f>
        <v>5.3699999999999998E-2</v>
      </c>
      <c r="ED137" s="90">
        <f t="shared" ref="ED137" si="650">EC137</f>
        <v>5.3699999999999998E-2</v>
      </c>
      <c r="EE137" s="90">
        <f t="shared" ref="EE137" si="651">ED137</f>
        <v>5.3699999999999998E-2</v>
      </c>
      <c r="EF137" s="90">
        <f t="shared" ref="EF137" si="652">EE137</f>
        <v>5.3699999999999998E-2</v>
      </c>
      <c r="EG137" s="90">
        <f t="shared" ref="EG137" si="653">EF137</f>
        <v>5.3699999999999998E-2</v>
      </c>
      <c r="EH137" s="90">
        <f t="shared" ref="EH137" si="654">EG137</f>
        <v>5.3699999999999998E-2</v>
      </c>
      <c r="EI137" s="90">
        <f t="shared" ref="EI137" si="655">EH137</f>
        <v>5.3699999999999998E-2</v>
      </c>
      <c r="EJ137" s="90">
        <f t="shared" ref="EJ137" si="656">EI137</f>
        <v>5.3699999999999998E-2</v>
      </c>
      <c r="EK137" s="90">
        <f t="shared" ref="EK137" si="657">EJ137</f>
        <v>5.3699999999999998E-2</v>
      </c>
      <c r="EL137" s="90">
        <f t="shared" ref="EL137" si="658">EK137</f>
        <v>5.3699999999999998E-2</v>
      </c>
      <c r="EM137" s="90">
        <f t="shared" ref="EM137" si="659">EL137</f>
        <v>5.3699999999999998E-2</v>
      </c>
      <c r="EN137" s="90">
        <f t="shared" ref="EN137" si="660">EM137</f>
        <v>5.3699999999999998E-2</v>
      </c>
      <c r="EO137" s="90">
        <f t="shared" ref="EO137" si="661">EN137</f>
        <v>5.3699999999999998E-2</v>
      </c>
      <c r="EP137" s="90">
        <f t="shared" ref="EP137" si="662">EO137</f>
        <v>5.3699999999999998E-2</v>
      </c>
      <c r="EQ137" s="90">
        <f t="shared" ref="EQ137" si="663">EP137</f>
        <v>5.3699999999999998E-2</v>
      </c>
      <c r="ER137" s="90">
        <f t="shared" ref="ER137" si="664">EQ137</f>
        <v>5.3699999999999998E-2</v>
      </c>
      <c r="ES137" s="90">
        <f t="shared" ref="ES137" si="665">ER137</f>
        <v>5.3699999999999998E-2</v>
      </c>
      <c r="ET137" s="90">
        <f t="shared" ref="ET137" si="666">ES137</f>
        <v>5.3699999999999998E-2</v>
      </c>
      <c r="EU137" s="90">
        <f t="shared" ref="EU137" si="667">ET137</f>
        <v>5.3699999999999998E-2</v>
      </c>
      <c r="EV137" s="90">
        <f t="shared" ref="EV137" si="668">EU137</f>
        <v>5.3699999999999998E-2</v>
      </c>
      <c r="EW137" s="90">
        <f t="shared" ref="EW137" si="669">EV137</f>
        <v>5.3699999999999998E-2</v>
      </c>
      <c r="EX137" s="90">
        <f t="shared" ref="EX137" si="670">EW137</f>
        <v>5.3699999999999998E-2</v>
      </c>
      <c r="EY137" s="90">
        <f t="shared" ref="EY137" si="671">EX137</f>
        <v>5.3699999999999998E-2</v>
      </c>
      <c r="EZ137" s="90">
        <f t="shared" ref="EZ137" si="672">EY137</f>
        <v>5.3699999999999998E-2</v>
      </c>
      <c r="FA137" s="90">
        <f t="shared" ref="FA137" si="673">EZ137</f>
        <v>5.3699999999999998E-2</v>
      </c>
      <c r="FB137" s="90">
        <f t="shared" ref="FB137" si="674">FA137</f>
        <v>5.3699999999999998E-2</v>
      </c>
      <c r="FC137" s="90">
        <f t="shared" ref="FC137" si="675">FB137</f>
        <v>5.3699999999999998E-2</v>
      </c>
      <c r="FD137" s="90">
        <f t="shared" ref="FD137" si="676">FC137</f>
        <v>5.3699999999999998E-2</v>
      </c>
      <c r="FE137" s="90">
        <f t="shared" ref="FE137" si="677">FD137</f>
        <v>5.3699999999999998E-2</v>
      </c>
      <c r="FF137" s="90">
        <f t="shared" ref="FF137" si="678">FE137</f>
        <v>5.3699999999999998E-2</v>
      </c>
      <c r="FG137" s="90">
        <f t="shared" ref="FG137" si="679">FF137</f>
        <v>5.3699999999999998E-2</v>
      </c>
      <c r="FH137" s="90">
        <f t="shared" ref="FH137" si="680">FG137</f>
        <v>5.3699999999999998E-2</v>
      </c>
      <c r="FI137" s="90">
        <f t="shared" ref="FI137" si="681">FH137</f>
        <v>5.3699999999999998E-2</v>
      </c>
      <c r="FJ137" s="90">
        <f t="shared" ref="FJ137" si="682">FI137</f>
        <v>5.3699999999999998E-2</v>
      </c>
      <c r="FK137" s="90">
        <f t="shared" ref="FK137" si="683">FJ137</f>
        <v>5.3699999999999998E-2</v>
      </c>
      <c r="FL137" s="90">
        <f t="shared" ref="FL137" si="684">FK137</f>
        <v>5.3699999999999998E-2</v>
      </c>
      <c r="FM137" s="90">
        <f t="shared" ref="FM137" si="685">FL137</f>
        <v>5.3699999999999998E-2</v>
      </c>
      <c r="FN137" s="90">
        <f t="shared" ref="FN137" si="686">FM137</f>
        <v>5.3699999999999998E-2</v>
      </c>
      <c r="FO137" s="90">
        <f t="shared" ref="FO137" si="687">FN137</f>
        <v>5.3699999999999998E-2</v>
      </c>
      <c r="FP137" s="90">
        <f t="shared" ref="FP137" si="688">FO137</f>
        <v>5.3699999999999998E-2</v>
      </c>
      <c r="FQ137" s="90">
        <f t="shared" ref="FQ137" si="689">FP137</f>
        <v>5.3699999999999998E-2</v>
      </c>
      <c r="FR137" s="90">
        <f t="shared" ref="FR137" si="690">FQ137</f>
        <v>5.3699999999999998E-2</v>
      </c>
      <c r="FS137" s="90">
        <f t="shared" ref="FS137" si="691">FR137</f>
        <v>5.3699999999999998E-2</v>
      </c>
      <c r="FT137" s="90">
        <f t="shared" ref="FT137" si="692">FS137</f>
        <v>5.3699999999999998E-2</v>
      </c>
      <c r="FU137" s="90">
        <f t="shared" ref="FU137" si="693">FT137</f>
        <v>5.3699999999999998E-2</v>
      </c>
      <c r="FV137" s="90">
        <f t="shared" ref="FV137" si="694">FU137</f>
        <v>5.3699999999999998E-2</v>
      </c>
      <c r="FW137" s="90">
        <f t="shared" ref="FW137" si="695">FV137</f>
        <v>5.3699999999999998E-2</v>
      </c>
      <c r="FX137" s="90">
        <f t="shared" ref="FX137" si="696">FW137</f>
        <v>5.3699999999999998E-2</v>
      </c>
      <c r="FY137" s="90">
        <f t="shared" ref="FY137" si="697">FX137</f>
        <v>5.3699999999999998E-2</v>
      </c>
      <c r="FZ137" s="78"/>
    </row>
    <row r="138" spans="1:182" s="6" customFormat="1" x14ac:dyDescent="0.2">
      <c r="A138" s="73" t="s">
        <v>147</v>
      </c>
      <c r="B138" s="74">
        <v>0</v>
      </c>
      <c r="C138" s="74">
        <f>B138+1</f>
        <v>1</v>
      </c>
      <c r="D138" s="74">
        <f t="shared" ref="D138:BH138" si="698">C138+1</f>
        <v>2</v>
      </c>
      <c r="E138" s="74">
        <f t="shared" si="698"/>
        <v>3</v>
      </c>
      <c r="F138" s="74">
        <f t="shared" si="698"/>
        <v>4</v>
      </c>
      <c r="G138" s="74">
        <f t="shared" si="698"/>
        <v>5</v>
      </c>
      <c r="H138" s="74">
        <f t="shared" si="698"/>
        <v>6</v>
      </c>
      <c r="I138" s="74">
        <f t="shared" si="698"/>
        <v>7</v>
      </c>
      <c r="J138" s="74">
        <f t="shared" si="698"/>
        <v>8</v>
      </c>
      <c r="K138" s="74">
        <f t="shared" si="698"/>
        <v>9</v>
      </c>
      <c r="L138" s="74">
        <f t="shared" si="698"/>
        <v>10</v>
      </c>
      <c r="M138" s="74">
        <f t="shared" si="698"/>
        <v>11</v>
      </c>
      <c r="N138" s="74">
        <f t="shared" si="698"/>
        <v>12</v>
      </c>
      <c r="O138" s="74">
        <f t="shared" si="698"/>
        <v>13</v>
      </c>
      <c r="P138" s="74">
        <f t="shared" si="698"/>
        <v>14</v>
      </c>
      <c r="Q138" s="74">
        <f t="shared" si="698"/>
        <v>15</v>
      </c>
      <c r="R138" s="74">
        <f t="shared" si="698"/>
        <v>16</v>
      </c>
      <c r="S138" s="74">
        <f t="shared" si="698"/>
        <v>17</v>
      </c>
      <c r="T138" s="74">
        <f t="shared" si="698"/>
        <v>18</v>
      </c>
      <c r="U138" s="74">
        <f t="shared" si="698"/>
        <v>19</v>
      </c>
      <c r="V138" s="74">
        <f t="shared" si="698"/>
        <v>20</v>
      </c>
      <c r="W138" s="74">
        <f t="shared" si="698"/>
        <v>21</v>
      </c>
      <c r="X138" s="74">
        <f t="shared" si="698"/>
        <v>22</v>
      </c>
      <c r="Y138" s="74">
        <f t="shared" si="698"/>
        <v>23</v>
      </c>
      <c r="Z138" s="74">
        <f t="shared" si="698"/>
        <v>24</v>
      </c>
      <c r="AA138" s="74">
        <f t="shared" si="698"/>
        <v>25</v>
      </c>
      <c r="AB138" s="74">
        <f t="shared" si="698"/>
        <v>26</v>
      </c>
      <c r="AC138" s="74">
        <f t="shared" si="698"/>
        <v>27</v>
      </c>
      <c r="AD138" s="74">
        <f t="shared" si="698"/>
        <v>28</v>
      </c>
      <c r="AE138" s="74">
        <f t="shared" si="698"/>
        <v>29</v>
      </c>
      <c r="AF138" s="74">
        <f t="shared" si="698"/>
        <v>30</v>
      </c>
      <c r="AG138" s="74">
        <f t="shared" si="698"/>
        <v>31</v>
      </c>
      <c r="AH138" s="74">
        <f t="shared" si="698"/>
        <v>32</v>
      </c>
      <c r="AI138" s="74">
        <f t="shared" si="698"/>
        <v>33</v>
      </c>
      <c r="AJ138" s="74">
        <f t="shared" si="698"/>
        <v>34</v>
      </c>
      <c r="AK138" s="74">
        <f t="shared" si="698"/>
        <v>35</v>
      </c>
      <c r="AL138" s="74">
        <f t="shared" si="698"/>
        <v>36</v>
      </c>
      <c r="AM138" s="74">
        <f t="shared" si="698"/>
        <v>37</v>
      </c>
      <c r="AN138" s="74">
        <f t="shared" si="698"/>
        <v>38</v>
      </c>
      <c r="AO138" s="74">
        <f t="shared" si="698"/>
        <v>39</v>
      </c>
      <c r="AP138" s="74">
        <f t="shared" si="698"/>
        <v>40</v>
      </c>
      <c r="AQ138" s="74">
        <f t="shared" si="698"/>
        <v>41</v>
      </c>
      <c r="AR138" s="74">
        <f t="shared" si="698"/>
        <v>42</v>
      </c>
      <c r="AS138" s="74">
        <f t="shared" si="698"/>
        <v>43</v>
      </c>
      <c r="AT138" s="74">
        <f t="shared" si="698"/>
        <v>44</v>
      </c>
      <c r="AU138" s="74">
        <f t="shared" si="698"/>
        <v>45</v>
      </c>
      <c r="AV138" s="74">
        <f t="shared" si="698"/>
        <v>46</v>
      </c>
      <c r="AW138" s="74">
        <f t="shared" si="698"/>
        <v>47</v>
      </c>
      <c r="AX138" s="74">
        <f t="shared" si="698"/>
        <v>48</v>
      </c>
      <c r="AY138" s="74">
        <f t="shared" si="698"/>
        <v>49</v>
      </c>
      <c r="AZ138" s="74">
        <f t="shared" si="698"/>
        <v>50</v>
      </c>
      <c r="BA138" s="74">
        <f t="shared" si="698"/>
        <v>51</v>
      </c>
      <c r="BB138" s="74">
        <f t="shared" si="698"/>
        <v>52</v>
      </c>
      <c r="BC138" s="74">
        <f t="shared" si="698"/>
        <v>53</v>
      </c>
      <c r="BD138" s="74">
        <f t="shared" si="698"/>
        <v>54</v>
      </c>
      <c r="BE138" s="74">
        <f t="shared" si="698"/>
        <v>55</v>
      </c>
      <c r="BF138" s="74">
        <f t="shared" si="698"/>
        <v>56</v>
      </c>
      <c r="BG138" s="74">
        <f t="shared" si="698"/>
        <v>57</v>
      </c>
      <c r="BH138" s="74">
        <f t="shared" si="698"/>
        <v>58</v>
      </c>
      <c r="BI138" s="74">
        <f t="shared" ref="BI138" si="699">BH138+1</f>
        <v>59</v>
      </c>
      <c r="BJ138" s="74">
        <f t="shared" ref="BJ138" si="700">BI138+1</f>
        <v>60</v>
      </c>
      <c r="BK138" s="74">
        <f t="shared" ref="BK138" si="701">BJ138+1</f>
        <v>61</v>
      </c>
      <c r="BL138" s="74">
        <f t="shared" ref="BL138" si="702">BK138+1</f>
        <v>62</v>
      </c>
      <c r="BM138" s="74">
        <f t="shared" ref="BM138" si="703">BL138+1</f>
        <v>63</v>
      </c>
      <c r="BN138" s="74">
        <f t="shared" ref="BN138" si="704">BM138+1</f>
        <v>64</v>
      </c>
      <c r="BO138" s="74">
        <f t="shared" ref="BO138" si="705">BN138+1</f>
        <v>65</v>
      </c>
      <c r="BP138" s="74">
        <f t="shared" ref="BP138" si="706">BO138+1</f>
        <v>66</v>
      </c>
      <c r="BQ138" s="74">
        <f t="shared" ref="BQ138" si="707">BP138+1</f>
        <v>67</v>
      </c>
      <c r="BR138" s="74">
        <f t="shared" ref="BR138" si="708">BQ138+1</f>
        <v>68</v>
      </c>
      <c r="BS138" s="74">
        <f t="shared" ref="BS138" si="709">BR138+1</f>
        <v>69</v>
      </c>
      <c r="BT138" s="74">
        <f t="shared" ref="BT138" si="710">BS138+1</f>
        <v>70</v>
      </c>
      <c r="BU138" s="74">
        <f t="shared" ref="BU138" si="711">BT138+1</f>
        <v>71</v>
      </c>
      <c r="BV138" s="74">
        <f t="shared" ref="BV138" si="712">BU138+1</f>
        <v>72</v>
      </c>
      <c r="BW138" s="74">
        <f t="shared" ref="BW138" si="713">BV138+1</f>
        <v>73</v>
      </c>
      <c r="BX138" s="74">
        <f t="shared" ref="BX138" si="714">BW138+1</f>
        <v>74</v>
      </c>
      <c r="BY138" s="74">
        <f t="shared" ref="BY138" si="715">BX138+1</f>
        <v>75</v>
      </c>
      <c r="BZ138" s="74">
        <f t="shared" ref="BZ138" si="716">BY138+1</f>
        <v>76</v>
      </c>
      <c r="CA138" s="74">
        <f t="shared" ref="CA138" si="717">BZ138+1</f>
        <v>77</v>
      </c>
      <c r="CB138" s="74">
        <f t="shared" ref="CB138" si="718">CA138+1</f>
        <v>78</v>
      </c>
      <c r="CC138" s="74">
        <f t="shared" ref="CC138" si="719">CB138+1</f>
        <v>79</v>
      </c>
      <c r="CD138" s="74">
        <f t="shared" ref="CD138" si="720">CC138+1</f>
        <v>80</v>
      </c>
      <c r="CE138" s="74">
        <f t="shared" ref="CE138" si="721">CD138+1</f>
        <v>81</v>
      </c>
      <c r="CF138" s="74">
        <f t="shared" ref="CF138" si="722">CE138+1</f>
        <v>82</v>
      </c>
      <c r="CG138" s="74">
        <f t="shared" ref="CG138" si="723">CF138+1</f>
        <v>83</v>
      </c>
      <c r="CH138" s="74">
        <f t="shared" ref="CH138" si="724">CG138+1</f>
        <v>84</v>
      </c>
      <c r="CI138" s="74">
        <f t="shared" ref="CI138" si="725">CH138+1</f>
        <v>85</v>
      </c>
      <c r="CJ138" s="74">
        <f t="shared" ref="CJ138" si="726">CI138+1</f>
        <v>86</v>
      </c>
      <c r="CK138" s="74">
        <f t="shared" ref="CK138" si="727">CJ138+1</f>
        <v>87</v>
      </c>
      <c r="CL138" s="74">
        <f t="shared" ref="CL138" si="728">CK138+1</f>
        <v>88</v>
      </c>
      <c r="CM138" s="74">
        <f t="shared" ref="CM138" si="729">CL138+1</f>
        <v>89</v>
      </c>
      <c r="CN138" s="74">
        <f t="shared" ref="CN138" si="730">CM138+1</f>
        <v>90</v>
      </c>
      <c r="CO138" s="74">
        <f t="shared" ref="CO138" si="731">CN138+1</f>
        <v>91</v>
      </c>
      <c r="CP138" s="74">
        <f t="shared" ref="CP138" si="732">CO138+1</f>
        <v>92</v>
      </c>
      <c r="CQ138" s="74">
        <f t="shared" ref="CQ138" si="733">CP138+1</f>
        <v>93</v>
      </c>
      <c r="CR138" s="74">
        <f t="shared" ref="CR138" si="734">CQ138+1</f>
        <v>94</v>
      </c>
      <c r="CS138" s="74">
        <f t="shared" ref="CS138" si="735">CR138+1</f>
        <v>95</v>
      </c>
      <c r="CT138" s="74">
        <f t="shared" ref="CT138" si="736">CS138+1</f>
        <v>96</v>
      </c>
      <c r="CU138" s="74">
        <f t="shared" ref="CU138" si="737">CT138+1</f>
        <v>97</v>
      </c>
      <c r="CV138" s="74">
        <f t="shared" ref="CV138" si="738">CU138+1</f>
        <v>98</v>
      </c>
      <c r="CW138" s="74">
        <f t="shared" ref="CW138" si="739">CV138+1</f>
        <v>99</v>
      </c>
      <c r="CX138" s="74">
        <f t="shared" ref="CX138" si="740">CW138+1</f>
        <v>100</v>
      </c>
      <c r="CY138" s="74">
        <f t="shared" ref="CY138" si="741">CX138+1</f>
        <v>101</v>
      </c>
      <c r="CZ138" s="74">
        <f t="shared" ref="CZ138" si="742">CY138+1</f>
        <v>102</v>
      </c>
      <c r="DA138" s="74">
        <f t="shared" ref="DA138" si="743">CZ138+1</f>
        <v>103</v>
      </c>
      <c r="DB138" s="74">
        <f t="shared" ref="DB138" si="744">DA138+1</f>
        <v>104</v>
      </c>
      <c r="DC138" s="74">
        <f t="shared" ref="DC138" si="745">DB138+1</f>
        <v>105</v>
      </c>
      <c r="DD138" s="74">
        <f t="shared" ref="DD138" si="746">DC138+1</f>
        <v>106</v>
      </c>
      <c r="DE138" s="74">
        <f t="shared" ref="DE138" si="747">DD138+1</f>
        <v>107</v>
      </c>
      <c r="DF138" s="74">
        <f t="shared" ref="DF138" si="748">DE138+1</f>
        <v>108</v>
      </c>
      <c r="DG138" s="74">
        <f t="shared" ref="DG138" si="749">DF138+1</f>
        <v>109</v>
      </c>
      <c r="DH138" s="74">
        <f t="shared" ref="DH138" si="750">DG138+1</f>
        <v>110</v>
      </c>
      <c r="DI138" s="74">
        <f t="shared" ref="DI138" si="751">DH138+1</f>
        <v>111</v>
      </c>
      <c r="DJ138" s="74">
        <f t="shared" ref="DJ138" si="752">DI138+1</f>
        <v>112</v>
      </c>
      <c r="DK138" s="74">
        <f t="shared" ref="DK138" si="753">DJ138+1</f>
        <v>113</v>
      </c>
      <c r="DL138" s="74">
        <f t="shared" ref="DL138" si="754">DK138+1</f>
        <v>114</v>
      </c>
      <c r="DM138" s="74">
        <f t="shared" ref="DM138" si="755">DL138+1</f>
        <v>115</v>
      </c>
      <c r="DN138" s="74">
        <f t="shared" ref="DN138" si="756">DM138+1</f>
        <v>116</v>
      </c>
      <c r="DO138" s="74">
        <f t="shared" ref="DO138" si="757">DN138+1</f>
        <v>117</v>
      </c>
      <c r="DP138" s="74">
        <f t="shared" ref="DP138" si="758">DO138+1</f>
        <v>118</v>
      </c>
      <c r="DQ138" s="74">
        <f t="shared" ref="DQ138" si="759">DP138+1</f>
        <v>119</v>
      </c>
      <c r="DR138" s="74">
        <f t="shared" ref="DR138" si="760">DQ138+1</f>
        <v>120</v>
      </c>
      <c r="DS138" s="74">
        <f t="shared" ref="DS138" si="761">DR138+1</f>
        <v>121</v>
      </c>
      <c r="DT138" s="74">
        <f t="shared" ref="DT138" si="762">DS138+1</f>
        <v>122</v>
      </c>
      <c r="DU138" s="74">
        <f t="shared" ref="DU138" si="763">DT138+1</f>
        <v>123</v>
      </c>
      <c r="DV138" s="74">
        <f t="shared" ref="DV138" si="764">DU138+1</f>
        <v>124</v>
      </c>
      <c r="DW138" s="74">
        <f t="shared" ref="DW138" si="765">DV138+1</f>
        <v>125</v>
      </c>
      <c r="DX138" s="74">
        <f t="shared" ref="DX138" si="766">DW138+1</f>
        <v>126</v>
      </c>
      <c r="DY138" s="74">
        <f t="shared" ref="DY138" si="767">DX138+1</f>
        <v>127</v>
      </c>
      <c r="DZ138" s="74">
        <f t="shared" ref="DZ138" si="768">DY138+1</f>
        <v>128</v>
      </c>
      <c r="EA138" s="74">
        <f t="shared" ref="EA138" si="769">DZ138+1</f>
        <v>129</v>
      </c>
      <c r="EB138" s="74">
        <f t="shared" ref="EB138" si="770">EA138+1</f>
        <v>130</v>
      </c>
      <c r="EC138" s="74">
        <f t="shared" ref="EC138" si="771">EB138+1</f>
        <v>131</v>
      </c>
      <c r="ED138" s="74">
        <f t="shared" ref="ED138" si="772">EC138+1</f>
        <v>132</v>
      </c>
      <c r="EE138" s="74">
        <f t="shared" ref="EE138" si="773">ED138+1</f>
        <v>133</v>
      </c>
      <c r="EF138" s="74">
        <f t="shared" ref="EF138" si="774">EE138+1</f>
        <v>134</v>
      </c>
      <c r="EG138" s="74">
        <f t="shared" ref="EG138" si="775">EF138+1</f>
        <v>135</v>
      </c>
      <c r="EH138" s="74">
        <f t="shared" ref="EH138" si="776">EG138+1</f>
        <v>136</v>
      </c>
      <c r="EI138" s="74">
        <f t="shared" ref="EI138" si="777">EH138+1</f>
        <v>137</v>
      </c>
      <c r="EJ138" s="74">
        <f t="shared" ref="EJ138" si="778">EI138+1</f>
        <v>138</v>
      </c>
      <c r="EK138" s="74">
        <f t="shared" ref="EK138" si="779">EJ138+1</f>
        <v>139</v>
      </c>
      <c r="EL138" s="74">
        <f t="shared" ref="EL138" si="780">EK138+1</f>
        <v>140</v>
      </c>
      <c r="EM138" s="74">
        <f t="shared" ref="EM138" si="781">EL138+1</f>
        <v>141</v>
      </c>
      <c r="EN138" s="74">
        <f t="shared" ref="EN138" si="782">EM138+1</f>
        <v>142</v>
      </c>
      <c r="EO138" s="74">
        <f t="shared" ref="EO138" si="783">EN138+1</f>
        <v>143</v>
      </c>
      <c r="EP138" s="74">
        <f t="shared" ref="EP138" si="784">EO138+1</f>
        <v>144</v>
      </c>
      <c r="EQ138" s="74">
        <f t="shared" ref="EQ138" si="785">EP138+1</f>
        <v>145</v>
      </c>
      <c r="ER138" s="74">
        <f t="shared" ref="ER138" si="786">EQ138+1</f>
        <v>146</v>
      </c>
      <c r="ES138" s="74">
        <f t="shared" ref="ES138" si="787">ER138+1</f>
        <v>147</v>
      </c>
      <c r="ET138" s="74">
        <f t="shared" ref="ET138" si="788">ES138+1</f>
        <v>148</v>
      </c>
      <c r="EU138" s="74">
        <f t="shared" ref="EU138" si="789">ET138+1</f>
        <v>149</v>
      </c>
      <c r="EV138" s="74">
        <f t="shared" ref="EV138" si="790">EU138+1</f>
        <v>150</v>
      </c>
      <c r="EW138" s="74">
        <f t="shared" ref="EW138" si="791">EV138+1</f>
        <v>151</v>
      </c>
      <c r="EX138" s="74">
        <f t="shared" ref="EX138" si="792">EW138+1</f>
        <v>152</v>
      </c>
      <c r="EY138" s="74">
        <f t="shared" ref="EY138" si="793">EX138+1</f>
        <v>153</v>
      </c>
      <c r="EZ138" s="74">
        <f t="shared" ref="EZ138" si="794">EY138+1</f>
        <v>154</v>
      </c>
      <c r="FA138" s="74">
        <f t="shared" ref="FA138" si="795">EZ138+1</f>
        <v>155</v>
      </c>
      <c r="FB138" s="74">
        <f t="shared" ref="FB138" si="796">FA138+1</f>
        <v>156</v>
      </c>
      <c r="FC138" s="74">
        <f t="shared" ref="FC138" si="797">FB138+1</f>
        <v>157</v>
      </c>
      <c r="FD138" s="74">
        <f t="shared" ref="FD138" si="798">FC138+1</f>
        <v>158</v>
      </c>
      <c r="FE138" s="74">
        <f t="shared" ref="FE138" si="799">FD138+1</f>
        <v>159</v>
      </c>
      <c r="FF138" s="74">
        <f t="shared" ref="FF138" si="800">FE138+1</f>
        <v>160</v>
      </c>
      <c r="FG138" s="74">
        <f t="shared" ref="FG138" si="801">FF138+1</f>
        <v>161</v>
      </c>
      <c r="FH138" s="74">
        <f t="shared" ref="FH138" si="802">FG138+1</f>
        <v>162</v>
      </c>
      <c r="FI138" s="74">
        <f t="shared" ref="FI138" si="803">FH138+1</f>
        <v>163</v>
      </c>
      <c r="FJ138" s="74">
        <f t="shared" ref="FJ138" si="804">FI138+1</f>
        <v>164</v>
      </c>
      <c r="FK138" s="74">
        <f t="shared" ref="FK138" si="805">FJ138+1</f>
        <v>165</v>
      </c>
      <c r="FL138" s="74">
        <f t="shared" ref="FL138" si="806">FK138+1</f>
        <v>166</v>
      </c>
      <c r="FM138" s="74">
        <f t="shared" ref="FM138" si="807">FL138+1</f>
        <v>167</v>
      </c>
      <c r="FN138" s="74">
        <f t="shared" ref="FN138" si="808">FM138+1</f>
        <v>168</v>
      </c>
      <c r="FO138" s="74">
        <f t="shared" ref="FO138" si="809">FN138+1</f>
        <v>169</v>
      </c>
      <c r="FP138" s="74">
        <f t="shared" ref="FP138" si="810">FO138+1</f>
        <v>170</v>
      </c>
      <c r="FQ138" s="74">
        <f t="shared" ref="FQ138" si="811">FP138+1</f>
        <v>171</v>
      </c>
      <c r="FR138" s="74">
        <f t="shared" ref="FR138" si="812">FQ138+1</f>
        <v>172</v>
      </c>
      <c r="FS138" s="74">
        <f t="shared" ref="FS138" si="813">FR138+1</f>
        <v>173</v>
      </c>
      <c r="FT138" s="74">
        <f t="shared" ref="FT138" si="814">FS138+1</f>
        <v>174</v>
      </c>
      <c r="FU138" s="74">
        <f t="shared" ref="FU138" si="815">FT138+1</f>
        <v>175</v>
      </c>
      <c r="FV138" s="74">
        <f t="shared" ref="FV138" si="816">FU138+1</f>
        <v>176</v>
      </c>
      <c r="FW138" s="74">
        <f t="shared" ref="FW138" si="817">FV138+1</f>
        <v>177</v>
      </c>
      <c r="FX138" s="74">
        <f t="shared" ref="FX138" si="818">FW138+1</f>
        <v>178</v>
      </c>
      <c r="FY138" s="74">
        <f t="shared" ref="FY138" si="819">FX138+1</f>
        <v>179</v>
      </c>
      <c r="FZ138" s="75"/>
    </row>
    <row r="139" spans="1:182" x14ac:dyDescent="0.2">
      <c r="A139" s="76" t="s">
        <v>146</v>
      </c>
      <c r="B139" s="77">
        <f>((1+B137)^(1/12)-1)</f>
        <v>4.3684958147485187E-3</v>
      </c>
      <c r="C139" s="77">
        <f t="shared" ref="C139:BH139" si="820">((1+C137)^(1/12)-1)</f>
        <v>4.3684958147485187E-3</v>
      </c>
      <c r="D139" s="77">
        <f t="shared" si="820"/>
        <v>4.3684958147485187E-3</v>
      </c>
      <c r="E139" s="77">
        <f t="shared" si="820"/>
        <v>4.3684958147485187E-3</v>
      </c>
      <c r="F139" s="77">
        <f t="shared" si="820"/>
        <v>4.3684958147485187E-3</v>
      </c>
      <c r="G139" s="77">
        <f t="shared" si="820"/>
        <v>4.3684958147485187E-3</v>
      </c>
      <c r="H139" s="77">
        <f t="shared" si="820"/>
        <v>4.3684958147485187E-3</v>
      </c>
      <c r="I139" s="77">
        <f t="shared" si="820"/>
        <v>4.3684958147485187E-3</v>
      </c>
      <c r="J139" s="77">
        <f t="shared" si="820"/>
        <v>4.3684958147485187E-3</v>
      </c>
      <c r="K139" s="77">
        <f t="shared" si="820"/>
        <v>4.3684958147485187E-3</v>
      </c>
      <c r="L139" s="77">
        <f t="shared" si="820"/>
        <v>4.3684958147485187E-3</v>
      </c>
      <c r="M139" s="77">
        <f t="shared" si="820"/>
        <v>4.3684958147485187E-3</v>
      </c>
      <c r="N139" s="77">
        <f t="shared" si="820"/>
        <v>4.3684958147485187E-3</v>
      </c>
      <c r="O139" s="77">
        <f t="shared" si="820"/>
        <v>4.3684958147485187E-3</v>
      </c>
      <c r="P139" s="77">
        <f t="shared" si="820"/>
        <v>4.3684958147485187E-3</v>
      </c>
      <c r="Q139" s="77">
        <f t="shared" si="820"/>
        <v>4.3684958147485187E-3</v>
      </c>
      <c r="R139" s="77">
        <f t="shared" si="820"/>
        <v>4.3684958147485187E-3</v>
      </c>
      <c r="S139" s="77">
        <f t="shared" si="820"/>
        <v>4.3684958147485187E-3</v>
      </c>
      <c r="T139" s="77">
        <f t="shared" si="820"/>
        <v>4.3684958147485187E-3</v>
      </c>
      <c r="U139" s="77">
        <f t="shared" si="820"/>
        <v>4.3684958147485187E-3</v>
      </c>
      <c r="V139" s="77">
        <f t="shared" si="820"/>
        <v>4.3684958147485187E-3</v>
      </c>
      <c r="W139" s="77">
        <f t="shared" si="820"/>
        <v>4.3684958147485187E-3</v>
      </c>
      <c r="X139" s="77">
        <f t="shared" si="820"/>
        <v>4.3684958147485187E-3</v>
      </c>
      <c r="Y139" s="77">
        <f t="shared" si="820"/>
        <v>4.3684958147485187E-3</v>
      </c>
      <c r="Z139" s="77">
        <f t="shared" si="820"/>
        <v>4.3684958147485187E-3</v>
      </c>
      <c r="AA139" s="77">
        <f t="shared" si="820"/>
        <v>4.3684958147485187E-3</v>
      </c>
      <c r="AB139" s="77">
        <f t="shared" si="820"/>
        <v>4.3684958147485187E-3</v>
      </c>
      <c r="AC139" s="77">
        <f t="shared" si="820"/>
        <v>4.3684958147485187E-3</v>
      </c>
      <c r="AD139" s="77">
        <f t="shared" si="820"/>
        <v>4.3684958147485187E-3</v>
      </c>
      <c r="AE139" s="77">
        <f t="shared" si="820"/>
        <v>4.3684958147485187E-3</v>
      </c>
      <c r="AF139" s="77">
        <f t="shared" si="820"/>
        <v>4.3684958147485187E-3</v>
      </c>
      <c r="AG139" s="77">
        <f t="shared" si="820"/>
        <v>4.3684958147485187E-3</v>
      </c>
      <c r="AH139" s="77">
        <f t="shared" si="820"/>
        <v>4.3684958147485187E-3</v>
      </c>
      <c r="AI139" s="77">
        <f t="shared" si="820"/>
        <v>4.3684958147485187E-3</v>
      </c>
      <c r="AJ139" s="77">
        <f t="shared" si="820"/>
        <v>4.3684958147485187E-3</v>
      </c>
      <c r="AK139" s="77">
        <f t="shared" si="820"/>
        <v>4.3684958147485187E-3</v>
      </c>
      <c r="AL139" s="77">
        <f t="shared" si="820"/>
        <v>4.3684958147485187E-3</v>
      </c>
      <c r="AM139" s="77">
        <f t="shared" si="820"/>
        <v>4.3684958147485187E-3</v>
      </c>
      <c r="AN139" s="77">
        <f t="shared" si="820"/>
        <v>4.3684958147485187E-3</v>
      </c>
      <c r="AO139" s="77">
        <f t="shared" si="820"/>
        <v>4.3684958147485187E-3</v>
      </c>
      <c r="AP139" s="77">
        <f t="shared" si="820"/>
        <v>4.3684958147485187E-3</v>
      </c>
      <c r="AQ139" s="77">
        <f t="shared" si="820"/>
        <v>4.3684958147485187E-3</v>
      </c>
      <c r="AR139" s="77">
        <f t="shared" si="820"/>
        <v>4.3684958147485187E-3</v>
      </c>
      <c r="AS139" s="77">
        <f t="shared" si="820"/>
        <v>4.3684958147485187E-3</v>
      </c>
      <c r="AT139" s="77">
        <f t="shared" si="820"/>
        <v>4.3684958147485187E-3</v>
      </c>
      <c r="AU139" s="77">
        <f t="shared" si="820"/>
        <v>4.3684958147485187E-3</v>
      </c>
      <c r="AV139" s="77">
        <f t="shared" si="820"/>
        <v>4.3684958147485187E-3</v>
      </c>
      <c r="AW139" s="77">
        <f t="shared" si="820"/>
        <v>4.3684958147485187E-3</v>
      </c>
      <c r="AX139" s="77">
        <f t="shared" si="820"/>
        <v>4.3684958147485187E-3</v>
      </c>
      <c r="AY139" s="77">
        <f t="shared" si="820"/>
        <v>4.3684958147485187E-3</v>
      </c>
      <c r="AZ139" s="77">
        <f t="shared" si="820"/>
        <v>4.3684958147485187E-3</v>
      </c>
      <c r="BA139" s="77">
        <f t="shared" si="820"/>
        <v>4.3684958147485187E-3</v>
      </c>
      <c r="BB139" s="77">
        <f t="shared" si="820"/>
        <v>4.3684958147485187E-3</v>
      </c>
      <c r="BC139" s="77">
        <f t="shared" si="820"/>
        <v>4.3684958147485187E-3</v>
      </c>
      <c r="BD139" s="77">
        <f t="shared" si="820"/>
        <v>4.3684958147485187E-3</v>
      </c>
      <c r="BE139" s="77">
        <f t="shared" si="820"/>
        <v>4.3684958147485187E-3</v>
      </c>
      <c r="BF139" s="77">
        <f t="shared" si="820"/>
        <v>4.3684958147485187E-3</v>
      </c>
      <c r="BG139" s="77">
        <f t="shared" si="820"/>
        <v>4.3684958147485187E-3</v>
      </c>
      <c r="BH139" s="77">
        <f t="shared" si="820"/>
        <v>4.3684958147485187E-3</v>
      </c>
      <c r="BI139" s="77">
        <f t="shared" ref="BI139:DP139" si="821">((1+BI137)^(1/12)-1)</f>
        <v>4.3684958147485187E-3</v>
      </c>
      <c r="BJ139" s="77">
        <f t="shared" si="821"/>
        <v>4.3684958147485187E-3</v>
      </c>
      <c r="BK139" s="77">
        <f t="shared" si="821"/>
        <v>4.3684958147485187E-3</v>
      </c>
      <c r="BL139" s="77">
        <f t="shared" si="821"/>
        <v>4.3684958147485187E-3</v>
      </c>
      <c r="BM139" s="77">
        <f t="shared" si="821"/>
        <v>4.3684958147485187E-3</v>
      </c>
      <c r="BN139" s="77">
        <f t="shared" si="821"/>
        <v>4.3684958147485187E-3</v>
      </c>
      <c r="BO139" s="77">
        <f t="shared" si="821"/>
        <v>4.3684958147485187E-3</v>
      </c>
      <c r="BP139" s="77">
        <f t="shared" si="821"/>
        <v>4.3684958147485187E-3</v>
      </c>
      <c r="BQ139" s="77">
        <f t="shared" si="821"/>
        <v>4.3684958147485187E-3</v>
      </c>
      <c r="BR139" s="77">
        <f t="shared" si="821"/>
        <v>4.3684958147485187E-3</v>
      </c>
      <c r="BS139" s="77">
        <f t="shared" si="821"/>
        <v>4.3684958147485187E-3</v>
      </c>
      <c r="BT139" s="77">
        <f t="shared" si="821"/>
        <v>4.3684958147485187E-3</v>
      </c>
      <c r="BU139" s="77">
        <f t="shared" si="821"/>
        <v>4.3684958147485187E-3</v>
      </c>
      <c r="BV139" s="77">
        <f t="shared" si="821"/>
        <v>4.3684958147485187E-3</v>
      </c>
      <c r="BW139" s="77">
        <f t="shared" si="821"/>
        <v>4.3684958147485187E-3</v>
      </c>
      <c r="BX139" s="77">
        <f t="shared" si="821"/>
        <v>4.3684958147485187E-3</v>
      </c>
      <c r="BY139" s="77">
        <f t="shared" si="821"/>
        <v>4.3684958147485187E-3</v>
      </c>
      <c r="BZ139" s="77">
        <f t="shared" si="821"/>
        <v>4.3684958147485187E-3</v>
      </c>
      <c r="CA139" s="77">
        <f t="shared" si="821"/>
        <v>4.3684958147485187E-3</v>
      </c>
      <c r="CB139" s="77">
        <f t="shared" si="821"/>
        <v>4.3684958147485187E-3</v>
      </c>
      <c r="CC139" s="77">
        <f t="shared" si="821"/>
        <v>4.3684958147485187E-3</v>
      </c>
      <c r="CD139" s="77">
        <f t="shared" si="821"/>
        <v>4.3684958147485187E-3</v>
      </c>
      <c r="CE139" s="77">
        <f t="shared" si="821"/>
        <v>4.3684958147485187E-3</v>
      </c>
      <c r="CF139" s="77">
        <f t="shared" si="821"/>
        <v>4.3684958147485187E-3</v>
      </c>
      <c r="CG139" s="77">
        <f t="shared" si="821"/>
        <v>4.3684958147485187E-3</v>
      </c>
      <c r="CH139" s="77">
        <f t="shared" si="821"/>
        <v>4.3684958147485187E-3</v>
      </c>
      <c r="CI139" s="77">
        <f t="shared" si="821"/>
        <v>4.3684958147485187E-3</v>
      </c>
      <c r="CJ139" s="77">
        <f t="shared" si="821"/>
        <v>4.3684958147485187E-3</v>
      </c>
      <c r="CK139" s="77">
        <f t="shared" si="821"/>
        <v>4.3684958147485187E-3</v>
      </c>
      <c r="CL139" s="77">
        <f t="shared" si="821"/>
        <v>4.3684958147485187E-3</v>
      </c>
      <c r="CM139" s="77">
        <f t="shared" si="821"/>
        <v>4.3684958147485187E-3</v>
      </c>
      <c r="CN139" s="77">
        <f t="shared" si="821"/>
        <v>4.3684958147485187E-3</v>
      </c>
      <c r="CO139" s="77">
        <f t="shared" si="821"/>
        <v>4.3684958147485187E-3</v>
      </c>
      <c r="CP139" s="77">
        <f t="shared" si="821"/>
        <v>4.3684958147485187E-3</v>
      </c>
      <c r="CQ139" s="77">
        <f t="shared" si="821"/>
        <v>4.3684958147485187E-3</v>
      </c>
      <c r="CR139" s="77">
        <f t="shared" si="821"/>
        <v>4.3684958147485187E-3</v>
      </c>
      <c r="CS139" s="77">
        <f t="shared" si="821"/>
        <v>4.3684958147485187E-3</v>
      </c>
      <c r="CT139" s="77">
        <f t="shared" si="821"/>
        <v>4.3684958147485187E-3</v>
      </c>
      <c r="CU139" s="77">
        <f t="shared" si="821"/>
        <v>4.3684958147485187E-3</v>
      </c>
      <c r="CV139" s="77">
        <f t="shared" si="821"/>
        <v>4.3684958147485187E-3</v>
      </c>
      <c r="CW139" s="77">
        <f t="shared" si="821"/>
        <v>4.3684958147485187E-3</v>
      </c>
      <c r="CX139" s="77">
        <f t="shared" si="821"/>
        <v>4.3684958147485187E-3</v>
      </c>
      <c r="CY139" s="77">
        <f t="shared" si="821"/>
        <v>4.3684958147485187E-3</v>
      </c>
      <c r="CZ139" s="77">
        <f t="shared" si="821"/>
        <v>4.3684958147485187E-3</v>
      </c>
      <c r="DA139" s="77">
        <f t="shared" si="821"/>
        <v>4.3684958147485187E-3</v>
      </c>
      <c r="DB139" s="77">
        <f t="shared" si="821"/>
        <v>4.3684958147485187E-3</v>
      </c>
      <c r="DC139" s="77">
        <f t="shared" si="821"/>
        <v>4.3684958147485187E-3</v>
      </c>
      <c r="DD139" s="77">
        <f t="shared" si="821"/>
        <v>4.3684958147485187E-3</v>
      </c>
      <c r="DE139" s="77">
        <f t="shared" si="821"/>
        <v>4.3684958147485187E-3</v>
      </c>
      <c r="DF139" s="77">
        <f t="shared" si="821"/>
        <v>4.3684958147485187E-3</v>
      </c>
      <c r="DG139" s="77">
        <f t="shared" si="821"/>
        <v>4.3684958147485187E-3</v>
      </c>
      <c r="DH139" s="77">
        <f t="shared" si="821"/>
        <v>4.3684958147485187E-3</v>
      </c>
      <c r="DI139" s="77">
        <f t="shared" si="821"/>
        <v>4.3684958147485187E-3</v>
      </c>
      <c r="DJ139" s="77">
        <f t="shared" si="821"/>
        <v>4.3684958147485187E-3</v>
      </c>
      <c r="DK139" s="77">
        <f t="shared" si="821"/>
        <v>4.3684958147485187E-3</v>
      </c>
      <c r="DL139" s="77">
        <f t="shared" si="821"/>
        <v>4.3684958147485187E-3</v>
      </c>
      <c r="DM139" s="77">
        <f t="shared" si="821"/>
        <v>4.3684958147485187E-3</v>
      </c>
      <c r="DN139" s="77">
        <f t="shared" si="821"/>
        <v>4.3684958147485187E-3</v>
      </c>
      <c r="DO139" s="77">
        <f t="shared" si="821"/>
        <v>4.3684958147485187E-3</v>
      </c>
      <c r="DP139" s="77">
        <f t="shared" si="821"/>
        <v>4.3684958147485187E-3</v>
      </c>
      <c r="DQ139" s="77">
        <f t="shared" ref="DQ139:FY139" si="822">((1+DQ137)^(1/12)-1)</f>
        <v>4.3684958147485187E-3</v>
      </c>
      <c r="DR139" s="77">
        <f t="shared" si="822"/>
        <v>4.3684958147485187E-3</v>
      </c>
      <c r="DS139" s="77">
        <f t="shared" si="822"/>
        <v>4.3684958147485187E-3</v>
      </c>
      <c r="DT139" s="77">
        <f t="shared" si="822"/>
        <v>4.3684958147485187E-3</v>
      </c>
      <c r="DU139" s="77">
        <f t="shared" si="822"/>
        <v>4.3684958147485187E-3</v>
      </c>
      <c r="DV139" s="77">
        <f t="shared" si="822"/>
        <v>4.3684958147485187E-3</v>
      </c>
      <c r="DW139" s="77">
        <f t="shared" si="822"/>
        <v>4.3684958147485187E-3</v>
      </c>
      <c r="DX139" s="77">
        <f t="shared" si="822"/>
        <v>4.3684958147485187E-3</v>
      </c>
      <c r="DY139" s="77">
        <f t="shared" si="822"/>
        <v>4.3684958147485187E-3</v>
      </c>
      <c r="DZ139" s="77">
        <f t="shared" si="822"/>
        <v>4.3684958147485187E-3</v>
      </c>
      <c r="EA139" s="77">
        <f t="shared" si="822"/>
        <v>4.3684958147485187E-3</v>
      </c>
      <c r="EB139" s="77">
        <f t="shared" si="822"/>
        <v>4.3684958147485187E-3</v>
      </c>
      <c r="EC139" s="77">
        <f t="shared" si="822"/>
        <v>4.3684958147485187E-3</v>
      </c>
      <c r="ED139" s="77">
        <f t="shared" si="822"/>
        <v>4.3684958147485187E-3</v>
      </c>
      <c r="EE139" s="77">
        <f t="shared" si="822"/>
        <v>4.3684958147485187E-3</v>
      </c>
      <c r="EF139" s="77">
        <f t="shared" si="822"/>
        <v>4.3684958147485187E-3</v>
      </c>
      <c r="EG139" s="77">
        <f t="shared" si="822"/>
        <v>4.3684958147485187E-3</v>
      </c>
      <c r="EH139" s="77">
        <f t="shared" si="822"/>
        <v>4.3684958147485187E-3</v>
      </c>
      <c r="EI139" s="77">
        <f t="shared" si="822"/>
        <v>4.3684958147485187E-3</v>
      </c>
      <c r="EJ139" s="77">
        <f t="shared" si="822"/>
        <v>4.3684958147485187E-3</v>
      </c>
      <c r="EK139" s="77">
        <f t="shared" si="822"/>
        <v>4.3684958147485187E-3</v>
      </c>
      <c r="EL139" s="77">
        <f t="shared" si="822"/>
        <v>4.3684958147485187E-3</v>
      </c>
      <c r="EM139" s="77">
        <f t="shared" si="822"/>
        <v>4.3684958147485187E-3</v>
      </c>
      <c r="EN139" s="77">
        <f t="shared" si="822"/>
        <v>4.3684958147485187E-3</v>
      </c>
      <c r="EO139" s="77">
        <f t="shared" si="822"/>
        <v>4.3684958147485187E-3</v>
      </c>
      <c r="EP139" s="77">
        <f t="shared" si="822"/>
        <v>4.3684958147485187E-3</v>
      </c>
      <c r="EQ139" s="77">
        <f t="shared" si="822"/>
        <v>4.3684958147485187E-3</v>
      </c>
      <c r="ER139" s="77">
        <f t="shared" si="822"/>
        <v>4.3684958147485187E-3</v>
      </c>
      <c r="ES139" s="77">
        <f t="shared" si="822"/>
        <v>4.3684958147485187E-3</v>
      </c>
      <c r="ET139" s="77">
        <f t="shared" si="822"/>
        <v>4.3684958147485187E-3</v>
      </c>
      <c r="EU139" s="77">
        <f t="shared" si="822"/>
        <v>4.3684958147485187E-3</v>
      </c>
      <c r="EV139" s="77">
        <f t="shared" si="822"/>
        <v>4.3684958147485187E-3</v>
      </c>
      <c r="EW139" s="77">
        <f t="shared" si="822"/>
        <v>4.3684958147485187E-3</v>
      </c>
      <c r="EX139" s="77">
        <f t="shared" si="822"/>
        <v>4.3684958147485187E-3</v>
      </c>
      <c r="EY139" s="77">
        <f t="shared" si="822"/>
        <v>4.3684958147485187E-3</v>
      </c>
      <c r="EZ139" s="77">
        <f t="shared" si="822"/>
        <v>4.3684958147485187E-3</v>
      </c>
      <c r="FA139" s="77">
        <f t="shared" si="822"/>
        <v>4.3684958147485187E-3</v>
      </c>
      <c r="FB139" s="77">
        <f t="shared" si="822"/>
        <v>4.3684958147485187E-3</v>
      </c>
      <c r="FC139" s="77">
        <f t="shared" si="822"/>
        <v>4.3684958147485187E-3</v>
      </c>
      <c r="FD139" s="77">
        <f t="shared" si="822"/>
        <v>4.3684958147485187E-3</v>
      </c>
      <c r="FE139" s="77">
        <f t="shared" si="822"/>
        <v>4.3684958147485187E-3</v>
      </c>
      <c r="FF139" s="77">
        <f t="shared" si="822"/>
        <v>4.3684958147485187E-3</v>
      </c>
      <c r="FG139" s="77">
        <f t="shared" si="822"/>
        <v>4.3684958147485187E-3</v>
      </c>
      <c r="FH139" s="77">
        <f t="shared" si="822"/>
        <v>4.3684958147485187E-3</v>
      </c>
      <c r="FI139" s="77">
        <f t="shared" si="822"/>
        <v>4.3684958147485187E-3</v>
      </c>
      <c r="FJ139" s="77">
        <f t="shared" si="822"/>
        <v>4.3684958147485187E-3</v>
      </c>
      <c r="FK139" s="77">
        <f t="shared" si="822"/>
        <v>4.3684958147485187E-3</v>
      </c>
      <c r="FL139" s="77">
        <f t="shared" si="822"/>
        <v>4.3684958147485187E-3</v>
      </c>
      <c r="FM139" s="77">
        <f t="shared" si="822"/>
        <v>4.3684958147485187E-3</v>
      </c>
      <c r="FN139" s="77">
        <f t="shared" si="822"/>
        <v>4.3684958147485187E-3</v>
      </c>
      <c r="FO139" s="77">
        <f t="shared" si="822"/>
        <v>4.3684958147485187E-3</v>
      </c>
      <c r="FP139" s="77">
        <f t="shared" si="822"/>
        <v>4.3684958147485187E-3</v>
      </c>
      <c r="FQ139" s="77">
        <f t="shared" si="822"/>
        <v>4.3684958147485187E-3</v>
      </c>
      <c r="FR139" s="77">
        <f t="shared" si="822"/>
        <v>4.3684958147485187E-3</v>
      </c>
      <c r="FS139" s="77">
        <f t="shared" si="822"/>
        <v>4.3684958147485187E-3</v>
      </c>
      <c r="FT139" s="77">
        <f t="shared" si="822"/>
        <v>4.3684958147485187E-3</v>
      </c>
      <c r="FU139" s="77">
        <f t="shared" si="822"/>
        <v>4.3684958147485187E-3</v>
      </c>
      <c r="FV139" s="77">
        <f t="shared" si="822"/>
        <v>4.3684958147485187E-3</v>
      </c>
      <c r="FW139" s="77">
        <f t="shared" si="822"/>
        <v>4.3684958147485187E-3</v>
      </c>
      <c r="FX139" s="77">
        <f t="shared" si="822"/>
        <v>4.3684958147485187E-3</v>
      </c>
      <c r="FY139" s="77">
        <f t="shared" si="822"/>
        <v>4.3684958147485187E-3</v>
      </c>
      <c r="FZ139" s="78"/>
    </row>
    <row r="140" spans="1:182" x14ac:dyDescent="0.2">
      <c r="A140" s="76" t="s">
        <v>185</v>
      </c>
      <c r="B140" s="79">
        <f t="shared" ref="B140:BH140" si="823">(1+B139)</f>
        <v>1.0043684958147485</v>
      </c>
      <c r="C140" s="79">
        <f t="shared" si="823"/>
        <v>1.0043684958147485</v>
      </c>
      <c r="D140" s="79">
        <f t="shared" si="823"/>
        <v>1.0043684958147485</v>
      </c>
      <c r="E140" s="79">
        <f t="shared" si="823"/>
        <v>1.0043684958147485</v>
      </c>
      <c r="F140" s="79">
        <f t="shared" si="823"/>
        <v>1.0043684958147485</v>
      </c>
      <c r="G140" s="79">
        <f t="shared" si="823"/>
        <v>1.0043684958147485</v>
      </c>
      <c r="H140" s="79">
        <f t="shared" si="823"/>
        <v>1.0043684958147485</v>
      </c>
      <c r="I140" s="79">
        <f t="shared" si="823"/>
        <v>1.0043684958147485</v>
      </c>
      <c r="J140" s="79">
        <f t="shared" si="823"/>
        <v>1.0043684958147485</v>
      </c>
      <c r="K140" s="79">
        <f t="shared" si="823"/>
        <v>1.0043684958147485</v>
      </c>
      <c r="L140" s="79">
        <f t="shared" si="823"/>
        <v>1.0043684958147485</v>
      </c>
      <c r="M140" s="79">
        <f t="shared" si="823"/>
        <v>1.0043684958147485</v>
      </c>
      <c r="N140" s="79">
        <f t="shared" si="823"/>
        <v>1.0043684958147485</v>
      </c>
      <c r="O140" s="79">
        <f t="shared" si="823"/>
        <v>1.0043684958147485</v>
      </c>
      <c r="P140" s="79">
        <f t="shared" si="823"/>
        <v>1.0043684958147485</v>
      </c>
      <c r="Q140" s="79">
        <f t="shared" si="823"/>
        <v>1.0043684958147485</v>
      </c>
      <c r="R140" s="79">
        <f t="shared" si="823"/>
        <v>1.0043684958147485</v>
      </c>
      <c r="S140" s="79">
        <f t="shared" si="823"/>
        <v>1.0043684958147485</v>
      </c>
      <c r="T140" s="79">
        <f t="shared" si="823"/>
        <v>1.0043684958147485</v>
      </c>
      <c r="U140" s="79">
        <f t="shared" si="823"/>
        <v>1.0043684958147485</v>
      </c>
      <c r="V140" s="79">
        <f t="shared" si="823"/>
        <v>1.0043684958147485</v>
      </c>
      <c r="W140" s="79">
        <f t="shared" si="823"/>
        <v>1.0043684958147485</v>
      </c>
      <c r="X140" s="79">
        <f t="shared" si="823"/>
        <v>1.0043684958147485</v>
      </c>
      <c r="Y140" s="79">
        <f t="shared" si="823"/>
        <v>1.0043684958147485</v>
      </c>
      <c r="Z140" s="79">
        <f t="shared" si="823"/>
        <v>1.0043684958147485</v>
      </c>
      <c r="AA140" s="79">
        <f t="shared" si="823"/>
        <v>1.0043684958147485</v>
      </c>
      <c r="AB140" s="79">
        <f t="shared" si="823"/>
        <v>1.0043684958147485</v>
      </c>
      <c r="AC140" s="79">
        <f t="shared" si="823"/>
        <v>1.0043684958147485</v>
      </c>
      <c r="AD140" s="79">
        <f t="shared" si="823"/>
        <v>1.0043684958147485</v>
      </c>
      <c r="AE140" s="79">
        <f t="shared" si="823"/>
        <v>1.0043684958147485</v>
      </c>
      <c r="AF140" s="79">
        <f t="shared" si="823"/>
        <v>1.0043684958147485</v>
      </c>
      <c r="AG140" s="79">
        <f t="shared" si="823"/>
        <v>1.0043684958147485</v>
      </c>
      <c r="AH140" s="79">
        <f t="shared" si="823"/>
        <v>1.0043684958147485</v>
      </c>
      <c r="AI140" s="79">
        <f t="shared" si="823"/>
        <v>1.0043684958147485</v>
      </c>
      <c r="AJ140" s="79">
        <f t="shared" si="823"/>
        <v>1.0043684958147485</v>
      </c>
      <c r="AK140" s="79">
        <f t="shared" si="823"/>
        <v>1.0043684958147485</v>
      </c>
      <c r="AL140" s="79">
        <f t="shared" si="823"/>
        <v>1.0043684958147485</v>
      </c>
      <c r="AM140" s="79">
        <f t="shared" si="823"/>
        <v>1.0043684958147485</v>
      </c>
      <c r="AN140" s="79">
        <f t="shared" si="823"/>
        <v>1.0043684958147485</v>
      </c>
      <c r="AO140" s="79">
        <f t="shared" si="823"/>
        <v>1.0043684958147485</v>
      </c>
      <c r="AP140" s="79">
        <f t="shared" si="823"/>
        <v>1.0043684958147485</v>
      </c>
      <c r="AQ140" s="79">
        <f t="shared" si="823"/>
        <v>1.0043684958147485</v>
      </c>
      <c r="AR140" s="79">
        <f t="shared" si="823"/>
        <v>1.0043684958147485</v>
      </c>
      <c r="AS140" s="79">
        <f t="shared" si="823"/>
        <v>1.0043684958147485</v>
      </c>
      <c r="AT140" s="79">
        <f t="shared" si="823"/>
        <v>1.0043684958147485</v>
      </c>
      <c r="AU140" s="79">
        <f t="shared" si="823"/>
        <v>1.0043684958147485</v>
      </c>
      <c r="AV140" s="79">
        <f t="shared" si="823"/>
        <v>1.0043684958147485</v>
      </c>
      <c r="AW140" s="79">
        <f t="shared" si="823"/>
        <v>1.0043684958147485</v>
      </c>
      <c r="AX140" s="79">
        <f t="shared" si="823"/>
        <v>1.0043684958147485</v>
      </c>
      <c r="AY140" s="79">
        <f t="shared" si="823"/>
        <v>1.0043684958147485</v>
      </c>
      <c r="AZ140" s="79">
        <f t="shared" si="823"/>
        <v>1.0043684958147485</v>
      </c>
      <c r="BA140" s="79">
        <f t="shared" si="823"/>
        <v>1.0043684958147485</v>
      </c>
      <c r="BB140" s="79">
        <f t="shared" si="823"/>
        <v>1.0043684958147485</v>
      </c>
      <c r="BC140" s="79">
        <f t="shared" si="823"/>
        <v>1.0043684958147485</v>
      </c>
      <c r="BD140" s="79">
        <f t="shared" si="823"/>
        <v>1.0043684958147485</v>
      </c>
      <c r="BE140" s="79">
        <f t="shared" si="823"/>
        <v>1.0043684958147485</v>
      </c>
      <c r="BF140" s="79">
        <f t="shared" si="823"/>
        <v>1.0043684958147485</v>
      </c>
      <c r="BG140" s="79">
        <f t="shared" si="823"/>
        <v>1.0043684958147485</v>
      </c>
      <c r="BH140" s="79">
        <f t="shared" si="823"/>
        <v>1.0043684958147485</v>
      </c>
      <c r="BI140" s="79">
        <f t="shared" ref="BI140:DP140" si="824">(1+BI139)</f>
        <v>1.0043684958147485</v>
      </c>
      <c r="BJ140" s="79">
        <f t="shared" si="824"/>
        <v>1.0043684958147485</v>
      </c>
      <c r="BK140" s="79">
        <f t="shared" si="824"/>
        <v>1.0043684958147485</v>
      </c>
      <c r="BL140" s="79">
        <f t="shared" si="824"/>
        <v>1.0043684958147485</v>
      </c>
      <c r="BM140" s="79">
        <f t="shared" si="824"/>
        <v>1.0043684958147485</v>
      </c>
      <c r="BN140" s="79">
        <f t="shared" si="824"/>
        <v>1.0043684958147485</v>
      </c>
      <c r="BO140" s="79">
        <f t="shared" si="824"/>
        <v>1.0043684958147485</v>
      </c>
      <c r="BP140" s="79">
        <f t="shared" si="824"/>
        <v>1.0043684958147485</v>
      </c>
      <c r="BQ140" s="79">
        <f t="shared" si="824"/>
        <v>1.0043684958147485</v>
      </c>
      <c r="BR140" s="79">
        <f t="shared" si="824"/>
        <v>1.0043684958147485</v>
      </c>
      <c r="BS140" s="79">
        <f t="shared" si="824"/>
        <v>1.0043684958147485</v>
      </c>
      <c r="BT140" s="79">
        <f t="shared" si="824"/>
        <v>1.0043684958147485</v>
      </c>
      <c r="BU140" s="79">
        <f t="shared" si="824"/>
        <v>1.0043684958147485</v>
      </c>
      <c r="BV140" s="79">
        <f t="shared" si="824"/>
        <v>1.0043684958147485</v>
      </c>
      <c r="BW140" s="79">
        <f t="shared" si="824"/>
        <v>1.0043684958147485</v>
      </c>
      <c r="BX140" s="79">
        <f t="shared" si="824"/>
        <v>1.0043684958147485</v>
      </c>
      <c r="BY140" s="79">
        <f t="shared" si="824"/>
        <v>1.0043684958147485</v>
      </c>
      <c r="BZ140" s="79">
        <f t="shared" si="824"/>
        <v>1.0043684958147485</v>
      </c>
      <c r="CA140" s="79">
        <f t="shared" si="824"/>
        <v>1.0043684958147485</v>
      </c>
      <c r="CB140" s="79">
        <f t="shared" si="824"/>
        <v>1.0043684958147485</v>
      </c>
      <c r="CC140" s="79">
        <f t="shared" si="824"/>
        <v>1.0043684958147485</v>
      </c>
      <c r="CD140" s="79">
        <f t="shared" si="824"/>
        <v>1.0043684958147485</v>
      </c>
      <c r="CE140" s="79">
        <f t="shared" si="824"/>
        <v>1.0043684958147485</v>
      </c>
      <c r="CF140" s="79">
        <f t="shared" si="824"/>
        <v>1.0043684958147485</v>
      </c>
      <c r="CG140" s="79">
        <f t="shared" si="824"/>
        <v>1.0043684958147485</v>
      </c>
      <c r="CH140" s="79">
        <f t="shared" si="824"/>
        <v>1.0043684958147485</v>
      </c>
      <c r="CI140" s="79">
        <f t="shared" si="824"/>
        <v>1.0043684958147485</v>
      </c>
      <c r="CJ140" s="79">
        <f t="shared" si="824"/>
        <v>1.0043684958147485</v>
      </c>
      <c r="CK140" s="79">
        <f t="shared" si="824"/>
        <v>1.0043684958147485</v>
      </c>
      <c r="CL140" s="79">
        <f t="shared" si="824"/>
        <v>1.0043684958147485</v>
      </c>
      <c r="CM140" s="79">
        <f t="shared" si="824"/>
        <v>1.0043684958147485</v>
      </c>
      <c r="CN140" s="79">
        <f t="shared" si="824"/>
        <v>1.0043684958147485</v>
      </c>
      <c r="CO140" s="79">
        <f t="shared" si="824"/>
        <v>1.0043684958147485</v>
      </c>
      <c r="CP140" s="79">
        <f t="shared" si="824"/>
        <v>1.0043684958147485</v>
      </c>
      <c r="CQ140" s="79">
        <f t="shared" si="824"/>
        <v>1.0043684958147485</v>
      </c>
      <c r="CR140" s="79">
        <f t="shared" si="824"/>
        <v>1.0043684958147485</v>
      </c>
      <c r="CS140" s="79">
        <f t="shared" si="824"/>
        <v>1.0043684958147485</v>
      </c>
      <c r="CT140" s="79">
        <f t="shared" si="824"/>
        <v>1.0043684958147485</v>
      </c>
      <c r="CU140" s="79">
        <f t="shared" si="824"/>
        <v>1.0043684958147485</v>
      </c>
      <c r="CV140" s="79">
        <f t="shared" si="824"/>
        <v>1.0043684958147485</v>
      </c>
      <c r="CW140" s="79">
        <f t="shared" si="824"/>
        <v>1.0043684958147485</v>
      </c>
      <c r="CX140" s="79">
        <f t="shared" si="824"/>
        <v>1.0043684958147485</v>
      </c>
      <c r="CY140" s="79">
        <f t="shared" si="824"/>
        <v>1.0043684958147485</v>
      </c>
      <c r="CZ140" s="79">
        <f t="shared" si="824"/>
        <v>1.0043684958147485</v>
      </c>
      <c r="DA140" s="79">
        <f t="shared" si="824"/>
        <v>1.0043684958147485</v>
      </c>
      <c r="DB140" s="79">
        <f t="shared" si="824"/>
        <v>1.0043684958147485</v>
      </c>
      <c r="DC140" s="79">
        <f t="shared" si="824"/>
        <v>1.0043684958147485</v>
      </c>
      <c r="DD140" s="79">
        <f t="shared" si="824"/>
        <v>1.0043684958147485</v>
      </c>
      <c r="DE140" s="79">
        <f t="shared" si="824"/>
        <v>1.0043684958147485</v>
      </c>
      <c r="DF140" s="79">
        <f t="shared" si="824"/>
        <v>1.0043684958147485</v>
      </c>
      <c r="DG140" s="79">
        <f t="shared" si="824"/>
        <v>1.0043684958147485</v>
      </c>
      <c r="DH140" s="79">
        <f t="shared" si="824"/>
        <v>1.0043684958147485</v>
      </c>
      <c r="DI140" s="79">
        <f t="shared" si="824"/>
        <v>1.0043684958147485</v>
      </c>
      <c r="DJ140" s="79">
        <f t="shared" si="824"/>
        <v>1.0043684958147485</v>
      </c>
      <c r="DK140" s="79">
        <f t="shared" si="824"/>
        <v>1.0043684958147485</v>
      </c>
      <c r="DL140" s="79">
        <f t="shared" si="824"/>
        <v>1.0043684958147485</v>
      </c>
      <c r="DM140" s="79">
        <f t="shared" si="824"/>
        <v>1.0043684958147485</v>
      </c>
      <c r="DN140" s="79">
        <f t="shared" si="824"/>
        <v>1.0043684958147485</v>
      </c>
      <c r="DO140" s="79">
        <f t="shared" si="824"/>
        <v>1.0043684958147485</v>
      </c>
      <c r="DP140" s="79">
        <f t="shared" si="824"/>
        <v>1.0043684958147485</v>
      </c>
      <c r="DQ140" s="79">
        <f t="shared" ref="DQ140:FY140" si="825">(1+DQ139)</f>
        <v>1.0043684958147485</v>
      </c>
      <c r="DR140" s="79">
        <f t="shared" si="825"/>
        <v>1.0043684958147485</v>
      </c>
      <c r="DS140" s="79">
        <f t="shared" si="825"/>
        <v>1.0043684958147485</v>
      </c>
      <c r="DT140" s="79">
        <f t="shared" si="825"/>
        <v>1.0043684958147485</v>
      </c>
      <c r="DU140" s="79">
        <f t="shared" si="825"/>
        <v>1.0043684958147485</v>
      </c>
      <c r="DV140" s="79">
        <f t="shared" si="825"/>
        <v>1.0043684958147485</v>
      </c>
      <c r="DW140" s="79">
        <f t="shared" si="825"/>
        <v>1.0043684958147485</v>
      </c>
      <c r="DX140" s="79">
        <f t="shared" si="825"/>
        <v>1.0043684958147485</v>
      </c>
      <c r="DY140" s="79">
        <f t="shared" si="825"/>
        <v>1.0043684958147485</v>
      </c>
      <c r="DZ140" s="79">
        <f t="shared" si="825"/>
        <v>1.0043684958147485</v>
      </c>
      <c r="EA140" s="79">
        <f t="shared" si="825"/>
        <v>1.0043684958147485</v>
      </c>
      <c r="EB140" s="79">
        <f t="shared" si="825"/>
        <v>1.0043684958147485</v>
      </c>
      <c r="EC140" s="79">
        <f t="shared" si="825"/>
        <v>1.0043684958147485</v>
      </c>
      <c r="ED140" s="79">
        <f t="shared" si="825"/>
        <v>1.0043684958147485</v>
      </c>
      <c r="EE140" s="79">
        <f t="shared" si="825"/>
        <v>1.0043684958147485</v>
      </c>
      <c r="EF140" s="79">
        <f t="shared" si="825"/>
        <v>1.0043684958147485</v>
      </c>
      <c r="EG140" s="79">
        <f t="shared" si="825"/>
        <v>1.0043684958147485</v>
      </c>
      <c r="EH140" s="79">
        <f t="shared" si="825"/>
        <v>1.0043684958147485</v>
      </c>
      <c r="EI140" s="79">
        <f t="shared" si="825"/>
        <v>1.0043684958147485</v>
      </c>
      <c r="EJ140" s="79">
        <f t="shared" si="825"/>
        <v>1.0043684958147485</v>
      </c>
      <c r="EK140" s="79">
        <f t="shared" si="825"/>
        <v>1.0043684958147485</v>
      </c>
      <c r="EL140" s="79">
        <f t="shared" si="825"/>
        <v>1.0043684958147485</v>
      </c>
      <c r="EM140" s="79">
        <f t="shared" si="825"/>
        <v>1.0043684958147485</v>
      </c>
      <c r="EN140" s="79">
        <f t="shared" si="825"/>
        <v>1.0043684958147485</v>
      </c>
      <c r="EO140" s="79">
        <f t="shared" si="825"/>
        <v>1.0043684958147485</v>
      </c>
      <c r="EP140" s="79">
        <f t="shared" si="825"/>
        <v>1.0043684958147485</v>
      </c>
      <c r="EQ140" s="79">
        <f t="shared" si="825"/>
        <v>1.0043684958147485</v>
      </c>
      <c r="ER140" s="79">
        <f t="shared" si="825"/>
        <v>1.0043684958147485</v>
      </c>
      <c r="ES140" s="79">
        <f t="shared" si="825"/>
        <v>1.0043684958147485</v>
      </c>
      <c r="ET140" s="79">
        <f t="shared" si="825"/>
        <v>1.0043684958147485</v>
      </c>
      <c r="EU140" s="79">
        <f t="shared" si="825"/>
        <v>1.0043684958147485</v>
      </c>
      <c r="EV140" s="79">
        <f t="shared" si="825"/>
        <v>1.0043684958147485</v>
      </c>
      <c r="EW140" s="79">
        <f t="shared" si="825"/>
        <v>1.0043684958147485</v>
      </c>
      <c r="EX140" s="79">
        <f t="shared" si="825"/>
        <v>1.0043684958147485</v>
      </c>
      <c r="EY140" s="79">
        <f t="shared" si="825"/>
        <v>1.0043684958147485</v>
      </c>
      <c r="EZ140" s="79">
        <f t="shared" si="825"/>
        <v>1.0043684958147485</v>
      </c>
      <c r="FA140" s="79">
        <f t="shared" si="825"/>
        <v>1.0043684958147485</v>
      </c>
      <c r="FB140" s="79">
        <f t="shared" si="825"/>
        <v>1.0043684958147485</v>
      </c>
      <c r="FC140" s="79">
        <f t="shared" si="825"/>
        <v>1.0043684958147485</v>
      </c>
      <c r="FD140" s="79">
        <f t="shared" si="825"/>
        <v>1.0043684958147485</v>
      </c>
      <c r="FE140" s="79">
        <f t="shared" si="825"/>
        <v>1.0043684958147485</v>
      </c>
      <c r="FF140" s="79">
        <f t="shared" si="825"/>
        <v>1.0043684958147485</v>
      </c>
      <c r="FG140" s="79">
        <f t="shared" si="825"/>
        <v>1.0043684958147485</v>
      </c>
      <c r="FH140" s="79">
        <f t="shared" si="825"/>
        <v>1.0043684958147485</v>
      </c>
      <c r="FI140" s="79">
        <f t="shared" si="825"/>
        <v>1.0043684958147485</v>
      </c>
      <c r="FJ140" s="79">
        <f t="shared" si="825"/>
        <v>1.0043684958147485</v>
      </c>
      <c r="FK140" s="79">
        <f t="shared" si="825"/>
        <v>1.0043684958147485</v>
      </c>
      <c r="FL140" s="79">
        <f t="shared" si="825"/>
        <v>1.0043684958147485</v>
      </c>
      <c r="FM140" s="79">
        <f t="shared" si="825"/>
        <v>1.0043684958147485</v>
      </c>
      <c r="FN140" s="79">
        <f t="shared" si="825"/>
        <v>1.0043684958147485</v>
      </c>
      <c r="FO140" s="79">
        <f t="shared" si="825"/>
        <v>1.0043684958147485</v>
      </c>
      <c r="FP140" s="79">
        <f t="shared" si="825"/>
        <v>1.0043684958147485</v>
      </c>
      <c r="FQ140" s="79">
        <f t="shared" si="825"/>
        <v>1.0043684958147485</v>
      </c>
      <c r="FR140" s="79">
        <f t="shared" si="825"/>
        <v>1.0043684958147485</v>
      </c>
      <c r="FS140" s="79">
        <f t="shared" si="825"/>
        <v>1.0043684958147485</v>
      </c>
      <c r="FT140" s="79">
        <f t="shared" si="825"/>
        <v>1.0043684958147485</v>
      </c>
      <c r="FU140" s="79">
        <f t="shared" si="825"/>
        <v>1.0043684958147485</v>
      </c>
      <c r="FV140" s="79">
        <f t="shared" si="825"/>
        <v>1.0043684958147485</v>
      </c>
      <c r="FW140" s="79">
        <f t="shared" si="825"/>
        <v>1.0043684958147485</v>
      </c>
      <c r="FX140" s="79">
        <f t="shared" si="825"/>
        <v>1.0043684958147485</v>
      </c>
      <c r="FY140" s="79">
        <f t="shared" si="825"/>
        <v>1.0043684958147485</v>
      </c>
      <c r="FZ140" s="80"/>
    </row>
    <row r="141" spans="1:182" hidden="1" outlineLevel="1" x14ac:dyDescent="0.2">
      <c r="A141" s="81"/>
      <c r="B141" s="85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5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5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5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5"/>
      <c r="AY141" s="86"/>
      <c r="AZ141" s="86"/>
      <c r="BA141" s="86"/>
      <c r="BB141" s="86"/>
      <c r="BC141" s="86"/>
      <c r="BD141" s="86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W141" s="86"/>
      <c r="BX141" s="86"/>
      <c r="BY141" s="86"/>
      <c r="BZ141" s="86"/>
      <c r="CA141" s="86"/>
      <c r="CB141" s="86"/>
      <c r="CC141" s="86"/>
      <c r="CD141" s="86"/>
      <c r="CE141" s="86"/>
      <c r="CF141" s="86"/>
      <c r="CG141" s="86"/>
      <c r="CH141" s="86"/>
      <c r="CI141" s="86"/>
      <c r="CJ141" s="86"/>
      <c r="CK141" s="86"/>
      <c r="CL141" s="86"/>
      <c r="CM141" s="86"/>
      <c r="CN141" s="86"/>
      <c r="CO141" s="86"/>
      <c r="CP141" s="86"/>
      <c r="CQ141" s="86"/>
      <c r="CR141" s="86"/>
      <c r="CS141" s="86"/>
      <c r="CT141" s="86"/>
      <c r="CU141" s="86"/>
      <c r="CV141" s="86"/>
      <c r="CW141" s="86"/>
      <c r="CX141" s="86"/>
      <c r="CY141" s="86"/>
      <c r="CZ141" s="86"/>
      <c r="DA141" s="86"/>
      <c r="DB141" s="86"/>
      <c r="DC141" s="86"/>
      <c r="DD141" s="86"/>
      <c r="DE141" s="86"/>
      <c r="DF141" s="86"/>
      <c r="DG141" s="86"/>
      <c r="DH141" s="86"/>
      <c r="DI141" s="86"/>
      <c r="DJ141" s="86"/>
      <c r="DK141" s="86"/>
      <c r="DL141" s="86"/>
      <c r="DM141" s="86"/>
      <c r="DN141" s="86"/>
      <c r="DO141" s="86"/>
      <c r="DP141" s="86"/>
      <c r="DQ141" s="86"/>
      <c r="DR141" s="86"/>
      <c r="DS141" s="86"/>
      <c r="DT141" s="86"/>
      <c r="DU141" s="86"/>
      <c r="DV141" s="86"/>
      <c r="DW141" s="86"/>
      <c r="DX141" s="86"/>
      <c r="DY141" s="86"/>
      <c r="DZ141" s="86"/>
      <c r="EA141" s="86"/>
      <c r="EB141" s="86"/>
      <c r="EC141" s="86"/>
      <c r="ED141" s="86"/>
      <c r="EE141" s="86"/>
      <c r="EF141" s="86"/>
      <c r="EG141" s="86"/>
      <c r="EH141" s="86"/>
      <c r="EI141" s="86"/>
      <c r="EJ141" s="86"/>
      <c r="EK141" s="86"/>
      <c r="EL141" s="86"/>
      <c r="EM141" s="86"/>
      <c r="EN141" s="86"/>
      <c r="EO141" s="86"/>
      <c r="EP141" s="86"/>
      <c r="EQ141" s="86"/>
      <c r="ER141" s="86"/>
      <c r="ES141" s="86"/>
      <c r="ET141" s="86"/>
      <c r="EU141" s="86"/>
      <c r="EV141" s="86"/>
      <c r="EW141" s="86"/>
      <c r="EX141" s="86"/>
      <c r="EY141" s="86"/>
      <c r="EZ141" s="86"/>
      <c r="FA141" s="86"/>
      <c r="FB141" s="86"/>
      <c r="FC141" s="86"/>
      <c r="FD141" s="86"/>
      <c r="FE141" s="86"/>
      <c r="FF141" s="86"/>
      <c r="FG141" s="86"/>
      <c r="FH141" s="86"/>
      <c r="FI141" s="86"/>
      <c r="FJ141" s="86"/>
      <c r="FK141" s="86"/>
      <c r="FL141" s="86"/>
      <c r="FM141" s="86"/>
      <c r="FN141" s="86"/>
      <c r="FO141" s="86"/>
      <c r="FP141" s="86"/>
      <c r="FQ141" s="86"/>
      <c r="FR141" s="86"/>
      <c r="FS141" s="86"/>
      <c r="FT141" s="86"/>
      <c r="FU141" s="86"/>
      <c r="FV141" s="86"/>
      <c r="FW141" s="86"/>
      <c r="FX141" s="86"/>
      <c r="FY141" s="86"/>
      <c r="FZ141" s="86"/>
    </row>
    <row r="142" spans="1:182" hidden="1" outlineLevel="1" x14ac:dyDescent="0.2">
      <c r="A142" s="81" t="s">
        <v>148</v>
      </c>
      <c r="B142" s="82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2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2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2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2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80"/>
      <c r="CA142" s="80"/>
      <c r="CB142" s="80"/>
      <c r="CC142" s="80"/>
      <c r="CD142" s="80"/>
      <c r="CE142" s="80"/>
      <c r="CF142" s="80"/>
      <c r="CG142" s="80"/>
      <c r="CH142" s="80"/>
      <c r="CI142" s="80"/>
      <c r="CJ142" s="80"/>
      <c r="CK142" s="80"/>
      <c r="CL142" s="80"/>
      <c r="CM142" s="80"/>
      <c r="CN142" s="80"/>
      <c r="CO142" s="80"/>
      <c r="CP142" s="80"/>
      <c r="CQ142" s="80"/>
      <c r="CR142" s="80"/>
      <c r="CS142" s="80"/>
      <c r="CT142" s="80"/>
      <c r="CU142" s="80"/>
      <c r="CV142" s="80"/>
      <c r="CW142" s="80"/>
      <c r="CX142" s="80"/>
      <c r="CY142" s="80"/>
      <c r="CZ142" s="80"/>
      <c r="DA142" s="80"/>
      <c r="DB142" s="80"/>
      <c r="DC142" s="80"/>
      <c r="DD142" s="80"/>
      <c r="DE142" s="80"/>
      <c r="DF142" s="80"/>
      <c r="DG142" s="80"/>
      <c r="DH142" s="80"/>
      <c r="DI142" s="80"/>
      <c r="DJ142" s="80"/>
      <c r="DK142" s="80"/>
      <c r="DL142" s="80"/>
      <c r="DM142" s="80"/>
      <c r="DN142" s="80"/>
      <c r="DO142" s="80"/>
      <c r="DP142" s="80"/>
      <c r="DQ142" s="80"/>
      <c r="DR142" s="80"/>
      <c r="DS142" s="80"/>
      <c r="DT142" s="80"/>
      <c r="DU142" s="80"/>
      <c r="DV142" s="80"/>
      <c r="DW142" s="80"/>
      <c r="DX142" s="80"/>
      <c r="DY142" s="80"/>
      <c r="DZ142" s="80"/>
      <c r="EA142" s="80"/>
      <c r="EB142" s="80"/>
      <c r="EC142" s="80"/>
      <c r="ED142" s="80"/>
      <c r="EE142" s="80"/>
      <c r="EF142" s="80"/>
      <c r="EG142" s="80"/>
      <c r="EH142" s="80"/>
      <c r="EI142" s="80"/>
      <c r="EJ142" s="80"/>
      <c r="EK142" s="80"/>
      <c r="EL142" s="80"/>
      <c r="EM142" s="80"/>
      <c r="EN142" s="80"/>
      <c r="EO142" s="80"/>
      <c r="EP142" s="80"/>
      <c r="EQ142" s="80"/>
      <c r="ER142" s="80"/>
      <c r="ES142" s="80"/>
      <c r="ET142" s="80"/>
      <c r="EU142" s="80"/>
      <c r="EV142" s="80"/>
      <c r="EW142" s="80"/>
      <c r="EX142" s="80"/>
      <c r="EY142" s="80"/>
      <c r="EZ142" s="80"/>
      <c r="FA142" s="80"/>
      <c r="FB142" s="80"/>
      <c r="FC142" s="80"/>
      <c r="FD142" s="80"/>
      <c r="FE142" s="80"/>
      <c r="FF142" s="80"/>
      <c r="FG142" s="80"/>
      <c r="FH142" s="80"/>
      <c r="FI142" s="80"/>
      <c r="FJ142" s="80"/>
      <c r="FK142" s="80"/>
      <c r="FL142" s="80"/>
      <c r="FM142" s="80"/>
      <c r="FN142" s="80"/>
      <c r="FO142" s="80"/>
      <c r="FP142" s="80"/>
      <c r="FQ142" s="80"/>
      <c r="FR142" s="80"/>
      <c r="FS142" s="80"/>
      <c r="FT142" s="80"/>
      <c r="FU142" s="80"/>
      <c r="FV142" s="80"/>
      <c r="FW142" s="80"/>
      <c r="FX142" s="80"/>
      <c r="FY142" s="80"/>
      <c r="FZ142" s="80"/>
    </row>
    <row r="143" spans="1:182" s="293" customFormat="1" hidden="1" outlineLevel="1" x14ac:dyDescent="0.2">
      <c r="A143" s="83" t="s">
        <v>186</v>
      </c>
      <c r="B143" s="84">
        <f>(1/B140^IF((0-B138+1)&lt;0,0,(0-B138+1))-(1/B140^IF(((B147)-B138+1)&lt;0,0,((B147)-B138+1))))/(B140-1)</f>
        <v>11.615349980677049</v>
      </c>
      <c r="C143" s="85">
        <f t="shared" ref="C143:M143" si="826">(1/C140^IF((0-C138+1)&lt;0,0,(0-C138+1))-(1/C140^IF(((C147)-C138+1)&lt;0,0,((C147)-C138+1))))/(C140-1)</f>
        <v>11.666091588454478</v>
      </c>
      <c r="D143" s="85">
        <f t="shared" si="826"/>
        <v>10.717054860733144</v>
      </c>
      <c r="E143" s="85">
        <f t="shared" si="826"/>
        <v>9.7638722700386715</v>
      </c>
      <c r="F143" s="85">
        <f t="shared" si="826"/>
        <v>8.8065257051860577</v>
      </c>
      <c r="G143" s="85">
        <f t="shared" si="826"/>
        <v>7.8449969758716236</v>
      </c>
      <c r="H143" s="85">
        <f t="shared" si="826"/>
        <v>6.8792678123274458</v>
      </c>
      <c r="I143" s="85">
        <f t="shared" si="826"/>
        <v>5.9093198649741243</v>
      </c>
      <c r="J143" s="85">
        <f t="shared" si="826"/>
        <v>4.9351347040723015</v>
      </c>
      <c r="K143" s="85">
        <f t="shared" si="826"/>
        <v>3.9566938193722483</v>
      </c>
      <c r="L143" s="85">
        <f t="shared" si="826"/>
        <v>2.9739786197624354</v>
      </c>
      <c r="M143" s="85">
        <f t="shared" si="826"/>
        <v>1.9869704329160223</v>
      </c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  <c r="DO143" s="85"/>
      <c r="DP143" s="85"/>
      <c r="DQ143" s="85"/>
      <c r="DR143" s="85"/>
      <c r="DS143" s="85"/>
      <c r="DT143" s="85"/>
      <c r="DU143" s="85"/>
      <c r="DV143" s="85"/>
      <c r="DW143" s="85"/>
      <c r="DX143" s="85"/>
      <c r="DY143" s="85"/>
      <c r="DZ143" s="85"/>
      <c r="EA143" s="85"/>
      <c r="EB143" s="85"/>
      <c r="EC143" s="85"/>
      <c r="ED143" s="85"/>
      <c r="EE143" s="85"/>
      <c r="EF143" s="85"/>
      <c r="EG143" s="85"/>
      <c r="EH143" s="85"/>
      <c r="EI143" s="85"/>
      <c r="EJ143" s="85"/>
      <c r="EK143" s="85"/>
      <c r="EL143" s="85"/>
      <c r="EM143" s="85"/>
      <c r="EN143" s="85"/>
      <c r="EO143" s="85"/>
      <c r="EP143" s="85"/>
      <c r="EQ143" s="85"/>
      <c r="ER143" s="85"/>
      <c r="ES143" s="85"/>
      <c r="ET143" s="85"/>
      <c r="EU143" s="85"/>
      <c r="EV143" s="85"/>
      <c r="EW143" s="85"/>
      <c r="EX143" s="85"/>
      <c r="EY143" s="85"/>
      <c r="EZ143" s="85"/>
      <c r="FA143" s="85"/>
      <c r="FB143" s="85"/>
      <c r="FC143" s="85"/>
      <c r="FD143" s="85"/>
      <c r="FE143" s="85"/>
      <c r="FF143" s="85"/>
      <c r="FG143" s="85"/>
      <c r="FH143" s="85"/>
      <c r="FI143" s="85"/>
      <c r="FJ143" s="85"/>
      <c r="FK143" s="85"/>
      <c r="FL143" s="85"/>
      <c r="FM143" s="85"/>
      <c r="FN143" s="85"/>
      <c r="FO143" s="85"/>
      <c r="FP143" s="85"/>
      <c r="FQ143" s="85"/>
      <c r="FR143" s="85"/>
      <c r="FS143" s="85"/>
      <c r="FT143" s="85"/>
      <c r="FU143" s="85"/>
      <c r="FV143" s="85"/>
      <c r="FW143" s="85"/>
      <c r="FX143" s="85"/>
      <c r="FY143" s="85"/>
      <c r="FZ143" s="86"/>
    </row>
    <row r="144" spans="1:182" s="293" customFormat="1" hidden="1" outlineLevel="1" x14ac:dyDescent="0.2">
      <c r="A144" s="83" t="s">
        <v>187</v>
      </c>
      <c r="B144" s="84">
        <f t="shared" ref="B144:M144" si="827">(1/B140^IF((12-B138+1+(B138-0-1))&lt;0,0,(12-B138+1+(B138-0-1)))-(1/B140^IF((12+(B147)-B138+1)&lt;0,0,(12+(B147)-B138+1))))/(B140-1)</f>
        <v>11.968302634158947</v>
      </c>
      <c r="C144" s="85">
        <f t="shared" si="827"/>
        <v>11.071549386404531</v>
      </c>
      <c r="D144" s="85">
        <f t="shared" si="827"/>
        <v>10.170878675840484</v>
      </c>
      <c r="E144" s="85">
        <f t="shared" si="827"/>
        <v>9.2662733890468427</v>
      </c>
      <c r="F144" s="85">
        <f t="shared" si="827"/>
        <v>8.3577163378438684</v>
      </c>
      <c r="G144" s="85">
        <f t="shared" si="827"/>
        <v>7.4451902589652237</v>
      </c>
      <c r="H144" s="85">
        <f t="shared" si="827"/>
        <v>6.5286778137301731</v>
      </c>
      <c r="I144" s="85">
        <f t="shared" si="827"/>
        <v>5.6081615877139139</v>
      </c>
      <c r="J144" s="85">
        <f t="shared" si="827"/>
        <v>4.6836240904169326</v>
      </c>
      <c r="K144" s="85">
        <f t="shared" si="827"/>
        <v>3.7550477549323835</v>
      </c>
      <c r="L144" s="85">
        <f t="shared" si="827"/>
        <v>2.8224149376126033</v>
      </c>
      <c r="M144" s="85">
        <f t="shared" si="827"/>
        <v>1.8857079177336911</v>
      </c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85"/>
      <c r="AN144" s="85"/>
      <c r="AO144" s="85"/>
      <c r="AP144" s="85"/>
      <c r="AQ144" s="85"/>
      <c r="AR144" s="85"/>
      <c r="AS144" s="85"/>
      <c r="AT144" s="85"/>
      <c r="AU144" s="85"/>
      <c r="AV144" s="85"/>
      <c r="AW144" s="85"/>
      <c r="AX144" s="85"/>
      <c r="AY144" s="85"/>
      <c r="AZ144" s="85"/>
      <c r="BA144" s="85"/>
      <c r="BB144" s="85"/>
      <c r="BC144" s="85"/>
      <c r="BD144" s="85"/>
      <c r="BE144" s="85"/>
      <c r="BF144" s="85"/>
      <c r="BG144" s="85"/>
      <c r="BH144" s="85"/>
      <c r="BI144" s="85"/>
      <c r="BJ144" s="85"/>
      <c r="BK144" s="85"/>
      <c r="BL144" s="85"/>
      <c r="BM144" s="85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  <c r="DF144" s="85"/>
      <c r="DG144" s="85"/>
      <c r="DH144" s="85"/>
      <c r="DI144" s="85"/>
      <c r="DJ144" s="85"/>
      <c r="DK144" s="85"/>
      <c r="DL144" s="85"/>
      <c r="DM144" s="85"/>
      <c r="DN144" s="85"/>
      <c r="DO144" s="85"/>
      <c r="DP144" s="85"/>
      <c r="DQ144" s="85"/>
      <c r="DR144" s="85"/>
      <c r="DS144" s="85"/>
      <c r="DT144" s="85"/>
      <c r="DU144" s="85"/>
      <c r="DV144" s="85"/>
      <c r="DW144" s="85"/>
      <c r="DX144" s="85"/>
      <c r="DY144" s="85"/>
      <c r="DZ144" s="85"/>
      <c r="EA144" s="85"/>
      <c r="EB144" s="85"/>
      <c r="EC144" s="85"/>
      <c r="ED144" s="85"/>
      <c r="EE144" s="85"/>
      <c r="EF144" s="85"/>
      <c r="EG144" s="85"/>
      <c r="EH144" s="85"/>
      <c r="EI144" s="85"/>
      <c r="EJ144" s="85"/>
      <c r="EK144" s="85"/>
      <c r="EL144" s="85"/>
      <c r="EM144" s="85"/>
      <c r="EN144" s="85"/>
      <c r="EO144" s="85"/>
      <c r="EP144" s="85"/>
      <c r="EQ144" s="85"/>
      <c r="ER144" s="85"/>
      <c r="ES144" s="85"/>
      <c r="ET144" s="85"/>
      <c r="EU144" s="85"/>
      <c r="EV144" s="85"/>
      <c r="EW144" s="85"/>
      <c r="EX144" s="85"/>
      <c r="EY144" s="85"/>
      <c r="EZ144" s="85"/>
      <c r="FA144" s="85"/>
      <c r="FB144" s="85"/>
      <c r="FC144" s="85"/>
      <c r="FD144" s="85"/>
      <c r="FE144" s="85"/>
      <c r="FF144" s="85"/>
      <c r="FG144" s="85"/>
      <c r="FH144" s="85"/>
      <c r="FI144" s="85"/>
      <c r="FJ144" s="85"/>
      <c r="FK144" s="85"/>
      <c r="FL144" s="85"/>
      <c r="FM144" s="85"/>
      <c r="FN144" s="85"/>
      <c r="FO144" s="85"/>
      <c r="FP144" s="85"/>
      <c r="FQ144" s="85"/>
      <c r="FR144" s="85"/>
      <c r="FS144" s="85"/>
      <c r="FT144" s="85"/>
      <c r="FU144" s="85"/>
      <c r="FV144" s="85"/>
      <c r="FW144" s="85"/>
      <c r="FX144" s="85"/>
      <c r="FY144" s="85"/>
      <c r="FZ144" s="86"/>
    </row>
    <row r="145" spans="1:182" s="293" customFormat="1" hidden="1" outlineLevel="1" x14ac:dyDescent="0.2">
      <c r="A145" s="83" t="s">
        <v>188</v>
      </c>
      <c r="B145" s="84">
        <f t="shared" ref="B145:M145" si="828">(1/B140^IF((24-B138+1+(B138-0-1))&lt;0,0,(24-B138+1+(B138-0-1)))-(1/B140^IF((24+(B147)-B138+1)&lt;0,0,(24+(B147)-B138+1))))/(B140-1)</f>
        <v>11.358358768301255</v>
      </c>
      <c r="C145" s="85">
        <f t="shared" si="828"/>
        <v>10.507307000478871</v>
      </c>
      <c r="D145" s="85">
        <f t="shared" si="828"/>
        <v>9.6525374165706967</v>
      </c>
      <c r="E145" s="85">
        <f t="shared" si="828"/>
        <v>8.7940337753126183</v>
      </c>
      <c r="F145" s="85">
        <f t="shared" si="828"/>
        <v>7.9317797644907424</v>
      </c>
      <c r="G145" s="85">
        <f t="shared" si="828"/>
        <v>7.0657590006313509</v>
      </c>
      <c r="H145" s="85">
        <f t="shared" si="828"/>
        <v>6.1959550286895393</v>
      </c>
      <c r="I145" s="85">
        <f t="shared" si="828"/>
        <v>5.3223513217366634</v>
      </c>
      <c r="J145" s="85">
        <f t="shared" si="828"/>
        <v>4.4449312806462205</v>
      </c>
      <c r="K145" s="85">
        <f t="shared" si="828"/>
        <v>3.5636782337785338</v>
      </c>
      <c r="L145" s="85">
        <f t="shared" si="828"/>
        <v>2.678575436663837</v>
      </c>
      <c r="M145" s="85">
        <f t="shared" si="828"/>
        <v>1.7896060716843145</v>
      </c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5"/>
      <c r="BH145" s="85"/>
      <c r="BI145" s="85"/>
      <c r="BJ145" s="85"/>
      <c r="BK145" s="85"/>
      <c r="BL145" s="85"/>
      <c r="BM145" s="85"/>
      <c r="BN145" s="85"/>
      <c r="BO145" s="85"/>
      <c r="BP145" s="85"/>
      <c r="BQ145" s="85"/>
      <c r="BR145" s="85"/>
      <c r="BS145" s="85"/>
      <c r="BT145" s="85"/>
      <c r="BU145" s="85"/>
      <c r="BV145" s="85"/>
      <c r="BW145" s="85"/>
      <c r="BX145" s="85"/>
      <c r="BY145" s="85"/>
      <c r="BZ145" s="85"/>
      <c r="CA145" s="85"/>
      <c r="CB145" s="85"/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  <c r="CS145" s="85"/>
      <c r="CT145" s="85"/>
      <c r="CU145" s="85"/>
      <c r="CV145" s="85"/>
      <c r="CW145" s="85"/>
      <c r="CX145" s="85"/>
      <c r="CY145" s="85"/>
      <c r="CZ145" s="85"/>
      <c r="DA145" s="85"/>
      <c r="DB145" s="85"/>
      <c r="DC145" s="85"/>
      <c r="DD145" s="85"/>
      <c r="DE145" s="85"/>
      <c r="DF145" s="85"/>
      <c r="DG145" s="85"/>
      <c r="DH145" s="85"/>
      <c r="DI145" s="85"/>
      <c r="DJ145" s="85"/>
      <c r="DK145" s="85"/>
      <c r="DL145" s="85"/>
      <c r="DM145" s="85"/>
      <c r="DN145" s="85"/>
      <c r="DO145" s="85"/>
      <c r="DP145" s="85"/>
      <c r="DQ145" s="85"/>
      <c r="DR145" s="85"/>
      <c r="DS145" s="85"/>
      <c r="DT145" s="85"/>
      <c r="DU145" s="85"/>
      <c r="DV145" s="85"/>
      <c r="DW145" s="85"/>
      <c r="DX145" s="85"/>
      <c r="DY145" s="85"/>
      <c r="DZ145" s="85"/>
      <c r="EA145" s="85"/>
      <c r="EB145" s="85"/>
      <c r="EC145" s="85"/>
      <c r="ED145" s="85"/>
      <c r="EE145" s="85"/>
      <c r="EF145" s="85"/>
      <c r="EG145" s="85"/>
      <c r="EH145" s="85"/>
      <c r="EI145" s="85"/>
      <c r="EJ145" s="85"/>
      <c r="EK145" s="85"/>
      <c r="EL145" s="85"/>
      <c r="EM145" s="85"/>
      <c r="EN145" s="85"/>
      <c r="EO145" s="85"/>
      <c r="EP145" s="85"/>
      <c r="EQ145" s="85"/>
      <c r="ER145" s="85"/>
      <c r="ES145" s="85"/>
      <c r="ET145" s="85"/>
      <c r="EU145" s="85"/>
      <c r="EV145" s="85"/>
      <c r="EW145" s="85"/>
      <c r="EX145" s="85"/>
      <c r="EY145" s="85"/>
      <c r="EZ145" s="85"/>
      <c r="FA145" s="85"/>
      <c r="FB145" s="85"/>
      <c r="FC145" s="85"/>
      <c r="FD145" s="85"/>
      <c r="FE145" s="85"/>
      <c r="FF145" s="85"/>
      <c r="FG145" s="85"/>
      <c r="FH145" s="85"/>
      <c r="FI145" s="85"/>
      <c r="FJ145" s="85"/>
      <c r="FK145" s="85"/>
      <c r="FL145" s="85"/>
      <c r="FM145" s="85"/>
      <c r="FN145" s="85"/>
      <c r="FO145" s="85"/>
      <c r="FP145" s="85"/>
      <c r="FQ145" s="85"/>
      <c r="FR145" s="85"/>
      <c r="FS145" s="85"/>
      <c r="FT145" s="85"/>
      <c r="FU145" s="85"/>
      <c r="FV145" s="85"/>
      <c r="FW145" s="85"/>
      <c r="FX145" s="85"/>
      <c r="FY145" s="85"/>
      <c r="FZ145" s="86"/>
    </row>
    <row r="146" spans="1:182" hidden="1" outlineLevel="1" x14ac:dyDescent="0.2">
      <c r="A146" s="87" t="s">
        <v>172</v>
      </c>
      <c r="B146" s="65">
        <f t="shared" ref="B146:AG146" si="829">IF(IF((1-1)*12+1&lt;B21,B21,(1-1)*12+1)&gt;B22,B22,IF((1-1)*12+1&lt;B21,B21,(1-1)*12+1))</f>
        <v>1</v>
      </c>
      <c r="C146" s="57">
        <f t="shared" si="829"/>
        <v>1</v>
      </c>
      <c r="D146" s="57">
        <f t="shared" si="829"/>
        <v>1</v>
      </c>
      <c r="E146" s="57">
        <f t="shared" si="829"/>
        <v>1</v>
      </c>
      <c r="F146" s="57">
        <f t="shared" si="829"/>
        <v>1</v>
      </c>
      <c r="G146" s="57">
        <f t="shared" si="829"/>
        <v>1</v>
      </c>
      <c r="H146" s="57">
        <f t="shared" si="829"/>
        <v>1</v>
      </c>
      <c r="I146" s="57">
        <f t="shared" si="829"/>
        <v>1</v>
      </c>
      <c r="J146" s="57">
        <f t="shared" si="829"/>
        <v>1</v>
      </c>
      <c r="K146" s="57">
        <f t="shared" si="829"/>
        <v>1</v>
      </c>
      <c r="L146" s="57">
        <f t="shared" si="829"/>
        <v>1</v>
      </c>
      <c r="M146" s="57">
        <f t="shared" si="829"/>
        <v>1</v>
      </c>
      <c r="N146" s="57">
        <f t="shared" si="829"/>
        <v>1</v>
      </c>
      <c r="O146" s="57">
        <f t="shared" si="829"/>
        <v>1</v>
      </c>
      <c r="P146" s="57">
        <f t="shared" si="829"/>
        <v>1</v>
      </c>
      <c r="Q146" s="57">
        <f t="shared" si="829"/>
        <v>1</v>
      </c>
      <c r="R146" s="57">
        <f t="shared" si="829"/>
        <v>1</v>
      </c>
      <c r="S146" s="57">
        <f t="shared" si="829"/>
        <v>1</v>
      </c>
      <c r="T146" s="57">
        <f t="shared" si="829"/>
        <v>1</v>
      </c>
      <c r="U146" s="57">
        <f t="shared" si="829"/>
        <v>1</v>
      </c>
      <c r="V146" s="57">
        <f t="shared" si="829"/>
        <v>1</v>
      </c>
      <c r="W146" s="57">
        <f t="shared" si="829"/>
        <v>1</v>
      </c>
      <c r="X146" s="57">
        <f t="shared" si="829"/>
        <v>1</v>
      </c>
      <c r="Y146" s="57">
        <f t="shared" si="829"/>
        <v>1</v>
      </c>
      <c r="Z146" s="57">
        <f t="shared" si="829"/>
        <v>1</v>
      </c>
      <c r="AA146" s="57">
        <f t="shared" si="829"/>
        <v>1</v>
      </c>
      <c r="AB146" s="57">
        <f t="shared" si="829"/>
        <v>1</v>
      </c>
      <c r="AC146" s="57">
        <f t="shared" si="829"/>
        <v>1</v>
      </c>
      <c r="AD146" s="57">
        <f t="shared" si="829"/>
        <v>1</v>
      </c>
      <c r="AE146" s="57">
        <f t="shared" si="829"/>
        <v>1</v>
      </c>
      <c r="AF146" s="57">
        <f t="shared" si="829"/>
        <v>1</v>
      </c>
      <c r="AG146" s="57">
        <f t="shared" si="829"/>
        <v>1</v>
      </c>
      <c r="AH146" s="57">
        <f t="shared" ref="AH146:BH146" si="830">IF(IF((1-1)*12+1&lt;AH21,AH21,(1-1)*12+1)&gt;AH22,AH22,IF((1-1)*12+1&lt;AH21,AH21,(1-1)*12+1))</f>
        <v>1</v>
      </c>
      <c r="AI146" s="57">
        <f t="shared" si="830"/>
        <v>1</v>
      </c>
      <c r="AJ146" s="57">
        <f t="shared" si="830"/>
        <v>1</v>
      </c>
      <c r="AK146" s="57">
        <f t="shared" si="830"/>
        <v>1</v>
      </c>
      <c r="AL146" s="57">
        <f t="shared" si="830"/>
        <v>1</v>
      </c>
      <c r="AM146" s="57">
        <f t="shared" si="830"/>
        <v>1</v>
      </c>
      <c r="AN146" s="57">
        <f t="shared" si="830"/>
        <v>1</v>
      </c>
      <c r="AO146" s="57">
        <f t="shared" si="830"/>
        <v>1</v>
      </c>
      <c r="AP146" s="57">
        <f t="shared" si="830"/>
        <v>1</v>
      </c>
      <c r="AQ146" s="57">
        <f t="shared" si="830"/>
        <v>1</v>
      </c>
      <c r="AR146" s="57">
        <f t="shared" si="830"/>
        <v>1</v>
      </c>
      <c r="AS146" s="57">
        <f t="shared" si="830"/>
        <v>1</v>
      </c>
      <c r="AT146" s="57">
        <f t="shared" si="830"/>
        <v>1</v>
      </c>
      <c r="AU146" s="57">
        <f t="shared" si="830"/>
        <v>1</v>
      </c>
      <c r="AV146" s="57">
        <f t="shared" si="830"/>
        <v>1</v>
      </c>
      <c r="AW146" s="57">
        <f t="shared" si="830"/>
        <v>1</v>
      </c>
      <c r="AX146" s="57">
        <f t="shared" si="830"/>
        <v>1</v>
      </c>
      <c r="AY146" s="57">
        <f t="shared" si="830"/>
        <v>1</v>
      </c>
      <c r="AZ146" s="57">
        <f t="shared" si="830"/>
        <v>1</v>
      </c>
      <c r="BA146" s="57">
        <f t="shared" si="830"/>
        <v>1</v>
      </c>
      <c r="BB146" s="57">
        <f t="shared" si="830"/>
        <v>1</v>
      </c>
      <c r="BC146" s="57">
        <f t="shared" si="830"/>
        <v>1</v>
      </c>
      <c r="BD146" s="57">
        <f t="shared" si="830"/>
        <v>1</v>
      </c>
      <c r="BE146" s="57">
        <f t="shared" si="830"/>
        <v>1</v>
      </c>
      <c r="BF146" s="57">
        <f t="shared" si="830"/>
        <v>1</v>
      </c>
      <c r="BG146" s="57">
        <f t="shared" si="830"/>
        <v>1</v>
      </c>
      <c r="BH146" s="57">
        <f t="shared" si="830"/>
        <v>1</v>
      </c>
      <c r="BI146" s="57">
        <f t="shared" ref="BI146:DP146" si="831">IF(IF((1-1)*12+1&lt;BI21,BI21,(1-1)*12+1)&gt;BI22,BI22,IF((1-1)*12+1&lt;BI21,BI21,(1-1)*12+1))</f>
        <v>1</v>
      </c>
      <c r="BJ146" s="57">
        <f t="shared" si="831"/>
        <v>1</v>
      </c>
      <c r="BK146" s="57">
        <f t="shared" si="831"/>
        <v>1</v>
      </c>
      <c r="BL146" s="57">
        <f t="shared" si="831"/>
        <v>1</v>
      </c>
      <c r="BM146" s="57">
        <f t="shared" si="831"/>
        <v>1</v>
      </c>
      <c r="BN146" s="57">
        <f t="shared" si="831"/>
        <v>1</v>
      </c>
      <c r="BO146" s="57">
        <f t="shared" si="831"/>
        <v>1</v>
      </c>
      <c r="BP146" s="57">
        <f t="shared" si="831"/>
        <v>1</v>
      </c>
      <c r="BQ146" s="57">
        <f t="shared" si="831"/>
        <v>1</v>
      </c>
      <c r="BR146" s="57">
        <f t="shared" si="831"/>
        <v>1</v>
      </c>
      <c r="BS146" s="57">
        <f t="shared" si="831"/>
        <v>1</v>
      </c>
      <c r="BT146" s="57">
        <f t="shared" si="831"/>
        <v>1</v>
      </c>
      <c r="BU146" s="57">
        <f t="shared" si="831"/>
        <v>1</v>
      </c>
      <c r="BV146" s="57">
        <f t="shared" si="831"/>
        <v>1</v>
      </c>
      <c r="BW146" s="57">
        <f t="shared" si="831"/>
        <v>1</v>
      </c>
      <c r="BX146" s="57">
        <f t="shared" si="831"/>
        <v>1</v>
      </c>
      <c r="BY146" s="57">
        <f t="shared" si="831"/>
        <v>1</v>
      </c>
      <c r="BZ146" s="57">
        <f t="shared" si="831"/>
        <v>1</v>
      </c>
      <c r="CA146" s="57">
        <f t="shared" si="831"/>
        <v>1</v>
      </c>
      <c r="CB146" s="57">
        <f t="shared" si="831"/>
        <v>1</v>
      </c>
      <c r="CC146" s="57">
        <f t="shared" si="831"/>
        <v>1</v>
      </c>
      <c r="CD146" s="57">
        <f t="shared" si="831"/>
        <v>1</v>
      </c>
      <c r="CE146" s="57">
        <f t="shared" si="831"/>
        <v>1</v>
      </c>
      <c r="CF146" s="57">
        <f t="shared" si="831"/>
        <v>1</v>
      </c>
      <c r="CG146" s="57">
        <f t="shared" si="831"/>
        <v>1</v>
      </c>
      <c r="CH146" s="57">
        <f t="shared" si="831"/>
        <v>1</v>
      </c>
      <c r="CI146" s="57">
        <f t="shared" si="831"/>
        <v>1</v>
      </c>
      <c r="CJ146" s="57">
        <f t="shared" si="831"/>
        <v>1</v>
      </c>
      <c r="CK146" s="57">
        <f t="shared" si="831"/>
        <v>1</v>
      </c>
      <c r="CL146" s="57">
        <f t="shared" si="831"/>
        <v>1</v>
      </c>
      <c r="CM146" s="57">
        <f t="shared" si="831"/>
        <v>1</v>
      </c>
      <c r="CN146" s="57">
        <f t="shared" si="831"/>
        <v>1</v>
      </c>
      <c r="CO146" s="57">
        <f t="shared" si="831"/>
        <v>1</v>
      </c>
      <c r="CP146" s="57">
        <f t="shared" si="831"/>
        <v>1</v>
      </c>
      <c r="CQ146" s="57">
        <f t="shared" si="831"/>
        <v>1</v>
      </c>
      <c r="CR146" s="57">
        <f t="shared" si="831"/>
        <v>1</v>
      </c>
      <c r="CS146" s="57">
        <f t="shared" si="831"/>
        <v>1</v>
      </c>
      <c r="CT146" s="57">
        <f t="shared" si="831"/>
        <v>1</v>
      </c>
      <c r="CU146" s="57">
        <f t="shared" si="831"/>
        <v>1</v>
      </c>
      <c r="CV146" s="57">
        <f t="shared" si="831"/>
        <v>1</v>
      </c>
      <c r="CW146" s="57">
        <f t="shared" si="831"/>
        <v>1</v>
      </c>
      <c r="CX146" s="57">
        <f t="shared" si="831"/>
        <v>1</v>
      </c>
      <c r="CY146" s="57">
        <f t="shared" si="831"/>
        <v>1</v>
      </c>
      <c r="CZ146" s="57">
        <f t="shared" si="831"/>
        <v>1</v>
      </c>
      <c r="DA146" s="57">
        <f t="shared" si="831"/>
        <v>1</v>
      </c>
      <c r="DB146" s="57">
        <f t="shared" si="831"/>
        <v>1</v>
      </c>
      <c r="DC146" s="57">
        <f t="shared" si="831"/>
        <v>1</v>
      </c>
      <c r="DD146" s="57">
        <f t="shared" si="831"/>
        <v>1</v>
      </c>
      <c r="DE146" s="57">
        <f t="shared" si="831"/>
        <v>1</v>
      </c>
      <c r="DF146" s="57">
        <f t="shared" si="831"/>
        <v>1</v>
      </c>
      <c r="DG146" s="57">
        <f t="shared" si="831"/>
        <v>1</v>
      </c>
      <c r="DH146" s="57">
        <f t="shared" si="831"/>
        <v>1</v>
      </c>
      <c r="DI146" s="57">
        <f t="shared" si="831"/>
        <v>1</v>
      </c>
      <c r="DJ146" s="57">
        <f t="shared" si="831"/>
        <v>1</v>
      </c>
      <c r="DK146" s="57">
        <f t="shared" si="831"/>
        <v>1</v>
      </c>
      <c r="DL146" s="57">
        <f t="shared" si="831"/>
        <v>1</v>
      </c>
      <c r="DM146" s="57">
        <f t="shared" si="831"/>
        <v>1</v>
      </c>
      <c r="DN146" s="57">
        <f t="shared" si="831"/>
        <v>1</v>
      </c>
      <c r="DO146" s="57">
        <f t="shared" si="831"/>
        <v>1</v>
      </c>
      <c r="DP146" s="57">
        <f t="shared" si="831"/>
        <v>1</v>
      </c>
      <c r="DQ146" s="57">
        <f t="shared" ref="DQ146:FY146" si="832">IF(IF((1-1)*12+1&lt;DQ21,DQ21,(1-1)*12+1)&gt;DQ22,DQ22,IF((1-1)*12+1&lt;DQ21,DQ21,(1-1)*12+1))</f>
        <v>1</v>
      </c>
      <c r="DR146" s="57">
        <f t="shared" si="832"/>
        <v>1</v>
      </c>
      <c r="DS146" s="57">
        <f t="shared" si="832"/>
        <v>1</v>
      </c>
      <c r="DT146" s="57">
        <f t="shared" si="832"/>
        <v>1</v>
      </c>
      <c r="DU146" s="57">
        <f t="shared" si="832"/>
        <v>1</v>
      </c>
      <c r="DV146" s="57">
        <f t="shared" si="832"/>
        <v>1</v>
      </c>
      <c r="DW146" s="57">
        <f t="shared" si="832"/>
        <v>1</v>
      </c>
      <c r="DX146" s="57">
        <f t="shared" si="832"/>
        <v>1</v>
      </c>
      <c r="DY146" s="57">
        <f t="shared" si="832"/>
        <v>1</v>
      </c>
      <c r="DZ146" s="57">
        <f t="shared" si="832"/>
        <v>1</v>
      </c>
      <c r="EA146" s="57">
        <f t="shared" si="832"/>
        <v>1</v>
      </c>
      <c r="EB146" s="57">
        <f t="shared" si="832"/>
        <v>1</v>
      </c>
      <c r="EC146" s="57">
        <f t="shared" si="832"/>
        <v>1</v>
      </c>
      <c r="ED146" s="57">
        <f t="shared" si="832"/>
        <v>1</v>
      </c>
      <c r="EE146" s="57">
        <f t="shared" si="832"/>
        <v>1</v>
      </c>
      <c r="EF146" s="57">
        <f t="shared" si="832"/>
        <v>1</v>
      </c>
      <c r="EG146" s="57">
        <f t="shared" si="832"/>
        <v>1</v>
      </c>
      <c r="EH146" s="57">
        <f t="shared" si="832"/>
        <v>1</v>
      </c>
      <c r="EI146" s="57">
        <f t="shared" si="832"/>
        <v>1</v>
      </c>
      <c r="EJ146" s="57">
        <f t="shared" si="832"/>
        <v>1</v>
      </c>
      <c r="EK146" s="57">
        <f t="shared" si="832"/>
        <v>1</v>
      </c>
      <c r="EL146" s="57">
        <f t="shared" si="832"/>
        <v>1</v>
      </c>
      <c r="EM146" s="57">
        <f t="shared" si="832"/>
        <v>1</v>
      </c>
      <c r="EN146" s="57">
        <f t="shared" si="832"/>
        <v>1</v>
      </c>
      <c r="EO146" s="57">
        <f t="shared" si="832"/>
        <v>1</v>
      </c>
      <c r="EP146" s="57">
        <f t="shared" si="832"/>
        <v>1</v>
      </c>
      <c r="EQ146" s="57">
        <f t="shared" si="832"/>
        <v>1</v>
      </c>
      <c r="ER146" s="57">
        <f t="shared" si="832"/>
        <v>1</v>
      </c>
      <c r="ES146" s="57">
        <f t="shared" si="832"/>
        <v>1</v>
      </c>
      <c r="ET146" s="57">
        <f t="shared" si="832"/>
        <v>1</v>
      </c>
      <c r="EU146" s="57">
        <f t="shared" si="832"/>
        <v>1</v>
      </c>
      <c r="EV146" s="57">
        <f t="shared" si="832"/>
        <v>1</v>
      </c>
      <c r="EW146" s="57">
        <f t="shared" si="832"/>
        <v>1</v>
      </c>
      <c r="EX146" s="57">
        <f t="shared" si="832"/>
        <v>1</v>
      </c>
      <c r="EY146" s="57">
        <f t="shared" si="832"/>
        <v>1</v>
      </c>
      <c r="EZ146" s="57">
        <f t="shared" si="832"/>
        <v>1</v>
      </c>
      <c r="FA146" s="57">
        <f t="shared" si="832"/>
        <v>1</v>
      </c>
      <c r="FB146" s="57">
        <f t="shared" si="832"/>
        <v>1</v>
      </c>
      <c r="FC146" s="57">
        <f t="shared" si="832"/>
        <v>1</v>
      </c>
      <c r="FD146" s="57">
        <f t="shared" si="832"/>
        <v>1</v>
      </c>
      <c r="FE146" s="57">
        <f t="shared" si="832"/>
        <v>1</v>
      </c>
      <c r="FF146" s="57">
        <f t="shared" si="832"/>
        <v>1</v>
      </c>
      <c r="FG146" s="57">
        <f t="shared" si="832"/>
        <v>1</v>
      </c>
      <c r="FH146" s="57">
        <f t="shared" si="832"/>
        <v>1</v>
      </c>
      <c r="FI146" s="57">
        <f t="shared" si="832"/>
        <v>1</v>
      </c>
      <c r="FJ146" s="57">
        <f t="shared" si="832"/>
        <v>1</v>
      </c>
      <c r="FK146" s="57">
        <f t="shared" si="832"/>
        <v>1</v>
      </c>
      <c r="FL146" s="57">
        <f t="shared" si="832"/>
        <v>1</v>
      </c>
      <c r="FM146" s="57">
        <f t="shared" si="832"/>
        <v>1</v>
      </c>
      <c r="FN146" s="57">
        <f t="shared" si="832"/>
        <v>1</v>
      </c>
      <c r="FO146" s="57">
        <f t="shared" si="832"/>
        <v>1</v>
      </c>
      <c r="FP146" s="57">
        <f t="shared" si="832"/>
        <v>1</v>
      </c>
      <c r="FQ146" s="57">
        <f t="shared" si="832"/>
        <v>1</v>
      </c>
      <c r="FR146" s="57">
        <f t="shared" si="832"/>
        <v>1</v>
      </c>
      <c r="FS146" s="57">
        <f t="shared" si="832"/>
        <v>1</v>
      </c>
      <c r="FT146" s="57">
        <f t="shared" si="832"/>
        <v>1</v>
      </c>
      <c r="FU146" s="57">
        <f t="shared" si="832"/>
        <v>1</v>
      </c>
      <c r="FV146" s="57">
        <f t="shared" si="832"/>
        <v>1</v>
      </c>
      <c r="FW146" s="57">
        <f t="shared" si="832"/>
        <v>1</v>
      </c>
      <c r="FX146" s="57">
        <f t="shared" si="832"/>
        <v>1</v>
      </c>
      <c r="FY146" s="57">
        <f t="shared" si="832"/>
        <v>1</v>
      </c>
      <c r="FZ146" s="59"/>
    </row>
    <row r="147" spans="1:182" hidden="1" outlineLevel="1" x14ac:dyDescent="0.2">
      <c r="A147" s="87" t="s">
        <v>173</v>
      </c>
      <c r="B147" s="65">
        <f t="shared" ref="B147:AG147" si="833">IF(IF((1)*12&lt;B21,B21,(1)*12)&gt;B22,B22,IF((1)*12&lt;B21,B21,(1)*12))</f>
        <v>12</v>
      </c>
      <c r="C147" s="57">
        <f t="shared" si="833"/>
        <v>12</v>
      </c>
      <c r="D147" s="57">
        <f t="shared" si="833"/>
        <v>12</v>
      </c>
      <c r="E147" s="57">
        <f t="shared" si="833"/>
        <v>12</v>
      </c>
      <c r="F147" s="57">
        <f t="shared" si="833"/>
        <v>12</v>
      </c>
      <c r="G147" s="57">
        <f t="shared" si="833"/>
        <v>12</v>
      </c>
      <c r="H147" s="57">
        <f t="shared" si="833"/>
        <v>12</v>
      </c>
      <c r="I147" s="57">
        <f t="shared" si="833"/>
        <v>12</v>
      </c>
      <c r="J147" s="57">
        <f t="shared" si="833"/>
        <v>12</v>
      </c>
      <c r="K147" s="57">
        <f t="shared" si="833"/>
        <v>12</v>
      </c>
      <c r="L147" s="57">
        <f t="shared" si="833"/>
        <v>12</v>
      </c>
      <c r="M147" s="57">
        <f t="shared" si="833"/>
        <v>12</v>
      </c>
      <c r="N147" s="57">
        <f t="shared" si="833"/>
        <v>12</v>
      </c>
      <c r="O147" s="57">
        <f t="shared" si="833"/>
        <v>12</v>
      </c>
      <c r="P147" s="57">
        <f t="shared" si="833"/>
        <v>12</v>
      </c>
      <c r="Q147" s="57">
        <f t="shared" si="833"/>
        <v>12</v>
      </c>
      <c r="R147" s="57">
        <f t="shared" si="833"/>
        <v>12</v>
      </c>
      <c r="S147" s="57">
        <f t="shared" si="833"/>
        <v>12</v>
      </c>
      <c r="T147" s="57">
        <f t="shared" si="833"/>
        <v>12</v>
      </c>
      <c r="U147" s="57">
        <f t="shared" si="833"/>
        <v>12</v>
      </c>
      <c r="V147" s="57">
        <f t="shared" si="833"/>
        <v>12</v>
      </c>
      <c r="W147" s="57">
        <f t="shared" si="833"/>
        <v>12</v>
      </c>
      <c r="X147" s="57">
        <f t="shared" si="833"/>
        <v>12</v>
      </c>
      <c r="Y147" s="57">
        <f t="shared" si="833"/>
        <v>12</v>
      </c>
      <c r="Z147" s="57">
        <f t="shared" si="833"/>
        <v>12</v>
      </c>
      <c r="AA147" s="57">
        <f t="shared" si="833"/>
        <v>12</v>
      </c>
      <c r="AB147" s="57">
        <f t="shared" si="833"/>
        <v>12</v>
      </c>
      <c r="AC147" s="57">
        <f t="shared" si="833"/>
        <v>12</v>
      </c>
      <c r="AD147" s="57">
        <f t="shared" si="833"/>
        <v>12</v>
      </c>
      <c r="AE147" s="57">
        <f t="shared" si="833"/>
        <v>12</v>
      </c>
      <c r="AF147" s="57">
        <f t="shared" si="833"/>
        <v>12</v>
      </c>
      <c r="AG147" s="57">
        <f t="shared" si="833"/>
        <v>12</v>
      </c>
      <c r="AH147" s="57">
        <f t="shared" ref="AH147:BH147" si="834">IF(IF((1)*12&lt;AH21,AH21,(1)*12)&gt;AH22,AH22,IF((1)*12&lt;AH21,AH21,(1)*12))</f>
        <v>12</v>
      </c>
      <c r="AI147" s="57">
        <f t="shared" si="834"/>
        <v>12</v>
      </c>
      <c r="AJ147" s="57">
        <f t="shared" si="834"/>
        <v>12</v>
      </c>
      <c r="AK147" s="57">
        <f t="shared" si="834"/>
        <v>12</v>
      </c>
      <c r="AL147" s="57">
        <f t="shared" si="834"/>
        <v>12</v>
      </c>
      <c r="AM147" s="57">
        <f t="shared" si="834"/>
        <v>12</v>
      </c>
      <c r="AN147" s="57">
        <f t="shared" si="834"/>
        <v>12</v>
      </c>
      <c r="AO147" s="57">
        <f t="shared" si="834"/>
        <v>12</v>
      </c>
      <c r="AP147" s="57">
        <f t="shared" si="834"/>
        <v>12</v>
      </c>
      <c r="AQ147" s="57">
        <f t="shared" si="834"/>
        <v>12</v>
      </c>
      <c r="AR147" s="57">
        <f t="shared" si="834"/>
        <v>12</v>
      </c>
      <c r="AS147" s="57">
        <f t="shared" si="834"/>
        <v>12</v>
      </c>
      <c r="AT147" s="57">
        <f t="shared" si="834"/>
        <v>12</v>
      </c>
      <c r="AU147" s="57">
        <f t="shared" si="834"/>
        <v>12</v>
      </c>
      <c r="AV147" s="57">
        <f t="shared" si="834"/>
        <v>12</v>
      </c>
      <c r="AW147" s="57">
        <f t="shared" si="834"/>
        <v>12</v>
      </c>
      <c r="AX147" s="57">
        <f t="shared" si="834"/>
        <v>12</v>
      </c>
      <c r="AY147" s="57">
        <f t="shared" si="834"/>
        <v>12</v>
      </c>
      <c r="AZ147" s="57">
        <f t="shared" si="834"/>
        <v>12</v>
      </c>
      <c r="BA147" s="57">
        <f t="shared" si="834"/>
        <v>12</v>
      </c>
      <c r="BB147" s="57">
        <f t="shared" si="834"/>
        <v>12</v>
      </c>
      <c r="BC147" s="57">
        <f t="shared" si="834"/>
        <v>12</v>
      </c>
      <c r="BD147" s="57">
        <f t="shared" si="834"/>
        <v>12</v>
      </c>
      <c r="BE147" s="57">
        <f t="shared" si="834"/>
        <v>12</v>
      </c>
      <c r="BF147" s="57">
        <f t="shared" si="834"/>
        <v>12</v>
      </c>
      <c r="BG147" s="57">
        <f t="shared" si="834"/>
        <v>12</v>
      </c>
      <c r="BH147" s="57">
        <f t="shared" si="834"/>
        <v>12</v>
      </c>
      <c r="BI147" s="57">
        <f t="shared" ref="BI147:DP147" si="835">IF(IF((1)*12&lt;BI21,BI21,(1)*12)&gt;BI22,BI22,IF((1)*12&lt;BI21,BI21,(1)*12))</f>
        <v>12</v>
      </c>
      <c r="BJ147" s="57">
        <f t="shared" si="835"/>
        <v>12</v>
      </c>
      <c r="BK147" s="57">
        <f t="shared" si="835"/>
        <v>12</v>
      </c>
      <c r="BL147" s="57">
        <f t="shared" si="835"/>
        <v>12</v>
      </c>
      <c r="BM147" s="57">
        <f t="shared" si="835"/>
        <v>12</v>
      </c>
      <c r="BN147" s="57">
        <f t="shared" si="835"/>
        <v>12</v>
      </c>
      <c r="BO147" s="57">
        <f t="shared" si="835"/>
        <v>12</v>
      </c>
      <c r="BP147" s="57">
        <f t="shared" si="835"/>
        <v>12</v>
      </c>
      <c r="BQ147" s="57">
        <f t="shared" si="835"/>
        <v>12</v>
      </c>
      <c r="BR147" s="57">
        <f t="shared" si="835"/>
        <v>12</v>
      </c>
      <c r="BS147" s="57">
        <f t="shared" si="835"/>
        <v>12</v>
      </c>
      <c r="BT147" s="57">
        <f t="shared" si="835"/>
        <v>12</v>
      </c>
      <c r="BU147" s="57">
        <f t="shared" si="835"/>
        <v>12</v>
      </c>
      <c r="BV147" s="57">
        <f t="shared" si="835"/>
        <v>12</v>
      </c>
      <c r="BW147" s="57">
        <f t="shared" si="835"/>
        <v>12</v>
      </c>
      <c r="BX147" s="57">
        <f t="shared" si="835"/>
        <v>12</v>
      </c>
      <c r="BY147" s="57">
        <f t="shared" si="835"/>
        <v>12</v>
      </c>
      <c r="BZ147" s="57">
        <f t="shared" si="835"/>
        <v>12</v>
      </c>
      <c r="CA147" s="57">
        <f t="shared" si="835"/>
        <v>12</v>
      </c>
      <c r="CB147" s="57">
        <f t="shared" si="835"/>
        <v>12</v>
      </c>
      <c r="CC147" s="57">
        <f t="shared" si="835"/>
        <v>12</v>
      </c>
      <c r="CD147" s="57">
        <f t="shared" si="835"/>
        <v>12</v>
      </c>
      <c r="CE147" s="57">
        <f t="shared" si="835"/>
        <v>12</v>
      </c>
      <c r="CF147" s="57">
        <f t="shared" si="835"/>
        <v>12</v>
      </c>
      <c r="CG147" s="57">
        <f t="shared" si="835"/>
        <v>12</v>
      </c>
      <c r="CH147" s="57">
        <f t="shared" si="835"/>
        <v>12</v>
      </c>
      <c r="CI147" s="57">
        <f t="shared" si="835"/>
        <v>12</v>
      </c>
      <c r="CJ147" s="57">
        <f t="shared" si="835"/>
        <v>12</v>
      </c>
      <c r="CK147" s="57">
        <f t="shared" si="835"/>
        <v>12</v>
      </c>
      <c r="CL147" s="57">
        <f t="shared" si="835"/>
        <v>12</v>
      </c>
      <c r="CM147" s="57">
        <f t="shared" si="835"/>
        <v>12</v>
      </c>
      <c r="CN147" s="57">
        <f t="shared" si="835"/>
        <v>12</v>
      </c>
      <c r="CO147" s="57">
        <f t="shared" si="835"/>
        <v>12</v>
      </c>
      <c r="CP147" s="57">
        <f t="shared" si="835"/>
        <v>12</v>
      </c>
      <c r="CQ147" s="57">
        <f t="shared" si="835"/>
        <v>12</v>
      </c>
      <c r="CR147" s="57">
        <f t="shared" si="835"/>
        <v>12</v>
      </c>
      <c r="CS147" s="57">
        <f t="shared" si="835"/>
        <v>12</v>
      </c>
      <c r="CT147" s="57">
        <f t="shared" si="835"/>
        <v>12</v>
      </c>
      <c r="CU147" s="57">
        <f t="shared" si="835"/>
        <v>12</v>
      </c>
      <c r="CV147" s="57">
        <f t="shared" si="835"/>
        <v>12</v>
      </c>
      <c r="CW147" s="57">
        <f t="shared" si="835"/>
        <v>12</v>
      </c>
      <c r="CX147" s="57">
        <f t="shared" si="835"/>
        <v>12</v>
      </c>
      <c r="CY147" s="57">
        <f t="shared" si="835"/>
        <v>12</v>
      </c>
      <c r="CZ147" s="57">
        <f t="shared" si="835"/>
        <v>12</v>
      </c>
      <c r="DA147" s="57">
        <f t="shared" si="835"/>
        <v>12</v>
      </c>
      <c r="DB147" s="57">
        <f t="shared" si="835"/>
        <v>12</v>
      </c>
      <c r="DC147" s="57">
        <f t="shared" si="835"/>
        <v>12</v>
      </c>
      <c r="DD147" s="57">
        <f t="shared" si="835"/>
        <v>12</v>
      </c>
      <c r="DE147" s="57">
        <f t="shared" si="835"/>
        <v>12</v>
      </c>
      <c r="DF147" s="57">
        <f t="shared" si="835"/>
        <v>12</v>
      </c>
      <c r="DG147" s="57">
        <f t="shared" si="835"/>
        <v>12</v>
      </c>
      <c r="DH147" s="57">
        <f t="shared" si="835"/>
        <v>12</v>
      </c>
      <c r="DI147" s="57">
        <f t="shared" si="835"/>
        <v>12</v>
      </c>
      <c r="DJ147" s="57">
        <f t="shared" si="835"/>
        <v>12</v>
      </c>
      <c r="DK147" s="57">
        <f t="shared" si="835"/>
        <v>12</v>
      </c>
      <c r="DL147" s="57">
        <f t="shared" si="835"/>
        <v>12</v>
      </c>
      <c r="DM147" s="57">
        <f t="shared" si="835"/>
        <v>12</v>
      </c>
      <c r="DN147" s="57">
        <f t="shared" si="835"/>
        <v>12</v>
      </c>
      <c r="DO147" s="57">
        <f t="shared" si="835"/>
        <v>12</v>
      </c>
      <c r="DP147" s="57">
        <f t="shared" si="835"/>
        <v>12</v>
      </c>
      <c r="DQ147" s="57">
        <f t="shared" ref="DQ147:FY147" si="836">IF(IF((1)*12&lt;DQ21,DQ21,(1)*12)&gt;DQ22,DQ22,IF((1)*12&lt;DQ21,DQ21,(1)*12))</f>
        <v>12</v>
      </c>
      <c r="DR147" s="57">
        <f t="shared" si="836"/>
        <v>12</v>
      </c>
      <c r="DS147" s="57">
        <f t="shared" si="836"/>
        <v>12</v>
      </c>
      <c r="DT147" s="57">
        <f t="shared" si="836"/>
        <v>12</v>
      </c>
      <c r="DU147" s="57">
        <f t="shared" si="836"/>
        <v>12</v>
      </c>
      <c r="DV147" s="57">
        <f t="shared" si="836"/>
        <v>12</v>
      </c>
      <c r="DW147" s="57">
        <f t="shared" si="836"/>
        <v>12</v>
      </c>
      <c r="DX147" s="57">
        <f t="shared" si="836"/>
        <v>12</v>
      </c>
      <c r="DY147" s="57">
        <f t="shared" si="836"/>
        <v>12</v>
      </c>
      <c r="DZ147" s="57">
        <f t="shared" si="836"/>
        <v>12</v>
      </c>
      <c r="EA147" s="57">
        <f t="shared" si="836"/>
        <v>12</v>
      </c>
      <c r="EB147" s="57">
        <f t="shared" si="836"/>
        <v>12</v>
      </c>
      <c r="EC147" s="57">
        <f t="shared" si="836"/>
        <v>12</v>
      </c>
      <c r="ED147" s="57">
        <f t="shared" si="836"/>
        <v>12</v>
      </c>
      <c r="EE147" s="57">
        <f t="shared" si="836"/>
        <v>12</v>
      </c>
      <c r="EF147" s="57">
        <f t="shared" si="836"/>
        <v>12</v>
      </c>
      <c r="EG147" s="57">
        <f t="shared" si="836"/>
        <v>12</v>
      </c>
      <c r="EH147" s="57">
        <f t="shared" si="836"/>
        <v>12</v>
      </c>
      <c r="EI147" s="57">
        <f t="shared" si="836"/>
        <v>12</v>
      </c>
      <c r="EJ147" s="57">
        <f t="shared" si="836"/>
        <v>12</v>
      </c>
      <c r="EK147" s="57">
        <f t="shared" si="836"/>
        <v>12</v>
      </c>
      <c r="EL147" s="57">
        <f t="shared" si="836"/>
        <v>12</v>
      </c>
      <c r="EM147" s="57">
        <f t="shared" si="836"/>
        <v>12</v>
      </c>
      <c r="EN147" s="57">
        <f t="shared" si="836"/>
        <v>12</v>
      </c>
      <c r="EO147" s="57">
        <f t="shared" si="836"/>
        <v>12</v>
      </c>
      <c r="EP147" s="57">
        <f t="shared" si="836"/>
        <v>12</v>
      </c>
      <c r="EQ147" s="57">
        <f t="shared" si="836"/>
        <v>12</v>
      </c>
      <c r="ER147" s="57">
        <f t="shared" si="836"/>
        <v>12</v>
      </c>
      <c r="ES147" s="57">
        <f t="shared" si="836"/>
        <v>12</v>
      </c>
      <c r="ET147" s="57">
        <f t="shared" si="836"/>
        <v>12</v>
      </c>
      <c r="EU147" s="57">
        <f t="shared" si="836"/>
        <v>12</v>
      </c>
      <c r="EV147" s="57">
        <f t="shared" si="836"/>
        <v>12</v>
      </c>
      <c r="EW147" s="57">
        <f t="shared" si="836"/>
        <v>12</v>
      </c>
      <c r="EX147" s="57">
        <f t="shared" si="836"/>
        <v>12</v>
      </c>
      <c r="EY147" s="57">
        <f t="shared" si="836"/>
        <v>12</v>
      </c>
      <c r="EZ147" s="57">
        <f t="shared" si="836"/>
        <v>12</v>
      </c>
      <c r="FA147" s="57">
        <f t="shared" si="836"/>
        <v>12</v>
      </c>
      <c r="FB147" s="57">
        <f t="shared" si="836"/>
        <v>12</v>
      </c>
      <c r="FC147" s="57">
        <f t="shared" si="836"/>
        <v>12</v>
      </c>
      <c r="FD147" s="57">
        <f t="shared" si="836"/>
        <v>12</v>
      </c>
      <c r="FE147" s="57">
        <f t="shared" si="836"/>
        <v>12</v>
      </c>
      <c r="FF147" s="57">
        <f t="shared" si="836"/>
        <v>12</v>
      </c>
      <c r="FG147" s="57">
        <f t="shared" si="836"/>
        <v>12</v>
      </c>
      <c r="FH147" s="57">
        <f t="shared" si="836"/>
        <v>12</v>
      </c>
      <c r="FI147" s="57">
        <f t="shared" si="836"/>
        <v>12</v>
      </c>
      <c r="FJ147" s="57">
        <f t="shared" si="836"/>
        <v>12</v>
      </c>
      <c r="FK147" s="57">
        <f t="shared" si="836"/>
        <v>12</v>
      </c>
      <c r="FL147" s="57">
        <f t="shared" si="836"/>
        <v>12</v>
      </c>
      <c r="FM147" s="57">
        <f t="shared" si="836"/>
        <v>12</v>
      </c>
      <c r="FN147" s="57">
        <f t="shared" si="836"/>
        <v>12</v>
      </c>
      <c r="FO147" s="57">
        <f t="shared" si="836"/>
        <v>12</v>
      </c>
      <c r="FP147" s="57">
        <f t="shared" si="836"/>
        <v>12</v>
      </c>
      <c r="FQ147" s="57">
        <f t="shared" si="836"/>
        <v>12</v>
      </c>
      <c r="FR147" s="57">
        <f t="shared" si="836"/>
        <v>12</v>
      </c>
      <c r="FS147" s="57">
        <f t="shared" si="836"/>
        <v>12</v>
      </c>
      <c r="FT147" s="57">
        <f t="shared" si="836"/>
        <v>12</v>
      </c>
      <c r="FU147" s="57">
        <f t="shared" si="836"/>
        <v>12</v>
      </c>
      <c r="FV147" s="57">
        <f t="shared" si="836"/>
        <v>12</v>
      </c>
      <c r="FW147" s="57">
        <f t="shared" si="836"/>
        <v>12</v>
      </c>
      <c r="FX147" s="57">
        <f t="shared" si="836"/>
        <v>12</v>
      </c>
      <c r="FY147" s="57">
        <f t="shared" si="836"/>
        <v>12</v>
      </c>
      <c r="FZ147" s="59"/>
    </row>
    <row r="148" spans="1:182" hidden="1" outlineLevel="1" x14ac:dyDescent="0.2">
      <c r="A148" s="81"/>
      <c r="B148" s="8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2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2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2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2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80"/>
      <c r="CA148" s="80"/>
      <c r="CB148" s="80"/>
      <c r="CC148" s="80"/>
      <c r="CD148" s="80"/>
      <c r="CE148" s="80"/>
      <c r="CF148" s="80"/>
      <c r="CG148" s="80"/>
      <c r="CH148" s="80"/>
      <c r="CI148" s="80"/>
      <c r="CJ148" s="80"/>
      <c r="CK148" s="80"/>
      <c r="CL148" s="80"/>
      <c r="CM148" s="80"/>
      <c r="CN148" s="80"/>
      <c r="CO148" s="80"/>
      <c r="CP148" s="80"/>
      <c r="CQ148" s="80"/>
      <c r="CR148" s="80"/>
      <c r="CS148" s="80"/>
      <c r="CT148" s="80"/>
      <c r="CU148" s="80"/>
      <c r="CV148" s="80"/>
      <c r="CW148" s="80"/>
      <c r="CX148" s="80"/>
      <c r="CY148" s="80"/>
      <c r="CZ148" s="80"/>
      <c r="DA148" s="80"/>
      <c r="DB148" s="80"/>
      <c r="DC148" s="80"/>
      <c r="DD148" s="80"/>
      <c r="DE148" s="80"/>
      <c r="DF148" s="80"/>
      <c r="DG148" s="80"/>
      <c r="DH148" s="80"/>
      <c r="DI148" s="80"/>
      <c r="DJ148" s="80"/>
      <c r="DK148" s="80"/>
      <c r="DL148" s="80"/>
      <c r="DM148" s="80"/>
      <c r="DN148" s="80"/>
      <c r="DO148" s="80"/>
      <c r="DP148" s="80"/>
      <c r="DQ148" s="80"/>
      <c r="DR148" s="80"/>
      <c r="DS148" s="80"/>
      <c r="DT148" s="80"/>
      <c r="DU148" s="80"/>
      <c r="DV148" s="80"/>
      <c r="DW148" s="80"/>
      <c r="DX148" s="80"/>
      <c r="DY148" s="80"/>
      <c r="DZ148" s="80"/>
      <c r="EA148" s="80"/>
      <c r="EB148" s="80"/>
      <c r="EC148" s="80"/>
      <c r="ED148" s="80"/>
      <c r="EE148" s="80"/>
      <c r="EF148" s="80"/>
      <c r="EG148" s="80"/>
      <c r="EH148" s="80"/>
      <c r="EI148" s="80"/>
      <c r="EJ148" s="80"/>
      <c r="EK148" s="80"/>
      <c r="EL148" s="80"/>
      <c r="EM148" s="80"/>
      <c r="EN148" s="80"/>
      <c r="EO148" s="80"/>
      <c r="EP148" s="80"/>
      <c r="EQ148" s="80"/>
      <c r="ER148" s="80"/>
      <c r="ES148" s="80"/>
      <c r="ET148" s="80"/>
      <c r="EU148" s="80"/>
      <c r="EV148" s="80"/>
      <c r="EW148" s="80"/>
      <c r="EX148" s="80"/>
      <c r="EY148" s="80"/>
      <c r="EZ148" s="80"/>
      <c r="FA148" s="80"/>
      <c r="FB148" s="80"/>
      <c r="FC148" s="80"/>
      <c r="FD148" s="80"/>
      <c r="FE148" s="80"/>
      <c r="FF148" s="80"/>
      <c r="FG148" s="80"/>
      <c r="FH148" s="80"/>
      <c r="FI148" s="80"/>
      <c r="FJ148" s="80"/>
      <c r="FK148" s="80"/>
      <c r="FL148" s="80"/>
      <c r="FM148" s="80"/>
      <c r="FN148" s="80"/>
      <c r="FO148" s="80"/>
      <c r="FP148" s="80"/>
      <c r="FQ148" s="80"/>
      <c r="FR148" s="80"/>
      <c r="FS148" s="80"/>
      <c r="FT148" s="80"/>
      <c r="FU148" s="80"/>
      <c r="FV148" s="80"/>
      <c r="FW148" s="80"/>
      <c r="FX148" s="80"/>
      <c r="FY148" s="80"/>
      <c r="FZ148" s="80"/>
    </row>
    <row r="149" spans="1:182" hidden="1" outlineLevel="1" x14ac:dyDescent="0.2">
      <c r="A149" s="81" t="s">
        <v>149</v>
      </c>
      <c r="B149" s="8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2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2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2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2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80"/>
      <c r="CA149" s="80"/>
      <c r="CB149" s="80"/>
      <c r="CC149" s="80"/>
      <c r="CD149" s="80"/>
      <c r="CE149" s="80"/>
      <c r="CF149" s="80"/>
      <c r="CG149" s="80"/>
      <c r="CH149" s="80"/>
      <c r="CI149" s="80"/>
      <c r="CJ149" s="80"/>
      <c r="CK149" s="80"/>
      <c r="CL149" s="80"/>
      <c r="CM149" s="80"/>
      <c r="CN149" s="80"/>
      <c r="CO149" s="80"/>
      <c r="CP149" s="80"/>
      <c r="CQ149" s="80"/>
      <c r="CR149" s="80"/>
      <c r="CS149" s="80"/>
      <c r="CT149" s="80"/>
      <c r="CU149" s="80"/>
      <c r="CV149" s="80"/>
      <c r="CW149" s="80"/>
      <c r="CX149" s="80"/>
      <c r="CY149" s="80"/>
      <c r="CZ149" s="80"/>
      <c r="DA149" s="80"/>
      <c r="DB149" s="80"/>
      <c r="DC149" s="80"/>
      <c r="DD149" s="80"/>
      <c r="DE149" s="80"/>
      <c r="DF149" s="80"/>
      <c r="DG149" s="80"/>
      <c r="DH149" s="80"/>
      <c r="DI149" s="80"/>
      <c r="DJ149" s="80"/>
      <c r="DK149" s="80"/>
      <c r="DL149" s="80"/>
      <c r="DM149" s="80"/>
      <c r="DN149" s="80"/>
      <c r="DO149" s="80"/>
      <c r="DP149" s="80"/>
      <c r="DQ149" s="80"/>
      <c r="DR149" s="80"/>
      <c r="DS149" s="80"/>
      <c r="DT149" s="80"/>
      <c r="DU149" s="80"/>
      <c r="DV149" s="80"/>
      <c r="DW149" s="80"/>
      <c r="DX149" s="80"/>
      <c r="DY149" s="80"/>
      <c r="DZ149" s="80"/>
      <c r="EA149" s="80"/>
      <c r="EB149" s="80"/>
      <c r="EC149" s="80"/>
      <c r="ED149" s="80"/>
      <c r="EE149" s="80"/>
      <c r="EF149" s="80"/>
      <c r="EG149" s="80"/>
      <c r="EH149" s="80"/>
      <c r="EI149" s="80"/>
      <c r="EJ149" s="80"/>
      <c r="EK149" s="80"/>
      <c r="EL149" s="80"/>
      <c r="EM149" s="80"/>
      <c r="EN149" s="80"/>
      <c r="EO149" s="80"/>
      <c r="EP149" s="80"/>
      <c r="EQ149" s="80"/>
      <c r="ER149" s="80"/>
      <c r="ES149" s="80"/>
      <c r="ET149" s="80"/>
      <c r="EU149" s="80"/>
      <c r="EV149" s="80"/>
      <c r="EW149" s="80"/>
      <c r="EX149" s="80"/>
      <c r="EY149" s="80"/>
      <c r="EZ149" s="80"/>
      <c r="FA149" s="80"/>
      <c r="FB149" s="80"/>
      <c r="FC149" s="80"/>
      <c r="FD149" s="80"/>
      <c r="FE149" s="80"/>
      <c r="FF149" s="80"/>
      <c r="FG149" s="80"/>
      <c r="FH149" s="80"/>
      <c r="FI149" s="80"/>
      <c r="FJ149" s="80"/>
      <c r="FK149" s="80"/>
      <c r="FL149" s="80"/>
      <c r="FM149" s="80"/>
      <c r="FN149" s="80"/>
      <c r="FO149" s="80"/>
      <c r="FP149" s="80"/>
      <c r="FQ149" s="80"/>
      <c r="FR149" s="80"/>
      <c r="FS149" s="80"/>
      <c r="FT149" s="80"/>
      <c r="FU149" s="80"/>
      <c r="FV149" s="80"/>
      <c r="FW149" s="80"/>
      <c r="FX149" s="80"/>
      <c r="FY149" s="80"/>
      <c r="FZ149" s="80"/>
    </row>
    <row r="150" spans="1:182" s="293" customFormat="1" hidden="1" outlineLevel="1" x14ac:dyDescent="0.2">
      <c r="A150" s="83" t="s">
        <v>186</v>
      </c>
      <c r="B150" s="84">
        <f t="shared" ref="B150:Y150" si="837">(1/B140^IF((12-B138+1)&lt;0,0,(12-B138+1))-(1/B140^IF(((B154)-B138+1)&lt;0,0,((B154)-B138+1))))/(B140-1)</f>
        <v>11.023393737000152</v>
      </c>
      <c r="C150" s="85">
        <f t="shared" si="837"/>
        <v>11.071549386404531</v>
      </c>
      <c r="D150" s="85">
        <f t="shared" si="837"/>
        <v>11.119915403561818</v>
      </c>
      <c r="E150" s="85">
        <f t="shared" si="837"/>
        <v>11.168492707462649</v>
      </c>
      <c r="F150" s="85">
        <f t="shared" si="837"/>
        <v>11.217282221112288</v>
      </c>
      <c r="G150" s="85">
        <f t="shared" si="837"/>
        <v>11.266284871548079</v>
      </c>
      <c r="H150" s="85">
        <f t="shared" si="837"/>
        <v>11.315501589857206</v>
      </c>
      <c r="I150" s="85">
        <f t="shared" si="837"/>
        <v>11.364933311194267</v>
      </c>
      <c r="J150" s="85">
        <f t="shared" si="837"/>
        <v>11.414580974799108</v>
      </c>
      <c r="K150" s="85">
        <f t="shared" si="837"/>
        <v>11.464445524014613</v>
      </c>
      <c r="L150" s="85">
        <f t="shared" si="837"/>
        <v>11.514527906304647</v>
      </c>
      <c r="M150" s="85">
        <f t="shared" si="837"/>
        <v>11.564829073272147</v>
      </c>
      <c r="N150" s="85">
        <f t="shared" si="837"/>
        <v>11.615349980677049</v>
      </c>
      <c r="O150" s="85">
        <f t="shared" si="837"/>
        <v>11.666091588454478</v>
      </c>
      <c r="P150" s="85">
        <f t="shared" si="837"/>
        <v>10.717054860733144</v>
      </c>
      <c r="Q150" s="85">
        <f t="shared" si="837"/>
        <v>9.7638722700386715</v>
      </c>
      <c r="R150" s="85">
        <f t="shared" si="837"/>
        <v>8.8065257051860577</v>
      </c>
      <c r="S150" s="85">
        <f t="shared" si="837"/>
        <v>7.8449969758716236</v>
      </c>
      <c r="T150" s="85">
        <f t="shared" si="837"/>
        <v>6.8792678123274458</v>
      </c>
      <c r="U150" s="85">
        <f t="shared" si="837"/>
        <v>5.9093198649741243</v>
      </c>
      <c r="V150" s="85">
        <f t="shared" si="837"/>
        <v>4.9351347040723015</v>
      </c>
      <c r="W150" s="85">
        <f t="shared" si="837"/>
        <v>3.9566938193722483</v>
      </c>
      <c r="X150" s="85">
        <f t="shared" si="837"/>
        <v>2.9739786197624354</v>
      </c>
      <c r="Y150" s="85">
        <f t="shared" si="837"/>
        <v>1.9869704329160223</v>
      </c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85"/>
      <c r="AN150" s="85"/>
      <c r="AO150" s="85"/>
      <c r="AP150" s="85"/>
      <c r="AQ150" s="85"/>
      <c r="AR150" s="85"/>
      <c r="AS150" s="85"/>
      <c r="AT150" s="85"/>
      <c r="AU150" s="85"/>
      <c r="AV150" s="85"/>
      <c r="AW150" s="85"/>
      <c r="AX150" s="85"/>
      <c r="AY150" s="85"/>
      <c r="AZ150" s="85"/>
      <c r="BA150" s="85"/>
      <c r="BB150" s="85"/>
      <c r="BC150" s="85"/>
      <c r="BD150" s="85"/>
      <c r="BE150" s="85"/>
      <c r="BF150" s="85"/>
      <c r="BG150" s="85"/>
      <c r="BH150" s="85"/>
      <c r="BI150" s="85"/>
      <c r="BJ150" s="85"/>
      <c r="BK150" s="85"/>
      <c r="BL150" s="85"/>
      <c r="BM150" s="85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  <c r="DF150" s="85"/>
      <c r="DG150" s="85"/>
      <c r="DH150" s="85"/>
      <c r="DI150" s="85"/>
      <c r="DJ150" s="85"/>
      <c r="DK150" s="85"/>
      <c r="DL150" s="85"/>
      <c r="DM150" s="85"/>
      <c r="DN150" s="85"/>
      <c r="DO150" s="85"/>
      <c r="DP150" s="85"/>
      <c r="DQ150" s="85"/>
      <c r="DR150" s="85"/>
      <c r="DS150" s="85"/>
      <c r="DT150" s="85"/>
      <c r="DU150" s="85"/>
      <c r="DV150" s="85"/>
      <c r="DW150" s="85"/>
      <c r="DX150" s="85"/>
      <c r="DY150" s="85"/>
      <c r="DZ150" s="85"/>
      <c r="EA150" s="85"/>
      <c r="EB150" s="85"/>
      <c r="EC150" s="85"/>
      <c r="ED150" s="85"/>
      <c r="EE150" s="85"/>
      <c r="EF150" s="85"/>
      <c r="EG150" s="85"/>
      <c r="EH150" s="85"/>
      <c r="EI150" s="85"/>
      <c r="EJ150" s="85"/>
      <c r="EK150" s="85"/>
      <c r="EL150" s="85"/>
      <c r="EM150" s="85"/>
      <c r="EN150" s="85"/>
      <c r="EO150" s="85"/>
      <c r="EP150" s="85"/>
      <c r="EQ150" s="85"/>
      <c r="ER150" s="85"/>
      <c r="ES150" s="85"/>
      <c r="ET150" s="85"/>
      <c r="EU150" s="85"/>
      <c r="EV150" s="85"/>
      <c r="EW150" s="85"/>
      <c r="EX150" s="85"/>
      <c r="EY150" s="85"/>
      <c r="EZ150" s="85"/>
      <c r="FA150" s="85"/>
      <c r="FB150" s="85"/>
      <c r="FC150" s="85"/>
      <c r="FD150" s="85"/>
      <c r="FE150" s="85"/>
      <c r="FF150" s="85"/>
      <c r="FG150" s="85"/>
      <c r="FH150" s="85"/>
      <c r="FI150" s="85"/>
      <c r="FJ150" s="85"/>
      <c r="FK150" s="85"/>
      <c r="FL150" s="85"/>
      <c r="FM150" s="85"/>
      <c r="FN150" s="85"/>
      <c r="FO150" s="85"/>
      <c r="FP150" s="85"/>
      <c r="FQ150" s="85"/>
      <c r="FR150" s="85"/>
      <c r="FS150" s="85"/>
      <c r="FT150" s="85"/>
      <c r="FU150" s="85"/>
      <c r="FV150" s="85"/>
      <c r="FW150" s="85"/>
      <c r="FX150" s="85"/>
      <c r="FY150" s="85"/>
      <c r="FZ150" s="86"/>
    </row>
    <row r="151" spans="1:182" s="293" customFormat="1" hidden="1" outlineLevel="1" x14ac:dyDescent="0.2">
      <c r="A151" s="83" t="s">
        <v>187</v>
      </c>
      <c r="B151" s="84">
        <f t="shared" ref="B151:M151" si="838">(1/B140^IF((24-B138+1)&lt;0,0,(24-B138+1))-(1/B140^IF((12+(B154)-B138+1)&lt;0,0,(12+(B154)-B138+1))))/(B140-1)</f>
        <v>10.461605520546838</v>
      </c>
      <c r="C151" s="85">
        <f t="shared" si="838"/>
        <v>10.507307000478871</v>
      </c>
      <c r="D151" s="85">
        <f t="shared" si="838"/>
        <v>10.553208127134743</v>
      </c>
      <c r="E151" s="85">
        <f t="shared" si="838"/>
        <v>10.599309772670306</v>
      </c>
      <c r="F151" s="85">
        <f t="shared" si="838"/>
        <v>10.645612813051404</v>
      </c>
      <c r="G151" s="85">
        <f t="shared" si="838"/>
        <v>10.692118128070657</v>
      </c>
      <c r="H151" s="85">
        <f t="shared" si="838"/>
        <v>10.738826601363897</v>
      </c>
      <c r="I151" s="85">
        <f t="shared" si="838"/>
        <v>10.78573912042728</v>
      </c>
      <c r="J151" s="85">
        <f t="shared" si="838"/>
        <v>10.832856576633818</v>
      </c>
      <c r="K151" s="85">
        <f t="shared" si="838"/>
        <v>10.88017986525068</v>
      </c>
      <c r="L151" s="85">
        <f t="shared" si="838"/>
        <v>10.927709885455764</v>
      </c>
      <c r="M151" s="85">
        <f t="shared" si="838"/>
        <v>10.975447540355153</v>
      </c>
      <c r="N151" s="85">
        <f t="shared" ref="N151:Y151" si="839">(1/N140^IF((24-N138+1+(N138-12-1))&lt;0,0,(24-N138+1+(N138-12-1)))-(1/N140^IF((12+(N154)-N138+1)&lt;0,0,(12+(N154)-N138+1))))/(N140-1)</f>
        <v>11.968302634158947</v>
      </c>
      <c r="O151" s="85">
        <f t="shared" si="839"/>
        <v>11.071549386404531</v>
      </c>
      <c r="P151" s="85">
        <f t="shared" si="839"/>
        <v>10.170878675840484</v>
      </c>
      <c r="Q151" s="85">
        <f t="shared" si="839"/>
        <v>9.2662733890468427</v>
      </c>
      <c r="R151" s="85">
        <f t="shared" si="839"/>
        <v>8.3577163378438684</v>
      </c>
      <c r="S151" s="85">
        <f t="shared" si="839"/>
        <v>7.4451902589652237</v>
      </c>
      <c r="T151" s="85">
        <f t="shared" si="839"/>
        <v>6.5286778137301731</v>
      </c>
      <c r="U151" s="85">
        <f t="shared" si="839"/>
        <v>5.6081615877139139</v>
      </c>
      <c r="V151" s="85">
        <f t="shared" si="839"/>
        <v>4.6836240904169326</v>
      </c>
      <c r="W151" s="85">
        <f t="shared" si="839"/>
        <v>3.7550477549323835</v>
      </c>
      <c r="X151" s="85">
        <f t="shared" si="839"/>
        <v>2.8224149376126033</v>
      </c>
      <c r="Y151" s="85">
        <f t="shared" si="839"/>
        <v>1.8857079177336911</v>
      </c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  <c r="AX151" s="85"/>
      <c r="AY151" s="85"/>
      <c r="AZ151" s="85"/>
      <c r="BA151" s="85"/>
      <c r="BB151" s="85"/>
      <c r="BC151" s="85"/>
      <c r="BD151" s="85"/>
      <c r="BE151" s="85"/>
      <c r="BF151" s="85"/>
      <c r="BG151" s="85"/>
      <c r="BH151" s="85"/>
      <c r="BI151" s="85"/>
      <c r="BJ151" s="85"/>
      <c r="BK151" s="85"/>
      <c r="BL151" s="85"/>
      <c r="BM151" s="85"/>
      <c r="BN151" s="85"/>
      <c r="BO151" s="85"/>
      <c r="BP151" s="85"/>
      <c r="BQ151" s="85"/>
      <c r="BR151" s="85"/>
      <c r="BS151" s="85"/>
      <c r="BT151" s="85"/>
      <c r="BU151" s="85"/>
      <c r="BV151" s="85"/>
      <c r="BW151" s="85"/>
      <c r="BX151" s="85"/>
      <c r="BY151" s="85"/>
      <c r="BZ151" s="85"/>
      <c r="CA151" s="85"/>
      <c r="CB151" s="85"/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  <c r="CS151" s="85"/>
      <c r="CT151" s="85"/>
      <c r="CU151" s="85"/>
      <c r="CV151" s="85"/>
      <c r="CW151" s="85"/>
      <c r="CX151" s="85"/>
      <c r="CY151" s="85"/>
      <c r="CZ151" s="85"/>
      <c r="DA151" s="85"/>
      <c r="DB151" s="85"/>
      <c r="DC151" s="85"/>
      <c r="DD151" s="85"/>
      <c r="DE151" s="85"/>
      <c r="DF151" s="85"/>
      <c r="DG151" s="85"/>
      <c r="DH151" s="85"/>
      <c r="DI151" s="85"/>
      <c r="DJ151" s="85"/>
      <c r="DK151" s="85"/>
      <c r="DL151" s="85"/>
      <c r="DM151" s="85"/>
      <c r="DN151" s="85"/>
      <c r="DO151" s="85"/>
      <c r="DP151" s="85"/>
      <c r="DQ151" s="85"/>
      <c r="DR151" s="85"/>
      <c r="DS151" s="85"/>
      <c r="DT151" s="85"/>
      <c r="DU151" s="85"/>
      <c r="DV151" s="85"/>
      <c r="DW151" s="85"/>
      <c r="DX151" s="85"/>
      <c r="DY151" s="85"/>
      <c r="DZ151" s="85"/>
      <c r="EA151" s="85"/>
      <c r="EB151" s="85"/>
      <c r="EC151" s="85"/>
      <c r="ED151" s="85"/>
      <c r="EE151" s="85"/>
      <c r="EF151" s="85"/>
      <c r="EG151" s="85"/>
      <c r="EH151" s="85"/>
      <c r="EI151" s="85"/>
      <c r="EJ151" s="85"/>
      <c r="EK151" s="85"/>
      <c r="EL151" s="85"/>
      <c r="EM151" s="85"/>
      <c r="EN151" s="85"/>
      <c r="EO151" s="85"/>
      <c r="EP151" s="85"/>
      <c r="EQ151" s="85"/>
      <c r="ER151" s="85"/>
      <c r="ES151" s="85"/>
      <c r="ET151" s="85"/>
      <c r="EU151" s="85"/>
      <c r="EV151" s="85"/>
      <c r="EW151" s="85"/>
      <c r="EX151" s="85"/>
      <c r="EY151" s="85"/>
      <c r="EZ151" s="85"/>
      <c r="FA151" s="85"/>
      <c r="FB151" s="85"/>
      <c r="FC151" s="85"/>
      <c r="FD151" s="85"/>
      <c r="FE151" s="85"/>
      <c r="FF151" s="85"/>
      <c r="FG151" s="85"/>
      <c r="FH151" s="85"/>
      <c r="FI151" s="85"/>
      <c r="FJ151" s="85"/>
      <c r="FK151" s="85"/>
      <c r="FL151" s="85"/>
      <c r="FM151" s="85"/>
      <c r="FN151" s="85"/>
      <c r="FO151" s="85"/>
      <c r="FP151" s="85"/>
      <c r="FQ151" s="85"/>
      <c r="FR151" s="85"/>
      <c r="FS151" s="85"/>
      <c r="FT151" s="85"/>
      <c r="FU151" s="85"/>
      <c r="FV151" s="85"/>
      <c r="FW151" s="85"/>
      <c r="FX151" s="85"/>
      <c r="FY151" s="85"/>
      <c r="FZ151" s="86"/>
    </row>
    <row r="152" spans="1:182" s="293" customFormat="1" hidden="1" outlineLevel="1" x14ac:dyDescent="0.2">
      <c r="A152" s="83" t="s">
        <v>188</v>
      </c>
      <c r="B152" s="84">
        <f t="shared" ref="B152:M152" si="840">(1/B140^IF((36-B138+1)&lt;0,0,(36-B138+1))-(1/B140^IF((24+(B154)-B138+1)&lt;0,0,(24+(B154)-B138+1))))/(B140-1)</f>
        <v>9.9284478699314782</v>
      </c>
      <c r="C152" s="85">
        <f t="shared" si="840"/>
        <v>9.971820252898242</v>
      </c>
      <c r="D152" s="85">
        <f t="shared" si="840"/>
        <v>10.015382107938397</v>
      </c>
      <c r="E152" s="85">
        <f t="shared" si="840"/>
        <v>10.059134262760049</v>
      </c>
      <c r="F152" s="85">
        <f t="shared" si="840"/>
        <v>10.103077548686924</v>
      </c>
      <c r="G152" s="85">
        <f t="shared" si="840"/>
        <v>10.147212800674479</v>
      </c>
      <c r="H152" s="85">
        <f t="shared" si="840"/>
        <v>10.191540857325606</v>
      </c>
      <c r="I152" s="85">
        <f t="shared" si="840"/>
        <v>10.236062560906669</v>
      </c>
      <c r="J152" s="85">
        <f t="shared" si="840"/>
        <v>10.280778757363464</v>
      </c>
      <c r="K152" s="85">
        <f t="shared" si="840"/>
        <v>10.325690296337335</v>
      </c>
      <c r="L152" s="85">
        <f t="shared" si="840"/>
        <v>10.370798031181257</v>
      </c>
      <c r="M152" s="85">
        <f t="shared" si="840"/>
        <v>10.416102818976105</v>
      </c>
      <c r="N152" s="85">
        <f t="shared" ref="N152:Y152" si="841">(1/N140^IF((36-N138+1+(N138-12-1))&lt;0,0,(36-N138+1+(N138-12-1)))-(1/N140^IF((24+(N154)-N138+1)&lt;0,0,(24+(N154)-N138+1))))/(N140-1)</f>
        <v>11.358358768301255</v>
      </c>
      <c r="O152" s="85">
        <f t="shared" si="841"/>
        <v>10.507307000478871</v>
      </c>
      <c r="P152" s="85">
        <f t="shared" si="841"/>
        <v>9.6525374165706967</v>
      </c>
      <c r="Q152" s="85">
        <f t="shared" si="841"/>
        <v>8.7940337753126183</v>
      </c>
      <c r="R152" s="85">
        <f t="shared" si="841"/>
        <v>7.9317797644907424</v>
      </c>
      <c r="S152" s="85">
        <f t="shared" si="841"/>
        <v>7.0657590006313509</v>
      </c>
      <c r="T152" s="85">
        <f t="shared" si="841"/>
        <v>6.1959550286895393</v>
      </c>
      <c r="U152" s="85">
        <f t="shared" si="841"/>
        <v>5.3223513217366634</v>
      </c>
      <c r="V152" s="85">
        <f t="shared" si="841"/>
        <v>4.4449312806462205</v>
      </c>
      <c r="W152" s="85">
        <f t="shared" si="841"/>
        <v>3.5636782337785338</v>
      </c>
      <c r="X152" s="85">
        <f t="shared" si="841"/>
        <v>2.678575436663837</v>
      </c>
      <c r="Y152" s="85">
        <f t="shared" si="841"/>
        <v>1.7896060716843145</v>
      </c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  <c r="AU152" s="85"/>
      <c r="AV152" s="85"/>
      <c r="AW152" s="85"/>
      <c r="AX152" s="85"/>
      <c r="AY152" s="85"/>
      <c r="AZ152" s="85"/>
      <c r="BA152" s="85"/>
      <c r="BB152" s="85"/>
      <c r="BC152" s="85"/>
      <c r="BD152" s="85"/>
      <c r="BE152" s="85"/>
      <c r="BF152" s="85"/>
      <c r="BG152" s="85"/>
      <c r="BH152" s="85"/>
      <c r="BI152" s="85"/>
      <c r="BJ152" s="85"/>
      <c r="BK152" s="85"/>
      <c r="BL152" s="85"/>
      <c r="BM152" s="85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  <c r="DF152" s="85"/>
      <c r="DG152" s="85"/>
      <c r="DH152" s="85"/>
      <c r="DI152" s="85"/>
      <c r="DJ152" s="85"/>
      <c r="DK152" s="85"/>
      <c r="DL152" s="85"/>
      <c r="DM152" s="85"/>
      <c r="DN152" s="85"/>
      <c r="DO152" s="85"/>
      <c r="DP152" s="85"/>
      <c r="DQ152" s="85"/>
      <c r="DR152" s="85"/>
      <c r="DS152" s="85"/>
      <c r="DT152" s="85"/>
      <c r="DU152" s="85"/>
      <c r="DV152" s="85"/>
      <c r="DW152" s="85"/>
      <c r="DX152" s="85"/>
      <c r="DY152" s="85"/>
      <c r="DZ152" s="85"/>
      <c r="EA152" s="85"/>
      <c r="EB152" s="85"/>
      <c r="EC152" s="85"/>
      <c r="ED152" s="85"/>
      <c r="EE152" s="85"/>
      <c r="EF152" s="85"/>
      <c r="EG152" s="85"/>
      <c r="EH152" s="85"/>
      <c r="EI152" s="85"/>
      <c r="EJ152" s="85"/>
      <c r="EK152" s="85"/>
      <c r="EL152" s="85"/>
      <c r="EM152" s="85"/>
      <c r="EN152" s="85"/>
      <c r="EO152" s="85"/>
      <c r="EP152" s="85"/>
      <c r="EQ152" s="85"/>
      <c r="ER152" s="85"/>
      <c r="ES152" s="85"/>
      <c r="ET152" s="85"/>
      <c r="EU152" s="85"/>
      <c r="EV152" s="85"/>
      <c r="EW152" s="85"/>
      <c r="EX152" s="85"/>
      <c r="EY152" s="85"/>
      <c r="EZ152" s="85"/>
      <c r="FA152" s="85"/>
      <c r="FB152" s="85"/>
      <c r="FC152" s="85"/>
      <c r="FD152" s="85"/>
      <c r="FE152" s="85"/>
      <c r="FF152" s="85"/>
      <c r="FG152" s="85"/>
      <c r="FH152" s="85"/>
      <c r="FI152" s="85"/>
      <c r="FJ152" s="85"/>
      <c r="FK152" s="85"/>
      <c r="FL152" s="85"/>
      <c r="FM152" s="85"/>
      <c r="FN152" s="85"/>
      <c r="FO152" s="85"/>
      <c r="FP152" s="85"/>
      <c r="FQ152" s="85"/>
      <c r="FR152" s="85"/>
      <c r="FS152" s="85"/>
      <c r="FT152" s="85"/>
      <c r="FU152" s="85"/>
      <c r="FV152" s="85"/>
      <c r="FW152" s="85"/>
      <c r="FX152" s="85"/>
      <c r="FY152" s="85"/>
      <c r="FZ152" s="86"/>
    </row>
    <row r="153" spans="1:182" hidden="1" outlineLevel="1" x14ac:dyDescent="0.2">
      <c r="A153" s="87" t="s">
        <v>172</v>
      </c>
      <c r="B153" s="65">
        <f t="shared" ref="B153:AG153" si="842">IF(IF((2-1)*12+1&lt;B21,B21,(2-1)*12+1)&gt;B22,B22,IF((2-1)*12+1&lt;B21,B21,(2-1)*12+1))</f>
        <v>13</v>
      </c>
      <c r="C153" s="57">
        <f t="shared" si="842"/>
        <v>13</v>
      </c>
      <c r="D153" s="57">
        <f t="shared" si="842"/>
        <v>13</v>
      </c>
      <c r="E153" s="57">
        <f t="shared" si="842"/>
        <v>13</v>
      </c>
      <c r="F153" s="57">
        <f t="shared" si="842"/>
        <v>13</v>
      </c>
      <c r="G153" s="57">
        <f t="shared" si="842"/>
        <v>13</v>
      </c>
      <c r="H153" s="57">
        <f t="shared" si="842"/>
        <v>13</v>
      </c>
      <c r="I153" s="57">
        <f t="shared" si="842"/>
        <v>13</v>
      </c>
      <c r="J153" s="57">
        <f t="shared" si="842"/>
        <v>13</v>
      </c>
      <c r="K153" s="57">
        <f t="shared" si="842"/>
        <v>13</v>
      </c>
      <c r="L153" s="57">
        <f t="shared" si="842"/>
        <v>13</v>
      </c>
      <c r="M153" s="57">
        <f t="shared" si="842"/>
        <v>13</v>
      </c>
      <c r="N153" s="57">
        <f t="shared" si="842"/>
        <v>13</v>
      </c>
      <c r="O153" s="57">
        <f t="shared" si="842"/>
        <v>13</v>
      </c>
      <c r="P153" s="57">
        <f t="shared" si="842"/>
        <v>13</v>
      </c>
      <c r="Q153" s="57">
        <f t="shared" si="842"/>
        <v>13</v>
      </c>
      <c r="R153" s="57">
        <f t="shared" si="842"/>
        <v>13</v>
      </c>
      <c r="S153" s="57">
        <f t="shared" si="842"/>
        <v>13</v>
      </c>
      <c r="T153" s="57">
        <f t="shared" si="842"/>
        <v>13</v>
      </c>
      <c r="U153" s="57">
        <f t="shared" si="842"/>
        <v>13</v>
      </c>
      <c r="V153" s="57">
        <f t="shared" si="842"/>
        <v>13</v>
      </c>
      <c r="W153" s="57">
        <f t="shared" si="842"/>
        <v>13</v>
      </c>
      <c r="X153" s="57">
        <f t="shared" si="842"/>
        <v>13</v>
      </c>
      <c r="Y153" s="57">
        <f t="shared" si="842"/>
        <v>13</v>
      </c>
      <c r="Z153" s="57">
        <f t="shared" si="842"/>
        <v>13</v>
      </c>
      <c r="AA153" s="57">
        <f t="shared" si="842"/>
        <v>13</v>
      </c>
      <c r="AB153" s="57">
        <f t="shared" si="842"/>
        <v>13</v>
      </c>
      <c r="AC153" s="57">
        <f t="shared" si="842"/>
        <v>13</v>
      </c>
      <c r="AD153" s="57">
        <f t="shared" si="842"/>
        <v>13</v>
      </c>
      <c r="AE153" s="57">
        <f t="shared" si="842"/>
        <v>13</v>
      </c>
      <c r="AF153" s="57">
        <f t="shared" si="842"/>
        <v>13</v>
      </c>
      <c r="AG153" s="57">
        <f t="shared" si="842"/>
        <v>13</v>
      </c>
      <c r="AH153" s="57">
        <f t="shared" ref="AH153:BH153" si="843">IF(IF((2-1)*12+1&lt;AH21,AH21,(2-1)*12+1)&gt;AH22,AH22,IF((2-1)*12+1&lt;AH21,AH21,(2-1)*12+1))</f>
        <v>13</v>
      </c>
      <c r="AI153" s="57">
        <f t="shared" si="843"/>
        <v>13</v>
      </c>
      <c r="AJ153" s="57">
        <f t="shared" si="843"/>
        <v>13</v>
      </c>
      <c r="AK153" s="57">
        <f t="shared" si="843"/>
        <v>13</v>
      </c>
      <c r="AL153" s="57">
        <f t="shared" si="843"/>
        <v>13</v>
      </c>
      <c r="AM153" s="57">
        <f t="shared" si="843"/>
        <v>13</v>
      </c>
      <c r="AN153" s="57">
        <f t="shared" si="843"/>
        <v>13</v>
      </c>
      <c r="AO153" s="57">
        <f t="shared" si="843"/>
        <v>13</v>
      </c>
      <c r="AP153" s="57">
        <f t="shared" si="843"/>
        <v>13</v>
      </c>
      <c r="AQ153" s="57">
        <f t="shared" si="843"/>
        <v>13</v>
      </c>
      <c r="AR153" s="57">
        <f t="shared" si="843"/>
        <v>13</v>
      </c>
      <c r="AS153" s="57">
        <f t="shared" si="843"/>
        <v>13</v>
      </c>
      <c r="AT153" s="57">
        <f t="shared" si="843"/>
        <v>13</v>
      </c>
      <c r="AU153" s="57">
        <f t="shared" si="843"/>
        <v>13</v>
      </c>
      <c r="AV153" s="57">
        <f t="shared" si="843"/>
        <v>13</v>
      </c>
      <c r="AW153" s="57">
        <f t="shared" si="843"/>
        <v>13</v>
      </c>
      <c r="AX153" s="57">
        <f t="shared" si="843"/>
        <v>13</v>
      </c>
      <c r="AY153" s="57">
        <f t="shared" si="843"/>
        <v>13</v>
      </c>
      <c r="AZ153" s="57">
        <f t="shared" si="843"/>
        <v>13</v>
      </c>
      <c r="BA153" s="57">
        <f t="shared" si="843"/>
        <v>13</v>
      </c>
      <c r="BB153" s="57">
        <f t="shared" si="843"/>
        <v>13</v>
      </c>
      <c r="BC153" s="57">
        <f t="shared" si="843"/>
        <v>13</v>
      </c>
      <c r="BD153" s="57">
        <f t="shared" si="843"/>
        <v>13</v>
      </c>
      <c r="BE153" s="57">
        <f t="shared" si="843"/>
        <v>13</v>
      </c>
      <c r="BF153" s="57">
        <f t="shared" si="843"/>
        <v>13</v>
      </c>
      <c r="BG153" s="57">
        <f t="shared" si="843"/>
        <v>13</v>
      </c>
      <c r="BH153" s="57">
        <f t="shared" si="843"/>
        <v>13</v>
      </c>
      <c r="BI153" s="57">
        <f t="shared" ref="BI153:DP153" si="844">IF(IF((2-1)*12+1&lt;BI21,BI21,(2-1)*12+1)&gt;BI22,BI22,IF((2-1)*12+1&lt;BI21,BI21,(2-1)*12+1))</f>
        <v>13</v>
      </c>
      <c r="BJ153" s="57">
        <f t="shared" si="844"/>
        <v>13</v>
      </c>
      <c r="BK153" s="57">
        <f t="shared" si="844"/>
        <v>13</v>
      </c>
      <c r="BL153" s="57">
        <f t="shared" si="844"/>
        <v>13</v>
      </c>
      <c r="BM153" s="57">
        <f t="shared" si="844"/>
        <v>13</v>
      </c>
      <c r="BN153" s="57">
        <f t="shared" si="844"/>
        <v>13</v>
      </c>
      <c r="BO153" s="57">
        <f t="shared" si="844"/>
        <v>13</v>
      </c>
      <c r="BP153" s="57">
        <f t="shared" si="844"/>
        <v>13</v>
      </c>
      <c r="BQ153" s="57">
        <f t="shared" si="844"/>
        <v>13</v>
      </c>
      <c r="BR153" s="57">
        <f t="shared" si="844"/>
        <v>13</v>
      </c>
      <c r="BS153" s="57">
        <f t="shared" si="844"/>
        <v>13</v>
      </c>
      <c r="BT153" s="57">
        <f t="shared" si="844"/>
        <v>13</v>
      </c>
      <c r="BU153" s="57">
        <f t="shared" si="844"/>
        <v>13</v>
      </c>
      <c r="BV153" s="57">
        <f t="shared" si="844"/>
        <v>13</v>
      </c>
      <c r="BW153" s="57">
        <f t="shared" si="844"/>
        <v>13</v>
      </c>
      <c r="BX153" s="57">
        <f t="shared" si="844"/>
        <v>13</v>
      </c>
      <c r="BY153" s="57">
        <f t="shared" si="844"/>
        <v>13</v>
      </c>
      <c r="BZ153" s="57">
        <f t="shared" si="844"/>
        <v>13</v>
      </c>
      <c r="CA153" s="57">
        <f t="shared" si="844"/>
        <v>13</v>
      </c>
      <c r="CB153" s="57">
        <f t="shared" si="844"/>
        <v>13</v>
      </c>
      <c r="CC153" s="57">
        <f t="shared" si="844"/>
        <v>13</v>
      </c>
      <c r="CD153" s="57">
        <f t="shared" si="844"/>
        <v>13</v>
      </c>
      <c r="CE153" s="57">
        <f t="shared" si="844"/>
        <v>13</v>
      </c>
      <c r="CF153" s="57">
        <f t="shared" si="844"/>
        <v>13</v>
      </c>
      <c r="CG153" s="57">
        <f t="shared" si="844"/>
        <v>13</v>
      </c>
      <c r="CH153" s="57">
        <f t="shared" si="844"/>
        <v>13</v>
      </c>
      <c r="CI153" s="57">
        <f t="shared" si="844"/>
        <v>13</v>
      </c>
      <c r="CJ153" s="57">
        <f t="shared" si="844"/>
        <v>13</v>
      </c>
      <c r="CK153" s="57">
        <f t="shared" si="844"/>
        <v>13</v>
      </c>
      <c r="CL153" s="57">
        <f t="shared" si="844"/>
        <v>13</v>
      </c>
      <c r="CM153" s="57">
        <f t="shared" si="844"/>
        <v>13</v>
      </c>
      <c r="CN153" s="57">
        <f t="shared" si="844"/>
        <v>13</v>
      </c>
      <c r="CO153" s="57">
        <f t="shared" si="844"/>
        <v>13</v>
      </c>
      <c r="CP153" s="57">
        <f t="shared" si="844"/>
        <v>13</v>
      </c>
      <c r="CQ153" s="57">
        <f t="shared" si="844"/>
        <v>13</v>
      </c>
      <c r="CR153" s="57">
        <f t="shared" si="844"/>
        <v>13</v>
      </c>
      <c r="CS153" s="57">
        <f t="shared" si="844"/>
        <v>13</v>
      </c>
      <c r="CT153" s="57">
        <f t="shared" si="844"/>
        <v>13</v>
      </c>
      <c r="CU153" s="57">
        <f t="shared" si="844"/>
        <v>13</v>
      </c>
      <c r="CV153" s="57">
        <f t="shared" si="844"/>
        <v>13</v>
      </c>
      <c r="CW153" s="57">
        <f t="shared" si="844"/>
        <v>13</v>
      </c>
      <c r="CX153" s="57">
        <f t="shared" si="844"/>
        <v>13</v>
      </c>
      <c r="CY153" s="57">
        <f t="shared" si="844"/>
        <v>13</v>
      </c>
      <c r="CZ153" s="57">
        <f t="shared" si="844"/>
        <v>13</v>
      </c>
      <c r="DA153" s="57">
        <f t="shared" si="844"/>
        <v>13</v>
      </c>
      <c r="DB153" s="57">
        <f t="shared" si="844"/>
        <v>13</v>
      </c>
      <c r="DC153" s="57">
        <f t="shared" si="844"/>
        <v>13</v>
      </c>
      <c r="DD153" s="57">
        <f t="shared" si="844"/>
        <v>13</v>
      </c>
      <c r="DE153" s="57">
        <f t="shared" si="844"/>
        <v>13</v>
      </c>
      <c r="DF153" s="57">
        <f t="shared" si="844"/>
        <v>13</v>
      </c>
      <c r="DG153" s="57">
        <f t="shared" si="844"/>
        <v>13</v>
      </c>
      <c r="DH153" s="57">
        <f t="shared" si="844"/>
        <v>13</v>
      </c>
      <c r="DI153" s="57">
        <f t="shared" si="844"/>
        <v>13</v>
      </c>
      <c r="DJ153" s="57">
        <f t="shared" si="844"/>
        <v>13</v>
      </c>
      <c r="DK153" s="57">
        <f t="shared" si="844"/>
        <v>13</v>
      </c>
      <c r="DL153" s="57">
        <f t="shared" si="844"/>
        <v>13</v>
      </c>
      <c r="DM153" s="57">
        <f t="shared" si="844"/>
        <v>13</v>
      </c>
      <c r="DN153" s="57">
        <f t="shared" si="844"/>
        <v>13</v>
      </c>
      <c r="DO153" s="57">
        <f t="shared" si="844"/>
        <v>13</v>
      </c>
      <c r="DP153" s="57">
        <f t="shared" si="844"/>
        <v>13</v>
      </c>
      <c r="DQ153" s="57">
        <f t="shared" ref="DQ153:FY153" si="845">IF(IF((2-1)*12+1&lt;DQ21,DQ21,(2-1)*12+1)&gt;DQ22,DQ22,IF((2-1)*12+1&lt;DQ21,DQ21,(2-1)*12+1))</f>
        <v>13</v>
      </c>
      <c r="DR153" s="57">
        <f t="shared" si="845"/>
        <v>13</v>
      </c>
      <c r="DS153" s="57">
        <f t="shared" si="845"/>
        <v>13</v>
      </c>
      <c r="DT153" s="57">
        <f t="shared" si="845"/>
        <v>13</v>
      </c>
      <c r="DU153" s="57">
        <f t="shared" si="845"/>
        <v>13</v>
      </c>
      <c r="DV153" s="57">
        <f t="shared" si="845"/>
        <v>13</v>
      </c>
      <c r="DW153" s="57">
        <f t="shared" si="845"/>
        <v>13</v>
      </c>
      <c r="DX153" s="57">
        <f t="shared" si="845"/>
        <v>13</v>
      </c>
      <c r="DY153" s="57">
        <f t="shared" si="845"/>
        <v>13</v>
      </c>
      <c r="DZ153" s="57">
        <f t="shared" si="845"/>
        <v>13</v>
      </c>
      <c r="EA153" s="57">
        <f t="shared" si="845"/>
        <v>13</v>
      </c>
      <c r="EB153" s="57">
        <f t="shared" si="845"/>
        <v>13</v>
      </c>
      <c r="EC153" s="57">
        <f t="shared" si="845"/>
        <v>13</v>
      </c>
      <c r="ED153" s="57">
        <f t="shared" si="845"/>
        <v>13</v>
      </c>
      <c r="EE153" s="57">
        <f t="shared" si="845"/>
        <v>13</v>
      </c>
      <c r="EF153" s="57">
        <f t="shared" si="845"/>
        <v>13</v>
      </c>
      <c r="EG153" s="57">
        <f t="shared" si="845"/>
        <v>13</v>
      </c>
      <c r="EH153" s="57">
        <f t="shared" si="845"/>
        <v>13</v>
      </c>
      <c r="EI153" s="57">
        <f t="shared" si="845"/>
        <v>13</v>
      </c>
      <c r="EJ153" s="57">
        <f t="shared" si="845"/>
        <v>13</v>
      </c>
      <c r="EK153" s="57">
        <f t="shared" si="845"/>
        <v>13</v>
      </c>
      <c r="EL153" s="57">
        <f t="shared" si="845"/>
        <v>13</v>
      </c>
      <c r="EM153" s="57">
        <f t="shared" si="845"/>
        <v>13</v>
      </c>
      <c r="EN153" s="57">
        <f t="shared" si="845"/>
        <v>13</v>
      </c>
      <c r="EO153" s="57">
        <f t="shared" si="845"/>
        <v>13</v>
      </c>
      <c r="EP153" s="57">
        <f t="shared" si="845"/>
        <v>13</v>
      </c>
      <c r="EQ153" s="57">
        <f t="shared" si="845"/>
        <v>13</v>
      </c>
      <c r="ER153" s="57">
        <f t="shared" si="845"/>
        <v>13</v>
      </c>
      <c r="ES153" s="57">
        <f t="shared" si="845"/>
        <v>13</v>
      </c>
      <c r="ET153" s="57">
        <f t="shared" si="845"/>
        <v>13</v>
      </c>
      <c r="EU153" s="57">
        <f t="shared" si="845"/>
        <v>13</v>
      </c>
      <c r="EV153" s="57">
        <f t="shared" si="845"/>
        <v>13</v>
      </c>
      <c r="EW153" s="57">
        <f t="shared" si="845"/>
        <v>13</v>
      </c>
      <c r="EX153" s="57">
        <f t="shared" si="845"/>
        <v>13</v>
      </c>
      <c r="EY153" s="57">
        <f t="shared" si="845"/>
        <v>13</v>
      </c>
      <c r="EZ153" s="57">
        <f t="shared" si="845"/>
        <v>13</v>
      </c>
      <c r="FA153" s="57">
        <f t="shared" si="845"/>
        <v>13</v>
      </c>
      <c r="FB153" s="57">
        <f t="shared" si="845"/>
        <v>13</v>
      </c>
      <c r="FC153" s="57">
        <f t="shared" si="845"/>
        <v>13</v>
      </c>
      <c r="FD153" s="57">
        <f t="shared" si="845"/>
        <v>13</v>
      </c>
      <c r="FE153" s="57">
        <f t="shared" si="845"/>
        <v>13</v>
      </c>
      <c r="FF153" s="57">
        <f t="shared" si="845"/>
        <v>13</v>
      </c>
      <c r="FG153" s="57">
        <f t="shared" si="845"/>
        <v>13</v>
      </c>
      <c r="FH153" s="57">
        <f t="shared" si="845"/>
        <v>13</v>
      </c>
      <c r="FI153" s="57">
        <f t="shared" si="845"/>
        <v>13</v>
      </c>
      <c r="FJ153" s="57">
        <f t="shared" si="845"/>
        <v>13</v>
      </c>
      <c r="FK153" s="57">
        <f t="shared" si="845"/>
        <v>13</v>
      </c>
      <c r="FL153" s="57">
        <f t="shared" si="845"/>
        <v>13</v>
      </c>
      <c r="FM153" s="57">
        <f t="shared" si="845"/>
        <v>13</v>
      </c>
      <c r="FN153" s="57">
        <f t="shared" si="845"/>
        <v>13</v>
      </c>
      <c r="FO153" s="57">
        <f t="shared" si="845"/>
        <v>13</v>
      </c>
      <c r="FP153" s="57">
        <f t="shared" si="845"/>
        <v>13</v>
      </c>
      <c r="FQ153" s="57">
        <f t="shared" si="845"/>
        <v>13</v>
      </c>
      <c r="FR153" s="57">
        <f t="shared" si="845"/>
        <v>13</v>
      </c>
      <c r="FS153" s="57">
        <f t="shared" si="845"/>
        <v>13</v>
      </c>
      <c r="FT153" s="57">
        <f t="shared" si="845"/>
        <v>13</v>
      </c>
      <c r="FU153" s="57">
        <f t="shared" si="845"/>
        <v>13</v>
      </c>
      <c r="FV153" s="57">
        <f t="shared" si="845"/>
        <v>13</v>
      </c>
      <c r="FW153" s="57">
        <f t="shared" si="845"/>
        <v>13</v>
      </c>
      <c r="FX153" s="57">
        <f t="shared" si="845"/>
        <v>13</v>
      </c>
      <c r="FY153" s="57">
        <f t="shared" si="845"/>
        <v>13</v>
      </c>
      <c r="FZ153" s="59"/>
    </row>
    <row r="154" spans="1:182" hidden="1" outlineLevel="1" x14ac:dyDescent="0.2">
      <c r="A154" s="87" t="s">
        <v>173</v>
      </c>
      <c r="B154" s="65">
        <f t="shared" ref="B154:AG154" si="846">IF(IF((2)*12&lt;B21,B21,(2)*12)&gt;B22,B22,IF((2)*12&lt;B21,B21,(2)*12))</f>
        <v>24</v>
      </c>
      <c r="C154" s="57">
        <f t="shared" si="846"/>
        <v>24</v>
      </c>
      <c r="D154" s="57">
        <f t="shared" si="846"/>
        <v>24</v>
      </c>
      <c r="E154" s="57">
        <f t="shared" si="846"/>
        <v>24</v>
      </c>
      <c r="F154" s="57">
        <f t="shared" si="846"/>
        <v>24</v>
      </c>
      <c r="G154" s="57">
        <f t="shared" si="846"/>
        <v>24</v>
      </c>
      <c r="H154" s="57">
        <f t="shared" si="846"/>
        <v>24</v>
      </c>
      <c r="I154" s="57">
        <f t="shared" si="846"/>
        <v>24</v>
      </c>
      <c r="J154" s="57">
        <f t="shared" si="846"/>
        <v>24</v>
      </c>
      <c r="K154" s="57">
        <f t="shared" si="846"/>
        <v>24</v>
      </c>
      <c r="L154" s="57">
        <f t="shared" si="846"/>
        <v>24</v>
      </c>
      <c r="M154" s="57">
        <f t="shared" si="846"/>
        <v>24</v>
      </c>
      <c r="N154" s="57">
        <f t="shared" si="846"/>
        <v>24</v>
      </c>
      <c r="O154" s="57">
        <f t="shared" si="846"/>
        <v>24</v>
      </c>
      <c r="P154" s="57">
        <f t="shared" si="846"/>
        <v>24</v>
      </c>
      <c r="Q154" s="57">
        <f t="shared" si="846"/>
        <v>24</v>
      </c>
      <c r="R154" s="57">
        <f t="shared" si="846"/>
        <v>24</v>
      </c>
      <c r="S154" s="57">
        <f t="shared" si="846"/>
        <v>24</v>
      </c>
      <c r="T154" s="57">
        <f t="shared" si="846"/>
        <v>24</v>
      </c>
      <c r="U154" s="57">
        <f t="shared" si="846"/>
        <v>24</v>
      </c>
      <c r="V154" s="57">
        <f t="shared" si="846"/>
        <v>24</v>
      </c>
      <c r="W154" s="57">
        <f t="shared" si="846"/>
        <v>24</v>
      </c>
      <c r="X154" s="57">
        <f t="shared" si="846"/>
        <v>24</v>
      </c>
      <c r="Y154" s="57">
        <f t="shared" si="846"/>
        <v>24</v>
      </c>
      <c r="Z154" s="57">
        <f t="shared" si="846"/>
        <v>24</v>
      </c>
      <c r="AA154" s="57">
        <f t="shared" si="846"/>
        <v>24</v>
      </c>
      <c r="AB154" s="57">
        <f t="shared" si="846"/>
        <v>24</v>
      </c>
      <c r="AC154" s="57">
        <f t="shared" si="846"/>
        <v>24</v>
      </c>
      <c r="AD154" s="57">
        <f t="shared" si="846"/>
        <v>24</v>
      </c>
      <c r="AE154" s="57">
        <f t="shared" si="846"/>
        <v>24</v>
      </c>
      <c r="AF154" s="57">
        <f t="shared" si="846"/>
        <v>24</v>
      </c>
      <c r="AG154" s="57">
        <f t="shared" si="846"/>
        <v>24</v>
      </c>
      <c r="AH154" s="57">
        <f t="shared" ref="AH154:BH154" si="847">IF(IF((2)*12&lt;AH21,AH21,(2)*12)&gt;AH22,AH22,IF((2)*12&lt;AH21,AH21,(2)*12))</f>
        <v>24</v>
      </c>
      <c r="AI154" s="57">
        <f t="shared" si="847"/>
        <v>24</v>
      </c>
      <c r="AJ154" s="57">
        <f t="shared" si="847"/>
        <v>24</v>
      </c>
      <c r="AK154" s="57">
        <f t="shared" si="847"/>
        <v>24</v>
      </c>
      <c r="AL154" s="57">
        <f t="shared" si="847"/>
        <v>24</v>
      </c>
      <c r="AM154" s="57">
        <f t="shared" si="847"/>
        <v>24</v>
      </c>
      <c r="AN154" s="57">
        <f t="shared" si="847"/>
        <v>24</v>
      </c>
      <c r="AO154" s="57">
        <f t="shared" si="847"/>
        <v>24</v>
      </c>
      <c r="AP154" s="57">
        <f t="shared" si="847"/>
        <v>24</v>
      </c>
      <c r="AQ154" s="57">
        <f t="shared" si="847"/>
        <v>24</v>
      </c>
      <c r="AR154" s="57">
        <f t="shared" si="847"/>
        <v>24</v>
      </c>
      <c r="AS154" s="57">
        <f t="shared" si="847"/>
        <v>24</v>
      </c>
      <c r="AT154" s="57">
        <f t="shared" si="847"/>
        <v>24</v>
      </c>
      <c r="AU154" s="57">
        <f t="shared" si="847"/>
        <v>24</v>
      </c>
      <c r="AV154" s="57">
        <f t="shared" si="847"/>
        <v>24</v>
      </c>
      <c r="AW154" s="57">
        <f t="shared" si="847"/>
        <v>24</v>
      </c>
      <c r="AX154" s="57">
        <f t="shared" si="847"/>
        <v>24</v>
      </c>
      <c r="AY154" s="57">
        <f t="shared" si="847"/>
        <v>24</v>
      </c>
      <c r="AZ154" s="57">
        <f t="shared" si="847"/>
        <v>24</v>
      </c>
      <c r="BA154" s="57">
        <f t="shared" si="847"/>
        <v>24</v>
      </c>
      <c r="BB154" s="57">
        <f t="shared" si="847"/>
        <v>24</v>
      </c>
      <c r="BC154" s="57">
        <f t="shared" si="847"/>
        <v>24</v>
      </c>
      <c r="BD154" s="57">
        <f t="shared" si="847"/>
        <v>24</v>
      </c>
      <c r="BE154" s="57">
        <f t="shared" si="847"/>
        <v>24</v>
      </c>
      <c r="BF154" s="57">
        <f t="shared" si="847"/>
        <v>24</v>
      </c>
      <c r="BG154" s="57">
        <f t="shared" si="847"/>
        <v>24</v>
      </c>
      <c r="BH154" s="57">
        <f t="shared" si="847"/>
        <v>24</v>
      </c>
      <c r="BI154" s="57">
        <f t="shared" ref="BI154:DP154" si="848">IF(IF((2)*12&lt;BI21,BI21,(2)*12)&gt;BI22,BI22,IF((2)*12&lt;BI21,BI21,(2)*12))</f>
        <v>24</v>
      </c>
      <c r="BJ154" s="57">
        <f t="shared" si="848"/>
        <v>24</v>
      </c>
      <c r="BK154" s="57">
        <f t="shared" si="848"/>
        <v>24</v>
      </c>
      <c r="BL154" s="57">
        <f t="shared" si="848"/>
        <v>24</v>
      </c>
      <c r="BM154" s="57">
        <f t="shared" si="848"/>
        <v>24</v>
      </c>
      <c r="BN154" s="57">
        <f t="shared" si="848"/>
        <v>24</v>
      </c>
      <c r="BO154" s="57">
        <f t="shared" si="848"/>
        <v>24</v>
      </c>
      <c r="BP154" s="57">
        <f t="shared" si="848"/>
        <v>24</v>
      </c>
      <c r="BQ154" s="57">
        <f t="shared" si="848"/>
        <v>24</v>
      </c>
      <c r="BR154" s="57">
        <f t="shared" si="848"/>
        <v>24</v>
      </c>
      <c r="BS154" s="57">
        <f t="shared" si="848"/>
        <v>24</v>
      </c>
      <c r="BT154" s="57">
        <f t="shared" si="848"/>
        <v>24</v>
      </c>
      <c r="BU154" s="57">
        <f t="shared" si="848"/>
        <v>24</v>
      </c>
      <c r="BV154" s="57">
        <f t="shared" si="848"/>
        <v>24</v>
      </c>
      <c r="BW154" s="57">
        <f t="shared" si="848"/>
        <v>24</v>
      </c>
      <c r="BX154" s="57">
        <f t="shared" si="848"/>
        <v>24</v>
      </c>
      <c r="BY154" s="57">
        <f t="shared" si="848"/>
        <v>24</v>
      </c>
      <c r="BZ154" s="57">
        <f t="shared" si="848"/>
        <v>24</v>
      </c>
      <c r="CA154" s="57">
        <f t="shared" si="848"/>
        <v>24</v>
      </c>
      <c r="CB154" s="57">
        <f t="shared" si="848"/>
        <v>24</v>
      </c>
      <c r="CC154" s="57">
        <f t="shared" si="848"/>
        <v>24</v>
      </c>
      <c r="CD154" s="57">
        <f t="shared" si="848"/>
        <v>24</v>
      </c>
      <c r="CE154" s="57">
        <f t="shared" si="848"/>
        <v>24</v>
      </c>
      <c r="CF154" s="57">
        <f t="shared" si="848"/>
        <v>24</v>
      </c>
      <c r="CG154" s="57">
        <f t="shared" si="848"/>
        <v>24</v>
      </c>
      <c r="CH154" s="57">
        <f t="shared" si="848"/>
        <v>24</v>
      </c>
      <c r="CI154" s="57">
        <f t="shared" si="848"/>
        <v>24</v>
      </c>
      <c r="CJ154" s="57">
        <f t="shared" si="848"/>
        <v>24</v>
      </c>
      <c r="CK154" s="57">
        <f t="shared" si="848"/>
        <v>24</v>
      </c>
      <c r="CL154" s="57">
        <f t="shared" si="848"/>
        <v>24</v>
      </c>
      <c r="CM154" s="57">
        <f t="shared" si="848"/>
        <v>24</v>
      </c>
      <c r="CN154" s="57">
        <f t="shared" si="848"/>
        <v>24</v>
      </c>
      <c r="CO154" s="57">
        <f t="shared" si="848"/>
        <v>24</v>
      </c>
      <c r="CP154" s="57">
        <f t="shared" si="848"/>
        <v>24</v>
      </c>
      <c r="CQ154" s="57">
        <f t="shared" si="848"/>
        <v>24</v>
      </c>
      <c r="CR154" s="57">
        <f t="shared" si="848"/>
        <v>24</v>
      </c>
      <c r="CS154" s="57">
        <f t="shared" si="848"/>
        <v>24</v>
      </c>
      <c r="CT154" s="57">
        <f t="shared" si="848"/>
        <v>24</v>
      </c>
      <c r="CU154" s="57">
        <f t="shared" si="848"/>
        <v>24</v>
      </c>
      <c r="CV154" s="57">
        <f t="shared" si="848"/>
        <v>24</v>
      </c>
      <c r="CW154" s="57">
        <f t="shared" si="848"/>
        <v>24</v>
      </c>
      <c r="CX154" s="57">
        <f t="shared" si="848"/>
        <v>24</v>
      </c>
      <c r="CY154" s="57">
        <f t="shared" si="848"/>
        <v>24</v>
      </c>
      <c r="CZ154" s="57">
        <f t="shared" si="848"/>
        <v>24</v>
      </c>
      <c r="DA154" s="57">
        <f t="shared" si="848"/>
        <v>24</v>
      </c>
      <c r="DB154" s="57">
        <f t="shared" si="848"/>
        <v>24</v>
      </c>
      <c r="DC154" s="57">
        <f t="shared" si="848"/>
        <v>24</v>
      </c>
      <c r="DD154" s="57">
        <f t="shared" si="848"/>
        <v>24</v>
      </c>
      <c r="DE154" s="57">
        <f t="shared" si="848"/>
        <v>24</v>
      </c>
      <c r="DF154" s="57">
        <f t="shared" si="848"/>
        <v>24</v>
      </c>
      <c r="DG154" s="57">
        <f t="shared" si="848"/>
        <v>24</v>
      </c>
      <c r="DH154" s="57">
        <f t="shared" si="848"/>
        <v>24</v>
      </c>
      <c r="DI154" s="57">
        <f t="shared" si="848"/>
        <v>24</v>
      </c>
      <c r="DJ154" s="57">
        <f t="shared" si="848"/>
        <v>24</v>
      </c>
      <c r="DK154" s="57">
        <f t="shared" si="848"/>
        <v>24</v>
      </c>
      <c r="DL154" s="57">
        <f t="shared" si="848"/>
        <v>24</v>
      </c>
      <c r="DM154" s="57">
        <f t="shared" si="848"/>
        <v>24</v>
      </c>
      <c r="DN154" s="57">
        <f t="shared" si="848"/>
        <v>24</v>
      </c>
      <c r="DO154" s="57">
        <f t="shared" si="848"/>
        <v>24</v>
      </c>
      <c r="DP154" s="57">
        <f t="shared" si="848"/>
        <v>24</v>
      </c>
      <c r="DQ154" s="57">
        <f t="shared" ref="DQ154:FY154" si="849">IF(IF((2)*12&lt;DQ21,DQ21,(2)*12)&gt;DQ22,DQ22,IF((2)*12&lt;DQ21,DQ21,(2)*12))</f>
        <v>24</v>
      </c>
      <c r="DR154" s="57">
        <f t="shared" si="849"/>
        <v>24</v>
      </c>
      <c r="DS154" s="57">
        <f t="shared" si="849"/>
        <v>24</v>
      </c>
      <c r="DT154" s="57">
        <f t="shared" si="849"/>
        <v>24</v>
      </c>
      <c r="DU154" s="57">
        <f t="shared" si="849"/>
        <v>24</v>
      </c>
      <c r="DV154" s="57">
        <f t="shared" si="849"/>
        <v>24</v>
      </c>
      <c r="DW154" s="57">
        <f t="shared" si="849"/>
        <v>24</v>
      </c>
      <c r="DX154" s="57">
        <f t="shared" si="849"/>
        <v>24</v>
      </c>
      <c r="DY154" s="57">
        <f t="shared" si="849"/>
        <v>24</v>
      </c>
      <c r="DZ154" s="57">
        <f t="shared" si="849"/>
        <v>24</v>
      </c>
      <c r="EA154" s="57">
        <f t="shared" si="849"/>
        <v>24</v>
      </c>
      <c r="EB154" s="57">
        <f t="shared" si="849"/>
        <v>24</v>
      </c>
      <c r="EC154" s="57">
        <f t="shared" si="849"/>
        <v>24</v>
      </c>
      <c r="ED154" s="57">
        <f t="shared" si="849"/>
        <v>24</v>
      </c>
      <c r="EE154" s="57">
        <f t="shared" si="849"/>
        <v>24</v>
      </c>
      <c r="EF154" s="57">
        <f t="shared" si="849"/>
        <v>24</v>
      </c>
      <c r="EG154" s="57">
        <f t="shared" si="849"/>
        <v>24</v>
      </c>
      <c r="EH154" s="57">
        <f t="shared" si="849"/>
        <v>24</v>
      </c>
      <c r="EI154" s="57">
        <f t="shared" si="849"/>
        <v>24</v>
      </c>
      <c r="EJ154" s="57">
        <f t="shared" si="849"/>
        <v>24</v>
      </c>
      <c r="EK154" s="57">
        <f t="shared" si="849"/>
        <v>24</v>
      </c>
      <c r="EL154" s="57">
        <f t="shared" si="849"/>
        <v>24</v>
      </c>
      <c r="EM154" s="57">
        <f t="shared" si="849"/>
        <v>24</v>
      </c>
      <c r="EN154" s="57">
        <f t="shared" si="849"/>
        <v>24</v>
      </c>
      <c r="EO154" s="57">
        <f t="shared" si="849"/>
        <v>24</v>
      </c>
      <c r="EP154" s="57">
        <f t="shared" si="849"/>
        <v>24</v>
      </c>
      <c r="EQ154" s="57">
        <f t="shared" si="849"/>
        <v>24</v>
      </c>
      <c r="ER154" s="57">
        <f t="shared" si="849"/>
        <v>24</v>
      </c>
      <c r="ES154" s="57">
        <f t="shared" si="849"/>
        <v>24</v>
      </c>
      <c r="ET154" s="57">
        <f t="shared" si="849"/>
        <v>24</v>
      </c>
      <c r="EU154" s="57">
        <f t="shared" si="849"/>
        <v>24</v>
      </c>
      <c r="EV154" s="57">
        <f t="shared" si="849"/>
        <v>24</v>
      </c>
      <c r="EW154" s="57">
        <f t="shared" si="849"/>
        <v>24</v>
      </c>
      <c r="EX154" s="57">
        <f t="shared" si="849"/>
        <v>24</v>
      </c>
      <c r="EY154" s="57">
        <f t="shared" si="849"/>
        <v>24</v>
      </c>
      <c r="EZ154" s="57">
        <f t="shared" si="849"/>
        <v>24</v>
      </c>
      <c r="FA154" s="57">
        <f t="shared" si="849"/>
        <v>24</v>
      </c>
      <c r="FB154" s="57">
        <f t="shared" si="849"/>
        <v>24</v>
      </c>
      <c r="FC154" s="57">
        <f t="shared" si="849"/>
        <v>24</v>
      </c>
      <c r="FD154" s="57">
        <f t="shared" si="849"/>
        <v>24</v>
      </c>
      <c r="FE154" s="57">
        <f t="shared" si="849"/>
        <v>24</v>
      </c>
      <c r="FF154" s="57">
        <f t="shared" si="849"/>
        <v>24</v>
      </c>
      <c r="FG154" s="57">
        <f t="shared" si="849"/>
        <v>24</v>
      </c>
      <c r="FH154" s="57">
        <f t="shared" si="849"/>
        <v>24</v>
      </c>
      <c r="FI154" s="57">
        <f t="shared" si="849"/>
        <v>24</v>
      </c>
      <c r="FJ154" s="57">
        <f t="shared" si="849"/>
        <v>24</v>
      </c>
      <c r="FK154" s="57">
        <f t="shared" si="849"/>
        <v>24</v>
      </c>
      <c r="FL154" s="57">
        <f t="shared" si="849"/>
        <v>24</v>
      </c>
      <c r="FM154" s="57">
        <f t="shared" si="849"/>
        <v>24</v>
      </c>
      <c r="FN154" s="57">
        <f t="shared" si="849"/>
        <v>24</v>
      </c>
      <c r="FO154" s="57">
        <f t="shared" si="849"/>
        <v>24</v>
      </c>
      <c r="FP154" s="57">
        <f t="shared" si="849"/>
        <v>24</v>
      </c>
      <c r="FQ154" s="57">
        <f t="shared" si="849"/>
        <v>24</v>
      </c>
      <c r="FR154" s="57">
        <f t="shared" si="849"/>
        <v>24</v>
      </c>
      <c r="FS154" s="57">
        <f t="shared" si="849"/>
        <v>24</v>
      </c>
      <c r="FT154" s="57">
        <f t="shared" si="849"/>
        <v>24</v>
      </c>
      <c r="FU154" s="57">
        <f t="shared" si="849"/>
        <v>24</v>
      </c>
      <c r="FV154" s="57">
        <f t="shared" si="849"/>
        <v>24</v>
      </c>
      <c r="FW154" s="57">
        <f t="shared" si="849"/>
        <v>24</v>
      </c>
      <c r="FX154" s="57">
        <f t="shared" si="849"/>
        <v>24</v>
      </c>
      <c r="FY154" s="57">
        <f t="shared" si="849"/>
        <v>24</v>
      </c>
      <c r="FZ154" s="59"/>
    </row>
    <row r="155" spans="1:182" s="293" customFormat="1" hidden="1" outlineLevel="1" x14ac:dyDescent="0.2">
      <c r="A155" s="83"/>
      <c r="B155" s="84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85"/>
      <c r="AN155" s="85"/>
      <c r="AO155" s="85"/>
      <c r="AP155" s="85"/>
      <c r="AQ155" s="85"/>
      <c r="AR155" s="85"/>
      <c r="AS155" s="85"/>
      <c r="AT155" s="85"/>
      <c r="AU155" s="85"/>
      <c r="AV155" s="85"/>
      <c r="AW155" s="85"/>
      <c r="AX155" s="85"/>
      <c r="AY155" s="85"/>
      <c r="AZ155" s="85"/>
      <c r="BA155" s="85"/>
      <c r="BB155" s="85"/>
      <c r="BC155" s="85"/>
      <c r="BD155" s="85"/>
      <c r="BE155" s="85"/>
      <c r="BF155" s="85"/>
      <c r="BG155" s="85"/>
      <c r="BH155" s="85"/>
      <c r="BI155" s="85"/>
      <c r="BJ155" s="85"/>
      <c r="BK155" s="85"/>
      <c r="BL155" s="85"/>
      <c r="BM155" s="85"/>
      <c r="BN155" s="85"/>
      <c r="BO155" s="85"/>
      <c r="BP155" s="85"/>
      <c r="BQ155" s="85"/>
      <c r="BR155" s="85"/>
      <c r="BS155" s="85"/>
      <c r="BT155" s="85"/>
      <c r="BU155" s="85"/>
      <c r="BV155" s="85"/>
      <c r="BW155" s="85"/>
      <c r="BX155" s="85"/>
      <c r="BY155" s="85"/>
      <c r="BZ155" s="85"/>
      <c r="CA155" s="85"/>
      <c r="CB155" s="85"/>
      <c r="CC155" s="85"/>
      <c r="CD155" s="85"/>
      <c r="CE155" s="85"/>
      <c r="CF155" s="85"/>
      <c r="CG155" s="85"/>
      <c r="CH155" s="85"/>
      <c r="CI155" s="85"/>
      <c r="CJ155" s="85"/>
      <c r="CK155" s="85"/>
      <c r="CL155" s="85"/>
      <c r="CM155" s="85"/>
      <c r="CN155" s="85"/>
      <c r="CO155" s="85"/>
      <c r="CP155" s="85"/>
      <c r="CQ155" s="85"/>
      <c r="CR155" s="85"/>
      <c r="CS155" s="85"/>
      <c r="CT155" s="85"/>
      <c r="CU155" s="85"/>
      <c r="CV155" s="85"/>
      <c r="CW155" s="85"/>
      <c r="CX155" s="85"/>
      <c r="CY155" s="85"/>
      <c r="CZ155" s="85"/>
      <c r="DA155" s="85"/>
      <c r="DB155" s="85"/>
      <c r="DC155" s="85"/>
      <c r="DD155" s="85"/>
      <c r="DE155" s="85"/>
      <c r="DF155" s="85"/>
      <c r="DG155" s="85"/>
      <c r="DH155" s="85"/>
      <c r="DI155" s="85"/>
      <c r="DJ155" s="85"/>
      <c r="DK155" s="85"/>
      <c r="DL155" s="85"/>
      <c r="DM155" s="85"/>
      <c r="DN155" s="85"/>
      <c r="DO155" s="85"/>
      <c r="DP155" s="85"/>
      <c r="DQ155" s="85"/>
      <c r="DR155" s="85"/>
      <c r="DS155" s="85"/>
      <c r="DT155" s="85"/>
      <c r="DU155" s="85"/>
      <c r="DV155" s="85"/>
      <c r="DW155" s="85"/>
      <c r="DX155" s="85"/>
      <c r="DY155" s="85"/>
      <c r="DZ155" s="85"/>
      <c r="EA155" s="85"/>
      <c r="EB155" s="85"/>
      <c r="EC155" s="85"/>
      <c r="ED155" s="85"/>
      <c r="EE155" s="85"/>
      <c r="EF155" s="85"/>
      <c r="EG155" s="85"/>
      <c r="EH155" s="85"/>
      <c r="EI155" s="85"/>
      <c r="EJ155" s="85"/>
      <c r="EK155" s="85"/>
      <c r="EL155" s="85"/>
      <c r="EM155" s="85"/>
      <c r="EN155" s="85"/>
      <c r="EO155" s="85"/>
      <c r="EP155" s="85"/>
      <c r="EQ155" s="85"/>
      <c r="ER155" s="85"/>
      <c r="ES155" s="85"/>
      <c r="ET155" s="85"/>
      <c r="EU155" s="85"/>
      <c r="EV155" s="85"/>
      <c r="EW155" s="85"/>
      <c r="EX155" s="85"/>
      <c r="EY155" s="85"/>
      <c r="EZ155" s="85"/>
      <c r="FA155" s="85"/>
      <c r="FB155" s="85"/>
      <c r="FC155" s="85"/>
      <c r="FD155" s="85"/>
      <c r="FE155" s="85"/>
      <c r="FF155" s="85"/>
      <c r="FG155" s="85"/>
      <c r="FH155" s="85"/>
      <c r="FI155" s="85"/>
      <c r="FJ155" s="85"/>
      <c r="FK155" s="85"/>
      <c r="FL155" s="85"/>
      <c r="FM155" s="85"/>
      <c r="FN155" s="85"/>
      <c r="FO155" s="85"/>
      <c r="FP155" s="85"/>
      <c r="FQ155" s="85"/>
      <c r="FR155" s="85"/>
      <c r="FS155" s="85"/>
      <c r="FT155" s="85"/>
      <c r="FU155" s="85"/>
      <c r="FV155" s="85"/>
      <c r="FW155" s="85"/>
      <c r="FX155" s="85"/>
      <c r="FY155" s="85"/>
      <c r="FZ155" s="86"/>
    </row>
    <row r="156" spans="1:182" hidden="1" outlineLevel="1" x14ac:dyDescent="0.2">
      <c r="A156" s="81" t="s">
        <v>150</v>
      </c>
      <c r="B156" s="8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2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2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2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2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80"/>
      <c r="CH156" s="80"/>
      <c r="CI156" s="80"/>
      <c r="CJ156" s="80"/>
      <c r="CK156" s="80"/>
      <c r="CL156" s="80"/>
      <c r="CM156" s="80"/>
      <c r="CN156" s="80"/>
      <c r="CO156" s="80"/>
      <c r="CP156" s="80"/>
      <c r="CQ156" s="80"/>
      <c r="CR156" s="80"/>
      <c r="CS156" s="80"/>
      <c r="CT156" s="80"/>
      <c r="CU156" s="80"/>
      <c r="CV156" s="80"/>
      <c r="CW156" s="80"/>
      <c r="CX156" s="80"/>
      <c r="CY156" s="80"/>
      <c r="CZ156" s="80"/>
      <c r="DA156" s="80"/>
      <c r="DB156" s="80"/>
      <c r="DC156" s="80"/>
      <c r="DD156" s="80"/>
      <c r="DE156" s="80"/>
      <c r="DF156" s="80"/>
      <c r="DG156" s="80"/>
      <c r="DH156" s="80"/>
      <c r="DI156" s="80"/>
      <c r="DJ156" s="80"/>
      <c r="DK156" s="80"/>
      <c r="DL156" s="80"/>
      <c r="DM156" s="80"/>
      <c r="DN156" s="80"/>
      <c r="DO156" s="80"/>
      <c r="DP156" s="80"/>
      <c r="DQ156" s="80"/>
      <c r="DR156" s="80"/>
      <c r="DS156" s="80"/>
      <c r="DT156" s="80"/>
      <c r="DU156" s="80"/>
      <c r="DV156" s="80"/>
      <c r="DW156" s="80"/>
      <c r="DX156" s="80"/>
      <c r="DY156" s="80"/>
      <c r="DZ156" s="80"/>
      <c r="EA156" s="80"/>
      <c r="EB156" s="80"/>
      <c r="EC156" s="80"/>
      <c r="ED156" s="80"/>
      <c r="EE156" s="80"/>
      <c r="EF156" s="80"/>
      <c r="EG156" s="80"/>
      <c r="EH156" s="80"/>
      <c r="EI156" s="80"/>
      <c r="EJ156" s="80"/>
      <c r="EK156" s="80"/>
      <c r="EL156" s="80"/>
      <c r="EM156" s="80"/>
      <c r="EN156" s="80"/>
      <c r="EO156" s="80"/>
      <c r="EP156" s="80"/>
      <c r="EQ156" s="80"/>
      <c r="ER156" s="80"/>
      <c r="ES156" s="80"/>
      <c r="ET156" s="80"/>
      <c r="EU156" s="80"/>
      <c r="EV156" s="80"/>
      <c r="EW156" s="80"/>
      <c r="EX156" s="80"/>
      <c r="EY156" s="80"/>
      <c r="EZ156" s="80"/>
      <c r="FA156" s="80"/>
      <c r="FB156" s="80"/>
      <c r="FC156" s="80"/>
      <c r="FD156" s="80"/>
      <c r="FE156" s="80"/>
      <c r="FF156" s="80"/>
      <c r="FG156" s="80"/>
      <c r="FH156" s="80"/>
      <c r="FI156" s="80"/>
      <c r="FJ156" s="80"/>
      <c r="FK156" s="80"/>
      <c r="FL156" s="80"/>
      <c r="FM156" s="80"/>
      <c r="FN156" s="80"/>
      <c r="FO156" s="80"/>
      <c r="FP156" s="80"/>
      <c r="FQ156" s="80"/>
      <c r="FR156" s="80"/>
      <c r="FS156" s="80"/>
      <c r="FT156" s="80"/>
      <c r="FU156" s="80"/>
      <c r="FV156" s="80"/>
      <c r="FW156" s="80"/>
      <c r="FX156" s="80"/>
      <c r="FY156" s="80"/>
      <c r="FZ156" s="80"/>
    </row>
    <row r="157" spans="1:182" s="293" customFormat="1" hidden="1" outlineLevel="1" x14ac:dyDescent="0.2">
      <c r="A157" s="83" t="s">
        <v>186</v>
      </c>
      <c r="B157" s="84">
        <f>(1/B140^IF((24-B138+1)&lt;0,0,(24-B138+1))-(1/B140^IF(((B161)-B138+1)&lt;0,0,((B161)-B138+1))))/(B140-1)</f>
        <v>10.461605520546838</v>
      </c>
      <c r="C157" s="85">
        <f t="shared" ref="C157:AK157" si="850">(1/C140^IF((24-C138+1)&lt;0,0,(24-C138+1))-(1/C140^IF(((C161)-C138+1)&lt;0,0,((C161)-C138+1))))/(C140-1)</f>
        <v>10.507307000478871</v>
      </c>
      <c r="D157" s="85">
        <f t="shared" si="850"/>
        <v>10.553208127134743</v>
      </c>
      <c r="E157" s="85">
        <f t="shared" si="850"/>
        <v>10.599309772670306</v>
      </c>
      <c r="F157" s="85">
        <f t="shared" si="850"/>
        <v>10.645612813051404</v>
      </c>
      <c r="G157" s="85">
        <f t="shared" si="850"/>
        <v>10.692118128070657</v>
      </c>
      <c r="H157" s="85">
        <f t="shared" si="850"/>
        <v>10.738826601363897</v>
      </c>
      <c r="I157" s="85">
        <f t="shared" si="850"/>
        <v>10.78573912042728</v>
      </c>
      <c r="J157" s="85">
        <f t="shared" si="850"/>
        <v>10.832856576633818</v>
      </c>
      <c r="K157" s="85">
        <f t="shared" si="850"/>
        <v>10.88017986525068</v>
      </c>
      <c r="L157" s="85">
        <f t="shared" si="850"/>
        <v>10.927709885455764</v>
      </c>
      <c r="M157" s="85">
        <f t="shared" si="850"/>
        <v>10.975447540355153</v>
      </c>
      <c r="N157" s="85">
        <f t="shared" si="850"/>
        <v>11.023393737000152</v>
      </c>
      <c r="O157" s="85">
        <f t="shared" si="850"/>
        <v>11.071549386404531</v>
      </c>
      <c r="P157" s="85">
        <f t="shared" si="850"/>
        <v>11.119915403561818</v>
      </c>
      <c r="Q157" s="85">
        <f t="shared" si="850"/>
        <v>11.168492707462649</v>
      </c>
      <c r="R157" s="85">
        <f t="shared" si="850"/>
        <v>11.217282221112288</v>
      </c>
      <c r="S157" s="85">
        <f t="shared" si="850"/>
        <v>11.266284871548079</v>
      </c>
      <c r="T157" s="85">
        <f t="shared" si="850"/>
        <v>11.315501589857206</v>
      </c>
      <c r="U157" s="85">
        <f t="shared" si="850"/>
        <v>11.364933311194267</v>
      </c>
      <c r="V157" s="85">
        <f t="shared" si="850"/>
        <v>11.414580974799108</v>
      </c>
      <c r="W157" s="85">
        <f t="shared" si="850"/>
        <v>11.464445524014613</v>
      </c>
      <c r="X157" s="85">
        <f t="shared" si="850"/>
        <v>11.514527906304647</v>
      </c>
      <c r="Y157" s="85">
        <f t="shared" si="850"/>
        <v>11.564829073272147</v>
      </c>
      <c r="Z157" s="85">
        <f t="shared" si="850"/>
        <v>11.615349980677049</v>
      </c>
      <c r="AA157" s="85">
        <f t="shared" si="850"/>
        <v>11.666091588454478</v>
      </c>
      <c r="AB157" s="85">
        <f t="shared" si="850"/>
        <v>10.717054860733144</v>
      </c>
      <c r="AC157" s="85">
        <f t="shared" si="850"/>
        <v>9.7638722700386715</v>
      </c>
      <c r="AD157" s="85">
        <f t="shared" si="850"/>
        <v>8.8065257051860577</v>
      </c>
      <c r="AE157" s="85">
        <f t="shared" si="850"/>
        <v>7.8449969758716236</v>
      </c>
      <c r="AF157" s="85">
        <f t="shared" si="850"/>
        <v>6.8792678123274458</v>
      </c>
      <c r="AG157" s="85">
        <f t="shared" si="850"/>
        <v>5.9093198649741243</v>
      </c>
      <c r="AH157" s="85">
        <f t="shared" si="850"/>
        <v>4.9351347040723015</v>
      </c>
      <c r="AI157" s="85">
        <f t="shared" si="850"/>
        <v>3.9566938193722483</v>
      </c>
      <c r="AJ157" s="85">
        <f t="shared" si="850"/>
        <v>2.9739786197624354</v>
      </c>
      <c r="AK157" s="85">
        <f t="shared" si="850"/>
        <v>1.9869704329160223</v>
      </c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5"/>
      <c r="BH157" s="85"/>
      <c r="BI157" s="85"/>
      <c r="BJ157" s="85"/>
      <c r="BK157" s="85"/>
      <c r="BL157" s="85"/>
      <c r="BM157" s="85"/>
      <c r="BN157" s="85"/>
      <c r="BO157" s="85"/>
      <c r="BP157" s="85"/>
      <c r="BQ157" s="85"/>
      <c r="BR157" s="85"/>
      <c r="BS157" s="85"/>
      <c r="BT157" s="85"/>
      <c r="BU157" s="85"/>
      <c r="BV157" s="85"/>
      <c r="BW157" s="85"/>
      <c r="BX157" s="85"/>
      <c r="BY157" s="85"/>
      <c r="BZ157" s="85"/>
      <c r="CA157" s="85"/>
      <c r="CB157" s="85"/>
      <c r="CC157" s="85"/>
      <c r="CD157" s="85"/>
      <c r="CE157" s="85"/>
      <c r="CF157" s="85"/>
      <c r="CG157" s="85"/>
      <c r="CH157" s="85"/>
      <c r="CI157" s="85"/>
      <c r="CJ157" s="85"/>
      <c r="CK157" s="85"/>
      <c r="CL157" s="85"/>
      <c r="CM157" s="85"/>
      <c r="CN157" s="85"/>
      <c r="CO157" s="85"/>
      <c r="CP157" s="85"/>
      <c r="CQ157" s="85"/>
      <c r="CR157" s="85"/>
      <c r="CS157" s="85"/>
      <c r="CT157" s="85"/>
      <c r="CU157" s="85"/>
      <c r="CV157" s="85"/>
      <c r="CW157" s="85"/>
      <c r="CX157" s="85"/>
      <c r="CY157" s="85"/>
      <c r="CZ157" s="85"/>
      <c r="DA157" s="85"/>
      <c r="DB157" s="85"/>
      <c r="DC157" s="85"/>
      <c r="DD157" s="85"/>
      <c r="DE157" s="85"/>
      <c r="DF157" s="85"/>
      <c r="DG157" s="85"/>
      <c r="DH157" s="85"/>
      <c r="DI157" s="85"/>
      <c r="DJ157" s="85"/>
      <c r="DK157" s="85"/>
      <c r="DL157" s="85"/>
      <c r="DM157" s="85"/>
      <c r="DN157" s="85"/>
      <c r="DO157" s="85"/>
      <c r="DP157" s="85"/>
      <c r="DQ157" s="85"/>
      <c r="DR157" s="85"/>
      <c r="DS157" s="85"/>
      <c r="DT157" s="85"/>
      <c r="DU157" s="85"/>
      <c r="DV157" s="85"/>
      <c r="DW157" s="85"/>
      <c r="DX157" s="85"/>
      <c r="DY157" s="85"/>
      <c r="DZ157" s="85"/>
      <c r="EA157" s="85"/>
      <c r="EB157" s="85"/>
      <c r="EC157" s="85"/>
      <c r="ED157" s="85"/>
      <c r="EE157" s="85"/>
      <c r="EF157" s="85"/>
      <c r="EG157" s="85"/>
      <c r="EH157" s="85"/>
      <c r="EI157" s="85"/>
      <c r="EJ157" s="85"/>
      <c r="EK157" s="85"/>
      <c r="EL157" s="85"/>
      <c r="EM157" s="85"/>
      <c r="EN157" s="85"/>
      <c r="EO157" s="85"/>
      <c r="EP157" s="85"/>
      <c r="EQ157" s="85"/>
      <c r="ER157" s="85"/>
      <c r="ES157" s="85"/>
      <c r="ET157" s="85"/>
      <c r="EU157" s="85"/>
      <c r="EV157" s="85"/>
      <c r="EW157" s="85"/>
      <c r="EX157" s="85"/>
      <c r="EY157" s="85"/>
      <c r="EZ157" s="85"/>
      <c r="FA157" s="85"/>
      <c r="FB157" s="85"/>
      <c r="FC157" s="85"/>
      <c r="FD157" s="85"/>
      <c r="FE157" s="85"/>
      <c r="FF157" s="85"/>
      <c r="FG157" s="85"/>
      <c r="FH157" s="85"/>
      <c r="FI157" s="85"/>
      <c r="FJ157" s="85"/>
      <c r="FK157" s="85"/>
      <c r="FL157" s="85"/>
      <c r="FM157" s="85"/>
      <c r="FN157" s="85"/>
      <c r="FO157" s="85"/>
      <c r="FP157" s="85"/>
      <c r="FQ157" s="85"/>
      <c r="FR157" s="85"/>
      <c r="FS157" s="85"/>
      <c r="FT157" s="85"/>
      <c r="FU157" s="85"/>
      <c r="FV157" s="85"/>
      <c r="FW157" s="85"/>
      <c r="FX157" s="85"/>
      <c r="FY157" s="85"/>
      <c r="FZ157" s="86"/>
    </row>
    <row r="158" spans="1:182" s="293" customFormat="1" hidden="1" outlineLevel="1" x14ac:dyDescent="0.2">
      <c r="A158" s="83" t="s">
        <v>187</v>
      </c>
      <c r="B158" s="84">
        <f>(1/B140^IF((36-B138+1)&lt;0,0,(36-B138+1))-(1/B140^IF((12+(B161)-B138+1)&lt;0,0,(12+(B161)-B138+1))))/(B140-1)</f>
        <v>9.9284478699314782</v>
      </c>
      <c r="C158" s="85">
        <f t="shared" ref="C158:Y158" si="851">(1/C140^IF((36-C138+1)&lt;0,0,(36-C138+1))-(1/C140^IF((12+(C161)-C138+1)&lt;0,0,(12+(C161)-C138+1))))/(C140-1)</f>
        <v>9.971820252898242</v>
      </c>
      <c r="D158" s="85">
        <f t="shared" si="851"/>
        <v>10.015382107938397</v>
      </c>
      <c r="E158" s="85">
        <f t="shared" si="851"/>
        <v>10.059134262760049</v>
      </c>
      <c r="F158" s="85">
        <f t="shared" si="851"/>
        <v>10.103077548686924</v>
      </c>
      <c r="G158" s="85">
        <f t="shared" si="851"/>
        <v>10.147212800674479</v>
      </c>
      <c r="H158" s="85">
        <f t="shared" si="851"/>
        <v>10.191540857325606</v>
      </c>
      <c r="I158" s="85">
        <f t="shared" si="851"/>
        <v>10.236062560906669</v>
      </c>
      <c r="J158" s="85">
        <f t="shared" si="851"/>
        <v>10.280778757363464</v>
      </c>
      <c r="K158" s="85">
        <f t="shared" si="851"/>
        <v>10.325690296337335</v>
      </c>
      <c r="L158" s="85">
        <f t="shared" si="851"/>
        <v>10.370798031181257</v>
      </c>
      <c r="M158" s="85">
        <f t="shared" si="851"/>
        <v>10.416102818976105</v>
      </c>
      <c r="N158" s="85">
        <f t="shared" si="851"/>
        <v>10.461605520546838</v>
      </c>
      <c r="O158" s="85">
        <f t="shared" si="851"/>
        <v>10.507307000478871</v>
      </c>
      <c r="P158" s="85">
        <f t="shared" si="851"/>
        <v>10.553208127134743</v>
      </c>
      <c r="Q158" s="85">
        <f t="shared" si="851"/>
        <v>10.599309772670306</v>
      </c>
      <c r="R158" s="85">
        <f t="shared" si="851"/>
        <v>10.645612813051404</v>
      </c>
      <c r="S158" s="85">
        <f t="shared" si="851"/>
        <v>10.692118128070657</v>
      </c>
      <c r="T158" s="85">
        <f t="shared" si="851"/>
        <v>10.738826601363897</v>
      </c>
      <c r="U158" s="85">
        <f t="shared" si="851"/>
        <v>10.78573912042728</v>
      </c>
      <c r="V158" s="85">
        <f t="shared" si="851"/>
        <v>10.832856576633818</v>
      </c>
      <c r="W158" s="85">
        <f t="shared" si="851"/>
        <v>10.88017986525068</v>
      </c>
      <c r="X158" s="85">
        <f t="shared" si="851"/>
        <v>10.927709885455764</v>
      </c>
      <c r="Y158" s="85">
        <f t="shared" si="851"/>
        <v>10.975447540355153</v>
      </c>
      <c r="Z158" s="85">
        <f>(1/Z140^IF((36-Z138+1+(Z138-24-1))&lt;0,0,(36-Z138+1+(Z138-24-1)))-(1/Z140^IF((12+(Z161)-Z138+1)&lt;0,0,(12+(Z161)-Z138+1))))/(Z140-1)</f>
        <v>11.968302634158947</v>
      </c>
      <c r="AA158" s="85">
        <f t="shared" ref="AA158:AK158" si="852">(1/AA140^IF((36-AA138+1+(AA138-24-1))&lt;0,0,(36-AA138+1+(AA138-24-1)))-(1/AA140^IF((12+(AA161)-AA138+1)&lt;0,0,(12+(AA161)-AA138+1))))/(AA140-1)</f>
        <v>11.071549386404531</v>
      </c>
      <c r="AB158" s="85">
        <f t="shared" si="852"/>
        <v>10.170878675840484</v>
      </c>
      <c r="AC158" s="85">
        <f t="shared" si="852"/>
        <v>9.2662733890468427</v>
      </c>
      <c r="AD158" s="85">
        <f t="shared" si="852"/>
        <v>8.3577163378438684</v>
      </c>
      <c r="AE158" s="85">
        <f t="shared" si="852"/>
        <v>7.4451902589652237</v>
      </c>
      <c r="AF158" s="85">
        <f t="shared" si="852"/>
        <v>6.5286778137301731</v>
      </c>
      <c r="AG158" s="85">
        <f t="shared" si="852"/>
        <v>5.6081615877139139</v>
      </c>
      <c r="AH158" s="85">
        <f t="shared" si="852"/>
        <v>4.6836240904169326</v>
      </c>
      <c r="AI158" s="85">
        <f t="shared" si="852"/>
        <v>3.7550477549323835</v>
      </c>
      <c r="AJ158" s="85">
        <f t="shared" si="852"/>
        <v>2.8224149376126033</v>
      </c>
      <c r="AK158" s="85">
        <f t="shared" si="852"/>
        <v>1.8857079177336911</v>
      </c>
      <c r="AL158" s="85"/>
      <c r="AM158" s="85"/>
      <c r="AN158" s="85"/>
      <c r="AO158" s="85"/>
      <c r="AP158" s="85"/>
      <c r="AQ158" s="85"/>
      <c r="AR158" s="85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  <c r="BG158" s="85"/>
      <c r="BH158" s="85"/>
      <c r="BI158" s="85"/>
      <c r="BJ158" s="85"/>
      <c r="BK158" s="85"/>
      <c r="BL158" s="85"/>
      <c r="BM158" s="85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  <c r="DF158" s="85"/>
      <c r="DG158" s="85"/>
      <c r="DH158" s="85"/>
      <c r="DI158" s="85"/>
      <c r="DJ158" s="85"/>
      <c r="DK158" s="85"/>
      <c r="DL158" s="85"/>
      <c r="DM158" s="85"/>
      <c r="DN158" s="85"/>
      <c r="DO158" s="85"/>
      <c r="DP158" s="85"/>
      <c r="DQ158" s="85"/>
      <c r="DR158" s="85"/>
      <c r="DS158" s="85"/>
      <c r="DT158" s="85"/>
      <c r="DU158" s="85"/>
      <c r="DV158" s="85"/>
      <c r="DW158" s="85"/>
      <c r="DX158" s="85"/>
      <c r="DY158" s="85"/>
      <c r="DZ158" s="85"/>
      <c r="EA158" s="85"/>
      <c r="EB158" s="85"/>
      <c r="EC158" s="85"/>
      <c r="ED158" s="85"/>
      <c r="EE158" s="85"/>
      <c r="EF158" s="85"/>
      <c r="EG158" s="85"/>
      <c r="EH158" s="85"/>
      <c r="EI158" s="85"/>
      <c r="EJ158" s="85"/>
      <c r="EK158" s="85"/>
      <c r="EL158" s="85"/>
      <c r="EM158" s="85"/>
      <c r="EN158" s="85"/>
      <c r="EO158" s="85"/>
      <c r="EP158" s="85"/>
      <c r="EQ158" s="85"/>
      <c r="ER158" s="85"/>
      <c r="ES158" s="85"/>
      <c r="ET158" s="85"/>
      <c r="EU158" s="85"/>
      <c r="EV158" s="85"/>
      <c r="EW158" s="85"/>
      <c r="EX158" s="85"/>
      <c r="EY158" s="85"/>
      <c r="EZ158" s="85"/>
      <c r="FA158" s="85"/>
      <c r="FB158" s="85"/>
      <c r="FC158" s="85"/>
      <c r="FD158" s="85"/>
      <c r="FE158" s="85"/>
      <c r="FF158" s="85"/>
      <c r="FG158" s="85"/>
      <c r="FH158" s="85"/>
      <c r="FI158" s="85"/>
      <c r="FJ158" s="85"/>
      <c r="FK158" s="85"/>
      <c r="FL158" s="85"/>
      <c r="FM158" s="85"/>
      <c r="FN158" s="85"/>
      <c r="FO158" s="85"/>
      <c r="FP158" s="85"/>
      <c r="FQ158" s="85"/>
      <c r="FR158" s="85"/>
      <c r="FS158" s="85"/>
      <c r="FT158" s="85"/>
      <c r="FU158" s="85"/>
      <c r="FV158" s="85"/>
      <c r="FW158" s="85"/>
      <c r="FX158" s="85"/>
      <c r="FY158" s="85"/>
      <c r="FZ158" s="86"/>
    </row>
    <row r="159" spans="1:182" s="293" customFormat="1" hidden="1" outlineLevel="1" x14ac:dyDescent="0.2">
      <c r="A159" s="83" t="s">
        <v>188</v>
      </c>
      <c r="B159" s="84">
        <f>(1/B140^IF((48-B138+1)&lt;0,0,(48-B138+1))-(1/B140^IF((24+(B161)-B138+1)&lt;0,0,(24+(B161)-B138+1))))/(B140-1)</f>
        <v>9.4224616778318886</v>
      </c>
      <c r="C159" s="85">
        <f t="shared" ref="C159:Y159" si="853">(1/C140^IF((48-C138+1)&lt;0,0,(48-C138+1))-(1/C140^IF((24+(C161)-C138+1)&lt;0,0,(24+(C161)-C138+1))))/(C140-1)</f>
        <v>9.4636236622361771</v>
      </c>
      <c r="D159" s="85">
        <f t="shared" si="853"/>
        <v>9.5049654625970703</v>
      </c>
      <c r="E159" s="85">
        <f t="shared" si="853"/>
        <v>9.5464878644397242</v>
      </c>
      <c r="F159" s="85">
        <f t="shared" si="853"/>
        <v>9.5881916567210421</v>
      </c>
      <c r="G159" s="85">
        <f t="shared" si="853"/>
        <v>9.6300776318443884</v>
      </c>
      <c r="H159" s="85">
        <f t="shared" si="853"/>
        <v>9.6721465856748328</v>
      </c>
      <c r="I159" s="85">
        <f t="shared" si="853"/>
        <v>9.7143993175539727</v>
      </c>
      <c r="J159" s="85">
        <f t="shared" si="853"/>
        <v>9.7568366303155614</v>
      </c>
      <c r="K159" s="85">
        <f t="shared" si="853"/>
        <v>9.7994593303002429</v>
      </c>
      <c r="L159" s="85">
        <f t="shared" si="853"/>
        <v>9.8422682273714699</v>
      </c>
      <c r="M159" s="85">
        <f t="shared" si="853"/>
        <v>9.8852641349303383</v>
      </c>
      <c r="N159" s="85">
        <f t="shared" si="853"/>
        <v>9.9284478699314782</v>
      </c>
      <c r="O159" s="85">
        <f t="shared" si="853"/>
        <v>9.971820252898242</v>
      </c>
      <c r="P159" s="85">
        <f t="shared" si="853"/>
        <v>10.015382107938397</v>
      </c>
      <c r="Q159" s="85">
        <f t="shared" si="853"/>
        <v>10.059134262760049</v>
      </c>
      <c r="R159" s="85">
        <f t="shared" si="853"/>
        <v>10.103077548686924</v>
      </c>
      <c r="S159" s="85">
        <f t="shared" si="853"/>
        <v>10.147212800674479</v>
      </c>
      <c r="T159" s="85">
        <f t="shared" si="853"/>
        <v>10.191540857325606</v>
      </c>
      <c r="U159" s="85">
        <f t="shared" si="853"/>
        <v>10.236062560906669</v>
      </c>
      <c r="V159" s="85">
        <f t="shared" si="853"/>
        <v>10.280778757363464</v>
      </c>
      <c r="W159" s="85">
        <f t="shared" si="853"/>
        <v>10.325690296337335</v>
      </c>
      <c r="X159" s="85">
        <f t="shared" si="853"/>
        <v>10.370798031181257</v>
      </c>
      <c r="Y159" s="85">
        <f t="shared" si="853"/>
        <v>10.416102818976105</v>
      </c>
      <c r="Z159" s="85">
        <f>(1/Z140^IF((48-Z138+1+(Z138-24-1))&lt;0,0,(48-Z138+1+(Z138-24-1)))-(1/Z140^IF((24+(Z161)-Z138+1)&lt;0,0,(24+(Z161)-Z138+1))))/(Z140-1)</f>
        <v>11.358358768301255</v>
      </c>
      <c r="AA159" s="85">
        <f t="shared" ref="AA159:AK159" si="854">(1/AA140^IF((48-AA138+1+(AA138-24-1))&lt;0,0,(48-AA138+1+(AA138-24-1)))-(1/AA140^IF((24+(AA161)-AA138+1)&lt;0,0,(24+(AA161)-AA138+1))))/(AA140-1)</f>
        <v>10.507307000478871</v>
      </c>
      <c r="AB159" s="85">
        <f t="shared" si="854"/>
        <v>9.6525374165706967</v>
      </c>
      <c r="AC159" s="85">
        <f t="shared" si="854"/>
        <v>8.7940337753126183</v>
      </c>
      <c r="AD159" s="85">
        <f t="shared" si="854"/>
        <v>7.9317797644907424</v>
      </c>
      <c r="AE159" s="85">
        <f t="shared" si="854"/>
        <v>7.0657590006313509</v>
      </c>
      <c r="AF159" s="85">
        <f t="shared" si="854"/>
        <v>6.1959550286895393</v>
      </c>
      <c r="AG159" s="85">
        <f t="shared" si="854"/>
        <v>5.3223513217366634</v>
      </c>
      <c r="AH159" s="85">
        <f t="shared" si="854"/>
        <v>4.4449312806462205</v>
      </c>
      <c r="AI159" s="85">
        <f t="shared" si="854"/>
        <v>3.5636782337785338</v>
      </c>
      <c r="AJ159" s="85">
        <f t="shared" si="854"/>
        <v>2.678575436663837</v>
      </c>
      <c r="AK159" s="85">
        <f t="shared" si="854"/>
        <v>1.7896060716843145</v>
      </c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5"/>
      <c r="BH159" s="85"/>
      <c r="BI159" s="85"/>
      <c r="BJ159" s="85"/>
      <c r="BK159" s="85"/>
      <c r="BL159" s="85"/>
      <c r="BM159" s="85"/>
      <c r="BN159" s="85"/>
      <c r="BO159" s="85"/>
      <c r="BP159" s="85"/>
      <c r="BQ159" s="85"/>
      <c r="BR159" s="85"/>
      <c r="BS159" s="85"/>
      <c r="BT159" s="85"/>
      <c r="BU159" s="85"/>
      <c r="BV159" s="85"/>
      <c r="BW159" s="85"/>
      <c r="BX159" s="85"/>
      <c r="BY159" s="85"/>
      <c r="BZ159" s="85"/>
      <c r="CA159" s="85"/>
      <c r="CB159" s="85"/>
      <c r="CC159" s="85"/>
      <c r="CD159" s="85"/>
      <c r="CE159" s="85"/>
      <c r="CF159" s="85"/>
      <c r="CG159" s="85"/>
      <c r="CH159" s="85"/>
      <c r="CI159" s="85"/>
      <c r="CJ159" s="85"/>
      <c r="CK159" s="85"/>
      <c r="CL159" s="85"/>
      <c r="CM159" s="85"/>
      <c r="CN159" s="85"/>
      <c r="CO159" s="85"/>
      <c r="CP159" s="85"/>
      <c r="CQ159" s="85"/>
      <c r="CR159" s="85"/>
      <c r="CS159" s="85"/>
      <c r="CT159" s="85"/>
      <c r="CU159" s="85"/>
      <c r="CV159" s="85"/>
      <c r="CW159" s="85"/>
      <c r="CX159" s="85"/>
      <c r="CY159" s="85"/>
      <c r="CZ159" s="85"/>
      <c r="DA159" s="85"/>
      <c r="DB159" s="85"/>
      <c r="DC159" s="85"/>
      <c r="DD159" s="85"/>
      <c r="DE159" s="85"/>
      <c r="DF159" s="85"/>
      <c r="DG159" s="85"/>
      <c r="DH159" s="85"/>
      <c r="DI159" s="85"/>
      <c r="DJ159" s="85"/>
      <c r="DK159" s="85"/>
      <c r="DL159" s="85"/>
      <c r="DM159" s="85"/>
      <c r="DN159" s="85"/>
      <c r="DO159" s="85"/>
      <c r="DP159" s="85"/>
      <c r="DQ159" s="85"/>
      <c r="DR159" s="85"/>
      <c r="DS159" s="85"/>
      <c r="DT159" s="85"/>
      <c r="DU159" s="85"/>
      <c r="DV159" s="85"/>
      <c r="DW159" s="85"/>
      <c r="DX159" s="85"/>
      <c r="DY159" s="85"/>
      <c r="DZ159" s="85"/>
      <c r="EA159" s="85"/>
      <c r="EB159" s="85"/>
      <c r="EC159" s="85"/>
      <c r="ED159" s="85"/>
      <c r="EE159" s="85"/>
      <c r="EF159" s="85"/>
      <c r="EG159" s="85"/>
      <c r="EH159" s="85"/>
      <c r="EI159" s="85"/>
      <c r="EJ159" s="85"/>
      <c r="EK159" s="85"/>
      <c r="EL159" s="85"/>
      <c r="EM159" s="85"/>
      <c r="EN159" s="85"/>
      <c r="EO159" s="85"/>
      <c r="EP159" s="85"/>
      <c r="EQ159" s="85"/>
      <c r="ER159" s="85"/>
      <c r="ES159" s="85"/>
      <c r="ET159" s="85"/>
      <c r="EU159" s="85"/>
      <c r="EV159" s="85"/>
      <c r="EW159" s="85"/>
      <c r="EX159" s="85"/>
      <c r="EY159" s="85"/>
      <c r="EZ159" s="85"/>
      <c r="FA159" s="85"/>
      <c r="FB159" s="85"/>
      <c r="FC159" s="85"/>
      <c r="FD159" s="85"/>
      <c r="FE159" s="85"/>
      <c r="FF159" s="85"/>
      <c r="FG159" s="85"/>
      <c r="FH159" s="85"/>
      <c r="FI159" s="85"/>
      <c r="FJ159" s="85"/>
      <c r="FK159" s="85"/>
      <c r="FL159" s="85"/>
      <c r="FM159" s="85"/>
      <c r="FN159" s="85"/>
      <c r="FO159" s="85"/>
      <c r="FP159" s="85"/>
      <c r="FQ159" s="85"/>
      <c r="FR159" s="85"/>
      <c r="FS159" s="85"/>
      <c r="FT159" s="85"/>
      <c r="FU159" s="85"/>
      <c r="FV159" s="85"/>
      <c r="FW159" s="85"/>
      <c r="FX159" s="85"/>
      <c r="FY159" s="85"/>
      <c r="FZ159" s="86"/>
    </row>
    <row r="160" spans="1:182" hidden="1" outlineLevel="1" x14ac:dyDescent="0.2">
      <c r="A160" s="87" t="s">
        <v>172</v>
      </c>
      <c r="B160" s="65">
        <f t="shared" ref="B160:AG160" si="855">IF(IF((3-1)*12+1&lt;B21,B21,(3-1)*12+1)&gt;B22,B22,IF((3-1)*12+1&lt;B21,B21,(3-1)*12+1))</f>
        <v>25</v>
      </c>
      <c r="C160" s="57">
        <f t="shared" si="855"/>
        <v>25</v>
      </c>
      <c r="D160" s="57">
        <f t="shared" si="855"/>
        <v>25</v>
      </c>
      <c r="E160" s="57">
        <f t="shared" si="855"/>
        <v>25</v>
      </c>
      <c r="F160" s="57">
        <f t="shared" si="855"/>
        <v>25</v>
      </c>
      <c r="G160" s="57">
        <f t="shared" si="855"/>
        <v>25</v>
      </c>
      <c r="H160" s="57">
        <f t="shared" si="855"/>
        <v>25</v>
      </c>
      <c r="I160" s="57">
        <f t="shared" si="855"/>
        <v>25</v>
      </c>
      <c r="J160" s="57">
        <f t="shared" si="855"/>
        <v>25</v>
      </c>
      <c r="K160" s="57">
        <f t="shared" si="855"/>
        <v>25</v>
      </c>
      <c r="L160" s="57">
        <f t="shared" si="855"/>
        <v>25</v>
      </c>
      <c r="M160" s="57">
        <f t="shared" si="855"/>
        <v>25</v>
      </c>
      <c r="N160" s="57">
        <f t="shared" si="855"/>
        <v>25</v>
      </c>
      <c r="O160" s="57">
        <f t="shared" si="855"/>
        <v>25</v>
      </c>
      <c r="P160" s="57">
        <f t="shared" si="855"/>
        <v>25</v>
      </c>
      <c r="Q160" s="57">
        <f t="shared" si="855"/>
        <v>25</v>
      </c>
      <c r="R160" s="57">
        <f t="shared" si="855"/>
        <v>25</v>
      </c>
      <c r="S160" s="57">
        <f t="shared" si="855"/>
        <v>25</v>
      </c>
      <c r="T160" s="57">
        <f t="shared" si="855"/>
        <v>25</v>
      </c>
      <c r="U160" s="57">
        <f t="shared" si="855"/>
        <v>25</v>
      </c>
      <c r="V160" s="57">
        <f t="shared" si="855"/>
        <v>25</v>
      </c>
      <c r="W160" s="57">
        <f t="shared" si="855"/>
        <v>25</v>
      </c>
      <c r="X160" s="57">
        <f t="shared" si="855"/>
        <v>25</v>
      </c>
      <c r="Y160" s="57">
        <f t="shared" si="855"/>
        <v>25</v>
      </c>
      <c r="Z160" s="57">
        <f t="shared" si="855"/>
        <v>25</v>
      </c>
      <c r="AA160" s="57">
        <f t="shared" si="855"/>
        <v>25</v>
      </c>
      <c r="AB160" s="57">
        <f t="shared" si="855"/>
        <v>25</v>
      </c>
      <c r="AC160" s="57">
        <f t="shared" si="855"/>
        <v>25</v>
      </c>
      <c r="AD160" s="57">
        <f t="shared" si="855"/>
        <v>25</v>
      </c>
      <c r="AE160" s="57">
        <f t="shared" si="855"/>
        <v>25</v>
      </c>
      <c r="AF160" s="57">
        <f t="shared" si="855"/>
        <v>25</v>
      </c>
      <c r="AG160" s="57">
        <f t="shared" si="855"/>
        <v>25</v>
      </c>
      <c r="AH160" s="57">
        <f t="shared" ref="AH160:BH160" si="856">IF(IF((3-1)*12+1&lt;AH21,AH21,(3-1)*12+1)&gt;AH22,AH22,IF((3-1)*12+1&lt;AH21,AH21,(3-1)*12+1))</f>
        <v>25</v>
      </c>
      <c r="AI160" s="57">
        <f t="shared" si="856"/>
        <v>25</v>
      </c>
      <c r="AJ160" s="57">
        <f t="shared" si="856"/>
        <v>25</v>
      </c>
      <c r="AK160" s="57">
        <f t="shared" si="856"/>
        <v>25</v>
      </c>
      <c r="AL160" s="57">
        <f t="shared" si="856"/>
        <v>25</v>
      </c>
      <c r="AM160" s="57">
        <f t="shared" si="856"/>
        <v>25</v>
      </c>
      <c r="AN160" s="57">
        <f t="shared" si="856"/>
        <v>25</v>
      </c>
      <c r="AO160" s="57">
        <f t="shared" si="856"/>
        <v>25</v>
      </c>
      <c r="AP160" s="57">
        <f t="shared" si="856"/>
        <v>25</v>
      </c>
      <c r="AQ160" s="57">
        <f t="shared" si="856"/>
        <v>25</v>
      </c>
      <c r="AR160" s="57">
        <f t="shared" si="856"/>
        <v>25</v>
      </c>
      <c r="AS160" s="57">
        <f t="shared" si="856"/>
        <v>25</v>
      </c>
      <c r="AT160" s="57">
        <f t="shared" si="856"/>
        <v>25</v>
      </c>
      <c r="AU160" s="57">
        <f t="shared" si="856"/>
        <v>25</v>
      </c>
      <c r="AV160" s="57">
        <f t="shared" si="856"/>
        <v>25</v>
      </c>
      <c r="AW160" s="57">
        <f t="shared" si="856"/>
        <v>25</v>
      </c>
      <c r="AX160" s="57">
        <f t="shared" si="856"/>
        <v>25</v>
      </c>
      <c r="AY160" s="57">
        <f t="shared" si="856"/>
        <v>25</v>
      </c>
      <c r="AZ160" s="57">
        <f t="shared" si="856"/>
        <v>25</v>
      </c>
      <c r="BA160" s="57">
        <f t="shared" si="856"/>
        <v>25</v>
      </c>
      <c r="BB160" s="57">
        <f t="shared" si="856"/>
        <v>25</v>
      </c>
      <c r="BC160" s="57">
        <f t="shared" si="856"/>
        <v>25</v>
      </c>
      <c r="BD160" s="57">
        <f t="shared" si="856"/>
        <v>25</v>
      </c>
      <c r="BE160" s="57">
        <f t="shared" si="856"/>
        <v>25</v>
      </c>
      <c r="BF160" s="57">
        <f t="shared" si="856"/>
        <v>25</v>
      </c>
      <c r="BG160" s="57">
        <f t="shared" si="856"/>
        <v>25</v>
      </c>
      <c r="BH160" s="57">
        <f t="shared" si="856"/>
        <v>25</v>
      </c>
      <c r="BI160" s="57">
        <f t="shared" ref="BI160:DP160" si="857">IF(IF((3-1)*12+1&lt;BI21,BI21,(3-1)*12+1)&gt;BI22,BI22,IF((3-1)*12+1&lt;BI21,BI21,(3-1)*12+1))</f>
        <v>25</v>
      </c>
      <c r="BJ160" s="57">
        <f t="shared" si="857"/>
        <v>25</v>
      </c>
      <c r="BK160" s="57">
        <f t="shared" si="857"/>
        <v>25</v>
      </c>
      <c r="BL160" s="57">
        <f t="shared" si="857"/>
        <v>25</v>
      </c>
      <c r="BM160" s="57">
        <f t="shared" si="857"/>
        <v>25</v>
      </c>
      <c r="BN160" s="57">
        <f t="shared" si="857"/>
        <v>25</v>
      </c>
      <c r="BO160" s="57">
        <f t="shared" si="857"/>
        <v>25</v>
      </c>
      <c r="BP160" s="57">
        <f t="shared" si="857"/>
        <v>25</v>
      </c>
      <c r="BQ160" s="57">
        <f t="shared" si="857"/>
        <v>25</v>
      </c>
      <c r="BR160" s="57">
        <f t="shared" si="857"/>
        <v>25</v>
      </c>
      <c r="BS160" s="57">
        <f t="shared" si="857"/>
        <v>25</v>
      </c>
      <c r="BT160" s="57">
        <f t="shared" si="857"/>
        <v>25</v>
      </c>
      <c r="BU160" s="57">
        <f t="shared" si="857"/>
        <v>25</v>
      </c>
      <c r="BV160" s="57">
        <f t="shared" si="857"/>
        <v>25</v>
      </c>
      <c r="BW160" s="57">
        <f t="shared" si="857"/>
        <v>25</v>
      </c>
      <c r="BX160" s="57">
        <f t="shared" si="857"/>
        <v>25</v>
      </c>
      <c r="BY160" s="57">
        <f t="shared" si="857"/>
        <v>25</v>
      </c>
      <c r="BZ160" s="57">
        <f t="shared" si="857"/>
        <v>25</v>
      </c>
      <c r="CA160" s="57">
        <f t="shared" si="857"/>
        <v>25</v>
      </c>
      <c r="CB160" s="57">
        <f t="shared" si="857"/>
        <v>25</v>
      </c>
      <c r="CC160" s="57">
        <f t="shared" si="857"/>
        <v>25</v>
      </c>
      <c r="CD160" s="57">
        <f t="shared" si="857"/>
        <v>25</v>
      </c>
      <c r="CE160" s="57">
        <f t="shared" si="857"/>
        <v>25</v>
      </c>
      <c r="CF160" s="57">
        <f t="shared" si="857"/>
        <v>25</v>
      </c>
      <c r="CG160" s="57">
        <f t="shared" si="857"/>
        <v>25</v>
      </c>
      <c r="CH160" s="57">
        <f t="shared" si="857"/>
        <v>25</v>
      </c>
      <c r="CI160" s="57">
        <f t="shared" si="857"/>
        <v>25</v>
      </c>
      <c r="CJ160" s="57">
        <f t="shared" si="857"/>
        <v>25</v>
      </c>
      <c r="CK160" s="57">
        <f t="shared" si="857"/>
        <v>25</v>
      </c>
      <c r="CL160" s="57">
        <f t="shared" si="857"/>
        <v>25</v>
      </c>
      <c r="CM160" s="57">
        <f t="shared" si="857"/>
        <v>25</v>
      </c>
      <c r="CN160" s="57">
        <f t="shared" si="857"/>
        <v>25</v>
      </c>
      <c r="CO160" s="57">
        <f t="shared" si="857"/>
        <v>25</v>
      </c>
      <c r="CP160" s="57">
        <f t="shared" si="857"/>
        <v>25</v>
      </c>
      <c r="CQ160" s="57">
        <f t="shared" si="857"/>
        <v>25</v>
      </c>
      <c r="CR160" s="57">
        <f t="shared" si="857"/>
        <v>25</v>
      </c>
      <c r="CS160" s="57">
        <f t="shared" si="857"/>
        <v>25</v>
      </c>
      <c r="CT160" s="57">
        <f t="shared" si="857"/>
        <v>25</v>
      </c>
      <c r="CU160" s="57">
        <f t="shared" si="857"/>
        <v>25</v>
      </c>
      <c r="CV160" s="57">
        <f t="shared" si="857"/>
        <v>25</v>
      </c>
      <c r="CW160" s="57">
        <f t="shared" si="857"/>
        <v>25</v>
      </c>
      <c r="CX160" s="57">
        <f t="shared" si="857"/>
        <v>25</v>
      </c>
      <c r="CY160" s="57">
        <f t="shared" si="857"/>
        <v>25</v>
      </c>
      <c r="CZ160" s="57">
        <f t="shared" si="857"/>
        <v>25</v>
      </c>
      <c r="DA160" s="57">
        <f t="shared" si="857"/>
        <v>25</v>
      </c>
      <c r="DB160" s="57">
        <f t="shared" si="857"/>
        <v>25</v>
      </c>
      <c r="DC160" s="57">
        <f t="shared" si="857"/>
        <v>25</v>
      </c>
      <c r="DD160" s="57">
        <f t="shared" si="857"/>
        <v>25</v>
      </c>
      <c r="DE160" s="57">
        <f t="shared" si="857"/>
        <v>25</v>
      </c>
      <c r="DF160" s="57">
        <f t="shared" si="857"/>
        <v>25</v>
      </c>
      <c r="DG160" s="57">
        <f t="shared" si="857"/>
        <v>25</v>
      </c>
      <c r="DH160" s="57">
        <f t="shared" si="857"/>
        <v>25</v>
      </c>
      <c r="DI160" s="57">
        <f t="shared" si="857"/>
        <v>25</v>
      </c>
      <c r="DJ160" s="57">
        <f t="shared" si="857"/>
        <v>25</v>
      </c>
      <c r="DK160" s="57">
        <f t="shared" si="857"/>
        <v>25</v>
      </c>
      <c r="DL160" s="57">
        <f t="shared" si="857"/>
        <v>25</v>
      </c>
      <c r="DM160" s="57">
        <f t="shared" si="857"/>
        <v>25</v>
      </c>
      <c r="DN160" s="57">
        <f t="shared" si="857"/>
        <v>25</v>
      </c>
      <c r="DO160" s="57">
        <f t="shared" si="857"/>
        <v>25</v>
      </c>
      <c r="DP160" s="57">
        <f t="shared" si="857"/>
        <v>25</v>
      </c>
      <c r="DQ160" s="57">
        <f t="shared" ref="DQ160:FY160" si="858">IF(IF((3-1)*12+1&lt;DQ21,DQ21,(3-1)*12+1)&gt;DQ22,DQ22,IF((3-1)*12+1&lt;DQ21,DQ21,(3-1)*12+1))</f>
        <v>25</v>
      </c>
      <c r="DR160" s="57">
        <f t="shared" si="858"/>
        <v>25</v>
      </c>
      <c r="DS160" s="57">
        <f t="shared" si="858"/>
        <v>25</v>
      </c>
      <c r="DT160" s="57">
        <f t="shared" si="858"/>
        <v>25</v>
      </c>
      <c r="DU160" s="57">
        <f t="shared" si="858"/>
        <v>25</v>
      </c>
      <c r="DV160" s="57">
        <f t="shared" si="858"/>
        <v>25</v>
      </c>
      <c r="DW160" s="57">
        <f t="shared" si="858"/>
        <v>25</v>
      </c>
      <c r="DX160" s="57">
        <f t="shared" si="858"/>
        <v>25</v>
      </c>
      <c r="DY160" s="57">
        <f t="shared" si="858"/>
        <v>25</v>
      </c>
      <c r="DZ160" s="57">
        <f t="shared" si="858"/>
        <v>25</v>
      </c>
      <c r="EA160" s="57">
        <f t="shared" si="858"/>
        <v>25</v>
      </c>
      <c r="EB160" s="57">
        <f t="shared" si="858"/>
        <v>25</v>
      </c>
      <c r="EC160" s="57">
        <f t="shared" si="858"/>
        <v>25</v>
      </c>
      <c r="ED160" s="57">
        <f t="shared" si="858"/>
        <v>25</v>
      </c>
      <c r="EE160" s="57">
        <f t="shared" si="858"/>
        <v>25</v>
      </c>
      <c r="EF160" s="57">
        <f t="shared" si="858"/>
        <v>25</v>
      </c>
      <c r="EG160" s="57">
        <f t="shared" si="858"/>
        <v>25</v>
      </c>
      <c r="EH160" s="57">
        <f t="shared" si="858"/>
        <v>25</v>
      </c>
      <c r="EI160" s="57">
        <f t="shared" si="858"/>
        <v>25</v>
      </c>
      <c r="EJ160" s="57">
        <f t="shared" si="858"/>
        <v>25</v>
      </c>
      <c r="EK160" s="57">
        <f t="shared" si="858"/>
        <v>25</v>
      </c>
      <c r="EL160" s="57">
        <f t="shared" si="858"/>
        <v>25</v>
      </c>
      <c r="EM160" s="57">
        <f t="shared" si="858"/>
        <v>25</v>
      </c>
      <c r="EN160" s="57">
        <f t="shared" si="858"/>
        <v>25</v>
      </c>
      <c r="EO160" s="57">
        <f t="shared" si="858"/>
        <v>25</v>
      </c>
      <c r="EP160" s="57">
        <f t="shared" si="858"/>
        <v>25</v>
      </c>
      <c r="EQ160" s="57">
        <f t="shared" si="858"/>
        <v>25</v>
      </c>
      <c r="ER160" s="57">
        <f t="shared" si="858"/>
        <v>25</v>
      </c>
      <c r="ES160" s="57">
        <f t="shared" si="858"/>
        <v>25</v>
      </c>
      <c r="ET160" s="57">
        <f t="shared" si="858"/>
        <v>25</v>
      </c>
      <c r="EU160" s="57">
        <f t="shared" si="858"/>
        <v>25</v>
      </c>
      <c r="EV160" s="57">
        <f t="shared" si="858"/>
        <v>25</v>
      </c>
      <c r="EW160" s="57">
        <f t="shared" si="858"/>
        <v>25</v>
      </c>
      <c r="EX160" s="57">
        <f t="shared" si="858"/>
        <v>25</v>
      </c>
      <c r="EY160" s="57">
        <f t="shared" si="858"/>
        <v>25</v>
      </c>
      <c r="EZ160" s="57">
        <f t="shared" si="858"/>
        <v>25</v>
      </c>
      <c r="FA160" s="57">
        <f t="shared" si="858"/>
        <v>25</v>
      </c>
      <c r="FB160" s="57">
        <f t="shared" si="858"/>
        <v>25</v>
      </c>
      <c r="FC160" s="57">
        <f t="shared" si="858"/>
        <v>25</v>
      </c>
      <c r="FD160" s="57">
        <f t="shared" si="858"/>
        <v>25</v>
      </c>
      <c r="FE160" s="57">
        <f t="shared" si="858"/>
        <v>25</v>
      </c>
      <c r="FF160" s="57">
        <f t="shared" si="858"/>
        <v>25</v>
      </c>
      <c r="FG160" s="57">
        <f t="shared" si="858"/>
        <v>25</v>
      </c>
      <c r="FH160" s="57">
        <f t="shared" si="858"/>
        <v>25</v>
      </c>
      <c r="FI160" s="57">
        <f t="shared" si="858"/>
        <v>25</v>
      </c>
      <c r="FJ160" s="57">
        <f t="shared" si="858"/>
        <v>25</v>
      </c>
      <c r="FK160" s="57">
        <f t="shared" si="858"/>
        <v>25</v>
      </c>
      <c r="FL160" s="57">
        <f t="shared" si="858"/>
        <v>25</v>
      </c>
      <c r="FM160" s="57">
        <f t="shared" si="858"/>
        <v>25</v>
      </c>
      <c r="FN160" s="57">
        <f t="shared" si="858"/>
        <v>25</v>
      </c>
      <c r="FO160" s="57">
        <f t="shared" si="858"/>
        <v>25</v>
      </c>
      <c r="FP160" s="57">
        <f t="shared" si="858"/>
        <v>25</v>
      </c>
      <c r="FQ160" s="57">
        <f t="shared" si="858"/>
        <v>25</v>
      </c>
      <c r="FR160" s="57">
        <f t="shared" si="858"/>
        <v>25</v>
      </c>
      <c r="FS160" s="57">
        <f t="shared" si="858"/>
        <v>25</v>
      </c>
      <c r="FT160" s="57">
        <f t="shared" si="858"/>
        <v>25</v>
      </c>
      <c r="FU160" s="57">
        <f t="shared" si="858"/>
        <v>25</v>
      </c>
      <c r="FV160" s="57">
        <f t="shared" si="858"/>
        <v>25</v>
      </c>
      <c r="FW160" s="57">
        <f t="shared" si="858"/>
        <v>25</v>
      </c>
      <c r="FX160" s="57">
        <f t="shared" si="858"/>
        <v>25</v>
      </c>
      <c r="FY160" s="57">
        <f t="shared" si="858"/>
        <v>25</v>
      </c>
      <c r="FZ160" s="59"/>
    </row>
    <row r="161" spans="1:182" hidden="1" outlineLevel="1" x14ac:dyDescent="0.2">
      <c r="A161" s="87" t="s">
        <v>173</v>
      </c>
      <c r="B161" s="65">
        <f t="shared" ref="B161:AG161" si="859">IF(IF((3)*12&lt;B21,B21,(3)*12)&gt;B22,B22,IF((3)*12&lt;B21,B21,(3)*12))</f>
        <v>36</v>
      </c>
      <c r="C161" s="57">
        <f t="shared" si="859"/>
        <v>36</v>
      </c>
      <c r="D161" s="57">
        <f t="shared" si="859"/>
        <v>36</v>
      </c>
      <c r="E161" s="57">
        <f t="shared" si="859"/>
        <v>36</v>
      </c>
      <c r="F161" s="57">
        <f t="shared" si="859"/>
        <v>36</v>
      </c>
      <c r="G161" s="57">
        <f t="shared" si="859"/>
        <v>36</v>
      </c>
      <c r="H161" s="57">
        <f t="shared" si="859"/>
        <v>36</v>
      </c>
      <c r="I161" s="57">
        <f t="shared" si="859"/>
        <v>36</v>
      </c>
      <c r="J161" s="57">
        <f t="shared" si="859"/>
        <v>36</v>
      </c>
      <c r="K161" s="57">
        <f t="shared" si="859"/>
        <v>36</v>
      </c>
      <c r="L161" s="57">
        <f t="shared" si="859"/>
        <v>36</v>
      </c>
      <c r="M161" s="57">
        <f t="shared" si="859"/>
        <v>36</v>
      </c>
      <c r="N161" s="57">
        <f t="shared" si="859"/>
        <v>36</v>
      </c>
      <c r="O161" s="57">
        <f t="shared" si="859"/>
        <v>36</v>
      </c>
      <c r="P161" s="57">
        <f t="shared" si="859"/>
        <v>36</v>
      </c>
      <c r="Q161" s="57">
        <f t="shared" si="859"/>
        <v>36</v>
      </c>
      <c r="R161" s="57">
        <f t="shared" si="859"/>
        <v>36</v>
      </c>
      <c r="S161" s="57">
        <f t="shared" si="859"/>
        <v>36</v>
      </c>
      <c r="T161" s="57">
        <f t="shared" si="859"/>
        <v>36</v>
      </c>
      <c r="U161" s="57">
        <f t="shared" si="859"/>
        <v>36</v>
      </c>
      <c r="V161" s="57">
        <f t="shared" si="859"/>
        <v>36</v>
      </c>
      <c r="W161" s="57">
        <f t="shared" si="859"/>
        <v>36</v>
      </c>
      <c r="X161" s="57">
        <f t="shared" si="859"/>
        <v>36</v>
      </c>
      <c r="Y161" s="57">
        <f t="shared" si="859"/>
        <v>36</v>
      </c>
      <c r="Z161" s="57">
        <f t="shared" si="859"/>
        <v>36</v>
      </c>
      <c r="AA161" s="57">
        <f t="shared" si="859"/>
        <v>36</v>
      </c>
      <c r="AB161" s="57">
        <f t="shared" si="859"/>
        <v>36</v>
      </c>
      <c r="AC161" s="57">
        <f t="shared" si="859"/>
        <v>36</v>
      </c>
      <c r="AD161" s="57">
        <f t="shared" si="859"/>
        <v>36</v>
      </c>
      <c r="AE161" s="57">
        <f t="shared" si="859"/>
        <v>36</v>
      </c>
      <c r="AF161" s="57">
        <f t="shared" si="859"/>
        <v>36</v>
      </c>
      <c r="AG161" s="57">
        <f t="shared" si="859"/>
        <v>36</v>
      </c>
      <c r="AH161" s="57">
        <f t="shared" ref="AH161:BH161" si="860">IF(IF((3)*12&lt;AH21,AH21,(3)*12)&gt;AH22,AH22,IF((3)*12&lt;AH21,AH21,(3)*12))</f>
        <v>36</v>
      </c>
      <c r="AI161" s="57">
        <f t="shared" si="860"/>
        <v>36</v>
      </c>
      <c r="AJ161" s="57">
        <f t="shared" si="860"/>
        <v>36</v>
      </c>
      <c r="AK161" s="57">
        <f t="shared" si="860"/>
        <v>36</v>
      </c>
      <c r="AL161" s="57">
        <f t="shared" si="860"/>
        <v>36</v>
      </c>
      <c r="AM161" s="57">
        <f t="shared" si="860"/>
        <v>36</v>
      </c>
      <c r="AN161" s="57">
        <f t="shared" si="860"/>
        <v>36</v>
      </c>
      <c r="AO161" s="57">
        <f t="shared" si="860"/>
        <v>36</v>
      </c>
      <c r="AP161" s="57">
        <f t="shared" si="860"/>
        <v>36</v>
      </c>
      <c r="AQ161" s="57">
        <f t="shared" si="860"/>
        <v>36</v>
      </c>
      <c r="AR161" s="57">
        <f t="shared" si="860"/>
        <v>36</v>
      </c>
      <c r="AS161" s="57">
        <f t="shared" si="860"/>
        <v>36</v>
      </c>
      <c r="AT161" s="57">
        <f t="shared" si="860"/>
        <v>36</v>
      </c>
      <c r="AU161" s="57">
        <f t="shared" si="860"/>
        <v>36</v>
      </c>
      <c r="AV161" s="57">
        <f t="shared" si="860"/>
        <v>36</v>
      </c>
      <c r="AW161" s="57">
        <f t="shared" si="860"/>
        <v>36</v>
      </c>
      <c r="AX161" s="57">
        <f t="shared" si="860"/>
        <v>36</v>
      </c>
      <c r="AY161" s="57">
        <f t="shared" si="860"/>
        <v>36</v>
      </c>
      <c r="AZ161" s="57">
        <f t="shared" si="860"/>
        <v>36</v>
      </c>
      <c r="BA161" s="57">
        <f t="shared" si="860"/>
        <v>36</v>
      </c>
      <c r="BB161" s="57">
        <f t="shared" si="860"/>
        <v>36</v>
      </c>
      <c r="BC161" s="57">
        <f t="shared" si="860"/>
        <v>36</v>
      </c>
      <c r="BD161" s="57">
        <f t="shared" si="860"/>
        <v>36</v>
      </c>
      <c r="BE161" s="57">
        <f t="shared" si="860"/>
        <v>36</v>
      </c>
      <c r="BF161" s="57">
        <f t="shared" si="860"/>
        <v>36</v>
      </c>
      <c r="BG161" s="57">
        <f t="shared" si="860"/>
        <v>36</v>
      </c>
      <c r="BH161" s="57">
        <f t="shared" si="860"/>
        <v>36</v>
      </c>
      <c r="BI161" s="57">
        <f t="shared" ref="BI161:DP161" si="861">IF(IF((3)*12&lt;BI21,BI21,(3)*12)&gt;BI22,BI22,IF((3)*12&lt;BI21,BI21,(3)*12))</f>
        <v>36</v>
      </c>
      <c r="BJ161" s="57">
        <f t="shared" si="861"/>
        <v>36</v>
      </c>
      <c r="BK161" s="57">
        <f t="shared" si="861"/>
        <v>36</v>
      </c>
      <c r="BL161" s="57">
        <f t="shared" si="861"/>
        <v>36</v>
      </c>
      <c r="BM161" s="57">
        <f t="shared" si="861"/>
        <v>36</v>
      </c>
      <c r="BN161" s="57">
        <f t="shared" si="861"/>
        <v>36</v>
      </c>
      <c r="BO161" s="57">
        <f t="shared" si="861"/>
        <v>36</v>
      </c>
      <c r="BP161" s="57">
        <f t="shared" si="861"/>
        <v>36</v>
      </c>
      <c r="BQ161" s="57">
        <f t="shared" si="861"/>
        <v>36</v>
      </c>
      <c r="BR161" s="57">
        <f t="shared" si="861"/>
        <v>36</v>
      </c>
      <c r="BS161" s="57">
        <f t="shared" si="861"/>
        <v>36</v>
      </c>
      <c r="BT161" s="57">
        <f t="shared" si="861"/>
        <v>36</v>
      </c>
      <c r="BU161" s="57">
        <f t="shared" si="861"/>
        <v>36</v>
      </c>
      <c r="BV161" s="57">
        <f t="shared" si="861"/>
        <v>36</v>
      </c>
      <c r="BW161" s="57">
        <f t="shared" si="861"/>
        <v>36</v>
      </c>
      <c r="BX161" s="57">
        <f t="shared" si="861"/>
        <v>36</v>
      </c>
      <c r="BY161" s="57">
        <f t="shared" si="861"/>
        <v>36</v>
      </c>
      <c r="BZ161" s="57">
        <f t="shared" si="861"/>
        <v>36</v>
      </c>
      <c r="CA161" s="57">
        <f t="shared" si="861"/>
        <v>36</v>
      </c>
      <c r="CB161" s="57">
        <f t="shared" si="861"/>
        <v>36</v>
      </c>
      <c r="CC161" s="57">
        <f t="shared" si="861"/>
        <v>36</v>
      </c>
      <c r="CD161" s="57">
        <f t="shared" si="861"/>
        <v>36</v>
      </c>
      <c r="CE161" s="57">
        <f t="shared" si="861"/>
        <v>36</v>
      </c>
      <c r="CF161" s="57">
        <f t="shared" si="861"/>
        <v>36</v>
      </c>
      <c r="CG161" s="57">
        <f t="shared" si="861"/>
        <v>36</v>
      </c>
      <c r="CH161" s="57">
        <f t="shared" si="861"/>
        <v>36</v>
      </c>
      <c r="CI161" s="57">
        <f t="shared" si="861"/>
        <v>36</v>
      </c>
      <c r="CJ161" s="57">
        <f t="shared" si="861"/>
        <v>36</v>
      </c>
      <c r="CK161" s="57">
        <f t="shared" si="861"/>
        <v>36</v>
      </c>
      <c r="CL161" s="57">
        <f t="shared" si="861"/>
        <v>36</v>
      </c>
      <c r="CM161" s="57">
        <f t="shared" si="861"/>
        <v>36</v>
      </c>
      <c r="CN161" s="57">
        <f t="shared" si="861"/>
        <v>36</v>
      </c>
      <c r="CO161" s="57">
        <f t="shared" si="861"/>
        <v>36</v>
      </c>
      <c r="CP161" s="57">
        <f t="shared" si="861"/>
        <v>36</v>
      </c>
      <c r="CQ161" s="57">
        <f t="shared" si="861"/>
        <v>36</v>
      </c>
      <c r="CR161" s="57">
        <f t="shared" si="861"/>
        <v>36</v>
      </c>
      <c r="CS161" s="57">
        <f t="shared" si="861"/>
        <v>36</v>
      </c>
      <c r="CT161" s="57">
        <f t="shared" si="861"/>
        <v>36</v>
      </c>
      <c r="CU161" s="57">
        <f t="shared" si="861"/>
        <v>36</v>
      </c>
      <c r="CV161" s="57">
        <f t="shared" si="861"/>
        <v>36</v>
      </c>
      <c r="CW161" s="57">
        <f t="shared" si="861"/>
        <v>36</v>
      </c>
      <c r="CX161" s="57">
        <f t="shared" si="861"/>
        <v>36</v>
      </c>
      <c r="CY161" s="57">
        <f t="shared" si="861"/>
        <v>36</v>
      </c>
      <c r="CZ161" s="57">
        <f t="shared" si="861"/>
        <v>36</v>
      </c>
      <c r="DA161" s="57">
        <f t="shared" si="861"/>
        <v>36</v>
      </c>
      <c r="DB161" s="57">
        <f t="shared" si="861"/>
        <v>36</v>
      </c>
      <c r="DC161" s="57">
        <f t="shared" si="861"/>
        <v>36</v>
      </c>
      <c r="DD161" s="57">
        <f t="shared" si="861"/>
        <v>36</v>
      </c>
      <c r="DE161" s="57">
        <f t="shared" si="861"/>
        <v>36</v>
      </c>
      <c r="DF161" s="57">
        <f t="shared" si="861"/>
        <v>36</v>
      </c>
      <c r="DG161" s="57">
        <f t="shared" si="861"/>
        <v>36</v>
      </c>
      <c r="DH161" s="57">
        <f t="shared" si="861"/>
        <v>36</v>
      </c>
      <c r="DI161" s="57">
        <f t="shared" si="861"/>
        <v>36</v>
      </c>
      <c r="DJ161" s="57">
        <f t="shared" si="861"/>
        <v>36</v>
      </c>
      <c r="DK161" s="57">
        <f t="shared" si="861"/>
        <v>36</v>
      </c>
      <c r="DL161" s="57">
        <f t="shared" si="861"/>
        <v>36</v>
      </c>
      <c r="DM161" s="57">
        <f t="shared" si="861"/>
        <v>36</v>
      </c>
      <c r="DN161" s="57">
        <f t="shared" si="861"/>
        <v>36</v>
      </c>
      <c r="DO161" s="57">
        <f t="shared" si="861"/>
        <v>36</v>
      </c>
      <c r="DP161" s="57">
        <f t="shared" si="861"/>
        <v>36</v>
      </c>
      <c r="DQ161" s="57">
        <f t="shared" ref="DQ161:FY161" si="862">IF(IF((3)*12&lt;DQ21,DQ21,(3)*12)&gt;DQ22,DQ22,IF((3)*12&lt;DQ21,DQ21,(3)*12))</f>
        <v>36</v>
      </c>
      <c r="DR161" s="57">
        <f t="shared" si="862"/>
        <v>36</v>
      </c>
      <c r="DS161" s="57">
        <f t="shared" si="862"/>
        <v>36</v>
      </c>
      <c r="DT161" s="57">
        <f t="shared" si="862"/>
        <v>36</v>
      </c>
      <c r="DU161" s="57">
        <f t="shared" si="862"/>
        <v>36</v>
      </c>
      <c r="DV161" s="57">
        <f t="shared" si="862"/>
        <v>36</v>
      </c>
      <c r="DW161" s="57">
        <f t="shared" si="862"/>
        <v>36</v>
      </c>
      <c r="DX161" s="57">
        <f t="shared" si="862"/>
        <v>36</v>
      </c>
      <c r="DY161" s="57">
        <f t="shared" si="862"/>
        <v>36</v>
      </c>
      <c r="DZ161" s="57">
        <f t="shared" si="862"/>
        <v>36</v>
      </c>
      <c r="EA161" s="57">
        <f t="shared" si="862"/>
        <v>36</v>
      </c>
      <c r="EB161" s="57">
        <f t="shared" si="862"/>
        <v>36</v>
      </c>
      <c r="EC161" s="57">
        <f t="shared" si="862"/>
        <v>36</v>
      </c>
      <c r="ED161" s="57">
        <f t="shared" si="862"/>
        <v>36</v>
      </c>
      <c r="EE161" s="57">
        <f t="shared" si="862"/>
        <v>36</v>
      </c>
      <c r="EF161" s="57">
        <f t="shared" si="862"/>
        <v>36</v>
      </c>
      <c r="EG161" s="57">
        <f t="shared" si="862"/>
        <v>36</v>
      </c>
      <c r="EH161" s="57">
        <f t="shared" si="862"/>
        <v>36</v>
      </c>
      <c r="EI161" s="57">
        <f t="shared" si="862"/>
        <v>36</v>
      </c>
      <c r="EJ161" s="57">
        <f t="shared" si="862"/>
        <v>36</v>
      </c>
      <c r="EK161" s="57">
        <f t="shared" si="862"/>
        <v>36</v>
      </c>
      <c r="EL161" s="57">
        <f t="shared" si="862"/>
        <v>36</v>
      </c>
      <c r="EM161" s="57">
        <f t="shared" si="862"/>
        <v>36</v>
      </c>
      <c r="EN161" s="57">
        <f t="shared" si="862"/>
        <v>36</v>
      </c>
      <c r="EO161" s="57">
        <f t="shared" si="862"/>
        <v>36</v>
      </c>
      <c r="EP161" s="57">
        <f t="shared" si="862"/>
        <v>36</v>
      </c>
      <c r="EQ161" s="57">
        <f t="shared" si="862"/>
        <v>36</v>
      </c>
      <c r="ER161" s="57">
        <f t="shared" si="862"/>
        <v>36</v>
      </c>
      <c r="ES161" s="57">
        <f t="shared" si="862"/>
        <v>36</v>
      </c>
      <c r="ET161" s="57">
        <f t="shared" si="862"/>
        <v>36</v>
      </c>
      <c r="EU161" s="57">
        <f t="shared" si="862"/>
        <v>36</v>
      </c>
      <c r="EV161" s="57">
        <f t="shared" si="862"/>
        <v>36</v>
      </c>
      <c r="EW161" s="57">
        <f t="shared" si="862"/>
        <v>36</v>
      </c>
      <c r="EX161" s="57">
        <f t="shared" si="862"/>
        <v>36</v>
      </c>
      <c r="EY161" s="57">
        <f t="shared" si="862"/>
        <v>36</v>
      </c>
      <c r="EZ161" s="57">
        <f t="shared" si="862"/>
        <v>36</v>
      </c>
      <c r="FA161" s="57">
        <f t="shared" si="862"/>
        <v>36</v>
      </c>
      <c r="FB161" s="57">
        <f t="shared" si="862"/>
        <v>36</v>
      </c>
      <c r="FC161" s="57">
        <f t="shared" si="862"/>
        <v>36</v>
      </c>
      <c r="FD161" s="57">
        <f t="shared" si="862"/>
        <v>36</v>
      </c>
      <c r="FE161" s="57">
        <f t="shared" si="862"/>
        <v>36</v>
      </c>
      <c r="FF161" s="57">
        <f t="shared" si="862"/>
        <v>36</v>
      </c>
      <c r="FG161" s="57">
        <f t="shared" si="862"/>
        <v>36</v>
      </c>
      <c r="FH161" s="57">
        <f t="shared" si="862"/>
        <v>36</v>
      </c>
      <c r="FI161" s="57">
        <f t="shared" si="862"/>
        <v>36</v>
      </c>
      <c r="FJ161" s="57">
        <f t="shared" si="862"/>
        <v>36</v>
      </c>
      <c r="FK161" s="57">
        <f t="shared" si="862"/>
        <v>36</v>
      </c>
      <c r="FL161" s="57">
        <f t="shared" si="862"/>
        <v>36</v>
      </c>
      <c r="FM161" s="57">
        <f t="shared" si="862"/>
        <v>36</v>
      </c>
      <c r="FN161" s="57">
        <f t="shared" si="862"/>
        <v>36</v>
      </c>
      <c r="FO161" s="57">
        <f t="shared" si="862"/>
        <v>36</v>
      </c>
      <c r="FP161" s="57">
        <f t="shared" si="862"/>
        <v>36</v>
      </c>
      <c r="FQ161" s="57">
        <f t="shared" si="862"/>
        <v>36</v>
      </c>
      <c r="FR161" s="57">
        <f t="shared" si="862"/>
        <v>36</v>
      </c>
      <c r="FS161" s="57">
        <f t="shared" si="862"/>
        <v>36</v>
      </c>
      <c r="FT161" s="57">
        <f t="shared" si="862"/>
        <v>36</v>
      </c>
      <c r="FU161" s="57">
        <f t="shared" si="862"/>
        <v>36</v>
      </c>
      <c r="FV161" s="57">
        <f t="shared" si="862"/>
        <v>36</v>
      </c>
      <c r="FW161" s="57">
        <f t="shared" si="862"/>
        <v>36</v>
      </c>
      <c r="FX161" s="57">
        <f t="shared" si="862"/>
        <v>36</v>
      </c>
      <c r="FY161" s="57">
        <f t="shared" si="862"/>
        <v>36</v>
      </c>
      <c r="FZ161" s="59"/>
    </row>
    <row r="162" spans="1:182" s="293" customFormat="1" hidden="1" outlineLevel="1" x14ac:dyDescent="0.2">
      <c r="A162" s="83"/>
      <c r="B162" s="84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85"/>
      <c r="EF162" s="85"/>
      <c r="EG162" s="85"/>
      <c r="EH162" s="85"/>
      <c r="EI162" s="85"/>
      <c r="EJ162" s="85"/>
      <c r="EK162" s="85"/>
      <c r="EL162" s="85"/>
      <c r="EM162" s="85"/>
      <c r="EN162" s="85"/>
      <c r="EO162" s="85"/>
      <c r="EP162" s="85"/>
      <c r="EQ162" s="85"/>
      <c r="ER162" s="85"/>
      <c r="ES162" s="85"/>
      <c r="ET162" s="85"/>
      <c r="EU162" s="85"/>
      <c r="EV162" s="85"/>
      <c r="EW162" s="85"/>
      <c r="EX162" s="85"/>
      <c r="EY162" s="85"/>
      <c r="EZ162" s="85"/>
      <c r="FA162" s="85"/>
      <c r="FB162" s="85"/>
      <c r="FC162" s="85"/>
      <c r="FD162" s="85"/>
      <c r="FE162" s="85"/>
      <c r="FF162" s="85"/>
      <c r="FG162" s="85"/>
      <c r="FH162" s="85"/>
      <c r="FI162" s="85"/>
      <c r="FJ162" s="85"/>
      <c r="FK162" s="85"/>
      <c r="FL162" s="85"/>
      <c r="FM162" s="85"/>
      <c r="FN162" s="85"/>
      <c r="FO162" s="85"/>
      <c r="FP162" s="85"/>
      <c r="FQ162" s="85"/>
      <c r="FR162" s="85"/>
      <c r="FS162" s="85"/>
      <c r="FT162" s="85"/>
      <c r="FU162" s="85"/>
      <c r="FV162" s="85"/>
      <c r="FW162" s="85"/>
      <c r="FX162" s="85"/>
      <c r="FY162" s="85"/>
      <c r="FZ162" s="86"/>
    </row>
    <row r="163" spans="1:182" hidden="1" outlineLevel="1" x14ac:dyDescent="0.2">
      <c r="A163" s="81" t="s">
        <v>151</v>
      </c>
      <c r="B163" s="8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2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2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2"/>
      <c r="AM163" s="80"/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2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80"/>
      <c r="CW163" s="80"/>
      <c r="CX163" s="80"/>
      <c r="CY163" s="80"/>
      <c r="CZ163" s="80"/>
      <c r="DA163" s="80"/>
      <c r="DB163" s="80"/>
      <c r="DC163" s="80"/>
      <c r="DD163" s="80"/>
      <c r="DE163" s="80"/>
      <c r="DF163" s="80"/>
      <c r="DG163" s="80"/>
      <c r="DH163" s="80"/>
      <c r="DI163" s="80"/>
      <c r="DJ163" s="80"/>
      <c r="DK163" s="80"/>
      <c r="DL163" s="80"/>
      <c r="DM163" s="80"/>
      <c r="DN163" s="80"/>
      <c r="DO163" s="80"/>
      <c r="DP163" s="80"/>
      <c r="DQ163" s="80"/>
      <c r="DR163" s="80"/>
      <c r="DS163" s="80"/>
      <c r="DT163" s="80"/>
      <c r="DU163" s="80"/>
      <c r="DV163" s="80"/>
      <c r="DW163" s="80"/>
      <c r="DX163" s="80"/>
      <c r="DY163" s="80"/>
      <c r="DZ163" s="80"/>
      <c r="EA163" s="80"/>
      <c r="EB163" s="80"/>
      <c r="EC163" s="80"/>
      <c r="ED163" s="80"/>
      <c r="EE163" s="80"/>
      <c r="EF163" s="80"/>
      <c r="EG163" s="80"/>
      <c r="EH163" s="80"/>
      <c r="EI163" s="80"/>
      <c r="EJ163" s="80"/>
      <c r="EK163" s="80"/>
      <c r="EL163" s="80"/>
      <c r="EM163" s="80"/>
      <c r="EN163" s="80"/>
      <c r="EO163" s="80"/>
      <c r="EP163" s="80"/>
      <c r="EQ163" s="80"/>
      <c r="ER163" s="80"/>
      <c r="ES163" s="80"/>
      <c r="ET163" s="80"/>
      <c r="EU163" s="80"/>
      <c r="EV163" s="80"/>
      <c r="EW163" s="80"/>
      <c r="EX163" s="80"/>
      <c r="EY163" s="80"/>
      <c r="EZ163" s="80"/>
      <c r="FA163" s="80"/>
      <c r="FB163" s="80"/>
      <c r="FC163" s="80"/>
      <c r="FD163" s="80"/>
      <c r="FE163" s="80"/>
      <c r="FF163" s="80"/>
      <c r="FG163" s="80"/>
      <c r="FH163" s="80"/>
      <c r="FI163" s="80"/>
      <c r="FJ163" s="80"/>
      <c r="FK163" s="80"/>
      <c r="FL163" s="80"/>
      <c r="FM163" s="80"/>
      <c r="FN163" s="80"/>
      <c r="FO163" s="80"/>
      <c r="FP163" s="80"/>
      <c r="FQ163" s="80"/>
      <c r="FR163" s="80"/>
      <c r="FS163" s="80"/>
      <c r="FT163" s="80"/>
      <c r="FU163" s="80"/>
      <c r="FV163" s="80"/>
      <c r="FW163" s="80"/>
      <c r="FX163" s="80"/>
      <c r="FY163" s="80"/>
      <c r="FZ163" s="80"/>
    </row>
    <row r="164" spans="1:182" s="293" customFormat="1" hidden="1" outlineLevel="1" x14ac:dyDescent="0.2">
      <c r="A164" s="83" t="s">
        <v>186</v>
      </c>
      <c r="B164" s="84">
        <f>(1/B140^IF((36-B138+1)&lt;0,0,(36-B138+1))-(1/B140^IF(((B168)-B138+1)&lt;0,0,((B168)-B138+1))))/(B140-1)</f>
        <v>0</v>
      </c>
      <c r="C164" s="85">
        <f t="shared" ref="C164:AW164" si="863">(1/C140^IF((36-C138+1)&lt;0,0,(36-C138+1))-(1/C140^IF(((C168)-C138+1)&lt;0,0,((C168)-C138+1))))/(C140-1)</f>
        <v>0</v>
      </c>
      <c r="D164" s="85">
        <f t="shared" si="863"/>
        <v>0</v>
      </c>
      <c r="E164" s="85">
        <f t="shared" si="863"/>
        <v>0</v>
      </c>
      <c r="F164" s="85">
        <f t="shared" si="863"/>
        <v>0</v>
      </c>
      <c r="G164" s="85">
        <f t="shared" si="863"/>
        <v>0</v>
      </c>
      <c r="H164" s="85">
        <f t="shared" si="863"/>
        <v>0</v>
      </c>
      <c r="I164" s="85">
        <f t="shared" si="863"/>
        <v>0</v>
      </c>
      <c r="J164" s="85">
        <f t="shared" si="863"/>
        <v>0</v>
      </c>
      <c r="K164" s="85">
        <f t="shared" si="863"/>
        <v>0</v>
      </c>
      <c r="L164" s="85">
        <f t="shared" si="863"/>
        <v>0</v>
      </c>
      <c r="M164" s="85">
        <f t="shared" si="863"/>
        <v>0</v>
      </c>
      <c r="N164" s="85">
        <f t="shared" si="863"/>
        <v>0</v>
      </c>
      <c r="O164" s="85">
        <f t="shared" si="863"/>
        <v>0</v>
      </c>
      <c r="P164" s="85">
        <f t="shared" si="863"/>
        <v>0</v>
      </c>
      <c r="Q164" s="85">
        <f t="shared" si="863"/>
        <v>0</v>
      </c>
      <c r="R164" s="85">
        <f t="shared" si="863"/>
        <v>0</v>
      </c>
      <c r="S164" s="85">
        <f t="shared" si="863"/>
        <v>0</v>
      </c>
      <c r="T164" s="85">
        <f t="shared" si="863"/>
        <v>0</v>
      </c>
      <c r="U164" s="85">
        <f t="shared" si="863"/>
        <v>0</v>
      </c>
      <c r="V164" s="85">
        <f t="shared" si="863"/>
        <v>0</v>
      </c>
      <c r="W164" s="85">
        <f t="shared" si="863"/>
        <v>0</v>
      </c>
      <c r="X164" s="85">
        <f t="shared" si="863"/>
        <v>0</v>
      </c>
      <c r="Y164" s="85">
        <f t="shared" si="863"/>
        <v>0</v>
      </c>
      <c r="Z164" s="85">
        <f t="shared" si="863"/>
        <v>0</v>
      </c>
      <c r="AA164" s="85">
        <f t="shared" si="863"/>
        <v>0</v>
      </c>
      <c r="AB164" s="85">
        <f t="shared" si="863"/>
        <v>0</v>
      </c>
      <c r="AC164" s="85">
        <f t="shared" si="863"/>
        <v>0</v>
      </c>
      <c r="AD164" s="85">
        <f t="shared" si="863"/>
        <v>0</v>
      </c>
      <c r="AE164" s="85">
        <f t="shared" si="863"/>
        <v>0</v>
      </c>
      <c r="AF164" s="85">
        <f t="shared" si="863"/>
        <v>0</v>
      </c>
      <c r="AG164" s="85">
        <f t="shared" si="863"/>
        <v>0</v>
      </c>
      <c r="AH164" s="85">
        <f t="shared" si="863"/>
        <v>0</v>
      </c>
      <c r="AI164" s="85">
        <f t="shared" si="863"/>
        <v>0</v>
      </c>
      <c r="AJ164" s="85">
        <f t="shared" si="863"/>
        <v>0</v>
      </c>
      <c r="AK164" s="85">
        <f t="shared" si="863"/>
        <v>0</v>
      </c>
      <c r="AL164" s="85">
        <f t="shared" si="863"/>
        <v>0</v>
      </c>
      <c r="AM164" s="85">
        <f t="shared" si="863"/>
        <v>0</v>
      </c>
      <c r="AN164" s="85">
        <f t="shared" si="863"/>
        <v>0</v>
      </c>
      <c r="AO164" s="85">
        <f t="shared" si="863"/>
        <v>0</v>
      </c>
      <c r="AP164" s="85">
        <f t="shared" si="863"/>
        <v>0</v>
      </c>
      <c r="AQ164" s="85">
        <f t="shared" si="863"/>
        <v>0</v>
      </c>
      <c r="AR164" s="85">
        <f t="shared" si="863"/>
        <v>0</v>
      </c>
      <c r="AS164" s="85">
        <f t="shared" si="863"/>
        <v>0</v>
      </c>
      <c r="AT164" s="85">
        <f t="shared" si="863"/>
        <v>0</v>
      </c>
      <c r="AU164" s="85">
        <f t="shared" si="863"/>
        <v>0</v>
      </c>
      <c r="AV164" s="85">
        <f t="shared" si="863"/>
        <v>0</v>
      </c>
      <c r="AW164" s="85">
        <f t="shared" si="863"/>
        <v>0</v>
      </c>
      <c r="AX164" s="85"/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  <c r="DY164" s="85"/>
      <c r="DZ164" s="85"/>
      <c r="EA164" s="85"/>
      <c r="EB164" s="85"/>
      <c r="EC164" s="85"/>
      <c r="ED164" s="85"/>
      <c r="EE164" s="85"/>
      <c r="EF164" s="85"/>
      <c r="EG164" s="85"/>
      <c r="EH164" s="85"/>
      <c r="EI164" s="85"/>
      <c r="EJ164" s="85"/>
      <c r="EK164" s="85"/>
      <c r="EL164" s="85"/>
      <c r="EM164" s="85"/>
      <c r="EN164" s="85"/>
      <c r="EO164" s="85"/>
      <c r="EP164" s="85"/>
      <c r="EQ164" s="85"/>
      <c r="ER164" s="85"/>
      <c r="ES164" s="85"/>
      <c r="ET164" s="85"/>
      <c r="EU164" s="85"/>
      <c r="EV164" s="85"/>
      <c r="EW164" s="85"/>
      <c r="EX164" s="85"/>
      <c r="EY164" s="85"/>
      <c r="EZ164" s="85"/>
      <c r="FA164" s="85"/>
      <c r="FB164" s="85"/>
      <c r="FC164" s="85"/>
      <c r="FD164" s="85"/>
      <c r="FE164" s="85"/>
      <c r="FF164" s="85"/>
      <c r="FG164" s="85"/>
      <c r="FH164" s="85"/>
      <c r="FI164" s="85"/>
      <c r="FJ164" s="85"/>
      <c r="FK164" s="85"/>
      <c r="FL164" s="85"/>
      <c r="FM164" s="85"/>
      <c r="FN164" s="85"/>
      <c r="FO164" s="85"/>
      <c r="FP164" s="85"/>
      <c r="FQ164" s="85"/>
      <c r="FR164" s="85"/>
      <c r="FS164" s="85"/>
      <c r="FT164" s="85"/>
      <c r="FU164" s="85"/>
      <c r="FV164" s="85"/>
      <c r="FW164" s="85"/>
      <c r="FX164" s="85"/>
      <c r="FY164" s="85"/>
      <c r="FZ164" s="86"/>
    </row>
    <row r="165" spans="1:182" s="293" customFormat="1" hidden="1" outlineLevel="1" x14ac:dyDescent="0.2">
      <c r="A165" s="83" t="s">
        <v>187</v>
      </c>
      <c r="B165" s="84">
        <f>(1/B140^IF((48-B138+1)&lt;0,0,(48-B138+1))-(1/B140^IF((12+(B168)-B138+1)&lt;0,0,(12+(B168)-B138+1))))/(B140-1)</f>
        <v>0</v>
      </c>
      <c r="C165" s="85">
        <f t="shared" ref="C165:AK165" si="864">(1/C140^IF((48-C138+1)&lt;0,0,(48-C138+1))-(1/C140^IF((12+(C168)-C138+1)&lt;0,0,(12+(C168)-C138+1))))/(C140-1)</f>
        <v>0</v>
      </c>
      <c r="D165" s="85">
        <f t="shared" si="864"/>
        <v>0</v>
      </c>
      <c r="E165" s="85">
        <f t="shared" si="864"/>
        <v>0</v>
      </c>
      <c r="F165" s="85">
        <f t="shared" si="864"/>
        <v>0</v>
      </c>
      <c r="G165" s="85">
        <f t="shared" si="864"/>
        <v>0</v>
      </c>
      <c r="H165" s="85">
        <f t="shared" si="864"/>
        <v>0</v>
      </c>
      <c r="I165" s="85">
        <f t="shared" si="864"/>
        <v>0</v>
      </c>
      <c r="J165" s="85">
        <f t="shared" si="864"/>
        <v>0</v>
      </c>
      <c r="K165" s="85">
        <f t="shared" si="864"/>
        <v>0</v>
      </c>
      <c r="L165" s="85">
        <f t="shared" si="864"/>
        <v>0</v>
      </c>
      <c r="M165" s="85">
        <f t="shared" si="864"/>
        <v>0</v>
      </c>
      <c r="N165" s="85">
        <f t="shared" si="864"/>
        <v>0</v>
      </c>
      <c r="O165" s="85">
        <f t="shared" si="864"/>
        <v>0</v>
      </c>
      <c r="P165" s="85">
        <f t="shared" si="864"/>
        <v>0</v>
      </c>
      <c r="Q165" s="85">
        <f t="shared" si="864"/>
        <v>0</v>
      </c>
      <c r="R165" s="85">
        <f t="shared" si="864"/>
        <v>0</v>
      </c>
      <c r="S165" s="85">
        <f t="shared" si="864"/>
        <v>0</v>
      </c>
      <c r="T165" s="85">
        <f t="shared" si="864"/>
        <v>0</v>
      </c>
      <c r="U165" s="85">
        <f t="shared" si="864"/>
        <v>0</v>
      </c>
      <c r="V165" s="85">
        <f t="shared" si="864"/>
        <v>0</v>
      </c>
      <c r="W165" s="85">
        <f t="shared" si="864"/>
        <v>0</v>
      </c>
      <c r="X165" s="85">
        <f t="shared" si="864"/>
        <v>0</v>
      </c>
      <c r="Y165" s="85">
        <f t="shared" si="864"/>
        <v>0</v>
      </c>
      <c r="Z165" s="85">
        <f t="shared" si="864"/>
        <v>0</v>
      </c>
      <c r="AA165" s="85">
        <f t="shared" si="864"/>
        <v>0</v>
      </c>
      <c r="AB165" s="85">
        <f t="shared" si="864"/>
        <v>0</v>
      </c>
      <c r="AC165" s="85">
        <f t="shared" si="864"/>
        <v>0</v>
      </c>
      <c r="AD165" s="85">
        <f t="shared" si="864"/>
        <v>0</v>
      </c>
      <c r="AE165" s="85">
        <f t="shared" si="864"/>
        <v>0</v>
      </c>
      <c r="AF165" s="85">
        <f t="shared" si="864"/>
        <v>0</v>
      </c>
      <c r="AG165" s="85">
        <f t="shared" si="864"/>
        <v>0</v>
      </c>
      <c r="AH165" s="85">
        <f t="shared" si="864"/>
        <v>0</v>
      </c>
      <c r="AI165" s="85">
        <f t="shared" si="864"/>
        <v>0</v>
      </c>
      <c r="AJ165" s="85">
        <f t="shared" si="864"/>
        <v>0</v>
      </c>
      <c r="AK165" s="85">
        <f t="shared" si="864"/>
        <v>0</v>
      </c>
      <c r="AL165" s="85">
        <f>(1/AL140^IF((48-AL138+1+(AL138-36-1))&lt;0,0,(48-AL138+1+(AL138-36-1)))-(1/AL140^IF((12+(AL168)-AL138+1)&lt;0,0,(12+(AL168)-AL138+1))))/(AL140-1)</f>
        <v>0.94490889715879478</v>
      </c>
      <c r="AM165" s="85">
        <f t="shared" ref="AM165:AW165" si="865">(1/AM140^IF((48-AM138+1+(AM138-36-1))&lt;0,0,(48-AM138+1+(AM138-36-1)))-(1/AM140^IF((12+(AM168)-AM138+1)&lt;0,0,(12+(AM168)-AM138+1))))/(AM140-1)</f>
        <v>0</v>
      </c>
      <c r="AN165" s="85">
        <f t="shared" si="865"/>
        <v>-0.94903672772133307</v>
      </c>
      <c r="AO165" s="85">
        <f t="shared" si="865"/>
        <v>-1.9022193184158072</v>
      </c>
      <c r="AP165" s="85">
        <f t="shared" si="865"/>
        <v>-2.8595658832684205</v>
      </c>
      <c r="AQ165" s="85">
        <f t="shared" si="865"/>
        <v>-3.8210946125828547</v>
      </c>
      <c r="AR165" s="85">
        <f t="shared" si="865"/>
        <v>-4.786823776127032</v>
      </c>
      <c r="AS165" s="85">
        <f t="shared" si="865"/>
        <v>-5.7567717234803535</v>
      </c>
      <c r="AT165" s="85">
        <f t="shared" si="865"/>
        <v>-6.7309568843821763</v>
      </c>
      <c r="AU165" s="85">
        <f t="shared" si="865"/>
        <v>-7.70939776908223</v>
      </c>
      <c r="AV165" s="85">
        <f t="shared" si="865"/>
        <v>-8.692112968692042</v>
      </c>
      <c r="AW165" s="85">
        <f t="shared" si="865"/>
        <v>-9.6791211555384553</v>
      </c>
      <c r="AX165" s="85"/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  <c r="DY165" s="85"/>
      <c r="DZ165" s="85"/>
      <c r="EA165" s="85"/>
      <c r="EB165" s="85"/>
      <c r="EC165" s="85"/>
      <c r="ED165" s="85"/>
      <c r="EE165" s="85"/>
      <c r="EF165" s="85"/>
      <c r="EG165" s="85"/>
      <c r="EH165" s="85"/>
      <c r="EI165" s="85"/>
      <c r="EJ165" s="85"/>
      <c r="EK165" s="85"/>
      <c r="EL165" s="85"/>
      <c r="EM165" s="85"/>
      <c r="EN165" s="85"/>
      <c r="EO165" s="85"/>
      <c r="EP165" s="85"/>
      <c r="EQ165" s="85"/>
      <c r="ER165" s="85"/>
      <c r="ES165" s="85"/>
      <c r="ET165" s="85"/>
      <c r="EU165" s="85"/>
      <c r="EV165" s="85"/>
      <c r="EW165" s="85"/>
      <c r="EX165" s="85"/>
      <c r="EY165" s="85"/>
      <c r="EZ165" s="85"/>
      <c r="FA165" s="85"/>
      <c r="FB165" s="85"/>
      <c r="FC165" s="85"/>
      <c r="FD165" s="85"/>
      <c r="FE165" s="85"/>
      <c r="FF165" s="85"/>
      <c r="FG165" s="85"/>
      <c r="FH165" s="85"/>
      <c r="FI165" s="85"/>
      <c r="FJ165" s="85"/>
      <c r="FK165" s="85"/>
      <c r="FL165" s="85"/>
      <c r="FM165" s="85"/>
      <c r="FN165" s="85"/>
      <c r="FO165" s="85"/>
      <c r="FP165" s="85"/>
      <c r="FQ165" s="85"/>
      <c r="FR165" s="85"/>
      <c r="FS165" s="85"/>
      <c r="FT165" s="85"/>
      <c r="FU165" s="85"/>
      <c r="FV165" s="85"/>
      <c r="FW165" s="85"/>
      <c r="FX165" s="85"/>
      <c r="FY165" s="85"/>
      <c r="FZ165" s="86"/>
    </row>
    <row r="166" spans="1:182" s="293" customFormat="1" hidden="1" outlineLevel="1" x14ac:dyDescent="0.2">
      <c r="A166" s="83" t="s">
        <v>188</v>
      </c>
      <c r="B166" s="84">
        <f>(1/B140^IF((60-B138+1)&lt;0,0,(60-B138+1))-(1/B140^IF((24+(B168)-B138+1)&lt;0,0,(24+(B168)-B138+1))))/(B140-1)</f>
        <v>0</v>
      </c>
      <c r="C166" s="85">
        <f t="shared" ref="C166:AK166" si="866">(1/C140^IF((60-C138+1)&lt;0,0,(60-C138+1))-(1/C140^IF((24+(C168)-C138+1)&lt;0,0,(24+(C168)-C138+1))))/(C140-1)</f>
        <v>0</v>
      </c>
      <c r="D166" s="85">
        <f t="shared" si="866"/>
        <v>0</v>
      </c>
      <c r="E166" s="85">
        <f t="shared" si="866"/>
        <v>0</v>
      </c>
      <c r="F166" s="85">
        <f t="shared" si="866"/>
        <v>0</v>
      </c>
      <c r="G166" s="85">
        <f t="shared" si="866"/>
        <v>0</v>
      </c>
      <c r="H166" s="85">
        <f t="shared" si="866"/>
        <v>0</v>
      </c>
      <c r="I166" s="85">
        <f t="shared" si="866"/>
        <v>0</v>
      </c>
      <c r="J166" s="85">
        <f t="shared" si="866"/>
        <v>0</v>
      </c>
      <c r="K166" s="85">
        <f t="shared" si="866"/>
        <v>0</v>
      </c>
      <c r="L166" s="85">
        <f t="shared" si="866"/>
        <v>0</v>
      </c>
      <c r="M166" s="85">
        <f t="shared" si="866"/>
        <v>0</v>
      </c>
      <c r="N166" s="85">
        <f t="shared" si="866"/>
        <v>0</v>
      </c>
      <c r="O166" s="85">
        <f t="shared" si="866"/>
        <v>0</v>
      </c>
      <c r="P166" s="85">
        <f t="shared" si="866"/>
        <v>0</v>
      </c>
      <c r="Q166" s="85">
        <f t="shared" si="866"/>
        <v>0</v>
      </c>
      <c r="R166" s="85">
        <f t="shared" si="866"/>
        <v>0</v>
      </c>
      <c r="S166" s="85">
        <f t="shared" si="866"/>
        <v>0</v>
      </c>
      <c r="T166" s="85">
        <f t="shared" si="866"/>
        <v>0</v>
      </c>
      <c r="U166" s="85">
        <f t="shared" si="866"/>
        <v>0</v>
      </c>
      <c r="V166" s="85">
        <f t="shared" si="866"/>
        <v>0</v>
      </c>
      <c r="W166" s="85">
        <f t="shared" si="866"/>
        <v>0</v>
      </c>
      <c r="X166" s="85">
        <f t="shared" si="866"/>
        <v>0</v>
      </c>
      <c r="Y166" s="85">
        <f t="shared" si="866"/>
        <v>0</v>
      </c>
      <c r="Z166" s="85">
        <f t="shared" si="866"/>
        <v>0</v>
      </c>
      <c r="AA166" s="85">
        <f t="shared" si="866"/>
        <v>0</v>
      </c>
      <c r="AB166" s="85">
        <f t="shared" si="866"/>
        <v>0</v>
      </c>
      <c r="AC166" s="85">
        <f t="shared" si="866"/>
        <v>0</v>
      </c>
      <c r="AD166" s="85">
        <f t="shared" si="866"/>
        <v>0</v>
      </c>
      <c r="AE166" s="85">
        <f t="shared" si="866"/>
        <v>0</v>
      </c>
      <c r="AF166" s="85">
        <f t="shared" si="866"/>
        <v>0</v>
      </c>
      <c r="AG166" s="85">
        <f t="shared" si="866"/>
        <v>0</v>
      </c>
      <c r="AH166" s="85">
        <f t="shared" si="866"/>
        <v>0</v>
      </c>
      <c r="AI166" s="85">
        <f t="shared" si="866"/>
        <v>0</v>
      </c>
      <c r="AJ166" s="85">
        <f t="shared" si="866"/>
        <v>0</v>
      </c>
      <c r="AK166" s="85">
        <f t="shared" si="866"/>
        <v>0</v>
      </c>
      <c r="AL166" s="85">
        <f>(1/AL140^IF((60-AL138+1+(AL138-36-1))&lt;0,0,(60-AL138+1+(AL138-36-1)))-(1/AL140^IF((24+(AL168)-AL138+1)&lt;0,0,(24+(AL168)-AL138+1))))/(AL140-1)</f>
        <v>0.89675324775441601</v>
      </c>
      <c r="AM166" s="85">
        <f t="shared" ref="AM166:AW166" si="867">(1/AM140^IF((60-AM138+1+(AM138-36-1))&lt;0,0,(60-AM138+1+(AM138-36-1)))-(1/AM140^IF((24+(AM168)-AM138+1)&lt;0,0,(24+(AM168)-AM138+1))))/(AM140-1)</f>
        <v>0</v>
      </c>
      <c r="AN166" s="85">
        <f t="shared" si="867"/>
        <v>-0.90067071056404657</v>
      </c>
      <c r="AO166" s="85">
        <f t="shared" si="867"/>
        <v>-1.805275997357688</v>
      </c>
      <c r="AP166" s="85">
        <f t="shared" si="867"/>
        <v>-2.7138330485606614</v>
      </c>
      <c r="AQ166" s="85">
        <f t="shared" si="867"/>
        <v>-3.6263591274393066</v>
      </c>
      <c r="AR166" s="85">
        <f t="shared" si="867"/>
        <v>-4.5428715726743567</v>
      </c>
      <c r="AS166" s="85">
        <f t="shared" si="867"/>
        <v>-5.4633877986906167</v>
      </c>
      <c r="AT166" s="85">
        <f t="shared" si="867"/>
        <v>-6.3879252959875981</v>
      </c>
      <c r="AU166" s="85">
        <f t="shared" si="867"/>
        <v>-7.3165016314721463</v>
      </c>
      <c r="AV166" s="85">
        <f t="shared" si="867"/>
        <v>-8.249134448791926</v>
      </c>
      <c r="AW166" s="85">
        <f t="shared" si="867"/>
        <v>-9.1858414686708389</v>
      </c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  <c r="DY166" s="85"/>
      <c r="DZ166" s="85"/>
      <c r="EA166" s="85"/>
      <c r="EB166" s="85"/>
      <c r="EC166" s="85"/>
      <c r="ED166" s="85"/>
      <c r="EE166" s="85"/>
      <c r="EF166" s="85"/>
      <c r="EG166" s="85"/>
      <c r="EH166" s="85"/>
      <c r="EI166" s="85"/>
      <c r="EJ166" s="85"/>
      <c r="EK166" s="85"/>
      <c r="EL166" s="85"/>
      <c r="EM166" s="85"/>
      <c r="EN166" s="85"/>
      <c r="EO166" s="85"/>
      <c r="EP166" s="85"/>
      <c r="EQ166" s="85"/>
      <c r="ER166" s="85"/>
      <c r="ES166" s="85"/>
      <c r="ET166" s="85"/>
      <c r="EU166" s="85"/>
      <c r="EV166" s="85"/>
      <c r="EW166" s="85"/>
      <c r="EX166" s="85"/>
      <c r="EY166" s="85"/>
      <c r="EZ166" s="85"/>
      <c r="FA166" s="85"/>
      <c r="FB166" s="85"/>
      <c r="FC166" s="85"/>
      <c r="FD166" s="85"/>
      <c r="FE166" s="85"/>
      <c r="FF166" s="85"/>
      <c r="FG166" s="85"/>
      <c r="FH166" s="85"/>
      <c r="FI166" s="85"/>
      <c r="FJ166" s="85"/>
      <c r="FK166" s="85"/>
      <c r="FL166" s="85"/>
      <c r="FM166" s="85"/>
      <c r="FN166" s="85"/>
      <c r="FO166" s="85"/>
      <c r="FP166" s="85"/>
      <c r="FQ166" s="85"/>
      <c r="FR166" s="85"/>
      <c r="FS166" s="85"/>
      <c r="FT166" s="85"/>
      <c r="FU166" s="85"/>
      <c r="FV166" s="85"/>
      <c r="FW166" s="85"/>
      <c r="FX166" s="85"/>
      <c r="FY166" s="85"/>
      <c r="FZ166" s="86"/>
    </row>
    <row r="167" spans="1:182" hidden="1" outlineLevel="1" x14ac:dyDescent="0.2">
      <c r="A167" s="87" t="s">
        <v>172</v>
      </c>
      <c r="B167" s="65">
        <f t="shared" ref="B167:AG167" si="868">IF(IF((4-1)*12+1&lt;B21,B21,(4-1)*12+1)&gt;B22,B22,IF((4-1)*12+1&lt;B21,B21,(4-1)*12+1))</f>
        <v>36</v>
      </c>
      <c r="C167" s="57">
        <f t="shared" si="868"/>
        <v>36</v>
      </c>
      <c r="D167" s="57">
        <f t="shared" si="868"/>
        <v>36</v>
      </c>
      <c r="E167" s="57">
        <f t="shared" si="868"/>
        <v>36</v>
      </c>
      <c r="F167" s="57">
        <f t="shared" si="868"/>
        <v>36</v>
      </c>
      <c r="G167" s="57">
        <f t="shared" si="868"/>
        <v>36</v>
      </c>
      <c r="H167" s="57">
        <f t="shared" si="868"/>
        <v>36</v>
      </c>
      <c r="I167" s="57">
        <f t="shared" si="868"/>
        <v>36</v>
      </c>
      <c r="J167" s="57">
        <f t="shared" si="868"/>
        <v>36</v>
      </c>
      <c r="K167" s="57">
        <f t="shared" si="868"/>
        <v>36</v>
      </c>
      <c r="L167" s="57">
        <f t="shared" si="868"/>
        <v>36</v>
      </c>
      <c r="M167" s="57">
        <f t="shared" si="868"/>
        <v>36</v>
      </c>
      <c r="N167" s="57">
        <f t="shared" si="868"/>
        <v>36</v>
      </c>
      <c r="O167" s="57">
        <f t="shared" si="868"/>
        <v>36</v>
      </c>
      <c r="P167" s="57">
        <f t="shared" si="868"/>
        <v>36</v>
      </c>
      <c r="Q167" s="57">
        <f t="shared" si="868"/>
        <v>36</v>
      </c>
      <c r="R167" s="57">
        <f t="shared" si="868"/>
        <v>36</v>
      </c>
      <c r="S167" s="57">
        <f t="shared" si="868"/>
        <v>36</v>
      </c>
      <c r="T167" s="57">
        <f t="shared" si="868"/>
        <v>36</v>
      </c>
      <c r="U167" s="57">
        <f t="shared" si="868"/>
        <v>36</v>
      </c>
      <c r="V167" s="57">
        <f t="shared" si="868"/>
        <v>36</v>
      </c>
      <c r="W167" s="57">
        <f t="shared" si="868"/>
        <v>36</v>
      </c>
      <c r="X167" s="57">
        <f t="shared" si="868"/>
        <v>36</v>
      </c>
      <c r="Y167" s="57">
        <f t="shared" si="868"/>
        <v>36</v>
      </c>
      <c r="Z167" s="57">
        <f t="shared" si="868"/>
        <v>36</v>
      </c>
      <c r="AA167" s="57">
        <f t="shared" si="868"/>
        <v>36</v>
      </c>
      <c r="AB167" s="57">
        <f t="shared" si="868"/>
        <v>36</v>
      </c>
      <c r="AC167" s="57">
        <f t="shared" si="868"/>
        <v>36</v>
      </c>
      <c r="AD167" s="57">
        <f t="shared" si="868"/>
        <v>36</v>
      </c>
      <c r="AE167" s="57">
        <f t="shared" si="868"/>
        <v>36</v>
      </c>
      <c r="AF167" s="57">
        <f t="shared" si="868"/>
        <v>36</v>
      </c>
      <c r="AG167" s="57">
        <f t="shared" si="868"/>
        <v>36</v>
      </c>
      <c r="AH167" s="57">
        <f t="shared" ref="AH167:BH167" si="869">IF(IF((4-1)*12+1&lt;AH21,AH21,(4-1)*12+1)&gt;AH22,AH22,IF((4-1)*12+1&lt;AH21,AH21,(4-1)*12+1))</f>
        <v>36</v>
      </c>
      <c r="AI167" s="57">
        <f t="shared" si="869"/>
        <v>36</v>
      </c>
      <c r="AJ167" s="57">
        <f t="shared" si="869"/>
        <v>36</v>
      </c>
      <c r="AK167" s="57">
        <f t="shared" si="869"/>
        <v>36</v>
      </c>
      <c r="AL167" s="57">
        <f t="shared" si="869"/>
        <v>36</v>
      </c>
      <c r="AM167" s="57">
        <f t="shared" si="869"/>
        <v>36</v>
      </c>
      <c r="AN167" s="57">
        <f t="shared" si="869"/>
        <v>36</v>
      </c>
      <c r="AO167" s="57">
        <f t="shared" si="869"/>
        <v>36</v>
      </c>
      <c r="AP167" s="57">
        <f t="shared" si="869"/>
        <v>36</v>
      </c>
      <c r="AQ167" s="57">
        <f t="shared" si="869"/>
        <v>36</v>
      </c>
      <c r="AR167" s="57">
        <f t="shared" si="869"/>
        <v>36</v>
      </c>
      <c r="AS167" s="57">
        <f t="shared" si="869"/>
        <v>36</v>
      </c>
      <c r="AT167" s="57">
        <f t="shared" si="869"/>
        <v>36</v>
      </c>
      <c r="AU167" s="57">
        <f t="shared" si="869"/>
        <v>36</v>
      </c>
      <c r="AV167" s="57">
        <f t="shared" si="869"/>
        <v>36</v>
      </c>
      <c r="AW167" s="57">
        <f t="shared" si="869"/>
        <v>36</v>
      </c>
      <c r="AX167" s="57">
        <f t="shared" si="869"/>
        <v>36</v>
      </c>
      <c r="AY167" s="57">
        <f t="shared" si="869"/>
        <v>36</v>
      </c>
      <c r="AZ167" s="57">
        <f t="shared" si="869"/>
        <v>36</v>
      </c>
      <c r="BA167" s="57">
        <f t="shared" si="869"/>
        <v>36</v>
      </c>
      <c r="BB167" s="57">
        <f t="shared" si="869"/>
        <v>36</v>
      </c>
      <c r="BC167" s="57">
        <f t="shared" si="869"/>
        <v>36</v>
      </c>
      <c r="BD167" s="57">
        <f t="shared" si="869"/>
        <v>36</v>
      </c>
      <c r="BE167" s="57">
        <f t="shared" si="869"/>
        <v>36</v>
      </c>
      <c r="BF167" s="57">
        <f t="shared" si="869"/>
        <v>36</v>
      </c>
      <c r="BG167" s="57">
        <f t="shared" si="869"/>
        <v>36</v>
      </c>
      <c r="BH167" s="57">
        <f t="shared" si="869"/>
        <v>36</v>
      </c>
      <c r="BI167" s="57">
        <f t="shared" ref="BI167:DP167" si="870">IF(IF((4-1)*12+1&lt;BI21,BI21,(4-1)*12+1)&gt;BI22,BI22,IF((4-1)*12+1&lt;BI21,BI21,(4-1)*12+1))</f>
        <v>36</v>
      </c>
      <c r="BJ167" s="57">
        <f t="shared" si="870"/>
        <v>36</v>
      </c>
      <c r="BK167" s="57">
        <f t="shared" si="870"/>
        <v>36</v>
      </c>
      <c r="BL167" s="57">
        <f t="shared" si="870"/>
        <v>36</v>
      </c>
      <c r="BM167" s="57">
        <f t="shared" si="870"/>
        <v>36</v>
      </c>
      <c r="BN167" s="57">
        <f t="shared" si="870"/>
        <v>36</v>
      </c>
      <c r="BO167" s="57">
        <f t="shared" si="870"/>
        <v>36</v>
      </c>
      <c r="BP167" s="57">
        <f t="shared" si="870"/>
        <v>36</v>
      </c>
      <c r="BQ167" s="57">
        <f t="shared" si="870"/>
        <v>36</v>
      </c>
      <c r="BR167" s="57">
        <f t="shared" si="870"/>
        <v>36</v>
      </c>
      <c r="BS167" s="57">
        <f t="shared" si="870"/>
        <v>36</v>
      </c>
      <c r="BT167" s="57">
        <f t="shared" si="870"/>
        <v>36</v>
      </c>
      <c r="BU167" s="57">
        <f t="shared" si="870"/>
        <v>36</v>
      </c>
      <c r="BV167" s="57">
        <f t="shared" si="870"/>
        <v>36</v>
      </c>
      <c r="BW167" s="57">
        <f t="shared" si="870"/>
        <v>36</v>
      </c>
      <c r="BX167" s="57">
        <f t="shared" si="870"/>
        <v>36</v>
      </c>
      <c r="BY167" s="57">
        <f t="shared" si="870"/>
        <v>36</v>
      </c>
      <c r="BZ167" s="57">
        <f t="shared" si="870"/>
        <v>36</v>
      </c>
      <c r="CA167" s="57">
        <f t="shared" si="870"/>
        <v>36</v>
      </c>
      <c r="CB167" s="57">
        <f t="shared" si="870"/>
        <v>36</v>
      </c>
      <c r="CC167" s="57">
        <f t="shared" si="870"/>
        <v>36</v>
      </c>
      <c r="CD167" s="57">
        <f t="shared" si="870"/>
        <v>36</v>
      </c>
      <c r="CE167" s="57">
        <f t="shared" si="870"/>
        <v>36</v>
      </c>
      <c r="CF167" s="57">
        <f t="shared" si="870"/>
        <v>36</v>
      </c>
      <c r="CG167" s="57">
        <f t="shared" si="870"/>
        <v>36</v>
      </c>
      <c r="CH167" s="57">
        <f t="shared" si="870"/>
        <v>36</v>
      </c>
      <c r="CI167" s="57">
        <f t="shared" si="870"/>
        <v>36</v>
      </c>
      <c r="CJ167" s="57">
        <f t="shared" si="870"/>
        <v>36</v>
      </c>
      <c r="CK167" s="57">
        <f t="shared" si="870"/>
        <v>36</v>
      </c>
      <c r="CL167" s="57">
        <f t="shared" si="870"/>
        <v>36</v>
      </c>
      <c r="CM167" s="57">
        <f t="shared" si="870"/>
        <v>36</v>
      </c>
      <c r="CN167" s="57">
        <f t="shared" si="870"/>
        <v>36</v>
      </c>
      <c r="CO167" s="57">
        <f t="shared" si="870"/>
        <v>36</v>
      </c>
      <c r="CP167" s="57">
        <f t="shared" si="870"/>
        <v>36</v>
      </c>
      <c r="CQ167" s="57">
        <f t="shared" si="870"/>
        <v>36</v>
      </c>
      <c r="CR167" s="57">
        <f t="shared" si="870"/>
        <v>36</v>
      </c>
      <c r="CS167" s="57">
        <f t="shared" si="870"/>
        <v>36</v>
      </c>
      <c r="CT167" s="57">
        <f t="shared" si="870"/>
        <v>36</v>
      </c>
      <c r="CU167" s="57">
        <f t="shared" si="870"/>
        <v>36</v>
      </c>
      <c r="CV167" s="57">
        <f t="shared" si="870"/>
        <v>36</v>
      </c>
      <c r="CW167" s="57">
        <f t="shared" si="870"/>
        <v>36</v>
      </c>
      <c r="CX167" s="57">
        <f t="shared" si="870"/>
        <v>36</v>
      </c>
      <c r="CY167" s="57">
        <f t="shared" si="870"/>
        <v>36</v>
      </c>
      <c r="CZ167" s="57">
        <f t="shared" si="870"/>
        <v>36</v>
      </c>
      <c r="DA167" s="57">
        <f t="shared" si="870"/>
        <v>36</v>
      </c>
      <c r="DB167" s="57">
        <f t="shared" si="870"/>
        <v>36</v>
      </c>
      <c r="DC167" s="57">
        <f t="shared" si="870"/>
        <v>36</v>
      </c>
      <c r="DD167" s="57">
        <f t="shared" si="870"/>
        <v>36</v>
      </c>
      <c r="DE167" s="57">
        <f t="shared" si="870"/>
        <v>36</v>
      </c>
      <c r="DF167" s="57">
        <f t="shared" si="870"/>
        <v>36</v>
      </c>
      <c r="DG167" s="57">
        <f t="shared" si="870"/>
        <v>36</v>
      </c>
      <c r="DH167" s="57">
        <f t="shared" si="870"/>
        <v>36</v>
      </c>
      <c r="DI167" s="57">
        <f t="shared" si="870"/>
        <v>36</v>
      </c>
      <c r="DJ167" s="57">
        <f t="shared" si="870"/>
        <v>36</v>
      </c>
      <c r="DK167" s="57">
        <f t="shared" si="870"/>
        <v>36</v>
      </c>
      <c r="DL167" s="57">
        <f t="shared" si="870"/>
        <v>36</v>
      </c>
      <c r="DM167" s="57">
        <f t="shared" si="870"/>
        <v>36</v>
      </c>
      <c r="DN167" s="57">
        <f t="shared" si="870"/>
        <v>36</v>
      </c>
      <c r="DO167" s="57">
        <f t="shared" si="870"/>
        <v>36</v>
      </c>
      <c r="DP167" s="57">
        <f t="shared" si="870"/>
        <v>36</v>
      </c>
      <c r="DQ167" s="57">
        <f t="shared" ref="DQ167:FY167" si="871">IF(IF((4-1)*12+1&lt;DQ21,DQ21,(4-1)*12+1)&gt;DQ22,DQ22,IF((4-1)*12+1&lt;DQ21,DQ21,(4-1)*12+1))</f>
        <v>36</v>
      </c>
      <c r="DR167" s="57">
        <f t="shared" si="871"/>
        <v>36</v>
      </c>
      <c r="DS167" s="57">
        <f t="shared" si="871"/>
        <v>36</v>
      </c>
      <c r="DT167" s="57">
        <f t="shared" si="871"/>
        <v>36</v>
      </c>
      <c r="DU167" s="57">
        <f t="shared" si="871"/>
        <v>36</v>
      </c>
      <c r="DV167" s="57">
        <f t="shared" si="871"/>
        <v>36</v>
      </c>
      <c r="DW167" s="57">
        <f t="shared" si="871"/>
        <v>36</v>
      </c>
      <c r="DX167" s="57">
        <f t="shared" si="871"/>
        <v>36</v>
      </c>
      <c r="DY167" s="57">
        <f t="shared" si="871"/>
        <v>36</v>
      </c>
      <c r="DZ167" s="57">
        <f t="shared" si="871"/>
        <v>36</v>
      </c>
      <c r="EA167" s="57">
        <f t="shared" si="871"/>
        <v>36</v>
      </c>
      <c r="EB167" s="57">
        <f t="shared" si="871"/>
        <v>36</v>
      </c>
      <c r="EC167" s="57">
        <f t="shared" si="871"/>
        <v>36</v>
      </c>
      <c r="ED167" s="57">
        <f t="shared" si="871"/>
        <v>36</v>
      </c>
      <c r="EE167" s="57">
        <f t="shared" si="871"/>
        <v>36</v>
      </c>
      <c r="EF167" s="57">
        <f t="shared" si="871"/>
        <v>36</v>
      </c>
      <c r="EG167" s="57">
        <f t="shared" si="871"/>
        <v>36</v>
      </c>
      <c r="EH167" s="57">
        <f t="shared" si="871"/>
        <v>36</v>
      </c>
      <c r="EI167" s="57">
        <f t="shared" si="871"/>
        <v>36</v>
      </c>
      <c r="EJ167" s="57">
        <f t="shared" si="871"/>
        <v>36</v>
      </c>
      <c r="EK167" s="57">
        <f t="shared" si="871"/>
        <v>36</v>
      </c>
      <c r="EL167" s="57">
        <f t="shared" si="871"/>
        <v>36</v>
      </c>
      <c r="EM167" s="57">
        <f t="shared" si="871"/>
        <v>36</v>
      </c>
      <c r="EN167" s="57">
        <f t="shared" si="871"/>
        <v>36</v>
      </c>
      <c r="EO167" s="57">
        <f t="shared" si="871"/>
        <v>36</v>
      </c>
      <c r="EP167" s="57">
        <f t="shared" si="871"/>
        <v>36</v>
      </c>
      <c r="EQ167" s="57">
        <f t="shared" si="871"/>
        <v>36</v>
      </c>
      <c r="ER167" s="57">
        <f t="shared" si="871"/>
        <v>36</v>
      </c>
      <c r="ES167" s="57">
        <f t="shared" si="871"/>
        <v>36</v>
      </c>
      <c r="ET167" s="57">
        <f t="shared" si="871"/>
        <v>36</v>
      </c>
      <c r="EU167" s="57">
        <f t="shared" si="871"/>
        <v>36</v>
      </c>
      <c r="EV167" s="57">
        <f t="shared" si="871"/>
        <v>36</v>
      </c>
      <c r="EW167" s="57">
        <f t="shared" si="871"/>
        <v>36</v>
      </c>
      <c r="EX167" s="57">
        <f t="shared" si="871"/>
        <v>36</v>
      </c>
      <c r="EY167" s="57">
        <f t="shared" si="871"/>
        <v>36</v>
      </c>
      <c r="EZ167" s="57">
        <f t="shared" si="871"/>
        <v>36</v>
      </c>
      <c r="FA167" s="57">
        <f t="shared" si="871"/>
        <v>36</v>
      </c>
      <c r="FB167" s="57">
        <f t="shared" si="871"/>
        <v>36</v>
      </c>
      <c r="FC167" s="57">
        <f t="shared" si="871"/>
        <v>36</v>
      </c>
      <c r="FD167" s="57">
        <f t="shared" si="871"/>
        <v>36</v>
      </c>
      <c r="FE167" s="57">
        <f t="shared" si="871"/>
        <v>36</v>
      </c>
      <c r="FF167" s="57">
        <f t="shared" si="871"/>
        <v>36</v>
      </c>
      <c r="FG167" s="57">
        <f t="shared" si="871"/>
        <v>36</v>
      </c>
      <c r="FH167" s="57">
        <f t="shared" si="871"/>
        <v>36</v>
      </c>
      <c r="FI167" s="57">
        <f t="shared" si="871"/>
        <v>36</v>
      </c>
      <c r="FJ167" s="57">
        <f t="shared" si="871"/>
        <v>36</v>
      </c>
      <c r="FK167" s="57">
        <f t="shared" si="871"/>
        <v>36</v>
      </c>
      <c r="FL167" s="57">
        <f t="shared" si="871"/>
        <v>36</v>
      </c>
      <c r="FM167" s="57">
        <f t="shared" si="871"/>
        <v>36</v>
      </c>
      <c r="FN167" s="57">
        <f t="shared" si="871"/>
        <v>36</v>
      </c>
      <c r="FO167" s="57">
        <f t="shared" si="871"/>
        <v>36</v>
      </c>
      <c r="FP167" s="57">
        <f t="shared" si="871"/>
        <v>36</v>
      </c>
      <c r="FQ167" s="57">
        <f t="shared" si="871"/>
        <v>36</v>
      </c>
      <c r="FR167" s="57">
        <f t="shared" si="871"/>
        <v>36</v>
      </c>
      <c r="FS167" s="57">
        <f t="shared" si="871"/>
        <v>36</v>
      </c>
      <c r="FT167" s="57">
        <f t="shared" si="871"/>
        <v>36</v>
      </c>
      <c r="FU167" s="57">
        <f t="shared" si="871"/>
        <v>36</v>
      </c>
      <c r="FV167" s="57">
        <f t="shared" si="871"/>
        <v>36</v>
      </c>
      <c r="FW167" s="57">
        <f t="shared" si="871"/>
        <v>36</v>
      </c>
      <c r="FX167" s="57">
        <f t="shared" si="871"/>
        <v>36</v>
      </c>
      <c r="FY167" s="57">
        <f t="shared" si="871"/>
        <v>36</v>
      </c>
      <c r="FZ167" s="59"/>
    </row>
    <row r="168" spans="1:182" hidden="1" outlineLevel="1" x14ac:dyDescent="0.2">
      <c r="A168" s="87" t="s">
        <v>173</v>
      </c>
      <c r="B168" s="65">
        <f t="shared" ref="B168:AG168" si="872">IF(IF((4)*12&lt;B21,B21,(4)*12)&gt;B22,B22,IF((4)*12&lt;B21,B21,(4)*12))</f>
        <v>36</v>
      </c>
      <c r="C168" s="57">
        <f t="shared" si="872"/>
        <v>36</v>
      </c>
      <c r="D168" s="57">
        <f t="shared" si="872"/>
        <v>36</v>
      </c>
      <c r="E168" s="57">
        <f t="shared" si="872"/>
        <v>36</v>
      </c>
      <c r="F168" s="57">
        <f t="shared" si="872"/>
        <v>36</v>
      </c>
      <c r="G168" s="57">
        <f t="shared" si="872"/>
        <v>36</v>
      </c>
      <c r="H168" s="57">
        <f t="shared" si="872"/>
        <v>36</v>
      </c>
      <c r="I168" s="57">
        <f t="shared" si="872"/>
        <v>36</v>
      </c>
      <c r="J168" s="57">
        <f t="shared" si="872"/>
        <v>36</v>
      </c>
      <c r="K168" s="57">
        <f t="shared" si="872"/>
        <v>36</v>
      </c>
      <c r="L168" s="57">
        <f t="shared" si="872"/>
        <v>36</v>
      </c>
      <c r="M168" s="57">
        <f t="shared" si="872"/>
        <v>36</v>
      </c>
      <c r="N168" s="57">
        <f t="shared" si="872"/>
        <v>36</v>
      </c>
      <c r="O168" s="57">
        <f t="shared" si="872"/>
        <v>36</v>
      </c>
      <c r="P168" s="57">
        <f t="shared" si="872"/>
        <v>36</v>
      </c>
      <c r="Q168" s="57">
        <f t="shared" si="872"/>
        <v>36</v>
      </c>
      <c r="R168" s="57">
        <f t="shared" si="872"/>
        <v>36</v>
      </c>
      <c r="S168" s="57">
        <f t="shared" si="872"/>
        <v>36</v>
      </c>
      <c r="T168" s="57">
        <f t="shared" si="872"/>
        <v>36</v>
      </c>
      <c r="U168" s="57">
        <f t="shared" si="872"/>
        <v>36</v>
      </c>
      <c r="V168" s="57">
        <f t="shared" si="872"/>
        <v>36</v>
      </c>
      <c r="W168" s="57">
        <f t="shared" si="872"/>
        <v>36</v>
      </c>
      <c r="X168" s="57">
        <f t="shared" si="872"/>
        <v>36</v>
      </c>
      <c r="Y168" s="57">
        <f t="shared" si="872"/>
        <v>36</v>
      </c>
      <c r="Z168" s="57">
        <f t="shared" si="872"/>
        <v>36</v>
      </c>
      <c r="AA168" s="57">
        <f t="shared" si="872"/>
        <v>36</v>
      </c>
      <c r="AB168" s="57">
        <f t="shared" si="872"/>
        <v>36</v>
      </c>
      <c r="AC168" s="57">
        <f t="shared" si="872"/>
        <v>36</v>
      </c>
      <c r="AD168" s="57">
        <f t="shared" si="872"/>
        <v>36</v>
      </c>
      <c r="AE168" s="57">
        <f t="shared" si="872"/>
        <v>36</v>
      </c>
      <c r="AF168" s="57">
        <f t="shared" si="872"/>
        <v>36</v>
      </c>
      <c r="AG168" s="57">
        <f t="shared" si="872"/>
        <v>36</v>
      </c>
      <c r="AH168" s="57">
        <f t="shared" ref="AH168:BH168" si="873">IF(IF((4)*12&lt;AH21,AH21,(4)*12)&gt;AH22,AH22,IF((4)*12&lt;AH21,AH21,(4)*12))</f>
        <v>36</v>
      </c>
      <c r="AI168" s="57">
        <f t="shared" si="873"/>
        <v>36</v>
      </c>
      <c r="AJ168" s="57">
        <f t="shared" si="873"/>
        <v>36</v>
      </c>
      <c r="AK168" s="57">
        <f t="shared" si="873"/>
        <v>36</v>
      </c>
      <c r="AL168" s="57">
        <f t="shared" si="873"/>
        <v>36</v>
      </c>
      <c r="AM168" s="57">
        <f t="shared" si="873"/>
        <v>36</v>
      </c>
      <c r="AN168" s="57">
        <f t="shared" si="873"/>
        <v>36</v>
      </c>
      <c r="AO168" s="57">
        <f t="shared" si="873"/>
        <v>36</v>
      </c>
      <c r="AP168" s="57">
        <f t="shared" si="873"/>
        <v>36</v>
      </c>
      <c r="AQ168" s="57">
        <f t="shared" si="873"/>
        <v>36</v>
      </c>
      <c r="AR168" s="57">
        <f t="shared" si="873"/>
        <v>36</v>
      </c>
      <c r="AS168" s="57">
        <f t="shared" si="873"/>
        <v>36</v>
      </c>
      <c r="AT168" s="57">
        <f t="shared" si="873"/>
        <v>36</v>
      </c>
      <c r="AU168" s="57">
        <f t="shared" si="873"/>
        <v>36</v>
      </c>
      <c r="AV168" s="57">
        <f t="shared" si="873"/>
        <v>36</v>
      </c>
      <c r="AW168" s="57">
        <f t="shared" si="873"/>
        <v>36</v>
      </c>
      <c r="AX168" s="57">
        <f t="shared" si="873"/>
        <v>36</v>
      </c>
      <c r="AY168" s="57">
        <f t="shared" si="873"/>
        <v>36</v>
      </c>
      <c r="AZ168" s="57">
        <f t="shared" si="873"/>
        <v>36</v>
      </c>
      <c r="BA168" s="57">
        <f t="shared" si="873"/>
        <v>36</v>
      </c>
      <c r="BB168" s="57">
        <f t="shared" si="873"/>
        <v>36</v>
      </c>
      <c r="BC168" s="57">
        <f t="shared" si="873"/>
        <v>36</v>
      </c>
      <c r="BD168" s="57">
        <f t="shared" si="873"/>
        <v>36</v>
      </c>
      <c r="BE168" s="57">
        <f t="shared" si="873"/>
        <v>36</v>
      </c>
      <c r="BF168" s="57">
        <f t="shared" si="873"/>
        <v>36</v>
      </c>
      <c r="BG168" s="57">
        <f t="shared" si="873"/>
        <v>36</v>
      </c>
      <c r="BH168" s="57">
        <f t="shared" si="873"/>
        <v>36</v>
      </c>
      <c r="BI168" s="57">
        <f t="shared" ref="BI168:DP168" si="874">IF(IF((4)*12&lt;BI21,BI21,(4)*12)&gt;BI22,BI22,IF((4)*12&lt;BI21,BI21,(4)*12))</f>
        <v>36</v>
      </c>
      <c r="BJ168" s="57">
        <f t="shared" si="874"/>
        <v>36</v>
      </c>
      <c r="BK168" s="57">
        <f t="shared" si="874"/>
        <v>36</v>
      </c>
      <c r="BL168" s="57">
        <f t="shared" si="874"/>
        <v>36</v>
      </c>
      <c r="BM168" s="57">
        <f t="shared" si="874"/>
        <v>36</v>
      </c>
      <c r="BN168" s="57">
        <f t="shared" si="874"/>
        <v>36</v>
      </c>
      <c r="BO168" s="57">
        <f t="shared" si="874"/>
        <v>36</v>
      </c>
      <c r="BP168" s="57">
        <f t="shared" si="874"/>
        <v>36</v>
      </c>
      <c r="BQ168" s="57">
        <f t="shared" si="874"/>
        <v>36</v>
      </c>
      <c r="BR168" s="57">
        <f t="shared" si="874"/>
        <v>36</v>
      </c>
      <c r="BS168" s="57">
        <f t="shared" si="874"/>
        <v>36</v>
      </c>
      <c r="BT168" s="57">
        <f t="shared" si="874"/>
        <v>36</v>
      </c>
      <c r="BU168" s="57">
        <f t="shared" si="874"/>
        <v>36</v>
      </c>
      <c r="BV168" s="57">
        <f t="shared" si="874"/>
        <v>36</v>
      </c>
      <c r="BW168" s="57">
        <f t="shared" si="874"/>
        <v>36</v>
      </c>
      <c r="BX168" s="57">
        <f t="shared" si="874"/>
        <v>36</v>
      </c>
      <c r="BY168" s="57">
        <f t="shared" si="874"/>
        <v>36</v>
      </c>
      <c r="BZ168" s="57">
        <f t="shared" si="874"/>
        <v>36</v>
      </c>
      <c r="CA168" s="57">
        <f t="shared" si="874"/>
        <v>36</v>
      </c>
      <c r="CB168" s="57">
        <f t="shared" si="874"/>
        <v>36</v>
      </c>
      <c r="CC168" s="57">
        <f t="shared" si="874"/>
        <v>36</v>
      </c>
      <c r="CD168" s="57">
        <f t="shared" si="874"/>
        <v>36</v>
      </c>
      <c r="CE168" s="57">
        <f t="shared" si="874"/>
        <v>36</v>
      </c>
      <c r="CF168" s="57">
        <f t="shared" si="874"/>
        <v>36</v>
      </c>
      <c r="CG168" s="57">
        <f t="shared" si="874"/>
        <v>36</v>
      </c>
      <c r="CH168" s="57">
        <f t="shared" si="874"/>
        <v>36</v>
      </c>
      <c r="CI168" s="57">
        <f t="shared" si="874"/>
        <v>36</v>
      </c>
      <c r="CJ168" s="57">
        <f t="shared" si="874"/>
        <v>36</v>
      </c>
      <c r="CK168" s="57">
        <f t="shared" si="874"/>
        <v>36</v>
      </c>
      <c r="CL168" s="57">
        <f t="shared" si="874"/>
        <v>36</v>
      </c>
      <c r="CM168" s="57">
        <f t="shared" si="874"/>
        <v>36</v>
      </c>
      <c r="CN168" s="57">
        <f t="shared" si="874"/>
        <v>36</v>
      </c>
      <c r="CO168" s="57">
        <f t="shared" si="874"/>
        <v>36</v>
      </c>
      <c r="CP168" s="57">
        <f t="shared" si="874"/>
        <v>36</v>
      </c>
      <c r="CQ168" s="57">
        <f t="shared" si="874"/>
        <v>36</v>
      </c>
      <c r="CR168" s="57">
        <f t="shared" si="874"/>
        <v>36</v>
      </c>
      <c r="CS168" s="57">
        <f t="shared" si="874"/>
        <v>36</v>
      </c>
      <c r="CT168" s="57">
        <f t="shared" si="874"/>
        <v>36</v>
      </c>
      <c r="CU168" s="57">
        <f t="shared" si="874"/>
        <v>36</v>
      </c>
      <c r="CV168" s="57">
        <f t="shared" si="874"/>
        <v>36</v>
      </c>
      <c r="CW168" s="57">
        <f t="shared" si="874"/>
        <v>36</v>
      </c>
      <c r="CX168" s="57">
        <f t="shared" si="874"/>
        <v>36</v>
      </c>
      <c r="CY168" s="57">
        <f t="shared" si="874"/>
        <v>36</v>
      </c>
      <c r="CZ168" s="57">
        <f t="shared" si="874"/>
        <v>36</v>
      </c>
      <c r="DA168" s="57">
        <f t="shared" si="874"/>
        <v>36</v>
      </c>
      <c r="DB168" s="57">
        <f t="shared" si="874"/>
        <v>36</v>
      </c>
      <c r="DC168" s="57">
        <f t="shared" si="874"/>
        <v>36</v>
      </c>
      <c r="DD168" s="57">
        <f t="shared" si="874"/>
        <v>36</v>
      </c>
      <c r="DE168" s="57">
        <f t="shared" si="874"/>
        <v>36</v>
      </c>
      <c r="DF168" s="57">
        <f t="shared" si="874"/>
        <v>36</v>
      </c>
      <c r="DG168" s="57">
        <f t="shared" si="874"/>
        <v>36</v>
      </c>
      <c r="DH168" s="57">
        <f t="shared" si="874"/>
        <v>36</v>
      </c>
      <c r="DI168" s="57">
        <f t="shared" si="874"/>
        <v>36</v>
      </c>
      <c r="DJ168" s="57">
        <f t="shared" si="874"/>
        <v>36</v>
      </c>
      <c r="DK168" s="57">
        <f t="shared" si="874"/>
        <v>36</v>
      </c>
      <c r="DL168" s="57">
        <f t="shared" si="874"/>
        <v>36</v>
      </c>
      <c r="DM168" s="57">
        <f t="shared" si="874"/>
        <v>36</v>
      </c>
      <c r="DN168" s="57">
        <f t="shared" si="874"/>
        <v>36</v>
      </c>
      <c r="DO168" s="57">
        <f t="shared" si="874"/>
        <v>36</v>
      </c>
      <c r="DP168" s="57">
        <f t="shared" si="874"/>
        <v>36</v>
      </c>
      <c r="DQ168" s="57">
        <f t="shared" ref="DQ168:FY168" si="875">IF(IF((4)*12&lt;DQ21,DQ21,(4)*12)&gt;DQ22,DQ22,IF((4)*12&lt;DQ21,DQ21,(4)*12))</f>
        <v>36</v>
      </c>
      <c r="DR168" s="57">
        <f t="shared" si="875"/>
        <v>36</v>
      </c>
      <c r="DS168" s="57">
        <f t="shared" si="875"/>
        <v>36</v>
      </c>
      <c r="DT168" s="57">
        <f t="shared" si="875"/>
        <v>36</v>
      </c>
      <c r="DU168" s="57">
        <f t="shared" si="875"/>
        <v>36</v>
      </c>
      <c r="DV168" s="57">
        <f t="shared" si="875"/>
        <v>36</v>
      </c>
      <c r="DW168" s="57">
        <f t="shared" si="875"/>
        <v>36</v>
      </c>
      <c r="DX168" s="57">
        <f t="shared" si="875"/>
        <v>36</v>
      </c>
      <c r="DY168" s="57">
        <f t="shared" si="875"/>
        <v>36</v>
      </c>
      <c r="DZ168" s="57">
        <f t="shared" si="875"/>
        <v>36</v>
      </c>
      <c r="EA168" s="57">
        <f t="shared" si="875"/>
        <v>36</v>
      </c>
      <c r="EB168" s="57">
        <f t="shared" si="875"/>
        <v>36</v>
      </c>
      <c r="EC168" s="57">
        <f t="shared" si="875"/>
        <v>36</v>
      </c>
      <c r="ED168" s="57">
        <f t="shared" si="875"/>
        <v>36</v>
      </c>
      <c r="EE168" s="57">
        <f t="shared" si="875"/>
        <v>36</v>
      </c>
      <c r="EF168" s="57">
        <f t="shared" si="875"/>
        <v>36</v>
      </c>
      <c r="EG168" s="57">
        <f t="shared" si="875"/>
        <v>36</v>
      </c>
      <c r="EH168" s="57">
        <f t="shared" si="875"/>
        <v>36</v>
      </c>
      <c r="EI168" s="57">
        <f t="shared" si="875"/>
        <v>36</v>
      </c>
      <c r="EJ168" s="57">
        <f t="shared" si="875"/>
        <v>36</v>
      </c>
      <c r="EK168" s="57">
        <f t="shared" si="875"/>
        <v>36</v>
      </c>
      <c r="EL168" s="57">
        <f t="shared" si="875"/>
        <v>36</v>
      </c>
      <c r="EM168" s="57">
        <f t="shared" si="875"/>
        <v>36</v>
      </c>
      <c r="EN168" s="57">
        <f t="shared" si="875"/>
        <v>36</v>
      </c>
      <c r="EO168" s="57">
        <f t="shared" si="875"/>
        <v>36</v>
      </c>
      <c r="EP168" s="57">
        <f t="shared" si="875"/>
        <v>36</v>
      </c>
      <c r="EQ168" s="57">
        <f t="shared" si="875"/>
        <v>36</v>
      </c>
      <c r="ER168" s="57">
        <f t="shared" si="875"/>
        <v>36</v>
      </c>
      <c r="ES168" s="57">
        <f t="shared" si="875"/>
        <v>36</v>
      </c>
      <c r="ET168" s="57">
        <f t="shared" si="875"/>
        <v>36</v>
      </c>
      <c r="EU168" s="57">
        <f t="shared" si="875"/>
        <v>36</v>
      </c>
      <c r="EV168" s="57">
        <f t="shared" si="875"/>
        <v>36</v>
      </c>
      <c r="EW168" s="57">
        <f t="shared" si="875"/>
        <v>36</v>
      </c>
      <c r="EX168" s="57">
        <f t="shared" si="875"/>
        <v>36</v>
      </c>
      <c r="EY168" s="57">
        <f t="shared" si="875"/>
        <v>36</v>
      </c>
      <c r="EZ168" s="57">
        <f t="shared" si="875"/>
        <v>36</v>
      </c>
      <c r="FA168" s="57">
        <f t="shared" si="875"/>
        <v>36</v>
      </c>
      <c r="FB168" s="57">
        <f t="shared" si="875"/>
        <v>36</v>
      </c>
      <c r="FC168" s="57">
        <f t="shared" si="875"/>
        <v>36</v>
      </c>
      <c r="FD168" s="57">
        <f t="shared" si="875"/>
        <v>36</v>
      </c>
      <c r="FE168" s="57">
        <f t="shared" si="875"/>
        <v>36</v>
      </c>
      <c r="FF168" s="57">
        <f t="shared" si="875"/>
        <v>36</v>
      </c>
      <c r="FG168" s="57">
        <f t="shared" si="875"/>
        <v>36</v>
      </c>
      <c r="FH168" s="57">
        <f t="shared" si="875"/>
        <v>36</v>
      </c>
      <c r="FI168" s="57">
        <f t="shared" si="875"/>
        <v>36</v>
      </c>
      <c r="FJ168" s="57">
        <f t="shared" si="875"/>
        <v>36</v>
      </c>
      <c r="FK168" s="57">
        <f t="shared" si="875"/>
        <v>36</v>
      </c>
      <c r="FL168" s="57">
        <f t="shared" si="875"/>
        <v>36</v>
      </c>
      <c r="FM168" s="57">
        <f t="shared" si="875"/>
        <v>36</v>
      </c>
      <c r="FN168" s="57">
        <f t="shared" si="875"/>
        <v>36</v>
      </c>
      <c r="FO168" s="57">
        <f t="shared" si="875"/>
        <v>36</v>
      </c>
      <c r="FP168" s="57">
        <f t="shared" si="875"/>
        <v>36</v>
      </c>
      <c r="FQ168" s="57">
        <f t="shared" si="875"/>
        <v>36</v>
      </c>
      <c r="FR168" s="57">
        <f t="shared" si="875"/>
        <v>36</v>
      </c>
      <c r="FS168" s="57">
        <f t="shared" si="875"/>
        <v>36</v>
      </c>
      <c r="FT168" s="57">
        <f t="shared" si="875"/>
        <v>36</v>
      </c>
      <c r="FU168" s="57">
        <f t="shared" si="875"/>
        <v>36</v>
      </c>
      <c r="FV168" s="57">
        <f t="shared" si="875"/>
        <v>36</v>
      </c>
      <c r="FW168" s="57">
        <f t="shared" si="875"/>
        <v>36</v>
      </c>
      <c r="FX168" s="57">
        <f t="shared" si="875"/>
        <v>36</v>
      </c>
      <c r="FY168" s="57">
        <f t="shared" si="875"/>
        <v>36</v>
      </c>
      <c r="FZ168" s="59"/>
    </row>
    <row r="169" spans="1:182" s="293" customFormat="1" hidden="1" outlineLevel="1" x14ac:dyDescent="0.2">
      <c r="A169" s="83"/>
      <c r="B169" s="84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85"/>
      <c r="EF169" s="85"/>
      <c r="EG169" s="85"/>
      <c r="EH169" s="85"/>
      <c r="EI169" s="85"/>
      <c r="EJ169" s="85"/>
      <c r="EK169" s="85"/>
      <c r="EL169" s="85"/>
      <c r="EM169" s="85"/>
      <c r="EN169" s="85"/>
      <c r="EO169" s="85"/>
      <c r="EP169" s="85"/>
      <c r="EQ169" s="85"/>
      <c r="ER169" s="85"/>
      <c r="ES169" s="85"/>
      <c r="ET169" s="85"/>
      <c r="EU169" s="85"/>
      <c r="EV169" s="85"/>
      <c r="EW169" s="85"/>
      <c r="EX169" s="85"/>
      <c r="EY169" s="85"/>
      <c r="EZ169" s="85"/>
      <c r="FA169" s="85"/>
      <c r="FB169" s="85"/>
      <c r="FC169" s="85"/>
      <c r="FD169" s="85"/>
      <c r="FE169" s="85"/>
      <c r="FF169" s="85"/>
      <c r="FG169" s="85"/>
      <c r="FH169" s="85"/>
      <c r="FI169" s="85"/>
      <c r="FJ169" s="85"/>
      <c r="FK169" s="85"/>
      <c r="FL169" s="85"/>
      <c r="FM169" s="85"/>
      <c r="FN169" s="85"/>
      <c r="FO169" s="85"/>
      <c r="FP169" s="85"/>
      <c r="FQ169" s="85"/>
      <c r="FR169" s="85"/>
      <c r="FS169" s="85"/>
      <c r="FT169" s="85"/>
      <c r="FU169" s="85"/>
      <c r="FV169" s="85"/>
      <c r="FW169" s="85"/>
      <c r="FX169" s="85"/>
      <c r="FY169" s="85"/>
      <c r="FZ169" s="86"/>
    </row>
    <row r="170" spans="1:182" hidden="1" outlineLevel="1" x14ac:dyDescent="0.2">
      <c r="A170" s="81" t="s">
        <v>152</v>
      </c>
      <c r="B170" s="8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2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2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2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2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80"/>
      <c r="CW170" s="80"/>
      <c r="CX170" s="80"/>
      <c r="CY170" s="80"/>
      <c r="CZ170" s="80"/>
      <c r="DA170" s="80"/>
      <c r="DB170" s="80"/>
      <c r="DC170" s="80"/>
      <c r="DD170" s="80"/>
      <c r="DE170" s="80"/>
      <c r="DF170" s="80"/>
      <c r="DG170" s="80"/>
      <c r="DH170" s="80"/>
      <c r="DI170" s="80"/>
      <c r="DJ170" s="80"/>
      <c r="DK170" s="80"/>
      <c r="DL170" s="80"/>
      <c r="DM170" s="80"/>
      <c r="DN170" s="80"/>
      <c r="DO170" s="80"/>
      <c r="DP170" s="80"/>
      <c r="DQ170" s="80"/>
      <c r="DR170" s="80"/>
      <c r="DS170" s="80"/>
      <c r="DT170" s="80"/>
      <c r="DU170" s="80"/>
      <c r="DV170" s="80"/>
      <c r="DW170" s="80"/>
      <c r="DX170" s="80"/>
      <c r="DY170" s="80"/>
      <c r="DZ170" s="80"/>
      <c r="EA170" s="80"/>
      <c r="EB170" s="80"/>
      <c r="EC170" s="80"/>
      <c r="ED170" s="80"/>
      <c r="EE170" s="80"/>
      <c r="EF170" s="80"/>
      <c r="EG170" s="80"/>
      <c r="EH170" s="80"/>
      <c r="EI170" s="80"/>
      <c r="EJ170" s="80"/>
      <c r="EK170" s="80"/>
      <c r="EL170" s="80"/>
      <c r="EM170" s="80"/>
      <c r="EN170" s="80"/>
      <c r="EO170" s="80"/>
      <c r="EP170" s="80"/>
      <c r="EQ170" s="80"/>
      <c r="ER170" s="80"/>
      <c r="ES170" s="80"/>
      <c r="ET170" s="80"/>
      <c r="EU170" s="80"/>
      <c r="EV170" s="80"/>
      <c r="EW170" s="80"/>
      <c r="EX170" s="80"/>
      <c r="EY170" s="80"/>
      <c r="EZ170" s="80"/>
      <c r="FA170" s="80"/>
      <c r="FB170" s="80"/>
      <c r="FC170" s="80"/>
      <c r="FD170" s="80"/>
      <c r="FE170" s="80"/>
      <c r="FF170" s="80"/>
      <c r="FG170" s="80"/>
      <c r="FH170" s="80"/>
      <c r="FI170" s="80"/>
      <c r="FJ170" s="80"/>
      <c r="FK170" s="80"/>
      <c r="FL170" s="80"/>
      <c r="FM170" s="80"/>
      <c r="FN170" s="80"/>
      <c r="FO170" s="80"/>
      <c r="FP170" s="80"/>
      <c r="FQ170" s="80"/>
      <c r="FR170" s="80"/>
      <c r="FS170" s="80"/>
      <c r="FT170" s="80"/>
      <c r="FU170" s="80"/>
      <c r="FV170" s="80"/>
      <c r="FW170" s="80"/>
      <c r="FX170" s="80"/>
      <c r="FY170" s="80"/>
      <c r="FZ170" s="80"/>
    </row>
    <row r="171" spans="1:182" s="293" customFormat="1" hidden="1" outlineLevel="1" x14ac:dyDescent="0.2">
      <c r="A171" s="83" t="s">
        <v>186</v>
      </c>
      <c r="B171" s="84">
        <f>(1/B140^IF((48-B138+1)&lt;0,0,(48-B138+1))-(1/B140^IF(((B175)-B138+1)&lt;0,0,((B175)-B138+1))))/(B140-1)</f>
        <v>-9.9284478699314782</v>
      </c>
      <c r="C171" s="85">
        <f t="shared" ref="C171:BH171" si="876">(1/C140^IF((48-C138+1)&lt;0,0,(48-C138+1))-(1/C140^IF(((C175)-C138+1)&lt;0,0,((C175)-C138+1))))/(C140-1)</f>
        <v>-9.971820252898242</v>
      </c>
      <c r="D171" s="85">
        <f t="shared" si="876"/>
        <v>-10.015382107938397</v>
      </c>
      <c r="E171" s="85">
        <f t="shared" si="876"/>
        <v>-10.059134262760049</v>
      </c>
      <c r="F171" s="85">
        <f t="shared" si="876"/>
        <v>-10.103077548686924</v>
      </c>
      <c r="G171" s="85">
        <f t="shared" si="876"/>
        <v>-10.147212800674479</v>
      </c>
      <c r="H171" s="85">
        <f t="shared" si="876"/>
        <v>-10.191540857325606</v>
      </c>
      <c r="I171" s="85">
        <f t="shared" si="876"/>
        <v>-10.236062560906669</v>
      </c>
      <c r="J171" s="85">
        <f t="shared" si="876"/>
        <v>-10.280778757363464</v>
      </c>
      <c r="K171" s="85">
        <f t="shared" si="876"/>
        <v>-10.325690296337335</v>
      </c>
      <c r="L171" s="85">
        <f t="shared" si="876"/>
        <v>-10.370798031181257</v>
      </c>
      <c r="M171" s="85">
        <f t="shared" si="876"/>
        <v>-10.416102818976105</v>
      </c>
      <c r="N171" s="85">
        <f t="shared" si="876"/>
        <v>-10.461605520546838</v>
      </c>
      <c r="O171" s="85">
        <f t="shared" si="876"/>
        <v>-10.507307000478871</v>
      </c>
      <c r="P171" s="85">
        <f t="shared" si="876"/>
        <v>-10.553208127134743</v>
      </c>
      <c r="Q171" s="85">
        <f t="shared" si="876"/>
        <v>-10.599309772670306</v>
      </c>
      <c r="R171" s="85">
        <f t="shared" si="876"/>
        <v>-10.645612813051404</v>
      </c>
      <c r="S171" s="85">
        <f t="shared" si="876"/>
        <v>-10.692118128070657</v>
      </c>
      <c r="T171" s="85">
        <f t="shared" si="876"/>
        <v>-10.738826601363897</v>
      </c>
      <c r="U171" s="85">
        <f t="shared" si="876"/>
        <v>-10.78573912042728</v>
      </c>
      <c r="V171" s="85">
        <f t="shared" si="876"/>
        <v>-10.832856576633818</v>
      </c>
      <c r="W171" s="85">
        <f t="shared" si="876"/>
        <v>-10.88017986525068</v>
      </c>
      <c r="X171" s="85">
        <f t="shared" si="876"/>
        <v>-10.927709885455764</v>
      </c>
      <c r="Y171" s="85">
        <f t="shared" si="876"/>
        <v>-10.975447540355153</v>
      </c>
      <c r="Z171" s="85">
        <f t="shared" si="876"/>
        <v>-11.023393737000152</v>
      </c>
      <c r="AA171" s="85">
        <f t="shared" si="876"/>
        <v>-11.071549386404531</v>
      </c>
      <c r="AB171" s="85">
        <f t="shared" si="876"/>
        <v>-11.119915403561818</v>
      </c>
      <c r="AC171" s="85">
        <f t="shared" si="876"/>
        <v>-11.168492707462649</v>
      </c>
      <c r="AD171" s="85">
        <f t="shared" si="876"/>
        <v>-11.217282221112288</v>
      </c>
      <c r="AE171" s="85">
        <f t="shared" si="876"/>
        <v>-11.266284871548079</v>
      </c>
      <c r="AF171" s="85">
        <f t="shared" si="876"/>
        <v>-11.315501589857206</v>
      </c>
      <c r="AG171" s="85">
        <f t="shared" si="876"/>
        <v>-11.364933311194267</v>
      </c>
      <c r="AH171" s="85">
        <f t="shared" si="876"/>
        <v>-11.414580974799108</v>
      </c>
      <c r="AI171" s="85">
        <f t="shared" si="876"/>
        <v>-11.464445524014613</v>
      </c>
      <c r="AJ171" s="85">
        <f t="shared" si="876"/>
        <v>-11.514527906304647</v>
      </c>
      <c r="AK171" s="85">
        <f t="shared" si="876"/>
        <v>-11.564829073272147</v>
      </c>
      <c r="AL171" s="85">
        <f t="shared" si="876"/>
        <v>-11.615349980677049</v>
      </c>
      <c r="AM171" s="85">
        <f t="shared" si="876"/>
        <v>-11.666091588454478</v>
      </c>
      <c r="AN171" s="85">
        <f t="shared" si="876"/>
        <v>-10.717054860733144</v>
      </c>
      <c r="AO171" s="85">
        <f t="shared" si="876"/>
        <v>-9.7638722700386715</v>
      </c>
      <c r="AP171" s="85">
        <f t="shared" si="876"/>
        <v>-8.8065257051860577</v>
      </c>
      <c r="AQ171" s="85">
        <f t="shared" si="876"/>
        <v>-7.8449969758716236</v>
      </c>
      <c r="AR171" s="85">
        <f t="shared" si="876"/>
        <v>-6.8792678123274458</v>
      </c>
      <c r="AS171" s="85">
        <f t="shared" si="876"/>
        <v>-5.9093198649741243</v>
      </c>
      <c r="AT171" s="85">
        <f t="shared" si="876"/>
        <v>-4.9351347040723015</v>
      </c>
      <c r="AU171" s="85">
        <f t="shared" si="876"/>
        <v>-3.9566938193722483</v>
      </c>
      <c r="AV171" s="85">
        <f t="shared" si="876"/>
        <v>-2.9739786197624354</v>
      </c>
      <c r="AW171" s="85">
        <f t="shared" si="876"/>
        <v>-1.9869704329160223</v>
      </c>
      <c r="AX171" s="85">
        <f t="shared" si="876"/>
        <v>-0.99565050493622309</v>
      </c>
      <c r="AY171" s="85">
        <f t="shared" si="876"/>
        <v>0</v>
      </c>
      <c r="AZ171" s="85">
        <f t="shared" si="876"/>
        <v>0</v>
      </c>
      <c r="BA171" s="85">
        <f t="shared" si="876"/>
        <v>0</v>
      </c>
      <c r="BB171" s="85">
        <f t="shared" si="876"/>
        <v>0</v>
      </c>
      <c r="BC171" s="85">
        <f t="shared" si="876"/>
        <v>0</v>
      </c>
      <c r="BD171" s="85">
        <f t="shared" si="876"/>
        <v>0</v>
      </c>
      <c r="BE171" s="85">
        <f t="shared" si="876"/>
        <v>0</v>
      </c>
      <c r="BF171" s="85">
        <f t="shared" si="876"/>
        <v>0</v>
      </c>
      <c r="BG171" s="85">
        <f t="shared" si="876"/>
        <v>0</v>
      </c>
      <c r="BH171" s="85">
        <f t="shared" si="876"/>
        <v>0</v>
      </c>
      <c r="BI171" s="85">
        <f t="shared" ref="BI171:DP171" si="877">(1/BI140^IF((48-BI138+1)&lt;0,0,(48-BI138+1))-(1/BI140^IF(((BI175)-BI138+1)&lt;0,0,((BI175)-BI138+1))))/(BI140-1)</f>
        <v>0</v>
      </c>
      <c r="BJ171" s="85">
        <f t="shared" si="877"/>
        <v>0</v>
      </c>
      <c r="BK171" s="85">
        <f t="shared" si="877"/>
        <v>0</v>
      </c>
      <c r="BL171" s="85">
        <f t="shared" si="877"/>
        <v>0</v>
      </c>
      <c r="BM171" s="85">
        <f t="shared" si="877"/>
        <v>0</v>
      </c>
      <c r="BN171" s="85">
        <f t="shared" si="877"/>
        <v>0</v>
      </c>
      <c r="BO171" s="85">
        <f t="shared" si="877"/>
        <v>0</v>
      </c>
      <c r="BP171" s="85">
        <f t="shared" si="877"/>
        <v>0</v>
      </c>
      <c r="BQ171" s="85">
        <f t="shared" si="877"/>
        <v>0</v>
      </c>
      <c r="BR171" s="85">
        <f t="shared" si="877"/>
        <v>0</v>
      </c>
      <c r="BS171" s="85">
        <f t="shared" si="877"/>
        <v>0</v>
      </c>
      <c r="BT171" s="85">
        <f t="shared" si="877"/>
        <v>0</v>
      </c>
      <c r="BU171" s="85">
        <f t="shared" si="877"/>
        <v>0</v>
      </c>
      <c r="BV171" s="85">
        <f t="shared" si="877"/>
        <v>0</v>
      </c>
      <c r="BW171" s="85">
        <f t="shared" si="877"/>
        <v>0</v>
      </c>
      <c r="BX171" s="85">
        <f t="shared" si="877"/>
        <v>0</v>
      </c>
      <c r="BY171" s="85">
        <f t="shared" si="877"/>
        <v>0</v>
      </c>
      <c r="BZ171" s="85">
        <f t="shared" si="877"/>
        <v>0</v>
      </c>
      <c r="CA171" s="85">
        <f t="shared" si="877"/>
        <v>0</v>
      </c>
      <c r="CB171" s="85">
        <f t="shared" si="877"/>
        <v>0</v>
      </c>
      <c r="CC171" s="85">
        <f t="shared" si="877"/>
        <v>0</v>
      </c>
      <c r="CD171" s="85">
        <f t="shared" si="877"/>
        <v>0</v>
      </c>
      <c r="CE171" s="85">
        <f t="shared" si="877"/>
        <v>0</v>
      </c>
      <c r="CF171" s="85">
        <f t="shared" si="877"/>
        <v>0</v>
      </c>
      <c r="CG171" s="85">
        <f t="shared" si="877"/>
        <v>0</v>
      </c>
      <c r="CH171" s="85">
        <f t="shared" si="877"/>
        <v>0</v>
      </c>
      <c r="CI171" s="85">
        <f t="shared" si="877"/>
        <v>0</v>
      </c>
      <c r="CJ171" s="85">
        <f t="shared" si="877"/>
        <v>0</v>
      </c>
      <c r="CK171" s="85">
        <f t="shared" si="877"/>
        <v>0</v>
      </c>
      <c r="CL171" s="85">
        <f t="shared" si="877"/>
        <v>0</v>
      </c>
      <c r="CM171" s="85">
        <f t="shared" si="877"/>
        <v>0</v>
      </c>
      <c r="CN171" s="85">
        <f t="shared" si="877"/>
        <v>0</v>
      </c>
      <c r="CO171" s="85">
        <f t="shared" si="877"/>
        <v>0</v>
      </c>
      <c r="CP171" s="85">
        <f t="shared" si="877"/>
        <v>0</v>
      </c>
      <c r="CQ171" s="85">
        <f t="shared" si="877"/>
        <v>0</v>
      </c>
      <c r="CR171" s="85">
        <f t="shared" si="877"/>
        <v>0</v>
      </c>
      <c r="CS171" s="85">
        <f t="shared" si="877"/>
        <v>0</v>
      </c>
      <c r="CT171" s="85">
        <f t="shared" si="877"/>
        <v>0</v>
      </c>
      <c r="CU171" s="85">
        <f t="shared" si="877"/>
        <v>0</v>
      </c>
      <c r="CV171" s="85">
        <f t="shared" si="877"/>
        <v>0</v>
      </c>
      <c r="CW171" s="85">
        <f t="shared" si="877"/>
        <v>0</v>
      </c>
      <c r="CX171" s="85">
        <f t="shared" si="877"/>
        <v>0</v>
      </c>
      <c r="CY171" s="85">
        <f t="shared" si="877"/>
        <v>0</v>
      </c>
      <c r="CZ171" s="85">
        <f t="shared" si="877"/>
        <v>0</v>
      </c>
      <c r="DA171" s="85">
        <f t="shared" si="877"/>
        <v>0</v>
      </c>
      <c r="DB171" s="85">
        <f t="shared" si="877"/>
        <v>0</v>
      </c>
      <c r="DC171" s="85">
        <f t="shared" si="877"/>
        <v>0</v>
      </c>
      <c r="DD171" s="85">
        <f t="shared" si="877"/>
        <v>0</v>
      </c>
      <c r="DE171" s="85">
        <f t="shared" si="877"/>
        <v>0</v>
      </c>
      <c r="DF171" s="85">
        <f t="shared" si="877"/>
        <v>0</v>
      </c>
      <c r="DG171" s="85">
        <f t="shared" si="877"/>
        <v>0</v>
      </c>
      <c r="DH171" s="85">
        <f t="shared" si="877"/>
        <v>0</v>
      </c>
      <c r="DI171" s="85">
        <f t="shared" si="877"/>
        <v>0</v>
      </c>
      <c r="DJ171" s="85">
        <f t="shared" si="877"/>
        <v>0</v>
      </c>
      <c r="DK171" s="85">
        <f t="shared" si="877"/>
        <v>0</v>
      </c>
      <c r="DL171" s="85">
        <f t="shared" si="877"/>
        <v>0</v>
      </c>
      <c r="DM171" s="85">
        <f t="shared" si="877"/>
        <v>0</v>
      </c>
      <c r="DN171" s="85">
        <f t="shared" si="877"/>
        <v>0</v>
      </c>
      <c r="DO171" s="85">
        <f t="shared" si="877"/>
        <v>0</v>
      </c>
      <c r="DP171" s="85">
        <f t="shared" si="877"/>
        <v>0</v>
      </c>
      <c r="DQ171" s="85">
        <f t="shared" ref="DQ171:FY171" si="878">(1/DQ140^IF((48-DQ138+1)&lt;0,0,(48-DQ138+1))-(1/DQ140^IF(((DQ175)-DQ138+1)&lt;0,0,((DQ175)-DQ138+1))))/(DQ140-1)</f>
        <v>0</v>
      </c>
      <c r="DR171" s="85">
        <f t="shared" si="878"/>
        <v>0</v>
      </c>
      <c r="DS171" s="85">
        <f t="shared" si="878"/>
        <v>0</v>
      </c>
      <c r="DT171" s="85">
        <f t="shared" si="878"/>
        <v>0</v>
      </c>
      <c r="DU171" s="85">
        <f t="shared" si="878"/>
        <v>0</v>
      </c>
      <c r="DV171" s="85">
        <f t="shared" si="878"/>
        <v>0</v>
      </c>
      <c r="DW171" s="85">
        <f t="shared" si="878"/>
        <v>0</v>
      </c>
      <c r="DX171" s="85">
        <f t="shared" si="878"/>
        <v>0</v>
      </c>
      <c r="DY171" s="85">
        <f t="shared" si="878"/>
        <v>0</v>
      </c>
      <c r="DZ171" s="85">
        <f t="shared" si="878"/>
        <v>0</v>
      </c>
      <c r="EA171" s="85">
        <f t="shared" si="878"/>
        <v>0</v>
      </c>
      <c r="EB171" s="85">
        <f t="shared" si="878"/>
        <v>0</v>
      </c>
      <c r="EC171" s="85">
        <f t="shared" si="878"/>
        <v>0</v>
      </c>
      <c r="ED171" s="85">
        <f t="shared" si="878"/>
        <v>0</v>
      </c>
      <c r="EE171" s="85">
        <f t="shared" si="878"/>
        <v>0</v>
      </c>
      <c r="EF171" s="85">
        <f t="shared" si="878"/>
        <v>0</v>
      </c>
      <c r="EG171" s="85">
        <f t="shared" si="878"/>
        <v>0</v>
      </c>
      <c r="EH171" s="85">
        <f t="shared" si="878"/>
        <v>0</v>
      </c>
      <c r="EI171" s="85">
        <f t="shared" si="878"/>
        <v>0</v>
      </c>
      <c r="EJ171" s="85">
        <f t="shared" si="878"/>
        <v>0</v>
      </c>
      <c r="EK171" s="85">
        <f t="shared" si="878"/>
        <v>0</v>
      </c>
      <c r="EL171" s="85">
        <f t="shared" si="878"/>
        <v>0</v>
      </c>
      <c r="EM171" s="85">
        <f t="shared" si="878"/>
        <v>0</v>
      </c>
      <c r="EN171" s="85">
        <f t="shared" si="878"/>
        <v>0</v>
      </c>
      <c r="EO171" s="85">
        <f t="shared" si="878"/>
        <v>0</v>
      </c>
      <c r="EP171" s="85">
        <f t="shared" si="878"/>
        <v>0</v>
      </c>
      <c r="EQ171" s="85">
        <f t="shared" si="878"/>
        <v>0</v>
      </c>
      <c r="ER171" s="85">
        <f t="shared" si="878"/>
        <v>0</v>
      </c>
      <c r="ES171" s="85">
        <f t="shared" si="878"/>
        <v>0</v>
      </c>
      <c r="ET171" s="85">
        <f t="shared" si="878"/>
        <v>0</v>
      </c>
      <c r="EU171" s="85">
        <f t="shared" si="878"/>
        <v>0</v>
      </c>
      <c r="EV171" s="85">
        <f t="shared" si="878"/>
        <v>0</v>
      </c>
      <c r="EW171" s="85">
        <f t="shared" si="878"/>
        <v>0</v>
      </c>
      <c r="EX171" s="85">
        <f t="shared" si="878"/>
        <v>0</v>
      </c>
      <c r="EY171" s="85">
        <f t="shared" si="878"/>
        <v>0</v>
      </c>
      <c r="EZ171" s="85">
        <f t="shared" si="878"/>
        <v>0</v>
      </c>
      <c r="FA171" s="85">
        <f t="shared" si="878"/>
        <v>0</v>
      </c>
      <c r="FB171" s="85">
        <f t="shared" si="878"/>
        <v>0</v>
      </c>
      <c r="FC171" s="85">
        <f t="shared" si="878"/>
        <v>0</v>
      </c>
      <c r="FD171" s="85">
        <f t="shared" si="878"/>
        <v>0</v>
      </c>
      <c r="FE171" s="85">
        <f t="shared" si="878"/>
        <v>0</v>
      </c>
      <c r="FF171" s="85">
        <f t="shared" si="878"/>
        <v>0</v>
      </c>
      <c r="FG171" s="85">
        <f t="shared" si="878"/>
        <v>0</v>
      </c>
      <c r="FH171" s="85">
        <f t="shared" si="878"/>
        <v>0</v>
      </c>
      <c r="FI171" s="85">
        <f t="shared" si="878"/>
        <v>0</v>
      </c>
      <c r="FJ171" s="85">
        <f t="shared" si="878"/>
        <v>0</v>
      </c>
      <c r="FK171" s="85">
        <f t="shared" si="878"/>
        <v>0</v>
      </c>
      <c r="FL171" s="85">
        <f t="shared" si="878"/>
        <v>0</v>
      </c>
      <c r="FM171" s="85">
        <f t="shared" si="878"/>
        <v>0</v>
      </c>
      <c r="FN171" s="85">
        <f t="shared" si="878"/>
        <v>0</v>
      </c>
      <c r="FO171" s="85">
        <f t="shared" si="878"/>
        <v>0</v>
      </c>
      <c r="FP171" s="85">
        <f t="shared" si="878"/>
        <v>0</v>
      </c>
      <c r="FQ171" s="85">
        <f t="shared" si="878"/>
        <v>0</v>
      </c>
      <c r="FR171" s="85">
        <f t="shared" si="878"/>
        <v>0</v>
      </c>
      <c r="FS171" s="85">
        <f t="shared" si="878"/>
        <v>0</v>
      </c>
      <c r="FT171" s="85">
        <f t="shared" si="878"/>
        <v>0</v>
      </c>
      <c r="FU171" s="85">
        <f t="shared" si="878"/>
        <v>0</v>
      </c>
      <c r="FV171" s="85">
        <f t="shared" si="878"/>
        <v>0</v>
      </c>
      <c r="FW171" s="85">
        <f t="shared" si="878"/>
        <v>0</v>
      </c>
      <c r="FX171" s="85">
        <f t="shared" si="878"/>
        <v>0</v>
      </c>
      <c r="FY171" s="85">
        <f t="shared" si="878"/>
        <v>0</v>
      </c>
      <c r="FZ171" s="86"/>
    </row>
    <row r="172" spans="1:182" s="293" customFormat="1" hidden="1" outlineLevel="1" x14ac:dyDescent="0.2">
      <c r="A172" s="83" t="s">
        <v>187</v>
      </c>
      <c r="B172" s="84">
        <f>(1/B140^IF((60-B138+1)&lt;0,0,(60-B138+1))-(1/B140^IF((12+(B175)-B138+1)&lt;0,0,(12+(B175)-B138+1))))/(B140-1)</f>
        <v>-9.4224616778318886</v>
      </c>
      <c r="C172" s="85">
        <f t="shared" ref="C172:AW172" si="879">(1/C140^IF((60-C138+1)&lt;0,0,(60-C138+1))-(1/C140^IF((12+(C175)-C138+1)&lt;0,0,(12+(C175)-C138+1))))/(C140-1)</f>
        <v>-9.4636236622361771</v>
      </c>
      <c r="D172" s="85">
        <f t="shared" si="879"/>
        <v>-9.5049654625970703</v>
      </c>
      <c r="E172" s="85">
        <f t="shared" si="879"/>
        <v>-9.5464878644397242</v>
      </c>
      <c r="F172" s="85">
        <f t="shared" si="879"/>
        <v>-9.5881916567210421</v>
      </c>
      <c r="G172" s="85">
        <f t="shared" si="879"/>
        <v>-9.6300776318443884</v>
      </c>
      <c r="H172" s="85">
        <f t="shared" si="879"/>
        <v>-9.6721465856748328</v>
      </c>
      <c r="I172" s="85">
        <f t="shared" si="879"/>
        <v>-9.7143993175539727</v>
      </c>
      <c r="J172" s="85">
        <f t="shared" si="879"/>
        <v>-9.7568366303155614</v>
      </c>
      <c r="K172" s="85">
        <f t="shared" si="879"/>
        <v>-9.7994593303002429</v>
      </c>
      <c r="L172" s="85">
        <f t="shared" si="879"/>
        <v>-9.8422682273714699</v>
      </c>
      <c r="M172" s="85">
        <f t="shared" si="879"/>
        <v>-9.8852641349303383</v>
      </c>
      <c r="N172" s="85">
        <f t="shared" si="879"/>
        <v>-9.9284478699314782</v>
      </c>
      <c r="O172" s="85">
        <f t="shared" si="879"/>
        <v>-9.971820252898242</v>
      </c>
      <c r="P172" s="85">
        <f t="shared" si="879"/>
        <v>-10.015382107938397</v>
      </c>
      <c r="Q172" s="85">
        <f t="shared" si="879"/>
        <v>-10.059134262760049</v>
      </c>
      <c r="R172" s="85">
        <f t="shared" si="879"/>
        <v>-10.103077548686924</v>
      </c>
      <c r="S172" s="85">
        <f t="shared" si="879"/>
        <v>-10.147212800674479</v>
      </c>
      <c r="T172" s="85">
        <f t="shared" si="879"/>
        <v>-10.191540857325606</v>
      </c>
      <c r="U172" s="85">
        <f t="shared" si="879"/>
        <v>-10.236062560906669</v>
      </c>
      <c r="V172" s="85">
        <f t="shared" si="879"/>
        <v>-10.280778757363464</v>
      </c>
      <c r="W172" s="85">
        <f t="shared" si="879"/>
        <v>-10.325690296337335</v>
      </c>
      <c r="X172" s="85">
        <f t="shared" si="879"/>
        <v>-10.370798031181257</v>
      </c>
      <c r="Y172" s="85">
        <f t="shared" si="879"/>
        <v>-10.416102818976105</v>
      </c>
      <c r="Z172" s="85">
        <f t="shared" si="879"/>
        <v>-10.461605520546838</v>
      </c>
      <c r="AA172" s="85">
        <f t="shared" si="879"/>
        <v>-10.507307000478871</v>
      </c>
      <c r="AB172" s="85">
        <f t="shared" si="879"/>
        <v>-10.553208127134743</v>
      </c>
      <c r="AC172" s="85">
        <f t="shared" si="879"/>
        <v>-10.599309772670306</v>
      </c>
      <c r="AD172" s="85">
        <f t="shared" si="879"/>
        <v>-10.645612813051404</v>
      </c>
      <c r="AE172" s="85">
        <f t="shared" si="879"/>
        <v>-10.692118128070657</v>
      </c>
      <c r="AF172" s="85">
        <f t="shared" si="879"/>
        <v>-10.738826601363897</v>
      </c>
      <c r="AG172" s="85">
        <f t="shared" si="879"/>
        <v>-10.78573912042728</v>
      </c>
      <c r="AH172" s="85">
        <f t="shared" si="879"/>
        <v>-10.832856576633818</v>
      </c>
      <c r="AI172" s="85">
        <f t="shared" si="879"/>
        <v>-10.88017986525068</v>
      </c>
      <c r="AJ172" s="85">
        <f t="shared" si="879"/>
        <v>-10.927709885455764</v>
      </c>
      <c r="AK172" s="85">
        <f t="shared" si="879"/>
        <v>-10.975447540355153</v>
      </c>
      <c r="AL172" s="85">
        <f t="shared" si="879"/>
        <v>-11.023393737000152</v>
      </c>
      <c r="AM172" s="85">
        <f t="shared" si="879"/>
        <v>-11.071549386404531</v>
      </c>
      <c r="AN172" s="85">
        <f t="shared" si="879"/>
        <v>-11.119915403561818</v>
      </c>
      <c r="AO172" s="85">
        <f t="shared" si="879"/>
        <v>-11.168492707462649</v>
      </c>
      <c r="AP172" s="85">
        <f t="shared" si="879"/>
        <v>-11.217282221112288</v>
      </c>
      <c r="AQ172" s="85">
        <f t="shared" si="879"/>
        <v>-11.266284871548079</v>
      </c>
      <c r="AR172" s="85">
        <f t="shared" si="879"/>
        <v>-11.315501589857206</v>
      </c>
      <c r="AS172" s="85">
        <f t="shared" si="879"/>
        <v>-11.364933311194267</v>
      </c>
      <c r="AT172" s="85">
        <f t="shared" si="879"/>
        <v>-11.414580974799108</v>
      </c>
      <c r="AU172" s="85">
        <f t="shared" si="879"/>
        <v>-11.464445524014613</v>
      </c>
      <c r="AV172" s="85">
        <f t="shared" si="879"/>
        <v>-11.514527906304647</v>
      </c>
      <c r="AW172" s="85">
        <f t="shared" si="879"/>
        <v>-11.564829073272147</v>
      </c>
      <c r="AX172" s="85">
        <f>(1/AX140^IF((60-AX138+1+(AX138-48-1))&lt;0,0,(60-AX138+1+(AX138-48-1)))-(1/AX140^IF((12+(AX175)-AX138+1)&lt;0,0,(12+(AX175)-AX138+1))))/(AX140-1)</f>
        <v>-10.670441083518254</v>
      </c>
      <c r="AY172" s="85">
        <f t="shared" ref="AY172:BH172" si="880">(1/AY140^IF((60-AY138+1+(AY138-48-1))&lt;0,0,(60-AY138+1+(AY138-48-1)))-(1/AY140^IF((12+(AY175)-AY138+1)&lt;0,0,(12+(AY175)-AY138+1))))/(AY140-1)</f>
        <v>-11.666091588454478</v>
      </c>
      <c r="AZ172" s="85">
        <f t="shared" si="880"/>
        <v>-11.666091588454478</v>
      </c>
      <c r="BA172" s="85">
        <f t="shared" si="880"/>
        <v>-11.666091588454478</v>
      </c>
      <c r="BB172" s="85">
        <f t="shared" si="880"/>
        <v>-11.666091588454478</v>
      </c>
      <c r="BC172" s="85">
        <f t="shared" si="880"/>
        <v>-11.666091588454478</v>
      </c>
      <c r="BD172" s="85">
        <f t="shared" si="880"/>
        <v>-11.666091588454478</v>
      </c>
      <c r="BE172" s="85">
        <f t="shared" si="880"/>
        <v>-11.666091588454478</v>
      </c>
      <c r="BF172" s="85">
        <f t="shared" si="880"/>
        <v>-11.666091588454478</v>
      </c>
      <c r="BG172" s="85">
        <f t="shared" si="880"/>
        <v>-11.666091588454478</v>
      </c>
      <c r="BH172" s="85">
        <f t="shared" si="880"/>
        <v>-11.666091588454478</v>
      </c>
      <c r="BI172" s="85">
        <f t="shared" ref="BI172:DP172" si="881">(1/BI140^IF((60-BI138+1+(BI138-48-1))&lt;0,0,(60-BI138+1+(BI138-48-1)))-(1/BI140^IF((12+(BI175)-BI138+1)&lt;0,0,(12+(BI175)-BI138+1))))/(BI140-1)</f>
        <v>-11.666091588454478</v>
      </c>
      <c r="BJ172" s="85">
        <f t="shared" si="881"/>
        <v>-11.666091588454478</v>
      </c>
      <c r="BK172" s="85">
        <f t="shared" si="881"/>
        <v>-11.666091588454478</v>
      </c>
      <c r="BL172" s="85">
        <f t="shared" si="881"/>
        <v>-11.666091588454478</v>
      </c>
      <c r="BM172" s="85">
        <f t="shared" si="881"/>
        <v>-11.666091588454478</v>
      </c>
      <c r="BN172" s="85">
        <f t="shared" si="881"/>
        <v>-11.666091588454478</v>
      </c>
      <c r="BO172" s="85">
        <f t="shared" si="881"/>
        <v>-11.666091588454478</v>
      </c>
      <c r="BP172" s="85">
        <f t="shared" si="881"/>
        <v>-11.666091588454478</v>
      </c>
      <c r="BQ172" s="85">
        <f t="shared" si="881"/>
        <v>-11.666091588454478</v>
      </c>
      <c r="BR172" s="85">
        <f t="shared" si="881"/>
        <v>-11.666091588454478</v>
      </c>
      <c r="BS172" s="85">
        <f t="shared" si="881"/>
        <v>-11.666091588454478</v>
      </c>
      <c r="BT172" s="85">
        <f t="shared" si="881"/>
        <v>-11.666091588454478</v>
      </c>
      <c r="BU172" s="85">
        <f t="shared" si="881"/>
        <v>-11.666091588454478</v>
      </c>
      <c r="BV172" s="85">
        <f t="shared" si="881"/>
        <v>-11.666091588454478</v>
      </c>
      <c r="BW172" s="85">
        <f t="shared" si="881"/>
        <v>-11.666091588454478</v>
      </c>
      <c r="BX172" s="85">
        <f t="shared" si="881"/>
        <v>-11.666091588454478</v>
      </c>
      <c r="BY172" s="85">
        <f t="shared" si="881"/>
        <v>-11.666091588454478</v>
      </c>
      <c r="BZ172" s="85">
        <f t="shared" si="881"/>
        <v>-11.666091588454478</v>
      </c>
      <c r="CA172" s="85">
        <f t="shared" si="881"/>
        <v>-11.666091588454478</v>
      </c>
      <c r="CB172" s="85">
        <f t="shared" si="881"/>
        <v>-11.666091588454478</v>
      </c>
      <c r="CC172" s="85">
        <f t="shared" si="881"/>
        <v>-11.666091588454478</v>
      </c>
      <c r="CD172" s="85">
        <f t="shared" si="881"/>
        <v>-11.666091588454478</v>
      </c>
      <c r="CE172" s="85">
        <f t="shared" si="881"/>
        <v>-11.666091588454478</v>
      </c>
      <c r="CF172" s="85">
        <f t="shared" si="881"/>
        <v>-11.666091588454478</v>
      </c>
      <c r="CG172" s="85">
        <f t="shared" si="881"/>
        <v>-11.666091588454478</v>
      </c>
      <c r="CH172" s="85">
        <f t="shared" si="881"/>
        <v>-11.666091588454478</v>
      </c>
      <c r="CI172" s="85">
        <f t="shared" si="881"/>
        <v>-11.666091588454478</v>
      </c>
      <c r="CJ172" s="85">
        <f t="shared" si="881"/>
        <v>-11.666091588454478</v>
      </c>
      <c r="CK172" s="85">
        <f t="shared" si="881"/>
        <v>-11.666091588454478</v>
      </c>
      <c r="CL172" s="85">
        <f t="shared" si="881"/>
        <v>-11.666091588454478</v>
      </c>
      <c r="CM172" s="85">
        <f t="shared" si="881"/>
        <v>-11.666091588454478</v>
      </c>
      <c r="CN172" s="85">
        <f t="shared" si="881"/>
        <v>-11.666091588454478</v>
      </c>
      <c r="CO172" s="85">
        <f t="shared" si="881"/>
        <v>-11.666091588454478</v>
      </c>
      <c r="CP172" s="85">
        <f t="shared" si="881"/>
        <v>-11.666091588454478</v>
      </c>
      <c r="CQ172" s="85">
        <f t="shared" si="881"/>
        <v>-11.666091588454478</v>
      </c>
      <c r="CR172" s="85">
        <f t="shared" si="881"/>
        <v>-11.666091588454478</v>
      </c>
      <c r="CS172" s="85">
        <f t="shared" si="881"/>
        <v>-11.666091588454478</v>
      </c>
      <c r="CT172" s="85">
        <f t="shared" si="881"/>
        <v>-11.666091588454478</v>
      </c>
      <c r="CU172" s="85">
        <f t="shared" si="881"/>
        <v>-11.666091588454478</v>
      </c>
      <c r="CV172" s="85">
        <f t="shared" si="881"/>
        <v>-11.666091588454478</v>
      </c>
      <c r="CW172" s="85">
        <f t="shared" si="881"/>
        <v>-11.666091588454478</v>
      </c>
      <c r="CX172" s="85">
        <f t="shared" si="881"/>
        <v>-11.666091588454478</v>
      </c>
      <c r="CY172" s="85">
        <f t="shared" si="881"/>
        <v>-11.666091588454478</v>
      </c>
      <c r="CZ172" s="85">
        <f t="shared" si="881"/>
        <v>-11.666091588454478</v>
      </c>
      <c r="DA172" s="85">
        <f t="shared" si="881"/>
        <v>-11.666091588454478</v>
      </c>
      <c r="DB172" s="85">
        <f t="shared" si="881"/>
        <v>-11.666091588454478</v>
      </c>
      <c r="DC172" s="85">
        <f t="shared" si="881"/>
        <v>-11.666091588454478</v>
      </c>
      <c r="DD172" s="85">
        <f t="shared" si="881"/>
        <v>-11.666091588454478</v>
      </c>
      <c r="DE172" s="85">
        <f t="shared" si="881"/>
        <v>-11.666091588454478</v>
      </c>
      <c r="DF172" s="85">
        <f t="shared" si="881"/>
        <v>-11.666091588454478</v>
      </c>
      <c r="DG172" s="85">
        <f t="shared" si="881"/>
        <v>-11.666091588454478</v>
      </c>
      <c r="DH172" s="85">
        <f t="shared" si="881"/>
        <v>-11.666091588454478</v>
      </c>
      <c r="DI172" s="85">
        <f t="shared" si="881"/>
        <v>-11.666091588454478</v>
      </c>
      <c r="DJ172" s="85">
        <f t="shared" si="881"/>
        <v>-11.666091588454478</v>
      </c>
      <c r="DK172" s="85">
        <f t="shared" si="881"/>
        <v>-11.666091588454478</v>
      </c>
      <c r="DL172" s="85">
        <f t="shared" si="881"/>
        <v>-11.666091588454478</v>
      </c>
      <c r="DM172" s="85">
        <f t="shared" si="881"/>
        <v>-11.666091588454478</v>
      </c>
      <c r="DN172" s="85">
        <f t="shared" si="881"/>
        <v>-11.666091588454478</v>
      </c>
      <c r="DO172" s="85">
        <f t="shared" si="881"/>
        <v>-11.666091588454478</v>
      </c>
      <c r="DP172" s="85">
        <f t="shared" si="881"/>
        <v>-11.666091588454478</v>
      </c>
      <c r="DQ172" s="85">
        <f t="shared" ref="DQ172:FY172" si="882">(1/DQ140^IF((60-DQ138+1+(DQ138-48-1))&lt;0,0,(60-DQ138+1+(DQ138-48-1)))-(1/DQ140^IF((12+(DQ175)-DQ138+1)&lt;0,0,(12+(DQ175)-DQ138+1))))/(DQ140-1)</f>
        <v>-11.666091588454478</v>
      </c>
      <c r="DR172" s="85">
        <f t="shared" si="882"/>
        <v>-11.666091588454478</v>
      </c>
      <c r="DS172" s="85">
        <f t="shared" si="882"/>
        <v>-11.666091588454478</v>
      </c>
      <c r="DT172" s="85">
        <f t="shared" si="882"/>
        <v>-11.666091588454478</v>
      </c>
      <c r="DU172" s="85">
        <f t="shared" si="882"/>
        <v>-11.666091588454478</v>
      </c>
      <c r="DV172" s="85">
        <f t="shared" si="882"/>
        <v>-11.666091588454478</v>
      </c>
      <c r="DW172" s="85">
        <f t="shared" si="882"/>
        <v>-11.666091588454478</v>
      </c>
      <c r="DX172" s="85">
        <f t="shared" si="882"/>
        <v>-11.666091588454478</v>
      </c>
      <c r="DY172" s="85">
        <f t="shared" si="882"/>
        <v>-11.666091588454478</v>
      </c>
      <c r="DZ172" s="85">
        <f t="shared" si="882"/>
        <v>-11.666091588454478</v>
      </c>
      <c r="EA172" s="85">
        <f t="shared" si="882"/>
        <v>-11.666091588454478</v>
      </c>
      <c r="EB172" s="85">
        <f t="shared" si="882"/>
        <v>-11.666091588454478</v>
      </c>
      <c r="EC172" s="85">
        <f t="shared" si="882"/>
        <v>-11.666091588454478</v>
      </c>
      <c r="ED172" s="85">
        <f t="shared" si="882"/>
        <v>-11.666091588454478</v>
      </c>
      <c r="EE172" s="85">
        <f t="shared" si="882"/>
        <v>-11.666091588454478</v>
      </c>
      <c r="EF172" s="85">
        <f t="shared" si="882"/>
        <v>-11.666091588454478</v>
      </c>
      <c r="EG172" s="85">
        <f t="shared" si="882"/>
        <v>-11.666091588454478</v>
      </c>
      <c r="EH172" s="85">
        <f t="shared" si="882"/>
        <v>-11.666091588454478</v>
      </c>
      <c r="EI172" s="85">
        <f t="shared" si="882"/>
        <v>-11.666091588454478</v>
      </c>
      <c r="EJ172" s="85">
        <f t="shared" si="882"/>
        <v>-11.666091588454478</v>
      </c>
      <c r="EK172" s="85">
        <f t="shared" si="882"/>
        <v>-11.666091588454478</v>
      </c>
      <c r="EL172" s="85">
        <f t="shared" si="882"/>
        <v>-11.666091588454478</v>
      </c>
      <c r="EM172" s="85">
        <f t="shared" si="882"/>
        <v>-11.666091588454478</v>
      </c>
      <c r="EN172" s="85">
        <f t="shared" si="882"/>
        <v>-11.666091588454478</v>
      </c>
      <c r="EO172" s="85">
        <f t="shared" si="882"/>
        <v>-11.666091588454478</v>
      </c>
      <c r="EP172" s="85">
        <f t="shared" si="882"/>
        <v>-11.666091588454478</v>
      </c>
      <c r="EQ172" s="85">
        <f t="shared" si="882"/>
        <v>-11.666091588454478</v>
      </c>
      <c r="ER172" s="85">
        <f t="shared" si="882"/>
        <v>-11.666091588454478</v>
      </c>
      <c r="ES172" s="85">
        <f t="shared" si="882"/>
        <v>-11.666091588454478</v>
      </c>
      <c r="ET172" s="85">
        <f t="shared" si="882"/>
        <v>-11.666091588454478</v>
      </c>
      <c r="EU172" s="85">
        <f t="shared" si="882"/>
        <v>-11.666091588454478</v>
      </c>
      <c r="EV172" s="85">
        <f t="shared" si="882"/>
        <v>-11.666091588454478</v>
      </c>
      <c r="EW172" s="85">
        <f t="shared" si="882"/>
        <v>-11.666091588454478</v>
      </c>
      <c r="EX172" s="85">
        <f t="shared" si="882"/>
        <v>-11.666091588454478</v>
      </c>
      <c r="EY172" s="85">
        <f t="shared" si="882"/>
        <v>-11.666091588454478</v>
      </c>
      <c r="EZ172" s="85">
        <f t="shared" si="882"/>
        <v>-11.666091588454478</v>
      </c>
      <c r="FA172" s="85">
        <f t="shared" si="882"/>
        <v>-11.666091588454478</v>
      </c>
      <c r="FB172" s="85">
        <f t="shared" si="882"/>
        <v>-11.666091588454478</v>
      </c>
      <c r="FC172" s="85">
        <f t="shared" si="882"/>
        <v>-11.666091588454478</v>
      </c>
      <c r="FD172" s="85">
        <f t="shared" si="882"/>
        <v>-11.666091588454478</v>
      </c>
      <c r="FE172" s="85">
        <f t="shared" si="882"/>
        <v>-11.666091588454478</v>
      </c>
      <c r="FF172" s="85">
        <f t="shared" si="882"/>
        <v>-11.666091588454478</v>
      </c>
      <c r="FG172" s="85">
        <f t="shared" si="882"/>
        <v>-11.666091588454478</v>
      </c>
      <c r="FH172" s="85">
        <f t="shared" si="882"/>
        <v>-11.666091588454478</v>
      </c>
      <c r="FI172" s="85">
        <f t="shared" si="882"/>
        <v>-11.666091588454478</v>
      </c>
      <c r="FJ172" s="85">
        <f t="shared" si="882"/>
        <v>-11.666091588454478</v>
      </c>
      <c r="FK172" s="85">
        <f t="shared" si="882"/>
        <v>-11.666091588454478</v>
      </c>
      <c r="FL172" s="85">
        <f t="shared" si="882"/>
        <v>-11.666091588454478</v>
      </c>
      <c r="FM172" s="85">
        <f t="shared" si="882"/>
        <v>-11.666091588454478</v>
      </c>
      <c r="FN172" s="85">
        <f t="shared" si="882"/>
        <v>-11.666091588454478</v>
      </c>
      <c r="FO172" s="85">
        <f t="shared" si="882"/>
        <v>-11.666091588454478</v>
      </c>
      <c r="FP172" s="85">
        <f t="shared" si="882"/>
        <v>-11.666091588454478</v>
      </c>
      <c r="FQ172" s="85">
        <f t="shared" si="882"/>
        <v>-11.666091588454478</v>
      </c>
      <c r="FR172" s="85">
        <f t="shared" si="882"/>
        <v>-11.666091588454478</v>
      </c>
      <c r="FS172" s="85">
        <f t="shared" si="882"/>
        <v>-11.666091588454478</v>
      </c>
      <c r="FT172" s="85">
        <f t="shared" si="882"/>
        <v>-11.666091588454478</v>
      </c>
      <c r="FU172" s="85">
        <f t="shared" si="882"/>
        <v>-11.666091588454478</v>
      </c>
      <c r="FV172" s="85">
        <f t="shared" si="882"/>
        <v>-11.666091588454478</v>
      </c>
      <c r="FW172" s="85">
        <f t="shared" si="882"/>
        <v>-11.666091588454478</v>
      </c>
      <c r="FX172" s="85">
        <f t="shared" si="882"/>
        <v>-11.666091588454478</v>
      </c>
      <c r="FY172" s="85">
        <f t="shared" si="882"/>
        <v>-11.666091588454478</v>
      </c>
      <c r="FZ172" s="86"/>
    </row>
    <row r="173" spans="1:182" s="293" customFormat="1" hidden="1" outlineLevel="1" x14ac:dyDescent="0.2">
      <c r="A173" s="83" t="s">
        <v>188</v>
      </c>
      <c r="B173" s="84">
        <f>(1/B140^IF((72-B138+1)&lt;0,0,(72-B138+1))-(1/B140^IF((24+(B175)-B138+1)&lt;0,0,(24+(B175)-B138+1))))/(B140-1)</f>
        <v>-8.9422621978096046</v>
      </c>
      <c r="C173" s="85">
        <f t="shared" ref="C173:AW173" si="883">(1/C140^IF((72-C138+1)&lt;0,0,(72-C138+1))-(1/C140^IF((24+(C175)-C138+1)&lt;0,0,(24+(C175)-C138+1))))/(C140-1)</f>
        <v>-8.981326432795095</v>
      </c>
      <c r="D173" s="85">
        <f t="shared" si="883"/>
        <v>-9.0205613197276016</v>
      </c>
      <c r="E173" s="85">
        <f t="shared" si="883"/>
        <v>-9.0599676040995138</v>
      </c>
      <c r="F173" s="85">
        <f t="shared" si="883"/>
        <v>-9.0995460346598538</v>
      </c>
      <c r="G173" s="85">
        <f t="shared" si="883"/>
        <v>-9.1392973634283727</v>
      </c>
      <c r="H173" s="85">
        <f t="shared" si="883"/>
        <v>-9.1792223457102242</v>
      </c>
      <c r="I173" s="85">
        <f t="shared" si="883"/>
        <v>-9.2193217401101304</v>
      </c>
      <c r="J173" s="85">
        <f t="shared" si="883"/>
        <v>-9.2595963085465822</v>
      </c>
      <c r="K173" s="85">
        <f t="shared" si="883"/>
        <v>-9.3000468162667396</v>
      </c>
      <c r="L173" s="85">
        <f t="shared" si="883"/>
        <v>-9.3406740318605284</v>
      </c>
      <c r="M173" s="85">
        <f t="shared" si="883"/>
        <v>-9.381478727275665</v>
      </c>
      <c r="N173" s="85">
        <f t="shared" si="883"/>
        <v>-9.4224616778318886</v>
      </c>
      <c r="O173" s="85">
        <f t="shared" si="883"/>
        <v>-9.4636236622361771</v>
      </c>
      <c r="P173" s="85">
        <f t="shared" si="883"/>
        <v>-9.5049654625970703</v>
      </c>
      <c r="Q173" s="85">
        <f t="shared" si="883"/>
        <v>-9.5464878644397242</v>
      </c>
      <c r="R173" s="85">
        <f t="shared" si="883"/>
        <v>-9.5881916567210421</v>
      </c>
      <c r="S173" s="85">
        <f t="shared" si="883"/>
        <v>-9.6300776318443884</v>
      </c>
      <c r="T173" s="85">
        <f t="shared" si="883"/>
        <v>-9.6721465856748328</v>
      </c>
      <c r="U173" s="85">
        <f t="shared" si="883"/>
        <v>-9.7143993175539727</v>
      </c>
      <c r="V173" s="85">
        <f t="shared" si="883"/>
        <v>-9.7568366303155614</v>
      </c>
      <c r="W173" s="85">
        <f t="shared" si="883"/>
        <v>-9.7994593303002429</v>
      </c>
      <c r="X173" s="85">
        <f t="shared" si="883"/>
        <v>-9.8422682273714699</v>
      </c>
      <c r="Y173" s="85">
        <f t="shared" si="883"/>
        <v>-9.8852641349303383</v>
      </c>
      <c r="Z173" s="85">
        <f t="shared" si="883"/>
        <v>-9.9284478699314782</v>
      </c>
      <c r="AA173" s="85">
        <f t="shared" si="883"/>
        <v>-9.971820252898242</v>
      </c>
      <c r="AB173" s="85">
        <f t="shared" si="883"/>
        <v>-10.015382107938397</v>
      </c>
      <c r="AC173" s="85">
        <f t="shared" si="883"/>
        <v>-10.059134262760049</v>
      </c>
      <c r="AD173" s="85">
        <f t="shared" si="883"/>
        <v>-10.103077548686924</v>
      </c>
      <c r="AE173" s="85">
        <f t="shared" si="883"/>
        <v>-10.147212800674479</v>
      </c>
      <c r="AF173" s="85">
        <f t="shared" si="883"/>
        <v>-10.191540857325606</v>
      </c>
      <c r="AG173" s="85">
        <f t="shared" si="883"/>
        <v>-10.236062560906669</v>
      </c>
      <c r="AH173" s="85">
        <f t="shared" si="883"/>
        <v>-10.280778757363464</v>
      </c>
      <c r="AI173" s="85">
        <f t="shared" si="883"/>
        <v>-10.325690296337335</v>
      </c>
      <c r="AJ173" s="85">
        <f t="shared" si="883"/>
        <v>-10.370798031181257</v>
      </c>
      <c r="AK173" s="85">
        <f t="shared" si="883"/>
        <v>-10.416102818976105</v>
      </c>
      <c r="AL173" s="85">
        <f t="shared" si="883"/>
        <v>-10.461605520546838</v>
      </c>
      <c r="AM173" s="85">
        <f t="shared" si="883"/>
        <v>-10.507307000478871</v>
      </c>
      <c r="AN173" s="85">
        <f t="shared" si="883"/>
        <v>-10.553208127134743</v>
      </c>
      <c r="AO173" s="85">
        <f t="shared" si="883"/>
        <v>-10.599309772670306</v>
      </c>
      <c r="AP173" s="85">
        <f t="shared" si="883"/>
        <v>-10.645612813051404</v>
      </c>
      <c r="AQ173" s="85">
        <f t="shared" si="883"/>
        <v>-10.692118128070657</v>
      </c>
      <c r="AR173" s="85">
        <f t="shared" si="883"/>
        <v>-10.738826601363897</v>
      </c>
      <c r="AS173" s="85">
        <f t="shared" si="883"/>
        <v>-10.78573912042728</v>
      </c>
      <c r="AT173" s="85">
        <f t="shared" si="883"/>
        <v>-10.832856576633818</v>
      </c>
      <c r="AU173" s="85">
        <f t="shared" si="883"/>
        <v>-10.88017986525068</v>
      </c>
      <c r="AV173" s="85">
        <f t="shared" si="883"/>
        <v>-10.927709885455764</v>
      </c>
      <c r="AW173" s="85">
        <f t="shared" si="883"/>
        <v>-10.975447540355153</v>
      </c>
      <c r="AX173" s="85">
        <f>(1/AX140^IF((72-AX138+1+(AX138-48-1))&lt;0,0,(72-AX138+1+(AX138-48-1)))-(1/AX140^IF((24+(AX175)-AX138+1)&lt;0,0,(24+(AX175)-AX138+1))))/(AX140-1)</f>
        <v>-10.126640489245736</v>
      </c>
      <c r="AY173" s="85">
        <f t="shared" ref="AY173:BH173" si="884">(1/AY140^IF((72-AY138+1+(AY138-48-1))&lt;0,0,(72-AY138+1+(AY138-48-1)))-(1/AY140^IF((24+(AY175)-AY138+1)&lt;0,0,(24+(AY175)-AY138+1))))/(AY140-1)</f>
        <v>-11.071549386404531</v>
      </c>
      <c r="AZ173" s="85">
        <f t="shared" si="884"/>
        <v>-12.020586114125864</v>
      </c>
      <c r="BA173" s="85">
        <f t="shared" si="884"/>
        <v>-12.973768704820337</v>
      </c>
      <c r="BB173" s="85">
        <f t="shared" si="884"/>
        <v>-13.931115269672951</v>
      </c>
      <c r="BC173" s="85">
        <f t="shared" si="884"/>
        <v>-14.892643998987385</v>
      </c>
      <c r="BD173" s="85">
        <f t="shared" si="884"/>
        <v>-15.858373162531562</v>
      </c>
      <c r="BE173" s="85">
        <f t="shared" si="884"/>
        <v>-16.828321109884882</v>
      </c>
      <c r="BF173" s="85">
        <f t="shared" si="884"/>
        <v>-17.802506270786708</v>
      </c>
      <c r="BG173" s="85">
        <f t="shared" si="884"/>
        <v>-18.780947155486761</v>
      </c>
      <c r="BH173" s="85">
        <f t="shared" si="884"/>
        <v>-19.763662355096571</v>
      </c>
      <c r="BI173" s="85">
        <f t="shared" ref="BI173:DP173" si="885">(1/BI140^IF((72-BI138+1+(BI138-48-1))&lt;0,0,(72-BI138+1+(BI138-48-1)))-(1/BI140^IF((24+(BI175)-BI138+1)&lt;0,0,(24+(BI175)-BI138+1))))/(BI140-1)</f>
        <v>-20.750670541942984</v>
      </c>
      <c r="BJ173" s="85">
        <f t="shared" si="885"/>
        <v>-21.741990469922786</v>
      </c>
      <c r="BK173" s="85">
        <f t="shared" si="885"/>
        <v>-22.737640974859008</v>
      </c>
      <c r="BL173" s="85">
        <f t="shared" si="885"/>
        <v>-22.737640974859008</v>
      </c>
      <c r="BM173" s="85">
        <f t="shared" si="885"/>
        <v>-22.737640974859008</v>
      </c>
      <c r="BN173" s="85">
        <f t="shared" si="885"/>
        <v>-22.737640974859008</v>
      </c>
      <c r="BO173" s="85">
        <f t="shared" si="885"/>
        <v>-22.737640974859008</v>
      </c>
      <c r="BP173" s="85">
        <f t="shared" si="885"/>
        <v>-22.737640974859008</v>
      </c>
      <c r="BQ173" s="85">
        <f t="shared" si="885"/>
        <v>-22.737640974859008</v>
      </c>
      <c r="BR173" s="85">
        <f t="shared" si="885"/>
        <v>-22.737640974859008</v>
      </c>
      <c r="BS173" s="85">
        <f t="shared" si="885"/>
        <v>-22.737640974859008</v>
      </c>
      <c r="BT173" s="85">
        <f t="shared" si="885"/>
        <v>-22.737640974859008</v>
      </c>
      <c r="BU173" s="85">
        <f t="shared" si="885"/>
        <v>-22.737640974859008</v>
      </c>
      <c r="BV173" s="85">
        <f t="shared" si="885"/>
        <v>-22.737640974859008</v>
      </c>
      <c r="BW173" s="85">
        <f t="shared" si="885"/>
        <v>-22.737640974859008</v>
      </c>
      <c r="BX173" s="85">
        <f t="shared" si="885"/>
        <v>-22.737640974859008</v>
      </c>
      <c r="BY173" s="85">
        <f t="shared" si="885"/>
        <v>-22.737640974859008</v>
      </c>
      <c r="BZ173" s="85">
        <f t="shared" si="885"/>
        <v>-22.737640974859008</v>
      </c>
      <c r="CA173" s="85">
        <f t="shared" si="885"/>
        <v>-22.737640974859008</v>
      </c>
      <c r="CB173" s="85">
        <f t="shared" si="885"/>
        <v>-22.737640974859008</v>
      </c>
      <c r="CC173" s="85">
        <f t="shared" si="885"/>
        <v>-22.737640974859008</v>
      </c>
      <c r="CD173" s="85">
        <f t="shared" si="885"/>
        <v>-22.737640974859008</v>
      </c>
      <c r="CE173" s="85">
        <f t="shared" si="885"/>
        <v>-22.737640974859008</v>
      </c>
      <c r="CF173" s="85">
        <f t="shared" si="885"/>
        <v>-22.737640974859008</v>
      </c>
      <c r="CG173" s="85">
        <f t="shared" si="885"/>
        <v>-22.737640974859008</v>
      </c>
      <c r="CH173" s="85">
        <f t="shared" si="885"/>
        <v>-22.737640974859008</v>
      </c>
      <c r="CI173" s="85">
        <f t="shared" si="885"/>
        <v>-22.737640974859008</v>
      </c>
      <c r="CJ173" s="85">
        <f t="shared" si="885"/>
        <v>-22.737640974859008</v>
      </c>
      <c r="CK173" s="85">
        <f t="shared" si="885"/>
        <v>-22.737640974859008</v>
      </c>
      <c r="CL173" s="85">
        <f t="shared" si="885"/>
        <v>-22.737640974859008</v>
      </c>
      <c r="CM173" s="85">
        <f t="shared" si="885"/>
        <v>-22.737640974859008</v>
      </c>
      <c r="CN173" s="85">
        <f t="shared" si="885"/>
        <v>-22.737640974859008</v>
      </c>
      <c r="CO173" s="85">
        <f t="shared" si="885"/>
        <v>-22.737640974859008</v>
      </c>
      <c r="CP173" s="85">
        <f t="shared" si="885"/>
        <v>-22.737640974859008</v>
      </c>
      <c r="CQ173" s="85">
        <f t="shared" si="885"/>
        <v>-22.737640974859008</v>
      </c>
      <c r="CR173" s="85">
        <f t="shared" si="885"/>
        <v>-22.737640974859008</v>
      </c>
      <c r="CS173" s="85">
        <f t="shared" si="885"/>
        <v>-22.737640974859008</v>
      </c>
      <c r="CT173" s="85">
        <f t="shared" si="885"/>
        <v>-22.737640974859008</v>
      </c>
      <c r="CU173" s="85">
        <f t="shared" si="885"/>
        <v>-22.737640974859008</v>
      </c>
      <c r="CV173" s="85">
        <f t="shared" si="885"/>
        <v>-22.737640974859008</v>
      </c>
      <c r="CW173" s="85">
        <f t="shared" si="885"/>
        <v>-22.737640974859008</v>
      </c>
      <c r="CX173" s="85">
        <f t="shared" si="885"/>
        <v>-22.737640974859008</v>
      </c>
      <c r="CY173" s="85">
        <f t="shared" si="885"/>
        <v>-22.737640974859008</v>
      </c>
      <c r="CZ173" s="85">
        <f t="shared" si="885"/>
        <v>-22.737640974859008</v>
      </c>
      <c r="DA173" s="85">
        <f t="shared" si="885"/>
        <v>-22.737640974859008</v>
      </c>
      <c r="DB173" s="85">
        <f t="shared" si="885"/>
        <v>-22.737640974859008</v>
      </c>
      <c r="DC173" s="85">
        <f t="shared" si="885"/>
        <v>-22.737640974859008</v>
      </c>
      <c r="DD173" s="85">
        <f t="shared" si="885"/>
        <v>-22.737640974859008</v>
      </c>
      <c r="DE173" s="85">
        <f t="shared" si="885"/>
        <v>-22.737640974859008</v>
      </c>
      <c r="DF173" s="85">
        <f t="shared" si="885"/>
        <v>-22.737640974859008</v>
      </c>
      <c r="DG173" s="85">
        <f t="shared" si="885"/>
        <v>-22.737640974859008</v>
      </c>
      <c r="DH173" s="85">
        <f t="shared" si="885"/>
        <v>-22.737640974859008</v>
      </c>
      <c r="DI173" s="85">
        <f t="shared" si="885"/>
        <v>-22.737640974859008</v>
      </c>
      <c r="DJ173" s="85">
        <f t="shared" si="885"/>
        <v>-22.737640974859008</v>
      </c>
      <c r="DK173" s="85">
        <f t="shared" si="885"/>
        <v>-22.737640974859008</v>
      </c>
      <c r="DL173" s="85">
        <f t="shared" si="885"/>
        <v>-22.737640974859008</v>
      </c>
      <c r="DM173" s="85">
        <f t="shared" si="885"/>
        <v>-22.737640974859008</v>
      </c>
      <c r="DN173" s="85">
        <f t="shared" si="885"/>
        <v>-22.737640974859008</v>
      </c>
      <c r="DO173" s="85">
        <f t="shared" si="885"/>
        <v>-22.737640974859008</v>
      </c>
      <c r="DP173" s="85">
        <f t="shared" si="885"/>
        <v>-22.737640974859008</v>
      </c>
      <c r="DQ173" s="85">
        <f t="shared" ref="DQ173:FY173" si="886">(1/DQ140^IF((72-DQ138+1+(DQ138-48-1))&lt;0,0,(72-DQ138+1+(DQ138-48-1)))-(1/DQ140^IF((24+(DQ175)-DQ138+1)&lt;0,0,(24+(DQ175)-DQ138+1))))/(DQ140-1)</f>
        <v>-22.737640974859008</v>
      </c>
      <c r="DR173" s="85">
        <f t="shared" si="886"/>
        <v>-22.737640974859008</v>
      </c>
      <c r="DS173" s="85">
        <f t="shared" si="886"/>
        <v>-22.737640974859008</v>
      </c>
      <c r="DT173" s="85">
        <f t="shared" si="886"/>
        <v>-22.737640974859008</v>
      </c>
      <c r="DU173" s="85">
        <f t="shared" si="886"/>
        <v>-22.737640974859008</v>
      </c>
      <c r="DV173" s="85">
        <f t="shared" si="886"/>
        <v>-22.737640974859008</v>
      </c>
      <c r="DW173" s="85">
        <f t="shared" si="886"/>
        <v>-22.737640974859008</v>
      </c>
      <c r="DX173" s="85">
        <f t="shared" si="886"/>
        <v>-22.737640974859008</v>
      </c>
      <c r="DY173" s="85">
        <f t="shared" si="886"/>
        <v>-22.737640974859008</v>
      </c>
      <c r="DZ173" s="85">
        <f t="shared" si="886"/>
        <v>-22.737640974859008</v>
      </c>
      <c r="EA173" s="85">
        <f t="shared" si="886"/>
        <v>-22.737640974859008</v>
      </c>
      <c r="EB173" s="85">
        <f t="shared" si="886"/>
        <v>-22.737640974859008</v>
      </c>
      <c r="EC173" s="85">
        <f t="shared" si="886"/>
        <v>-22.737640974859008</v>
      </c>
      <c r="ED173" s="85">
        <f t="shared" si="886"/>
        <v>-22.737640974859008</v>
      </c>
      <c r="EE173" s="85">
        <f t="shared" si="886"/>
        <v>-22.737640974859008</v>
      </c>
      <c r="EF173" s="85">
        <f t="shared" si="886"/>
        <v>-22.737640974859008</v>
      </c>
      <c r="EG173" s="85">
        <f t="shared" si="886"/>
        <v>-22.737640974859008</v>
      </c>
      <c r="EH173" s="85">
        <f t="shared" si="886"/>
        <v>-22.737640974859008</v>
      </c>
      <c r="EI173" s="85">
        <f t="shared" si="886"/>
        <v>-22.737640974859008</v>
      </c>
      <c r="EJ173" s="85">
        <f t="shared" si="886"/>
        <v>-22.737640974859008</v>
      </c>
      <c r="EK173" s="85">
        <f t="shared" si="886"/>
        <v>-22.737640974859008</v>
      </c>
      <c r="EL173" s="85">
        <f t="shared" si="886"/>
        <v>-22.737640974859008</v>
      </c>
      <c r="EM173" s="85">
        <f t="shared" si="886"/>
        <v>-22.737640974859008</v>
      </c>
      <c r="EN173" s="85">
        <f t="shared" si="886"/>
        <v>-22.737640974859008</v>
      </c>
      <c r="EO173" s="85">
        <f t="shared" si="886"/>
        <v>-22.737640974859008</v>
      </c>
      <c r="EP173" s="85">
        <f t="shared" si="886"/>
        <v>-22.737640974859008</v>
      </c>
      <c r="EQ173" s="85">
        <f t="shared" si="886"/>
        <v>-22.737640974859008</v>
      </c>
      <c r="ER173" s="85">
        <f t="shared" si="886"/>
        <v>-22.737640974859008</v>
      </c>
      <c r="ES173" s="85">
        <f t="shared" si="886"/>
        <v>-22.737640974859008</v>
      </c>
      <c r="ET173" s="85">
        <f t="shared" si="886"/>
        <v>-22.737640974859008</v>
      </c>
      <c r="EU173" s="85">
        <f t="shared" si="886"/>
        <v>-22.737640974859008</v>
      </c>
      <c r="EV173" s="85">
        <f t="shared" si="886"/>
        <v>-22.737640974859008</v>
      </c>
      <c r="EW173" s="85">
        <f t="shared" si="886"/>
        <v>-22.737640974859008</v>
      </c>
      <c r="EX173" s="85">
        <f t="shared" si="886"/>
        <v>-22.737640974859008</v>
      </c>
      <c r="EY173" s="85">
        <f t="shared" si="886"/>
        <v>-22.737640974859008</v>
      </c>
      <c r="EZ173" s="85">
        <f t="shared" si="886"/>
        <v>-22.737640974859008</v>
      </c>
      <c r="FA173" s="85">
        <f t="shared" si="886"/>
        <v>-22.737640974859008</v>
      </c>
      <c r="FB173" s="85">
        <f t="shared" si="886"/>
        <v>-22.737640974859008</v>
      </c>
      <c r="FC173" s="85">
        <f t="shared" si="886"/>
        <v>-22.737640974859008</v>
      </c>
      <c r="FD173" s="85">
        <f t="shared" si="886"/>
        <v>-22.737640974859008</v>
      </c>
      <c r="FE173" s="85">
        <f t="shared" si="886"/>
        <v>-22.737640974859008</v>
      </c>
      <c r="FF173" s="85">
        <f t="shared" si="886"/>
        <v>-22.737640974859008</v>
      </c>
      <c r="FG173" s="85">
        <f t="shared" si="886"/>
        <v>-22.737640974859008</v>
      </c>
      <c r="FH173" s="85">
        <f t="shared" si="886"/>
        <v>-22.737640974859008</v>
      </c>
      <c r="FI173" s="85">
        <f t="shared" si="886"/>
        <v>-22.737640974859008</v>
      </c>
      <c r="FJ173" s="85">
        <f t="shared" si="886"/>
        <v>-22.737640974859008</v>
      </c>
      <c r="FK173" s="85">
        <f t="shared" si="886"/>
        <v>-22.737640974859008</v>
      </c>
      <c r="FL173" s="85">
        <f t="shared" si="886"/>
        <v>-22.737640974859008</v>
      </c>
      <c r="FM173" s="85">
        <f t="shared" si="886"/>
        <v>-22.737640974859008</v>
      </c>
      <c r="FN173" s="85">
        <f t="shared" si="886"/>
        <v>-22.737640974859008</v>
      </c>
      <c r="FO173" s="85">
        <f t="shared" si="886"/>
        <v>-22.737640974859008</v>
      </c>
      <c r="FP173" s="85">
        <f t="shared" si="886"/>
        <v>-22.737640974859008</v>
      </c>
      <c r="FQ173" s="85">
        <f t="shared" si="886"/>
        <v>-22.737640974859008</v>
      </c>
      <c r="FR173" s="85">
        <f t="shared" si="886"/>
        <v>-22.737640974859008</v>
      </c>
      <c r="FS173" s="85">
        <f t="shared" si="886"/>
        <v>-22.737640974859008</v>
      </c>
      <c r="FT173" s="85">
        <f t="shared" si="886"/>
        <v>-22.737640974859008</v>
      </c>
      <c r="FU173" s="85">
        <f t="shared" si="886"/>
        <v>-22.737640974859008</v>
      </c>
      <c r="FV173" s="85">
        <f t="shared" si="886"/>
        <v>-22.737640974859008</v>
      </c>
      <c r="FW173" s="85">
        <f t="shared" si="886"/>
        <v>-22.737640974859008</v>
      </c>
      <c r="FX173" s="85">
        <f t="shared" si="886"/>
        <v>-22.737640974859008</v>
      </c>
      <c r="FY173" s="85">
        <f t="shared" si="886"/>
        <v>-22.737640974859008</v>
      </c>
      <c r="FZ173" s="86"/>
    </row>
    <row r="174" spans="1:182" hidden="1" outlineLevel="1" x14ac:dyDescent="0.2">
      <c r="A174" s="87" t="s">
        <v>172</v>
      </c>
      <c r="B174" s="65">
        <f t="shared" ref="B174:AG174" si="887">IF(IF((5-1)*12+1&lt;B21,B21,(5-1)*12+1)&gt;B22,B22,IF((5-1)*12+1&lt;B21,B21,(5-1)*12+1))</f>
        <v>36</v>
      </c>
      <c r="C174" s="57">
        <f t="shared" si="887"/>
        <v>36</v>
      </c>
      <c r="D174" s="57">
        <f t="shared" si="887"/>
        <v>36</v>
      </c>
      <c r="E174" s="57">
        <f t="shared" si="887"/>
        <v>36</v>
      </c>
      <c r="F174" s="57">
        <f t="shared" si="887"/>
        <v>36</v>
      </c>
      <c r="G174" s="57">
        <f t="shared" si="887"/>
        <v>36</v>
      </c>
      <c r="H174" s="57">
        <f t="shared" si="887"/>
        <v>36</v>
      </c>
      <c r="I174" s="57">
        <f t="shared" si="887"/>
        <v>36</v>
      </c>
      <c r="J174" s="57">
        <f t="shared" si="887"/>
        <v>36</v>
      </c>
      <c r="K174" s="57">
        <f t="shared" si="887"/>
        <v>36</v>
      </c>
      <c r="L174" s="57">
        <f t="shared" si="887"/>
        <v>36</v>
      </c>
      <c r="M174" s="57">
        <f t="shared" si="887"/>
        <v>36</v>
      </c>
      <c r="N174" s="57">
        <f t="shared" si="887"/>
        <v>36</v>
      </c>
      <c r="O174" s="57">
        <f t="shared" si="887"/>
        <v>36</v>
      </c>
      <c r="P174" s="57">
        <f t="shared" si="887"/>
        <v>36</v>
      </c>
      <c r="Q174" s="57">
        <f t="shared" si="887"/>
        <v>36</v>
      </c>
      <c r="R174" s="57">
        <f t="shared" si="887"/>
        <v>36</v>
      </c>
      <c r="S174" s="57">
        <f t="shared" si="887"/>
        <v>36</v>
      </c>
      <c r="T174" s="57">
        <f t="shared" si="887"/>
        <v>36</v>
      </c>
      <c r="U174" s="57">
        <f t="shared" si="887"/>
        <v>36</v>
      </c>
      <c r="V174" s="57">
        <f t="shared" si="887"/>
        <v>36</v>
      </c>
      <c r="W174" s="57">
        <f t="shared" si="887"/>
        <v>36</v>
      </c>
      <c r="X174" s="57">
        <f t="shared" si="887"/>
        <v>36</v>
      </c>
      <c r="Y174" s="57">
        <f t="shared" si="887"/>
        <v>36</v>
      </c>
      <c r="Z174" s="57">
        <f t="shared" si="887"/>
        <v>36</v>
      </c>
      <c r="AA174" s="57">
        <f t="shared" si="887"/>
        <v>36</v>
      </c>
      <c r="AB174" s="57">
        <f t="shared" si="887"/>
        <v>36</v>
      </c>
      <c r="AC174" s="57">
        <f t="shared" si="887"/>
        <v>36</v>
      </c>
      <c r="AD174" s="57">
        <f t="shared" si="887"/>
        <v>36</v>
      </c>
      <c r="AE174" s="57">
        <f t="shared" si="887"/>
        <v>36</v>
      </c>
      <c r="AF174" s="57">
        <f t="shared" si="887"/>
        <v>36</v>
      </c>
      <c r="AG174" s="57">
        <f t="shared" si="887"/>
        <v>36</v>
      </c>
      <c r="AH174" s="57">
        <f t="shared" ref="AH174:BH174" si="888">IF(IF((5-1)*12+1&lt;AH21,AH21,(5-1)*12+1)&gt;AH22,AH22,IF((5-1)*12+1&lt;AH21,AH21,(5-1)*12+1))</f>
        <v>36</v>
      </c>
      <c r="AI174" s="57">
        <f t="shared" si="888"/>
        <v>36</v>
      </c>
      <c r="AJ174" s="57">
        <f t="shared" si="888"/>
        <v>36</v>
      </c>
      <c r="AK174" s="57">
        <f t="shared" si="888"/>
        <v>36</v>
      </c>
      <c r="AL174" s="57">
        <f t="shared" si="888"/>
        <v>36</v>
      </c>
      <c r="AM174" s="57">
        <f t="shared" si="888"/>
        <v>36</v>
      </c>
      <c r="AN174" s="57">
        <f t="shared" si="888"/>
        <v>36</v>
      </c>
      <c r="AO174" s="57">
        <f t="shared" si="888"/>
        <v>36</v>
      </c>
      <c r="AP174" s="57">
        <f t="shared" si="888"/>
        <v>36</v>
      </c>
      <c r="AQ174" s="57">
        <f t="shared" si="888"/>
        <v>36</v>
      </c>
      <c r="AR174" s="57">
        <f t="shared" si="888"/>
        <v>36</v>
      </c>
      <c r="AS174" s="57">
        <f t="shared" si="888"/>
        <v>36</v>
      </c>
      <c r="AT174" s="57">
        <f t="shared" si="888"/>
        <v>36</v>
      </c>
      <c r="AU174" s="57">
        <f t="shared" si="888"/>
        <v>36</v>
      </c>
      <c r="AV174" s="57">
        <f t="shared" si="888"/>
        <v>36</v>
      </c>
      <c r="AW174" s="57">
        <f t="shared" si="888"/>
        <v>36</v>
      </c>
      <c r="AX174" s="57">
        <f t="shared" si="888"/>
        <v>36</v>
      </c>
      <c r="AY174" s="57">
        <f t="shared" si="888"/>
        <v>36</v>
      </c>
      <c r="AZ174" s="57">
        <f t="shared" si="888"/>
        <v>36</v>
      </c>
      <c r="BA174" s="57">
        <f t="shared" si="888"/>
        <v>36</v>
      </c>
      <c r="BB174" s="57">
        <f t="shared" si="888"/>
        <v>36</v>
      </c>
      <c r="BC174" s="57">
        <f t="shared" si="888"/>
        <v>36</v>
      </c>
      <c r="BD174" s="57">
        <f t="shared" si="888"/>
        <v>36</v>
      </c>
      <c r="BE174" s="57">
        <f t="shared" si="888"/>
        <v>36</v>
      </c>
      <c r="BF174" s="57">
        <f t="shared" si="888"/>
        <v>36</v>
      </c>
      <c r="BG174" s="57">
        <f t="shared" si="888"/>
        <v>36</v>
      </c>
      <c r="BH174" s="57">
        <f t="shared" si="888"/>
        <v>36</v>
      </c>
      <c r="BI174" s="57">
        <f t="shared" ref="BI174:DP174" si="889">IF(IF((5-1)*12+1&lt;BI21,BI21,(5-1)*12+1)&gt;BI22,BI22,IF((5-1)*12+1&lt;BI21,BI21,(5-1)*12+1))</f>
        <v>36</v>
      </c>
      <c r="BJ174" s="57">
        <f t="shared" si="889"/>
        <v>36</v>
      </c>
      <c r="BK174" s="57">
        <f t="shared" si="889"/>
        <v>36</v>
      </c>
      <c r="BL174" s="57">
        <f t="shared" si="889"/>
        <v>36</v>
      </c>
      <c r="BM174" s="57">
        <f t="shared" si="889"/>
        <v>36</v>
      </c>
      <c r="BN174" s="57">
        <f t="shared" si="889"/>
        <v>36</v>
      </c>
      <c r="BO174" s="57">
        <f t="shared" si="889"/>
        <v>36</v>
      </c>
      <c r="BP174" s="57">
        <f t="shared" si="889"/>
        <v>36</v>
      </c>
      <c r="BQ174" s="57">
        <f t="shared" si="889"/>
        <v>36</v>
      </c>
      <c r="BR174" s="57">
        <f t="shared" si="889"/>
        <v>36</v>
      </c>
      <c r="BS174" s="57">
        <f t="shared" si="889"/>
        <v>36</v>
      </c>
      <c r="BT174" s="57">
        <f t="shared" si="889"/>
        <v>36</v>
      </c>
      <c r="BU174" s="57">
        <f t="shared" si="889"/>
        <v>36</v>
      </c>
      <c r="BV174" s="57">
        <f t="shared" si="889"/>
        <v>36</v>
      </c>
      <c r="BW174" s="57">
        <f t="shared" si="889"/>
        <v>36</v>
      </c>
      <c r="BX174" s="57">
        <f t="shared" si="889"/>
        <v>36</v>
      </c>
      <c r="BY174" s="57">
        <f t="shared" si="889"/>
        <v>36</v>
      </c>
      <c r="BZ174" s="57">
        <f t="shared" si="889"/>
        <v>36</v>
      </c>
      <c r="CA174" s="57">
        <f t="shared" si="889"/>
        <v>36</v>
      </c>
      <c r="CB174" s="57">
        <f t="shared" si="889"/>
        <v>36</v>
      </c>
      <c r="CC174" s="57">
        <f t="shared" si="889"/>
        <v>36</v>
      </c>
      <c r="CD174" s="57">
        <f t="shared" si="889"/>
        <v>36</v>
      </c>
      <c r="CE174" s="57">
        <f t="shared" si="889"/>
        <v>36</v>
      </c>
      <c r="CF174" s="57">
        <f t="shared" si="889"/>
        <v>36</v>
      </c>
      <c r="CG174" s="57">
        <f t="shared" si="889"/>
        <v>36</v>
      </c>
      <c r="CH174" s="57">
        <f t="shared" si="889"/>
        <v>36</v>
      </c>
      <c r="CI174" s="57">
        <f t="shared" si="889"/>
        <v>36</v>
      </c>
      <c r="CJ174" s="57">
        <f t="shared" si="889"/>
        <v>36</v>
      </c>
      <c r="CK174" s="57">
        <f t="shared" si="889"/>
        <v>36</v>
      </c>
      <c r="CL174" s="57">
        <f t="shared" si="889"/>
        <v>36</v>
      </c>
      <c r="CM174" s="57">
        <f t="shared" si="889"/>
        <v>36</v>
      </c>
      <c r="CN174" s="57">
        <f t="shared" si="889"/>
        <v>36</v>
      </c>
      <c r="CO174" s="57">
        <f t="shared" si="889"/>
        <v>36</v>
      </c>
      <c r="CP174" s="57">
        <f t="shared" si="889"/>
        <v>36</v>
      </c>
      <c r="CQ174" s="57">
        <f t="shared" si="889"/>
        <v>36</v>
      </c>
      <c r="CR174" s="57">
        <f t="shared" si="889"/>
        <v>36</v>
      </c>
      <c r="CS174" s="57">
        <f t="shared" si="889"/>
        <v>36</v>
      </c>
      <c r="CT174" s="57">
        <f t="shared" si="889"/>
        <v>36</v>
      </c>
      <c r="CU174" s="57">
        <f t="shared" si="889"/>
        <v>36</v>
      </c>
      <c r="CV174" s="57">
        <f t="shared" si="889"/>
        <v>36</v>
      </c>
      <c r="CW174" s="57">
        <f t="shared" si="889"/>
        <v>36</v>
      </c>
      <c r="CX174" s="57">
        <f t="shared" si="889"/>
        <v>36</v>
      </c>
      <c r="CY174" s="57">
        <f t="shared" si="889"/>
        <v>36</v>
      </c>
      <c r="CZ174" s="57">
        <f t="shared" si="889"/>
        <v>36</v>
      </c>
      <c r="DA174" s="57">
        <f t="shared" si="889"/>
        <v>36</v>
      </c>
      <c r="DB174" s="57">
        <f t="shared" si="889"/>
        <v>36</v>
      </c>
      <c r="DC174" s="57">
        <f t="shared" si="889"/>
        <v>36</v>
      </c>
      <c r="DD174" s="57">
        <f t="shared" si="889"/>
        <v>36</v>
      </c>
      <c r="DE174" s="57">
        <f t="shared" si="889"/>
        <v>36</v>
      </c>
      <c r="DF174" s="57">
        <f t="shared" si="889"/>
        <v>36</v>
      </c>
      <c r="DG174" s="57">
        <f t="shared" si="889"/>
        <v>36</v>
      </c>
      <c r="DH174" s="57">
        <f t="shared" si="889"/>
        <v>36</v>
      </c>
      <c r="DI174" s="57">
        <f t="shared" si="889"/>
        <v>36</v>
      </c>
      <c r="DJ174" s="57">
        <f t="shared" si="889"/>
        <v>36</v>
      </c>
      <c r="DK174" s="57">
        <f t="shared" si="889"/>
        <v>36</v>
      </c>
      <c r="DL174" s="57">
        <f t="shared" si="889"/>
        <v>36</v>
      </c>
      <c r="DM174" s="57">
        <f t="shared" si="889"/>
        <v>36</v>
      </c>
      <c r="DN174" s="57">
        <f t="shared" si="889"/>
        <v>36</v>
      </c>
      <c r="DO174" s="57">
        <f t="shared" si="889"/>
        <v>36</v>
      </c>
      <c r="DP174" s="57">
        <f t="shared" si="889"/>
        <v>36</v>
      </c>
      <c r="DQ174" s="57">
        <f t="shared" ref="DQ174:FY174" si="890">IF(IF((5-1)*12+1&lt;DQ21,DQ21,(5-1)*12+1)&gt;DQ22,DQ22,IF((5-1)*12+1&lt;DQ21,DQ21,(5-1)*12+1))</f>
        <v>36</v>
      </c>
      <c r="DR174" s="57">
        <f t="shared" si="890"/>
        <v>36</v>
      </c>
      <c r="DS174" s="57">
        <f t="shared" si="890"/>
        <v>36</v>
      </c>
      <c r="DT174" s="57">
        <f t="shared" si="890"/>
        <v>36</v>
      </c>
      <c r="DU174" s="57">
        <f t="shared" si="890"/>
        <v>36</v>
      </c>
      <c r="DV174" s="57">
        <f t="shared" si="890"/>
        <v>36</v>
      </c>
      <c r="DW174" s="57">
        <f t="shared" si="890"/>
        <v>36</v>
      </c>
      <c r="DX174" s="57">
        <f t="shared" si="890"/>
        <v>36</v>
      </c>
      <c r="DY174" s="57">
        <f t="shared" si="890"/>
        <v>36</v>
      </c>
      <c r="DZ174" s="57">
        <f t="shared" si="890"/>
        <v>36</v>
      </c>
      <c r="EA174" s="57">
        <f t="shared" si="890"/>
        <v>36</v>
      </c>
      <c r="EB174" s="57">
        <f t="shared" si="890"/>
        <v>36</v>
      </c>
      <c r="EC174" s="57">
        <f t="shared" si="890"/>
        <v>36</v>
      </c>
      <c r="ED174" s="57">
        <f t="shared" si="890"/>
        <v>36</v>
      </c>
      <c r="EE174" s="57">
        <f t="shared" si="890"/>
        <v>36</v>
      </c>
      <c r="EF174" s="57">
        <f t="shared" si="890"/>
        <v>36</v>
      </c>
      <c r="EG174" s="57">
        <f t="shared" si="890"/>
        <v>36</v>
      </c>
      <c r="EH174" s="57">
        <f t="shared" si="890"/>
        <v>36</v>
      </c>
      <c r="EI174" s="57">
        <f t="shared" si="890"/>
        <v>36</v>
      </c>
      <c r="EJ174" s="57">
        <f t="shared" si="890"/>
        <v>36</v>
      </c>
      <c r="EK174" s="57">
        <f t="shared" si="890"/>
        <v>36</v>
      </c>
      <c r="EL174" s="57">
        <f t="shared" si="890"/>
        <v>36</v>
      </c>
      <c r="EM174" s="57">
        <f t="shared" si="890"/>
        <v>36</v>
      </c>
      <c r="EN174" s="57">
        <f t="shared" si="890"/>
        <v>36</v>
      </c>
      <c r="EO174" s="57">
        <f t="shared" si="890"/>
        <v>36</v>
      </c>
      <c r="EP174" s="57">
        <f t="shared" si="890"/>
        <v>36</v>
      </c>
      <c r="EQ174" s="57">
        <f t="shared" si="890"/>
        <v>36</v>
      </c>
      <c r="ER174" s="57">
        <f t="shared" si="890"/>
        <v>36</v>
      </c>
      <c r="ES174" s="57">
        <f t="shared" si="890"/>
        <v>36</v>
      </c>
      <c r="ET174" s="57">
        <f t="shared" si="890"/>
        <v>36</v>
      </c>
      <c r="EU174" s="57">
        <f t="shared" si="890"/>
        <v>36</v>
      </c>
      <c r="EV174" s="57">
        <f t="shared" si="890"/>
        <v>36</v>
      </c>
      <c r="EW174" s="57">
        <f t="shared" si="890"/>
        <v>36</v>
      </c>
      <c r="EX174" s="57">
        <f t="shared" si="890"/>
        <v>36</v>
      </c>
      <c r="EY174" s="57">
        <f t="shared" si="890"/>
        <v>36</v>
      </c>
      <c r="EZ174" s="57">
        <f t="shared" si="890"/>
        <v>36</v>
      </c>
      <c r="FA174" s="57">
        <f t="shared" si="890"/>
        <v>36</v>
      </c>
      <c r="FB174" s="57">
        <f t="shared" si="890"/>
        <v>36</v>
      </c>
      <c r="FC174" s="57">
        <f t="shared" si="890"/>
        <v>36</v>
      </c>
      <c r="FD174" s="57">
        <f t="shared" si="890"/>
        <v>36</v>
      </c>
      <c r="FE174" s="57">
        <f t="shared" si="890"/>
        <v>36</v>
      </c>
      <c r="FF174" s="57">
        <f t="shared" si="890"/>
        <v>36</v>
      </c>
      <c r="FG174" s="57">
        <f t="shared" si="890"/>
        <v>36</v>
      </c>
      <c r="FH174" s="57">
        <f t="shared" si="890"/>
        <v>36</v>
      </c>
      <c r="FI174" s="57">
        <f t="shared" si="890"/>
        <v>36</v>
      </c>
      <c r="FJ174" s="57">
        <f t="shared" si="890"/>
        <v>36</v>
      </c>
      <c r="FK174" s="57">
        <f t="shared" si="890"/>
        <v>36</v>
      </c>
      <c r="FL174" s="57">
        <f t="shared" si="890"/>
        <v>36</v>
      </c>
      <c r="FM174" s="57">
        <f t="shared" si="890"/>
        <v>36</v>
      </c>
      <c r="FN174" s="57">
        <f t="shared" si="890"/>
        <v>36</v>
      </c>
      <c r="FO174" s="57">
        <f t="shared" si="890"/>
        <v>36</v>
      </c>
      <c r="FP174" s="57">
        <f t="shared" si="890"/>
        <v>36</v>
      </c>
      <c r="FQ174" s="57">
        <f t="shared" si="890"/>
        <v>36</v>
      </c>
      <c r="FR174" s="57">
        <f t="shared" si="890"/>
        <v>36</v>
      </c>
      <c r="FS174" s="57">
        <f t="shared" si="890"/>
        <v>36</v>
      </c>
      <c r="FT174" s="57">
        <f t="shared" si="890"/>
        <v>36</v>
      </c>
      <c r="FU174" s="57">
        <f t="shared" si="890"/>
        <v>36</v>
      </c>
      <c r="FV174" s="57">
        <f t="shared" si="890"/>
        <v>36</v>
      </c>
      <c r="FW174" s="57">
        <f t="shared" si="890"/>
        <v>36</v>
      </c>
      <c r="FX174" s="57">
        <f t="shared" si="890"/>
        <v>36</v>
      </c>
      <c r="FY174" s="57">
        <f t="shared" si="890"/>
        <v>36</v>
      </c>
      <c r="FZ174" s="59"/>
    </row>
    <row r="175" spans="1:182" hidden="1" outlineLevel="1" x14ac:dyDescent="0.2">
      <c r="A175" s="87" t="s">
        <v>173</v>
      </c>
      <c r="B175" s="65">
        <f t="shared" ref="B175:AG175" si="891">IF(IF((5)*12&lt;B21,B21,(5)*12)&gt;B22,B22,IF((5)*12&lt;B21,B21,(5)*12))</f>
        <v>36</v>
      </c>
      <c r="C175" s="57">
        <f t="shared" si="891"/>
        <v>36</v>
      </c>
      <c r="D175" s="57">
        <f t="shared" si="891"/>
        <v>36</v>
      </c>
      <c r="E175" s="57">
        <f t="shared" si="891"/>
        <v>36</v>
      </c>
      <c r="F175" s="57">
        <f t="shared" si="891"/>
        <v>36</v>
      </c>
      <c r="G175" s="57">
        <f t="shared" si="891"/>
        <v>36</v>
      </c>
      <c r="H175" s="57">
        <f t="shared" si="891"/>
        <v>36</v>
      </c>
      <c r="I175" s="57">
        <f t="shared" si="891"/>
        <v>36</v>
      </c>
      <c r="J175" s="57">
        <f t="shared" si="891"/>
        <v>36</v>
      </c>
      <c r="K175" s="57">
        <f t="shared" si="891"/>
        <v>36</v>
      </c>
      <c r="L175" s="57">
        <f t="shared" si="891"/>
        <v>36</v>
      </c>
      <c r="M175" s="57">
        <f t="shared" si="891"/>
        <v>36</v>
      </c>
      <c r="N175" s="57">
        <f t="shared" si="891"/>
        <v>36</v>
      </c>
      <c r="O175" s="57">
        <f t="shared" si="891"/>
        <v>36</v>
      </c>
      <c r="P175" s="57">
        <f t="shared" si="891"/>
        <v>36</v>
      </c>
      <c r="Q175" s="57">
        <f t="shared" si="891"/>
        <v>36</v>
      </c>
      <c r="R175" s="57">
        <f t="shared" si="891"/>
        <v>36</v>
      </c>
      <c r="S175" s="57">
        <f t="shared" si="891"/>
        <v>36</v>
      </c>
      <c r="T175" s="57">
        <f t="shared" si="891"/>
        <v>36</v>
      </c>
      <c r="U175" s="57">
        <f t="shared" si="891"/>
        <v>36</v>
      </c>
      <c r="V175" s="57">
        <f t="shared" si="891"/>
        <v>36</v>
      </c>
      <c r="W175" s="57">
        <f t="shared" si="891"/>
        <v>36</v>
      </c>
      <c r="X175" s="57">
        <f t="shared" si="891"/>
        <v>36</v>
      </c>
      <c r="Y175" s="57">
        <f t="shared" si="891"/>
        <v>36</v>
      </c>
      <c r="Z175" s="57">
        <f t="shared" si="891"/>
        <v>36</v>
      </c>
      <c r="AA175" s="57">
        <f t="shared" si="891"/>
        <v>36</v>
      </c>
      <c r="AB175" s="57">
        <f t="shared" si="891"/>
        <v>36</v>
      </c>
      <c r="AC175" s="57">
        <f t="shared" si="891"/>
        <v>36</v>
      </c>
      <c r="AD175" s="57">
        <f t="shared" si="891"/>
        <v>36</v>
      </c>
      <c r="AE175" s="57">
        <f t="shared" si="891"/>
        <v>36</v>
      </c>
      <c r="AF175" s="57">
        <f t="shared" si="891"/>
        <v>36</v>
      </c>
      <c r="AG175" s="57">
        <f t="shared" si="891"/>
        <v>36</v>
      </c>
      <c r="AH175" s="57">
        <f t="shared" ref="AH175:BH175" si="892">IF(IF((5)*12&lt;AH21,AH21,(5)*12)&gt;AH22,AH22,IF((5)*12&lt;AH21,AH21,(5)*12))</f>
        <v>36</v>
      </c>
      <c r="AI175" s="57">
        <f t="shared" si="892"/>
        <v>36</v>
      </c>
      <c r="AJ175" s="57">
        <f t="shared" si="892"/>
        <v>36</v>
      </c>
      <c r="AK175" s="57">
        <f t="shared" si="892"/>
        <v>36</v>
      </c>
      <c r="AL175" s="57">
        <f t="shared" si="892"/>
        <v>36</v>
      </c>
      <c r="AM175" s="57">
        <f t="shared" si="892"/>
        <v>36</v>
      </c>
      <c r="AN175" s="57">
        <f t="shared" si="892"/>
        <v>36</v>
      </c>
      <c r="AO175" s="57">
        <f t="shared" si="892"/>
        <v>36</v>
      </c>
      <c r="AP175" s="57">
        <f t="shared" si="892"/>
        <v>36</v>
      </c>
      <c r="AQ175" s="57">
        <f t="shared" si="892"/>
        <v>36</v>
      </c>
      <c r="AR175" s="57">
        <f t="shared" si="892"/>
        <v>36</v>
      </c>
      <c r="AS175" s="57">
        <f t="shared" si="892"/>
        <v>36</v>
      </c>
      <c r="AT175" s="57">
        <f t="shared" si="892"/>
        <v>36</v>
      </c>
      <c r="AU175" s="57">
        <f t="shared" si="892"/>
        <v>36</v>
      </c>
      <c r="AV175" s="57">
        <f t="shared" si="892"/>
        <v>36</v>
      </c>
      <c r="AW175" s="57">
        <f t="shared" si="892"/>
        <v>36</v>
      </c>
      <c r="AX175" s="57">
        <f t="shared" si="892"/>
        <v>36</v>
      </c>
      <c r="AY175" s="57">
        <f t="shared" si="892"/>
        <v>36</v>
      </c>
      <c r="AZ175" s="57">
        <f t="shared" si="892"/>
        <v>36</v>
      </c>
      <c r="BA175" s="57">
        <f t="shared" si="892"/>
        <v>36</v>
      </c>
      <c r="BB175" s="57">
        <f t="shared" si="892"/>
        <v>36</v>
      </c>
      <c r="BC175" s="57">
        <f t="shared" si="892"/>
        <v>36</v>
      </c>
      <c r="BD175" s="57">
        <f t="shared" si="892"/>
        <v>36</v>
      </c>
      <c r="BE175" s="57">
        <f t="shared" si="892"/>
        <v>36</v>
      </c>
      <c r="BF175" s="57">
        <f t="shared" si="892"/>
        <v>36</v>
      </c>
      <c r="BG175" s="57">
        <f t="shared" si="892"/>
        <v>36</v>
      </c>
      <c r="BH175" s="57">
        <f t="shared" si="892"/>
        <v>36</v>
      </c>
      <c r="BI175" s="57">
        <f t="shared" ref="BI175:DP175" si="893">IF(IF((5)*12&lt;BI21,BI21,(5)*12)&gt;BI22,BI22,IF((5)*12&lt;BI21,BI21,(5)*12))</f>
        <v>36</v>
      </c>
      <c r="BJ175" s="57">
        <f t="shared" si="893"/>
        <v>36</v>
      </c>
      <c r="BK175" s="57">
        <f t="shared" si="893"/>
        <v>36</v>
      </c>
      <c r="BL175" s="57">
        <f t="shared" si="893"/>
        <v>36</v>
      </c>
      <c r="BM175" s="57">
        <f t="shared" si="893"/>
        <v>36</v>
      </c>
      <c r="BN175" s="57">
        <f t="shared" si="893"/>
        <v>36</v>
      </c>
      <c r="BO175" s="57">
        <f t="shared" si="893"/>
        <v>36</v>
      </c>
      <c r="BP175" s="57">
        <f t="shared" si="893"/>
        <v>36</v>
      </c>
      <c r="BQ175" s="57">
        <f t="shared" si="893"/>
        <v>36</v>
      </c>
      <c r="BR175" s="57">
        <f t="shared" si="893"/>
        <v>36</v>
      </c>
      <c r="BS175" s="57">
        <f t="shared" si="893"/>
        <v>36</v>
      </c>
      <c r="BT175" s="57">
        <f t="shared" si="893"/>
        <v>36</v>
      </c>
      <c r="BU175" s="57">
        <f t="shared" si="893"/>
        <v>36</v>
      </c>
      <c r="BV175" s="57">
        <f t="shared" si="893"/>
        <v>36</v>
      </c>
      <c r="BW175" s="57">
        <f t="shared" si="893"/>
        <v>36</v>
      </c>
      <c r="BX175" s="57">
        <f t="shared" si="893"/>
        <v>36</v>
      </c>
      <c r="BY175" s="57">
        <f t="shared" si="893"/>
        <v>36</v>
      </c>
      <c r="BZ175" s="57">
        <f t="shared" si="893"/>
        <v>36</v>
      </c>
      <c r="CA175" s="57">
        <f t="shared" si="893"/>
        <v>36</v>
      </c>
      <c r="CB175" s="57">
        <f t="shared" si="893"/>
        <v>36</v>
      </c>
      <c r="CC175" s="57">
        <f t="shared" si="893"/>
        <v>36</v>
      </c>
      <c r="CD175" s="57">
        <f t="shared" si="893"/>
        <v>36</v>
      </c>
      <c r="CE175" s="57">
        <f t="shared" si="893"/>
        <v>36</v>
      </c>
      <c r="CF175" s="57">
        <f t="shared" si="893"/>
        <v>36</v>
      </c>
      <c r="CG175" s="57">
        <f t="shared" si="893"/>
        <v>36</v>
      </c>
      <c r="CH175" s="57">
        <f t="shared" si="893"/>
        <v>36</v>
      </c>
      <c r="CI175" s="57">
        <f t="shared" si="893"/>
        <v>36</v>
      </c>
      <c r="CJ175" s="57">
        <f t="shared" si="893"/>
        <v>36</v>
      </c>
      <c r="CK175" s="57">
        <f t="shared" si="893"/>
        <v>36</v>
      </c>
      <c r="CL175" s="57">
        <f t="shared" si="893"/>
        <v>36</v>
      </c>
      <c r="CM175" s="57">
        <f t="shared" si="893"/>
        <v>36</v>
      </c>
      <c r="CN175" s="57">
        <f t="shared" si="893"/>
        <v>36</v>
      </c>
      <c r="CO175" s="57">
        <f t="shared" si="893"/>
        <v>36</v>
      </c>
      <c r="CP175" s="57">
        <f t="shared" si="893"/>
        <v>36</v>
      </c>
      <c r="CQ175" s="57">
        <f t="shared" si="893"/>
        <v>36</v>
      </c>
      <c r="CR175" s="57">
        <f t="shared" si="893"/>
        <v>36</v>
      </c>
      <c r="CS175" s="57">
        <f t="shared" si="893"/>
        <v>36</v>
      </c>
      <c r="CT175" s="57">
        <f t="shared" si="893"/>
        <v>36</v>
      </c>
      <c r="CU175" s="57">
        <f t="shared" si="893"/>
        <v>36</v>
      </c>
      <c r="CV175" s="57">
        <f t="shared" si="893"/>
        <v>36</v>
      </c>
      <c r="CW175" s="57">
        <f t="shared" si="893"/>
        <v>36</v>
      </c>
      <c r="CX175" s="57">
        <f t="shared" si="893"/>
        <v>36</v>
      </c>
      <c r="CY175" s="57">
        <f t="shared" si="893"/>
        <v>36</v>
      </c>
      <c r="CZ175" s="57">
        <f t="shared" si="893"/>
        <v>36</v>
      </c>
      <c r="DA175" s="57">
        <f t="shared" si="893"/>
        <v>36</v>
      </c>
      <c r="DB175" s="57">
        <f t="shared" si="893"/>
        <v>36</v>
      </c>
      <c r="DC175" s="57">
        <f t="shared" si="893"/>
        <v>36</v>
      </c>
      <c r="DD175" s="57">
        <f t="shared" si="893"/>
        <v>36</v>
      </c>
      <c r="DE175" s="57">
        <f t="shared" si="893"/>
        <v>36</v>
      </c>
      <c r="DF175" s="57">
        <f t="shared" si="893"/>
        <v>36</v>
      </c>
      <c r="DG175" s="57">
        <f t="shared" si="893"/>
        <v>36</v>
      </c>
      <c r="DH175" s="57">
        <f t="shared" si="893"/>
        <v>36</v>
      </c>
      <c r="DI175" s="57">
        <f t="shared" si="893"/>
        <v>36</v>
      </c>
      <c r="DJ175" s="57">
        <f t="shared" si="893"/>
        <v>36</v>
      </c>
      <c r="DK175" s="57">
        <f t="shared" si="893"/>
        <v>36</v>
      </c>
      <c r="DL175" s="57">
        <f t="shared" si="893"/>
        <v>36</v>
      </c>
      <c r="DM175" s="57">
        <f t="shared" si="893"/>
        <v>36</v>
      </c>
      <c r="DN175" s="57">
        <f t="shared" si="893"/>
        <v>36</v>
      </c>
      <c r="DO175" s="57">
        <f t="shared" si="893"/>
        <v>36</v>
      </c>
      <c r="DP175" s="57">
        <f t="shared" si="893"/>
        <v>36</v>
      </c>
      <c r="DQ175" s="57">
        <f t="shared" ref="DQ175:FY175" si="894">IF(IF((5)*12&lt;DQ21,DQ21,(5)*12)&gt;DQ22,DQ22,IF((5)*12&lt;DQ21,DQ21,(5)*12))</f>
        <v>36</v>
      </c>
      <c r="DR175" s="57">
        <f t="shared" si="894"/>
        <v>36</v>
      </c>
      <c r="DS175" s="57">
        <f t="shared" si="894"/>
        <v>36</v>
      </c>
      <c r="DT175" s="57">
        <f t="shared" si="894"/>
        <v>36</v>
      </c>
      <c r="DU175" s="57">
        <f t="shared" si="894"/>
        <v>36</v>
      </c>
      <c r="DV175" s="57">
        <f t="shared" si="894"/>
        <v>36</v>
      </c>
      <c r="DW175" s="57">
        <f t="shared" si="894"/>
        <v>36</v>
      </c>
      <c r="DX175" s="57">
        <f t="shared" si="894"/>
        <v>36</v>
      </c>
      <c r="DY175" s="57">
        <f t="shared" si="894"/>
        <v>36</v>
      </c>
      <c r="DZ175" s="57">
        <f t="shared" si="894"/>
        <v>36</v>
      </c>
      <c r="EA175" s="57">
        <f t="shared" si="894"/>
        <v>36</v>
      </c>
      <c r="EB175" s="57">
        <f t="shared" si="894"/>
        <v>36</v>
      </c>
      <c r="EC175" s="57">
        <f t="shared" si="894"/>
        <v>36</v>
      </c>
      <c r="ED175" s="57">
        <f t="shared" si="894"/>
        <v>36</v>
      </c>
      <c r="EE175" s="57">
        <f t="shared" si="894"/>
        <v>36</v>
      </c>
      <c r="EF175" s="57">
        <f t="shared" si="894"/>
        <v>36</v>
      </c>
      <c r="EG175" s="57">
        <f t="shared" si="894"/>
        <v>36</v>
      </c>
      <c r="EH175" s="57">
        <f t="shared" si="894"/>
        <v>36</v>
      </c>
      <c r="EI175" s="57">
        <f t="shared" si="894"/>
        <v>36</v>
      </c>
      <c r="EJ175" s="57">
        <f t="shared" si="894"/>
        <v>36</v>
      </c>
      <c r="EK175" s="57">
        <f t="shared" si="894"/>
        <v>36</v>
      </c>
      <c r="EL175" s="57">
        <f t="shared" si="894"/>
        <v>36</v>
      </c>
      <c r="EM175" s="57">
        <f t="shared" si="894"/>
        <v>36</v>
      </c>
      <c r="EN175" s="57">
        <f t="shared" si="894"/>
        <v>36</v>
      </c>
      <c r="EO175" s="57">
        <f t="shared" si="894"/>
        <v>36</v>
      </c>
      <c r="EP175" s="57">
        <f t="shared" si="894"/>
        <v>36</v>
      </c>
      <c r="EQ175" s="57">
        <f t="shared" si="894"/>
        <v>36</v>
      </c>
      <c r="ER175" s="57">
        <f t="shared" si="894"/>
        <v>36</v>
      </c>
      <c r="ES175" s="57">
        <f t="shared" si="894"/>
        <v>36</v>
      </c>
      <c r="ET175" s="57">
        <f t="shared" si="894"/>
        <v>36</v>
      </c>
      <c r="EU175" s="57">
        <f t="shared" si="894"/>
        <v>36</v>
      </c>
      <c r="EV175" s="57">
        <f t="shared" si="894"/>
        <v>36</v>
      </c>
      <c r="EW175" s="57">
        <f t="shared" si="894"/>
        <v>36</v>
      </c>
      <c r="EX175" s="57">
        <f t="shared" si="894"/>
        <v>36</v>
      </c>
      <c r="EY175" s="57">
        <f t="shared" si="894"/>
        <v>36</v>
      </c>
      <c r="EZ175" s="57">
        <f t="shared" si="894"/>
        <v>36</v>
      </c>
      <c r="FA175" s="57">
        <f t="shared" si="894"/>
        <v>36</v>
      </c>
      <c r="FB175" s="57">
        <f t="shared" si="894"/>
        <v>36</v>
      </c>
      <c r="FC175" s="57">
        <f t="shared" si="894"/>
        <v>36</v>
      </c>
      <c r="FD175" s="57">
        <f t="shared" si="894"/>
        <v>36</v>
      </c>
      <c r="FE175" s="57">
        <f t="shared" si="894"/>
        <v>36</v>
      </c>
      <c r="FF175" s="57">
        <f t="shared" si="894"/>
        <v>36</v>
      </c>
      <c r="FG175" s="57">
        <f t="shared" si="894"/>
        <v>36</v>
      </c>
      <c r="FH175" s="57">
        <f t="shared" si="894"/>
        <v>36</v>
      </c>
      <c r="FI175" s="57">
        <f t="shared" si="894"/>
        <v>36</v>
      </c>
      <c r="FJ175" s="57">
        <f t="shared" si="894"/>
        <v>36</v>
      </c>
      <c r="FK175" s="57">
        <f t="shared" si="894"/>
        <v>36</v>
      </c>
      <c r="FL175" s="57">
        <f t="shared" si="894"/>
        <v>36</v>
      </c>
      <c r="FM175" s="57">
        <f t="shared" si="894"/>
        <v>36</v>
      </c>
      <c r="FN175" s="57">
        <f t="shared" si="894"/>
        <v>36</v>
      </c>
      <c r="FO175" s="57">
        <f t="shared" si="894"/>
        <v>36</v>
      </c>
      <c r="FP175" s="57">
        <f t="shared" si="894"/>
        <v>36</v>
      </c>
      <c r="FQ175" s="57">
        <f t="shared" si="894"/>
        <v>36</v>
      </c>
      <c r="FR175" s="57">
        <f t="shared" si="894"/>
        <v>36</v>
      </c>
      <c r="FS175" s="57">
        <f t="shared" si="894"/>
        <v>36</v>
      </c>
      <c r="FT175" s="57">
        <f t="shared" si="894"/>
        <v>36</v>
      </c>
      <c r="FU175" s="57">
        <f t="shared" si="894"/>
        <v>36</v>
      </c>
      <c r="FV175" s="57">
        <f t="shared" si="894"/>
        <v>36</v>
      </c>
      <c r="FW175" s="57">
        <f t="shared" si="894"/>
        <v>36</v>
      </c>
      <c r="FX175" s="57">
        <f t="shared" si="894"/>
        <v>36</v>
      </c>
      <c r="FY175" s="57">
        <f t="shared" si="894"/>
        <v>36</v>
      </c>
      <c r="FZ175" s="59"/>
    </row>
    <row r="176" spans="1:182" collapsed="1" x14ac:dyDescent="0.2"/>
    <row r="177" spans="1:184" hidden="1" outlineLevel="1" x14ac:dyDescent="0.2">
      <c r="A177" s="2" t="s">
        <v>189</v>
      </c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  <c r="BK177" s="59"/>
      <c r="BL177" s="59"/>
      <c r="BM177" s="59"/>
      <c r="BN177" s="59"/>
      <c r="BO177" s="59"/>
      <c r="BP177" s="59"/>
      <c r="BQ177" s="59"/>
      <c r="BR177" s="59"/>
      <c r="BS177" s="59"/>
      <c r="BT177" s="59"/>
      <c r="BU177" s="59"/>
      <c r="BV177" s="59"/>
      <c r="BW177" s="59"/>
      <c r="BX177" s="59"/>
      <c r="BY177" s="59"/>
      <c r="BZ177" s="59"/>
      <c r="CA177" s="59"/>
      <c r="CB177" s="59"/>
      <c r="CC177" s="59"/>
      <c r="CD177" s="59"/>
      <c r="CE177" s="59"/>
      <c r="CF177" s="59"/>
      <c r="CG177" s="59"/>
      <c r="CH177" s="59"/>
      <c r="CI177" s="59"/>
      <c r="CJ177" s="59"/>
      <c r="CK177" s="59"/>
      <c r="CL177" s="59"/>
      <c r="CM177" s="59"/>
      <c r="CN177" s="59"/>
      <c r="CO177" s="59"/>
      <c r="CP177" s="59"/>
      <c r="CQ177" s="59"/>
      <c r="CR177" s="59"/>
      <c r="CS177" s="59"/>
      <c r="CT177" s="59"/>
      <c r="CU177" s="59"/>
      <c r="CV177" s="59"/>
      <c r="CW177" s="59"/>
      <c r="CX177" s="59"/>
      <c r="CY177" s="59"/>
      <c r="CZ177" s="59"/>
      <c r="DA177" s="59"/>
      <c r="DB177" s="59"/>
      <c r="DC177" s="59"/>
      <c r="DD177" s="59"/>
      <c r="DE177" s="59"/>
      <c r="DF177" s="59"/>
      <c r="DG177" s="59"/>
      <c r="DH177" s="59"/>
      <c r="DI177" s="59"/>
      <c r="DJ177" s="59"/>
      <c r="DK177" s="59"/>
      <c r="DL177" s="59"/>
      <c r="DM177" s="59"/>
      <c r="DN177" s="59"/>
      <c r="DO177" s="59"/>
      <c r="DP177" s="59"/>
      <c r="DQ177" s="59"/>
      <c r="DR177" s="59"/>
      <c r="DS177" s="59"/>
      <c r="DT177" s="59"/>
      <c r="DU177" s="59"/>
      <c r="DV177" s="59"/>
      <c r="DW177" s="59"/>
      <c r="DX177" s="59"/>
      <c r="DY177" s="59"/>
      <c r="DZ177" s="59"/>
      <c r="EA177" s="59"/>
      <c r="EB177" s="59"/>
      <c r="EC177" s="59"/>
      <c r="ED177" s="59"/>
      <c r="EE177" s="59"/>
      <c r="EF177" s="59"/>
      <c r="EG177" s="59"/>
      <c r="EH177" s="59"/>
      <c r="EI177" s="59"/>
      <c r="EJ177" s="59"/>
      <c r="EK177" s="59"/>
      <c r="EL177" s="59"/>
      <c r="EM177" s="59"/>
      <c r="EN177" s="59"/>
      <c r="EO177" s="59"/>
      <c r="EP177" s="59"/>
      <c r="EQ177" s="59"/>
      <c r="ER177" s="59"/>
      <c r="ES177" s="59"/>
      <c r="ET177" s="59"/>
      <c r="EU177" s="59"/>
      <c r="EV177" s="59"/>
      <c r="EW177" s="59"/>
      <c r="EX177" s="59"/>
      <c r="EY177" s="59"/>
      <c r="EZ177" s="59"/>
      <c r="FA177" s="59"/>
      <c r="FB177" s="59"/>
      <c r="FC177" s="59"/>
      <c r="FD177" s="59"/>
      <c r="FE177" s="59"/>
      <c r="FF177" s="59"/>
      <c r="FG177" s="59"/>
      <c r="FH177" s="59"/>
      <c r="FI177" s="59"/>
      <c r="FJ177" s="59"/>
      <c r="FK177" s="59"/>
      <c r="FL177" s="59"/>
      <c r="FM177" s="59"/>
      <c r="FN177" s="59"/>
      <c r="FO177" s="59"/>
      <c r="FP177" s="59"/>
      <c r="FQ177" s="59"/>
      <c r="FR177" s="59"/>
      <c r="FS177" s="59"/>
      <c r="FT177" s="59"/>
      <c r="FU177" s="59"/>
      <c r="FV177" s="59"/>
      <c r="FW177" s="59"/>
      <c r="FX177" s="59"/>
      <c r="FY177" s="59"/>
      <c r="FZ177" s="59"/>
    </row>
    <row r="178" spans="1:184" hidden="1" outlineLevel="1" x14ac:dyDescent="0.2">
      <c r="A178" s="2" t="s">
        <v>190</v>
      </c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  <c r="BK178" s="59"/>
      <c r="BL178" s="59"/>
      <c r="BM178" s="59"/>
      <c r="BN178" s="59"/>
      <c r="BO178" s="59"/>
      <c r="BP178" s="59"/>
      <c r="BQ178" s="59"/>
      <c r="BR178" s="59"/>
      <c r="BS178" s="59"/>
      <c r="BT178" s="59"/>
      <c r="BU178" s="59"/>
      <c r="BV178" s="59"/>
      <c r="BW178" s="59"/>
      <c r="BX178" s="59"/>
      <c r="BY178" s="59"/>
      <c r="BZ178" s="59"/>
      <c r="CA178" s="59"/>
      <c r="CB178" s="59"/>
      <c r="CC178" s="59"/>
      <c r="CD178" s="59"/>
      <c r="CE178" s="59"/>
      <c r="CF178" s="59"/>
      <c r="CG178" s="59"/>
      <c r="CH178" s="59"/>
      <c r="CI178" s="59"/>
      <c r="CJ178" s="59"/>
      <c r="CK178" s="59"/>
      <c r="CL178" s="59"/>
      <c r="CM178" s="59"/>
      <c r="CN178" s="59"/>
      <c r="CO178" s="59"/>
      <c r="CP178" s="59"/>
      <c r="CQ178" s="59"/>
      <c r="CR178" s="59"/>
      <c r="CS178" s="59"/>
      <c r="CT178" s="59"/>
      <c r="CU178" s="59"/>
      <c r="CV178" s="59"/>
      <c r="CW178" s="59"/>
      <c r="CX178" s="59"/>
      <c r="CY178" s="59"/>
      <c r="CZ178" s="59"/>
      <c r="DA178" s="59"/>
      <c r="DB178" s="59"/>
      <c r="DC178" s="59"/>
      <c r="DD178" s="59"/>
      <c r="DE178" s="59"/>
      <c r="DF178" s="59"/>
      <c r="DG178" s="59"/>
      <c r="DH178" s="59"/>
      <c r="DI178" s="59"/>
      <c r="DJ178" s="59"/>
      <c r="DK178" s="59"/>
      <c r="DL178" s="59"/>
      <c r="DM178" s="59"/>
      <c r="DN178" s="59"/>
      <c r="DO178" s="59"/>
      <c r="DP178" s="59"/>
      <c r="DQ178" s="59"/>
      <c r="DR178" s="59"/>
      <c r="DS178" s="59"/>
      <c r="DT178" s="59"/>
      <c r="DU178" s="59"/>
      <c r="DV178" s="59"/>
      <c r="DW178" s="59"/>
      <c r="DX178" s="59"/>
      <c r="DY178" s="59"/>
      <c r="DZ178" s="59"/>
      <c r="EA178" s="59"/>
      <c r="EB178" s="59"/>
      <c r="EC178" s="59"/>
      <c r="ED178" s="59"/>
      <c r="EE178" s="59"/>
      <c r="EF178" s="59"/>
      <c r="EG178" s="59"/>
      <c r="EH178" s="59"/>
      <c r="EI178" s="59"/>
      <c r="EJ178" s="59"/>
      <c r="EK178" s="59"/>
      <c r="EL178" s="59"/>
      <c r="EM178" s="59"/>
      <c r="EN178" s="59"/>
      <c r="EO178" s="59"/>
      <c r="EP178" s="59"/>
      <c r="EQ178" s="59"/>
      <c r="ER178" s="59"/>
      <c r="ES178" s="59"/>
      <c r="ET178" s="59"/>
      <c r="EU178" s="59"/>
      <c r="EV178" s="59"/>
      <c r="EW178" s="59"/>
      <c r="EX178" s="59"/>
      <c r="EY178" s="59"/>
      <c r="EZ178" s="59"/>
      <c r="FA178" s="59"/>
      <c r="FB178" s="59"/>
      <c r="FC178" s="59"/>
      <c r="FD178" s="59"/>
      <c r="FE178" s="59"/>
      <c r="FF178" s="59"/>
      <c r="FG178" s="59"/>
      <c r="FH178" s="59"/>
      <c r="FI178" s="59"/>
      <c r="FJ178" s="59"/>
      <c r="FK178" s="59"/>
      <c r="FL178" s="59"/>
      <c r="FM178" s="59"/>
      <c r="FN178" s="59"/>
      <c r="FO178" s="59"/>
      <c r="FP178" s="59"/>
      <c r="FQ178" s="59"/>
      <c r="FR178" s="59"/>
      <c r="FS178" s="59"/>
      <c r="FT178" s="59"/>
      <c r="FU178" s="59"/>
      <c r="FV178" s="59"/>
      <c r="FW178" s="59"/>
      <c r="FX178" s="59"/>
      <c r="FY178" s="59"/>
      <c r="FZ178" s="59"/>
    </row>
    <row r="179" spans="1:184" hidden="1" outlineLevel="1" x14ac:dyDescent="0.2">
      <c r="A179" s="2" t="s">
        <v>189</v>
      </c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  <c r="BK179" s="59"/>
      <c r="BL179" s="59"/>
      <c r="BM179" s="59"/>
      <c r="BN179" s="59"/>
      <c r="BO179" s="59"/>
      <c r="BP179" s="59"/>
      <c r="BQ179" s="59"/>
      <c r="BR179" s="59"/>
      <c r="BS179" s="59"/>
      <c r="BT179" s="59"/>
      <c r="BU179" s="59"/>
      <c r="BV179" s="59"/>
      <c r="BW179" s="59"/>
      <c r="BX179" s="59"/>
      <c r="BY179" s="59"/>
      <c r="BZ179" s="59"/>
      <c r="CA179" s="59"/>
      <c r="CB179" s="59"/>
      <c r="CC179" s="59"/>
      <c r="CD179" s="59"/>
      <c r="CE179" s="59"/>
      <c r="CF179" s="59"/>
      <c r="CG179" s="59"/>
      <c r="CH179" s="59"/>
      <c r="CI179" s="59"/>
      <c r="CJ179" s="59"/>
      <c r="CK179" s="59"/>
      <c r="CL179" s="59"/>
      <c r="CM179" s="59"/>
      <c r="CN179" s="59"/>
      <c r="CO179" s="59"/>
      <c r="CP179" s="59"/>
      <c r="CQ179" s="59"/>
      <c r="CR179" s="59"/>
      <c r="CS179" s="59"/>
      <c r="CT179" s="59"/>
      <c r="CU179" s="59"/>
      <c r="CV179" s="59"/>
      <c r="CW179" s="59"/>
      <c r="CX179" s="59"/>
      <c r="CY179" s="59"/>
      <c r="CZ179" s="59"/>
      <c r="DA179" s="59"/>
      <c r="DB179" s="59"/>
      <c r="DC179" s="59"/>
      <c r="DD179" s="59"/>
      <c r="DE179" s="59"/>
      <c r="DF179" s="59"/>
      <c r="DG179" s="59"/>
      <c r="DH179" s="59"/>
      <c r="DI179" s="59"/>
      <c r="DJ179" s="59"/>
      <c r="DK179" s="59"/>
      <c r="DL179" s="59"/>
      <c r="DM179" s="59"/>
      <c r="DN179" s="59"/>
      <c r="DO179" s="59"/>
      <c r="DP179" s="59"/>
      <c r="DQ179" s="59"/>
      <c r="DR179" s="59"/>
      <c r="DS179" s="59"/>
      <c r="DT179" s="59"/>
      <c r="DU179" s="59"/>
      <c r="DV179" s="59"/>
      <c r="DW179" s="59"/>
      <c r="DX179" s="59"/>
      <c r="DY179" s="59"/>
      <c r="DZ179" s="59"/>
      <c r="EA179" s="59"/>
      <c r="EB179" s="59"/>
      <c r="EC179" s="59"/>
      <c r="ED179" s="59"/>
      <c r="EE179" s="59"/>
      <c r="EF179" s="59"/>
      <c r="EG179" s="59"/>
      <c r="EH179" s="59"/>
      <c r="EI179" s="59"/>
      <c r="EJ179" s="59"/>
      <c r="EK179" s="59"/>
      <c r="EL179" s="59"/>
      <c r="EM179" s="59"/>
      <c r="EN179" s="59"/>
      <c r="EO179" s="59"/>
      <c r="EP179" s="59"/>
      <c r="EQ179" s="59"/>
      <c r="ER179" s="59"/>
      <c r="ES179" s="59"/>
      <c r="ET179" s="59"/>
      <c r="EU179" s="59"/>
      <c r="EV179" s="59"/>
      <c r="EW179" s="59"/>
      <c r="EX179" s="59"/>
      <c r="EY179" s="59"/>
      <c r="EZ179" s="59"/>
      <c r="FA179" s="59"/>
      <c r="FB179" s="59"/>
      <c r="FC179" s="59"/>
      <c r="FD179" s="59"/>
      <c r="FE179" s="59"/>
      <c r="FF179" s="59"/>
      <c r="FG179" s="59"/>
      <c r="FH179" s="59"/>
      <c r="FI179" s="59"/>
      <c r="FJ179" s="59"/>
      <c r="FK179" s="59"/>
      <c r="FL179" s="59"/>
      <c r="FM179" s="59"/>
      <c r="FN179" s="59"/>
      <c r="FO179" s="59"/>
      <c r="FP179" s="59"/>
      <c r="FQ179" s="59"/>
      <c r="FR179" s="59"/>
      <c r="FS179" s="59"/>
      <c r="FT179" s="59"/>
      <c r="FU179" s="59"/>
      <c r="FV179" s="59"/>
      <c r="FW179" s="59"/>
      <c r="FX179" s="59"/>
      <c r="FY179" s="59"/>
      <c r="FZ179" s="59"/>
    </row>
    <row r="180" spans="1:184" hidden="1" outlineLevel="1" x14ac:dyDescent="0.2">
      <c r="A180" s="2" t="s">
        <v>190</v>
      </c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  <c r="BN180" s="59"/>
      <c r="BO180" s="59"/>
      <c r="BP180" s="59"/>
      <c r="BQ180" s="59"/>
      <c r="BR180" s="59"/>
      <c r="BS180" s="59"/>
      <c r="BT180" s="59"/>
      <c r="BU180" s="59"/>
      <c r="BV180" s="59"/>
      <c r="BW180" s="59"/>
      <c r="BX180" s="59"/>
      <c r="BY180" s="59"/>
      <c r="BZ180" s="59"/>
      <c r="CA180" s="59"/>
      <c r="CB180" s="59"/>
      <c r="CC180" s="59"/>
      <c r="CD180" s="59"/>
      <c r="CE180" s="59"/>
      <c r="CF180" s="59"/>
      <c r="CG180" s="59"/>
      <c r="CH180" s="59"/>
      <c r="CI180" s="59"/>
      <c r="CJ180" s="59"/>
      <c r="CK180" s="59"/>
      <c r="CL180" s="59"/>
      <c r="CM180" s="59"/>
      <c r="CN180" s="59"/>
      <c r="CO180" s="59"/>
      <c r="CP180" s="59"/>
      <c r="CQ180" s="59"/>
      <c r="CR180" s="59"/>
      <c r="CS180" s="59"/>
      <c r="CT180" s="59"/>
      <c r="CU180" s="59"/>
      <c r="CV180" s="59"/>
      <c r="CW180" s="59"/>
      <c r="CX180" s="59"/>
      <c r="CY180" s="59"/>
      <c r="CZ180" s="59"/>
      <c r="DA180" s="59"/>
      <c r="DB180" s="59"/>
      <c r="DC180" s="59"/>
      <c r="DD180" s="59"/>
      <c r="DE180" s="59"/>
      <c r="DF180" s="59"/>
      <c r="DG180" s="59"/>
      <c r="DH180" s="59"/>
      <c r="DI180" s="59"/>
      <c r="DJ180" s="59"/>
      <c r="DK180" s="59"/>
      <c r="DL180" s="59"/>
      <c r="DM180" s="59"/>
      <c r="DN180" s="59"/>
      <c r="DO180" s="59"/>
      <c r="DP180" s="59"/>
      <c r="DQ180" s="59"/>
      <c r="DR180" s="59"/>
      <c r="DS180" s="59"/>
      <c r="DT180" s="59"/>
      <c r="DU180" s="59"/>
      <c r="DV180" s="59"/>
      <c r="DW180" s="59"/>
      <c r="DX180" s="59"/>
      <c r="DY180" s="59"/>
      <c r="DZ180" s="59"/>
      <c r="EA180" s="59"/>
      <c r="EB180" s="59"/>
      <c r="EC180" s="59"/>
      <c r="ED180" s="59"/>
      <c r="EE180" s="59"/>
      <c r="EF180" s="59"/>
      <c r="EG180" s="59"/>
      <c r="EH180" s="59"/>
      <c r="EI180" s="59"/>
      <c r="EJ180" s="59"/>
      <c r="EK180" s="59"/>
      <c r="EL180" s="59"/>
      <c r="EM180" s="59"/>
      <c r="EN180" s="59"/>
      <c r="EO180" s="59"/>
      <c r="EP180" s="59"/>
      <c r="EQ180" s="59"/>
      <c r="ER180" s="59"/>
      <c r="ES180" s="59"/>
      <c r="ET180" s="59"/>
      <c r="EU180" s="59"/>
      <c r="EV180" s="59"/>
      <c r="EW180" s="59"/>
      <c r="EX180" s="59"/>
      <c r="EY180" s="59"/>
      <c r="EZ180" s="59"/>
      <c r="FA180" s="59"/>
      <c r="FB180" s="59"/>
      <c r="FC180" s="59"/>
      <c r="FD180" s="59"/>
      <c r="FE180" s="59"/>
      <c r="FF180" s="59"/>
      <c r="FG180" s="59"/>
      <c r="FH180" s="59"/>
      <c r="FI180" s="59"/>
      <c r="FJ180" s="59"/>
      <c r="FK180" s="59"/>
      <c r="FL180" s="59"/>
      <c r="FM180" s="59"/>
      <c r="FN180" s="59"/>
      <c r="FO180" s="59"/>
      <c r="FP180" s="59"/>
      <c r="FQ180" s="59"/>
      <c r="FR180" s="59"/>
      <c r="FS180" s="59"/>
      <c r="FT180" s="59"/>
      <c r="FU180" s="59"/>
      <c r="FV180" s="59"/>
      <c r="FW180" s="59"/>
      <c r="FX180" s="59"/>
      <c r="FY180" s="59"/>
      <c r="FZ180" s="59"/>
    </row>
    <row r="181" spans="1:184" collapsed="1" x14ac:dyDescent="0.2">
      <c r="Z181" s="57"/>
      <c r="AA181" s="58"/>
      <c r="AB181" s="58"/>
      <c r="AC181" s="58"/>
    </row>
    <row r="182" spans="1:184" x14ac:dyDescent="0.2">
      <c r="A182" s="91" t="s">
        <v>191</v>
      </c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  <c r="FB182" s="57"/>
      <c r="FC182" s="57"/>
      <c r="FD182" s="57"/>
      <c r="FE182" s="57"/>
      <c r="FF182" s="57"/>
      <c r="FG182" s="57"/>
      <c r="FH182" s="57"/>
      <c r="FI182" s="57"/>
      <c r="FJ182" s="57"/>
      <c r="FK182" s="57"/>
      <c r="FL182" s="57"/>
      <c r="FM182" s="57"/>
      <c r="FN182" s="57"/>
      <c r="FO182" s="57"/>
      <c r="FP182" s="57"/>
      <c r="FQ182" s="57"/>
      <c r="FR182" s="57"/>
      <c r="FS182" s="57"/>
      <c r="FT182" s="57"/>
      <c r="FU182" s="57"/>
      <c r="FV182" s="57"/>
      <c r="FW182" s="57"/>
      <c r="FX182" s="57"/>
      <c r="FY182" s="57"/>
      <c r="FZ182" s="59"/>
    </row>
    <row r="183" spans="1:184" x14ac:dyDescent="0.2">
      <c r="A183" s="92" t="s">
        <v>189</v>
      </c>
      <c r="B183" s="93">
        <f>B30+(C183/(1+B$99))</f>
        <v>368000</v>
      </c>
      <c r="C183" s="93">
        <f t="shared" ref="C183" si="895">C30+(D183/(1+C$99))</f>
        <v>0</v>
      </c>
      <c r="D183" s="93">
        <f t="shared" ref="D183:D184" si="896">D30+(E183/(1+D$99))</f>
        <v>0</v>
      </c>
      <c r="E183" s="93">
        <f t="shared" ref="E183:E184" si="897">E30+(F183/(1+E$99))</f>
        <v>0</v>
      </c>
      <c r="F183" s="93">
        <f t="shared" ref="F183:F184" si="898">F30+(G183/(1+F$99))</f>
        <v>0</v>
      </c>
      <c r="G183" s="93">
        <f t="shared" ref="G183:G184" si="899">G30+(H183/(1+G$99))</f>
        <v>0</v>
      </c>
      <c r="H183" s="93">
        <f t="shared" ref="H183:H184" si="900">H30+(I183/(1+H$99))</f>
        <v>0</v>
      </c>
      <c r="I183" s="93">
        <f t="shared" ref="I183:I184" si="901">I30+(J183/(1+I$99))</f>
        <v>0</v>
      </c>
      <c r="J183" s="93">
        <f t="shared" ref="J183:J184" si="902">J30+(K183/(1+J$99))</f>
        <v>0</v>
      </c>
      <c r="K183" s="93">
        <f t="shared" ref="K183:K184" si="903">K30+(L183/(1+K$99))</f>
        <v>0</v>
      </c>
      <c r="L183" s="93">
        <f t="shared" ref="L183:L184" si="904">L30+(M183/(1+L$99))</f>
        <v>0</v>
      </c>
      <c r="M183" s="93">
        <f t="shared" ref="M183:M184" si="905">M30+(N183/(1+M$99))</f>
        <v>0</v>
      </c>
      <c r="N183" s="93">
        <f t="shared" ref="N183:N184" si="906">N30+(O183/(1+N$99))</f>
        <v>0</v>
      </c>
      <c r="O183" s="93">
        <f t="shared" ref="O183:O184" si="907">O30+(P183/(1+O$99))</f>
        <v>0</v>
      </c>
      <c r="P183" s="93">
        <f t="shared" ref="P183:P184" si="908">P30+(Q183/(1+P$99))</f>
        <v>0</v>
      </c>
      <c r="Q183" s="93">
        <f t="shared" ref="Q183:Q184" si="909">Q30+(R183/(1+Q$99))</f>
        <v>0</v>
      </c>
      <c r="R183" s="93">
        <f t="shared" ref="R183:R184" si="910">R30+(S183/(1+R$99))</f>
        <v>0</v>
      </c>
      <c r="S183" s="93">
        <f t="shared" ref="S183:S184" si="911">S30+(T183/(1+S$99))</f>
        <v>0</v>
      </c>
      <c r="T183" s="93">
        <f t="shared" ref="T183:T184" si="912">T30+(U183/(1+T$99))</f>
        <v>0</v>
      </c>
      <c r="U183" s="93">
        <f t="shared" ref="U183:U184" si="913">U30+(V183/(1+U$99))</f>
        <v>0</v>
      </c>
      <c r="V183" s="93">
        <f t="shared" ref="V183:V184" si="914">V30+(W183/(1+V$99))</f>
        <v>0</v>
      </c>
      <c r="W183" s="93">
        <f t="shared" ref="W183:W184" si="915">W30+(X183/(1+W$99))</f>
        <v>0</v>
      </c>
      <c r="X183" s="93">
        <f t="shared" ref="X183:X184" si="916">X30+(Y183/(1+X$99))</f>
        <v>0</v>
      </c>
      <c r="Y183" s="93">
        <f t="shared" ref="Y183:Y184" si="917">Y30+(Z183/(1+Y$99))</f>
        <v>0</v>
      </c>
      <c r="Z183" s="93">
        <f t="shared" ref="Z183:Z184" si="918">Z30+(AA183/(1+Z$99))</f>
        <v>0</v>
      </c>
      <c r="AA183" s="93">
        <f t="shared" ref="AA183:AA184" si="919">AA30+(AB183/(1+AA$99))</f>
        <v>0</v>
      </c>
      <c r="AB183" s="93">
        <f t="shared" ref="AB183:AB184" si="920">AB30+(AC183/(1+AB$99))</f>
        <v>0</v>
      </c>
      <c r="AC183" s="93">
        <f t="shared" ref="AC183:AC184" si="921">AC30+(AD183/(1+AC$99))</f>
        <v>0</v>
      </c>
      <c r="AD183" s="93">
        <f t="shared" ref="AD183:AD184" si="922">AD30+(AE183/(1+AD$99))</f>
        <v>0</v>
      </c>
      <c r="AE183" s="93">
        <f t="shared" ref="AE183:AE184" si="923">AE30+(AF183/(1+AE$99))</f>
        <v>0</v>
      </c>
      <c r="AF183" s="93">
        <f t="shared" ref="AF183:AF184" si="924">AF30+(AG183/(1+AF$99))</f>
        <v>0</v>
      </c>
      <c r="AG183" s="93">
        <f t="shared" ref="AG183:AG184" si="925">AG30+(AH183/(1+AG$99))</f>
        <v>0</v>
      </c>
      <c r="AH183" s="93">
        <f t="shared" ref="AH183:AH184" si="926">AH30+(AI183/(1+AH$99))</f>
        <v>0</v>
      </c>
      <c r="AI183" s="93">
        <f t="shared" ref="AI183:AI184" si="927">AI30+(AJ183/(1+AI$99))</f>
        <v>0</v>
      </c>
      <c r="AJ183" s="93">
        <f t="shared" ref="AJ183:AJ184" si="928">AJ30+(AK183/(1+AJ$99))</f>
        <v>0</v>
      </c>
      <c r="AK183" s="93">
        <f t="shared" ref="AK183:AK184" si="929">AK30+(AL183/(1+AK$99))</f>
        <v>0</v>
      </c>
      <c r="AL183" s="93">
        <f t="shared" ref="AL183:AL184" si="930">AL30+(AM183/(1+AL$99))</f>
        <v>0</v>
      </c>
      <c r="AM183" s="93">
        <f t="shared" ref="AM183:AM184" si="931">AM30+(AN183/(1+AM$99))</f>
        <v>0</v>
      </c>
      <c r="AN183" s="93">
        <f t="shared" ref="AN183:AN184" si="932">AN30+(AO183/(1+AN$99))</f>
        <v>0</v>
      </c>
      <c r="AO183" s="93">
        <f t="shared" ref="AO183:AO184" si="933">AO30+(AP183/(1+AO$99))</f>
        <v>0</v>
      </c>
      <c r="AP183" s="93">
        <f t="shared" ref="AP183:AP184" si="934">AP30+(AQ183/(1+AP$99))</f>
        <v>0</v>
      </c>
      <c r="AQ183" s="93">
        <f t="shared" ref="AQ183:AQ184" si="935">AQ30+(AR183/(1+AQ$99))</f>
        <v>0</v>
      </c>
      <c r="AR183" s="93">
        <f t="shared" ref="AR183:AR184" si="936">AR30+(AS183/(1+AR$99))</f>
        <v>0</v>
      </c>
      <c r="AS183" s="93">
        <f t="shared" ref="AS183:AS184" si="937">AS30+(AT183/(1+AS$99))</f>
        <v>0</v>
      </c>
      <c r="AT183" s="93">
        <f t="shared" ref="AT183:AT184" si="938">AT30+(AU183/(1+AT$99))</f>
        <v>0</v>
      </c>
      <c r="AU183" s="93">
        <f t="shared" ref="AU183:AU184" si="939">AU30+(AV183/(1+AU$99))</f>
        <v>0</v>
      </c>
      <c r="AV183" s="93">
        <f t="shared" ref="AV183:AV184" si="940">AV30+(AW183/(1+AV$99))</f>
        <v>0</v>
      </c>
      <c r="AW183" s="93">
        <f t="shared" ref="AW183:AW184" si="941">AW30+(AX183/(1+AW$99))</f>
        <v>0</v>
      </c>
      <c r="AX183" s="93">
        <f t="shared" ref="AX183:AX184" si="942">AX30+(AY183/(1+AX$99))</f>
        <v>0</v>
      </c>
      <c r="AY183" s="93">
        <f t="shared" ref="AY183:AY184" si="943">AY30+(AZ183/(1+AY$99))</f>
        <v>0</v>
      </c>
      <c r="AZ183" s="93">
        <f t="shared" ref="AZ183:AZ184" si="944">AZ30+(BA183/(1+AZ$99))</f>
        <v>0</v>
      </c>
      <c r="BA183" s="93">
        <f t="shared" ref="BA183:BA184" si="945">BA30+(BB183/(1+BA$99))</f>
        <v>0</v>
      </c>
      <c r="BB183" s="93">
        <f t="shared" ref="BB183:BB184" si="946">BB30+(BC183/(1+BB$99))</f>
        <v>0</v>
      </c>
      <c r="BC183" s="93">
        <f t="shared" ref="BC183:BC184" si="947">BC30+(BD183/(1+BC$99))</f>
        <v>0</v>
      </c>
      <c r="BD183" s="93">
        <f t="shared" ref="BD183:BD184" si="948">BD30+(BE183/(1+BD$99))</f>
        <v>0</v>
      </c>
      <c r="BE183" s="93">
        <f t="shared" ref="BE183:BE184" si="949">BE30+(BF183/(1+BE$99))</f>
        <v>0</v>
      </c>
      <c r="BF183" s="93">
        <f t="shared" ref="BF183:BF184" si="950">BF30+(BG183/(1+BF$99))</f>
        <v>0</v>
      </c>
      <c r="BG183" s="93">
        <f t="shared" ref="BG183:BG184" si="951">BG30+(BH183/(1+BG$99))</f>
        <v>0</v>
      </c>
      <c r="BH183" s="93">
        <f t="shared" ref="BH183:BH184" si="952">BH30+(BI183/(1+BH$99))</f>
        <v>0</v>
      </c>
      <c r="BI183" s="93">
        <f t="shared" ref="BI183:BI184" si="953">BI30+(BJ183/(1+BI$99))</f>
        <v>0</v>
      </c>
      <c r="BJ183" s="93">
        <f t="shared" ref="BJ183:BJ184" si="954">BJ30+(BK183/(1+BJ$99))</f>
        <v>0</v>
      </c>
      <c r="BK183" s="93">
        <f t="shared" ref="BK183:BK184" si="955">BK30+(BL183/(1+BK$99))</f>
        <v>0</v>
      </c>
      <c r="BL183" s="93">
        <f t="shared" ref="BL183:BL184" si="956">BL30+(BM183/(1+BL$99))</f>
        <v>0</v>
      </c>
      <c r="BM183" s="93">
        <f t="shared" ref="BM183:BM184" si="957">BM30+(BN183/(1+BM$99))</f>
        <v>0</v>
      </c>
      <c r="BN183" s="93">
        <f t="shared" ref="BN183:BN184" si="958">BN30+(BO183/(1+BN$99))</f>
        <v>0</v>
      </c>
      <c r="BO183" s="93">
        <f t="shared" ref="BO183:BO184" si="959">BO30+(BP183/(1+BO$99))</f>
        <v>0</v>
      </c>
      <c r="BP183" s="93">
        <f t="shared" ref="BP183:BP184" si="960">BP30+(BQ183/(1+BP$99))</f>
        <v>0</v>
      </c>
      <c r="BQ183" s="93">
        <f t="shared" ref="BQ183:BQ184" si="961">BQ30+(BR183/(1+BQ$99))</f>
        <v>0</v>
      </c>
      <c r="BR183" s="93">
        <f t="shared" ref="BR183:BR184" si="962">BR30+(BS183/(1+BR$99))</f>
        <v>0</v>
      </c>
      <c r="BS183" s="93">
        <f t="shared" ref="BS183:BS184" si="963">BS30+(BT183/(1+BS$99))</f>
        <v>0</v>
      </c>
      <c r="BT183" s="93">
        <f t="shared" ref="BT183:BT184" si="964">BT30+(BU183/(1+BT$99))</f>
        <v>0</v>
      </c>
      <c r="BU183" s="93">
        <f t="shared" ref="BU183:BU184" si="965">BU30+(BV183/(1+BU$99))</f>
        <v>0</v>
      </c>
      <c r="BV183" s="93">
        <f t="shared" ref="BV183:BV184" si="966">BV30+(BW183/(1+BV$99))</f>
        <v>0</v>
      </c>
      <c r="BW183" s="93">
        <f t="shared" ref="BW183:BW184" si="967">BW30+(BX183/(1+BW$99))</f>
        <v>0</v>
      </c>
      <c r="BX183" s="93">
        <f t="shared" ref="BX183:BX184" si="968">BX30+(BY183/(1+BX$99))</f>
        <v>0</v>
      </c>
      <c r="BY183" s="93">
        <f t="shared" ref="BY183:BY184" si="969">BY30+(BZ183/(1+BY$99))</f>
        <v>0</v>
      </c>
      <c r="BZ183" s="93">
        <f t="shared" ref="BZ183:BZ184" si="970">BZ30+(CA183/(1+BZ$99))</f>
        <v>0</v>
      </c>
      <c r="CA183" s="93">
        <f t="shared" ref="CA183:CA184" si="971">CA30+(CB183/(1+CA$99))</f>
        <v>0</v>
      </c>
      <c r="CB183" s="93">
        <f t="shared" ref="CB183:CB184" si="972">CB30+(CC183/(1+CB$99))</f>
        <v>0</v>
      </c>
      <c r="CC183" s="93">
        <f t="shared" ref="CC183:CC184" si="973">CC30+(CD183/(1+CC$99))</f>
        <v>0</v>
      </c>
      <c r="CD183" s="93">
        <f t="shared" ref="CD183:CD184" si="974">CD30+(CE183/(1+CD$99))</f>
        <v>0</v>
      </c>
      <c r="CE183" s="93">
        <f t="shared" ref="CE183:CE184" si="975">CE30+(CF183/(1+CE$99))</f>
        <v>0</v>
      </c>
      <c r="CF183" s="93">
        <f t="shared" ref="CF183:CF184" si="976">CF30+(CG183/(1+CF$99))</f>
        <v>0</v>
      </c>
      <c r="CG183" s="93">
        <f t="shared" ref="CG183:CG184" si="977">CG30+(CH183/(1+CG$99))</f>
        <v>0</v>
      </c>
      <c r="CH183" s="93">
        <f t="shared" ref="CH183:CH184" si="978">CH30+(CI183/(1+CH$99))</f>
        <v>0</v>
      </c>
      <c r="CI183" s="93">
        <f t="shared" ref="CI183:CI184" si="979">CI30+(CJ183/(1+CI$99))</f>
        <v>0</v>
      </c>
      <c r="CJ183" s="93">
        <f t="shared" ref="CJ183:CJ184" si="980">CJ30+(CK183/(1+CJ$99))</f>
        <v>0</v>
      </c>
      <c r="CK183" s="93">
        <f t="shared" ref="CK183:CK184" si="981">CK30+(CL183/(1+CK$99))</f>
        <v>0</v>
      </c>
      <c r="CL183" s="93">
        <f t="shared" ref="CL183:CL184" si="982">CL30+(CM183/(1+CL$99))</f>
        <v>0</v>
      </c>
      <c r="CM183" s="93">
        <f t="shared" ref="CM183:CM184" si="983">CM30+(CN183/(1+CM$99))</f>
        <v>0</v>
      </c>
      <c r="CN183" s="93">
        <f t="shared" ref="CN183:CN184" si="984">CN30+(CO183/(1+CN$99))</f>
        <v>0</v>
      </c>
      <c r="CO183" s="93">
        <f t="shared" ref="CO183:CO184" si="985">CO30+(CP183/(1+CO$99))</f>
        <v>0</v>
      </c>
      <c r="CP183" s="93">
        <f t="shared" ref="CP183:CP184" si="986">CP30+(CQ183/(1+CP$99))</f>
        <v>0</v>
      </c>
      <c r="CQ183" s="93">
        <f t="shared" ref="CQ183:CQ184" si="987">CQ30+(CR183/(1+CQ$99))</f>
        <v>0</v>
      </c>
      <c r="CR183" s="93">
        <f t="shared" ref="CR183:CR184" si="988">CR30+(CS183/(1+CR$99))</f>
        <v>0</v>
      </c>
      <c r="CS183" s="93">
        <f t="shared" ref="CS183:CS184" si="989">CS30+(CT183/(1+CS$99))</f>
        <v>0</v>
      </c>
      <c r="CT183" s="93">
        <f t="shared" ref="CT183:CT184" si="990">CT30+(CU183/(1+CT$99))</f>
        <v>0</v>
      </c>
      <c r="CU183" s="93">
        <f t="shared" ref="CU183:CU184" si="991">CU30+(CV183/(1+CU$99))</f>
        <v>0</v>
      </c>
      <c r="CV183" s="93">
        <f t="shared" ref="CV183:CV184" si="992">CV30+(CW183/(1+CV$99))</f>
        <v>0</v>
      </c>
      <c r="CW183" s="93">
        <f t="shared" ref="CW183:CW184" si="993">CW30+(CX183/(1+CW$99))</f>
        <v>0</v>
      </c>
      <c r="CX183" s="93">
        <f t="shared" ref="CX183:CX184" si="994">CX30+(CY183/(1+CX$99))</f>
        <v>0</v>
      </c>
      <c r="CY183" s="93">
        <f t="shared" ref="CY183:CY184" si="995">CY30+(CZ183/(1+CY$99))</f>
        <v>0</v>
      </c>
      <c r="CZ183" s="93">
        <f t="shared" ref="CZ183:CZ184" si="996">CZ30+(DA183/(1+CZ$99))</f>
        <v>0</v>
      </c>
      <c r="DA183" s="93">
        <f t="shared" ref="DA183:DA184" si="997">DA30+(DB183/(1+DA$99))</f>
        <v>0</v>
      </c>
      <c r="DB183" s="93">
        <f t="shared" ref="DB183:DB184" si="998">DB30+(DC183/(1+DB$99))</f>
        <v>0</v>
      </c>
      <c r="DC183" s="93">
        <f t="shared" ref="DC183:DC184" si="999">DC30+(DD183/(1+DC$99))</f>
        <v>0</v>
      </c>
      <c r="DD183" s="93">
        <f t="shared" ref="DD183:DD184" si="1000">DD30+(DE183/(1+DD$99))</f>
        <v>0</v>
      </c>
      <c r="DE183" s="93">
        <f t="shared" ref="DE183:DE184" si="1001">DE30+(DF183/(1+DE$99))</f>
        <v>0</v>
      </c>
      <c r="DF183" s="93">
        <f t="shared" ref="DF183:DF184" si="1002">DF30+(DG183/(1+DF$99))</f>
        <v>0</v>
      </c>
      <c r="DG183" s="93">
        <f t="shared" ref="DG183:DG184" si="1003">DG30+(DH183/(1+DG$99))</f>
        <v>0</v>
      </c>
      <c r="DH183" s="93">
        <f t="shared" ref="DH183:DH184" si="1004">DH30+(DI183/(1+DH$99))</f>
        <v>0</v>
      </c>
      <c r="DI183" s="93">
        <f t="shared" ref="DI183:DI184" si="1005">DI30+(DJ183/(1+DI$99))</f>
        <v>0</v>
      </c>
      <c r="DJ183" s="93">
        <f t="shared" ref="DJ183:DJ184" si="1006">DJ30+(DK183/(1+DJ$99))</f>
        <v>0</v>
      </c>
      <c r="DK183" s="93">
        <f t="shared" ref="DK183:DK184" si="1007">DK30+(DL183/(1+DK$99))</f>
        <v>0</v>
      </c>
      <c r="DL183" s="93">
        <f t="shared" ref="DL183:DL184" si="1008">DL30+(DM183/(1+DL$99))</f>
        <v>0</v>
      </c>
      <c r="DM183" s="93">
        <f t="shared" ref="DM183:DM184" si="1009">DM30+(DN183/(1+DM$99))</f>
        <v>0</v>
      </c>
      <c r="DN183" s="93">
        <f t="shared" ref="DN183:DN184" si="1010">DN30+(DO183/(1+DN$99))</f>
        <v>0</v>
      </c>
      <c r="DO183" s="93">
        <f t="shared" ref="DO183:DO184" si="1011">DO30+(DP183/(1+DO$99))</f>
        <v>0</v>
      </c>
      <c r="DP183" s="93">
        <f t="shared" ref="DP183:DP184" si="1012">DP30+(DQ183/(1+DP$99))</f>
        <v>0</v>
      </c>
      <c r="DQ183" s="93">
        <f t="shared" ref="DQ183:DQ184" si="1013">DQ30+(DR183/(1+DQ$99))</f>
        <v>0</v>
      </c>
      <c r="DR183" s="93">
        <f t="shared" ref="DR183:DR184" si="1014">DR30+(DS183/(1+DR$99))</f>
        <v>0</v>
      </c>
      <c r="DS183" s="93">
        <f t="shared" ref="DS183:DS184" si="1015">DS30+(DT183/(1+DS$99))</f>
        <v>0</v>
      </c>
      <c r="DT183" s="93">
        <f t="shared" ref="DT183:DT184" si="1016">DT30+(DU183/(1+DT$99))</f>
        <v>0</v>
      </c>
      <c r="DU183" s="93">
        <f t="shared" ref="DU183:DU184" si="1017">DU30+(DV183/(1+DU$99))</f>
        <v>0</v>
      </c>
      <c r="DV183" s="93">
        <f t="shared" ref="DV183:DV184" si="1018">DV30+(DW183/(1+DV$99))</f>
        <v>0</v>
      </c>
      <c r="DW183" s="93">
        <f t="shared" ref="DW183:DW184" si="1019">DW30+(DX183/(1+DW$99))</f>
        <v>0</v>
      </c>
      <c r="DX183" s="93">
        <f t="shared" ref="DX183:DX184" si="1020">DX30+(DY183/(1+DX$99))</f>
        <v>0</v>
      </c>
      <c r="DY183" s="93">
        <f t="shared" ref="DY183:DY184" si="1021">DY30+(DZ183/(1+DY$99))</f>
        <v>0</v>
      </c>
      <c r="DZ183" s="93">
        <f t="shared" ref="DZ183:DZ184" si="1022">DZ30+(EA183/(1+DZ$99))</f>
        <v>0</v>
      </c>
      <c r="EA183" s="93">
        <f t="shared" ref="EA183:EA184" si="1023">EA30+(EB183/(1+EA$99))</f>
        <v>0</v>
      </c>
      <c r="EB183" s="93">
        <f t="shared" ref="EB183:EB184" si="1024">EB30+(EC183/(1+EB$99))</f>
        <v>0</v>
      </c>
      <c r="EC183" s="93">
        <f t="shared" ref="EC183:EC184" si="1025">EC30+(ED183/(1+EC$99))</f>
        <v>0</v>
      </c>
      <c r="ED183" s="93">
        <f t="shared" ref="ED183:ED184" si="1026">ED30+(EE183/(1+ED$99))</f>
        <v>0</v>
      </c>
      <c r="EE183" s="93">
        <f t="shared" ref="EE183:EE184" si="1027">EE30+(EF183/(1+EE$99))</f>
        <v>0</v>
      </c>
      <c r="EF183" s="93">
        <f t="shared" ref="EF183:EF184" si="1028">EF30+(EG183/(1+EF$99))</f>
        <v>0</v>
      </c>
      <c r="EG183" s="93">
        <f t="shared" ref="EG183:EG184" si="1029">EG30+(EH183/(1+EG$99))</f>
        <v>0</v>
      </c>
      <c r="EH183" s="93">
        <f t="shared" ref="EH183:EH184" si="1030">EH30+(EI183/(1+EH$99))</f>
        <v>0</v>
      </c>
      <c r="EI183" s="93">
        <f t="shared" ref="EI183:EI184" si="1031">EI30+(EJ183/(1+EI$99))</f>
        <v>0</v>
      </c>
      <c r="EJ183" s="93">
        <f t="shared" ref="EJ183:EJ184" si="1032">EJ30+(EK183/(1+EJ$99))</f>
        <v>0</v>
      </c>
      <c r="EK183" s="93">
        <f t="shared" ref="EK183:EK184" si="1033">EK30+(EL183/(1+EK$99))</f>
        <v>0</v>
      </c>
      <c r="EL183" s="93">
        <f t="shared" ref="EL183:EL184" si="1034">EL30+(EM183/(1+EL$99))</f>
        <v>0</v>
      </c>
      <c r="EM183" s="93">
        <f t="shared" ref="EM183:EM184" si="1035">EM30+(EN183/(1+EM$99))</f>
        <v>0</v>
      </c>
      <c r="EN183" s="93">
        <f t="shared" ref="EN183:EN184" si="1036">EN30+(EO183/(1+EN$99))</f>
        <v>0</v>
      </c>
      <c r="EO183" s="93">
        <f t="shared" ref="EO183:EO184" si="1037">EO30+(EP183/(1+EO$99))</f>
        <v>0</v>
      </c>
      <c r="EP183" s="93">
        <f t="shared" ref="EP183:EP184" si="1038">EP30+(EQ183/(1+EP$99))</f>
        <v>0</v>
      </c>
      <c r="EQ183" s="93">
        <f t="shared" ref="EQ183:EQ184" si="1039">EQ30+(ER183/(1+EQ$99))</f>
        <v>0</v>
      </c>
      <c r="ER183" s="93">
        <f t="shared" ref="ER183:ER184" si="1040">ER30+(ES183/(1+ER$99))</f>
        <v>0</v>
      </c>
      <c r="ES183" s="93">
        <f t="shared" ref="ES183:ES184" si="1041">ES30+(ET183/(1+ES$99))</f>
        <v>0</v>
      </c>
      <c r="ET183" s="93">
        <f t="shared" ref="ET183:ET184" si="1042">ET30+(EU183/(1+ET$99))</f>
        <v>0</v>
      </c>
      <c r="EU183" s="93">
        <f t="shared" ref="EU183:EU184" si="1043">EU30+(EV183/(1+EU$99))</f>
        <v>0</v>
      </c>
      <c r="EV183" s="93">
        <f t="shared" ref="EV183:EV184" si="1044">EV30+(EW183/(1+EV$99))</f>
        <v>0</v>
      </c>
      <c r="EW183" s="93">
        <f t="shared" ref="EW183:EW184" si="1045">EW30+(EX183/(1+EW$99))</f>
        <v>0</v>
      </c>
      <c r="EX183" s="93">
        <f t="shared" ref="EX183:EX184" si="1046">EX30+(EY183/(1+EX$99))</f>
        <v>0</v>
      </c>
      <c r="EY183" s="93">
        <f t="shared" ref="EY183:EY184" si="1047">EY30+(EZ183/(1+EY$99))</f>
        <v>0</v>
      </c>
      <c r="EZ183" s="93">
        <f t="shared" ref="EZ183:EZ184" si="1048">EZ30+(FA183/(1+EZ$99))</f>
        <v>0</v>
      </c>
      <c r="FA183" s="93">
        <f t="shared" ref="FA183:FA184" si="1049">FA30+(FB183/(1+FA$99))</f>
        <v>0</v>
      </c>
      <c r="FB183" s="93">
        <f t="shared" ref="FB183:FB184" si="1050">FB30+(FC183/(1+FB$99))</f>
        <v>0</v>
      </c>
      <c r="FC183" s="93">
        <f t="shared" ref="FC183:FC184" si="1051">FC30+(FD183/(1+FC$99))</f>
        <v>0</v>
      </c>
      <c r="FD183" s="93">
        <f t="shared" ref="FD183:FD184" si="1052">FD30+(FE183/(1+FD$99))</f>
        <v>0</v>
      </c>
      <c r="FE183" s="93">
        <f t="shared" ref="FE183:FE184" si="1053">FE30+(FF183/(1+FE$99))</f>
        <v>0</v>
      </c>
      <c r="FF183" s="93">
        <f t="shared" ref="FF183:FF184" si="1054">FF30+(FG183/(1+FF$99))</f>
        <v>0</v>
      </c>
      <c r="FG183" s="93">
        <f t="shared" ref="FG183:FG184" si="1055">FG30+(FH183/(1+FG$99))</f>
        <v>0</v>
      </c>
      <c r="FH183" s="93">
        <f t="shared" ref="FH183:FH184" si="1056">FH30+(FI183/(1+FH$99))</f>
        <v>0</v>
      </c>
      <c r="FI183" s="93">
        <f t="shared" ref="FI183:FI184" si="1057">FI30+(FJ183/(1+FI$99))</f>
        <v>0</v>
      </c>
      <c r="FJ183" s="93">
        <f t="shared" ref="FJ183:FJ184" si="1058">FJ30+(FK183/(1+FJ$99))</f>
        <v>0</v>
      </c>
      <c r="FK183" s="93">
        <f t="shared" ref="FK183:FK184" si="1059">FK30+(FL183/(1+FK$99))</f>
        <v>0</v>
      </c>
      <c r="FL183" s="93">
        <f t="shared" ref="FL183:FL184" si="1060">FL30+(FM183/(1+FL$99))</f>
        <v>0</v>
      </c>
      <c r="FM183" s="93">
        <f t="shared" ref="FM183:FM184" si="1061">FM30+(FN183/(1+FM$99))</f>
        <v>0</v>
      </c>
      <c r="FN183" s="93">
        <f t="shared" ref="FN183:FN184" si="1062">FN30+(FO183/(1+FN$99))</f>
        <v>0</v>
      </c>
      <c r="FO183" s="93">
        <f t="shared" ref="FO183:FO184" si="1063">FO30+(FP183/(1+FO$99))</f>
        <v>0</v>
      </c>
      <c r="FP183" s="93">
        <f t="shared" ref="FP183:FP184" si="1064">FP30+(FQ183/(1+FP$99))</f>
        <v>0</v>
      </c>
      <c r="FQ183" s="93">
        <f t="shared" ref="FQ183:FQ184" si="1065">FQ30+(FR183/(1+FQ$99))</f>
        <v>0</v>
      </c>
      <c r="FR183" s="93">
        <f t="shared" ref="FR183:FR184" si="1066">FR30+(FS183/(1+FR$99))</f>
        <v>0</v>
      </c>
      <c r="FS183" s="93">
        <f t="shared" ref="FS183:FS184" si="1067">FS30+(FT183/(1+FS$99))</f>
        <v>0</v>
      </c>
      <c r="FT183" s="93">
        <f t="shared" ref="FT183:FT184" si="1068">FT30+(FU183/(1+FT$99))</f>
        <v>0</v>
      </c>
      <c r="FU183" s="93">
        <f t="shared" ref="FU183:FU184" si="1069">FU30+(FV183/(1+FU$99))</f>
        <v>0</v>
      </c>
      <c r="FV183" s="93">
        <f t="shared" ref="FV183:FV184" si="1070">FV30+(FW183/(1+FV$99))</f>
        <v>0</v>
      </c>
      <c r="FW183" s="93">
        <f t="shared" ref="FW183:FW184" si="1071">FW30+(FX183/(1+FW$99))</f>
        <v>0</v>
      </c>
      <c r="FX183" s="93">
        <f t="shared" ref="FX183:FX184" si="1072">FX30+(FY183/(1+FX$99))</f>
        <v>0</v>
      </c>
      <c r="FY183" s="93">
        <f t="shared" ref="FY183:FY184" si="1073">FY30+(FZ183/(1+FY$99))</f>
        <v>0</v>
      </c>
      <c r="FZ183" s="59"/>
    </row>
    <row r="184" spans="1:184" x14ac:dyDescent="0.2">
      <c r="A184" s="92" t="s">
        <v>190</v>
      </c>
      <c r="B184" s="93">
        <f>B31+(C184/(1+B$99))</f>
        <v>-92000</v>
      </c>
      <c r="C184" s="93">
        <f t="shared" ref="C184" si="1074">C31+(D184/(1+C$99))</f>
        <v>0</v>
      </c>
      <c r="D184" s="93">
        <f t="shared" si="896"/>
        <v>0</v>
      </c>
      <c r="E184" s="93">
        <f t="shared" si="897"/>
        <v>0</v>
      </c>
      <c r="F184" s="93">
        <f t="shared" si="898"/>
        <v>0</v>
      </c>
      <c r="G184" s="93">
        <f t="shared" si="899"/>
        <v>0</v>
      </c>
      <c r="H184" s="93">
        <f t="shared" si="900"/>
        <v>0</v>
      </c>
      <c r="I184" s="93">
        <f t="shared" si="901"/>
        <v>0</v>
      </c>
      <c r="J184" s="93">
        <f t="shared" si="902"/>
        <v>0</v>
      </c>
      <c r="K184" s="93">
        <f t="shared" si="903"/>
        <v>0</v>
      </c>
      <c r="L184" s="93">
        <f t="shared" si="904"/>
        <v>0</v>
      </c>
      <c r="M184" s="93">
        <f t="shared" si="905"/>
        <v>0</v>
      </c>
      <c r="N184" s="93">
        <f t="shared" si="906"/>
        <v>0</v>
      </c>
      <c r="O184" s="93">
        <f t="shared" si="907"/>
        <v>0</v>
      </c>
      <c r="P184" s="93">
        <f t="shared" si="908"/>
        <v>0</v>
      </c>
      <c r="Q184" s="93">
        <f t="shared" si="909"/>
        <v>0</v>
      </c>
      <c r="R184" s="93">
        <f t="shared" si="910"/>
        <v>0</v>
      </c>
      <c r="S184" s="93">
        <f t="shared" si="911"/>
        <v>0</v>
      </c>
      <c r="T184" s="93">
        <f t="shared" si="912"/>
        <v>0</v>
      </c>
      <c r="U184" s="93">
        <f t="shared" si="913"/>
        <v>0</v>
      </c>
      <c r="V184" s="93">
        <f t="shared" si="914"/>
        <v>0</v>
      </c>
      <c r="W184" s="93">
        <f t="shared" si="915"/>
        <v>0</v>
      </c>
      <c r="X184" s="93">
        <f t="shared" si="916"/>
        <v>0</v>
      </c>
      <c r="Y184" s="93">
        <f t="shared" si="917"/>
        <v>0</v>
      </c>
      <c r="Z184" s="93">
        <f t="shared" si="918"/>
        <v>0</v>
      </c>
      <c r="AA184" s="93">
        <f t="shared" si="919"/>
        <v>0</v>
      </c>
      <c r="AB184" s="93">
        <f t="shared" si="920"/>
        <v>0</v>
      </c>
      <c r="AC184" s="93">
        <f t="shared" si="921"/>
        <v>0</v>
      </c>
      <c r="AD184" s="93">
        <f t="shared" si="922"/>
        <v>0</v>
      </c>
      <c r="AE184" s="93">
        <f t="shared" si="923"/>
        <v>0</v>
      </c>
      <c r="AF184" s="93">
        <f t="shared" si="924"/>
        <v>0</v>
      </c>
      <c r="AG184" s="93">
        <f t="shared" si="925"/>
        <v>0</v>
      </c>
      <c r="AH184" s="93">
        <f t="shared" si="926"/>
        <v>0</v>
      </c>
      <c r="AI184" s="93">
        <f t="shared" si="927"/>
        <v>0</v>
      </c>
      <c r="AJ184" s="93">
        <f t="shared" si="928"/>
        <v>0</v>
      </c>
      <c r="AK184" s="93">
        <f t="shared" si="929"/>
        <v>0</v>
      </c>
      <c r="AL184" s="93">
        <f t="shared" si="930"/>
        <v>0</v>
      </c>
      <c r="AM184" s="93">
        <f t="shared" si="931"/>
        <v>0</v>
      </c>
      <c r="AN184" s="93">
        <f t="shared" si="932"/>
        <v>0</v>
      </c>
      <c r="AO184" s="93">
        <f t="shared" si="933"/>
        <v>0</v>
      </c>
      <c r="AP184" s="93">
        <f t="shared" si="934"/>
        <v>0</v>
      </c>
      <c r="AQ184" s="93">
        <f t="shared" si="935"/>
        <v>0</v>
      </c>
      <c r="AR184" s="93">
        <f t="shared" si="936"/>
        <v>0</v>
      </c>
      <c r="AS184" s="93">
        <f t="shared" si="937"/>
        <v>0</v>
      </c>
      <c r="AT184" s="93">
        <f t="shared" si="938"/>
        <v>0</v>
      </c>
      <c r="AU184" s="93">
        <f t="shared" si="939"/>
        <v>0</v>
      </c>
      <c r="AV184" s="93">
        <f t="shared" si="940"/>
        <v>0</v>
      </c>
      <c r="AW184" s="93">
        <f t="shared" si="941"/>
        <v>0</v>
      </c>
      <c r="AX184" s="93">
        <f t="shared" si="942"/>
        <v>0</v>
      </c>
      <c r="AY184" s="93">
        <f t="shared" si="943"/>
        <v>0</v>
      </c>
      <c r="AZ184" s="93">
        <f t="shared" si="944"/>
        <v>0</v>
      </c>
      <c r="BA184" s="93">
        <f t="shared" si="945"/>
        <v>0</v>
      </c>
      <c r="BB184" s="93">
        <f t="shared" si="946"/>
        <v>0</v>
      </c>
      <c r="BC184" s="93">
        <f t="shared" si="947"/>
        <v>0</v>
      </c>
      <c r="BD184" s="93">
        <f t="shared" si="948"/>
        <v>0</v>
      </c>
      <c r="BE184" s="93">
        <f t="shared" si="949"/>
        <v>0</v>
      </c>
      <c r="BF184" s="93">
        <f t="shared" si="950"/>
        <v>0</v>
      </c>
      <c r="BG184" s="93">
        <f t="shared" si="951"/>
        <v>0</v>
      </c>
      <c r="BH184" s="93">
        <f t="shared" si="952"/>
        <v>0</v>
      </c>
      <c r="BI184" s="93">
        <f t="shared" si="953"/>
        <v>0</v>
      </c>
      <c r="BJ184" s="93">
        <f t="shared" si="954"/>
        <v>0</v>
      </c>
      <c r="BK184" s="93">
        <f t="shared" si="955"/>
        <v>0</v>
      </c>
      <c r="BL184" s="93">
        <f t="shared" si="956"/>
        <v>0</v>
      </c>
      <c r="BM184" s="93">
        <f t="shared" si="957"/>
        <v>0</v>
      </c>
      <c r="BN184" s="93">
        <f t="shared" si="958"/>
        <v>0</v>
      </c>
      <c r="BO184" s="93">
        <f t="shared" si="959"/>
        <v>0</v>
      </c>
      <c r="BP184" s="93">
        <f t="shared" si="960"/>
        <v>0</v>
      </c>
      <c r="BQ184" s="93">
        <f t="shared" si="961"/>
        <v>0</v>
      </c>
      <c r="BR184" s="93">
        <f t="shared" si="962"/>
        <v>0</v>
      </c>
      <c r="BS184" s="93">
        <f t="shared" si="963"/>
        <v>0</v>
      </c>
      <c r="BT184" s="93">
        <f t="shared" si="964"/>
        <v>0</v>
      </c>
      <c r="BU184" s="93">
        <f t="shared" si="965"/>
        <v>0</v>
      </c>
      <c r="BV184" s="93">
        <f t="shared" si="966"/>
        <v>0</v>
      </c>
      <c r="BW184" s="93">
        <f t="shared" si="967"/>
        <v>0</v>
      </c>
      <c r="BX184" s="93">
        <f t="shared" si="968"/>
        <v>0</v>
      </c>
      <c r="BY184" s="93">
        <f t="shared" si="969"/>
        <v>0</v>
      </c>
      <c r="BZ184" s="93">
        <f t="shared" si="970"/>
        <v>0</v>
      </c>
      <c r="CA184" s="93">
        <f t="shared" si="971"/>
        <v>0</v>
      </c>
      <c r="CB184" s="93">
        <f t="shared" si="972"/>
        <v>0</v>
      </c>
      <c r="CC184" s="93">
        <f t="shared" si="973"/>
        <v>0</v>
      </c>
      <c r="CD184" s="93">
        <f t="shared" si="974"/>
        <v>0</v>
      </c>
      <c r="CE184" s="93">
        <f t="shared" si="975"/>
        <v>0</v>
      </c>
      <c r="CF184" s="93">
        <f t="shared" si="976"/>
        <v>0</v>
      </c>
      <c r="CG184" s="93">
        <f t="shared" si="977"/>
        <v>0</v>
      </c>
      <c r="CH184" s="93">
        <f t="shared" si="978"/>
        <v>0</v>
      </c>
      <c r="CI184" s="93">
        <f t="shared" si="979"/>
        <v>0</v>
      </c>
      <c r="CJ184" s="93">
        <f t="shared" si="980"/>
        <v>0</v>
      </c>
      <c r="CK184" s="93">
        <f t="shared" si="981"/>
        <v>0</v>
      </c>
      <c r="CL184" s="93">
        <f t="shared" si="982"/>
        <v>0</v>
      </c>
      <c r="CM184" s="93">
        <f t="shared" si="983"/>
        <v>0</v>
      </c>
      <c r="CN184" s="93">
        <f t="shared" si="984"/>
        <v>0</v>
      </c>
      <c r="CO184" s="93">
        <f t="shared" si="985"/>
        <v>0</v>
      </c>
      <c r="CP184" s="93">
        <f t="shared" si="986"/>
        <v>0</v>
      </c>
      <c r="CQ184" s="93">
        <f t="shared" si="987"/>
        <v>0</v>
      </c>
      <c r="CR184" s="93">
        <f t="shared" si="988"/>
        <v>0</v>
      </c>
      <c r="CS184" s="93">
        <f t="shared" si="989"/>
        <v>0</v>
      </c>
      <c r="CT184" s="93">
        <f t="shared" si="990"/>
        <v>0</v>
      </c>
      <c r="CU184" s="93">
        <f t="shared" si="991"/>
        <v>0</v>
      </c>
      <c r="CV184" s="93">
        <f t="shared" si="992"/>
        <v>0</v>
      </c>
      <c r="CW184" s="93">
        <f t="shared" si="993"/>
        <v>0</v>
      </c>
      <c r="CX184" s="93">
        <f t="shared" si="994"/>
        <v>0</v>
      </c>
      <c r="CY184" s="93">
        <f t="shared" si="995"/>
        <v>0</v>
      </c>
      <c r="CZ184" s="93">
        <f t="shared" si="996"/>
        <v>0</v>
      </c>
      <c r="DA184" s="93">
        <f t="shared" si="997"/>
        <v>0</v>
      </c>
      <c r="DB184" s="93">
        <f t="shared" si="998"/>
        <v>0</v>
      </c>
      <c r="DC184" s="93">
        <f t="shared" si="999"/>
        <v>0</v>
      </c>
      <c r="DD184" s="93">
        <f t="shared" si="1000"/>
        <v>0</v>
      </c>
      <c r="DE184" s="93">
        <f t="shared" si="1001"/>
        <v>0</v>
      </c>
      <c r="DF184" s="93">
        <f t="shared" si="1002"/>
        <v>0</v>
      </c>
      <c r="DG184" s="93">
        <f t="shared" si="1003"/>
        <v>0</v>
      </c>
      <c r="DH184" s="93">
        <f t="shared" si="1004"/>
        <v>0</v>
      </c>
      <c r="DI184" s="93">
        <f t="shared" si="1005"/>
        <v>0</v>
      </c>
      <c r="DJ184" s="93">
        <f t="shared" si="1006"/>
        <v>0</v>
      </c>
      <c r="DK184" s="93">
        <f t="shared" si="1007"/>
        <v>0</v>
      </c>
      <c r="DL184" s="93">
        <f t="shared" si="1008"/>
        <v>0</v>
      </c>
      <c r="DM184" s="93">
        <f t="shared" si="1009"/>
        <v>0</v>
      </c>
      <c r="DN184" s="93">
        <f t="shared" si="1010"/>
        <v>0</v>
      </c>
      <c r="DO184" s="93">
        <f t="shared" si="1011"/>
        <v>0</v>
      </c>
      <c r="DP184" s="93">
        <f t="shared" si="1012"/>
        <v>0</v>
      </c>
      <c r="DQ184" s="93">
        <f t="shared" si="1013"/>
        <v>0</v>
      </c>
      <c r="DR184" s="93">
        <f t="shared" si="1014"/>
        <v>0</v>
      </c>
      <c r="DS184" s="93">
        <f t="shared" si="1015"/>
        <v>0</v>
      </c>
      <c r="DT184" s="93">
        <f t="shared" si="1016"/>
        <v>0</v>
      </c>
      <c r="DU184" s="93">
        <f t="shared" si="1017"/>
        <v>0</v>
      </c>
      <c r="DV184" s="93">
        <f t="shared" si="1018"/>
        <v>0</v>
      </c>
      <c r="DW184" s="93">
        <f t="shared" si="1019"/>
        <v>0</v>
      </c>
      <c r="DX184" s="93">
        <f t="shared" si="1020"/>
        <v>0</v>
      </c>
      <c r="DY184" s="93">
        <f t="shared" si="1021"/>
        <v>0</v>
      </c>
      <c r="DZ184" s="93">
        <f t="shared" si="1022"/>
        <v>0</v>
      </c>
      <c r="EA184" s="93">
        <f t="shared" si="1023"/>
        <v>0</v>
      </c>
      <c r="EB184" s="93">
        <f t="shared" si="1024"/>
        <v>0</v>
      </c>
      <c r="EC184" s="93">
        <f t="shared" si="1025"/>
        <v>0</v>
      </c>
      <c r="ED184" s="93">
        <f t="shared" si="1026"/>
        <v>0</v>
      </c>
      <c r="EE184" s="93">
        <f t="shared" si="1027"/>
        <v>0</v>
      </c>
      <c r="EF184" s="93">
        <f t="shared" si="1028"/>
        <v>0</v>
      </c>
      <c r="EG184" s="93">
        <f t="shared" si="1029"/>
        <v>0</v>
      </c>
      <c r="EH184" s="93">
        <f t="shared" si="1030"/>
        <v>0</v>
      </c>
      <c r="EI184" s="93">
        <f t="shared" si="1031"/>
        <v>0</v>
      </c>
      <c r="EJ184" s="93">
        <f t="shared" si="1032"/>
        <v>0</v>
      </c>
      <c r="EK184" s="93">
        <f t="shared" si="1033"/>
        <v>0</v>
      </c>
      <c r="EL184" s="93">
        <f t="shared" si="1034"/>
        <v>0</v>
      </c>
      <c r="EM184" s="93">
        <f t="shared" si="1035"/>
        <v>0</v>
      </c>
      <c r="EN184" s="93">
        <f t="shared" si="1036"/>
        <v>0</v>
      </c>
      <c r="EO184" s="93">
        <f t="shared" si="1037"/>
        <v>0</v>
      </c>
      <c r="EP184" s="93">
        <f t="shared" si="1038"/>
        <v>0</v>
      </c>
      <c r="EQ184" s="93">
        <f t="shared" si="1039"/>
        <v>0</v>
      </c>
      <c r="ER184" s="93">
        <f t="shared" si="1040"/>
        <v>0</v>
      </c>
      <c r="ES184" s="93">
        <f t="shared" si="1041"/>
        <v>0</v>
      </c>
      <c r="ET184" s="93">
        <f t="shared" si="1042"/>
        <v>0</v>
      </c>
      <c r="EU184" s="93">
        <f t="shared" si="1043"/>
        <v>0</v>
      </c>
      <c r="EV184" s="93">
        <f t="shared" si="1044"/>
        <v>0</v>
      </c>
      <c r="EW184" s="93">
        <f t="shared" si="1045"/>
        <v>0</v>
      </c>
      <c r="EX184" s="93">
        <f t="shared" si="1046"/>
        <v>0</v>
      </c>
      <c r="EY184" s="93">
        <f t="shared" si="1047"/>
        <v>0</v>
      </c>
      <c r="EZ184" s="93">
        <f t="shared" si="1048"/>
        <v>0</v>
      </c>
      <c r="FA184" s="93">
        <f t="shared" si="1049"/>
        <v>0</v>
      </c>
      <c r="FB184" s="93">
        <f t="shared" si="1050"/>
        <v>0</v>
      </c>
      <c r="FC184" s="93">
        <f t="shared" si="1051"/>
        <v>0</v>
      </c>
      <c r="FD184" s="93">
        <f t="shared" si="1052"/>
        <v>0</v>
      </c>
      <c r="FE184" s="93">
        <f t="shared" si="1053"/>
        <v>0</v>
      </c>
      <c r="FF184" s="93">
        <f t="shared" si="1054"/>
        <v>0</v>
      </c>
      <c r="FG184" s="93">
        <f t="shared" si="1055"/>
        <v>0</v>
      </c>
      <c r="FH184" s="93">
        <f t="shared" si="1056"/>
        <v>0</v>
      </c>
      <c r="FI184" s="93">
        <f t="shared" si="1057"/>
        <v>0</v>
      </c>
      <c r="FJ184" s="93">
        <f t="shared" si="1058"/>
        <v>0</v>
      </c>
      <c r="FK184" s="93">
        <f t="shared" si="1059"/>
        <v>0</v>
      </c>
      <c r="FL184" s="93">
        <f t="shared" si="1060"/>
        <v>0</v>
      </c>
      <c r="FM184" s="93">
        <f t="shared" si="1061"/>
        <v>0</v>
      </c>
      <c r="FN184" s="93">
        <f t="shared" si="1062"/>
        <v>0</v>
      </c>
      <c r="FO184" s="93">
        <f t="shared" si="1063"/>
        <v>0</v>
      </c>
      <c r="FP184" s="93">
        <f t="shared" si="1064"/>
        <v>0</v>
      </c>
      <c r="FQ184" s="93">
        <f t="shared" si="1065"/>
        <v>0</v>
      </c>
      <c r="FR184" s="93">
        <f t="shared" si="1066"/>
        <v>0</v>
      </c>
      <c r="FS184" s="93">
        <f t="shared" si="1067"/>
        <v>0</v>
      </c>
      <c r="FT184" s="93">
        <f t="shared" si="1068"/>
        <v>0</v>
      </c>
      <c r="FU184" s="93">
        <f t="shared" si="1069"/>
        <v>0</v>
      </c>
      <c r="FV184" s="93">
        <f t="shared" si="1070"/>
        <v>0</v>
      </c>
      <c r="FW184" s="93">
        <f t="shared" si="1071"/>
        <v>0</v>
      </c>
      <c r="FX184" s="93">
        <f t="shared" si="1072"/>
        <v>0</v>
      </c>
      <c r="FY184" s="93">
        <f t="shared" si="1073"/>
        <v>0</v>
      </c>
      <c r="FZ184" s="59"/>
    </row>
    <row r="185" spans="1:184" x14ac:dyDescent="0.2">
      <c r="A185" s="92" t="s">
        <v>399</v>
      </c>
      <c r="B185" s="93">
        <f>(B32+C185)/(1+B$99)</f>
        <v>-84063.726003759861</v>
      </c>
      <c r="C185" s="93">
        <f t="shared" ref="C185" si="1075">(C32+D185)/(1+C$99)</f>
        <v>-79970.436768829619</v>
      </c>
      <c r="D185" s="93">
        <f t="shared" ref="D185" si="1076">(D32+E185)/(1+D$99)</f>
        <v>-75954.740425517564</v>
      </c>
      <c r="E185" s="93">
        <f t="shared" ref="E185" si="1077">(E32+F185)/(1+E$99)</f>
        <v>-72018.323833674571</v>
      </c>
      <c r="F185" s="93">
        <f t="shared" ref="F185" si="1078">(F32+G185)/(1+F$99)</f>
        <v>-68162.902559781825</v>
      </c>
      <c r="G185" s="93">
        <f t="shared" ref="G185" si="1079">(G32+H185)/(1+G$99)</f>
        <v>-64390.221337722149</v>
      </c>
      <c r="H185" s="93">
        <f t="shared" ref="H185" si="1080">(H32+I185)/(1+H$99)</f>
        <v>-60702.054536893702</v>
      </c>
      <c r="I185" s="93">
        <f t="shared" ref="I185" si="1081">(I32+J185)/(1+I$99)</f>
        <v>-57100.206637690651</v>
      </c>
      <c r="J185" s="93">
        <f t="shared" ref="J185" si="1082">(J32+K185)/(1+J$99)</f>
        <v>-53586.512714508077</v>
      </c>
      <c r="K185" s="93">
        <f t="shared" ref="K185" si="1083">(K32+L185)/(1+K$99)</f>
        <v>-50162.838926401782</v>
      </c>
      <c r="L185" s="93">
        <f t="shared" ref="L185" si="1084">(L32+M185)/(1+L$99)</f>
        <v>-46831.083015498058</v>
      </c>
      <c r="M185" s="93">
        <f t="shared" ref="M185" si="1085">(M32+N185)/(1+M$99)</f>
        <v>-43593.174813248253</v>
      </c>
      <c r="N185" s="93">
        <f t="shared" ref="N185" si="1086">(N32+O185)/(1+N$99)</f>
        <v>-40451.076754755624</v>
      </c>
      <c r="O185" s="93">
        <f t="shared" ref="O185" si="1087">(O32+P185)/(1+O$99)</f>
        <v>-37406.784401163</v>
      </c>
      <c r="P185" s="93">
        <f t="shared" ref="P185" si="1088">(P32+Q185)/(1+P$99)</f>
        <v>-34464.955446306354</v>
      </c>
      <c r="Q185" s="93">
        <f t="shared" ref="Q185" si="1089">(Q32+R185)/(1+Q$99)</f>
        <v>-31627.46852714166</v>
      </c>
      <c r="R185" s="93">
        <f t="shared" ref="R185" si="1090">(R32+S185)/(1+R$99)</f>
        <v>-28896.232274251539</v>
      </c>
      <c r="S185" s="93">
        <f t="shared" ref="S185" si="1091">(S32+T185)/(1+S$99)</f>
        <v>-26273.185765823968</v>
      </c>
      <c r="T185" s="93">
        <f t="shared" ref="T185" si="1092">(T32+U185)/(1+T$99)</f>
        <v>-23760.298988458486</v>
      </c>
      <c r="U185" s="93">
        <f t="shared" ref="U185" si="1093">(U32+V185)/(1+U$99)</f>
        <v>-21359.573304804126</v>
      </c>
      <c r="V185" s="93">
        <f t="shared" ref="V185" si="1094">(V32+W185)/(1+V$99)</f>
        <v>-19073.041928242219</v>
      </c>
      <c r="W185" s="93">
        <f t="shared" ref="W185" si="1095">(W32+X185)/(1+W$99)</f>
        <v>-16902.770404634237</v>
      </c>
      <c r="X185" s="93">
        <f t="shared" ref="X185" si="1096">(X32+Y185)/(1+X$99)</f>
        <v>-14850.857101258796</v>
      </c>
      <c r="Y185" s="93">
        <f t="shared" ref="Y185" si="1097">(Y32+Z185)/(1+Y$99)</f>
        <v>-12919.433703078241</v>
      </c>
      <c r="Z185" s="93">
        <f t="shared" ref="Z185" si="1098">(Z32+AA185)/(1+Z$99)</f>
        <v>-11110.665716430893</v>
      </c>
      <c r="AA185" s="93">
        <f t="shared" ref="AA185" si="1099">(AA32+AB185)/(1+AA$99)</f>
        <v>-9426.7529802009922</v>
      </c>
      <c r="AB185" s="93">
        <f t="shared" ref="AB185" si="1100">(AB32+AC185)/(1+AB$99)</f>
        <v>-7871.2955500934513</v>
      </c>
      <c r="AC185" s="93">
        <f t="shared" ref="AC185" si="1101">(AC32+AD185)/(1+AC$99)</f>
        <v>-6446.3357145741957</v>
      </c>
      <c r="AD185" s="93">
        <f t="shared" ref="AD185" si="1102">(AD32+AE185)/(1+AD$99)</f>
        <v>-5153.9465200080422</v>
      </c>
      <c r="AE185" s="93">
        <f t="shared" ref="AE185" si="1103">(AE32+AF185)/(1+AE$99)</f>
        <v>-3996.2322078438301</v>
      </c>
      <c r="AF185" s="93">
        <f t="shared" ref="AF185" si="1104">(AF32+AG185)/(1+AF$99)</f>
        <v>-2975.3286579055316</v>
      </c>
      <c r="AG185" s="93">
        <f t="shared" ref="AG185" si="1105">(AG32+AH185)/(1+AG$99)</f>
        <v>-2093.4038379476683</v>
      </c>
      <c r="AH185" s="93">
        <f t="shared" ref="AH185" si="1106">(AH32+AI185)/(1+AH$99)</f>
        <v>-1352.6582595231027</v>
      </c>
      <c r="AI185" s="93">
        <f t="shared" ref="AI185" si="1107">(AI32+AJ185)/(1+AI$99)</f>
        <v>-755.32544029226767</v>
      </c>
      <c r="AJ185" s="93">
        <f t="shared" ref="AJ185" si="1108">(AJ32+AK185)/(1+AJ$99)</f>
        <v>-303.67237282397912</v>
      </c>
      <c r="AK185" s="93">
        <f t="shared" ref="AK185" si="1109">(AK32+AL185)/(1+AK$99)</f>
        <v>0</v>
      </c>
      <c r="AL185" s="93">
        <f t="shared" ref="AL185" si="1110">(AL32+AM185)/(1+AL$99)</f>
        <v>0</v>
      </c>
      <c r="AM185" s="93">
        <f t="shared" ref="AM185" si="1111">(AM32+AN185)/(1+AM$99)</f>
        <v>0</v>
      </c>
      <c r="AN185" s="93">
        <f t="shared" ref="AN185" si="1112">(AN32+AO185)/(1+AN$99)</f>
        <v>0</v>
      </c>
      <c r="AO185" s="93">
        <f t="shared" ref="AO185" si="1113">(AO32+AP185)/(1+AO$99)</f>
        <v>0</v>
      </c>
      <c r="AP185" s="93">
        <f t="shared" ref="AP185" si="1114">(AP32+AQ185)/(1+AP$99)</f>
        <v>0</v>
      </c>
      <c r="AQ185" s="93">
        <f t="shared" ref="AQ185" si="1115">(AQ32+AR185)/(1+AQ$99)</f>
        <v>0</v>
      </c>
      <c r="AR185" s="93">
        <f t="shared" ref="AR185" si="1116">(AR32+AS185)/(1+AR$99)</f>
        <v>0</v>
      </c>
      <c r="AS185" s="93">
        <f t="shared" ref="AS185" si="1117">(AS32+AT185)/(1+AS$99)</f>
        <v>0</v>
      </c>
      <c r="AT185" s="93">
        <f t="shared" ref="AT185" si="1118">(AT32+AU185)/(1+AT$99)</f>
        <v>0</v>
      </c>
      <c r="AU185" s="93">
        <f t="shared" ref="AU185" si="1119">(AU32+AV185)/(1+AU$99)</f>
        <v>0</v>
      </c>
      <c r="AV185" s="93">
        <f t="shared" ref="AV185" si="1120">(AV32+AW185)/(1+AV$99)</f>
        <v>0</v>
      </c>
      <c r="AW185" s="93">
        <f t="shared" ref="AW185" si="1121">(AW32+AX185)/(1+AW$99)</f>
        <v>0</v>
      </c>
      <c r="AX185" s="93">
        <f t="shared" ref="AX185" si="1122">(AX32+AY185)/(1+AX$99)</f>
        <v>0</v>
      </c>
      <c r="AY185" s="93">
        <f t="shared" ref="AY185" si="1123">(AY32+AZ185)/(1+AY$99)</f>
        <v>0</v>
      </c>
      <c r="AZ185" s="93">
        <f t="shared" ref="AZ185" si="1124">(AZ32+BA185)/(1+AZ$99)</f>
        <v>0</v>
      </c>
      <c r="BA185" s="93">
        <f t="shared" ref="BA185" si="1125">(BA32+BB185)/(1+BA$99)</f>
        <v>0</v>
      </c>
      <c r="BB185" s="93">
        <f t="shared" ref="BB185" si="1126">(BB32+BC185)/(1+BB$99)</f>
        <v>0</v>
      </c>
      <c r="BC185" s="93">
        <f t="shared" ref="BC185" si="1127">(BC32+BD185)/(1+BC$99)</f>
        <v>0</v>
      </c>
      <c r="BD185" s="93">
        <f t="shared" ref="BD185" si="1128">(BD32+BE185)/(1+BD$99)</f>
        <v>0</v>
      </c>
      <c r="BE185" s="93">
        <f t="shared" ref="BE185" si="1129">(BE32+BF185)/(1+BE$99)</f>
        <v>0</v>
      </c>
      <c r="BF185" s="93">
        <f t="shared" ref="BF185" si="1130">(BF32+BG185)/(1+BF$99)</f>
        <v>0</v>
      </c>
      <c r="BG185" s="93">
        <f t="shared" ref="BG185" si="1131">(BG32+BH185)/(1+BG$99)</f>
        <v>0</v>
      </c>
      <c r="BH185" s="93">
        <f t="shared" ref="BH185" si="1132">(BH32+BI185)/(1+BH$99)</f>
        <v>0</v>
      </c>
      <c r="BI185" s="93">
        <f t="shared" ref="BI185" si="1133">(BI32+BJ185)/(1+BI$99)</f>
        <v>0</v>
      </c>
      <c r="BJ185" s="93">
        <f t="shared" ref="BJ185" si="1134">(BJ32+BK185)/(1+BJ$99)</f>
        <v>0</v>
      </c>
      <c r="BK185" s="93">
        <f t="shared" ref="BK185" si="1135">(BK32+BL185)/(1+BK$99)</f>
        <v>0</v>
      </c>
      <c r="BL185" s="93">
        <f t="shared" ref="BL185" si="1136">(BL32+BM185)/(1+BL$99)</f>
        <v>0</v>
      </c>
      <c r="BM185" s="93">
        <f t="shared" ref="BM185" si="1137">(BM32+BN185)/(1+BM$99)</f>
        <v>0</v>
      </c>
      <c r="BN185" s="93">
        <f t="shared" ref="BN185" si="1138">(BN32+BO185)/(1+BN$99)</f>
        <v>0</v>
      </c>
      <c r="BO185" s="93">
        <f t="shared" ref="BO185" si="1139">(BO32+BP185)/(1+BO$99)</f>
        <v>0</v>
      </c>
      <c r="BP185" s="93">
        <f t="shared" ref="BP185" si="1140">(BP32+BQ185)/(1+BP$99)</f>
        <v>0</v>
      </c>
      <c r="BQ185" s="93">
        <f t="shared" ref="BQ185" si="1141">(BQ32+BR185)/(1+BQ$99)</f>
        <v>0</v>
      </c>
      <c r="BR185" s="93">
        <f t="shared" ref="BR185" si="1142">(BR32+BS185)/(1+BR$99)</f>
        <v>0</v>
      </c>
      <c r="BS185" s="93">
        <f t="shared" ref="BS185" si="1143">(BS32+BT185)/(1+BS$99)</f>
        <v>0</v>
      </c>
      <c r="BT185" s="93">
        <f t="shared" ref="BT185" si="1144">(BT32+BU185)/(1+BT$99)</f>
        <v>0</v>
      </c>
      <c r="BU185" s="93">
        <f t="shared" ref="BU185" si="1145">(BU32+BV185)/(1+BU$99)</f>
        <v>0</v>
      </c>
      <c r="BV185" s="93">
        <f t="shared" ref="BV185" si="1146">(BV32+BW185)/(1+BV$99)</f>
        <v>0</v>
      </c>
      <c r="BW185" s="93">
        <f t="shared" ref="BW185" si="1147">(BW32+BX185)/(1+BW$99)</f>
        <v>0</v>
      </c>
      <c r="BX185" s="93">
        <f t="shared" ref="BX185" si="1148">(BX32+BY185)/(1+BX$99)</f>
        <v>0</v>
      </c>
      <c r="BY185" s="93">
        <f t="shared" ref="BY185" si="1149">(BY32+BZ185)/(1+BY$99)</f>
        <v>0</v>
      </c>
      <c r="BZ185" s="93">
        <f t="shared" ref="BZ185" si="1150">(BZ32+CA185)/(1+BZ$99)</f>
        <v>0</v>
      </c>
      <c r="CA185" s="93">
        <f t="shared" ref="CA185" si="1151">(CA32+CB185)/(1+CA$99)</f>
        <v>0</v>
      </c>
      <c r="CB185" s="93">
        <f t="shared" ref="CB185" si="1152">(CB32+CC185)/(1+CB$99)</f>
        <v>0</v>
      </c>
      <c r="CC185" s="93">
        <f t="shared" ref="CC185" si="1153">(CC32+CD185)/(1+CC$99)</f>
        <v>0</v>
      </c>
      <c r="CD185" s="93">
        <f t="shared" ref="CD185" si="1154">(CD32+CE185)/(1+CD$99)</f>
        <v>0</v>
      </c>
      <c r="CE185" s="93">
        <f t="shared" ref="CE185" si="1155">(CE32+CF185)/(1+CE$99)</f>
        <v>0</v>
      </c>
      <c r="CF185" s="93">
        <f t="shared" ref="CF185" si="1156">(CF32+CG185)/(1+CF$99)</f>
        <v>0</v>
      </c>
      <c r="CG185" s="93">
        <f t="shared" ref="CG185" si="1157">(CG32+CH185)/(1+CG$99)</f>
        <v>0</v>
      </c>
      <c r="CH185" s="93">
        <f t="shared" ref="CH185" si="1158">(CH32+CI185)/(1+CH$99)</f>
        <v>0</v>
      </c>
      <c r="CI185" s="93">
        <f t="shared" ref="CI185" si="1159">(CI32+CJ185)/(1+CI$99)</f>
        <v>0</v>
      </c>
      <c r="CJ185" s="93">
        <f t="shared" ref="CJ185" si="1160">(CJ32+CK185)/(1+CJ$99)</f>
        <v>0</v>
      </c>
      <c r="CK185" s="93">
        <f t="shared" ref="CK185" si="1161">(CK32+CL185)/(1+CK$99)</f>
        <v>0</v>
      </c>
      <c r="CL185" s="93">
        <f t="shared" ref="CL185" si="1162">(CL32+CM185)/(1+CL$99)</f>
        <v>0</v>
      </c>
      <c r="CM185" s="93">
        <f t="shared" ref="CM185" si="1163">(CM32+CN185)/(1+CM$99)</f>
        <v>0</v>
      </c>
      <c r="CN185" s="93">
        <f t="shared" ref="CN185" si="1164">(CN32+CO185)/(1+CN$99)</f>
        <v>0</v>
      </c>
      <c r="CO185" s="93">
        <f t="shared" ref="CO185" si="1165">(CO32+CP185)/(1+CO$99)</f>
        <v>0</v>
      </c>
      <c r="CP185" s="93">
        <f t="shared" ref="CP185" si="1166">(CP32+CQ185)/(1+CP$99)</f>
        <v>0</v>
      </c>
      <c r="CQ185" s="93">
        <f t="shared" ref="CQ185" si="1167">(CQ32+CR185)/(1+CQ$99)</f>
        <v>0</v>
      </c>
      <c r="CR185" s="93">
        <f t="shared" ref="CR185" si="1168">(CR32+CS185)/(1+CR$99)</f>
        <v>0</v>
      </c>
      <c r="CS185" s="93">
        <f t="shared" ref="CS185" si="1169">(CS32+CT185)/(1+CS$99)</f>
        <v>0</v>
      </c>
      <c r="CT185" s="93">
        <f t="shared" ref="CT185" si="1170">(CT32+CU185)/(1+CT$99)</f>
        <v>0</v>
      </c>
      <c r="CU185" s="93">
        <f t="shared" ref="CU185" si="1171">(CU32+CV185)/(1+CU$99)</f>
        <v>0</v>
      </c>
      <c r="CV185" s="93">
        <f t="shared" ref="CV185" si="1172">(CV32+CW185)/(1+CV$99)</f>
        <v>0</v>
      </c>
      <c r="CW185" s="93">
        <f t="shared" ref="CW185" si="1173">(CW32+CX185)/(1+CW$99)</f>
        <v>0</v>
      </c>
      <c r="CX185" s="93">
        <f t="shared" ref="CX185" si="1174">(CX32+CY185)/(1+CX$99)</f>
        <v>0</v>
      </c>
      <c r="CY185" s="93">
        <f t="shared" ref="CY185" si="1175">(CY32+CZ185)/(1+CY$99)</f>
        <v>0</v>
      </c>
      <c r="CZ185" s="93">
        <f t="shared" ref="CZ185" si="1176">(CZ32+DA185)/(1+CZ$99)</f>
        <v>0</v>
      </c>
      <c r="DA185" s="93">
        <f t="shared" ref="DA185" si="1177">(DA32+DB185)/(1+DA$99)</f>
        <v>0</v>
      </c>
      <c r="DB185" s="93">
        <f t="shared" ref="DB185" si="1178">(DB32+DC185)/(1+DB$99)</f>
        <v>0</v>
      </c>
      <c r="DC185" s="93">
        <f t="shared" ref="DC185" si="1179">(DC32+DD185)/(1+DC$99)</f>
        <v>0</v>
      </c>
      <c r="DD185" s="93">
        <f t="shared" ref="DD185" si="1180">(DD32+DE185)/(1+DD$99)</f>
        <v>0</v>
      </c>
      <c r="DE185" s="93">
        <f t="shared" ref="DE185" si="1181">(DE32+DF185)/(1+DE$99)</f>
        <v>0</v>
      </c>
      <c r="DF185" s="93">
        <f t="shared" ref="DF185" si="1182">(DF32+DG185)/(1+DF$99)</f>
        <v>0</v>
      </c>
      <c r="DG185" s="93">
        <f t="shared" ref="DG185" si="1183">(DG32+DH185)/(1+DG$99)</f>
        <v>0</v>
      </c>
      <c r="DH185" s="93">
        <f t="shared" ref="DH185" si="1184">(DH32+DI185)/(1+DH$99)</f>
        <v>0</v>
      </c>
      <c r="DI185" s="93">
        <f t="shared" ref="DI185" si="1185">(DI32+DJ185)/(1+DI$99)</f>
        <v>0</v>
      </c>
      <c r="DJ185" s="93">
        <f t="shared" ref="DJ185" si="1186">(DJ32+DK185)/(1+DJ$99)</f>
        <v>0</v>
      </c>
      <c r="DK185" s="93">
        <f t="shared" ref="DK185" si="1187">(DK32+DL185)/(1+DK$99)</f>
        <v>0</v>
      </c>
      <c r="DL185" s="93">
        <f t="shared" ref="DL185" si="1188">(DL32+DM185)/(1+DL$99)</f>
        <v>0</v>
      </c>
      <c r="DM185" s="93">
        <f t="shared" ref="DM185" si="1189">(DM32+DN185)/(1+DM$99)</f>
        <v>0</v>
      </c>
      <c r="DN185" s="93">
        <f t="shared" ref="DN185" si="1190">(DN32+DO185)/(1+DN$99)</f>
        <v>0</v>
      </c>
      <c r="DO185" s="93">
        <f t="shared" ref="DO185" si="1191">(DO32+DP185)/(1+DO$99)</f>
        <v>0</v>
      </c>
      <c r="DP185" s="93">
        <f t="shared" ref="DP185" si="1192">(DP32+DQ185)/(1+DP$99)</f>
        <v>0</v>
      </c>
      <c r="DQ185" s="93">
        <f t="shared" ref="DQ185" si="1193">(DQ32+DR185)/(1+DQ$99)</f>
        <v>0</v>
      </c>
      <c r="DR185" s="93">
        <f t="shared" ref="DR185" si="1194">(DR32+DS185)/(1+DR$99)</f>
        <v>0</v>
      </c>
      <c r="DS185" s="93">
        <f t="shared" ref="DS185" si="1195">(DS32+DT185)/(1+DS$99)</f>
        <v>0</v>
      </c>
      <c r="DT185" s="93">
        <f t="shared" ref="DT185" si="1196">(DT32+DU185)/(1+DT$99)</f>
        <v>0</v>
      </c>
      <c r="DU185" s="93">
        <f t="shared" ref="DU185" si="1197">(DU32+DV185)/(1+DU$99)</f>
        <v>0</v>
      </c>
      <c r="DV185" s="93">
        <f t="shared" ref="DV185" si="1198">(DV32+DW185)/(1+DV$99)</f>
        <v>0</v>
      </c>
      <c r="DW185" s="93">
        <f t="shared" ref="DW185" si="1199">(DW32+DX185)/(1+DW$99)</f>
        <v>0</v>
      </c>
      <c r="DX185" s="93">
        <f t="shared" ref="DX185" si="1200">(DX32+DY185)/(1+DX$99)</f>
        <v>0</v>
      </c>
      <c r="DY185" s="93">
        <f t="shared" ref="DY185" si="1201">(DY32+DZ185)/(1+DY$99)</f>
        <v>0</v>
      </c>
      <c r="DZ185" s="93">
        <f t="shared" ref="DZ185" si="1202">(DZ32+EA185)/(1+DZ$99)</f>
        <v>0</v>
      </c>
      <c r="EA185" s="93">
        <f t="shared" ref="EA185" si="1203">(EA32+EB185)/(1+EA$99)</f>
        <v>0</v>
      </c>
      <c r="EB185" s="93">
        <f t="shared" ref="EB185" si="1204">(EB32+EC185)/(1+EB$99)</f>
        <v>0</v>
      </c>
      <c r="EC185" s="93">
        <f t="shared" ref="EC185" si="1205">(EC32+ED185)/(1+EC$99)</f>
        <v>0</v>
      </c>
      <c r="ED185" s="93">
        <f t="shared" ref="ED185" si="1206">(ED32+EE185)/(1+ED$99)</f>
        <v>0</v>
      </c>
      <c r="EE185" s="93">
        <f t="shared" ref="EE185" si="1207">(EE32+EF185)/(1+EE$99)</f>
        <v>0</v>
      </c>
      <c r="EF185" s="93">
        <f t="shared" ref="EF185" si="1208">(EF32+EG185)/(1+EF$99)</f>
        <v>0</v>
      </c>
      <c r="EG185" s="93">
        <f t="shared" ref="EG185" si="1209">(EG32+EH185)/(1+EG$99)</f>
        <v>0</v>
      </c>
      <c r="EH185" s="93">
        <f t="shared" ref="EH185" si="1210">(EH32+EI185)/(1+EH$99)</f>
        <v>0</v>
      </c>
      <c r="EI185" s="93">
        <f t="shared" ref="EI185" si="1211">(EI32+EJ185)/(1+EI$99)</f>
        <v>0</v>
      </c>
      <c r="EJ185" s="93">
        <f t="shared" ref="EJ185" si="1212">(EJ32+EK185)/(1+EJ$99)</f>
        <v>0</v>
      </c>
      <c r="EK185" s="93">
        <f t="shared" ref="EK185" si="1213">(EK32+EL185)/(1+EK$99)</f>
        <v>0</v>
      </c>
      <c r="EL185" s="93">
        <f t="shared" ref="EL185" si="1214">(EL32+EM185)/(1+EL$99)</f>
        <v>0</v>
      </c>
      <c r="EM185" s="93">
        <f t="shared" ref="EM185" si="1215">(EM32+EN185)/(1+EM$99)</f>
        <v>0</v>
      </c>
      <c r="EN185" s="93">
        <f t="shared" ref="EN185" si="1216">(EN32+EO185)/(1+EN$99)</f>
        <v>0</v>
      </c>
      <c r="EO185" s="93">
        <f t="shared" ref="EO185" si="1217">(EO32+EP185)/(1+EO$99)</f>
        <v>0</v>
      </c>
      <c r="EP185" s="93">
        <f t="shared" ref="EP185" si="1218">(EP32+EQ185)/(1+EP$99)</f>
        <v>0</v>
      </c>
      <c r="EQ185" s="93">
        <f t="shared" ref="EQ185" si="1219">(EQ32+ER185)/(1+EQ$99)</f>
        <v>0</v>
      </c>
      <c r="ER185" s="93">
        <f t="shared" ref="ER185" si="1220">(ER32+ES185)/(1+ER$99)</f>
        <v>0</v>
      </c>
      <c r="ES185" s="93">
        <f t="shared" ref="ES185" si="1221">(ES32+ET185)/(1+ES$99)</f>
        <v>0</v>
      </c>
      <c r="ET185" s="93">
        <f t="shared" ref="ET185" si="1222">(ET32+EU185)/(1+ET$99)</f>
        <v>0</v>
      </c>
      <c r="EU185" s="93">
        <f t="shared" ref="EU185" si="1223">(EU32+EV185)/(1+EU$99)</f>
        <v>0</v>
      </c>
      <c r="EV185" s="93">
        <f t="shared" ref="EV185" si="1224">(EV32+EW185)/(1+EV$99)</f>
        <v>0</v>
      </c>
      <c r="EW185" s="93">
        <f t="shared" ref="EW185" si="1225">(EW32+EX185)/(1+EW$99)</f>
        <v>0</v>
      </c>
      <c r="EX185" s="93">
        <f t="shared" ref="EX185" si="1226">(EX32+EY185)/(1+EX$99)</f>
        <v>0</v>
      </c>
      <c r="EY185" s="93">
        <f t="shared" ref="EY185" si="1227">(EY32+EZ185)/(1+EY$99)</f>
        <v>0</v>
      </c>
      <c r="EZ185" s="93">
        <f t="shared" ref="EZ185" si="1228">(EZ32+FA185)/(1+EZ$99)</f>
        <v>0</v>
      </c>
      <c r="FA185" s="93">
        <f t="shared" ref="FA185" si="1229">(FA32+FB185)/(1+FA$99)</f>
        <v>0</v>
      </c>
      <c r="FB185" s="93">
        <f t="shared" ref="FB185" si="1230">(FB32+FC185)/(1+FB$99)</f>
        <v>0</v>
      </c>
      <c r="FC185" s="93">
        <f t="shared" ref="FC185" si="1231">(FC32+FD185)/(1+FC$99)</f>
        <v>0</v>
      </c>
      <c r="FD185" s="93">
        <f t="shared" ref="FD185" si="1232">(FD32+FE185)/(1+FD$99)</f>
        <v>0</v>
      </c>
      <c r="FE185" s="93">
        <f t="shared" ref="FE185" si="1233">(FE32+FF185)/(1+FE$99)</f>
        <v>0</v>
      </c>
      <c r="FF185" s="93">
        <f t="shared" ref="FF185" si="1234">(FF32+FG185)/(1+FF$99)</f>
        <v>0</v>
      </c>
      <c r="FG185" s="93">
        <f t="shared" ref="FG185" si="1235">(FG32+FH185)/(1+FG$99)</f>
        <v>0</v>
      </c>
      <c r="FH185" s="93">
        <f t="shared" ref="FH185" si="1236">(FH32+FI185)/(1+FH$99)</f>
        <v>0</v>
      </c>
      <c r="FI185" s="93">
        <f t="shared" ref="FI185" si="1237">(FI32+FJ185)/(1+FI$99)</f>
        <v>0</v>
      </c>
      <c r="FJ185" s="93">
        <f t="shared" ref="FJ185" si="1238">(FJ32+FK185)/(1+FJ$99)</f>
        <v>0</v>
      </c>
      <c r="FK185" s="93">
        <f t="shared" ref="FK185" si="1239">(FK32+FL185)/(1+FK$99)</f>
        <v>0</v>
      </c>
      <c r="FL185" s="93">
        <f t="shared" ref="FL185" si="1240">(FL32+FM185)/(1+FL$99)</f>
        <v>0</v>
      </c>
      <c r="FM185" s="93">
        <f t="shared" ref="FM185" si="1241">(FM32+FN185)/(1+FM$99)</f>
        <v>0</v>
      </c>
      <c r="FN185" s="93">
        <f t="shared" ref="FN185" si="1242">(FN32+FO185)/(1+FN$99)</f>
        <v>0</v>
      </c>
      <c r="FO185" s="93">
        <f t="shared" ref="FO185" si="1243">(FO32+FP185)/(1+FO$99)</f>
        <v>0</v>
      </c>
      <c r="FP185" s="93">
        <f t="shared" ref="FP185" si="1244">(FP32+FQ185)/(1+FP$99)</f>
        <v>0</v>
      </c>
      <c r="FQ185" s="93">
        <f t="shared" ref="FQ185" si="1245">(FQ32+FR185)/(1+FQ$99)</f>
        <v>0</v>
      </c>
      <c r="FR185" s="93">
        <f t="shared" ref="FR185" si="1246">(FR32+FS185)/(1+FR$99)</f>
        <v>0</v>
      </c>
      <c r="FS185" s="93">
        <f t="shared" ref="FS185" si="1247">(FS32+FT185)/(1+FS$99)</f>
        <v>0</v>
      </c>
      <c r="FT185" s="93">
        <f t="shared" ref="FT185" si="1248">(FT32+FU185)/(1+FT$99)</f>
        <v>0</v>
      </c>
      <c r="FU185" s="93">
        <f t="shared" ref="FU185" si="1249">(FU32+FV185)/(1+FU$99)</f>
        <v>0</v>
      </c>
      <c r="FV185" s="93">
        <f t="shared" ref="FV185" si="1250">(FV32+FW185)/(1+FV$99)</f>
        <v>0</v>
      </c>
      <c r="FW185" s="93">
        <f t="shared" ref="FW185" si="1251">(FW32+FX185)/(1+FW$99)</f>
        <v>0</v>
      </c>
      <c r="FX185" s="93">
        <f t="shared" ref="FX185" si="1252">(FX32+FY185)/(1+FX$99)</f>
        <v>0</v>
      </c>
      <c r="FY185" s="93">
        <f t="shared" ref="FY185" si="1253">(FY32+FZ185)/(1+FY$99)</f>
        <v>0</v>
      </c>
      <c r="FZ185" s="59"/>
      <c r="GB185" s="1"/>
    </row>
    <row r="186" spans="1:184" x14ac:dyDescent="0.2">
      <c r="A186" s="66" t="s">
        <v>192</v>
      </c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  <c r="AK186" s="67"/>
      <c r="AL186" s="67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  <c r="BI186" s="67"/>
      <c r="BJ186" s="67"/>
      <c r="BK186" s="67"/>
      <c r="BL186" s="67"/>
      <c r="BM186" s="67"/>
      <c r="BN186" s="67"/>
      <c r="BO186" s="67"/>
      <c r="BP186" s="67"/>
      <c r="BQ186" s="67"/>
      <c r="BR186" s="67"/>
      <c r="BS186" s="67"/>
      <c r="BT186" s="67"/>
      <c r="BU186" s="67"/>
      <c r="BV186" s="67"/>
      <c r="BW186" s="67"/>
      <c r="BX186" s="67"/>
      <c r="BY186" s="67"/>
      <c r="BZ186" s="67"/>
      <c r="CA186" s="67"/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7"/>
      <c r="DW186" s="67"/>
      <c r="DX186" s="67"/>
      <c r="DY186" s="67"/>
      <c r="DZ186" s="67"/>
      <c r="EA186" s="67"/>
      <c r="EB186" s="67"/>
      <c r="EC186" s="67"/>
      <c r="ED186" s="67"/>
      <c r="EE186" s="67"/>
      <c r="EF186" s="67"/>
      <c r="EG186" s="67"/>
      <c r="EH186" s="67"/>
      <c r="EI186" s="67"/>
      <c r="EJ186" s="67"/>
      <c r="EK186" s="67"/>
      <c r="EL186" s="67"/>
      <c r="EM186" s="67"/>
      <c r="EN186" s="67"/>
      <c r="EO186" s="67"/>
      <c r="EP186" s="67"/>
      <c r="EQ186" s="67"/>
      <c r="ER186" s="67"/>
      <c r="ES186" s="67"/>
      <c r="ET186" s="67"/>
      <c r="EU186" s="67"/>
      <c r="EV186" s="67"/>
      <c r="EW186" s="67"/>
      <c r="EX186" s="67"/>
      <c r="EY186" s="67"/>
      <c r="EZ186" s="67"/>
      <c r="FA186" s="67"/>
      <c r="FB186" s="67"/>
      <c r="FC186" s="67"/>
      <c r="FD186" s="67"/>
      <c r="FE186" s="67"/>
      <c r="FF186" s="67"/>
      <c r="FG186" s="67"/>
      <c r="FH186" s="67"/>
      <c r="FI186" s="67"/>
      <c r="FJ186" s="67"/>
      <c r="FK186" s="67"/>
      <c r="FL186" s="67"/>
      <c r="FM186" s="67"/>
      <c r="FN186" s="67"/>
      <c r="FO186" s="67"/>
      <c r="FP186" s="67"/>
      <c r="FQ186" s="67"/>
      <c r="FR186" s="67"/>
      <c r="FS186" s="67"/>
      <c r="FT186" s="67"/>
      <c r="FU186" s="67"/>
      <c r="FV186" s="67"/>
      <c r="FW186" s="67"/>
      <c r="FX186" s="67"/>
      <c r="FY186" s="67"/>
      <c r="FZ186" s="59"/>
    </row>
    <row r="187" spans="1:184" x14ac:dyDescent="0.2">
      <c r="A187" s="66" t="s">
        <v>193</v>
      </c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  <c r="BI187" s="67"/>
      <c r="BJ187" s="67"/>
      <c r="BK187" s="67"/>
      <c r="BL187" s="67"/>
      <c r="BM187" s="67"/>
      <c r="BN187" s="67"/>
      <c r="BO187" s="67"/>
      <c r="BP187" s="67"/>
      <c r="BQ187" s="67"/>
      <c r="BR187" s="67"/>
      <c r="BS187" s="67"/>
      <c r="BT187" s="67"/>
      <c r="BU187" s="67"/>
      <c r="BV187" s="67"/>
      <c r="BW187" s="67"/>
      <c r="BX187" s="67"/>
      <c r="BY187" s="67"/>
      <c r="BZ187" s="67"/>
      <c r="CA187" s="67"/>
      <c r="CB187" s="67"/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7"/>
      <c r="DW187" s="67"/>
      <c r="DX187" s="67"/>
      <c r="DY187" s="67"/>
      <c r="DZ187" s="67"/>
      <c r="EA187" s="67"/>
      <c r="EB187" s="67"/>
      <c r="EC187" s="67"/>
      <c r="ED187" s="67"/>
      <c r="EE187" s="67"/>
      <c r="EF187" s="67"/>
      <c r="EG187" s="67"/>
      <c r="EH187" s="67"/>
      <c r="EI187" s="67"/>
      <c r="EJ187" s="67"/>
      <c r="EK187" s="67"/>
      <c r="EL187" s="67"/>
      <c r="EM187" s="67"/>
      <c r="EN187" s="67"/>
      <c r="EO187" s="67"/>
      <c r="EP187" s="67"/>
      <c r="EQ187" s="67"/>
      <c r="ER187" s="67"/>
      <c r="ES187" s="67"/>
      <c r="ET187" s="67"/>
      <c r="EU187" s="67"/>
      <c r="EV187" s="67"/>
      <c r="EW187" s="67"/>
      <c r="EX187" s="67"/>
      <c r="EY187" s="67"/>
      <c r="EZ187" s="67"/>
      <c r="FA187" s="67"/>
      <c r="FB187" s="67"/>
      <c r="FC187" s="67"/>
      <c r="FD187" s="67"/>
      <c r="FE187" s="67"/>
      <c r="FF187" s="67"/>
      <c r="FG187" s="67"/>
      <c r="FH187" s="67"/>
      <c r="FI187" s="67"/>
      <c r="FJ187" s="67"/>
      <c r="FK187" s="67"/>
      <c r="FL187" s="67"/>
      <c r="FM187" s="67"/>
      <c r="FN187" s="67"/>
      <c r="FO187" s="67"/>
      <c r="FP187" s="67"/>
      <c r="FQ187" s="67"/>
      <c r="FR187" s="67"/>
      <c r="FS187" s="67"/>
      <c r="FT187" s="67"/>
      <c r="FU187" s="67"/>
      <c r="FV187" s="67"/>
      <c r="FW187" s="67"/>
      <c r="FX187" s="67"/>
      <c r="FY187" s="67"/>
      <c r="FZ187" s="59"/>
    </row>
    <row r="188" spans="1:184" x14ac:dyDescent="0.2">
      <c r="A188" s="92" t="s">
        <v>262</v>
      </c>
      <c r="B188" s="93">
        <f>B35+(C188/(1+B$99))</f>
        <v>-61498.996994221663</v>
      </c>
      <c r="C188" s="93">
        <f t="shared" ref="C188" si="1254">C35+(D188/(1+C$99))</f>
        <v>-33040.565502636426</v>
      </c>
      <c r="D188" s="93">
        <f t="shared" ref="D188:D189" si="1255">D35+(E188/(1+D$99))</f>
        <v>-32177.16315294223</v>
      </c>
      <c r="E188" s="93">
        <f t="shared" ref="E188:E189" si="1256">E35+(F188/(1+E$99))</f>
        <v>-31308.766749257396</v>
      </c>
      <c r="F188" s="93">
        <f t="shared" ref="F188:F189" si="1257">F35+(G188/(1+F$99))</f>
        <v>-30435.352992573189</v>
      </c>
      <c r="G188" s="93">
        <f t="shared" ref="G188:G189" si="1258">G35+(H188/(1+G$99))</f>
        <v>-29556.898480301126</v>
      </c>
      <c r="H188" s="93">
        <f t="shared" ref="H188:H189" si="1259">H35+(I188/(1+H$99))</f>
        <v>-28673.379705818308</v>
      </c>
      <c r="I188" s="93">
        <f t="shared" ref="I188:I189" si="1260">I35+(J188/(1+I$99))</f>
        <v>-27784.773058010756</v>
      </c>
      <c r="J188" s="93">
        <f t="shared" ref="J188:J189" si="1261">J35+(K188/(1+J$99))</f>
        <v>-26891.054820814777</v>
      </c>
      <c r="K188" s="93">
        <f t="shared" ref="K188:K189" si="1262">K35+(L188/(1+K$99))</f>
        <v>-25992.201172756271</v>
      </c>
      <c r="L188" s="93">
        <f t="shared" ref="L188:L189" si="1263">L35+(M188/(1+L$99))</f>
        <v>-25088.188186488082</v>
      </c>
      <c r="M188" s="93">
        <f t="shared" ref="M188:M189" si="1264">M35+(N188/(1+M$99))</f>
        <v>-24178.991828325288</v>
      </c>
      <c r="N188" s="93">
        <f t="shared" ref="N188:N189" si="1265">N35+(O188/(1+N$99))</f>
        <v>-23264.587957778465</v>
      </c>
      <c r="O188" s="93">
        <f t="shared" ref="O188:O189" si="1266">O35+(P188/(1+O$99))</f>
        <v>-22344.952327084909</v>
      </c>
      <c r="P188" s="93">
        <f t="shared" ref="P188:P189" si="1267">P35+(Q188/(1+P$99))</f>
        <v>-21420.925363484905</v>
      </c>
      <c r="Q188" s="93">
        <f t="shared" ref="Q188:Q189" si="1268">Q35+(R188/(1+Q$99))</f>
        <v>-20492.48774656282</v>
      </c>
      <c r="R188" s="93">
        <f t="shared" ref="R188:R189" si="1269">R35+(S188/(1+R$99))</f>
        <v>-19559.62007145174</v>
      </c>
      <c r="S188" s="93">
        <f t="shared" ref="S188:S189" si="1270">S35+(T188/(1+S$99))</f>
        <v>-18622.302848464533</v>
      </c>
      <c r="T188" s="93">
        <f t="shared" ref="T188:T189" si="1271">T35+(U188/(1+T$99))</f>
        <v>-17680.516502723298</v>
      </c>
      <c r="U188" s="93">
        <f t="shared" ref="U188:U189" si="1272">U35+(V188/(1+U$99))</f>
        <v>-16734.241373787183</v>
      </c>
      <c r="V188" s="93">
        <f t="shared" ref="V188:V189" si="1273">V35+(W188/(1+V$99))</f>
        <v>-15783.457715278588</v>
      </c>
      <c r="W188" s="93">
        <f t="shared" ref="W188:W189" si="1274">W35+(X188/(1+W$99))</f>
        <v>-14828.145694507732</v>
      </c>
      <c r="X188" s="93">
        <f t="shared" ref="X188:X189" si="1275">X35+(Y188/(1+X$99))</f>
        <v>-13868.28539209558</v>
      </c>
      <c r="Y188" s="93">
        <f t="shared" ref="Y188:Y189" si="1276">Y35+(Z188/(1+Y$99))</f>
        <v>-12903.856801595131</v>
      </c>
      <c r="Z188" s="93">
        <f t="shared" ref="Z188:Z189" si="1277">Z35+(AA188/(1+Z$99))</f>
        <v>-11934.839829111026</v>
      </c>
      <c r="AA188" s="93">
        <f t="shared" ref="AA188:AA189" si="1278">AA35+(AB188/(1+AA$99))</f>
        <v>-10961.214292917528</v>
      </c>
      <c r="AB188" s="93">
        <f t="shared" ref="AB188:AB189" si="1279">AB35+(AC188/(1+AB$99))</f>
        <v>-9983.8366757644635</v>
      </c>
      <c r="AC188" s="93">
        <f t="shared" ref="AC188:AC189" si="1280">AC35+(AD188/(1+AC$99))</f>
        <v>-9002.6903418113816</v>
      </c>
      <c r="AD188" s="93">
        <f t="shared" ref="AD188:AD189" si="1281">AD35+(AE188/(1+AD$99))</f>
        <v>-8017.758582663886</v>
      </c>
      <c r="AE188" s="93">
        <f t="shared" ref="AE188:AE189" si="1282">AE35+(AF188/(1+AE$99))</f>
        <v>-7029.0246170566306</v>
      </c>
      <c r="AF188" s="93">
        <f t="shared" ref="AF188:AF189" si="1283">AF35+(AG188/(1+AF$99))</f>
        <v>-6036.4715905349167</v>
      </c>
      <c r="AG188" s="93">
        <f t="shared" ref="AG188:AG189" si="1284">AG35+(AH188/(1+AG$99))</f>
        <v>-5040.0825751349148</v>
      </c>
      <c r="AH188" s="93">
        <f t="shared" ref="AH188:AH189" si="1285">AH35+(AI188/(1+AH$99))</f>
        <v>-4039.8405690624759</v>
      </c>
      <c r="AI188" s="93">
        <f t="shared" ref="AI188:AI189" si="1286">AI35+(AJ188/(1+AI$99))</f>
        <v>-3035.7284963705501</v>
      </c>
      <c r="AJ188" s="93">
        <f t="shared" ref="AJ188:AJ189" si="1287">AJ35+(AK188/(1+AJ$99))</f>
        <v>-2027.7292066351895</v>
      </c>
      <c r="AK188" s="93">
        <f t="shared" ref="AK188:AK189" si="1288">AK35+(AL188/(1+AK$99))</f>
        <v>-1015.8254746301382</v>
      </c>
      <c r="AL188" s="93">
        <f t="shared" ref="AL188:AL189" si="1289">AL35+(AM188/(1+AL$99))</f>
        <v>0</v>
      </c>
      <c r="AM188" s="93">
        <f t="shared" ref="AM188:AM189" si="1290">AM35+(AN188/(1+AM$99))</f>
        <v>0</v>
      </c>
      <c r="AN188" s="93">
        <f t="shared" ref="AN188:AN189" si="1291">AN35+(AO188/(1+AN$99))</f>
        <v>0</v>
      </c>
      <c r="AO188" s="93">
        <f t="shared" ref="AO188:AO189" si="1292">AO35+(AP188/(1+AO$99))</f>
        <v>0</v>
      </c>
      <c r="AP188" s="93">
        <f t="shared" ref="AP188:AP189" si="1293">AP35+(AQ188/(1+AP$99))</f>
        <v>0</v>
      </c>
      <c r="AQ188" s="93">
        <f t="shared" ref="AQ188:AQ189" si="1294">AQ35+(AR188/(1+AQ$99))</f>
        <v>0</v>
      </c>
      <c r="AR188" s="93">
        <f t="shared" ref="AR188:AR189" si="1295">AR35+(AS188/(1+AR$99))</f>
        <v>0</v>
      </c>
      <c r="AS188" s="93">
        <f t="shared" ref="AS188:AS189" si="1296">AS35+(AT188/(1+AS$99))</f>
        <v>0</v>
      </c>
      <c r="AT188" s="93">
        <f t="shared" ref="AT188:AT189" si="1297">AT35+(AU188/(1+AT$99))</f>
        <v>0</v>
      </c>
      <c r="AU188" s="93">
        <f t="shared" ref="AU188:AU189" si="1298">AU35+(AV188/(1+AU$99))</f>
        <v>0</v>
      </c>
      <c r="AV188" s="93">
        <f t="shared" ref="AV188:AV189" si="1299">AV35+(AW188/(1+AV$99))</f>
        <v>0</v>
      </c>
      <c r="AW188" s="93">
        <f t="shared" ref="AW188:AW189" si="1300">AW35+(AX188/(1+AW$99))</f>
        <v>0</v>
      </c>
      <c r="AX188" s="93">
        <f t="shared" ref="AX188:AX189" si="1301">AX35+(AY188/(1+AX$99))</f>
        <v>0</v>
      </c>
      <c r="AY188" s="93">
        <f t="shared" ref="AY188:AY189" si="1302">AY35+(AZ188/(1+AY$99))</f>
        <v>0</v>
      </c>
      <c r="AZ188" s="93">
        <f t="shared" ref="AZ188:AZ189" si="1303">AZ35+(BA188/(1+AZ$99))</f>
        <v>0</v>
      </c>
      <c r="BA188" s="93">
        <f t="shared" ref="BA188:BA189" si="1304">BA35+(BB188/(1+BA$99))</f>
        <v>0</v>
      </c>
      <c r="BB188" s="93">
        <f t="shared" ref="BB188:BB189" si="1305">BB35+(BC188/(1+BB$99))</f>
        <v>0</v>
      </c>
      <c r="BC188" s="93">
        <f t="shared" ref="BC188:BC189" si="1306">BC35+(BD188/(1+BC$99))</f>
        <v>0</v>
      </c>
      <c r="BD188" s="93">
        <f t="shared" ref="BD188:BD189" si="1307">BD35+(BE188/(1+BD$99))</f>
        <v>0</v>
      </c>
      <c r="BE188" s="93">
        <f t="shared" ref="BE188:BE189" si="1308">BE35+(BF188/(1+BE$99))</f>
        <v>0</v>
      </c>
      <c r="BF188" s="93">
        <f t="shared" ref="BF188:BF189" si="1309">BF35+(BG188/(1+BF$99))</f>
        <v>0</v>
      </c>
      <c r="BG188" s="93">
        <f t="shared" ref="BG188:BG189" si="1310">BG35+(BH188/(1+BG$99))</f>
        <v>0</v>
      </c>
      <c r="BH188" s="93">
        <f t="shared" ref="BH188:BH189" si="1311">BH35+(BI188/(1+BH$99))</f>
        <v>0</v>
      </c>
      <c r="BI188" s="93">
        <f t="shared" ref="BI188:BI189" si="1312">BI35+(BJ188/(1+BI$99))</f>
        <v>0</v>
      </c>
      <c r="BJ188" s="93">
        <f t="shared" ref="BJ188:BJ189" si="1313">BJ35+(BK188/(1+BJ$99))</f>
        <v>0</v>
      </c>
      <c r="BK188" s="93">
        <f t="shared" ref="BK188:BK189" si="1314">BK35+(BL188/(1+BK$99))</f>
        <v>0</v>
      </c>
      <c r="BL188" s="93">
        <f t="shared" ref="BL188:BL189" si="1315">BL35+(BM188/(1+BL$99))</f>
        <v>0</v>
      </c>
      <c r="BM188" s="93">
        <f t="shared" ref="BM188:BM189" si="1316">BM35+(BN188/(1+BM$99))</f>
        <v>0</v>
      </c>
      <c r="BN188" s="93">
        <f t="shared" ref="BN188:BN189" si="1317">BN35+(BO188/(1+BN$99))</f>
        <v>0</v>
      </c>
      <c r="BO188" s="93">
        <f t="shared" ref="BO188:BO189" si="1318">BO35+(BP188/(1+BO$99))</f>
        <v>0</v>
      </c>
      <c r="BP188" s="93">
        <f t="shared" ref="BP188:BP189" si="1319">BP35+(BQ188/(1+BP$99))</f>
        <v>0</v>
      </c>
      <c r="BQ188" s="93">
        <f t="shared" ref="BQ188:BQ189" si="1320">BQ35+(BR188/(1+BQ$99))</f>
        <v>0</v>
      </c>
      <c r="BR188" s="93">
        <f t="shared" ref="BR188:BR189" si="1321">BR35+(BS188/(1+BR$99))</f>
        <v>0</v>
      </c>
      <c r="BS188" s="93">
        <f t="shared" ref="BS188:BS189" si="1322">BS35+(BT188/(1+BS$99))</f>
        <v>0</v>
      </c>
      <c r="BT188" s="93">
        <f t="shared" ref="BT188:BT189" si="1323">BT35+(BU188/(1+BT$99))</f>
        <v>0</v>
      </c>
      <c r="BU188" s="93">
        <f t="shared" ref="BU188:BU189" si="1324">BU35+(BV188/(1+BU$99))</f>
        <v>0</v>
      </c>
      <c r="BV188" s="93">
        <f t="shared" ref="BV188:BV189" si="1325">BV35+(BW188/(1+BV$99))</f>
        <v>0</v>
      </c>
      <c r="BW188" s="93">
        <f t="shared" ref="BW188:BW189" si="1326">BW35+(BX188/(1+BW$99))</f>
        <v>0</v>
      </c>
      <c r="BX188" s="93">
        <f t="shared" ref="BX188:BX189" si="1327">BX35+(BY188/(1+BX$99))</f>
        <v>0</v>
      </c>
      <c r="BY188" s="93">
        <f t="shared" ref="BY188:BY189" si="1328">BY35+(BZ188/(1+BY$99))</f>
        <v>0</v>
      </c>
      <c r="BZ188" s="93">
        <f t="shared" ref="BZ188:BZ189" si="1329">BZ35+(CA188/(1+BZ$99))</f>
        <v>0</v>
      </c>
      <c r="CA188" s="93">
        <f t="shared" ref="CA188:CA189" si="1330">CA35+(CB188/(1+CA$99))</f>
        <v>0</v>
      </c>
      <c r="CB188" s="93">
        <f t="shared" ref="CB188:CB189" si="1331">CB35+(CC188/(1+CB$99))</f>
        <v>0</v>
      </c>
      <c r="CC188" s="93">
        <f t="shared" ref="CC188:CC189" si="1332">CC35+(CD188/(1+CC$99))</f>
        <v>0</v>
      </c>
      <c r="CD188" s="93">
        <f t="shared" ref="CD188:CD189" si="1333">CD35+(CE188/(1+CD$99))</f>
        <v>0</v>
      </c>
      <c r="CE188" s="93">
        <f t="shared" ref="CE188:CE189" si="1334">CE35+(CF188/(1+CE$99))</f>
        <v>0</v>
      </c>
      <c r="CF188" s="93">
        <f t="shared" ref="CF188:CF189" si="1335">CF35+(CG188/(1+CF$99))</f>
        <v>0</v>
      </c>
      <c r="CG188" s="93">
        <f t="shared" ref="CG188:CG189" si="1336">CG35+(CH188/(1+CG$99))</f>
        <v>0</v>
      </c>
      <c r="CH188" s="93">
        <f t="shared" ref="CH188:CH189" si="1337">CH35+(CI188/(1+CH$99))</f>
        <v>0</v>
      </c>
      <c r="CI188" s="93">
        <f t="shared" ref="CI188:CI189" si="1338">CI35+(CJ188/(1+CI$99))</f>
        <v>0</v>
      </c>
      <c r="CJ188" s="93">
        <f t="shared" ref="CJ188:CJ189" si="1339">CJ35+(CK188/(1+CJ$99))</f>
        <v>0</v>
      </c>
      <c r="CK188" s="93">
        <f t="shared" ref="CK188:CK189" si="1340">CK35+(CL188/(1+CK$99))</f>
        <v>0</v>
      </c>
      <c r="CL188" s="93">
        <f t="shared" ref="CL188:CL189" si="1341">CL35+(CM188/(1+CL$99))</f>
        <v>0</v>
      </c>
      <c r="CM188" s="93">
        <f t="shared" ref="CM188:CM189" si="1342">CM35+(CN188/(1+CM$99))</f>
        <v>0</v>
      </c>
      <c r="CN188" s="93">
        <f t="shared" ref="CN188:CN189" si="1343">CN35+(CO188/(1+CN$99))</f>
        <v>0</v>
      </c>
      <c r="CO188" s="93">
        <f t="shared" ref="CO188:CO189" si="1344">CO35+(CP188/(1+CO$99))</f>
        <v>0</v>
      </c>
      <c r="CP188" s="93">
        <f t="shared" ref="CP188:CP189" si="1345">CP35+(CQ188/(1+CP$99))</f>
        <v>0</v>
      </c>
      <c r="CQ188" s="93">
        <f t="shared" ref="CQ188:CQ189" si="1346">CQ35+(CR188/(1+CQ$99))</f>
        <v>0</v>
      </c>
      <c r="CR188" s="93">
        <f t="shared" ref="CR188:CR189" si="1347">CR35+(CS188/(1+CR$99))</f>
        <v>0</v>
      </c>
      <c r="CS188" s="93">
        <f t="shared" ref="CS188:CS189" si="1348">CS35+(CT188/(1+CS$99))</f>
        <v>0</v>
      </c>
      <c r="CT188" s="93">
        <f t="shared" ref="CT188:CT189" si="1349">CT35+(CU188/(1+CT$99))</f>
        <v>0</v>
      </c>
      <c r="CU188" s="93">
        <f t="shared" ref="CU188:CU189" si="1350">CU35+(CV188/(1+CU$99))</f>
        <v>0</v>
      </c>
      <c r="CV188" s="93">
        <f t="shared" ref="CV188:CV189" si="1351">CV35+(CW188/(1+CV$99))</f>
        <v>0</v>
      </c>
      <c r="CW188" s="93">
        <f t="shared" ref="CW188:CW189" si="1352">CW35+(CX188/(1+CW$99))</f>
        <v>0</v>
      </c>
      <c r="CX188" s="93">
        <f t="shared" ref="CX188:CX189" si="1353">CX35+(CY188/(1+CX$99))</f>
        <v>0</v>
      </c>
      <c r="CY188" s="93">
        <f t="shared" ref="CY188:CY189" si="1354">CY35+(CZ188/(1+CY$99))</f>
        <v>0</v>
      </c>
      <c r="CZ188" s="93">
        <f t="shared" ref="CZ188:CZ189" si="1355">CZ35+(DA188/(1+CZ$99))</f>
        <v>0</v>
      </c>
      <c r="DA188" s="93">
        <f t="shared" ref="DA188:DA189" si="1356">DA35+(DB188/(1+DA$99))</f>
        <v>0</v>
      </c>
      <c r="DB188" s="93">
        <f t="shared" ref="DB188:DB189" si="1357">DB35+(DC188/(1+DB$99))</f>
        <v>0</v>
      </c>
      <c r="DC188" s="93">
        <f t="shared" ref="DC188:DC189" si="1358">DC35+(DD188/(1+DC$99))</f>
        <v>0</v>
      </c>
      <c r="DD188" s="93">
        <f t="shared" ref="DD188:DD189" si="1359">DD35+(DE188/(1+DD$99))</f>
        <v>0</v>
      </c>
      <c r="DE188" s="93">
        <f t="shared" ref="DE188:DE189" si="1360">DE35+(DF188/(1+DE$99))</f>
        <v>0</v>
      </c>
      <c r="DF188" s="93">
        <f t="shared" ref="DF188:DF189" si="1361">DF35+(DG188/(1+DF$99))</f>
        <v>0</v>
      </c>
      <c r="DG188" s="93">
        <f t="shared" ref="DG188:DG189" si="1362">DG35+(DH188/(1+DG$99))</f>
        <v>0</v>
      </c>
      <c r="DH188" s="93">
        <f t="shared" ref="DH188:DH189" si="1363">DH35+(DI188/(1+DH$99))</f>
        <v>0</v>
      </c>
      <c r="DI188" s="93">
        <f t="shared" ref="DI188:DI189" si="1364">DI35+(DJ188/(1+DI$99))</f>
        <v>0</v>
      </c>
      <c r="DJ188" s="93">
        <f t="shared" ref="DJ188:DJ189" si="1365">DJ35+(DK188/(1+DJ$99))</f>
        <v>0</v>
      </c>
      <c r="DK188" s="93">
        <f t="shared" ref="DK188:DK189" si="1366">DK35+(DL188/(1+DK$99))</f>
        <v>0</v>
      </c>
      <c r="DL188" s="93">
        <f t="shared" ref="DL188:DL189" si="1367">DL35+(DM188/(1+DL$99))</f>
        <v>0</v>
      </c>
      <c r="DM188" s="93">
        <f t="shared" ref="DM188:DM189" si="1368">DM35+(DN188/(1+DM$99))</f>
        <v>0</v>
      </c>
      <c r="DN188" s="93">
        <f t="shared" ref="DN188:DN189" si="1369">DN35+(DO188/(1+DN$99))</f>
        <v>0</v>
      </c>
      <c r="DO188" s="93">
        <f t="shared" ref="DO188:DO189" si="1370">DO35+(DP188/(1+DO$99))</f>
        <v>0</v>
      </c>
      <c r="DP188" s="93">
        <f t="shared" ref="DP188:DP189" si="1371">DP35+(DQ188/(1+DP$99))</f>
        <v>0</v>
      </c>
      <c r="DQ188" s="93">
        <f t="shared" ref="DQ188:DQ189" si="1372">DQ35+(DR188/(1+DQ$99))</f>
        <v>0</v>
      </c>
      <c r="DR188" s="93">
        <f t="shared" ref="DR188:DR189" si="1373">DR35+(DS188/(1+DR$99))</f>
        <v>0</v>
      </c>
      <c r="DS188" s="93">
        <f t="shared" ref="DS188:DS189" si="1374">DS35+(DT188/(1+DS$99))</f>
        <v>0</v>
      </c>
      <c r="DT188" s="93">
        <f t="shared" ref="DT188:DT189" si="1375">DT35+(DU188/(1+DT$99))</f>
        <v>0</v>
      </c>
      <c r="DU188" s="93">
        <f t="shared" ref="DU188:DU189" si="1376">DU35+(DV188/(1+DU$99))</f>
        <v>0</v>
      </c>
      <c r="DV188" s="93">
        <f t="shared" ref="DV188:DV189" si="1377">DV35+(DW188/(1+DV$99))</f>
        <v>0</v>
      </c>
      <c r="DW188" s="93">
        <f t="shared" ref="DW188:DW189" si="1378">DW35+(DX188/(1+DW$99))</f>
        <v>0</v>
      </c>
      <c r="DX188" s="93">
        <f t="shared" ref="DX188:DX189" si="1379">DX35+(DY188/(1+DX$99))</f>
        <v>0</v>
      </c>
      <c r="DY188" s="93">
        <f t="shared" ref="DY188:DY189" si="1380">DY35+(DZ188/(1+DY$99))</f>
        <v>0</v>
      </c>
      <c r="DZ188" s="93">
        <f t="shared" ref="DZ188:DZ189" si="1381">DZ35+(EA188/(1+DZ$99))</f>
        <v>0</v>
      </c>
      <c r="EA188" s="93">
        <f t="shared" ref="EA188:EA189" si="1382">EA35+(EB188/(1+EA$99))</f>
        <v>0</v>
      </c>
      <c r="EB188" s="93">
        <f t="shared" ref="EB188:EB189" si="1383">EB35+(EC188/(1+EB$99))</f>
        <v>0</v>
      </c>
      <c r="EC188" s="93">
        <f t="shared" ref="EC188:EC189" si="1384">EC35+(ED188/(1+EC$99))</f>
        <v>0</v>
      </c>
      <c r="ED188" s="93">
        <f t="shared" ref="ED188:ED189" si="1385">ED35+(EE188/(1+ED$99))</f>
        <v>0</v>
      </c>
      <c r="EE188" s="93">
        <f t="shared" ref="EE188:EE189" si="1386">EE35+(EF188/(1+EE$99))</f>
        <v>0</v>
      </c>
      <c r="EF188" s="93">
        <f t="shared" ref="EF188:EF189" si="1387">EF35+(EG188/(1+EF$99))</f>
        <v>0</v>
      </c>
      <c r="EG188" s="93">
        <f t="shared" ref="EG188:EG189" si="1388">EG35+(EH188/(1+EG$99))</f>
        <v>0</v>
      </c>
      <c r="EH188" s="93">
        <f t="shared" ref="EH188:EH189" si="1389">EH35+(EI188/(1+EH$99))</f>
        <v>0</v>
      </c>
      <c r="EI188" s="93">
        <f t="shared" ref="EI188:EI189" si="1390">EI35+(EJ188/(1+EI$99))</f>
        <v>0</v>
      </c>
      <c r="EJ188" s="93">
        <f t="shared" ref="EJ188:EJ189" si="1391">EJ35+(EK188/(1+EJ$99))</f>
        <v>0</v>
      </c>
      <c r="EK188" s="93">
        <f t="shared" ref="EK188:EK189" si="1392">EK35+(EL188/(1+EK$99))</f>
        <v>0</v>
      </c>
      <c r="EL188" s="93">
        <f t="shared" ref="EL188:EL189" si="1393">EL35+(EM188/(1+EL$99))</f>
        <v>0</v>
      </c>
      <c r="EM188" s="93">
        <f t="shared" ref="EM188:EM189" si="1394">EM35+(EN188/(1+EM$99))</f>
        <v>0</v>
      </c>
      <c r="EN188" s="93">
        <f t="shared" ref="EN188:EN189" si="1395">EN35+(EO188/(1+EN$99))</f>
        <v>0</v>
      </c>
      <c r="EO188" s="93">
        <f t="shared" ref="EO188:EO189" si="1396">EO35+(EP188/(1+EO$99))</f>
        <v>0</v>
      </c>
      <c r="EP188" s="93">
        <f t="shared" ref="EP188:EP189" si="1397">EP35+(EQ188/(1+EP$99))</f>
        <v>0</v>
      </c>
      <c r="EQ188" s="93">
        <f t="shared" ref="EQ188:EQ189" si="1398">EQ35+(ER188/(1+EQ$99))</f>
        <v>0</v>
      </c>
      <c r="ER188" s="93">
        <f t="shared" ref="ER188:ER189" si="1399">ER35+(ES188/(1+ER$99))</f>
        <v>0</v>
      </c>
      <c r="ES188" s="93">
        <f t="shared" ref="ES188:ES189" si="1400">ES35+(ET188/(1+ES$99))</f>
        <v>0</v>
      </c>
      <c r="ET188" s="93">
        <f t="shared" ref="ET188:ET189" si="1401">ET35+(EU188/(1+ET$99))</f>
        <v>0</v>
      </c>
      <c r="EU188" s="93">
        <f t="shared" ref="EU188:EU189" si="1402">EU35+(EV188/(1+EU$99))</f>
        <v>0</v>
      </c>
      <c r="EV188" s="93">
        <f t="shared" ref="EV188:EV189" si="1403">EV35+(EW188/(1+EV$99))</f>
        <v>0</v>
      </c>
      <c r="EW188" s="93">
        <f t="shared" ref="EW188:EW189" si="1404">EW35+(EX188/(1+EW$99))</f>
        <v>0</v>
      </c>
      <c r="EX188" s="93">
        <f t="shared" ref="EX188:EX189" si="1405">EX35+(EY188/(1+EX$99))</f>
        <v>0</v>
      </c>
      <c r="EY188" s="93">
        <f t="shared" ref="EY188:EY189" si="1406">EY35+(EZ188/(1+EY$99))</f>
        <v>0</v>
      </c>
      <c r="EZ188" s="93">
        <f t="shared" ref="EZ188:EZ189" si="1407">EZ35+(FA188/(1+EZ$99))</f>
        <v>0</v>
      </c>
      <c r="FA188" s="93">
        <f t="shared" ref="FA188:FA189" si="1408">FA35+(FB188/(1+FA$99))</f>
        <v>0</v>
      </c>
      <c r="FB188" s="93">
        <f t="shared" ref="FB188:FB189" si="1409">FB35+(FC188/(1+FB$99))</f>
        <v>0</v>
      </c>
      <c r="FC188" s="93">
        <f t="shared" ref="FC188:FC189" si="1410">FC35+(FD188/(1+FC$99))</f>
        <v>0</v>
      </c>
      <c r="FD188" s="93">
        <f t="shared" ref="FD188:FD189" si="1411">FD35+(FE188/(1+FD$99))</f>
        <v>0</v>
      </c>
      <c r="FE188" s="93">
        <f t="shared" ref="FE188:FE189" si="1412">FE35+(FF188/(1+FE$99))</f>
        <v>0</v>
      </c>
      <c r="FF188" s="93">
        <f t="shared" ref="FF188:FF189" si="1413">FF35+(FG188/(1+FF$99))</f>
        <v>0</v>
      </c>
      <c r="FG188" s="93">
        <f t="shared" ref="FG188:FG189" si="1414">FG35+(FH188/(1+FG$99))</f>
        <v>0</v>
      </c>
      <c r="FH188" s="93">
        <f t="shared" ref="FH188:FH189" si="1415">FH35+(FI188/(1+FH$99))</f>
        <v>0</v>
      </c>
      <c r="FI188" s="93">
        <f t="shared" ref="FI188:FI189" si="1416">FI35+(FJ188/(1+FI$99))</f>
        <v>0</v>
      </c>
      <c r="FJ188" s="93">
        <f t="shared" ref="FJ188:FJ189" si="1417">FJ35+(FK188/(1+FJ$99))</f>
        <v>0</v>
      </c>
      <c r="FK188" s="93">
        <f t="shared" ref="FK188:FK189" si="1418">FK35+(FL188/(1+FK$99))</f>
        <v>0</v>
      </c>
      <c r="FL188" s="93">
        <f t="shared" ref="FL188:FL189" si="1419">FL35+(FM188/(1+FL$99))</f>
        <v>0</v>
      </c>
      <c r="FM188" s="93">
        <f t="shared" ref="FM188:FM189" si="1420">FM35+(FN188/(1+FM$99))</f>
        <v>0</v>
      </c>
      <c r="FN188" s="93">
        <f t="shared" ref="FN188:FN189" si="1421">FN35+(FO188/(1+FN$99))</f>
        <v>0</v>
      </c>
      <c r="FO188" s="93">
        <f t="shared" ref="FO188:FO189" si="1422">FO35+(FP188/(1+FO$99))</f>
        <v>0</v>
      </c>
      <c r="FP188" s="93">
        <f t="shared" ref="FP188:FP189" si="1423">FP35+(FQ188/(1+FP$99))</f>
        <v>0</v>
      </c>
      <c r="FQ188" s="93">
        <f t="shared" ref="FQ188:FQ189" si="1424">FQ35+(FR188/(1+FQ$99))</f>
        <v>0</v>
      </c>
      <c r="FR188" s="93">
        <f t="shared" ref="FR188:FR189" si="1425">FR35+(FS188/(1+FR$99))</f>
        <v>0</v>
      </c>
      <c r="FS188" s="93">
        <f t="shared" ref="FS188:FS189" si="1426">FS35+(FT188/(1+FS$99))</f>
        <v>0</v>
      </c>
      <c r="FT188" s="93">
        <f t="shared" ref="FT188:FT189" si="1427">FT35+(FU188/(1+FT$99))</f>
        <v>0</v>
      </c>
      <c r="FU188" s="93">
        <f t="shared" ref="FU188:FU189" si="1428">FU35+(FV188/(1+FU$99))</f>
        <v>0</v>
      </c>
      <c r="FV188" s="93">
        <f t="shared" ref="FV188:FV189" si="1429">FV35+(FW188/(1+FV$99))</f>
        <v>0</v>
      </c>
      <c r="FW188" s="93">
        <f t="shared" ref="FW188:FW189" si="1430">FW35+(FX188/(1+FW$99))</f>
        <v>0</v>
      </c>
      <c r="FX188" s="93">
        <f t="shared" ref="FX188:FX189" si="1431">FX35+(FY188/(1+FX$99))</f>
        <v>0</v>
      </c>
      <c r="FY188" s="93">
        <f t="shared" ref="FY188:FY189" si="1432">FY35+(FZ188/(1+FY$99))</f>
        <v>0</v>
      </c>
      <c r="FZ188" s="59"/>
      <c r="GB188" s="1"/>
    </row>
    <row r="189" spans="1:184" x14ac:dyDescent="0.2">
      <c r="A189" s="92" t="s">
        <v>180</v>
      </c>
      <c r="B189" s="93">
        <f>B36+(C189/(1+B$99))</f>
        <v>-17000</v>
      </c>
      <c r="C189" s="93">
        <f t="shared" ref="C189" si="1433">C36+(D189/(1+C$99))</f>
        <v>0</v>
      </c>
      <c r="D189" s="93">
        <f t="shared" si="1255"/>
        <v>0</v>
      </c>
      <c r="E189" s="93">
        <f t="shared" si="1256"/>
        <v>0</v>
      </c>
      <c r="F189" s="93">
        <f t="shared" si="1257"/>
        <v>0</v>
      </c>
      <c r="G189" s="93">
        <f t="shared" si="1258"/>
        <v>0</v>
      </c>
      <c r="H189" s="93">
        <f t="shared" si="1259"/>
        <v>0</v>
      </c>
      <c r="I189" s="93">
        <f t="shared" si="1260"/>
        <v>0</v>
      </c>
      <c r="J189" s="93">
        <f t="shared" si="1261"/>
        <v>0</v>
      </c>
      <c r="K189" s="93">
        <f t="shared" si="1262"/>
        <v>0</v>
      </c>
      <c r="L189" s="93">
        <f t="shared" si="1263"/>
        <v>0</v>
      </c>
      <c r="M189" s="93">
        <f t="shared" si="1264"/>
        <v>0</v>
      </c>
      <c r="N189" s="93">
        <f t="shared" si="1265"/>
        <v>0</v>
      </c>
      <c r="O189" s="93">
        <f t="shared" si="1266"/>
        <v>0</v>
      </c>
      <c r="P189" s="93">
        <f t="shared" si="1267"/>
        <v>0</v>
      </c>
      <c r="Q189" s="93">
        <f t="shared" si="1268"/>
        <v>0</v>
      </c>
      <c r="R189" s="93">
        <f t="shared" si="1269"/>
        <v>0</v>
      </c>
      <c r="S189" s="93">
        <f t="shared" si="1270"/>
        <v>0</v>
      </c>
      <c r="T189" s="93">
        <f t="shared" si="1271"/>
        <v>0</v>
      </c>
      <c r="U189" s="93">
        <f t="shared" si="1272"/>
        <v>0</v>
      </c>
      <c r="V189" s="93">
        <f t="shared" si="1273"/>
        <v>0</v>
      </c>
      <c r="W189" s="93">
        <f t="shared" si="1274"/>
        <v>0</v>
      </c>
      <c r="X189" s="93">
        <f t="shared" si="1275"/>
        <v>0</v>
      </c>
      <c r="Y189" s="93">
        <f t="shared" si="1276"/>
        <v>0</v>
      </c>
      <c r="Z189" s="93">
        <f t="shared" si="1277"/>
        <v>0</v>
      </c>
      <c r="AA189" s="93">
        <f t="shared" si="1278"/>
        <v>0</v>
      </c>
      <c r="AB189" s="93">
        <f t="shared" si="1279"/>
        <v>0</v>
      </c>
      <c r="AC189" s="93">
        <f t="shared" si="1280"/>
        <v>0</v>
      </c>
      <c r="AD189" s="93">
        <f t="shared" si="1281"/>
        <v>0</v>
      </c>
      <c r="AE189" s="93">
        <f t="shared" si="1282"/>
        <v>0</v>
      </c>
      <c r="AF189" s="93">
        <f t="shared" si="1283"/>
        <v>0</v>
      </c>
      <c r="AG189" s="93">
        <f t="shared" si="1284"/>
        <v>0</v>
      </c>
      <c r="AH189" s="93">
        <f t="shared" si="1285"/>
        <v>0</v>
      </c>
      <c r="AI189" s="93">
        <f t="shared" si="1286"/>
        <v>0</v>
      </c>
      <c r="AJ189" s="93">
        <f t="shared" si="1287"/>
        <v>0</v>
      </c>
      <c r="AK189" s="93">
        <f t="shared" si="1288"/>
        <v>0</v>
      </c>
      <c r="AL189" s="93">
        <f t="shared" si="1289"/>
        <v>0</v>
      </c>
      <c r="AM189" s="93">
        <f t="shared" si="1290"/>
        <v>0</v>
      </c>
      <c r="AN189" s="93">
        <f t="shared" si="1291"/>
        <v>0</v>
      </c>
      <c r="AO189" s="93">
        <f t="shared" si="1292"/>
        <v>0</v>
      </c>
      <c r="AP189" s="93">
        <f t="shared" si="1293"/>
        <v>0</v>
      </c>
      <c r="AQ189" s="93">
        <f t="shared" si="1294"/>
        <v>0</v>
      </c>
      <c r="AR189" s="93">
        <f t="shared" si="1295"/>
        <v>0</v>
      </c>
      <c r="AS189" s="93">
        <f t="shared" si="1296"/>
        <v>0</v>
      </c>
      <c r="AT189" s="93">
        <f t="shared" si="1297"/>
        <v>0</v>
      </c>
      <c r="AU189" s="93">
        <f t="shared" si="1298"/>
        <v>0</v>
      </c>
      <c r="AV189" s="93">
        <f t="shared" si="1299"/>
        <v>0</v>
      </c>
      <c r="AW189" s="93">
        <f t="shared" si="1300"/>
        <v>0</v>
      </c>
      <c r="AX189" s="93">
        <f t="shared" si="1301"/>
        <v>0</v>
      </c>
      <c r="AY189" s="93">
        <f t="shared" si="1302"/>
        <v>0</v>
      </c>
      <c r="AZ189" s="93">
        <f t="shared" si="1303"/>
        <v>0</v>
      </c>
      <c r="BA189" s="93">
        <f t="shared" si="1304"/>
        <v>0</v>
      </c>
      <c r="BB189" s="93">
        <f t="shared" si="1305"/>
        <v>0</v>
      </c>
      <c r="BC189" s="93">
        <f t="shared" si="1306"/>
        <v>0</v>
      </c>
      <c r="BD189" s="93">
        <f t="shared" si="1307"/>
        <v>0</v>
      </c>
      <c r="BE189" s="93">
        <f t="shared" si="1308"/>
        <v>0</v>
      </c>
      <c r="BF189" s="93">
        <f t="shared" si="1309"/>
        <v>0</v>
      </c>
      <c r="BG189" s="93">
        <f t="shared" si="1310"/>
        <v>0</v>
      </c>
      <c r="BH189" s="93">
        <f t="shared" si="1311"/>
        <v>0</v>
      </c>
      <c r="BI189" s="93">
        <f t="shared" si="1312"/>
        <v>0</v>
      </c>
      <c r="BJ189" s="93">
        <f t="shared" si="1313"/>
        <v>0</v>
      </c>
      <c r="BK189" s="93">
        <f t="shared" si="1314"/>
        <v>0</v>
      </c>
      <c r="BL189" s="93">
        <f t="shared" si="1315"/>
        <v>0</v>
      </c>
      <c r="BM189" s="93">
        <f t="shared" si="1316"/>
        <v>0</v>
      </c>
      <c r="BN189" s="93">
        <f t="shared" si="1317"/>
        <v>0</v>
      </c>
      <c r="BO189" s="93">
        <f t="shared" si="1318"/>
        <v>0</v>
      </c>
      <c r="BP189" s="93">
        <f t="shared" si="1319"/>
        <v>0</v>
      </c>
      <c r="BQ189" s="93">
        <f t="shared" si="1320"/>
        <v>0</v>
      </c>
      <c r="BR189" s="93">
        <f t="shared" si="1321"/>
        <v>0</v>
      </c>
      <c r="BS189" s="93">
        <f t="shared" si="1322"/>
        <v>0</v>
      </c>
      <c r="BT189" s="93">
        <f t="shared" si="1323"/>
        <v>0</v>
      </c>
      <c r="BU189" s="93">
        <f t="shared" si="1324"/>
        <v>0</v>
      </c>
      <c r="BV189" s="93">
        <f t="shared" si="1325"/>
        <v>0</v>
      </c>
      <c r="BW189" s="93">
        <f t="shared" si="1326"/>
        <v>0</v>
      </c>
      <c r="BX189" s="93">
        <f t="shared" si="1327"/>
        <v>0</v>
      </c>
      <c r="BY189" s="93">
        <f t="shared" si="1328"/>
        <v>0</v>
      </c>
      <c r="BZ189" s="93">
        <f t="shared" si="1329"/>
        <v>0</v>
      </c>
      <c r="CA189" s="93">
        <f t="shared" si="1330"/>
        <v>0</v>
      </c>
      <c r="CB189" s="93">
        <f t="shared" si="1331"/>
        <v>0</v>
      </c>
      <c r="CC189" s="93">
        <f t="shared" si="1332"/>
        <v>0</v>
      </c>
      <c r="CD189" s="93">
        <f t="shared" si="1333"/>
        <v>0</v>
      </c>
      <c r="CE189" s="93">
        <f t="shared" si="1334"/>
        <v>0</v>
      </c>
      <c r="CF189" s="93">
        <f t="shared" si="1335"/>
        <v>0</v>
      </c>
      <c r="CG189" s="93">
        <f t="shared" si="1336"/>
        <v>0</v>
      </c>
      <c r="CH189" s="93">
        <f t="shared" si="1337"/>
        <v>0</v>
      </c>
      <c r="CI189" s="93">
        <f t="shared" si="1338"/>
        <v>0</v>
      </c>
      <c r="CJ189" s="93">
        <f t="shared" si="1339"/>
        <v>0</v>
      </c>
      <c r="CK189" s="93">
        <f t="shared" si="1340"/>
        <v>0</v>
      </c>
      <c r="CL189" s="93">
        <f t="shared" si="1341"/>
        <v>0</v>
      </c>
      <c r="CM189" s="93">
        <f t="shared" si="1342"/>
        <v>0</v>
      </c>
      <c r="CN189" s="93">
        <f t="shared" si="1343"/>
        <v>0</v>
      </c>
      <c r="CO189" s="93">
        <f t="shared" si="1344"/>
        <v>0</v>
      </c>
      <c r="CP189" s="93">
        <f t="shared" si="1345"/>
        <v>0</v>
      </c>
      <c r="CQ189" s="93">
        <f t="shared" si="1346"/>
        <v>0</v>
      </c>
      <c r="CR189" s="93">
        <f t="shared" si="1347"/>
        <v>0</v>
      </c>
      <c r="CS189" s="93">
        <f t="shared" si="1348"/>
        <v>0</v>
      </c>
      <c r="CT189" s="93">
        <f t="shared" si="1349"/>
        <v>0</v>
      </c>
      <c r="CU189" s="93">
        <f t="shared" si="1350"/>
        <v>0</v>
      </c>
      <c r="CV189" s="93">
        <f t="shared" si="1351"/>
        <v>0</v>
      </c>
      <c r="CW189" s="93">
        <f t="shared" si="1352"/>
        <v>0</v>
      </c>
      <c r="CX189" s="93">
        <f t="shared" si="1353"/>
        <v>0</v>
      </c>
      <c r="CY189" s="93">
        <f t="shared" si="1354"/>
        <v>0</v>
      </c>
      <c r="CZ189" s="93">
        <f t="shared" si="1355"/>
        <v>0</v>
      </c>
      <c r="DA189" s="93">
        <f t="shared" si="1356"/>
        <v>0</v>
      </c>
      <c r="DB189" s="93">
        <f t="shared" si="1357"/>
        <v>0</v>
      </c>
      <c r="DC189" s="93">
        <f t="shared" si="1358"/>
        <v>0</v>
      </c>
      <c r="DD189" s="93">
        <f t="shared" si="1359"/>
        <v>0</v>
      </c>
      <c r="DE189" s="93">
        <f t="shared" si="1360"/>
        <v>0</v>
      </c>
      <c r="DF189" s="93">
        <f t="shared" si="1361"/>
        <v>0</v>
      </c>
      <c r="DG189" s="93">
        <f t="shared" si="1362"/>
        <v>0</v>
      </c>
      <c r="DH189" s="93">
        <f t="shared" si="1363"/>
        <v>0</v>
      </c>
      <c r="DI189" s="93">
        <f t="shared" si="1364"/>
        <v>0</v>
      </c>
      <c r="DJ189" s="93">
        <f t="shared" si="1365"/>
        <v>0</v>
      </c>
      <c r="DK189" s="93">
        <f t="shared" si="1366"/>
        <v>0</v>
      </c>
      <c r="DL189" s="93">
        <f t="shared" si="1367"/>
        <v>0</v>
      </c>
      <c r="DM189" s="93">
        <f t="shared" si="1368"/>
        <v>0</v>
      </c>
      <c r="DN189" s="93">
        <f t="shared" si="1369"/>
        <v>0</v>
      </c>
      <c r="DO189" s="93">
        <f t="shared" si="1370"/>
        <v>0</v>
      </c>
      <c r="DP189" s="93">
        <f t="shared" si="1371"/>
        <v>0</v>
      </c>
      <c r="DQ189" s="93">
        <f t="shared" si="1372"/>
        <v>0</v>
      </c>
      <c r="DR189" s="93">
        <f t="shared" si="1373"/>
        <v>0</v>
      </c>
      <c r="DS189" s="93">
        <f t="shared" si="1374"/>
        <v>0</v>
      </c>
      <c r="DT189" s="93">
        <f t="shared" si="1375"/>
        <v>0</v>
      </c>
      <c r="DU189" s="93">
        <f t="shared" si="1376"/>
        <v>0</v>
      </c>
      <c r="DV189" s="93">
        <f t="shared" si="1377"/>
        <v>0</v>
      </c>
      <c r="DW189" s="93">
        <f t="shared" si="1378"/>
        <v>0</v>
      </c>
      <c r="DX189" s="93">
        <f t="shared" si="1379"/>
        <v>0</v>
      </c>
      <c r="DY189" s="93">
        <f t="shared" si="1380"/>
        <v>0</v>
      </c>
      <c r="DZ189" s="93">
        <f t="shared" si="1381"/>
        <v>0</v>
      </c>
      <c r="EA189" s="93">
        <f t="shared" si="1382"/>
        <v>0</v>
      </c>
      <c r="EB189" s="93">
        <f t="shared" si="1383"/>
        <v>0</v>
      </c>
      <c r="EC189" s="93">
        <f t="shared" si="1384"/>
        <v>0</v>
      </c>
      <c r="ED189" s="93">
        <f t="shared" si="1385"/>
        <v>0</v>
      </c>
      <c r="EE189" s="93">
        <f t="shared" si="1386"/>
        <v>0</v>
      </c>
      <c r="EF189" s="93">
        <f t="shared" si="1387"/>
        <v>0</v>
      </c>
      <c r="EG189" s="93">
        <f t="shared" si="1388"/>
        <v>0</v>
      </c>
      <c r="EH189" s="93">
        <f t="shared" si="1389"/>
        <v>0</v>
      </c>
      <c r="EI189" s="93">
        <f t="shared" si="1390"/>
        <v>0</v>
      </c>
      <c r="EJ189" s="93">
        <f t="shared" si="1391"/>
        <v>0</v>
      </c>
      <c r="EK189" s="93">
        <f t="shared" si="1392"/>
        <v>0</v>
      </c>
      <c r="EL189" s="93">
        <f t="shared" si="1393"/>
        <v>0</v>
      </c>
      <c r="EM189" s="93">
        <f t="shared" si="1394"/>
        <v>0</v>
      </c>
      <c r="EN189" s="93">
        <f t="shared" si="1395"/>
        <v>0</v>
      </c>
      <c r="EO189" s="93">
        <f t="shared" si="1396"/>
        <v>0</v>
      </c>
      <c r="EP189" s="93">
        <f t="shared" si="1397"/>
        <v>0</v>
      </c>
      <c r="EQ189" s="93">
        <f t="shared" si="1398"/>
        <v>0</v>
      </c>
      <c r="ER189" s="93">
        <f t="shared" si="1399"/>
        <v>0</v>
      </c>
      <c r="ES189" s="93">
        <f t="shared" si="1400"/>
        <v>0</v>
      </c>
      <c r="ET189" s="93">
        <f t="shared" si="1401"/>
        <v>0</v>
      </c>
      <c r="EU189" s="93">
        <f t="shared" si="1402"/>
        <v>0</v>
      </c>
      <c r="EV189" s="93">
        <f t="shared" si="1403"/>
        <v>0</v>
      </c>
      <c r="EW189" s="93">
        <f t="shared" si="1404"/>
        <v>0</v>
      </c>
      <c r="EX189" s="93">
        <f t="shared" si="1405"/>
        <v>0</v>
      </c>
      <c r="EY189" s="93">
        <f t="shared" si="1406"/>
        <v>0</v>
      </c>
      <c r="EZ189" s="93">
        <f t="shared" si="1407"/>
        <v>0</v>
      </c>
      <c r="FA189" s="93">
        <f t="shared" si="1408"/>
        <v>0</v>
      </c>
      <c r="FB189" s="93">
        <f t="shared" si="1409"/>
        <v>0</v>
      </c>
      <c r="FC189" s="93">
        <f t="shared" si="1410"/>
        <v>0</v>
      </c>
      <c r="FD189" s="93">
        <f t="shared" si="1411"/>
        <v>0</v>
      </c>
      <c r="FE189" s="93">
        <f t="shared" si="1412"/>
        <v>0</v>
      </c>
      <c r="FF189" s="93">
        <f t="shared" si="1413"/>
        <v>0</v>
      </c>
      <c r="FG189" s="93">
        <f t="shared" si="1414"/>
        <v>0</v>
      </c>
      <c r="FH189" s="93">
        <f t="shared" si="1415"/>
        <v>0</v>
      </c>
      <c r="FI189" s="93">
        <f t="shared" si="1416"/>
        <v>0</v>
      </c>
      <c r="FJ189" s="93">
        <f t="shared" si="1417"/>
        <v>0</v>
      </c>
      <c r="FK189" s="93">
        <f t="shared" si="1418"/>
        <v>0</v>
      </c>
      <c r="FL189" s="93">
        <f t="shared" si="1419"/>
        <v>0</v>
      </c>
      <c r="FM189" s="93">
        <f t="shared" si="1420"/>
        <v>0</v>
      </c>
      <c r="FN189" s="93">
        <f t="shared" si="1421"/>
        <v>0</v>
      </c>
      <c r="FO189" s="93">
        <f t="shared" si="1422"/>
        <v>0</v>
      </c>
      <c r="FP189" s="93">
        <f t="shared" si="1423"/>
        <v>0</v>
      </c>
      <c r="FQ189" s="93">
        <f t="shared" si="1424"/>
        <v>0</v>
      </c>
      <c r="FR189" s="93">
        <f t="shared" si="1425"/>
        <v>0</v>
      </c>
      <c r="FS189" s="93">
        <f t="shared" si="1426"/>
        <v>0</v>
      </c>
      <c r="FT189" s="93">
        <f t="shared" si="1427"/>
        <v>0</v>
      </c>
      <c r="FU189" s="93">
        <f t="shared" si="1428"/>
        <v>0</v>
      </c>
      <c r="FV189" s="93">
        <f t="shared" si="1429"/>
        <v>0</v>
      </c>
      <c r="FW189" s="93">
        <f t="shared" si="1430"/>
        <v>0</v>
      </c>
      <c r="FX189" s="93">
        <f t="shared" si="1431"/>
        <v>0</v>
      </c>
      <c r="FY189" s="93">
        <f t="shared" si="1432"/>
        <v>0</v>
      </c>
      <c r="FZ189" s="59"/>
    </row>
    <row r="190" spans="1:184" x14ac:dyDescent="0.2">
      <c r="A190" s="66" t="s">
        <v>181</v>
      </c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  <c r="BI190" s="67"/>
      <c r="BJ190" s="67"/>
      <c r="BK190" s="67"/>
      <c r="BL190" s="67"/>
      <c r="BM190" s="67"/>
      <c r="BN190" s="67"/>
      <c r="BO190" s="67"/>
      <c r="BP190" s="67"/>
      <c r="BQ190" s="67"/>
      <c r="BR190" s="67"/>
      <c r="BS190" s="67"/>
      <c r="BT190" s="67"/>
      <c r="BU190" s="67"/>
      <c r="BV190" s="67"/>
      <c r="BW190" s="67"/>
      <c r="BX190" s="67"/>
      <c r="BY190" s="67"/>
      <c r="BZ190" s="67"/>
      <c r="CA190" s="67"/>
      <c r="CB190" s="67"/>
      <c r="CC190" s="67"/>
      <c r="CD190" s="67"/>
      <c r="CE190" s="67"/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7"/>
      <c r="DW190" s="67"/>
      <c r="DX190" s="67"/>
      <c r="DY190" s="67"/>
      <c r="DZ190" s="67"/>
      <c r="EA190" s="67"/>
      <c r="EB190" s="67"/>
      <c r="EC190" s="67"/>
      <c r="ED190" s="67"/>
      <c r="EE190" s="67"/>
      <c r="EF190" s="67"/>
      <c r="EG190" s="67"/>
      <c r="EH190" s="67"/>
      <c r="EI190" s="67"/>
      <c r="EJ190" s="67"/>
      <c r="EK190" s="67"/>
      <c r="EL190" s="67"/>
      <c r="EM190" s="67"/>
      <c r="EN190" s="67"/>
      <c r="EO190" s="67"/>
      <c r="EP190" s="67"/>
      <c r="EQ190" s="67"/>
      <c r="ER190" s="67"/>
      <c r="ES190" s="67"/>
      <c r="ET190" s="67"/>
      <c r="EU190" s="67"/>
      <c r="EV190" s="67"/>
      <c r="EW190" s="67"/>
      <c r="EX190" s="67"/>
      <c r="EY190" s="67"/>
      <c r="EZ190" s="67"/>
      <c r="FA190" s="67"/>
      <c r="FB190" s="67"/>
      <c r="FC190" s="67"/>
      <c r="FD190" s="67"/>
      <c r="FE190" s="67"/>
      <c r="FF190" s="67"/>
      <c r="FG190" s="67"/>
      <c r="FH190" s="67"/>
      <c r="FI190" s="67"/>
      <c r="FJ190" s="67"/>
      <c r="FK190" s="67"/>
      <c r="FL190" s="67"/>
      <c r="FM190" s="67"/>
      <c r="FN190" s="67"/>
      <c r="FO190" s="67"/>
      <c r="FP190" s="67"/>
      <c r="FQ190" s="67"/>
      <c r="FR190" s="67"/>
      <c r="FS190" s="67"/>
      <c r="FT190" s="67"/>
      <c r="FU190" s="67"/>
      <c r="FV190" s="67"/>
      <c r="FW190" s="67"/>
      <c r="FX190" s="67"/>
      <c r="FY190" s="67"/>
      <c r="FZ190" s="59"/>
    </row>
    <row r="191" spans="1:184" x14ac:dyDescent="0.2">
      <c r="A191" s="66" t="s">
        <v>182</v>
      </c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67"/>
      <c r="BS191" s="67"/>
      <c r="BT191" s="67"/>
      <c r="BU191" s="67"/>
      <c r="BV191" s="67"/>
      <c r="BW191" s="67"/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/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7"/>
      <c r="DW191" s="67"/>
      <c r="DX191" s="67"/>
      <c r="DY191" s="67"/>
      <c r="DZ191" s="67"/>
      <c r="EA191" s="67"/>
      <c r="EB191" s="67"/>
      <c r="EC191" s="67"/>
      <c r="ED191" s="67"/>
      <c r="EE191" s="67"/>
      <c r="EF191" s="67"/>
      <c r="EG191" s="67"/>
      <c r="EH191" s="67"/>
      <c r="EI191" s="67"/>
      <c r="EJ191" s="67"/>
      <c r="EK191" s="67"/>
      <c r="EL191" s="67"/>
      <c r="EM191" s="67"/>
      <c r="EN191" s="67"/>
      <c r="EO191" s="67"/>
      <c r="EP191" s="67"/>
      <c r="EQ191" s="67"/>
      <c r="ER191" s="67"/>
      <c r="ES191" s="67"/>
      <c r="ET191" s="67"/>
      <c r="EU191" s="67"/>
      <c r="EV191" s="67"/>
      <c r="EW191" s="67"/>
      <c r="EX191" s="67"/>
      <c r="EY191" s="67"/>
      <c r="EZ191" s="67"/>
      <c r="FA191" s="67"/>
      <c r="FB191" s="67"/>
      <c r="FC191" s="67"/>
      <c r="FD191" s="67"/>
      <c r="FE191" s="67"/>
      <c r="FF191" s="67"/>
      <c r="FG191" s="67"/>
      <c r="FH191" s="67"/>
      <c r="FI191" s="67"/>
      <c r="FJ191" s="67"/>
      <c r="FK191" s="67"/>
      <c r="FL191" s="67"/>
      <c r="FM191" s="67"/>
      <c r="FN191" s="67"/>
      <c r="FO191" s="67"/>
      <c r="FP191" s="67"/>
      <c r="FQ191" s="67"/>
      <c r="FR191" s="67"/>
      <c r="FS191" s="67"/>
      <c r="FT191" s="67"/>
      <c r="FU191" s="67"/>
      <c r="FV191" s="67"/>
      <c r="FW191" s="67"/>
      <c r="FX191" s="67"/>
      <c r="FY191" s="67"/>
      <c r="FZ191" s="59"/>
    </row>
    <row r="192" spans="1:184" x14ac:dyDescent="0.2">
      <c r="A192" s="66" t="s">
        <v>183</v>
      </c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67"/>
      <c r="BS192" s="67"/>
      <c r="BT192" s="67"/>
      <c r="BU192" s="67"/>
      <c r="BV192" s="67"/>
      <c r="BW192" s="67"/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/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7"/>
      <c r="DW192" s="67"/>
      <c r="DX192" s="67"/>
      <c r="DY192" s="67"/>
      <c r="DZ192" s="67"/>
      <c r="EA192" s="67"/>
      <c r="EB192" s="67"/>
      <c r="EC192" s="67"/>
      <c r="ED192" s="67"/>
      <c r="EE192" s="67"/>
      <c r="EF192" s="67"/>
      <c r="EG192" s="67"/>
      <c r="EH192" s="67"/>
      <c r="EI192" s="67"/>
      <c r="EJ192" s="67"/>
      <c r="EK192" s="67"/>
      <c r="EL192" s="67"/>
      <c r="EM192" s="67"/>
      <c r="EN192" s="67"/>
      <c r="EO192" s="67"/>
      <c r="EP192" s="67"/>
      <c r="EQ192" s="67"/>
      <c r="ER192" s="67"/>
      <c r="ES192" s="67"/>
      <c r="ET192" s="67"/>
      <c r="EU192" s="67"/>
      <c r="EV192" s="67"/>
      <c r="EW192" s="67"/>
      <c r="EX192" s="67"/>
      <c r="EY192" s="67"/>
      <c r="EZ192" s="67"/>
      <c r="FA192" s="67"/>
      <c r="FB192" s="67"/>
      <c r="FC192" s="67"/>
      <c r="FD192" s="67"/>
      <c r="FE192" s="67"/>
      <c r="FF192" s="67"/>
      <c r="FG192" s="67"/>
      <c r="FH192" s="67"/>
      <c r="FI192" s="67"/>
      <c r="FJ192" s="67"/>
      <c r="FK192" s="67"/>
      <c r="FL192" s="67"/>
      <c r="FM192" s="67"/>
      <c r="FN192" s="67"/>
      <c r="FO192" s="67"/>
      <c r="FP192" s="67"/>
      <c r="FQ192" s="67"/>
      <c r="FR192" s="67"/>
      <c r="FS192" s="67"/>
      <c r="FT192" s="67"/>
      <c r="FU192" s="67"/>
      <c r="FV192" s="67"/>
      <c r="FW192" s="67"/>
      <c r="FX192" s="67"/>
      <c r="FY192" s="67"/>
      <c r="FZ192" s="59"/>
    </row>
    <row r="193" spans="1:182" x14ac:dyDescent="0.2">
      <c r="A193" s="92" t="s">
        <v>290</v>
      </c>
      <c r="B193" s="93">
        <f>(B40+C193)/(1+B$99)</f>
        <v>-3448.9335084901618</v>
      </c>
      <c r="C193" s="93">
        <f t="shared" ref="C193" si="1434">(C40+D193)/(1+C$99)</f>
        <v>-3329.2146052689322</v>
      </c>
      <c r="D193" s="93">
        <f t="shared" ref="D193" si="1435">(D40+E193)/(1+D$99)</f>
        <v>-3212.9450225294599</v>
      </c>
      <c r="E193" s="93">
        <f t="shared" ref="E193" si="1436">(E40+F193)/(1+E$99)</f>
        <v>-3100.1325844833877</v>
      </c>
      <c r="F193" s="93">
        <f t="shared" ref="F193" si="1437">(F40+G193)/(1+F$99)</f>
        <v>-2990.7851595351276</v>
      </c>
      <c r="G193" s="93">
        <f t="shared" ref="G193" si="1438">(G40+H193)/(1+G$99)</f>
        <v>-2884.9106604625795</v>
      </c>
      <c r="H193" s="93">
        <f t="shared" ref="H193" si="1439">(H40+I193)/(1+H$99)</f>
        <v>-2782.5170445986596</v>
      </c>
      <c r="I193" s="93">
        <f t="shared" ref="I193" si="1440">(I40+J193)/(1+I$99)</f>
        <v>-2683.6123140136297</v>
      </c>
      <c r="J193" s="93">
        <f t="shared" ref="J193" si="1441">(J40+K193)/(1+J$99)</f>
        <v>-2588.2045156982435</v>
      </c>
      <c r="K193" s="93">
        <f t="shared" ref="K193" si="1442">(K40+L193)/(1+K$99)</f>
        <v>-2496.3017417477013</v>
      </c>
      <c r="L193" s="93">
        <f t="shared" ref="L193" si="1443">(L40+M193)/(1+L$99)</f>
        <v>-2407.9121295464274</v>
      </c>
      <c r="M193" s="93">
        <f t="shared" ref="M193" si="1444">(M40+N193)/(1+M$99)</f>
        <v>-2323.0438619536653</v>
      </c>
      <c r="N193" s="93">
        <f t="shared" ref="N193" si="1445">(N40+O193)/(1+N$99)</f>
        <v>-2241.7051674898989</v>
      </c>
      <c r="O193" s="93">
        <f t="shared" ref="O193" si="1446">(O40+P193)/(1+O$99)</f>
        <v>-2075.4957540994492</v>
      </c>
      <c r="P193" s="93">
        <f t="shared" ref="P193" si="1447">(P40+Q193)/(1+P$99)</f>
        <v>-1916.5107365006156</v>
      </c>
      <c r="Q193" s="93">
        <f t="shared" ref="Q193" si="1448">(Q40+R193)/(1+Q$99)</f>
        <v>-1764.7540604609499</v>
      </c>
      <c r="R193" s="93">
        <f t="shared" ref="R193" si="1449">(R40+S193)/(1+R$99)</f>
        <v>-1620.2297618671114</v>
      </c>
      <c r="S193" s="93">
        <f t="shared" ref="S193" si="1450">(S40+T193)/(1+S$99)</f>
        <v>-1482.9419669469971</v>
      </c>
      <c r="T193" s="93">
        <f t="shared" ref="T193" si="1451">(T40+U193)/(1+T$99)</f>
        <v>-1352.8948924932208</v>
      </c>
      <c r="U193" s="93">
        <f t="shared" ref="U193" si="1452">(U40+V193)/(1+U$99)</f>
        <v>-1230.0928460879461</v>
      </c>
      <c r="V193" s="93">
        <f t="shared" ref="V193" si="1453">(V40+W193)/(1+V$99)</f>
        <v>-1114.5402263290798</v>
      </c>
      <c r="W193" s="93">
        <f t="shared" ref="W193" si="1454">(W40+X193)/(1+W$99)</f>
        <v>-1006.2415230578295</v>
      </c>
      <c r="X193" s="93">
        <f t="shared" ref="X193" si="1455">(X40+Y193)/(1+X$99)</f>
        <v>-905.20131758763193</v>
      </c>
      <c r="Y193" s="93">
        <f t="shared" ref="Y193" si="1456">(Y40+Z193)/(1+Y$99)</f>
        <v>-811.42428293445562</v>
      </c>
      <c r="Z193" s="93">
        <f t="shared" ref="Z193" si="1457">(Z40+AA193)/(1+Z$99)</f>
        <v>-724.91518404848466</v>
      </c>
      <c r="AA193" s="93">
        <f t="shared" ref="AA193" si="1458">(AA40+AB193)/(1+AA$99)</f>
        <v>-603.89758013008657</v>
      </c>
      <c r="AB193" s="93">
        <f t="shared" ref="AB193" si="1459">(AB40+AC193)/(1+AB$99)</f>
        <v>-493.93706704464842</v>
      </c>
      <c r="AC193" s="93">
        <f t="shared" ref="AC193" si="1460">(AC40+AD193)/(1+AC$99)</f>
        <v>-395.02199482386726</v>
      </c>
      <c r="AD193" s="93">
        <f t="shared" ref="AD193" si="1461">(AD40+AE193)/(1+AD$99)</f>
        <v>-307.14089748204418</v>
      </c>
      <c r="AE193" s="93">
        <f t="shared" ref="AE193" si="1462">(AE40+AF193)/(1+AE$99)</f>
        <v>-230.2824929999428</v>
      </c>
      <c r="AF193" s="93">
        <f t="shared" ref="AF193" si="1463">(AF40+AG193)/(1+AF$99)</f>
        <v>-164.43568331126269</v>
      </c>
      <c r="AG193" s="93">
        <f t="shared" ref="AG193" si="1464">(AG40+AH193)/(1+AG$99)</f>
        <v>-109.58955429173096</v>
      </c>
      <c r="AH193" s="93">
        <f t="shared" ref="AH193" si="1465">(AH40+AI193)/(1+AH$99)</f>
        <v>-65.733375750814901</v>
      </c>
      <c r="AI193" s="93">
        <f t="shared" ref="AI193" si="1466">(AI40+AJ193)/(1+AI$99)</f>
        <v>-32.856601426058631</v>
      </c>
      <c r="AJ193" s="93">
        <f t="shared" ref="AJ193" si="1467">(AJ40+AK193)/(1+AJ$99)</f>
        <v>-10.948868980047049</v>
      </c>
      <c r="AK193" s="93">
        <f t="shared" ref="AK193" si="1468">(AK40+AL193)/(1+AK$99)</f>
        <v>0</v>
      </c>
      <c r="AL193" s="93">
        <f t="shared" ref="AL193" si="1469">(AL40+AM193)/(1+AL$99)</f>
        <v>0</v>
      </c>
      <c r="AM193" s="93">
        <f t="shared" ref="AM193" si="1470">(AM40+AN193)/(1+AM$99)</f>
        <v>0</v>
      </c>
      <c r="AN193" s="93">
        <f t="shared" ref="AN193" si="1471">(AN40+AO193)/(1+AN$99)</f>
        <v>0</v>
      </c>
      <c r="AO193" s="93">
        <f t="shared" ref="AO193" si="1472">(AO40+AP193)/(1+AO$99)</f>
        <v>0</v>
      </c>
      <c r="AP193" s="93">
        <f t="shared" ref="AP193" si="1473">(AP40+AQ193)/(1+AP$99)</f>
        <v>0</v>
      </c>
      <c r="AQ193" s="93">
        <f t="shared" ref="AQ193" si="1474">(AQ40+AR193)/(1+AQ$99)</f>
        <v>0</v>
      </c>
      <c r="AR193" s="93">
        <f t="shared" ref="AR193" si="1475">(AR40+AS193)/(1+AR$99)</f>
        <v>0</v>
      </c>
      <c r="AS193" s="93">
        <f t="shared" ref="AS193" si="1476">(AS40+AT193)/(1+AS$99)</f>
        <v>0</v>
      </c>
      <c r="AT193" s="93">
        <f t="shared" ref="AT193" si="1477">(AT40+AU193)/(1+AT$99)</f>
        <v>0</v>
      </c>
      <c r="AU193" s="93">
        <f t="shared" ref="AU193" si="1478">(AU40+AV193)/(1+AU$99)</f>
        <v>0</v>
      </c>
      <c r="AV193" s="93">
        <f t="shared" ref="AV193" si="1479">(AV40+AW193)/(1+AV$99)</f>
        <v>0</v>
      </c>
      <c r="AW193" s="93">
        <f t="shared" ref="AW193" si="1480">(AW40+AX193)/(1+AW$99)</f>
        <v>0</v>
      </c>
      <c r="AX193" s="93">
        <f t="shared" ref="AX193" si="1481">(AX40+AY193)/(1+AX$99)</f>
        <v>0</v>
      </c>
      <c r="AY193" s="93">
        <f t="shared" ref="AY193" si="1482">(AY40+AZ193)/(1+AY$99)</f>
        <v>0</v>
      </c>
      <c r="AZ193" s="93">
        <f t="shared" ref="AZ193" si="1483">(AZ40+BA193)/(1+AZ$99)</f>
        <v>0</v>
      </c>
      <c r="BA193" s="93">
        <f t="shared" ref="BA193" si="1484">(BA40+BB193)/(1+BA$99)</f>
        <v>0</v>
      </c>
      <c r="BB193" s="93">
        <f t="shared" ref="BB193" si="1485">(BB40+BC193)/(1+BB$99)</f>
        <v>0</v>
      </c>
      <c r="BC193" s="93">
        <f t="shared" ref="BC193" si="1486">(BC40+BD193)/(1+BC$99)</f>
        <v>0</v>
      </c>
      <c r="BD193" s="93">
        <f t="shared" ref="BD193" si="1487">(BD40+BE193)/(1+BD$99)</f>
        <v>0</v>
      </c>
      <c r="BE193" s="93">
        <f t="shared" ref="BE193" si="1488">(BE40+BF193)/(1+BE$99)</f>
        <v>0</v>
      </c>
      <c r="BF193" s="93">
        <f t="shared" ref="BF193" si="1489">(BF40+BG193)/(1+BF$99)</f>
        <v>0</v>
      </c>
      <c r="BG193" s="93">
        <f t="shared" ref="BG193" si="1490">(BG40+BH193)/(1+BG$99)</f>
        <v>0</v>
      </c>
      <c r="BH193" s="93">
        <f t="shared" ref="BH193" si="1491">(BH40+BI193)/(1+BH$99)</f>
        <v>0</v>
      </c>
      <c r="BI193" s="93">
        <f t="shared" ref="BI193" si="1492">(BI40+BJ193)/(1+BI$99)</f>
        <v>0</v>
      </c>
      <c r="BJ193" s="93">
        <f t="shared" ref="BJ193" si="1493">(BJ40+BK193)/(1+BJ$99)</f>
        <v>0</v>
      </c>
      <c r="BK193" s="93">
        <f t="shared" ref="BK193" si="1494">(BK40+BL193)/(1+BK$99)</f>
        <v>0</v>
      </c>
      <c r="BL193" s="93">
        <f t="shared" ref="BL193" si="1495">(BL40+BM193)/(1+BL$99)</f>
        <v>0</v>
      </c>
      <c r="BM193" s="93">
        <f t="shared" ref="BM193" si="1496">(BM40+BN193)/(1+BM$99)</f>
        <v>0</v>
      </c>
      <c r="BN193" s="93">
        <f t="shared" ref="BN193" si="1497">(BN40+BO193)/(1+BN$99)</f>
        <v>0</v>
      </c>
      <c r="BO193" s="93">
        <f t="shared" ref="BO193" si="1498">(BO40+BP193)/(1+BO$99)</f>
        <v>0</v>
      </c>
      <c r="BP193" s="93">
        <f t="shared" ref="BP193" si="1499">(BP40+BQ193)/(1+BP$99)</f>
        <v>0</v>
      </c>
      <c r="BQ193" s="93">
        <f t="shared" ref="BQ193" si="1500">(BQ40+BR193)/(1+BQ$99)</f>
        <v>0</v>
      </c>
      <c r="BR193" s="93">
        <f t="shared" ref="BR193" si="1501">(BR40+BS193)/(1+BR$99)</f>
        <v>0</v>
      </c>
      <c r="BS193" s="93">
        <f t="shared" ref="BS193" si="1502">(BS40+BT193)/(1+BS$99)</f>
        <v>0</v>
      </c>
      <c r="BT193" s="93">
        <f t="shared" ref="BT193" si="1503">(BT40+BU193)/(1+BT$99)</f>
        <v>0</v>
      </c>
      <c r="BU193" s="93">
        <f t="shared" ref="BU193" si="1504">(BU40+BV193)/(1+BU$99)</f>
        <v>0</v>
      </c>
      <c r="BV193" s="93">
        <f t="shared" ref="BV193" si="1505">(BV40+BW193)/(1+BV$99)</f>
        <v>0</v>
      </c>
      <c r="BW193" s="93">
        <f t="shared" ref="BW193" si="1506">(BW40+BX193)/(1+BW$99)</f>
        <v>0</v>
      </c>
      <c r="BX193" s="93">
        <f t="shared" ref="BX193" si="1507">(BX40+BY193)/(1+BX$99)</f>
        <v>0</v>
      </c>
      <c r="BY193" s="93">
        <f t="shared" ref="BY193" si="1508">(BY40+BZ193)/(1+BY$99)</f>
        <v>0</v>
      </c>
      <c r="BZ193" s="93">
        <f t="shared" ref="BZ193" si="1509">(BZ40+CA193)/(1+BZ$99)</f>
        <v>0</v>
      </c>
      <c r="CA193" s="93">
        <f t="shared" ref="CA193" si="1510">(CA40+CB193)/(1+CA$99)</f>
        <v>0</v>
      </c>
      <c r="CB193" s="93">
        <f t="shared" ref="CB193" si="1511">(CB40+CC193)/(1+CB$99)</f>
        <v>0</v>
      </c>
      <c r="CC193" s="93">
        <f t="shared" ref="CC193" si="1512">(CC40+CD193)/(1+CC$99)</f>
        <v>0</v>
      </c>
      <c r="CD193" s="93">
        <f t="shared" ref="CD193" si="1513">(CD40+CE193)/(1+CD$99)</f>
        <v>0</v>
      </c>
      <c r="CE193" s="93">
        <f t="shared" ref="CE193" si="1514">(CE40+CF193)/(1+CE$99)</f>
        <v>0</v>
      </c>
      <c r="CF193" s="93">
        <f t="shared" ref="CF193" si="1515">(CF40+CG193)/(1+CF$99)</f>
        <v>0</v>
      </c>
      <c r="CG193" s="93">
        <f t="shared" ref="CG193" si="1516">(CG40+CH193)/(1+CG$99)</f>
        <v>0</v>
      </c>
      <c r="CH193" s="93">
        <f t="shared" ref="CH193" si="1517">(CH40+CI193)/(1+CH$99)</f>
        <v>0</v>
      </c>
      <c r="CI193" s="93">
        <f t="shared" ref="CI193" si="1518">(CI40+CJ193)/(1+CI$99)</f>
        <v>0</v>
      </c>
      <c r="CJ193" s="93">
        <f t="shared" ref="CJ193" si="1519">(CJ40+CK193)/(1+CJ$99)</f>
        <v>0</v>
      </c>
      <c r="CK193" s="93">
        <f t="shared" ref="CK193" si="1520">(CK40+CL193)/(1+CK$99)</f>
        <v>0</v>
      </c>
      <c r="CL193" s="93">
        <f t="shared" ref="CL193" si="1521">(CL40+CM193)/(1+CL$99)</f>
        <v>0</v>
      </c>
      <c r="CM193" s="93">
        <f t="shared" ref="CM193" si="1522">(CM40+CN193)/(1+CM$99)</f>
        <v>0</v>
      </c>
      <c r="CN193" s="93">
        <f t="shared" ref="CN193" si="1523">(CN40+CO193)/(1+CN$99)</f>
        <v>0</v>
      </c>
      <c r="CO193" s="93">
        <f t="shared" ref="CO193" si="1524">(CO40+CP193)/(1+CO$99)</f>
        <v>0</v>
      </c>
      <c r="CP193" s="93">
        <f t="shared" ref="CP193" si="1525">(CP40+CQ193)/(1+CP$99)</f>
        <v>0</v>
      </c>
      <c r="CQ193" s="93">
        <f t="shared" ref="CQ193" si="1526">(CQ40+CR193)/(1+CQ$99)</f>
        <v>0</v>
      </c>
      <c r="CR193" s="93">
        <f t="shared" ref="CR193" si="1527">(CR40+CS193)/(1+CR$99)</f>
        <v>0</v>
      </c>
      <c r="CS193" s="93">
        <f t="shared" ref="CS193" si="1528">(CS40+CT193)/(1+CS$99)</f>
        <v>0</v>
      </c>
      <c r="CT193" s="93">
        <f t="shared" ref="CT193" si="1529">(CT40+CU193)/(1+CT$99)</f>
        <v>0</v>
      </c>
      <c r="CU193" s="93">
        <f t="shared" ref="CU193" si="1530">(CU40+CV193)/(1+CU$99)</f>
        <v>0</v>
      </c>
      <c r="CV193" s="93">
        <f t="shared" ref="CV193" si="1531">(CV40+CW193)/(1+CV$99)</f>
        <v>0</v>
      </c>
      <c r="CW193" s="93">
        <f t="shared" ref="CW193" si="1532">(CW40+CX193)/(1+CW$99)</f>
        <v>0</v>
      </c>
      <c r="CX193" s="93">
        <f t="shared" ref="CX193" si="1533">(CX40+CY193)/(1+CX$99)</f>
        <v>0</v>
      </c>
      <c r="CY193" s="93">
        <f t="shared" ref="CY193" si="1534">(CY40+CZ193)/(1+CY$99)</f>
        <v>0</v>
      </c>
      <c r="CZ193" s="93">
        <f t="shared" ref="CZ193" si="1535">(CZ40+DA193)/(1+CZ$99)</f>
        <v>0</v>
      </c>
      <c r="DA193" s="93">
        <f t="shared" ref="DA193" si="1536">(DA40+DB193)/(1+DA$99)</f>
        <v>0</v>
      </c>
      <c r="DB193" s="93">
        <f t="shared" ref="DB193" si="1537">(DB40+DC193)/(1+DB$99)</f>
        <v>0</v>
      </c>
      <c r="DC193" s="93">
        <f t="shared" ref="DC193" si="1538">(DC40+DD193)/(1+DC$99)</f>
        <v>0</v>
      </c>
      <c r="DD193" s="93">
        <f t="shared" ref="DD193" si="1539">(DD40+DE193)/(1+DD$99)</f>
        <v>0</v>
      </c>
      <c r="DE193" s="93">
        <f t="shared" ref="DE193" si="1540">(DE40+DF193)/(1+DE$99)</f>
        <v>0</v>
      </c>
      <c r="DF193" s="93">
        <f t="shared" ref="DF193" si="1541">(DF40+DG193)/(1+DF$99)</f>
        <v>0</v>
      </c>
      <c r="DG193" s="93">
        <f t="shared" ref="DG193" si="1542">(DG40+DH193)/(1+DG$99)</f>
        <v>0</v>
      </c>
      <c r="DH193" s="93">
        <f t="shared" ref="DH193" si="1543">(DH40+DI193)/(1+DH$99)</f>
        <v>0</v>
      </c>
      <c r="DI193" s="93">
        <f t="shared" ref="DI193" si="1544">(DI40+DJ193)/(1+DI$99)</f>
        <v>0</v>
      </c>
      <c r="DJ193" s="93">
        <f t="shared" ref="DJ193" si="1545">(DJ40+DK193)/(1+DJ$99)</f>
        <v>0</v>
      </c>
      <c r="DK193" s="93">
        <f t="shared" ref="DK193" si="1546">(DK40+DL193)/(1+DK$99)</f>
        <v>0</v>
      </c>
      <c r="DL193" s="93">
        <f t="shared" ref="DL193" si="1547">(DL40+DM193)/(1+DL$99)</f>
        <v>0</v>
      </c>
      <c r="DM193" s="93">
        <f t="shared" ref="DM193" si="1548">(DM40+DN193)/(1+DM$99)</f>
        <v>0</v>
      </c>
      <c r="DN193" s="93">
        <f t="shared" ref="DN193" si="1549">(DN40+DO193)/(1+DN$99)</f>
        <v>0</v>
      </c>
      <c r="DO193" s="93">
        <f t="shared" ref="DO193" si="1550">(DO40+DP193)/(1+DO$99)</f>
        <v>0</v>
      </c>
      <c r="DP193" s="93">
        <f t="shared" ref="DP193" si="1551">(DP40+DQ193)/(1+DP$99)</f>
        <v>0</v>
      </c>
      <c r="DQ193" s="93">
        <f t="shared" ref="DQ193" si="1552">(DQ40+DR193)/(1+DQ$99)</f>
        <v>0</v>
      </c>
      <c r="DR193" s="93">
        <f t="shared" ref="DR193" si="1553">(DR40+DS193)/(1+DR$99)</f>
        <v>0</v>
      </c>
      <c r="DS193" s="93">
        <f t="shared" ref="DS193" si="1554">(DS40+DT193)/(1+DS$99)</f>
        <v>0</v>
      </c>
      <c r="DT193" s="93">
        <f t="shared" ref="DT193" si="1555">(DT40+DU193)/(1+DT$99)</f>
        <v>0</v>
      </c>
      <c r="DU193" s="93">
        <f t="shared" ref="DU193" si="1556">(DU40+DV193)/(1+DU$99)</f>
        <v>0</v>
      </c>
      <c r="DV193" s="93">
        <f t="shared" ref="DV193" si="1557">(DV40+DW193)/(1+DV$99)</f>
        <v>0</v>
      </c>
      <c r="DW193" s="93">
        <f t="shared" ref="DW193" si="1558">(DW40+DX193)/(1+DW$99)</f>
        <v>0</v>
      </c>
      <c r="DX193" s="93">
        <f t="shared" ref="DX193" si="1559">(DX40+DY193)/(1+DX$99)</f>
        <v>0</v>
      </c>
      <c r="DY193" s="93">
        <f t="shared" ref="DY193" si="1560">(DY40+DZ193)/(1+DY$99)</f>
        <v>0</v>
      </c>
      <c r="DZ193" s="93">
        <f t="shared" ref="DZ193" si="1561">(DZ40+EA193)/(1+DZ$99)</f>
        <v>0</v>
      </c>
      <c r="EA193" s="93">
        <f t="shared" ref="EA193" si="1562">(EA40+EB193)/(1+EA$99)</f>
        <v>0</v>
      </c>
      <c r="EB193" s="93">
        <f t="shared" ref="EB193" si="1563">(EB40+EC193)/(1+EB$99)</f>
        <v>0</v>
      </c>
      <c r="EC193" s="93">
        <f t="shared" ref="EC193" si="1564">(EC40+ED193)/(1+EC$99)</f>
        <v>0</v>
      </c>
      <c r="ED193" s="93">
        <f t="shared" ref="ED193" si="1565">(ED40+EE193)/(1+ED$99)</f>
        <v>0</v>
      </c>
      <c r="EE193" s="93">
        <f t="shared" ref="EE193" si="1566">(EE40+EF193)/(1+EE$99)</f>
        <v>0</v>
      </c>
      <c r="EF193" s="93">
        <f t="shared" ref="EF193" si="1567">(EF40+EG193)/(1+EF$99)</f>
        <v>0</v>
      </c>
      <c r="EG193" s="93">
        <f t="shared" ref="EG193" si="1568">(EG40+EH193)/(1+EG$99)</f>
        <v>0</v>
      </c>
      <c r="EH193" s="93">
        <f t="shared" ref="EH193" si="1569">(EH40+EI193)/(1+EH$99)</f>
        <v>0</v>
      </c>
      <c r="EI193" s="93">
        <f t="shared" ref="EI193" si="1570">(EI40+EJ193)/(1+EI$99)</f>
        <v>0</v>
      </c>
      <c r="EJ193" s="93">
        <f t="shared" ref="EJ193" si="1571">(EJ40+EK193)/(1+EJ$99)</f>
        <v>0</v>
      </c>
      <c r="EK193" s="93">
        <f t="shared" ref="EK193" si="1572">(EK40+EL193)/(1+EK$99)</f>
        <v>0</v>
      </c>
      <c r="EL193" s="93">
        <f t="shared" ref="EL193" si="1573">(EL40+EM193)/(1+EL$99)</f>
        <v>0</v>
      </c>
      <c r="EM193" s="93">
        <f t="shared" ref="EM193" si="1574">(EM40+EN193)/(1+EM$99)</f>
        <v>0</v>
      </c>
      <c r="EN193" s="93">
        <f t="shared" ref="EN193" si="1575">(EN40+EO193)/(1+EN$99)</f>
        <v>0</v>
      </c>
      <c r="EO193" s="93">
        <f t="shared" ref="EO193" si="1576">(EO40+EP193)/(1+EO$99)</f>
        <v>0</v>
      </c>
      <c r="EP193" s="93">
        <f t="shared" ref="EP193" si="1577">(EP40+EQ193)/(1+EP$99)</f>
        <v>0</v>
      </c>
      <c r="EQ193" s="93">
        <f t="shared" ref="EQ193" si="1578">(EQ40+ER193)/(1+EQ$99)</f>
        <v>0</v>
      </c>
      <c r="ER193" s="93">
        <f t="shared" ref="ER193" si="1579">(ER40+ES193)/(1+ER$99)</f>
        <v>0</v>
      </c>
      <c r="ES193" s="93">
        <f t="shared" ref="ES193" si="1580">(ES40+ET193)/(1+ES$99)</f>
        <v>0</v>
      </c>
      <c r="ET193" s="93">
        <f t="shared" ref="ET193" si="1581">(ET40+EU193)/(1+ET$99)</f>
        <v>0</v>
      </c>
      <c r="EU193" s="93">
        <f t="shared" ref="EU193" si="1582">(EU40+EV193)/(1+EU$99)</f>
        <v>0</v>
      </c>
      <c r="EV193" s="93">
        <f t="shared" ref="EV193" si="1583">(EV40+EW193)/(1+EV$99)</f>
        <v>0</v>
      </c>
      <c r="EW193" s="93">
        <f t="shared" ref="EW193" si="1584">(EW40+EX193)/(1+EW$99)</f>
        <v>0</v>
      </c>
      <c r="EX193" s="93">
        <f t="shared" ref="EX193" si="1585">(EX40+EY193)/(1+EX$99)</f>
        <v>0</v>
      </c>
      <c r="EY193" s="93">
        <f t="shared" ref="EY193" si="1586">(EY40+EZ193)/(1+EY$99)</f>
        <v>0</v>
      </c>
      <c r="EZ193" s="93">
        <f t="shared" ref="EZ193" si="1587">(EZ40+FA193)/(1+EZ$99)</f>
        <v>0</v>
      </c>
      <c r="FA193" s="93">
        <f t="shared" ref="FA193" si="1588">(FA40+FB193)/(1+FA$99)</f>
        <v>0</v>
      </c>
      <c r="FB193" s="93">
        <f t="shared" ref="FB193" si="1589">(FB40+FC193)/(1+FB$99)</f>
        <v>0</v>
      </c>
      <c r="FC193" s="93">
        <f t="shared" ref="FC193" si="1590">(FC40+FD193)/(1+FC$99)</f>
        <v>0</v>
      </c>
      <c r="FD193" s="93">
        <f t="shared" ref="FD193" si="1591">(FD40+FE193)/(1+FD$99)</f>
        <v>0</v>
      </c>
      <c r="FE193" s="93">
        <f t="shared" ref="FE193" si="1592">(FE40+FF193)/(1+FE$99)</f>
        <v>0</v>
      </c>
      <c r="FF193" s="93">
        <f t="shared" ref="FF193" si="1593">(FF40+FG193)/(1+FF$99)</f>
        <v>0</v>
      </c>
      <c r="FG193" s="93">
        <f t="shared" ref="FG193" si="1594">(FG40+FH193)/(1+FG$99)</f>
        <v>0</v>
      </c>
      <c r="FH193" s="93">
        <f t="shared" ref="FH193" si="1595">(FH40+FI193)/(1+FH$99)</f>
        <v>0</v>
      </c>
      <c r="FI193" s="93">
        <f t="shared" ref="FI193" si="1596">(FI40+FJ193)/(1+FI$99)</f>
        <v>0</v>
      </c>
      <c r="FJ193" s="93">
        <f t="shared" ref="FJ193" si="1597">(FJ40+FK193)/(1+FJ$99)</f>
        <v>0</v>
      </c>
      <c r="FK193" s="93">
        <f t="shared" ref="FK193" si="1598">(FK40+FL193)/(1+FK$99)</f>
        <v>0</v>
      </c>
      <c r="FL193" s="93">
        <f t="shared" ref="FL193" si="1599">(FL40+FM193)/(1+FL$99)</f>
        <v>0</v>
      </c>
      <c r="FM193" s="93">
        <f t="shared" ref="FM193" si="1600">(FM40+FN193)/(1+FM$99)</f>
        <v>0</v>
      </c>
      <c r="FN193" s="93">
        <f t="shared" ref="FN193" si="1601">(FN40+FO193)/(1+FN$99)</f>
        <v>0</v>
      </c>
      <c r="FO193" s="93">
        <f t="shared" ref="FO193" si="1602">(FO40+FP193)/(1+FO$99)</f>
        <v>0</v>
      </c>
      <c r="FP193" s="93">
        <f t="shared" ref="FP193" si="1603">(FP40+FQ193)/(1+FP$99)</f>
        <v>0</v>
      </c>
      <c r="FQ193" s="93">
        <f t="shared" ref="FQ193" si="1604">(FQ40+FR193)/(1+FQ$99)</f>
        <v>0</v>
      </c>
      <c r="FR193" s="93">
        <f t="shared" ref="FR193" si="1605">(FR40+FS193)/(1+FR$99)</f>
        <v>0</v>
      </c>
      <c r="FS193" s="93">
        <f t="shared" ref="FS193" si="1606">(FS40+FT193)/(1+FS$99)</f>
        <v>0</v>
      </c>
      <c r="FT193" s="93">
        <f t="shared" ref="FT193" si="1607">(FT40+FU193)/(1+FT$99)</f>
        <v>0</v>
      </c>
      <c r="FU193" s="93">
        <f t="shared" ref="FU193" si="1608">(FU40+FV193)/(1+FU$99)</f>
        <v>0</v>
      </c>
      <c r="FV193" s="93">
        <f t="shared" ref="FV193" si="1609">(FV40+FW193)/(1+FV$99)</f>
        <v>0</v>
      </c>
      <c r="FW193" s="93">
        <f t="shared" ref="FW193" si="1610">(FW40+FX193)/(1+FW$99)</f>
        <v>0</v>
      </c>
      <c r="FX193" s="93">
        <f t="shared" ref="FX193" si="1611">(FX40+FY193)/(1+FX$99)</f>
        <v>0</v>
      </c>
      <c r="FY193" s="93">
        <f t="shared" ref="FY193" si="1612">(FY40+FZ193)/(1+FY$99)</f>
        <v>0</v>
      </c>
      <c r="FZ193" s="59"/>
    </row>
    <row r="194" spans="1:182" x14ac:dyDescent="0.2"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  <c r="FB194" s="57"/>
      <c r="FC194" s="57"/>
      <c r="FD194" s="57"/>
      <c r="FE194" s="57"/>
      <c r="FF194" s="57"/>
      <c r="FG194" s="57"/>
      <c r="FH194" s="57"/>
      <c r="FI194" s="57"/>
      <c r="FJ194" s="57"/>
      <c r="FK194" s="57"/>
      <c r="FL194" s="57"/>
      <c r="FM194" s="57"/>
      <c r="FN194" s="57"/>
      <c r="FO194" s="57"/>
      <c r="FP194" s="57"/>
      <c r="FQ194" s="57"/>
      <c r="FR194" s="57"/>
      <c r="FS194" s="57"/>
      <c r="FT194" s="57"/>
      <c r="FU194" s="57"/>
      <c r="FV194" s="57"/>
      <c r="FW194" s="57"/>
      <c r="FX194" s="57"/>
      <c r="FY194" s="57"/>
    </row>
    <row r="195" spans="1:182" x14ac:dyDescent="0.2">
      <c r="A195" s="92" t="s">
        <v>263</v>
      </c>
      <c r="B195" s="93">
        <f>B44+C195/(1+B$99)</f>
        <v>368000</v>
      </c>
      <c r="C195" s="93">
        <f t="shared" ref="C195" si="1613">C44+D195/(1+C$99)</f>
        <v>0</v>
      </c>
      <c r="D195" s="93">
        <f t="shared" ref="D195:D196" si="1614">D44+E195/(1+D$99)</f>
        <v>0</v>
      </c>
      <c r="E195" s="93">
        <f t="shared" ref="E195:E196" si="1615">E44+F195/(1+E$99)</f>
        <v>0</v>
      </c>
      <c r="F195" s="93">
        <f t="shared" ref="F195:F196" si="1616">F44+G195/(1+F$99)</f>
        <v>0</v>
      </c>
      <c r="G195" s="93">
        <f t="shared" ref="G195:G196" si="1617">G44+H195/(1+G$99)</f>
        <v>0</v>
      </c>
      <c r="H195" s="93">
        <f t="shared" ref="H195:H196" si="1618">H44+I195/(1+H$99)</f>
        <v>0</v>
      </c>
      <c r="I195" s="93">
        <f t="shared" ref="I195:I196" si="1619">I44+J195/(1+I$99)</f>
        <v>0</v>
      </c>
      <c r="J195" s="93">
        <f t="shared" ref="J195:J196" si="1620">J44+K195/(1+J$99)</f>
        <v>0</v>
      </c>
      <c r="K195" s="93">
        <f t="shared" ref="K195:K196" si="1621">K44+L195/(1+K$99)</f>
        <v>0</v>
      </c>
      <c r="L195" s="93">
        <f t="shared" ref="L195:L196" si="1622">L44+M195/(1+L$99)</f>
        <v>0</v>
      </c>
      <c r="M195" s="93">
        <f t="shared" ref="M195:M196" si="1623">M44+N195/(1+M$99)</f>
        <v>0</v>
      </c>
      <c r="N195" s="93">
        <f t="shared" ref="N195:N196" si="1624">N44+O195/(1+N$99)</f>
        <v>0</v>
      </c>
      <c r="O195" s="93">
        <f t="shared" ref="O195:O196" si="1625">O44+P195/(1+O$99)</f>
        <v>0</v>
      </c>
      <c r="P195" s="93">
        <f t="shared" ref="P195:P196" si="1626">P44+Q195/(1+P$99)</f>
        <v>0</v>
      </c>
      <c r="Q195" s="93">
        <f t="shared" ref="Q195:Q196" si="1627">Q44+R195/(1+Q$99)</f>
        <v>0</v>
      </c>
      <c r="R195" s="93">
        <f t="shared" ref="R195:R196" si="1628">R44+S195/(1+R$99)</f>
        <v>0</v>
      </c>
      <c r="S195" s="93">
        <f t="shared" ref="S195:S196" si="1629">S44+T195/(1+S$99)</f>
        <v>0</v>
      </c>
      <c r="T195" s="93">
        <f t="shared" ref="T195:T196" si="1630">T44+U195/(1+T$99)</f>
        <v>0</v>
      </c>
      <c r="U195" s="93">
        <f t="shared" ref="U195:U196" si="1631">U44+V195/(1+U$99)</f>
        <v>0</v>
      </c>
      <c r="V195" s="93">
        <f t="shared" ref="V195:V196" si="1632">V44+W195/(1+V$99)</f>
        <v>0</v>
      </c>
      <c r="W195" s="93">
        <f t="shared" ref="W195:W196" si="1633">W44+X195/(1+W$99)</f>
        <v>0</v>
      </c>
      <c r="X195" s="93">
        <f t="shared" ref="X195:X196" si="1634">X44+Y195/(1+X$99)</f>
        <v>0</v>
      </c>
      <c r="Y195" s="93">
        <f t="shared" ref="Y195:Y196" si="1635">Y44+Z195/(1+Y$99)</f>
        <v>0</v>
      </c>
      <c r="Z195" s="93">
        <f t="shared" ref="Z195:Z196" si="1636">Z44+AA195/(1+Z$99)</f>
        <v>0</v>
      </c>
      <c r="AA195" s="93">
        <f t="shared" ref="AA195:AA196" si="1637">AA44+AB195/(1+AA$99)</f>
        <v>0</v>
      </c>
      <c r="AB195" s="93">
        <f t="shared" ref="AB195:AB196" si="1638">AB44+AC195/(1+AB$99)</f>
        <v>0</v>
      </c>
      <c r="AC195" s="93">
        <f t="shared" ref="AC195:AC196" si="1639">AC44+AD195/(1+AC$99)</f>
        <v>0</v>
      </c>
      <c r="AD195" s="93">
        <f t="shared" ref="AD195:AD196" si="1640">AD44+AE195/(1+AD$99)</f>
        <v>0</v>
      </c>
      <c r="AE195" s="93">
        <f t="shared" ref="AE195:AE196" si="1641">AE44+AF195/(1+AE$99)</f>
        <v>0</v>
      </c>
      <c r="AF195" s="93">
        <f t="shared" ref="AF195:AF196" si="1642">AF44+AG195/(1+AF$99)</f>
        <v>0</v>
      </c>
      <c r="AG195" s="93">
        <f t="shared" ref="AG195:AG196" si="1643">AG44+AH195/(1+AG$99)</f>
        <v>0</v>
      </c>
      <c r="AH195" s="93">
        <f t="shared" ref="AH195:AH196" si="1644">AH44+AI195/(1+AH$99)</f>
        <v>0</v>
      </c>
      <c r="AI195" s="93">
        <f t="shared" ref="AI195:AI196" si="1645">AI44+AJ195/(1+AI$99)</f>
        <v>0</v>
      </c>
      <c r="AJ195" s="93">
        <f t="shared" ref="AJ195:AJ196" si="1646">AJ44+AK195/(1+AJ$99)</f>
        <v>0</v>
      </c>
      <c r="AK195" s="93">
        <f t="shared" ref="AK195:AK196" si="1647">AK44+AL195/(1+AK$99)</f>
        <v>0</v>
      </c>
      <c r="AL195" s="93">
        <f t="shared" ref="AL195:AL196" si="1648">AL44+AM195/(1+AL$99)</f>
        <v>0</v>
      </c>
      <c r="AM195" s="93">
        <f t="shared" ref="AM195:AM196" si="1649">AM44+AN195/(1+AM$99)</f>
        <v>0</v>
      </c>
      <c r="AN195" s="93">
        <f t="shared" ref="AN195:AN196" si="1650">AN44+AO195/(1+AN$99)</f>
        <v>0</v>
      </c>
      <c r="AO195" s="93">
        <f t="shared" ref="AO195:AO196" si="1651">AO44+AP195/(1+AO$99)</f>
        <v>0</v>
      </c>
      <c r="AP195" s="93">
        <f t="shared" ref="AP195:AP196" si="1652">AP44+AQ195/(1+AP$99)</f>
        <v>0</v>
      </c>
      <c r="AQ195" s="93">
        <f t="shared" ref="AQ195:AQ196" si="1653">AQ44+AR195/(1+AQ$99)</f>
        <v>0</v>
      </c>
      <c r="AR195" s="93">
        <f t="shared" ref="AR195:AR196" si="1654">AR44+AS195/(1+AR$99)</f>
        <v>0</v>
      </c>
      <c r="AS195" s="93">
        <f t="shared" ref="AS195:AS196" si="1655">AS44+AT195/(1+AS$99)</f>
        <v>0</v>
      </c>
      <c r="AT195" s="93">
        <f t="shared" ref="AT195:AT196" si="1656">AT44+AU195/(1+AT$99)</f>
        <v>0</v>
      </c>
      <c r="AU195" s="93">
        <f t="shared" ref="AU195:AU196" si="1657">AU44+AV195/(1+AU$99)</f>
        <v>0</v>
      </c>
      <c r="AV195" s="93">
        <f t="shared" ref="AV195:AV196" si="1658">AV44+AW195/(1+AV$99)</f>
        <v>0</v>
      </c>
      <c r="AW195" s="93">
        <f t="shared" ref="AW195:AW196" si="1659">AW44+AX195/(1+AW$99)</f>
        <v>0</v>
      </c>
      <c r="AX195" s="93">
        <f t="shared" ref="AX195:AX196" si="1660">AX44+AY195/(1+AX$99)</f>
        <v>0</v>
      </c>
      <c r="AY195" s="93">
        <f t="shared" ref="AY195:AY196" si="1661">AY44+AZ195/(1+AY$99)</f>
        <v>0</v>
      </c>
      <c r="AZ195" s="93">
        <f t="shared" ref="AZ195:AZ196" si="1662">AZ44+BA195/(1+AZ$99)</f>
        <v>0</v>
      </c>
      <c r="BA195" s="93">
        <f t="shared" ref="BA195:BA196" si="1663">BA44+BB195/(1+BA$99)</f>
        <v>0</v>
      </c>
      <c r="BB195" s="93">
        <f t="shared" ref="BB195:BB196" si="1664">BB44+BC195/(1+BB$99)</f>
        <v>0</v>
      </c>
      <c r="BC195" s="93">
        <f t="shared" ref="BC195:BC196" si="1665">BC44+BD195/(1+BC$99)</f>
        <v>0</v>
      </c>
      <c r="BD195" s="93">
        <f t="shared" ref="BD195:BD196" si="1666">BD44+BE195/(1+BD$99)</f>
        <v>0</v>
      </c>
      <c r="BE195" s="93">
        <f t="shared" ref="BE195:BE196" si="1667">BE44+BF195/(1+BE$99)</f>
        <v>0</v>
      </c>
      <c r="BF195" s="93">
        <f t="shared" ref="BF195:BF196" si="1668">BF44+BG195/(1+BF$99)</f>
        <v>0</v>
      </c>
      <c r="BG195" s="93">
        <f t="shared" ref="BG195:BG196" si="1669">BG44+BH195/(1+BG$99)</f>
        <v>0</v>
      </c>
      <c r="BH195" s="93">
        <f t="shared" ref="BH195:BH196" si="1670">BH44+BI195/(1+BH$99)</f>
        <v>0</v>
      </c>
      <c r="BI195" s="93">
        <f t="shared" ref="BI195:BI196" si="1671">BI44+BJ195/(1+BI$99)</f>
        <v>0</v>
      </c>
      <c r="BJ195" s="93">
        <f t="shared" ref="BJ195:BJ196" si="1672">BJ44+BK195/(1+BJ$99)</f>
        <v>0</v>
      </c>
      <c r="BK195" s="93">
        <f t="shared" ref="BK195:BK196" si="1673">BK44+BL195/(1+BK$99)</f>
        <v>0</v>
      </c>
      <c r="BL195" s="93">
        <f t="shared" ref="BL195:BL196" si="1674">BL44+BM195/(1+BL$99)</f>
        <v>0</v>
      </c>
      <c r="BM195" s="93">
        <f t="shared" ref="BM195:BM196" si="1675">BM44+BN195/(1+BM$99)</f>
        <v>0</v>
      </c>
      <c r="BN195" s="93">
        <f t="shared" ref="BN195:BN196" si="1676">BN44+BO195/(1+BN$99)</f>
        <v>0</v>
      </c>
      <c r="BO195" s="93">
        <f t="shared" ref="BO195:BO196" si="1677">BO44+BP195/(1+BO$99)</f>
        <v>0</v>
      </c>
      <c r="BP195" s="93">
        <f t="shared" ref="BP195:BP196" si="1678">BP44+BQ195/(1+BP$99)</f>
        <v>0</v>
      </c>
      <c r="BQ195" s="93">
        <f t="shared" ref="BQ195:BQ196" si="1679">BQ44+BR195/(1+BQ$99)</f>
        <v>0</v>
      </c>
      <c r="BR195" s="93">
        <f t="shared" ref="BR195:BR196" si="1680">BR44+BS195/(1+BR$99)</f>
        <v>0</v>
      </c>
      <c r="BS195" s="93">
        <f t="shared" ref="BS195:BS196" si="1681">BS44+BT195/(1+BS$99)</f>
        <v>0</v>
      </c>
      <c r="BT195" s="93">
        <f t="shared" ref="BT195:BT196" si="1682">BT44+BU195/(1+BT$99)</f>
        <v>0</v>
      </c>
      <c r="BU195" s="93">
        <f t="shared" ref="BU195:BU196" si="1683">BU44+BV195/(1+BU$99)</f>
        <v>0</v>
      </c>
      <c r="BV195" s="93">
        <f t="shared" ref="BV195:BV196" si="1684">BV44+BW195/(1+BV$99)</f>
        <v>0</v>
      </c>
      <c r="BW195" s="93">
        <f t="shared" ref="BW195:BW196" si="1685">BW44+BX195/(1+BW$99)</f>
        <v>0</v>
      </c>
      <c r="BX195" s="93">
        <f t="shared" ref="BX195:BX196" si="1686">BX44+BY195/(1+BX$99)</f>
        <v>0</v>
      </c>
      <c r="BY195" s="93">
        <f t="shared" ref="BY195:BY196" si="1687">BY44+BZ195/(1+BY$99)</f>
        <v>0</v>
      </c>
      <c r="BZ195" s="93">
        <f t="shared" ref="BZ195:BZ196" si="1688">BZ44+CA195/(1+BZ$99)</f>
        <v>0</v>
      </c>
      <c r="CA195" s="93">
        <f t="shared" ref="CA195:CA196" si="1689">CA44+CB195/(1+CA$99)</f>
        <v>0</v>
      </c>
      <c r="CB195" s="93">
        <f t="shared" ref="CB195:CB196" si="1690">CB44+CC195/(1+CB$99)</f>
        <v>0</v>
      </c>
      <c r="CC195" s="93">
        <f t="shared" ref="CC195:CC196" si="1691">CC44+CD195/(1+CC$99)</f>
        <v>0</v>
      </c>
      <c r="CD195" s="93">
        <f t="shared" ref="CD195:CD196" si="1692">CD44+CE195/(1+CD$99)</f>
        <v>0</v>
      </c>
      <c r="CE195" s="93">
        <f t="shared" ref="CE195:CE196" si="1693">CE44+CF195/(1+CE$99)</f>
        <v>0</v>
      </c>
      <c r="CF195" s="93">
        <f t="shared" ref="CF195:CF196" si="1694">CF44+CG195/(1+CF$99)</f>
        <v>0</v>
      </c>
      <c r="CG195" s="93">
        <f t="shared" ref="CG195:CG196" si="1695">CG44+CH195/(1+CG$99)</f>
        <v>0</v>
      </c>
      <c r="CH195" s="93">
        <f t="shared" ref="CH195:CH196" si="1696">CH44+CI195/(1+CH$99)</f>
        <v>0</v>
      </c>
      <c r="CI195" s="93">
        <f t="shared" ref="CI195:CI196" si="1697">CI44+CJ195/(1+CI$99)</f>
        <v>0</v>
      </c>
      <c r="CJ195" s="93">
        <f t="shared" ref="CJ195:CJ196" si="1698">CJ44+CK195/(1+CJ$99)</f>
        <v>0</v>
      </c>
      <c r="CK195" s="93">
        <f t="shared" ref="CK195:CK196" si="1699">CK44+CL195/(1+CK$99)</f>
        <v>0</v>
      </c>
      <c r="CL195" s="93">
        <f t="shared" ref="CL195:CL196" si="1700">CL44+CM195/(1+CL$99)</f>
        <v>0</v>
      </c>
      <c r="CM195" s="93">
        <f t="shared" ref="CM195:CM196" si="1701">CM44+CN195/(1+CM$99)</f>
        <v>0</v>
      </c>
      <c r="CN195" s="93">
        <f t="shared" ref="CN195:CN196" si="1702">CN44+CO195/(1+CN$99)</f>
        <v>0</v>
      </c>
      <c r="CO195" s="93">
        <f t="shared" ref="CO195:CO196" si="1703">CO44+CP195/(1+CO$99)</f>
        <v>0</v>
      </c>
      <c r="CP195" s="93">
        <f t="shared" ref="CP195:CP196" si="1704">CP44+CQ195/(1+CP$99)</f>
        <v>0</v>
      </c>
      <c r="CQ195" s="93">
        <f t="shared" ref="CQ195:CQ196" si="1705">CQ44+CR195/(1+CQ$99)</f>
        <v>0</v>
      </c>
      <c r="CR195" s="93">
        <f t="shared" ref="CR195:CR196" si="1706">CR44+CS195/(1+CR$99)</f>
        <v>0</v>
      </c>
      <c r="CS195" s="93">
        <f t="shared" ref="CS195:CS196" si="1707">CS44+CT195/(1+CS$99)</f>
        <v>0</v>
      </c>
      <c r="CT195" s="93">
        <f t="shared" ref="CT195:CT196" si="1708">CT44+CU195/(1+CT$99)</f>
        <v>0</v>
      </c>
      <c r="CU195" s="93">
        <f t="shared" ref="CU195:CU196" si="1709">CU44+CV195/(1+CU$99)</f>
        <v>0</v>
      </c>
      <c r="CV195" s="93">
        <f t="shared" ref="CV195:CV196" si="1710">CV44+CW195/(1+CV$99)</f>
        <v>0</v>
      </c>
      <c r="CW195" s="93">
        <f t="shared" ref="CW195:CW196" si="1711">CW44+CX195/(1+CW$99)</f>
        <v>0</v>
      </c>
      <c r="CX195" s="93">
        <f t="shared" ref="CX195:CX196" si="1712">CX44+CY195/(1+CX$99)</f>
        <v>0</v>
      </c>
      <c r="CY195" s="93">
        <f t="shared" ref="CY195:CY196" si="1713">CY44+CZ195/(1+CY$99)</f>
        <v>0</v>
      </c>
      <c r="CZ195" s="93">
        <f t="shared" ref="CZ195:CZ196" si="1714">CZ44+DA195/(1+CZ$99)</f>
        <v>0</v>
      </c>
      <c r="DA195" s="93">
        <f t="shared" ref="DA195:DA196" si="1715">DA44+DB195/(1+DA$99)</f>
        <v>0</v>
      </c>
      <c r="DB195" s="93">
        <f t="shared" ref="DB195:DB196" si="1716">DB44+DC195/(1+DB$99)</f>
        <v>0</v>
      </c>
      <c r="DC195" s="93">
        <f t="shared" ref="DC195:DC196" si="1717">DC44+DD195/(1+DC$99)</f>
        <v>0</v>
      </c>
      <c r="DD195" s="93">
        <f t="shared" ref="DD195:DD196" si="1718">DD44+DE195/(1+DD$99)</f>
        <v>0</v>
      </c>
      <c r="DE195" s="93">
        <f t="shared" ref="DE195:DE196" si="1719">DE44+DF195/(1+DE$99)</f>
        <v>0</v>
      </c>
      <c r="DF195" s="93">
        <f t="shared" ref="DF195:DF196" si="1720">DF44+DG195/(1+DF$99)</f>
        <v>0</v>
      </c>
      <c r="DG195" s="93">
        <f t="shared" ref="DG195:DG196" si="1721">DG44+DH195/(1+DG$99)</f>
        <v>0</v>
      </c>
      <c r="DH195" s="93">
        <f t="shared" ref="DH195:DH196" si="1722">DH44+DI195/(1+DH$99)</f>
        <v>0</v>
      </c>
      <c r="DI195" s="93">
        <f t="shared" ref="DI195:DI196" si="1723">DI44+DJ195/(1+DI$99)</f>
        <v>0</v>
      </c>
      <c r="DJ195" s="93">
        <f t="shared" ref="DJ195:DJ196" si="1724">DJ44+DK195/(1+DJ$99)</f>
        <v>0</v>
      </c>
      <c r="DK195" s="93">
        <f t="shared" ref="DK195:DK196" si="1725">DK44+DL195/(1+DK$99)</f>
        <v>0</v>
      </c>
      <c r="DL195" s="93">
        <f t="shared" ref="DL195:DL196" si="1726">DL44+DM195/(1+DL$99)</f>
        <v>0</v>
      </c>
      <c r="DM195" s="93">
        <f t="shared" ref="DM195:DM196" si="1727">DM44+DN195/(1+DM$99)</f>
        <v>0</v>
      </c>
      <c r="DN195" s="93">
        <f t="shared" ref="DN195:DN196" si="1728">DN44+DO195/(1+DN$99)</f>
        <v>0</v>
      </c>
      <c r="DO195" s="93">
        <f t="shared" ref="DO195:DO196" si="1729">DO44+DP195/(1+DO$99)</f>
        <v>0</v>
      </c>
      <c r="DP195" s="93">
        <f t="shared" ref="DP195:DP196" si="1730">DP44+DQ195/(1+DP$99)</f>
        <v>0</v>
      </c>
      <c r="DQ195" s="93">
        <f t="shared" ref="DQ195:DQ196" si="1731">DQ44+DR195/(1+DQ$99)</f>
        <v>0</v>
      </c>
      <c r="DR195" s="93">
        <f t="shared" ref="DR195:DR196" si="1732">DR44+DS195/(1+DR$99)</f>
        <v>0</v>
      </c>
      <c r="DS195" s="93">
        <f t="shared" ref="DS195:DS196" si="1733">DS44+DT195/(1+DS$99)</f>
        <v>0</v>
      </c>
      <c r="DT195" s="93">
        <f t="shared" ref="DT195:DT196" si="1734">DT44+DU195/(1+DT$99)</f>
        <v>0</v>
      </c>
      <c r="DU195" s="93">
        <f t="shared" ref="DU195:DU196" si="1735">DU44+DV195/(1+DU$99)</f>
        <v>0</v>
      </c>
      <c r="DV195" s="93">
        <f t="shared" ref="DV195:DV196" si="1736">DV44+DW195/(1+DV$99)</f>
        <v>0</v>
      </c>
      <c r="DW195" s="93">
        <f t="shared" ref="DW195:DW196" si="1737">DW44+DX195/(1+DW$99)</f>
        <v>0</v>
      </c>
      <c r="DX195" s="93">
        <f t="shared" ref="DX195:DX196" si="1738">DX44+DY195/(1+DX$99)</f>
        <v>0</v>
      </c>
      <c r="DY195" s="93">
        <f t="shared" ref="DY195:DY196" si="1739">DY44+DZ195/(1+DY$99)</f>
        <v>0</v>
      </c>
      <c r="DZ195" s="93">
        <f t="shared" ref="DZ195:DZ196" si="1740">DZ44+EA195/(1+DZ$99)</f>
        <v>0</v>
      </c>
      <c r="EA195" s="93">
        <f t="shared" ref="EA195:EA196" si="1741">EA44+EB195/(1+EA$99)</f>
        <v>0</v>
      </c>
      <c r="EB195" s="93">
        <f t="shared" ref="EB195:EB196" si="1742">EB44+EC195/(1+EB$99)</f>
        <v>0</v>
      </c>
      <c r="EC195" s="93">
        <f t="shared" ref="EC195:EC196" si="1743">EC44+ED195/(1+EC$99)</f>
        <v>0</v>
      </c>
      <c r="ED195" s="93">
        <f t="shared" ref="ED195:ED196" si="1744">ED44+EE195/(1+ED$99)</f>
        <v>0</v>
      </c>
      <c r="EE195" s="93">
        <f t="shared" ref="EE195:EE196" si="1745">EE44+EF195/(1+EE$99)</f>
        <v>0</v>
      </c>
      <c r="EF195" s="93">
        <f t="shared" ref="EF195:EF196" si="1746">EF44+EG195/(1+EF$99)</f>
        <v>0</v>
      </c>
      <c r="EG195" s="93">
        <f t="shared" ref="EG195:EG196" si="1747">EG44+EH195/(1+EG$99)</f>
        <v>0</v>
      </c>
      <c r="EH195" s="93">
        <f t="shared" ref="EH195:EH196" si="1748">EH44+EI195/(1+EH$99)</f>
        <v>0</v>
      </c>
      <c r="EI195" s="93">
        <f t="shared" ref="EI195:EI196" si="1749">EI44+EJ195/(1+EI$99)</f>
        <v>0</v>
      </c>
      <c r="EJ195" s="93">
        <f t="shared" ref="EJ195:EJ196" si="1750">EJ44+EK195/(1+EJ$99)</f>
        <v>0</v>
      </c>
      <c r="EK195" s="93">
        <f t="shared" ref="EK195:EK196" si="1751">EK44+EL195/(1+EK$99)</f>
        <v>0</v>
      </c>
      <c r="EL195" s="93">
        <f t="shared" ref="EL195:EL196" si="1752">EL44+EM195/(1+EL$99)</f>
        <v>0</v>
      </c>
      <c r="EM195" s="93">
        <f t="shared" ref="EM195:EM196" si="1753">EM44+EN195/(1+EM$99)</f>
        <v>0</v>
      </c>
      <c r="EN195" s="93">
        <f t="shared" ref="EN195:EN196" si="1754">EN44+EO195/(1+EN$99)</f>
        <v>0</v>
      </c>
      <c r="EO195" s="93">
        <f t="shared" ref="EO195:EO196" si="1755">EO44+EP195/(1+EO$99)</f>
        <v>0</v>
      </c>
      <c r="EP195" s="93">
        <f t="shared" ref="EP195:EP196" si="1756">EP44+EQ195/(1+EP$99)</f>
        <v>0</v>
      </c>
      <c r="EQ195" s="93">
        <f t="shared" ref="EQ195:EQ196" si="1757">EQ44+ER195/(1+EQ$99)</f>
        <v>0</v>
      </c>
      <c r="ER195" s="93">
        <f t="shared" ref="ER195:ER196" si="1758">ER44+ES195/(1+ER$99)</f>
        <v>0</v>
      </c>
      <c r="ES195" s="93">
        <f t="shared" ref="ES195:ES196" si="1759">ES44+ET195/(1+ES$99)</f>
        <v>0</v>
      </c>
      <c r="ET195" s="93">
        <f t="shared" ref="ET195:ET196" si="1760">ET44+EU195/(1+ET$99)</f>
        <v>0</v>
      </c>
      <c r="EU195" s="93">
        <f t="shared" ref="EU195:EU196" si="1761">EU44+EV195/(1+EU$99)</f>
        <v>0</v>
      </c>
      <c r="EV195" s="93">
        <f t="shared" ref="EV195:EV196" si="1762">EV44+EW195/(1+EV$99)</f>
        <v>0</v>
      </c>
      <c r="EW195" s="93">
        <f t="shared" ref="EW195:EW196" si="1763">EW44+EX195/(1+EW$99)</f>
        <v>0</v>
      </c>
      <c r="EX195" s="93">
        <f t="shared" ref="EX195:EX196" si="1764">EX44+EY195/(1+EX$99)</f>
        <v>0</v>
      </c>
      <c r="EY195" s="93">
        <f t="shared" ref="EY195:EY196" si="1765">EY44+EZ195/(1+EY$99)</f>
        <v>0</v>
      </c>
      <c r="EZ195" s="93">
        <f t="shared" ref="EZ195:EZ196" si="1766">EZ44+FA195/(1+EZ$99)</f>
        <v>0</v>
      </c>
      <c r="FA195" s="93">
        <f t="shared" ref="FA195:FA196" si="1767">FA44+FB195/(1+FA$99)</f>
        <v>0</v>
      </c>
      <c r="FB195" s="93">
        <f t="shared" ref="FB195:FB196" si="1768">FB44+FC195/(1+FB$99)</f>
        <v>0</v>
      </c>
      <c r="FC195" s="93">
        <f t="shared" ref="FC195:FC196" si="1769">FC44+FD195/(1+FC$99)</f>
        <v>0</v>
      </c>
      <c r="FD195" s="93">
        <f t="shared" ref="FD195:FD196" si="1770">FD44+FE195/(1+FD$99)</f>
        <v>0</v>
      </c>
      <c r="FE195" s="93">
        <f t="shared" ref="FE195:FE196" si="1771">FE44+FF195/(1+FE$99)</f>
        <v>0</v>
      </c>
      <c r="FF195" s="93">
        <f t="shared" ref="FF195:FF196" si="1772">FF44+FG195/(1+FF$99)</f>
        <v>0</v>
      </c>
      <c r="FG195" s="93">
        <f t="shared" ref="FG195:FG196" si="1773">FG44+FH195/(1+FG$99)</f>
        <v>0</v>
      </c>
      <c r="FH195" s="93">
        <f t="shared" ref="FH195:FH196" si="1774">FH44+FI195/(1+FH$99)</f>
        <v>0</v>
      </c>
      <c r="FI195" s="93">
        <f t="shared" ref="FI195:FI196" si="1775">FI44+FJ195/(1+FI$99)</f>
        <v>0</v>
      </c>
      <c r="FJ195" s="93">
        <f t="shared" ref="FJ195:FJ196" si="1776">FJ44+FK195/(1+FJ$99)</f>
        <v>0</v>
      </c>
      <c r="FK195" s="93">
        <f t="shared" ref="FK195:FK196" si="1777">FK44+FL195/(1+FK$99)</f>
        <v>0</v>
      </c>
      <c r="FL195" s="93">
        <f t="shared" ref="FL195:FL196" si="1778">FL44+FM195/(1+FL$99)</f>
        <v>0</v>
      </c>
      <c r="FM195" s="93">
        <f t="shared" ref="FM195:FM196" si="1779">FM44+FN195/(1+FM$99)</f>
        <v>0</v>
      </c>
      <c r="FN195" s="93">
        <f t="shared" ref="FN195:FN196" si="1780">FN44+FO195/(1+FN$99)</f>
        <v>0</v>
      </c>
      <c r="FO195" s="93">
        <f t="shared" ref="FO195:FO196" si="1781">FO44+FP195/(1+FO$99)</f>
        <v>0</v>
      </c>
      <c r="FP195" s="93">
        <f t="shared" ref="FP195:FP196" si="1782">FP44+FQ195/(1+FP$99)</f>
        <v>0</v>
      </c>
      <c r="FQ195" s="93">
        <f t="shared" ref="FQ195:FQ196" si="1783">FQ44+FR195/(1+FQ$99)</f>
        <v>0</v>
      </c>
      <c r="FR195" s="93">
        <f t="shared" ref="FR195:FR196" si="1784">FR44+FS195/(1+FR$99)</f>
        <v>0</v>
      </c>
      <c r="FS195" s="93">
        <f t="shared" ref="FS195:FS196" si="1785">FS44+FT195/(1+FS$99)</f>
        <v>0</v>
      </c>
      <c r="FT195" s="93">
        <f t="shared" ref="FT195:FT196" si="1786">FT44+FU195/(1+FT$99)</f>
        <v>0</v>
      </c>
      <c r="FU195" s="93">
        <f t="shared" ref="FU195:FU196" si="1787">FU44+FV195/(1+FU$99)</f>
        <v>0</v>
      </c>
      <c r="FV195" s="93">
        <f t="shared" ref="FV195:FV196" si="1788">FV44+FW195/(1+FV$99)</f>
        <v>0</v>
      </c>
      <c r="FW195" s="93">
        <f t="shared" ref="FW195:FW196" si="1789">FW44+FX195/(1+FW$99)</f>
        <v>0</v>
      </c>
      <c r="FX195" s="93">
        <f t="shared" ref="FX195:FX196" si="1790">FX44+FY195/(1+FX$99)</f>
        <v>0</v>
      </c>
      <c r="FY195" s="93">
        <f t="shared" ref="FY195:FY196" si="1791">FY44+FZ195/(1+FY$99)</f>
        <v>0</v>
      </c>
      <c r="FZ195" s="59"/>
    </row>
    <row r="196" spans="1:182" x14ac:dyDescent="0.2">
      <c r="A196" s="92" t="s">
        <v>264</v>
      </c>
      <c r="B196" s="93">
        <f>B45+C196/(1+B$99)</f>
        <v>-92000</v>
      </c>
      <c r="C196" s="93">
        <f t="shared" ref="C196" si="1792">C45+D196/(1+C$99)</f>
        <v>0</v>
      </c>
      <c r="D196" s="93">
        <f t="shared" si="1614"/>
        <v>0</v>
      </c>
      <c r="E196" s="93">
        <f t="shared" si="1615"/>
        <v>0</v>
      </c>
      <c r="F196" s="93">
        <f t="shared" si="1616"/>
        <v>0</v>
      </c>
      <c r="G196" s="93">
        <f t="shared" si="1617"/>
        <v>0</v>
      </c>
      <c r="H196" s="93">
        <f t="shared" si="1618"/>
        <v>0</v>
      </c>
      <c r="I196" s="93">
        <f t="shared" si="1619"/>
        <v>0</v>
      </c>
      <c r="J196" s="93">
        <f t="shared" si="1620"/>
        <v>0</v>
      </c>
      <c r="K196" s="93">
        <f t="shared" si="1621"/>
        <v>0</v>
      </c>
      <c r="L196" s="93">
        <f t="shared" si="1622"/>
        <v>0</v>
      </c>
      <c r="M196" s="93">
        <f t="shared" si="1623"/>
        <v>0</v>
      </c>
      <c r="N196" s="93">
        <f t="shared" si="1624"/>
        <v>0</v>
      </c>
      <c r="O196" s="93">
        <f t="shared" si="1625"/>
        <v>0</v>
      </c>
      <c r="P196" s="93">
        <f t="shared" si="1626"/>
        <v>0</v>
      </c>
      <c r="Q196" s="93">
        <f t="shared" si="1627"/>
        <v>0</v>
      </c>
      <c r="R196" s="93">
        <f t="shared" si="1628"/>
        <v>0</v>
      </c>
      <c r="S196" s="93">
        <f t="shared" si="1629"/>
        <v>0</v>
      </c>
      <c r="T196" s="93">
        <f t="shared" si="1630"/>
        <v>0</v>
      </c>
      <c r="U196" s="93">
        <f t="shared" si="1631"/>
        <v>0</v>
      </c>
      <c r="V196" s="93">
        <f t="shared" si="1632"/>
        <v>0</v>
      </c>
      <c r="W196" s="93">
        <f t="shared" si="1633"/>
        <v>0</v>
      </c>
      <c r="X196" s="93">
        <f t="shared" si="1634"/>
        <v>0</v>
      </c>
      <c r="Y196" s="93">
        <f t="shared" si="1635"/>
        <v>0</v>
      </c>
      <c r="Z196" s="93">
        <f t="shared" si="1636"/>
        <v>0</v>
      </c>
      <c r="AA196" s="93">
        <f t="shared" si="1637"/>
        <v>0</v>
      </c>
      <c r="AB196" s="93">
        <f t="shared" si="1638"/>
        <v>0</v>
      </c>
      <c r="AC196" s="93">
        <f t="shared" si="1639"/>
        <v>0</v>
      </c>
      <c r="AD196" s="93">
        <f t="shared" si="1640"/>
        <v>0</v>
      </c>
      <c r="AE196" s="93">
        <f t="shared" si="1641"/>
        <v>0</v>
      </c>
      <c r="AF196" s="93">
        <f t="shared" si="1642"/>
        <v>0</v>
      </c>
      <c r="AG196" s="93">
        <f t="shared" si="1643"/>
        <v>0</v>
      </c>
      <c r="AH196" s="93">
        <f t="shared" si="1644"/>
        <v>0</v>
      </c>
      <c r="AI196" s="93">
        <f t="shared" si="1645"/>
        <v>0</v>
      </c>
      <c r="AJ196" s="93">
        <f t="shared" si="1646"/>
        <v>0</v>
      </c>
      <c r="AK196" s="93">
        <f t="shared" si="1647"/>
        <v>0</v>
      </c>
      <c r="AL196" s="93">
        <f t="shared" si="1648"/>
        <v>0</v>
      </c>
      <c r="AM196" s="93">
        <f t="shared" si="1649"/>
        <v>0</v>
      </c>
      <c r="AN196" s="93">
        <f t="shared" si="1650"/>
        <v>0</v>
      </c>
      <c r="AO196" s="93">
        <f t="shared" si="1651"/>
        <v>0</v>
      </c>
      <c r="AP196" s="93">
        <f t="shared" si="1652"/>
        <v>0</v>
      </c>
      <c r="AQ196" s="93">
        <f t="shared" si="1653"/>
        <v>0</v>
      </c>
      <c r="AR196" s="93">
        <f t="shared" si="1654"/>
        <v>0</v>
      </c>
      <c r="AS196" s="93">
        <f t="shared" si="1655"/>
        <v>0</v>
      </c>
      <c r="AT196" s="93">
        <f t="shared" si="1656"/>
        <v>0</v>
      </c>
      <c r="AU196" s="93">
        <f t="shared" si="1657"/>
        <v>0</v>
      </c>
      <c r="AV196" s="93">
        <f t="shared" si="1658"/>
        <v>0</v>
      </c>
      <c r="AW196" s="93">
        <f t="shared" si="1659"/>
        <v>0</v>
      </c>
      <c r="AX196" s="93">
        <f t="shared" si="1660"/>
        <v>0</v>
      </c>
      <c r="AY196" s="93">
        <f t="shared" si="1661"/>
        <v>0</v>
      </c>
      <c r="AZ196" s="93">
        <f t="shared" si="1662"/>
        <v>0</v>
      </c>
      <c r="BA196" s="93">
        <f t="shared" si="1663"/>
        <v>0</v>
      </c>
      <c r="BB196" s="93">
        <f t="shared" si="1664"/>
        <v>0</v>
      </c>
      <c r="BC196" s="93">
        <f t="shared" si="1665"/>
        <v>0</v>
      </c>
      <c r="BD196" s="93">
        <f t="shared" si="1666"/>
        <v>0</v>
      </c>
      <c r="BE196" s="93">
        <f t="shared" si="1667"/>
        <v>0</v>
      </c>
      <c r="BF196" s="93">
        <f t="shared" si="1668"/>
        <v>0</v>
      </c>
      <c r="BG196" s="93">
        <f t="shared" si="1669"/>
        <v>0</v>
      </c>
      <c r="BH196" s="93">
        <f t="shared" si="1670"/>
        <v>0</v>
      </c>
      <c r="BI196" s="93">
        <f t="shared" si="1671"/>
        <v>0</v>
      </c>
      <c r="BJ196" s="93">
        <f t="shared" si="1672"/>
        <v>0</v>
      </c>
      <c r="BK196" s="93">
        <f t="shared" si="1673"/>
        <v>0</v>
      </c>
      <c r="BL196" s="93">
        <f t="shared" si="1674"/>
        <v>0</v>
      </c>
      <c r="BM196" s="93">
        <f t="shared" si="1675"/>
        <v>0</v>
      </c>
      <c r="BN196" s="93">
        <f t="shared" si="1676"/>
        <v>0</v>
      </c>
      <c r="BO196" s="93">
        <f t="shared" si="1677"/>
        <v>0</v>
      </c>
      <c r="BP196" s="93">
        <f t="shared" si="1678"/>
        <v>0</v>
      </c>
      <c r="BQ196" s="93">
        <f t="shared" si="1679"/>
        <v>0</v>
      </c>
      <c r="BR196" s="93">
        <f t="shared" si="1680"/>
        <v>0</v>
      </c>
      <c r="BS196" s="93">
        <f t="shared" si="1681"/>
        <v>0</v>
      </c>
      <c r="BT196" s="93">
        <f t="shared" si="1682"/>
        <v>0</v>
      </c>
      <c r="BU196" s="93">
        <f t="shared" si="1683"/>
        <v>0</v>
      </c>
      <c r="BV196" s="93">
        <f t="shared" si="1684"/>
        <v>0</v>
      </c>
      <c r="BW196" s="93">
        <f t="shared" si="1685"/>
        <v>0</v>
      </c>
      <c r="BX196" s="93">
        <f t="shared" si="1686"/>
        <v>0</v>
      </c>
      <c r="BY196" s="93">
        <f t="shared" si="1687"/>
        <v>0</v>
      </c>
      <c r="BZ196" s="93">
        <f t="shared" si="1688"/>
        <v>0</v>
      </c>
      <c r="CA196" s="93">
        <f t="shared" si="1689"/>
        <v>0</v>
      </c>
      <c r="CB196" s="93">
        <f t="shared" si="1690"/>
        <v>0</v>
      </c>
      <c r="CC196" s="93">
        <f t="shared" si="1691"/>
        <v>0</v>
      </c>
      <c r="CD196" s="93">
        <f t="shared" si="1692"/>
        <v>0</v>
      </c>
      <c r="CE196" s="93">
        <f t="shared" si="1693"/>
        <v>0</v>
      </c>
      <c r="CF196" s="93">
        <f t="shared" si="1694"/>
        <v>0</v>
      </c>
      <c r="CG196" s="93">
        <f t="shared" si="1695"/>
        <v>0</v>
      </c>
      <c r="CH196" s="93">
        <f t="shared" si="1696"/>
        <v>0</v>
      </c>
      <c r="CI196" s="93">
        <f t="shared" si="1697"/>
        <v>0</v>
      </c>
      <c r="CJ196" s="93">
        <f t="shared" si="1698"/>
        <v>0</v>
      </c>
      <c r="CK196" s="93">
        <f t="shared" si="1699"/>
        <v>0</v>
      </c>
      <c r="CL196" s="93">
        <f t="shared" si="1700"/>
        <v>0</v>
      </c>
      <c r="CM196" s="93">
        <f t="shared" si="1701"/>
        <v>0</v>
      </c>
      <c r="CN196" s="93">
        <f t="shared" si="1702"/>
        <v>0</v>
      </c>
      <c r="CO196" s="93">
        <f t="shared" si="1703"/>
        <v>0</v>
      </c>
      <c r="CP196" s="93">
        <f t="shared" si="1704"/>
        <v>0</v>
      </c>
      <c r="CQ196" s="93">
        <f t="shared" si="1705"/>
        <v>0</v>
      </c>
      <c r="CR196" s="93">
        <f t="shared" si="1706"/>
        <v>0</v>
      </c>
      <c r="CS196" s="93">
        <f t="shared" si="1707"/>
        <v>0</v>
      </c>
      <c r="CT196" s="93">
        <f t="shared" si="1708"/>
        <v>0</v>
      </c>
      <c r="CU196" s="93">
        <f t="shared" si="1709"/>
        <v>0</v>
      </c>
      <c r="CV196" s="93">
        <f t="shared" si="1710"/>
        <v>0</v>
      </c>
      <c r="CW196" s="93">
        <f t="shared" si="1711"/>
        <v>0</v>
      </c>
      <c r="CX196" s="93">
        <f t="shared" si="1712"/>
        <v>0</v>
      </c>
      <c r="CY196" s="93">
        <f t="shared" si="1713"/>
        <v>0</v>
      </c>
      <c r="CZ196" s="93">
        <f t="shared" si="1714"/>
        <v>0</v>
      </c>
      <c r="DA196" s="93">
        <f t="shared" si="1715"/>
        <v>0</v>
      </c>
      <c r="DB196" s="93">
        <f t="shared" si="1716"/>
        <v>0</v>
      </c>
      <c r="DC196" s="93">
        <f t="shared" si="1717"/>
        <v>0</v>
      </c>
      <c r="DD196" s="93">
        <f t="shared" si="1718"/>
        <v>0</v>
      </c>
      <c r="DE196" s="93">
        <f t="shared" si="1719"/>
        <v>0</v>
      </c>
      <c r="DF196" s="93">
        <f t="shared" si="1720"/>
        <v>0</v>
      </c>
      <c r="DG196" s="93">
        <f t="shared" si="1721"/>
        <v>0</v>
      </c>
      <c r="DH196" s="93">
        <f t="shared" si="1722"/>
        <v>0</v>
      </c>
      <c r="DI196" s="93">
        <f t="shared" si="1723"/>
        <v>0</v>
      </c>
      <c r="DJ196" s="93">
        <f t="shared" si="1724"/>
        <v>0</v>
      </c>
      <c r="DK196" s="93">
        <f t="shared" si="1725"/>
        <v>0</v>
      </c>
      <c r="DL196" s="93">
        <f t="shared" si="1726"/>
        <v>0</v>
      </c>
      <c r="DM196" s="93">
        <f t="shared" si="1727"/>
        <v>0</v>
      </c>
      <c r="DN196" s="93">
        <f t="shared" si="1728"/>
        <v>0</v>
      </c>
      <c r="DO196" s="93">
        <f t="shared" si="1729"/>
        <v>0</v>
      </c>
      <c r="DP196" s="93">
        <f t="shared" si="1730"/>
        <v>0</v>
      </c>
      <c r="DQ196" s="93">
        <f t="shared" si="1731"/>
        <v>0</v>
      </c>
      <c r="DR196" s="93">
        <f t="shared" si="1732"/>
        <v>0</v>
      </c>
      <c r="DS196" s="93">
        <f t="shared" si="1733"/>
        <v>0</v>
      </c>
      <c r="DT196" s="93">
        <f t="shared" si="1734"/>
        <v>0</v>
      </c>
      <c r="DU196" s="93">
        <f t="shared" si="1735"/>
        <v>0</v>
      </c>
      <c r="DV196" s="93">
        <f t="shared" si="1736"/>
        <v>0</v>
      </c>
      <c r="DW196" s="93">
        <f t="shared" si="1737"/>
        <v>0</v>
      </c>
      <c r="DX196" s="93">
        <f t="shared" si="1738"/>
        <v>0</v>
      </c>
      <c r="DY196" s="93">
        <f t="shared" si="1739"/>
        <v>0</v>
      </c>
      <c r="DZ196" s="93">
        <f t="shared" si="1740"/>
        <v>0</v>
      </c>
      <c r="EA196" s="93">
        <f t="shared" si="1741"/>
        <v>0</v>
      </c>
      <c r="EB196" s="93">
        <f t="shared" si="1742"/>
        <v>0</v>
      </c>
      <c r="EC196" s="93">
        <f t="shared" si="1743"/>
        <v>0</v>
      </c>
      <c r="ED196" s="93">
        <f t="shared" si="1744"/>
        <v>0</v>
      </c>
      <c r="EE196" s="93">
        <f t="shared" si="1745"/>
        <v>0</v>
      </c>
      <c r="EF196" s="93">
        <f t="shared" si="1746"/>
        <v>0</v>
      </c>
      <c r="EG196" s="93">
        <f t="shared" si="1747"/>
        <v>0</v>
      </c>
      <c r="EH196" s="93">
        <f t="shared" si="1748"/>
        <v>0</v>
      </c>
      <c r="EI196" s="93">
        <f t="shared" si="1749"/>
        <v>0</v>
      </c>
      <c r="EJ196" s="93">
        <f t="shared" si="1750"/>
        <v>0</v>
      </c>
      <c r="EK196" s="93">
        <f t="shared" si="1751"/>
        <v>0</v>
      </c>
      <c r="EL196" s="93">
        <f t="shared" si="1752"/>
        <v>0</v>
      </c>
      <c r="EM196" s="93">
        <f t="shared" si="1753"/>
        <v>0</v>
      </c>
      <c r="EN196" s="93">
        <f t="shared" si="1754"/>
        <v>0</v>
      </c>
      <c r="EO196" s="93">
        <f t="shared" si="1755"/>
        <v>0</v>
      </c>
      <c r="EP196" s="93">
        <f t="shared" si="1756"/>
        <v>0</v>
      </c>
      <c r="EQ196" s="93">
        <f t="shared" si="1757"/>
        <v>0</v>
      </c>
      <c r="ER196" s="93">
        <f t="shared" si="1758"/>
        <v>0</v>
      </c>
      <c r="ES196" s="93">
        <f t="shared" si="1759"/>
        <v>0</v>
      </c>
      <c r="ET196" s="93">
        <f t="shared" si="1760"/>
        <v>0</v>
      </c>
      <c r="EU196" s="93">
        <f t="shared" si="1761"/>
        <v>0</v>
      </c>
      <c r="EV196" s="93">
        <f t="shared" si="1762"/>
        <v>0</v>
      </c>
      <c r="EW196" s="93">
        <f t="shared" si="1763"/>
        <v>0</v>
      </c>
      <c r="EX196" s="93">
        <f t="shared" si="1764"/>
        <v>0</v>
      </c>
      <c r="EY196" s="93">
        <f t="shared" si="1765"/>
        <v>0</v>
      </c>
      <c r="EZ196" s="93">
        <f t="shared" si="1766"/>
        <v>0</v>
      </c>
      <c r="FA196" s="93">
        <f t="shared" si="1767"/>
        <v>0</v>
      </c>
      <c r="FB196" s="93">
        <f t="shared" si="1768"/>
        <v>0</v>
      </c>
      <c r="FC196" s="93">
        <f t="shared" si="1769"/>
        <v>0</v>
      </c>
      <c r="FD196" s="93">
        <f t="shared" si="1770"/>
        <v>0</v>
      </c>
      <c r="FE196" s="93">
        <f t="shared" si="1771"/>
        <v>0</v>
      </c>
      <c r="FF196" s="93">
        <f t="shared" si="1772"/>
        <v>0</v>
      </c>
      <c r="FG196" s="93">
        <f t="shared" si="1773"/>
        <v>0</v>
      </c>
      <c r="FH196" s="93">
        <f t="shared" si="1774"/>
        <v>0</v>
      </c>
      <c r="FI196" s="93">
        <f t="shared" si="1775"/>
        <v>0</v>
      </c>
      <c r="FJ196" s="93">
        <f t="shared" si="1776"/>
        <v>0</v>
      </c>
      <c r="FK196" s="93">
        <f t="shared" si="1777"/>
        <v>0</v>
      </c>
      <c r="FL196" s="93">
        <f t="shared" si="1778"/>
        <v>0</v>
      </c>
      <c r="FM196" s="93">
        <f t="shared" si="1779"/>
        <v>0</v>
      </c>
      <c r="FN196" s="93">
        <f t="shared" si="1780"/>
        <v>0</v>
      </c>
      <c r="FO196" s="93">
        <f t="shared" si="1781"/>
        <v>0</v>
      </c>
      <c r="FP196" s="93">
        <f t="shared" si="1782"/>
        <v>0</v>
      </c>
      <c r="FQ196" s="93">
        <f t="shared" si="1783"/>
        <v>0</v>
      </c>
      <c r="FR196" s="93">
        <f t="shared" si="1784"/>
        <v>0</v>
      </c>
      <c r="FS196" s="93">
        <f t="shared" si="1785"/>
        <v>0</v>
      </c>
      <c r="FT196" s="93">
        <f t="shared" si="1786"/>
        <v>0</v>
      </c>
      <c r="FU196" s="93">
        <f t="shared" si="1787"/>
        <v>0</v>
      </c>
      <c r="FV196" s="93">
        <f t="shared" si="1788"/>
        <v>0</v>
      </c>
      <c r="FW196" s="93">
        <f t="shared" si="1789"/>
        <v>0</v>
      </c>
      <c r="FX196" s="93">
        <f t="shared" si="1790"/>
        <v>0</v>
      </c>
      <c r="FY196" s="93">
        <f t="shared" si="1791"/>
        <v>0</v>
      </c>
      <c r="FZ196" s="59"/>
    </row>
    <row r="197" spans="1:182" x14ac:dyDescent="0.2">
      <c r="A197" s="92" t="s">
        <v>400</v>
      </c>
      <c r="B197" s="93">
        <f>(B46+C197)/(1+B$99)</f>
        <v>-84230.402296285291</v>
      </c>
      <c r="C197" s="93">
        <f t="shared" ref="C197" si="1793">(C46+D197)/(1+C$99)</f>
        <v>-80137.841186041362</v>
      </c>
      <c r="D197" s="93">
        <f t="shared" ref="D197" si="1794">(D46+E197)/(1+D$99)</f>
        <v>-76122.327492196418</v>
      </c>
      <c r="E197" s="93">
        <f t="shared" ref="E197" si="1795">(E46+F197)/(1+E$99)</f>
        <v>-72185.569964042879</v>
      </c>
      <c r="F197" s="93">
        <f t="shared" ref="F197" si="1796">(F46+G197)/(1+F$99)</f>
        <v>-68329.306674082327</v>
      </c>
      <c r="G197" s="93">
        <f t="shared" ref="G197" si="1797">(G46+H197)/(1+G$99)</f>
        <v>-64555.30549251951</v>
      </c>
      <c r="H197" s="93">
        <f t="shared" ref="H197" si="1798">(H46+I197)/(1+H$99)</f>
        <v>-60865.364569376383</v>
      </c>
      <c r="I197" s="93">
        <f t="shared" ref="I197" si="1799">(I46+J197)/(1+I$99)</f>
        <v>-57261.312824255911</v>
      </c>
      <c r="J197" s="93">
        <f t="shared" ref="J197" si="1800">(J46+K197)/(1+J$99)</f>
        <v>-53745.010443918465</v>
      </c>
      <c r="K197" s="93">
        <f t="shared" ref="K197" si="1801">(K46+L197)/(1+K$99)</f>
        <v>-50318.349387807022</v>
      </c>
      <c r="L197" s="93">
        <f t="shared" ref="L197" si="1802">(L46+M197)/(1+L$99)</f>
        <v>-46983.253901621756</v>
      </c>
      <c r="M197" s="93">
        <f t="shared" ref="M197" si="1803">(M46+N197)/(1+M$99)</f>
        <v>-43741.681039044699</v>
      </c>
      <c r="N197" s="93">
        <f t="shared" ref="N197" si="1804">(N46+O197)/(1+N$99)</f>
        <v>-40595.621191847807</v>
      </c>
      <c r="O197" s="93">
        <f t="shared" ref="O197" si="1805">(O46+P197)/(1+O$99)</f>
        <v>-37547.098628378866</v>
      </c>
      <c r="P197" s="93">
        <f t="shared" ref="P197" si="1806">(P46+Q197)/(1+P$99)</f>
        <v>-34600.409617460653</v>
      </c>
      <c r="Q197" s="93">
        <f t="shared" ref="Q197" si="1807">(Q46+R197)/(1+Q$99)</f>
        <v>-31757.491348471955</v>
      </c>
      <c r="R197" s="93">
        <f t="shared" ref="R197" si="1808">(R46+S197)/(1+R$99)</f>
        <v>-29020.312419159516</v>
      </c>
      <c r="S197" s="93">
        <f t="shared" ref="S197" si="1809">(S46+T197)/(1+S$99)</f>
        <v>-26390.873319246897</v>
      </c>
      <c r="T197" s="93">
        <f t="shared" ref="T197" si="1810">(T46+U197)/(1+T$99)</f>
        <v>-23871.206921437129</v>
      </c>
      <c r="U197" s="93">
        <f t="shared" ref="U197" si="1811">(U46+V197)/(1+U$99)</f>
        <v>-21463.378979823414</v>
      </c>
      <c r="V197" s="93">
        <f t="shared" ref="V197" si="1812">(V46+W197)/(1+V$99)</f>
        <v>-19169.48863593183</v>
      </c>
      <c r="W197" s="93">
        <f t="shared" ref="W197" si="1813">(W46+X197)/(1+W$99)</f>
        <v>-16991.668932426652</v>
      </c>
      <c r="X197" s="93">
        <f t="shared" ref="X197" si="1814">(X46+Y197)/(1+X$99)</f>
        <v>-14932.087334613281</v>
      </c>
      <c r="Y197" s="93">
        <f t="shared" ref="Y197" si="1815">(Y46+Z197)/(1+Y$99)</f>
        <v>-12992.946259890448</v>
      </c>
      <c r="Z197" s="93">
        <f t="shared" ref="Z197" si="1816">(Z46+AA197)/(1+Z$99)</f>
        <v>-11176.483615258921</v>
      </c>
      <c r="AA197" s="93">
        <f t="shared" ref="AA197" si="1817">(AA46+AB197)/(1+AA$99)</f>
        <v>-9484.973342950032</v>
      </c>
      <c r="AB197" s="93">
        <f t="shared" ref="AB197" si="1818">(AB46+AC197)/(1+AB$99)</f>
        <v>-7921.8918171663163</v>
      </c>
      <c r="AC197" s="93">
        <f t="shared" ref="AC197" si="1819">(AC46+AD197)/(1+AC$99)</f>
        <v>-6489.3929027021159</v>
      </c>
      <c r="AD197" s="93">
        <f t="shared" ref="AD197" si="1820">(AD46+AE197)/(1+AD$99)</f>
        <v>-5189.663596662469</v>
      </c>
      <c r="AE197" s="93">
        <f t="shared" ref="AE197" si="1821">(AE46+AF197)/(1+AE$99)</f>
        <v>-4024.9245126828</v>
      </c>
      <c r="AF197" s="93">
        <f t="shared" ref="AF197" si="1822">(AF46+AG197)/(1+AF$99)</f>
        <v>-2997.4303721007491</v>
      </c>
      <c r="AG197" s="93">
        <f t="shared" ref="AG197" si="1823">(AG46+AH197)/(1+AG$99)</f>
        <v>-2109.4705022533908</v>
      </c>
      <c r="AH197" s="93">
        <f t="shared" ref="AH197" si="1824">(AH46+AI197)/(1+AH$99)</f>
        <v>-1363.3693419625017</v>
      </c>
      <c r="AI197" s="93">
        <f t="shared" ref="AI197" si="1825">(AI46+AJ197)/(1+AI$99)</f>
        <v>-761.48695435226489</v>
      </c>
      <c r="AJ197" s="93">
        <f t="shared" ref="AJ197" si="1826">(AJ46+AK197)/(1+AJ$99)</f>
        <v>-306.21954706460212</v>
      </c>
      <c r="AK197" s="93">
        <f t="shared" ref="AK197" si="1827">(AK46+AL197)/(1+AK$99)</f>
        <v>0</v>
      </c>
      <c r="AL197" s="93">
        <f t="shared" ref="AL197" si="1828">(AL46+AM197)/(1+AL$99)</f>
        <v>0</v>
      </c>
      <c r="AM197" s="93">
        <f t="shared" ref="AM197" si="1829">(AM46+AN197)/(1+AM$99)</f>
        <v>0</v>
      </c>
      <c r="AN197" s="93">
        <f t="shared" ref="AN197" si="1830">(AN46+AO197)/(1+AN$99)</f>
        <v>0</v>
      </c>
      <c r="AO197" s="93">
        <f t="shared" ref="AO197" si="1831">(AO46+AP197)/(1+AO$99)</f>
        <v>0</v>
      </c>
      <c r="AP197" s="93">
        <f t="shared" ref="AP197" si="1832">(AP46+AQ197)/(1+AP$99)</f>
        <v>0</v>
      </c>
      <c r="AQ197" s="93">
        <f t="shared" ref="AQ197" si="1833">(AQ46+AR197)/(1+AQ$99)</f>
        <v>0</v>
      </c>
      <c r="AR197" s="93">
        <f t="shared" ref="AR197" si="1834">(AR46+AS197)/(1+AR$99)</f>
        <v>0</v>
      </c>
      <c r="AS197" s="93">
        <f t="shared" ref="AS197" si="1835">(AS46+AT197)/(1+AS$99)</f>
        <v>0</v>
      </c>
      <c r="AT197" s="93">
        <f t="shared" ref="AT197" si="1836">(AT46+AU197)/(1+AT$99)</f>
        <v>0</v>
      </c>
      <c r="AU197" s="93">
        <f t="shared" ref="AU197" si="1837">(AU46+AV197)/(1+AU$99)</f>
        <v>0</v>
      </c>
      <c r="AV197" s="93">
        <f t="shared" ref="AV197" si="1838">(AV46+AW197)/(1+AV$99)</f>
        <v>0</v>
      </c>
      <c r="AW197" s="93">
        <f t="shared" ref="AW197" si="1839">(AW46+AX197)/(1+AW$99)</f>
        <v>0</v>
      </c>
      <c r="AX197" s="93">
        <f t="shared" ref="AX197" si="1840">(AX46+AY197)/(1+AX$99)</f>
        <v>0</v>
      </c>
      <c r="AY197" s="93">
        <f t="shared" ref="AY197" si="1841">(AY46+AZ197)/(1+AY$99)</f>
        <v>0</v>
      </c>
      <c r="AZ197" s="93">
        <f t="shared" ref="AZ197" si="1842">(AZ46+BA197)/(1+AZ$99)</f>
        <v>0</v>
      </c>
      <c r="BA197" s="93">
        <f t="shared" ref="BA197" si="1843">(BA46+BB197)/(1+BA$99)</f>
        <v>0</v>
      </c>
      <c r="BB197" s="93">
        <f t="shared" ref="BB197" si="1844">(BB46+BC197)/(1+BB$99)</f>
        <v>0</v>
      </c>
      <c r="BC197" s="93">
        <f t="shared" ref="BC197" si="1845">(BC46+BD197)/(1+BC$99)</f>
        <v>0</v>
      </c>
      <c r="BD197" s="93">
        <f t="shared" ref="BD197" si="1846">(BD46+BE197)/(1+BD$99)</f>
        <v>0</v>
      </c>
      <c r="BE197" s="93">
        <f t="shared" ref="BE197" si="1847">(BE46+BF197)/(1+BE$99)</f>
        <v>0</v>
      </c>
      <c r="BF197" s="93">
        <f t="shared" ref="BF197" si="1848">(BF46+BG197)/(1+BF$99)</f>
        <v>0</v>
      </c>
      <c r="BG197" s="93">
        <f t="shared" ref="BG197" si="1849">(BG46+BH197)/(1+BG$99)</f>
        <v>0</v>
      </c>
      <c r="BH197" s="93">
        <f t="shared" ref="BH197" si="1850">(BH46+BI197)/(1+BH$99)</f>
        <v>0</v>
      </c>
      <c r="BI197" s="93">
        <f t="shared" ref="BI197" si="1851">(BI46+BJ197)/(1+BI$99)</f>
        <v>0</v>
      </c>
      <c r="BJ197" s="93">
        <f t="shared" ref="BJ197" si="1852">(BJ46+BK197)/(1+BJ$99)</f>
        <v>0</v>
      </c>
      <c r="BK197" s="93">
        <f t="shared" ref="BK197" si="1853">(BK46+BL197)/(1+BK$99)</f>
        <v>0</v>
      </c>
      <c r="BL197" s="93">
        <f t="shared" ref="BL197" si="1854">(BL46+BM197)/(1+BL$99)</f>
        <v>0</v>
      </c>
      <c r="BM197" s="93">
        <f t="shared" ref="BM197" si="1855">(BM46+BN197)/(1+BM$99)</f>
        <v>0</v>
      </c>
      <c r="BN197" s="93">
        <f t="shared" ref="BN197" si="1856">(BN46+BO197)/(1+BN$99)</f>
        <v>0</v>
      </c>
      <c r="BO197" s="93">
        <f t="shared" ref="BO197" si="1857">(BO46+BP197)/(1+BO$99)</f>
        <v>0</v>
      </c>
      <c r="BP197" s="93">
        <f t="shared" ref="BP197" si="1858">(BP46+BQ197)/(1+BP$99)</f>
        <v>0</v>
      </c>
      <c r="BQ197" s="93">
        <f t="shared" ref="BQ197" si="1859">(BQ46+BR197)/(1+BQ$99)</f>
        <v>0</v>
      </c>
      <c r="BR197" s="93">
        <f t="shared" ref="BR197" si="1860">(BR46+BS197)/(1+BR$99)</f>
        <v>0</v>
      </c>
      <c r="BS197" s="93">
        <f t="shared" ref="BS197" si="1861">(BS46+BT197)/(1+BS$99)</f>
        <v>0</v>
      </c>
      <c r="BT197" s="93">
        <f t="shared" ref="BT197" si="1862">(BT46+BU197)/(1+BT$99)</f>
        <v>0</v>
      </c>
      <c r="BU197" s="93">
        <f t="shared" ref="BU197" si="1863">(BU46+BV197)/(1+BU$99)</f>
        <v>0</v>
      </c>
      <c r="BV197" s="93">
        <f t="shared" ref="BV197" si="1864">(BV46+BW197)/(1+BV$99)</f>
        <v>0</v>
      </c>
      <c r="BW197" s="93">
        <f t="shared" ref="BW197" si="1865">(BW46+BX197)/(1+BW$99)</f>
        <v>0</v>
      </c>
      <c r="BX197" s="93">
        <f t="shared" ref="BX197" si="1866">(BX46+BY197)/(1+BX$99)</f>
        <v>0</v>
      </c>
      <c r="BY197" s="93">
        <f t="shared" ref="BY197" si="1867">(BY46+BZ197)/(1+BY$99)</f>
        <v>0</v>
      </c>
      <c r="BZ197" s="93">
        <f t="shared" ref="BZ197" si="1868">(BZ46+CA197)/(1+BZ$99)</f>
        <v>0</v>
      </c>
      <c r="CA197" s="93">
        <f t="shared" ref="CA197" si="1869">(CA46+CB197)/(1+CA$99)</f>
        <v>0</v>
      </c>
      <c r="CB197" s="93">
        <f t="shared" ref="CB197" si="1870">(CB46+CC197)/(1+CB$99)</f>
        <v>0</v>
      </c>
      <c r="CC197" s="93">
        <f t="shared" ref="CC197" si="1871">(CC46+CD197)/(1+CC$99)</f>
        <v>0</v>
      </c>
      <c r="CD197" s="93">
        <f t="shared" ref="CD197" si="1872">(CD46+CE197)/(1+CD$99)</f>
        <v>0</v>
      </c>
      <c r="CE197" s="93">
        <f t="shared" ref="CE197" si="1873">(CE46+CF197)/(1+CE$99)</f>
        <v>0</v>
      </c>
      <c r="CF197" s="93">
        <f t="shared" ref="CF197" si="1874">(CF46+CG197)/(1+CF$99)</f>
        <v>0</v>
      </c>
      <c r="CG197" s="93">
        <f t="shared" ref="CG197" si="1875">(CG46+CH197)/(1+CG$99)</f>
        <v>0</v>
      </c>
      <c r="CH197" s="93">
        <f t="shared" ref="CH197" si="1876">(CH46+CI197)/(1+CH$99)</f>
        <v>0</v>
      </c>
      <c r="CI197" s="93">
        <f t="shared" ref="CI197" si="1877">(CI46+CJ197)/(1+CI$99)</f>
        <v>0</v>
      </c>
      <c r="CJ197" s="93">
        <f t="shared" ref="CJ197" si="1878">(CJ46+CK197)/(1+CJ$99)</f>
        <v>0</v>
      </c>
      <c r="CK197" s="93">
        <f t="shared" ref="CK197" si="1879">(CK46+CL197)/(1+CK$99)</f>
        <v>0</v>
      </c>
      <c r="CL197" s="93">
        <f t="shared" ref="CL197" si="1880">(CL46+CM197)/(1+CL$99)</f>
        <v>0</v>
      </c>
      <c r="CM197" s="93">
        <f t="shared" ref="CM197" si="1881">(CM46+CN197)/(1+CM$99)</f>
        <v>0</v>
      </c>
      <c r="CN197" s="93">
        <f t="shared" ref="CN197" si="1882">(CN46+CO197)/(1+CN$99)</f>
        <v>0</v>
      </c>
      <c r="CO197" s="93">
        <f t="shared" ref="CO197" si="1883">(CO46+CP197)/(1+CO$99)</f>
        <v>0</v>
      </c>
      <c r="CP197" s="93">
        <f t="shared" ref="CP197" si="1884">(CP46+CQ197)/(1+CP$99)</f>
        <v>0</v>
      </c>
      <c r="CQ197" s="93">
        <f t="shared" ref="CQ197" si="1885">(CQ46+CR197)/(1+CQ$99)</f>
        <v>0</v>
      </c>
      <c r="CR197" s="93">
        <f t="shared" ref="CR197" si="1886">(CR46+CS197)/(1+CR$99)</f>
        <v>0</v>
      </c>
      <c r="CS197" s="93">
        <f t="shared" ref="CS197" si="1887">(CS46+CT197)/(1+CS$99)</f>
        <v>0</v>
      </c>
      <c r="CT197" s="93">
        <f t="shared" ref="CT197" si="1888">(CT46+CU197)/(1+CT$99)</f>
        <v>0</v>
      </c>
      <c r="CU197" s="93">
        <f t="shared" ref="CU197" si="1889">(CU46+CV197)/(1+CU$99)</f>
        <v>0</v>
      </c>
      <c r="CV197" s="93">
        <f t="shared" ref="CV197" si="1890">(CV46+CW197)/(1+CV$99)</f>
        <v>0</v>
      </c>
      <c r="CW197" s="93">
        <f t="shared" ref="CW197" si="1891">(CW46+CX197)/(1+CW$99)</f>
        <v>0</v>
      </c>
      <c r="CX197" s="93">
        <f t="shared" ref="CX197" si="1892">(CX46+CY197)/(1+CX$99)</f>
        <v>0</v>
      </c>
      <c r="CY197" s="93">
        <f t="shared" ref="CY197" si="1893">(CY46+CZ197)/(1+CY$99)</f>
        <v>0</v>
      </c>
      <c r="CZ197" s="93">
        <f t="shared" ref="CZ197" si="1894">(CZ46+DA197)/(1+CZ$99)</f>
        <v>0</v>
      </c>
      <c r="DA197" s="93">
        <f t="shared" ref="DA197" si="1895">(DA46+DB197)/(1+DA$99)</f>
        <v>0</v>
      </c>
      <c r="DB197" s="93">
        <f t="shared" ref="DB197" si="1896">(DB46+DC197)/(1+DB$99)</f>
        <v>0</v>
      </c>
      <c r="DC197" s="93">
        <f t="shared" ref="DC197" si="1897">(DC46+DD197)/(1+DC$99)</f>
        <v>0</v>
      </c>
      <c r="DD197" s="93">
        <f t="shared" ref="DD197" si="1898">(DD46+DE197)/(1+DD$99)</f>
        <v>0</v>
      </c>
      <c r="DE197" s="93">
        <f t="shared" ref="DE197" si="1899">(DE46+DF197)/(1+DE$99)</f>
        <v>0</v>
      </c>
      <c r="DF197" s="93">
        <f t="shared" ref="DF197" si="1900">(DF46+DG197)/(1+DF$99)</f>
        <v>0</v>
      </c>
      <c r="DG197" s="93">
        <f t="shared" ref="DG197" si="1901">(DG46+DH197)/(1+DG$99)</f>
        <v>0</v>
      </c>
      <c r="DH197" s="93">
        <f t="shared" ref="DH197" si="1902">(DH46+DI197)/(1+DH$99)</f>
        <v>0</v>
      </c>
      <c r="DI197" s="93">
        <f t="shared" ref="DI197" si="1903">(DI46+DJ197)/(1+DI$99)</f>
        <v>0</v>
      </c>
      <c r="DJ197" s="93">
        <f t="shared" ref="DJ197" si="1904">(DJ46+DK197)/(1+DJ$99)</f>
        <v>0</v>
      </c>
      <c r="DK197" s="93">
        <f t="shared" ref="DK197" si="1905">(DK46+DL197)/(1+DK$99)</f>
        <v>0</v>
      </c>
      <c r="DL197" s="93">
        <f t="shared" ref="DL197" si="1906">(DL46+DM197)/(1+DL$99)</f>
        <v>0</v>
      </c>
      <c r="DM197" s="93">
        <f t="shared" ref="DM197" si="1907">(DM46+DN197)/(1+DM$99)</f>
        <v>0</v>
      </c>
      <c r="DN197" s="93">
        <f t="shared" ref="DN197" si="1908">(DN46+DO197)/(1+DN$99)</f>
        <v>0</v>
      </c>
      <c r="DO197" s="93">
        <f t="shared" ref="DO197" si="1909">(DO46+DP197)/(1+DO$99)</f>
        <v>0</v>
      </c>
      <c r="DP197" s="93">
        <f t="shared" ref="DP197" si="1910">(DP46+DQ197)/(1+DP$99)</f>
        <v>0</v>
      </c>
      <c r="DQ197" s="93">
        <f t="shared" ref="DQ197" si="1911">(DQ46+DR197)/(1+DQ$99)</f>
        <v>0</v>
      </c>
      <c r="DR197" s="93">
        <f t="shared" ref="DR197" si="1912">(DR46+DS197)/(1+DR$99)</f>
        <v>0</v>
      </c>
      <c r="DS197" s="93">
        <f t="shared" ref="DS197" si="1913">(DS46+DT197)/(1+DS$99)</f>
        <v>0</v>
      </c>
      <c r="DT197" s="93">
        <f t="shared" ref="DT197" si="1914">(DT46+DU197)/(1+DT$99)</f>
        <v>0</v>
      </c>
      <c r="DU197" s="93">
        <f t="shared" ref="DU197" si="1915">(DU46+DV197)/(1+DU$99)</f>
        <v>0</v>
      </c>
      <c r="DV197" s="93">
        <f t="shared" ref="DV197" si="1916">(DV46+DW197)/(1+DV$99)</f>
        <v>0</v>
      </c>
      <c r="DW197" s="93">
        <f t="shared" ref="DW197" si="1917">(DW46+DX197)/(1+DW$99)</f>
        <v>0</v>
      </c>
      <c r="DX197" s="93">
        <f t="shared" ref="DX197" si="1918">(DX46+DY197)/(1+DX$99)</f>
        <v>0</v>
      </c>
      <c r="DY197" s="93">
        <f t="shared" ref="DY197" si="1919">(DY46+DZ197)/(1+DY$99)</f>
        <v>0</v>
      </c>
      <c r="DZ197" s="93">
        <f t="shared" ref="DZ197" si="1920">(DZ46+EA197)/(1+DZ$99)</f>
        <v>0</v>
      </c>
      <c r="EA197" s="93">
        <f t="shared" ref="EA197" si="1921">(EA46+EB197)/(1+EA$99)</f>
        <v>0</v>
      </c>
      <c r="EB197" s="93">
        <f t="shared" ref="EB197" si="1922">(EB46+EC197)/(1+EB$99)</f>
        <v>0</v>
      </c>
      <c r="EC197" s="93">
        <f t="shared" ref="EC197" si="1923">(EC46+ED197)/(1+EC$99)</f>
        <v>0</v>
      </c>
      <c r="ED197" s="93">
        <f t="shared" ref="ED197" si="1924">(ED46+EE197)/(1+ED$99)</f>
        <v>0</v>
      </c>
      <c r="EE197" s="93">
        <f t="shared" ref="EE197" si="1925">(EE46+EF197)/(1+EE$99)</f>
        <v>0</v>
      </c>
      <c r="EF197" s="93">
        <f t="shared" ref="EF197" si="1926">(EF46+EG197)/(1+EF$99)</f>
        <v>0</v>
      </c>
      <c r="EG197" s="93">
        <f t="shared" ref="EG197" si="1927">(EG46+EH197)/(1+EG$99)</f>
        <v>0</v>
      </c>
      <c r="EH197" s="93">
        <f t="shared" ref="EH197" si="1928">(EH46+EI197)/(1+EH$99)</f>
        <v>0</v>
      </c>
      <c r="EI197" s="93">
        <f t="shared" ref="EI197" si="1929">(EI46+EJ197)/(1+EI$99)</f>
        <v>0</v>
      </c>
      <c r="EJ197" s="93">
        <f t="shared" ref="EJ197" si="1930">(EJ46+EK197)/(1+EJ$99)</f>
        <v>0</v>
      </c>
      <c r="EK197" s="93">
        <f t="shared" ref="EK197" si="1931">(EK46+EL197)/(1+EK$99)</f>
        <v>0</v>
      </c>
      <c r="EL197" s="93">
        <f t="shared" ref="EL197" si="1932">(EL46+EM197)/(1+EL$99)</f>
        <v>0</v>
      </c>
      <c r="EM197" s="93">
        <f t="shared" ref="EM197" si="1933">(EM46+EN197)/(1+EM$99)</f>
        <v>0</v>
      </c>
      <c r="EN197" s="93">
        <f t="shared" ref="EN197" si="1934">(EN46+EO197)/(1+EN$99)</f>
        <v>0</v>
      </c>
      <c r="EO197" s="93">
        <f t="shared" ref="EO197" si="1935">(EO46+EP197)/(1+EO$99)</f>
        <v>0</v>
      </c>
      <c r="EP197" s="93">
        <f t="shared" ref="EP197" si="1936">(EP46+EQ197)/(1+EP$99)</f>
        <v>0</v>
      </c>
      <c r="EQ197" s="93">
        <f t="shared" ref="EQ197" si="1937">(EQ46+ER197)/(1+EQ$99)</f>
        <v>0</v>
      </c>
      <c r="ER197" s="93">
        <f t="shared" ref="ER197" si="1938">(ER46+ES197)/(1+ER$99)</f>
        <v>0</v>
      </c>
      <c r="ES197" s="93">
        <f t="shared" ref="ES197" si="1939">(ES46+ET197)/(1+ES$99)</f>
        <v>0</v>
      </c>
      <c r="ET197" s="93">
        <f t="shared" ref="ET197" si="1940">(ET46+EU197)/(1+ET$99)</f>
        <v>0</v>
      </c>
      <c r="EU197" s="93">
        <f t="shared" ref="EU197" si="1941">(EU46+EV197)/(1+EU$99)</f>
        <v>0</v>
      </c>
      <c r="EV197" s="93">
        <f t="shared" ref="EV197" si="1942">(EV46+EW197)/(1+EV$99)</f>
        <v>0</v>
      </c>
      <c r="EW197" s="93">
        <f t="shared" ref="EW197" si="1943">(EW46+EX197)/(1+EW$99)</f>
        <v>0</v>
      </c>
      <c r="EX197" s="93">
        <f t="shared" ref="EX197" si="1944">(EX46+EY197)/(1+EX$99)</f>
        <v>0</v>
      </c>
      <c r="EY197" s="93">
        <f t="shared" ref="EY197" si="1945">(EY46+EZ197)/(1+EY$99)</f>
        <v>0</v>
      </c>
      <c r="EZ197" s="93">
        <f t="shared" ref="EZ197" si="1946">(EZ46+FA197)/(1+EZ$99)</f>
        <v>0</v>
      </c>
      <c r="FA197" s="93">
        <f t="shared" ref="FA197" si="1947">(FA46+FB197)/(1+FA$99)</f>
        <v>0</v>
      </c>
      <c r="FB197" s="93">
        <f t="shared" ref="FB197" si="1948">(FB46+FC197)/(1+FB$99)</f>
        <v>0</v>
      </c>
      <c r="FC197" s="93">
        <f t="shared" ref="FC197" si="1949">(FC46+FD197)/(1+FC$99)</f>
        <v>0</v>
      </c>
      <c r="FD197" s="93">
        <f t="shared" ref="FD197" si="1950">(FD46+FE197)/(1+FD$99)</f>
        <v>0</v>
      </c>
      <c r="FE197" s="93">
        <f t="shared" ref="FE197" si="1951">(FE46+FF197)/(1+FE$99)</f>
        <v>0</v>
      </c>
      <c r="FF197" s="93">
        <f t="shared" ref="FF197" si="1952">(FF46+FG197)/(1+FF$99)</f>
        <v>0</v>
      </c>
      <c r="FG197" s="93">
        <f t="shared" ref="FG197" si="1953">(FG46+FH197)/(1+FG$99)</f>
        <v>0</v>
      </c>
      <c r="FH197" s="93">
        <f t="shared" ref="FH197" si="1954">(FH46+FI197)/(1+FH$99)</f>
        <v>0</v>
      </c>
      <c r="FI197" s="93">
        <f t="shared" ref="FI197" si="1955">(FI46+FJ197)/(1+FI$99)</f>
        <v>0</v>
      </c>
      <c r="FJ197" s="93">
        <f t="shared" ref="FJ197" si="1956">(FJ46+FK197)/(1+FJ$99)</f>
        <v>0</v>
      </c>
      <c r="FK197" s="93">
        <f t="shared" ref="FK197" si="1957">(FK46+FL197)/(1+FK$99)</f>
        <v>0</v>
      </c>
      <c r="FL197" s="93">
        <f t="shared" ref="FL197" si="1958">(FL46+FM197)/(1+FL$99)</f>
        <v>0</v>
      </c>
      <c r="FM197" s="93">
        <f t="shared" ref="FM197" si="1959">(FM46+FN197)/(1+FM$99)</f>
        <v>0</v>
      </c>
      <c r="FN197" s="93">
        <f t="shared" ref="FN197" si="1960">(FN46+FO197)/(1+FN$99)</f>
        <v>0</v>
      </c>
      <c r="FO197" s="93">
        <f t="shared" ref="FO197" si="1961">(FO46+FP197)/(1+FO$99)</f>
        <v>0</v>
      </c>
      <c r="FP197" s="93">
        <f t="shared" ref="FP197" si="1962">(FP46+FQ197)/(1+FP$99)</f>
        <v>0</v>
      </c>
      <c r="FQ197" s="93">
        <f t="shared" ref="FQ197" si="1963">(FQ46+FR197)/(1+FQ$99)</f>
        <v>0</v>
      </c>
      <c r="FR197" s="93">
        <f t="shared" ref="FR197" si="1964">(FR46+FS197)/(1+FR$99)</f>
        <v>0</v>
      </c>
      <c r="FS197" s="93">
        <f t="shared" ref="FS197" si="1965">(FS46+FT197)/(1+FS$99)</f>
        <v>0</v>
      </c>
      <c r="FT197" s="93">
        <f t="shared" ref="FT197" si="1966">(FT46+FU197)/(1+FT$99)</f>
        <v>0</v>
      </c>
      <c r="FU197" s="93">
        <f t="shared" ref="FU197" si="1967">(FU46+FV197)/(1+FU$99)</f>
        <v>0</v>
      </c>
      <c r="FV197" s="93">
        <f t="shared" ref="FV197" si="1968">(FV46+FW197)/(1+FV$99)</f>
        <v>0</v>
      </c>
      <c r="FW197" s="93">
        <f t="shared" ref="FW197" si="1969">(FW46+FX197)/(1+FW$99)</f>
        <v>0</v>
      </c>
      <c r="FX197" s="93">
        <f t="shared" ref="FX197" si="1970">(FX46+FY197)/(1+FX$99)</f>
        <v>0</v>
      </c>
      <c r="FY197" s="93">
        <f t="shared" ref="FY197" si="1971">(FY46+FZ197)/(1+FY$99)</f>
        <v>0</v>
      </c>
      <c r="FZ197" s="59"/>
    </row>
    <row r="198" spans="1:182" x14ac:dyDescent="0.2">
      <c r="A198" s="66" t="s">
        <v>194</v>
      </c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  <c r="AK198" s="67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67"/>
      <c r="BS198" s="67"/>
      <c r="BT198" s="67"/>
      <c r="BU198" s="67"/>
      <c r="BV198" s="67"/>
      <c r="BW198" s="67"/>
      <c r="BX198" s="67"/>
      <c r="BY198" s="67"/>
      <c r="BZ198" s="67"/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7"/>
      <c r="DW198" s="67"/>
      <c r="DX198" s="67"/>
      <c r="DY198" s="67"/>
      <c r="DZ198" s="67"/>
      <c r="EA198" s="67"/>
      <c r="EB198" s="67"/>
      <c r="EC198" s="67"/>
      <c r="ED198" s="67"/>
      <c r="EE198" s="67"/>
      <c r="EF198" s="67"/>
      <c r="EG198" s="67"/>
      <c r="EH198" s="67"/>
      <c r="EI198" s="67"/>
      <c r="EJ198" s="67"/>
      <c r="EK198" s="67"/>
      <c r="EL198" s="67"/>
      <c r="EM198" s="67"/>
      <c r="EN198" s="67"/>
      <c r="EO198" s="67"/>
      <c r="EP198" s="67"/>
      <c r="EQ198" s="67"/>
      <c r="ER198" s="67"/>
      <c r="ES198" s="67"/>
      <c r="ET198" s="67"/>
      <c r="EU198" s="67"/>
      <c r="EV198" s="67"/>
      <c r="EW198" s="67"/>
      <c r="EX198" s="67"/>
      <c r="EY198" s="67"/>
      <c r="EZ198" s="67"/>
      <c r="FA198" s="67"/>
      <c r="FB198" s="67"/>
      <c r="FC198" s="67"/>
      <c r="FD198" s="67"/>
      <c r="FE198" s="67"/>
      <c r="FF198" s="67"/>
      <c r="FG198" s="67"/>
      <c r="FH198" s="67"/>
      <c r="FI198" s="67"/>
      <c r="FJ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67"/>
      <c r="FW198" s="67"/>
      <c r="FX198" s="67"/>
      <c r="FY198" s="67"/>
      <c r="FZ198" s="59"/>
    </row>
    <row r="199" spans="1:182" x14ac:dyDescent="0.2">
      <c r="A199" s="66" t="s">
        <v>195</v>
      </c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67"/>
      <c r="BS199" s="67"/>
      <c r="BT199" s="67"/>
      <c r="BU199" s="67"/>
      <c r="BV199" s="67"/>
      <c r="BW199" s="67"/>
      <c r="BX199" s="67"/>
      <c r="BY199" s="67"/>
      <c r="BZ199" s="67"/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7"/>
      <c r="DW199" s="67"/>
      <c r="DX199" s="67"/>
      <c r="DY199" s="67"/>
      <c r="DZ199" s="67"/>
      <c r="EA199" s="67"/>
      <c r="EB199" s="67"/>
      <c r="EC199" s="67"/>
      <c r="ED199" s="67"/>
      <c r="EE199" s="67"/>
      <c r="EF199" s="67"/>
      <c r="EG199" s="67"/>
      <c r="EH199" s="67"/>
      <c r="EI199" s="67"/>
      <c r="EJ199" s="67"/>
      <c r="EK199" s="67"/>
      <c r="EL199" s="67"/>
      <c r="EM199" s="67"/>
      <c r="EN199" s="67"/>
      <c r="EO199" s="67"/>
      <c r="EP199" s="67"/>
      <c r="EQ199" s="67"/>
      <c r="ER199" s="67"/>
      <c r="ES199" s="67"/>
      <c r="ET199" s="67"/>
      <c r="EU199" s="67"/>
      <c r="EV199" s="67"/>
      <c r="EW199" s="67"/>
      <c r="EX199" s="67"/>
      <c r="EY199" s="67"/>
      <c r="EZ199" s="67"/>
      <c r="FA199" s="67"/>
      <c r="FB199" s="67"/>
      <c r="FC199" s="67"/>
      <c r="FD199" s="67"/>
      <c r="FE199" s="67"/>
      <c r="FF199" s="67"/>
      <c r="FG199" s="67"/>
      <c r="FH199" s="67"/>
      <c r="FI199" s="67"/>
      <c r="FJ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67"/>
      <c r="FW199" s="67"/>
      <c r="FX199" s="67"/>
      <c r="FY199" s="67"/>
      <c r="FZ199" s="59"/>
    </row>
    <row r="200" spans="1:182" x14ac:dyDescent="0.2">
      <c r="A200" s="92" t="s">
        <v>265</v>
      </c>
      <c r="B200" s="93">
        <f>B49+C200/(1+B$99)</f>
        <v>-64691.787123653572</v>
      </c>
      <c r="C200" s="93">
        <f t="shared" ref="C200:C201" si="1972">C49+D200/(1+C$99)</f>
        <v>-34810.948842257843</v>
      </c>
      <c r="D200" s="93">
        <f t="shared" ref="D200:D201" si="1973">D49+E200/(1+D$99)</f>
        <v>-33904.760409489179</v>
      </c>
      <c r="E200" s="93">
        <f t="shared" ref="E200:E201" si="1974">E49+F200/(1+E$99)</f>
        <v>-32993.196559123498</v>
      </c>
      <c r="F200" s="93">
        <f t="shared" ref="F200:F201" si="1975">F49+G200/(1+F$99)</f>
        <v>-32076.231912025607</v>
      </c>
      <c r="G200" s="93">
        <f t="shared" ref="G200:G201" si="1976">G49+H200/(1+G$99)</f>
        <v>-31153.840975652551</v>
      </c>
      <c r="H200" s="93">
        <f t="shared" ref="H200:H201" si="1977">H49+I200/(1+H$99)</f>
        <v>-30225.998143554782</v>
      </c>
      <c r="I200" s="93">
        <f t="shared" ref="I200:I201" si="1978">I49+J200/(1+I$99)</f>
        <v>-29292.677694875158</v>
      </c>
      <c r="J200" s="93">
        <f t="shared" ref="J200:J201" si="1979">J49+K200/(1+J$99)</f>
        <v>-28353.853793845756</v>
      </c>
      <c r="K200" s="93">
        <f t="shared" ref="K200:K201" si="1980">K49+L200/(1+K$99)</f>
        <v>-27409.500489282462</v>
      </c>
      <c r="L200" s="93">
        <f t="shared" ref="L200:L201" si="1981">L49+M200/(1+L$99)</f>
        <v>-26459.59171407736</v>
      </c>
      <c r="M200" s="93">
        <f t="shared" ref="M200:M201" si="1982">M49+N200/(1+M$99)</f>
        <v>-25504.101284688903</v>
      </c>
      <c r="N200" s="93">
        <f t="shared" ref="N200:N201" si="1983">N49+O200/(1+N$99)</f>
        <v>-24543.002900629835</v>
      </c>
      <c r="O200" s="93">
        <f t="shared" ref="O200:O201" si="1984">O49+P200/(1+O$99)</f>
        <v>-23576.270143952901</v>
      </c>
      <c r="P200" s="93">
        <f t="shared" ref="P200:P201" si="1985">P49+Q200/(1+P$99)</f>
        <v>-22604.649462287911</v>
      </c>
      <c r="Q200" s="93">
        <f t="shared" ref="Q200:Q201" si="1986">Q49+R200/(1+Q$99)</f>
        <v>-21628.119091281147</v>
      </c>
      <c r="R200" s="93">
        <f t="shared" ref="R200:R201" si="1987">R49+S200/(1+R$99)</f>
        <v>-20646.657171246705</v>
      </c>
      <c r="S200" s="93">
        <f t="shared" ref="S200:S201" si="1988">S49+T200/(1+S$99)</f>
        <v>-19660.241746749878</v>
      </c>
      <c r="T200" s="93">
        <f t="shared" ref="T200:T201" si="1989">T49+U200/(1+T$99)</f>
        <v>-18668.850766188727</v>
      </c>
      <c r="U200" s="93">
        <f t="shared" ref="U200:U201" si="1990">U49+V200/(1+U$99)</f>
        <v>-17672.462081373811</v>
      </c>
      <c r="V200" s="93">
        <f t="shared" ref="V200:V201" si="1991">V49+W200/(1+V$99)</f>
        <v>-16671.053447106093</v>
      </c>
      <c r="W200" s="93">
        <f t="shared" ref="W200:W201" si="1992">W49+X200/(1+W$99)</f>
        <v>-15664.602520752984</v>
      </c>
      <c r="X200" s="93">
        <f t="shared" ref="X200:X201" si="1993">X49+Y200/(1+X$99)</f>
        <v>-14653.086861822567</v>
      </c>
      <c r="Y200" s="93">
        <f t="shared" ref="Y200:Y201" si="1994">Y49+Z200/(1+Y$99)</f>
        <v>-13636.483931535917</v>
      </c>
      <c r="Z200" s="93">
        <f t="shared" ref="Z200:Z201" si="1995">Z49+AA200/(1+Z$99)</f>
        <v>-12614.771092397594</v>
      </c>
      <c r="AA200" s="93">
        <f t="shared" ref="AA200:AA201" si="1996">AA49+AB200/(1+AA$99)</f>
        <v>-11587.925607764235</v>
      </c>
      <c r="AB200" s="93">
        <f t="shared" ref="AB200:AB201" si="1997">AB49+AC200/(1+AB$99)</f>
        <v>-10556.710704660865</v>
      </c>
      <c r="AC200" s="93">
        <f t="shared" ref="AC200:AC201" si="1998">AC49+AD200/(1+AC$99)</f>
        <v>-9521.107282788882</v>
      </c>
      <c r="AD200" s="93">
        <f t="shared" ref="AD200:AD201" si="1999">AD49+AE200/(1+AD$99)</f>
        <v>-8481.0961584114539</v>
      </c>
      <c r="AE200" s="93">
        <f t="shared" ref="AE200:AE201" si="2000">AE49+AF200/(1+AE$99)</f>
        <v>-7436.6580639890199</v>
      </c>
      <c r="AF200" s="93">
        <f t="shared" ref="AF200:AF201" si="2001">AF49+AG200/(1+AF$99)</f>
        <v>-6387.7736478131974</v>
      </c>
      <c r="AG200" s="93">
        <f t="shared" ref="AG200:AG201" si="2002">AG49+AH200/(1+AG$99)</f>
        <v>-5334.4234736390936</v>
      </c>
      <c r="AH200" s="93">
        <f t="shared" ref="AH200:AH201" si="2003">AH49+AI200/(1+AH$99)</f>
        <v>-4276.5880203160059</v>
      </c>
      <c r="AI200" s="93">
        <f t="shared" ref="AI200:AI201" si="2004">AI49+AJ200/(1+AI$99)</f>
        <v>-3214.2476814165116</v>
      </c>
      <c r="AJ200" s="93">
        <f t="shared" ref="AJ200:AJ201" si="2005">AJ49+AK200/(1+AJ$99)</f>
        <v>-2147.3827648639362</v>
      </c>
      <c r="AK200" s="93">
        <f t="shared" ref="AK200:AK201" si="2006">AK49+AL200/(1+AK$99)</f>
        <v>-1075.9734925581949</v>
      </c>
      <c r="AL200" s="93">
        <f t="shared" ref="AL200:AL201" si="2007">AL49+AM200/(1+AL$99)</f>
        <v>0</v>
      </c>
      <c r="AM200" s="93">
        <f t="shared" ref="AM200:AM201" si="2008">AM49+AN200/(1+AM$99)</f>
        <v>0</v>
      </c>
      <c r="AN200" s="93">
        <f t="shared" ref="AN200:AN201" si="2009">AN49+AO200/(1+AN$99)</f>
        <v>0</v>
      </c>
      <c r="AO200" s="93">
        <f t="shared" ref="AO200:AO201" si="2010">AO49+AP200/(1+AO$99)</f>
        <v>0</v>
      </c>
      <c r="AP200" s="93">
        <f t="shared" ref="AP200:AP201" si="2011">AP49+AQ200/(1+AP$99)</f>
        <v>0</v>
      </c>
      <c r="AQ200" s="93">
        <f t="shared" ref="AQ200:AQ201" si="2012">AQ49+AR200/(1+AQ$99)</f>
        <v>0</v>
      </c>
      <c r="AR200" s="93">
        <f t="shared" ref="AR200:AR201" si="2013">AR49+AS200/(1+AR$99)</f>
        <v>0</v>
      </c>
      <c r="AS200" s="93">
        <f t="shared" ref="AS200:AS201" si="2014">AS49+AT200/(1+AS$99)</f>
        <v>0</v>
      </c>
      <c r="AT200" s="93">
        <f t="shared" ref="AT200:AT201" si="2015">AT49+AU200/(1+AT$99)</f>
        <v>0</v>
      </c>
      <c r="AU200" s="93">
        <f t="shared" ref="AU200:AU201" si="2016">AU49+AV200/(1+AU$99)</f>
        <v>0</v>
      </c>
      <c r="AV200" s="93">
        <f t="shared" ref="AV200:AV201" si="2017">AV49+AW200/(1+AV$99)</f>
        <v>0</v>
      </c>
      <c r="AW200" s="93">
        <f t="shared" ref="AW200:AW201" si="2018">AW49+AX200/(1+AW$99)</f>
        <v>0</v>
      </c>
      <c r="AX200" s="93">
        <f t="shared" ref="AX200:AX201" si="2019">AX49+AY200/(1+AX$99)</f>
        <v>0</v>
      </c>
      <c r="AY200" s="93">
        <f t="shared" ref="AY200:AY201" si="2020">AY49+AZ200/(1+AY$99)</f>
        <v>0</v>
      </c>
      <c r="AZ200" s="93">
        <f t="shared" ref="AZ200:AZ201" si="2021">AZ49+BA200/(1+AZ$99)</f>
        <v>0</v>
      </c>
      <c r="BA200" s="93">
        <f t="shared" ref="BA200:BA201" si="2022">BA49+BB200/(1+BA$99)</f>
        <v>0</v>
      </c>
      <c r="BB200" s="93">
        <f t="shared" ref="BB200:BB201" si="2023">BB49+BC200/(1+BB$99)</f>
        <v>0</v>
      </c>
      <c r="BC200" s="93">
        <f t="shared" ref="BC200:BC201" si="2024">BC49+BD200/(1+BC$99)</f>
        <v>0</v>
      </c>
      <c r="BD200" s="93">
        <f t="shared" ref="BD200:BD201" si="2025">BD49+BE200/(1+BD$99)</f>
        <v>0</v>
      </c>
      <c r="BE200" s="93">
        <f t="shared" ref="BE200:BE201" si="2026">BE49+BF200/(1+BE$99)</f>
        <v>0</v>
      </c>
      <c r="BF200" s="93">
        <f t="shared" ref="BF200:BF201" si="2027">BF49+BG200/(1+BF$99)</f>
        <v>0</v>
      </c>
      <c r="BG200" s="93">
        <f t="shared" ref="BG200:BG201" si="2028">BG49+BH200/(1+BG$99)</f>
        <v>0</v>
      </c>
      <c r="BH200" s="93">
        <f t="shared" ref="BH200:BH201" si="2029">BH49+BI200/(1+BH$99)</f>
        <v>0</v>
      </c>
      <c r="BI200" s="93">
        <f t="shared" ref="BI200:BI201" si="2030">BI49+BJ200/(1+BI$99)</f>
        <v>0</v>
      </c>
      <c r="BJ200" s="93">
        <f t="shared" ref="BJ200:BJ201" si="2031">BJ49+BK200/(1+BJ$99)</f>
        <v>0</v>
      </c>
      <c r="BK200" s="93">
        <f t="shared" ref="BK200:BK201" si="2032">BK49+BL200/(1+BK$99)</f>
        <v>0</v>
      </c>
      <c r="BL200" s="93">
        <f t="shared" ref="BL200:BL201" si="2033">BL49+BM200/(1+BL$99)</f>
        <v>0</v>
      </c>
      <c r="BM200" s="93">
        <f t="shared" ref="BM200:BM201" si="2034">BM49+BN200/(1+BM$99)</f>
        <v>0</v>
      </c>
      <c r="BN200" s="93">
        <f t="shared" ref="BN200:BN201" si="2035">BN49+BO200/(1+BN$99)</f>
        <v>0</v>
      </c>
      <c r="BO200" s="93">
        <f t="shared" ref="BO200:BO201" si="2036">BO49+BP200/(1+BO$99)</f>
        <v>0</v>
      </c>
      <c r="BP200" s="93">
        <f t="shared" ref="BP200:BP201" si="2037">BP49+BQ200/(1+BP$99)</f>
        <v>0</v>
      </c>
      <c r="BQ200" s="93">
        <f t="shared" ref="BQ200:BQ201" si="2038">BQ49+BR200/(1+BQ$99)</f>
        <v>0</v>
      </c>
      <c r="BR200" s="93">
        <f t="shared" ref="BR200:BR201" si="2039">BR49+BS200/(1+BR$99)</f>
        <v>0</v>
      </c>
      <c r="BS200" s="93">
        <f t="shared" ref="BS200:BS201" si="2040">BS49+BT200/(1+BS$99)</f>
        <v>0</v>
      </c>
      <c r="BT200" s="93">
        <f t="shared" ref="BT200:BT201" si="2041">BT49+BU200/(1+BT$99)</f>
        <v>0</v>
      </c>
      <c r="BU200" s="93">
        <f t="shared" ref="BU200:BU201" si="2042">BU49+BV200/(1+BU$99)</f>
        <v>0</v>
      </c>
      <c r="BV200" s="93">
        <f t="shared" ref="BV200:BV201" si="2043">BV49+BW200/(1+BV$99)</f>
        <v>0</v>
      </c>
      <c r="BW200" s="93">
        <f t="shared" ref="BW200:BW201" si="2044">BW49+BX200/(1+BW$99)</f>
        <v>0</v>
      </c>
      <c r="BX200" s="93">
        <f t="shared" ref="BX200:BX201" si="2045">BX49+BY200/(1+BX$99)</f>
        <v>0</v>
      </c>
      <c r="BY200" s="93">
        <f t="shared" ref="BY200:BY201" si="2046">BY49+BZ200/(1+BY$99)</f>
        <v>0</v>
      </c>
      <c r="BZ200" s="93">
        <f t="shared" ref="BZ200:BZ201" si="2047">BZ49+CA200/(1+BZ$99)</f>
        <v>0</v>
      </c>
      <c r="CA200" s="93">
        <f t="shared" ref="CA200:CA201" si="2048">CA49+CB200/(1+CA$99)</f>
        <v>0</v>
      </c>
      <c r="CB200" s="93">
        <f t="shared" ref="CB200:CB201" si="2049">CB49+CC200/(1+CB$99)</f>
        <v>0</v>
      </c>
      <c r="CC200" s="93">
        <f t="shared" ref="CC200:CC201" si="2050">CC49+CD200/(1+CC$99)</f>
        <v>0</v>
      </c>
      <c r="CD200" s="93">
        <f t="shared" ref="CD200:CD201" si="2051">CD49+CE200/(1+CD$99)</f>
        <v>0</v>
      </c>
      <c r="CE200" s="93">
        <f t="shared" ref="CE200:CE201" si="2052">CE49+CF200/(1+CE$99)</f>
        <v>0</v>
      </c>
      <c r="CF200" s="93">
        <f t="shared" ref="CF200:CF201" si="2053">CF49+CG200/(1+CF$99)</f>
        <v>0</v>
      </c>
      <c r="CG200" s="93">
        <f t="shared" ref="CG200:CG201" si="2054">CG49+CH200/(1+CG$99)</f>
        <v>0</v>
      </c>
      <c r="CH200" s="93">
        <f t="shared" ref="CH200:CH201" si="2055">CH49+CI200/(1+CH$99)</f>
        <v>0</v>
      </c>
      <c r="CI200" s="93">
        <f t="shared" ref="CI200:CI201" si="2056">CI49+CJ200/(1+CI$99)</f>
        <v>0</v>
      </c>
      <c r="CJ200" s="93">
        <f t="shared" ref="CJ200:CJ201" si="2057">CJ49+CK200/(1+CJ$99)</f>
        <v>0</v>
      </c>
      <c r="CK200" s="93">
        <f t="shared" ref="CK200:CK201" si="2058">CK49+CL200/(1+CK$99)</f>
        <v>0</v>
      </c>
      <c r="CL200" s="93">
        <f t="shared" ref="CL200:CL201" si="2059">CL49+CM200/(1+CL$99)</f>
        <v>0</v>
      </c>
      <c r="CM200" s="93">
        <f t="shared" ref="CM200:CM201" si="2060">CM49+CN200/(1+CM$99)</f>
        <v>0</v>
      </c>
      <c r="CN200" s="93">
        <f t="shared" ref="CN200:CN201" si="2061">CN49+CO200/(1+CN$99)</f>
        <v>0</v>
      </c>
      <c r="CO200" s="93">
        <f t="shared" ref="CO200:CO201" si="2062">CO49+CP200/(1+CO$99)</f>
        <v>0</v>
      </c>
      <c r="CP200" s="93">
        <f t="shared" ref="CP200:CP201" si="2063">CP49+CQ200/(1+CP$99)</f>
        <v>0</v>
      </c>
      <c r="CQ200" s="93">
        <f t="shared" ref="CQ200:CQ201" si="2064">CQ49+CR200/(1+CQ$99)</f>
        <v>0</v>
      </c>
      <c r="CR200" s="93">
        <f t="shared" ref="CR200:CR201" si="2065">CR49+CS200/(1+CR$99)</f>
        <v>0</v>
      </c>
      <c r="CS200" s="93">
        <f t="shared" ref="CS200:CS201" si="2066">CS49+CT200/(1+CS$99)</f>
        <v>0</v>
      </c>
      <c r="CT200" s="93">
        <f t="shared" ref="CT200:CT201" si="2067">CT49+CU200/(1+CT$99)</f>
        <v>0</v>
      </c>
      <c r="CU200" s="93">
        <f t="shared" ref="CU200:CU201" si="2068">CU49+CV200/(1+CU$99)</f>
        <v>0</v>
      </c>
      <c r="CV200" s="93">
        <f t="shared" ref="CV200:CV201" si="2069">CV49+CW200/(1+CV$99)</f>
        <v>0</v>
      </c>
      <c r="CW200" s="93">
        <f t="shared" ref="CW200:CW201" si="2070">CW49+CX200/(1+CW$99)</f>
        <v>0</v>
      </c>
      <c r="CX200" s="93">
        <f t="shared" ref="CX200:CX201" si="2071">CX49+CY200/(1+CX$99)</f>
        <v>0</v>
      </c>
      <c r="CY200" s="93">
        <f t="shared" ref="CY200:CY201" si="2072">CY49+CZ200/(1+CY$99)</f>
        <v>0</v>
      </c>
      <c r="CZ200" s="93">
        <f t="shared" ref="CZ200:CZ201" si="2073">CZ49+DA200/(1+CZ$99)</f>
        <v>0</v>
      </c>
      <c r="DA200" s="93">
        <f t="shared" ref="DA200:DA201" si="2074">DA49+DB200/(1+DA$99)</f>
        <v>0</v>
      </c>
      <c r="DB200" s="93">
        <f t="shared" ref="DB200:DB201" si="2075">DB49+DC200/(1+DB$99)</f>
        <v>0</v>
      </c>
      <c r="DC200" s="93">
        <f t="shared" ref="DC200:DC201" si="2076">DC49+DD200/(1+DC$99)</f>
        <v>0</v>
      </c>
      <c r="DD200" s="93">
        <f t="shared" ref="DD200:DD201" si="2077">DD49+DE200/(1+DD$99)</f>
        <v>0</v>
      </c>
      <c r="DE200" s="93">
        <f t="shared" ref="DE200:DE201" si="2078">DE49+DF200/(1+DE$99)</f>
        <v>0</v>
      </c>
      <c r="DF200" s="93">
        <f t="shared" ref="DF200:DF201" si="2079">DF49+DG200/(1+DF$99)</f>
        <v>0</v>
      </c>
      <c r="DG200" s="93">
        <f t="shared" ref="DG200:DG201" si="2080">DG49+DH200/(1+DG$99)</f>
        <v>0</v>
      </c>
      <c r="DH200" s="93">
        <f t="shared" ref="DH200:DH201" si="2081">DH49+DI200/(1+DH$99)</f>
        <v>0</v>
      </c>
      <c r="DI200" s="93">
        <f t="shared" ref="DI200:DI201" si="2082">DI49+DJ200/(1+DI$99)</f>
        <v>0</v>
      </c>
      <c r="DJ200" s="93">
        <f t="shared" ref="DJ200:DJ201" si="2083">DJ49+DK200/(1+DJ$99)</f>
        <v>0</v>
      </c>
      <c r="DK200" s="93">
        <f t="shared" ref="DK200:DK201" si="2084">DK49+DL200/(1+DK$99)</f>
        <v>0</v>
      </c>
      <c r="DL200" s="93">
        <f t="shared" ref="DL200:DL201" si="2085">DL49+DM200/(1+DL$99)</f>
        <v>0</v>
      </c>
      <c r="DM200" s="93">
        <f t="shared" ref="DM200:DM201" si="2086">DM49+DN200/(1+DM$99)</f>
        <v>0</v>
      </c>
      <c r="DN200" s="93">
        <f t="shared" ref="DN200:DN201" si="2087">DN49+DO200/(1+DN$99)</f>
        <v>0</v>
      </c>
      <c r="DO200" s="93">
        <f t="shared" ref="DO200:DO201" si="2088">DO49+DP200/(1+DO$99)</f>
        <v>0</v>
      </c>
      <c r="DP200" s="93">
        <f t="shared" ref="DP200:DP201" si="2089">DP49+DQ200/(1+DP$99)</f>
        <v>0</v>
      </c>
      <c r="DQ200" s="93">
        <f t="shared" ref="DQ200:DQ201" si="2090">DQ49+DR200/(1+DQ$99)</f>
        <v>0</v>
      </c>
      <c r="DR200" s="93">
        <f t="shared" ref="DR200:DR201" si="2091">DR49+DS200/(1+DR$99)</f>
        <v>0</v>
      </c>
      <c r="DS200" s="93">
        <f t="shared" ref="DS200:DS201" si="2092">DS49+DT200/(1+DS$99)</f>
        <v>0</v>
      </c>
      <c r="DT200" s="93">
        <f t="shared" ref="DT200:DT201" si="2093">DT49+DU200/(1+DT$99)</f>
        <v>0</v>
      </c>
      <c r="DU200" s="93">
        <f t="shared" ref="DU200:DU201" si="2094">DU49+DV200/(1+DU$99)</f>
        <v>0</v>
      </c>
      <c r="DV200" s="93">
        <f t="shared" ref="DV200:DV201" si="2095">DV49+DW200/(1+DV$99)</f>
        <v>0</v>
      </c>
      <c r="DW200" s="93">
        <f t="shared" ref="DW200:DW201" si="2096">DW49+DX200/(1+DW$99)</f>
        <v>0</v>
      </c>
      <c r="DX200" s="93">
        <f t="shared" ref="DX200:DX201" si="2097">DX49+DY200/(1+DX$99)</f>
        <v>0</v>
      </c>
      <c r="DY200" s="93">
        <f t="shared" ref="DY200:DY201" si="2098">DY49+DZ200/(1+DY$99)</f>
        <v>0</v>
      </c>
      <c r="DZ200" s="93">
        <f t="shared" ref="DZ200:DZ201" si="2099">DZ49+EA200/(1+DZ$99)</f>
        <v>0</v>
      </c>
      <c r="EA200" s="93">
        <f t="shared" ref="EA200:EA201" si="2100">EA49+EB200/(1+EA$99)</f>
        <v>0</v>
      </c>
      <c r="EB200" s="93">
        <f t="shared" ref="EB200:EB201" si="2101">EB49+EC200/(1+EB$99)</f>
        <v>0</v>
      </c>
      <c r="EC200" s="93">
        <f t="shared" ref="EC200:EC201" si="2102">EC49+ED200/(1+EC$99)</f>
        <v>0</v>
      </c>
      <c r="ED200" s="93">
        <f t="shared" ref="ED200:ED201" si="2103">ED49+EE200/(1+ED$99)</f>
        <v>0</v>
      </c>
      <c r="EE200" s="93">
        <f t="shared" ref="EE200:EE201" si="2104">EE49+EF200/(1+EE$99)</f>
        <v>0</v>
      </c>
      <c r="EF200" s="93">
        <f t="shared" ref="EF200:EF201" si="2105">EF49+EG200/(1+EF$99)</f>
        <v>0</v>
      </c>
      <c r="EG200" s="93">
        <f t="shared" ref="EG200:EG201" si="2106">EG49+EH200/(1+EG$99)</f>
        <v>0</v>
      </c>
      <c r="EH200" s="93">
        <f t="shared" ref="EH200:EH201" si="2107">EH49+EI200/(1+EH$99)</f>
        <v>0</v>
      </c>
      <c r="EI200" s="93">
        <f t="shared" ref="EI200:EI201" si="2108">EI49+EJ200/(1+EI$99)</f>
        <v>0</v>
      </c>
      <c r="EJ200" s="93">
        <f t="shared" ref="EJ200:EJ201" si="2109">EJ49+EK200/(1+EJ$99)</f>
        <v>0</v>
      </c>
      <c r="EK200" s="93">
        <f t="shared" ref="EK200:EK201" si="2110">EK49+EL200/(1+EK$99)</f>
        <v>0</v>
      </c>
      <c r="EL200" s="93">
        <f t="shared" ref="EL200:EL201" si="2111">EL49+EM200/(1+EL$99)</f>
        <v>0</v>
      </c>
      <c r="EM200" s="93">
        <f t="shared" ref="EM200:EM201" si="2112">EM49+EN200/(1+EM$99)</f>
        <v>0</v>
      </c>
      <c r="EN200" s="93">
        <f t="shared" ref="EN200:EN201" si="2113">EN49+EO200/(1+EN$99)</f>
        <v>0</v>
      </c>
      <c r="EO200" s="93">
        <f t="shared" ref="EO200:EO201" si="2114">EO49+EP200/(1+EO$99)</f>
        <v>0</v>
      </c>
      <c r="EP200" s="93">
        <f t="shared" ref="EP200:EP201" si="2115">EP49+EQ200/(1+EP$99)</f>
        <v>0</v>
      </c>
      <c r="EQ200" s="93">
        <f t="shared" ref="EQ200:EQ201" si="2116">EQ49+ER200/(1+EQ$99)</f>
        <v>0</v>
      </c>
      <c r="ER200" s="93">
        <f t="shared" ref="ER200:ER201" si="2117">ER49+ES200/(1+ER$99)</f>
        <v>0</v>
      </c>
      <c r="ES200" s="93">
        <f t="shared" ref="ES200:ES201" si="2118">ES49+ET200/(1+ES$99)</f>
        <v>0</v>
      </c>
      <c r="ET200" s="93">
        <f t="shared" ref="ET200:ET201" si="2119">ET49+EU200/(1+ET$99)</f>
        <v>0</v>
      </c>
      <c r="EU200" s="93">
        <f t="shared" ref="EU200:EU201" si="2120">EU49+EV200/(1+EU$99)</f>
        <v>0</v>
      </c>
      <c r="EV200" s="93">
        <f t="shared" ref="EV200:EV201" si="2121">EV49+EW200/(1+EV$99)</f>
        <v>0</v>
      </c>
      <c r="EW200" s="93">
        <f t="shared" ref="EW200:EW201" si="2122">EW49+EX200/(1+EW$99)</f>
        <v>0</v>
      </c>
      <c r="EX200" s="93">
        <f t="shared" ref="EX200:EX201" si="2123">EX49+EY200/(1+EX$99)</f>
        <v>0</v>
      </c>
      <c r="EY200" s="93">
        <f t="shared" ref="EY200:EY201" si="2124">EY49+EZ200/(1+EY$99)</f>
        <v>0</v>
      </c>
      <c r="EZ200" s="93">
        <f t="shared" ref="EZ200:EZ201" si="2125">EZ49+FA200/(1+EZ$99)</f>
        <v>0</v>
      </c>
      <c r="FA200" s="93">
        <f t="shared" ref="FA200:FA201" si="2126">FA49+FB200/(1+FA$99)</f>
        <v>0</v>
      </c>
      <c r="FB200" s="93">
        <f t="shared" ref="FB200:FB201" si="2127">FB49+FC200/(1+FB$99)</f>
        <v>0</v>
      </c>
      <c r="FC200" s="93">
        <f t="shared" ref="FC200:FC201" si="2128">FC49+FD200/(1+FC$99)</f>
        <v>0</v>
      </c>
      <c r="FD200" s="93">
        <f t="shared" ref="FD200:FD201" si="2129">FD49+FE200/(1+FD$99)</f>
        <v>0</v>
      </c>
      <c r="FE200" s="93">
        <f t="shared" ref="FE200:FE201" si="2130">FE49+FF200/(1+FE$99)</f>
        <v>0</v>
      </c>
      <c r="FF200" s="93">
        <f t="shared" ref="FF200:FF201" si="2131">FF49+FG200/(1+FF$99)</f>
        <v>0</v>
      </c>
      <c r="FG200" s="93">
        <f t="shared" ref="FG200:FG201" si="2132">FG49+FH200/(1+FG$99)</f>
        <v>0</v>
      </c>
      <c r="FH200" s="93">
        <f t="shared" ref="FH200:FH201" si="2133">FH49+FI200/(1+FH$99)</f>
        <v>0</v>
      </c>
      <c r="FI200" s="93">
        <f t="shared" ref="FI200:FI201" si="2134">FI49+FJ200/(1+FI$99)</f>
        <v>0</v>
      </c>
      <c r="FJ200" s="93">
        <f t="shared" ref="FJ200:FJ201" si="2135">FJ49+FK200/(1+FJ$99)</f>
        <v>0</v>
      </c>
      <c r="FK200" s="93">
        <f t="shared" ref="FK200:FK201" si="2136">FK49+FL200/(1+FK$99)</f>
        <v>0</v>
      </c>
      <c r="FL200" s="93">
        <f t="shared" ref="FL200:FL201" si="2137">FL49+FM200/(1+FL$99)</f>
        <v>0</v>
      </c>
      <c r="FM200" s="93">
        <f t="shared" ref="FM200:FM201" si="2138">FM49+FN200/(1+FM$99)</f>
        <v>0</v>
      </c>
      <c r="FN200" s="93">
        <f t="shared" ref="FN200:FN201" si="2139">FN49+FO200/(1+FN$99)</f>
        <v>0</v>
      </c>
      <c r="FO200" s="93">
        <f t="shared" ref="FO200:FO201" si="2140">FO49+FP200/(1+FO$99)</f>
        <v>0</v>
      </c>
      <c r="FP200" s="93">
        <f t="shared" ref="FP200:FP201" si="2141">FP49+FQ200/(1+FP$99)</f>
        <v>0</v>
      </c>
      <c r="FQ200" s="93">
        <f t="shared" ref="FQ200:FQ201" si="2142">FQ49+FR200/(1+FQ$99)</f>
        <v>0</v>
      </c>
      <c r="FR200" s="93">
        <f t="shared" ref="FR200:FR201" si="2143">FR49+FS200/(1+FR$99)</f>
        <v>0</v>
      </c>
      <c r="FS200" s="93">
        <f t="shared" ref="FS200:FS201" si="2144">FS49+FT200/(1+FS$99)</f>
        <v>0</v>
      </c>
      <c r="FT200" s="93">
        <f t="shared" ref="FT200:FT201" si="2145">FT49+FU200/(1+FT$99)</f>
        <v>0</v>
      </c>
      <c r="FU200" s="93">
        <f t="shared" ref="FU200:FU201" si="2146">FU49+FV200/(1+FU$99)</f>
        <v>0</v>
      </c>
      <c r="FV200" s="93">
        <f t="shared" ref="FV200:FV201" si="2147">FV49+FW200/(1+FV$99)</f>
        <v>0</v>
      </c>
      <c r="FW200" s="93">
        <f t="shared" ref="FW200:FW201" si="2148">FW49+FX200/(1+FW$99)</f>
        <v>0</v>
      </c>
      <c r="FX200" s="93">
        <f t="shared" ref="FX200:FX201" si="2149">FX49+FY200/(1+FX$99)</f>
        <v>0</v>
      </c>
      <c r="FY200" s="93">
        <f t="shared" ref="FY200:FY201" si="2150">FY49+FZ200/(1+FY$99)</f>
        <v>0</v>
      </c>
      <c r="FZ200" s="59"/>
    </row>
    <row r="201" spans="1:182" x14ac:dyDescent="0.2">
      <c r="A201" s="92" t="s">
        <v>196</v>
      </c>
      <c r="B201" s="93">
        <f t="shared" ref="B201" si="2151">B50+C201/(1+B$99)</f>
        <v>-17000</v>
      </c>
      <c r="C201" s="93">
        <f t="shared" si="1972"/>
        <v>0</v>
      </c>
      <c r="D201" s="93">
        <f t="shared" si="1973"/>
        <v>0</v>
      </c>
      <c r="E201" s="93">
        <f t="shared" si="1974"/>
        <v>0</v>
      </c>
      <c r="F201" s="93">
        <f t="shared" si="1975"/>
        <v>0</v>
      </c>
      <c r="G201" s="93">
        <f t="shared" si="1976"/>
        <v>0</v>
      </c>
      <c r="H201" s="93">
        <f t="shared" si="1977"/>
        <v>0</v>
      </c>
      <c r="I201" s="93">
        <f t="shared" si="1978"/>
        <v>0</v>
      </c>
      <c r="J201" s="93">
        <f t="shared" si="1979"/>
        <v>0</v>
      </c>
      <c r="K201" s="93">
        <f t="shared" si="1980"/>
        <v>0</v>
      </c>
      <c r="L201" s="93">
        <f t="shared" si="1981"/>
        <v>0</v>
      </c>
      <c r="M201" s="93">
        <f t="shared" si="1982"/>
        <v>0</v>
      </c>
      <c r="N201" s="93">
        <f t="shared" si="1983"/>
        <v>0</v>
      </c>
      <c r="O201" s="93">
        <f t="shared" si="1984"/>
        <v>0</v>
      </c>
      <c r="P201" s="93">
        <f t="shared" si="1985"/>
        <v>0</v>
      </c>
      <c r="Q201" s="93">
        <f t="shared" si="1986"/>
        <v>0</v>
      </c>
      <c r="R201" s="93">
        <f t="shared" si="1987"/>
        <v>0</v>
      </c>
      <c r="S201" s="93">
        <f t="shared" si="1988"/>
        <v>0</v>
      </c>
      <c r="T201" s="93">
        <f t="shared" si="1989"/>
        <v>0</v>
      </c>
      <c r="U201" s="93">
        <f t="shared" si="1990"/>
        <v>0</v>
      </c>
      <c r="V201" s="93">
        <f t="shared" si="1991"/>
        <v>0</v>
      </c>
      <c r="W201" s="93">
        <f t="shared" si="1992"/>
        <v>0</v>
      </c>
      <c r="X201" s="93">
        <f t="shared" si="1993"/>
        <v>0</v>
      </c>
      <c r="Y201" s="93">
        <f t="shared" si="1994"/>
        <v>0</v>
      </c>
      <c r="Z201" s="93">
        <f t="shared" si="1995"/>
        <v>0</v>
      </c>
      <c r="AA201" s="93">
        <f t="shared" si="1996"/>
        <v>0</v>
      </c>
      <c r="AB201" s="93">
        <f t="shared" si="1997"/>
        <v>0</v>
      </c>
      <c r="AC201" s="93">
        <f t="shared" si="1998"/>
        <v>0</v>
      </c>
      <c r="AD201" s="93">
        <f t="shared" si="1999"/>
        <v>0</v>
      </c>
      <c r="AE201" s="93">
        <f t="shared" si="2000"/>
        <v>0</v>
      </c>
      <c r="AF201" s="93">
        <f t="shared" si="2001"/>
        <v>0</v>
      </c>
      <c r="AG201" s="93">
        <f t="shared" si="2002"/>
        <v>0</v>
      </c>
      <c r="AH201" s="93">
        <f t="shared" si="2003"/>
        <v>0</v>
      </c>
      <c r="AI201" s="93">
        <f t="shared" si="2004"/>
        <v>0</v>
      </c>
      <c r="AJ201" s="93">
        <f t="shared" si="2005"/>
        <v>0</v>
      </c>
      <c r="AK201" s="93">
        <f t="shared" si="2006"/>
        <v>0</v>
      </c>
      <c r="AL201" s="93">
        <f t="shared" si="2007"/>
        <v>0</v>
      </c>
      <c r="AM201" s="93">
        <f t="shared" si="2008"/>
        <v>0</v>
      </c>
      <c r="AN201" s="93">
        <f t="shared" si="2009"/>
        <v>0</v>
      </c>
      <c r="AO201" s="93">
        <f t="shared" si="2010"/>
        <v>0</v>
      </c>
      <c r="AP201" s="93">
        <f t="shared" si="2011"/>
        <v>0</v>
      </c>
      <c r="AQ201" s="93">
        <f t="shared" si="2012"/>
        <v>0</v>
      </c>
      <c r="AR201" s="93">
        <f t="shared" si="2013"/>
        <v>0</v>
      </c>
      <c r="AS201" s="93">
        <f t="shared" si="2014"/>
        <v>0</v>
      </c>
      <c r="AT201" s="93">
        <f t="shared" si="2015"/>
        <v>0</v>
      </c>
      <c r="AU201" s="93">
        <f t="shared" si="2016"/>
        <v>0</v>
      </c>
      <c r="AV201" s="93">
        <f t="shared" si="2017"/>
        <v>0</v>
      </c>
      <c r="AW201" s="93">
        <f t="shared" si="2018"/>
        <v>0</v>
      </c>
      <c r="AX201" s="93">
        <f t="shared" si="2019"/>
        <v>0</v>
      </c>
      <c r="AY201" s="93">
        <f t="shared" si="2020"/>
        <v>0</v>
      </c>
      <c r="AZ201" s="93">
        <f t="shared" si="2021"/>
        <v>0</v>
      </c>
      <c r="BA201" s="93">
        <f t="shared" si="2022"/>
        <v>0</v>
      </c>
      <c r="BB201" s="93">
        <f t="shared" si="2023"/>
        <v>0</v>
      </c>
      <c r="BC201" s="93">
        <f t="shared" si="2024"/>
        <v>0</v>
      </c>
      <c r="BD201" s="93">
        <f t="shared" si="2025"/>
        <v>0</v>
      </c>
      <c r="BE201" s="93">
        <f t="shared" si="2026"/>
        <v>0</v>
      </c>
      <c r="BF201" s="93">
        <f t="shared" si="2027"/>
        <v>0</v>
      </c>
      <c r="BG201" s="93">
        <f t="shared" si="2028"/>
        <v>0</v>
      </c>
      <c r="BH201" s="93">
        <f t="shared" si="2029"/>
        <v>0</v>
      </c>
      <c r="BI201" s="93">
        <f t="shared" si="2030"/>
        <v>0</v>
      </c>
      <c r="BJ201" s="93">
        <f t="shared" si="2031"/>
        <v>0</v>
      </c>
      <c r="BK201" s="93">
        <f t="shared" si="2032"/>
        <v>0</v>
      </c>
      <c r="BL201" s="93">
        <f t="shared" si="2033"/>
        <v>0</v>
      </c>
      <c r="BM201" s="93">
        <f t="shared" si="2034"/>
        <v>0</v>
      </c>
      <c r="BN201" s="93">
        <f t="shared" si="2035"/>
        <v>0</v>
      </c>
      <c r="BO201" s="93">
        <f t="shared" si="2036"/>
        <v>0</v>
      </c>
      <c r="BP201" s="93">
        <f t="shared" si="2037"/>
        <v>0</v>
      </c>
      <c r="BQ201" s="93">
        <f t="shared" si="2038"/>
        <v>0</v>
      </c>
      <c r="BR201" s="93">
        <f t="shared" si="2039"/>
        <v>0</v>
      </c>
      <c r="BS201" s="93">
        <f t="shared" si="2040"/>
        <v>0</v>
      </c>
      <c r="BT201" s="93">
        <f t="shared" si="2041"/>
        <v>0</v>
      </c>
      <c r="BU201" s="93">
        <f t="shared" si="2042"/>
        <v>0</v>
      </c>
      <c r="BV201" s="93">
        <f t="shared" si="2043"/>
        <v>0</v>
      </c>
      <c r="BW201" s="93">
        <f t="shared" si="2044"/>
        <v>0</v>
      </c>
      <c r="BX201" s="93">
        <f t="shared" si="2045"/>
        <v>0</v>
      </c>
      <c r="BY201" s="93">
        <f t="shared" si="2046"/>
        <v>0</v>
      </c>
      <c r="BZ201" s="93">
        <f t="shared" si="2047"/>
        <v>0</v>
      </c>
      <c r="CA201" s="93">
        <f t="shared" si="2048"/>
        <v>0</v>
      </c>
      <c r="CB201" s="93">
        <f t="shared" si="2049"/>
        <v>0</v>
      </c>
      <c r="CC201" s="93">
        <f t="shared" si="2050"/>
        <v>0</v>
      </c>
      <c r="CD201" s="93">
        <f t="shared" si="2051"/>
        <v>0</v>
      </c>
      <c r="CE201" s="93">
        <f t="shared" si="2052"/>
        <v>0</v>
      </c>
      <c r="CF201" s="93">
        <f t="shared" si="2053"/>
        <v>0</v>
      </c>
      <c r="CG201" s="93">
        <f t="shared" si="2054"/>
        <v>0</v>
      </c>
      <c r="CH201" s="93">
        <f t="shared" si="2055"/>
        <v>0</v>
      </c>
      <c r="CI201" s="93">
        <f t="shared" si="2056"/>
        <v>0</v>
      </c>
      <c r="CJ201" s="93">
        <f t="shared" si="2057"/>
        <v>0</v>
      </c>
      <c r="CK201" s="93">
        <f t="shared" si="2058"/>
        <v>0</v>
      </c>
      <c r="CL201" s="93">
        <f t="shared" si="2059"/>
        <v>0</v>
      </c>
      <c r="CM201" s="93">
        <f t="shared" si="2060"/>
        <v>0</v>
      </c>
      <c r="CN201" s="93">
        <f t="shared" si="2061"/>
        <v>0</v>
      </c>
      <c r="CO201" s="93">
        <f t="shared" si="2062"/>
        <v>0</v>
      </c>
      <c r="CP201" s="93">
        <f t="shared" si="2063"/>
        <v>0</v>
      </c>
      <c r="CQ201" s="93">
        <f t="shared" si="2064"/>
        <v>0</v>
      </c>
      <c r="CR201" s="93">
        <f t="shared" si="2065"/>
        <v>0</v>
      </c>
      <c r="CS201" s="93">
        <f t="shared" si="2066"/>
        <v>0</v>
      </c>
      <c r="CT201" s="93">
        <f t="shared" si="2067"/>
        <v>0</v>
      </c>
      <c r="CU201" s="93">
        <f t="shared" si="2068"/>
        <v>0</v>
      </c>
      <c r="CV201" s="93">
        <f t="shared" si="2069"/>
        <v>0</v>
      </c>
      <c r="CW201" s="93">
        <f t="shared" si="2070"/>
        <v>0</v>
      </c>
      <c r="CX201" s="93">
        <f t="shared" si="2071"/>
        <v>0</v>
      </c>
      <c r="CY201" s="93">
        <f t="shared" si="2072"/>
        <v>0</v>
      </c>
      <c r="CZ201" s="93">
        <f t="shared" si="2073"/>
        <v>0</v>
      </c>
      <c r="DA201" s="93">
        <f t="shared" si="2074"/>
        <v>0</v>
      </c>
      <c r="DB201" s="93">
        <f t="shared" si="2075"/>
        <v>0</v>
      </c>
      <c r="DC201" s="93">
        <f t="shared" si="2076"/>
        <v>0</v>
      </c>
      <c r="DD201" s="93">
        <f t="shared" si="2077"/>
        <v>0</v>
      </c>
      <c r="DE201" s="93">
        <f t="shared" si="2078"/>
        <v>0</v>
      </c>
      <c r="DF201" s="93">
        <f t="shared" si="2079"/>
        <v>0</v>
      </c>
      <c r="DG201" s="93">
        <f t="shared" si="2080"/>
        <v>0</v>
      </c>
      <c r="DH201" s="93">
        <f t="shared" si="2081"/>
        <v>0</v>
      </c>
      <c r="DI201" s="93">
        <f t="shared" si="2082"/>
        <v>0</v>
      </c>
      <c r="DJ201" s="93">
        <f t="shared" si="2083"/>
        <v>0</v>
      </c>
      <c r="DK201" s="93">
        <f t="shared" si="2084"/>
        <v>0</v>
      </c>
      <c r="DL201" s="93">
        <f t="shared" si="2085"/>
        <v>0</v>
      </c>
      <c r="DM201" s="93">
        <f t="shared" si="2086"/>
        <v>0</v>
      </c>
      <c r="DN201" s="93">
        <f t="shared" si="2087"/>
        <v>0</v>
      </c>
      <c r="DO201" s="93">
        <f t="shared" si="2088"/>
        <v>0</v>
      </c>
      <c r="DP201" s="93">
        <f t="shared" si="2089"/>
        <v>0</v>
      </c>
      <c r="DQ201" s="93">
        <f t="shared" si="2090"/>
        <v>0</v>
      </c>
      <c r="DR201" s="93">
        <f t="shared" si="2091"/>
        <v>0</v>
      </c>
      <c r="DS201" s="93">
        <f t="shared" si="2092"/>
        <v>0</v>
      </c>
      <c r="DT201" s="93">
        <f t="shared" si="2093"/>
        <v>0</v>
      </c>
      <c r="DU201" s="93">
        <f t="shared" si="2094"/>
        <v>0</v>
      </c>
      <c r="DV201" s="93">
        <f t="shared" si="2095"/>
        <v>0</v>
      </c>
      <c r="DW201" s="93">
        <f t="shared" si="2096"/>
        <v>0</v>
      </c>
      <c r="DX201" s="93">
        <f t="shared" si="2097"/>
        <v>0</v>
      </c>
      <c r="DY201" s="93">
        <f t="shared" si="2098"/>
        <v>0</v>
      </c>
      <c r="DZ201" s="93">
        <f t="shared" si="2099"/>
        <v>0</v>
      </c>
      <c r="EA201" s="93">
        <f t="shared" si="2100"/>
        <v>0</v>
      </c>
      <c r="EB201" s="93">
        <f t="shared" si="2101"/>
        <v>0</v>
      </c>
      <c r="EC201" s="93">
        <f t="shared" si="2102"/>
        <v>0</v>
      </c>
      <c r="ED201" s="93">
        <f t="shared" si="2103"/>
        <v>0</v>
      </c>
      <c r="EE201" s="93">
        <f t="shared" si="2104"/>
        <v>0</v>
      </c>
      <c r="EF201" s="93">
        <f t="shared" si="2105"/>
        <v>0</v>
      </c>
      <c r="EG201" s="93">
        <f t="shared" si="2106"/>
        <v>0</v>
      </c>
      <c r="EH201" s="93">
        <f t="shared" si="2107"/>
        <v>0</v>
      </c>
      <c r="EI201" s="93">
        <f t="shared" si="2108"/>
        <v>0</v>
      </c>
      <c r="EJ201" s="93">
        <f t="shared" si="2109"/>
        <v>0</v>
      </c>
      <c r="EK201" s="93">
        <f t="shared" si="2110"/>
        <v>0</v>
      </c>
      <c r="EL201" s="93">
        <f t="shared" si="2111"/>
        <v>0</v>
      </c>
      <c r="EM201" s="93">
        <f t="shared" si="2112"/>
        <v>0</v>
      </c>
      <c r="EN201" s="93">
        <f t="shared" si="2113"/>
        <v>0</v>
      </c>
      <c r="EO201" s="93">
        <f t="shared" si="2114"/>
        <v>0</v>
      </c>
      <c r="EP201" s="93">
        <f t="shared" si="2115"/>
        <v>0</v>
      </c>
      <c r="EQ201" s="93">
        <f t="shared" si="2116"/>
        <v>0</v>
      </c>
      <c r="ER201" s="93">
        <f t="shared" si="2117"/>
        <v>0</v>
      </c>
      <c r="ES201" s="93">
        <f t="shared" si="2118"/>
        <v>0</v>
      </c>
      <c r="ET201" s="93">
        <f t="shared" si="2119"/>
        <v>0</v>
      </c>
      <c r="EU201" s="93">
        <f t="shared" si="2120"/>
        <v>0</v>
      </c>
      <c r="EV201" s="93">
        <f t="shared" si="2121"/>
        <v>0</v>
      </c>
      <c r="EW201" s="93">
        <f t="shared" si="2122"/>
        <v>0</v>
      </c>
      <c r="EX201" s="93">
        <f t="shared" si="2123"/>
        <v>0</v>
      </c>
      <c r="EY201" s="93">
        <f t="shared" si="2124"/>
        <v>0</v>
      </c>
      <c r="EZ201" s="93">
        <f t="shared" si="2125"/>
        <v>0</v>
      </c>
      <c r="FA201" s="93">
        <f t="shared" si="2126"/>
        <v>0</v>
      </c>
      <c r="FB201" s="93">
        <f t="shared" si="2127"/>
        <v>0</v>
      </c>
      <c r="FC201" s="93">
        <f t="shared" si="2128"/>
        <v>0</v>
      </c>
      <c r="FD201" s="93">
        <f t="shared" si="2129"/>
        <v>0</v>
      </c>
      <c r="FE201" s="93">
        <f t="shared" si="2130"/>
        <v>0</v>
      </c>
      <c r="FF201" s="93">
        <f t="shared" si="2131"/>
        <v>0</v>
      </c>
      <c r="FG201" s="93">
        <f t="shared" si="2132"/>
        <v>0</v>
      </c>
      <c r="FH201" s="93">
        <f t="shared" si="2133"/>
        <v>0</v>
      </c>
      <c r="FI201" s="93">
        <f t="shared" si="2134"/>
        <v>0</v>
      </c>
      <c r="FJ201" s="93">
        <f t="shared" si="2135"/>
        <v>0</v>
      </c>
      <c r="FK201" s="93">
        <f t="shared" si="2136"/>
        <v>0</v>
      </c>
      <c r="FL201" s="93">
        <f t="shared" si="2137"/>
        <v>0</v>
      </c>
      <c r="FM201" s="93">
        <f t="shared" si="2138"/>
        <v>0</v>
      </c>
      <c r="FN201" s="93">
        <f t="shared" si="2139"/>
        <v>0</v>
      </c>
      <c r="FO201" s="93">
        <f t="shared" si="2140"/>
        <v>0</v>
      </c>
      <c r="FP201" s="93">
        <f t="shared" si="2141"/>
        <v>0</v>
      </c>
      <c r="FQ201" s="93">
        <f t="shared" si="2142"/>
        <v>0</v>
      </c>
      <c r="FR201" s="93">
        <f t="shared" si="2143"/>
        <v>0</v>
      </c>
      <c r="FS201" s="93">
        <f t="shared" si="2144"/>
        <v>0</v>
      </c>
      <c r="FT201" s="93">
        <f t="shared" si="2145"/>
        <v>0</v>
      </c>
      <c r="FU201" s="93">
        <f t="shared" si="2146"/>
        <v>0</v>
      </c>
      <c r="FV201" s="93">
        <f t="shared" si="2147"/>
        <v>0</v>
      </c>
      <c r="FW201" s="93">
        <f t="shared" si="2148"/>
        <v>0</v>
      </c>
      <c r="FX201" s="93">
        <f t="shared" si="2149"/>
        <v>0</v>
      </c>
      <c r="FY201" s="93">
        <f t="shared" si="2150"/>
        <v>0</v>
      </c>
      <c r="FZ201" s="59"/>
    </row>
    <row r="202" spans="1:182" x14ac:dyDescent="0.2">
      <c r="A202" s="66" t="s">
        <v>197</v>
      </c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67"/>
      <c r="BT202" s="67"/>
      <c r="BU202" s="67"/>
      <c r="BV202" s="67"/>
      <c r="BW202" s="67"/>
      <c r="BX202" s="67"/>
      <c r="BY202" s="67"/>
      <c r="BZ202" s="67"/>
      <c r="CA202" s="67"/>
      <c r="CB202" s="67"/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7"/>
      <c r="DW202" s="67"/>
      <c r="DX202" s="67"/>
      <c r="DY202" s="67"/>
      <c r="DZ202" s="67"/>
      <c r="EA202" s="67"/>
      <c r="EB202" s="67"/>
      <c r="EC202" s="67"/>
      <c r="ED202" s="67"/>
      <c r="EE202" s="67"/>
      <c r="EF202" s="67"/>
      <c r="EG202" s="67"/>
      <c r="EH202" s="67"/>
      <c r="EI202" s="67"/>
      <c r="EJ202" s="67"/>
      <c r="EK202" s="67"/>
      <c r="EL202" s="67"/>
      <c r="EM202" s="67"/>
      <c r="EN202" s="67"/>
      <c r="EO202" s="67"/>
      <c r="EP202" s="67"/>
      <c r="EQ202" s="67"/>
      <c r="ER202" s="67"/>
      <c r="ES202" s="67"/>
      <c r="ET202" s="67"/>
      <c r="EU202" s="67"/>
      <c r="EV202" s="67"/>
      <c r="EW202" s="67"/>
      <c r="EX202" s="67"/>
      <c r="EY202" s="67"/>
      <c r="EZ202" s="67"/>
      <c r="FA202" s="67"/>
      <c r="FB202" s="67"/>
      <c r="FC202" s="67"/>
      <c r="FD202" s="67"/>
      <c r="FE202" s="67"/>
      <c r="FF202" s="67"/>
      <c r="FG202" s="67"/>
      <c r="FH202" s="67"/>
      <c r="FI202" s="67"/>
      <c r="FJ202" s="67"/>
      <c r="FK202" s="67"/>
      <c r="FL202" s="67"/>
      <c r="FM202" s="67"/>
      <c r="FN202" s="67"/>
      <c r="FO202" s="67"/>
      <c r="FP202" s="67"/>
      <c r="FQ202" s="67"/>
      <c r="FR202" s="67"/>
      <c r="FS202" s="67"/>
      <c r="FT202" s="67"/>
      <c r="FU202" s="67"/>
      <c r="FV202" s="67"/>
      <c r="FW202" s="67"/>
      <c r="FX202" s="67"/>
      <c r="FY202" s="67"/>
      <c r="FZ202" s="59"/>
    </row>
    <row r="203" spans="1:182" x14ac:dyDescent="0.2">
      <c r="A203" s="66" t="s">
        <v>198</v>
      </c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  <c r="AK203" s="67"/>
      <c r="AL203" s="67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  <c r="BI203" s="67"/>
      <c r="BJ203" s="67"/>
      <c r="BK203" s="67"/>
      <c r="BL203" s="67"/>
      <c r="BM203" s="67"/>
      <c r="BN203" s="67"/>
      <c r="BO203" s="67"/>
      <c r="BP203" s="67"/>
      <c r="BQ203" s="67"/>
      <c r="BR203" s="67"/>
      <c r="BS203" s="67"/>
      <c r="BT203" s="67"/>
      <c r="BU203" s="67"/>
      <c r="BV203" s="67"/>
      <c r="BW203" s="67"/>
      <c r="BX203" s="67"/>
      <c r="BY203" s="67"/>
      <c r="BZ203" s="67"/>
      <c r="CA203" s="67"/>
      <c r="CB203" s="67"/>
      <c r="CC203" s="67"/>
      <c r="CD203" s="67"/>
      <c r="CE203" s="67"/>
      <c r="CF203" s="67"/>
      <c r="CG203" s="67"/>
      <c r="CH203" s="67"/>
      <c r="CI203" s="67"/>
      <c r="CJ203" s="67"/>
      <c r="CK203" s="67"/>
      <c r="CL203" s="67"/>
      <c r="CM203" s="67"/>
      <c r="CN203" s="67"/>
      <c r="CO203" s="67"/>
      <c r="CP203" s="67"/>
      <c r="CQ203" s="67"/>
      <c r="CR203" s="67"/>
      <c r="CS203" s="67"/>
      <c r="CT203" s="67"/>
      <c r="CU203" s="67"/>
      <c r="CV203" s="67"/>
      <c r="CW203" s="67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/>
      <c r="DS203" s="67"/>
      <c r="DT203" s="67"/>
      <c r="DU203" s="67"/>
      <c r="DV203" s="67"/>
      <c r="DW203" s="67"/>
      <c r="DX203" s="67"/>
      <c r="DY203" s="67"/>
      <c r="DZ203" s="67"/>
      <c r="EA203" s="67"/>
      <c r="EB203" s="67"/>
      <c r="EC203" s="67"/>
      <c r="ED203" s="67"/>
      <c r="EE203" s="67"/>
      <c r="EF203" s="67"/>
      <c r="EG203" s="67"/>
      <c r="EH203" s="67"/>
      <c r="EI203" s="67"/>
      <c r="EJ203" s="67"/>
      <c r="EK203" s="67"/>
      <c r="EL203" s="67"/>
      <c r="EM203" s="67"/>
      <c r="EN203" s="67"/>
      <c r="EO203" s="67"/>
      <c r="EP203" s="67"/>
      <c r="EQ203" s="67"/>
      <c r="ER203" s="67"/>
      <c r="ES203" s="67"/>
      <c r="ET203" s="67"/>
      <c r="EU203" s="67"/>
      <c r="EV203" s="67"/>
      <c r="EW203" s="67"/>
      <c r="EX203" s="67"/>
      <c r="EY203" s="67"/>
      <c r="EZ203" s="67"/>
      <c r="FA203" s="67"/>
      <c r="FB203" s="67"/>
      <c r="FC203" s="67"/>
      <c r="FD203" s="67"/>
      <c r="FE203" s="67"/>
      <c r="FF203" s="67"/>
      <c r="FG203" s="67"/>
      <c r="FH203" s="67"/>
      <c r="FI203" s="67"/>
      <c r="FJ203" s="67"/>
      <c r="FK203" s="67"/>
      <c r="FL203" s="67"/>
      <c r="FM203" s="67"/>
      <c r="FN203" s="67"/>
      <c r="FO203" s="67"/>
      <c r="FP203" s="67"/>
      <c r="FQ203" s="67"/>
      <c r="FR203" s="67"/>
      <c r="FS203" s="67"/>
      <c r="FT203" s="67"/>
      <c r="FU203" s="67"/>
      <c r="FV203" s="67"/>
      <c r="FW203" s="67"/>
      <c r="FX203" s="67"/>
      <c r="FY203" s="67"/>
      <c r="FZ203" s="59"/>
    </row>
    <row r="204" spans="1:182" x14ac:dyDescent="0.2">
      <c r="A204" s="66" t="s">
        <v>199</v>
      </c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  <c r="AK204" s="67"/>
      <c r="AL204" s="67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  <c r="BI204" s="67"/>
      <c r="BJ204" s="67"/>
      <c r="BK204" s="67"/>
      <c r="BL204" s="67"/>
      <c r="BM204" s="67"/>
      <c r="BN204" s="67"/>
      <c r="BO204" s="67"/>
      <c r="BP204" s="67"/>
      <c r="BQ204" s="67"/>
      <c r="BR204" s="67"/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7"/>
      <c r="DW204" s="67"/>
      <c r="DX204" s="67"/>
      <c r="DY204" s="67"/>
      <c r="DZ204" s="67"/>
      <c r="EA204" s="67"/>
      <c r="EB204" s="67"/>
      <c r="EC204" s="67"/>
      <c r="ED204" s="67"/>
      <c r="EE204" s="67"/>
      <c r="EF204" s="67"/>
      <c r="EG204" s="67"/>
      <c r="EH204" s="67"/>
      <c r="EI204" s="67"/>
      <c r="EJ204" s="67"/>
      <c r="EK204" s="67"/>
      <c r="EL204" s="67"/>
      <c r="EM204" s="67"/>
      <c r="EN204" s="67"/>
      <c r="EO204" s="67"/>
      <c r="EP204" s="67"/>
      <c r="EQ204" s="67"/>
      <c r="ER204" s="67"/>
      <c r="ES204" s="67"/>
      <c r="ET204" s="67"/>
      <c r="EU204" s="67"/>
      <c r="EV204" s="67"/>
      <c r="EW204" s="67"/>
      <c r="EX204" s="67"/>
      <c r="EY204" s="67"/>
      <c r="EZ204" s="67"/>
      <c r="FA204" s="67"/>
      <c r="FB204" s="67"/>
      <c r="FC204" s="67"/>
      <c r="FD204" s="67"/>
      <c r="FE204" s="67"/>
      <c r="FF204" s="67"/>
      <c r="FG204" s="67"/>
      <c r="FH204" s="67"/>
      <c r="FI204" s="67"/>
      <c r="FJ204" s="67"/>
      <c r="FK204" s="67"/>
      <c r="FL204" s="67"/>
      <c r="FM204" s="67"/>
      <c r="FN204" s="67"/>
      <c r="FO204" s="67"/>
      <c r="FP204" s="67"/>
      <c r="FQ204" s="67"/>
      <c r="FR204" s="67"/>
      <c r="FS204" s="67"/>
      <c r="FT204" s="67"/>
      <c r="FU204" s="67"/>
      <c r="FV204" s="67"/>
      <c r="FW204" s="67"/>
      <c r="FX204" s="67"/>
      <c r="FY204" s="67"/>
      <c r="FZ204" s="59"/>
    </row>
    <row r="205" spans="1:182" x14ac:dyDescent="0.2">
      <c r="A205" s="92" t="s">
        <v>291</v>
      </c>
      <c r="B205" s="93">
        <f>(B54+C205)/(1+B$99)</f>
        <v>-2938.9285929326288</v>
      </c>
      <c r="C205" s="93">
        <f t="shared" ref="C205" si="2152">(C54+D205)/(1+C$99)</f>
        <v>-2837.1995685950474</v>
      </c>
      <c r="D205" s="93">
        <f t="shared" ref="D205" si="2153">(D54+E205)/(1+D$99)</f>
        <v>-2738.3886306808977</v>
      </c>
      <c r="E205" s="93">
        <f t="shared" ref="E205" si="2154">(E54+F205)/(1+E$99)</f>
        <v>-2642.5032148726636</v>
      </c>
      <c r="F205" s="93">
        <f t="shared" ref="F205" si="2155">(F54+G205)/(1+F$99)</f>
        <v>-2549.550795686981</v>
      </c>
      <c r="G205" s="93">
        <f t="shared" ref="G205" si="2156">(G54+H205)/(1+G$99)</f>
        <v>-2459.5388866375183</v>
      </c>
      <c r="H205" s="93">
        <f t="shared" ref="H205" si="2157">(H54+I205)/(1+H$99)</f>
        <v>-2372.4750403985749</v>
      </c>
      <c r="I205" s="93">
        <f t="shared" ref="I205" si="2158">(I54+J205)/(1+I$99)</f>
        <v>-2288.3668489694028</v>
      </c>
      <c r="J205" s="93">
        <f t="shared" ref="J205" si="2159">(J54+K205)/(1+J$99)</f>
        <v>-2207.2219438392508</v>
      </c>
      <c r="K205" s="93">
        <f t="shared" ref="K205" si="2160">(K54+L205)/(1+K$99)</f>
        <v>-2129.0479961531387</v>
      </c>
      <c r="L205" s="93">
        <f t="shared" ref="L205" si="2161">(L54+M205)/(1+L$99)</f>
        <v>-2053.8527168783603</v>
      </c>
      <c r="M205" s="93">
        <f t="shared" ref="M205" si="2162">(M54+N205)/(1+M$99)</f>
        <v>-1981.6438569717207</v>
      </c>
      <c r="N205" s="93">
        <f t="shared" ref="N205" si="2163">(N54+O205)/(1+N$99)</f>
        <v>-1912.4292075475128</v>
      </c>
      <c r="O205" s="93">
        <f t="shared" ref="O205" si="2164">(O54+P205)/(1+O$99)</f>
        <v>-1770.9558943080986</v>
      </c>
      <c r="P205" s="93">
        <f t="shared" ref="P205" si="2165">(P54+Q205)/(1+P$99)</f>
        <v>-1635.5965033265556</v>
      </c>
      <c r="Q205" s="93">
        <f t="shared" ref="Q205" si="2166">(Q54+R205)/(1+Q$99)</f>
        <v>-1506.3576368848567</v>
      </c>
      <c r="R205" s="93">
        <f t="shared" ref="R205" si="2167">(R54+S205)/(1+R$99)</f>
        <v>-1383.245971657733</v>
      </c>
      <c r="S205" s="93">
        <f t="shared" ref="S205" si="2168">(S54+T205)/(1+S$99)</f>
        <v>-1266.2682589456674</v>
      </c>
      <c r="T205" s="93">
        <f t="shared" ref="T205" si="2169">(T54+U205)/(1+T$99)</f>
        <v>-1155.4313249090806</v>
      </c>
      <c r="U205" s="93">
        <f t="shared" ref="U205" si="2170">(U54+V205)/(1+U$99)</f>
        <v>-1050.7420708037121</v>
      </c>
      <c r="V205" s="93">
        <f t="shared" ref="V205" si="2171">(V54+W205)/(1+V$99)</f>
        <v>-952.20747321720557</v>
      </c>
      <c r="W205" s="93">
        <f t="shared" ref="W205" si="2172">(W54+X205)/(1+W$99)</f>
        <v>-859.83458430690007</v>
      </c>
      <c r="X205" s="93">
        <f t="shared" ref="X205" si="2173">(X54+Y205)/(1+X$99)</f>
        <v>-773.63053203883271</v>
      </c>
      <c r="Y205" s="93">
        <f t="shared" ref="Y205" si="2174">(Y54+Z205)/(1+Y$99)</f>
        <v>-693.60252042795901</v>
      </c>
      <c r="Z205" s="93">
        <f t="shared" ref="Z205" si="2175">(Z54+AA205)/(1+Z$99)</f>
        <v>-619.75782977959489</v>
      </c>
      <c r="AA205" s="93">
        <f t="shared" ref="AA205" si="2176">(AA54+AB205)/(1+AA$99)</f>
        <v>-516.42807501738025</v>
      </c>
      <c r="AB205" s="93">
        <f t="shared" ref="AB205" si="2177">(AB54+AC205)/(1+AB$99)</f>
        <v>-422.50298284177779</v>
      </c>
      <c r="AC205" s="93">
        <f t="shared" ref="AC205" si="2178">(AC54+AD205)/(1+AC$99)</f>
        <v>-337.9799374131382</v>
      </c>
      <c r="AD205" s="93">
        <f t="shared" ref="AD205" si="2179">(AD54+AE205)/(1+AD$99)</f>
        <v>-262.85645795997607</v>
      </c>
      <c r="AE205" s="93">
        <f t="shared" ref="AE205" si="2180">(AE54+AF205)/(1+AE$99)</f>
        <v>-197.13019893159614</v>
      </c>
      <c r="AF205" s="93">
        <f t="shared" ref="AF205" si="2181">(AF54+AG205)/(1+AF$99)</f>
        <v>-140.7989501526115</v>
      </c>
      <c r="AG205" s="93">
        <f t="shared" ref="AG205" si="2182">(AG54+AH205)/(1+AG$99)</f>
        <v>-93.860636979359398</v>
      </c>
      <c r="AH205" s="93">
        <f t="shared" ref="AH205" si="2183">(AH54+AI205)/(1+AH$99)</f>
        <v>-56.31332045821884</v>
      </c>
      <c r="AI205" s="93">
        <f t="shared" ref="AI205" si="2184">(AI54+AJ205)/(1+AI$99)</f>
        <v>-28.155197485835728</v>
      </c>
      <c r="AJ205" s="93">
        <f t="shared" ref="AJ205" si="2185">(AJ54+AK205)/(1+AJ$99)</f>
        <v>-9.3846009712599514</v>
      </c>
      <c r="AK205" s="93">
        <f t="shared" ref="AK205" si="2186">(AK54+AL205)/(1+AK$99)</f>
        <v>0</v>
      </c>
      <c r="AL205" s="93">
        <f t="shared" ref="AL205" si="2187">(AL54+AM205)/(1+AL$99)</f>
        <v>0</v>
      </c>
      <c r="AM205" s="93">
        <f t="shared" ref="AM205" si="2188">(AM54+AN205)/(1+AM$99)</f>
        <v>0</v>
      </c>
      <c r="AN205" s="93">
        <f t="shared" ref="AN205" si="2189">(AN54+AO205)/(1+AN$99)</f>
        <v>0</v>
      </c>
      <c r="AO205" s="93">
        <f t="shared" ref="AO205" si="2190">(AO54+AP205)/(1+AO$99)</f>
        <v>0</v>
      </c>
      <c r="AP205" s="93">
        <f t="shared" ref="AP205" si="2191">(AP54+AQ205)/(1+AP$99)</f>
        <v>0</v>
      </c>
      <c r="AQ205" s="93">
        <f t="shared" ref="AQ205" si="2192">(AQ54+AR205)/(1+AQ$99)</f>
        <v>0</v>
      </c>
      <c r="AR205" s="93">
        <f t="shared" ref="AR205" si="2193">(AR54+AS205)/(1+AR$99)</f>
        <v>0</v>
      </c>
      <c r="AS205" s="93">
        <f t="shared" ref="AS205" si="2194">(AS54+AT205)/(1+AS$99)</f>
        <v>0</v>
      </c>
      <c r="AT205" s="93">
        <f t="shared" ref="AT205" si="2195">(AT54+AU205)/(1+AT$99)</f>
        <v>0</v>
      </c>
      <c r="AU205" s="93">
        <f t="shared" ref="AU205" si="2196">(AU54+AV205)/(1+AU$99)</f>
        <v>0</v>
      </c>
      <c r="AV205" s="93">
        <f t="shared" ref="AV205" si="2197">(AV54+AW205)/(1+AV$99)</f>
        <v>0</v>
      </c>
      <c r="AW205" s="93">
        <f t="shared" ref="AW205" si="2198">(AW54+AX205)/(1+AW$99)</f>
        <v>0</v>
      </c>
      <c r="AX205" s="93">
        <f t="shared" ref="AX205" si="2199">(AX54+AY205)/(1+AX$99)</f>
        <v>0</v>
      </c>
      <c r="AY205" s="93">
        <f t="shared" ref="AY205" si="2200">(AY54+AZ205)/(1+AY$99)</f>
        <v>0</v>
      </c>
      <c r="AZ205" s="93">
        <f t="shared" ref="AZ205" si="2201">(AZ54+BA205)/(1+AZ$99)</f>
        <v>0</v>
      </c>
      <c r="BA205" s="93">
        <f t="shared" ref="BA205" si="2202">(BA54+BB205)/(1+BA$99)</f>
        <v>0</v>
      </c>
      <c r="BB205" s="93">
        <f t="shared" ref="BB205" si="2203">(BB54+BC205)/(1+BB$99)</f>
        <v>0</v>
      </c>
      <c r="BC205" s="93">
        <f t="shared" ref="BC205" si="2204">(BC54+BD205)/(1+BC$99)</f>
        <v>0</v>
      </c>
      <c r="BD205" s="93">
        <f t="shared" ref="BD205" si="2205">(BD54+BE205)/(1+BD$99)</f>
        <v>0</v>
      </c>
      <c r="BE205" s="93">
        <f t="shared" ref="BE205" si="2206">(BE54+BF205)/(1+BE$99)</f>
        <v>0</v>
      </c>
      <c r="BF205" s="93">
        <f t="shared" ref="BF205" si="2207">(BF54+BG205)/(1+BF$99)</f>
        <v>0</v>
      </c>
      <c r="BG205" s="93">
        <f t="shared" ref="BG205" si="2208">(BG54+BH205)/(1+BG$99)</f>
        <v>0</v>
      </c>
      <c r="BH205" s="93">
        <f t="shared" ref="BH205" si="2209">(BH54+BI205)/(1+BH$99)</f>
        <v>0</v>
      </c>
      <c r="BI205" s="93">
        <f t="shared" ref="BI205" si="2210">(BI54+BJ205)/(1+BI$99)</f>
        <v>0</v>
      </c>
      <c r="BJ205" s="93">
        <f t="shared" ref="BJ205" si="2211">(BJ54+BK205)/(1+BJ$99)</f>
        <v>0</v>
      </c>
      <c r="BK205" s="93">
        <f t="shared" ref="BK205" si="2212">(BK54+BL205)/(1+BK$99)</f>
        <v>0</v>
      </c>
      <c r="BL205" s="93">
        <f t="shared" ref="BL205" si="2213">(BL54+BM205)/(1+BL$99)</f>
        <v>0</v>
      </c>
      <c r="BM205" s="93">
        <f t="shared" ref="BM205" si="2214">(BM54+BN205)/(1+BM$99)</f>
        <v>0</v>
      </c>
      <c r="BN205" s="93">
        <f t="shared" ref="BN205" si="2215">(BN54+BO205)/(1+BN$99)</f>
        <v>0</v>
      </c>
      <c r="BO205" s="93">
        <f t="shared" ref="BO205" si="2216">(BO54+BP205)/(1+BO$99)</f>
        <v>0</v>
      </c>
      <c r="BP205" s="93">
        <f t="shared" ref="BP205" si="2217">(BP54+BQ205)/(1+BP$99)</f>
        <v>0</v>
      </c>
      <c r="BQ205" s="93">
        <f t="shared" ref="BQ205" si="2218">(BQ54+BR205)/(1+BQ$99)</f>
        <v>0</v>
      </c>
      <c r="BR205" s="93">
        <f t="shared" ref="BR205" si="2219">(BR54+BS205)/(1+BR$99)</f>
        <v>0</v>
      </c>
      <c r="BS205" s="93">
        <f t="shared" ref="BS205" si="2220">(BS54+BT205)/(1+BS$99)</f>
        <v>0</v>
      </c>
      <c r="BT205" s="93">
        <f t="shared" ref="BT205" si="2221">(BT54+BU205)/(1+BT$99)</f>
        <v>0</v>
      </c>
      <c r="BU205" s="93">
        <f t="shared" ref="BU205" si="2222">(BU54+BV205)/(1+BU$99)</f>
        <v>0</v>
      </c>
      <c r="BV205" s="93">
        <f t="shared" ref="BV205" si="2223">(BV54+BW205)/(1+BV$99)</f>
        <v>0</v>
      </c>
      <c r="BW205" s="93">
        <f t="shared" ref="BW205" si="2224">(BW54+BX205)/(1+BW$99)</f>
        <v>0</v>
      </c>
      <c r="BX205" s="93">
        <f t="shared" ref="BX205" si="2225">(BX54+BY205)/(1+BX$99)</f>
        <v>0</v>
      </c>
      <c r="BY205" s="93">
        <f t="shared" ref="BY205" si="2226">(BY54+BZ205)/(1+BY$99)</f>
        <v>0</v>
      </c>
      <c r="BZ205" s="93">
        <f t="shared" ref="BZ205" si="2227">(BZ54+CA205)/(1+BZ$99)</f>
        <v>0</v>
      </c>
      <c r="CA205" s="93">
        <f t="shared" ref="CA205" si="2228">(CA54+CB205)/(1+CA$99)</f>
        <v>0</v>
      </c>
      <c r="CB205" s="93">
        <f t="shared" ref="CB205" si="2229">(CB54+CC205)/(1+CB$99)</f>
        <v>0</v>
      </c>
      <c r="CC205" s="93">
        <f t="shared" ref="CC205" si="2230">(CC54+CD205)/(1+CC$99)</f>
        <v>0</v>
      </c>
      <c r="CD205" s="93">
        <f t="shared" ref="CD205" si="2231">(CD54+CE205)/(1+CD$99)</f>
        <v>0</v>
      </c>
      <c r="CE205" s="93">
        <f t="shared" ref="CE205" si="2232">(CE54+CF205)/(1+CE$99)</f>
        <v>0</v>
      </c>
      <c r="CF205" s="93">
        <f t="shared" ref="CF205" si="2233">(CF54+CG205)/(1+CF$99)</f>
        <v>0</v>
      </c>
      <c r="CG205" s="93">
        <f t="shared" ref="CG205" si="2234">(CG54+CH205)/(1+CG$99)</f>
        <v>0</v>
      </c>
      <c r="CH205" s="93">
        <f t="shared" ref="CH205" si="2235">(CH54+CI205)/(1+CH$99)</f>
        <v>0</v>
      </c>
      <c r="CI205" s="93">
        <f t="shared" ref="CI205" si="2236">(CI54+CJ205)/(1+CI$99)</f>
        <v>0</v>
      </c>
      <c r="CJ205" s="93">
        <f t="shared" ref="CJ205" si="2237">(CJ54+CK205)/(1+CJ$99)</f>
        <v>0</v>
      </c>
      <c r="CK205" s="93">
        <f t="shared" ref="CK205" si="2238">(CK54+CL205)/(1+CK$99)</f>
        <v>0</v>
      </c>
      <c r="CL205" s="93">
        <f t="shared" ref="CL205" si="2239">(CL54+CM205)/(1+CL$99)</f>
        <v>0</v>
      </c>
      <c r="CM205" s="93">
        <f t="shared" ref="CM205" si="2240">(CM54+CN205)/(1+CM$99)</f>
        <v>0</v>
      </c>
      <c r="CN205" s="93">
        <f t="shared" ref="CN205" si="2241">(CN54+CO205)/(1+CN$99)</f>
        <v>0</v>
      </c>
      <c r="CO205" s="93">
        <f t="shared" ref="CO205" si="2242">(CO54+CP205)/(1+CO$99)</f>
        <v>0</v>
      </c>
      <c r="CP205" s="93">
        <f t="shared" ref="CP205" si="2243">(CP54+CQ205)/(1+CP$99)</f>
        <v>0</v>
      </c>
      <c r="CQ205" s="93">
        <f t="shared" ref="CQ205" si="2244">(CQ54+CR205)/(1+CQ$99)</f>
        <v>0</v>
      </c>
      <c r="CR205" s="93">
        <f t="shared" ref="CR205" si="2245">(CR54+CS205)/(1+CR$99)</f>
        <v>0</v>
      </c>
      <c r="CS205" s="93">
        <f t="shared" ref="CS205" si="2246">(CS54+CT205)/(1+CS$99)</f>
        <v>0</v>
      </c>
      <c r="CT205" s="93">
        <f t="shared" ref="CT205" si="2247">(CT54+CU205)/(1+CT$99)</f>
        <v>0</v>
      </c>
      <c r="CU205" s="93">
        <f t="shared" ref="CU205" si="2248">(CU54+CV205)/(1+CU$99)</f>
        <v>0</v>
      </c>
      <c r="CV205" s="93">
        <f t="shared" ref="CV205" si="2249">(CV54+CW205)/(1+CV$99)</f>
        <v>0</v>
      </c>
      <c r="CW205" s="93">
        <f t="shared" ref="CW205" si="2250">(CW54+CX205)/(1+CW$99)</f>
        <v>0</v>
      </c>
      <c r="CX205" s="93">
        <f t="shared" ref="CX205" si="2251">(CX54+CY205)/(1+CX$99)</f>
        <v>0</v>
      </c>
      <c r="CY205" s="93">
        <f t="shared" ref="CY205" si="2252">(CY54+CZ205)/(1+CY$99)</f>
        <v>0</v>
      </c>
      <c r="CZ205" s="93">
        <f t="shared" ref="CZ205" si="2253">(CZ54+DA205)/(1+CZ$99)</f>
        <v>0</v>
      </c>
      <c r="DA205" s="93">
        <f t="shared" ref="DA205" si="2254">(DA54+DB205)/(1+DA$99)</f>
        <v>0</v>
      </c>
      <c r="DB205" s="93">
        <f t="shared" ref="DB205" si="2255">(DB54+DC205)/(1+DB$99)</f>
        <v>0</v>
      </c>
      <c r="DC205" s="93">
        <f t="shared" ref="DC205" si="2256">(DC54+DD205)/(1+DC$99)</f>
        <v>0</v>
      </c>
      <c r="DD205" s="93">
        <f t="shared" ref="DD205" si="2257">(DD54+DE205)/(1+DD$99)</f>
        <v>0</v>
      </c>
      <c r="DE205" s="93">
        <f t="shared" ref="DE205" si="2258">(DE54+DF205)/(1+DE$99)</f>
        <v>0</v>
      </c>
      <c r="DF205" s="93">
        <f t="shared" ref="DF205" si="2259">(DF54+DG205)/(1+DF$99)</f>
        <v>0</v>
      </c>
      <c r="DG205" s="93">
        <f t="shared" ref="DG205" si="2260">(DG54+DH205)/(1+DG$99)</f>
        <v>0</v>
      </c>
      <c r="DH205" s="93">
        <f t="shared" ref="DH205" si="2261">(DH54+DI205)/(1+DH$99)</f>
        <v>0</v>
      </c>
      <c r="DI205" s="93">
        <f t="shared" ref="DI205" si="2262">(DI54+DJ205)/(1+DI$99)</f>
        <v>0</v>
      </c>
      <c r="DJ205" s="93">
        <f t="shared" ref="DJ205" si="2263">(DJ54+DK205)/(1+DJ$99)</f>
        <v>0</v>
      </c>
      <c r="DK205" s="93">
        <f t="shared" ref="DK205" si="2264">(DK54+DL205)/(1+DK$99)</f>
        <v>0</v>
      </c>
      <c r="DL205" s="93">
        <f t="shared" ref="DL205" si="2265">(DL54+DM205)/(1+DL$99)</f>
        <v>0</v>
      </c>
      <c r="DM205" s="93">
        <f t="shared" ref="DM205" si="2266">(DM54+DN205)/(1+DM$99)</f>
        <v>0</v>
      </c>
      <c r="DN205" s="93">
        <f t="shared" ref="DN205" si="2267">(DN54+DO205)/(1+DN$99)</f>
        <v>0</v>
      </c>
      <c r="DO205" s="93">
        <f t="shared" ref="DO205" si="2268">(DO54+DP205)/(1+DO$99)</f>
        <v>0</v>
      </c>
      <c r="DP205" s="93">
        <f t="shared" ref="DP205" si="2269">(DP54+DQ205)/(1+DP$99)</f>
        <v>0</v>
      </c>
      <c r="DQ205" s="93">
        <f t="shared" ref="DQ205" si="2270">(DQ54+DR205)/(1+DQ$99)</f>
        <v>0</v>
      </c>
      <c r="DR205" s="93">
        <f t="shared" ref="DR205" si="2271">(DR54+DS205)/(1+DR$99)</f>
        <v>0</v>
      </c>
      <c r="DS205" s="93">
        <f t="shared" ref="DS205" si="2272">(DS54+DT205)/(1+DS$99)</f>
        <v>0</v>
      </c>
      <c r="DT205" s="93">
        <f t="shared" ref="DT205" si="2273">(DT54+DU205)/(1+DT$99)</f>
        <v>0</v>
      </c>
      <c r="DU205" s="93">
        <f t="shared" ref="DU205" si="2274">(DU54+DV205)/(1+DU$99)</f>
        <v>0</v>
      </c>
      <c r="DV205" s="93">
        <f t="shared" ref="DV205" si="2275">(DV54+DW205)/(1+DV$99)</f>
        <v>0</v>
      </c>
      <c r="DW205" s="93">
        <f t="shared" ref="DW205" si="2276">(DW54+DX205)/(1+DW$99)</f>
        <v>0</v>
      </c>
      <c r="DX205" s="93">
        <f t="shared" ref="DX205" si="2277">(DX54+DY205)/(1+DX$99)</f>
        <v>0</v>
      </c>
      <c r="DY205" s="93">
        <f t="shared" ref="DY205" si="2278">(DY54+DZ205)/(1+DY$99)</f>
        <v>0</v>
      </c>
      <c r="DZ205" s="93">
        <f t="shared" ref="DZ205" si="2279">(DZ54+EA205)/(1+DZ$99)</f>
        <v>0</v>
      </c>
      <c r="EA205" s="93">
        <f t="shared" ref="EA205" si="2280">(EA54+EB205)/(1+EA$99)</f>
        <v>0</v>
      </c>
      <c r="EB205" s="93">
        <f t="shared" ref="EB205" si="2281">(EB54+EC205)/(1+EB$99)</f>
        <v>0</v>
      </c>
      <c r="EC205" s="93">
        <f t="shared" ref="EC205" si="2282">(EC54+ED205)/(1+EC$99)</f>
        <v>0</v>
      </c>
      <c r="ED205" s="93">
        <f t="shared" ref="ED205" si="2283">(ED54+EE205)/(1+ED$99)</f>
        <v>0</v>
      </c>
      <c r="EE205" s="93">
        <f t="shared" ref="EE205" si="2284">(EE54+EF205)/(1+EE$99)</f>
        <v>0</v>
      </c>
      <c r="EF205" s="93">
        <f t="shared" ref="EF205" si="2285">(EF54+EG205)/(1+EF$99)</f>
        <v>0</v>
      </c>
      <c r="EG205" s="93">
        <f t="shared" ref="EG205" si="2286">(EG54+EH205)/(1+EG$99)</f>
        <v>0</v>
      </c>
      <c r="EH205" s="93">
        <f t="shared" ref="EH205" si="2287">(EH54+EI205)/(1+EH$99)</f>
        <v>0</v>
      </c>
      <c r="EI205" s="93">
        <f t="shared" ref="EI205" si="2288">(EI54+EJ205)/(1+EI$99)</f>
        <v>0</v>
      </c>
      <c r="EJ205" s="93">
        <f t="shared" ref="EJ205" si="2289">(EJ54+EK205)/(1+EJ$99)</f>
        <v>0</v>
      </c>
      <c r="EK205" s="93">
        <f t="shared" ref="EK205" si="2290">(EK54+EL205)/(1+EK$99)</f>
        <v>0</v>
      </c>
      <c r="EL205" s="93">
        <f t="shared" ref="EL205" si="2291">(EL54+EM205)/(1+EL$99)</f>
        <v>0</v>
      </c>
      <c r="EM205" s="93">
        <f t="shared" ref="EM205" si="2292">(EM54+EN205)/(1+EM$99)</f>
        <v>0</v>
      </c>
      <c r="EN205" s="93">
        <f t="shared" ref="EN205" si="2293">(EN54+EO205)/(1+EN$99)</f>
        <v>0</v>
      </c>
      <c r="EO205" s="93">
        <f t="shared" ref="EO205" si="2294">(EO54+EP205)/(1+EO$99)</f>
        <v>0</v>
      </c>
      <c r="EP205" s="93">
        <f t="shared" ref="EP205" si="2295">(EP54+EQ205)/(1+EP$99)</f>
        <v>0</v>
      </c>
      <c r="EQ205" s="93">
        <f t="shared" ref="EQ205" si="2296">(EQ54+ER205)/(1+EQ$99)</f>
        <v>0</v>
      </c>
      <c r="ER205" s="93">
        <f t="shared" ref="ER205" si="2297">(ER54+ES205)/(1+ER$99)</f>
        <v>0</v>
      </c>
      <c r="ES205" s="93">
        <f t="shared" ref="ES205" si="2298">(ES54+ET205)/(1+ES$99)</f>
        <v>0</v>
      </c>
      <c r="ET205" s="93">
        <f t="shared" ref="ET205" si="2299">(ET54+EU205)/(1+ET$99)</f>
        <v>0</v>
      </c>
      <c r="EU205" s="93">
        <f t="shared" ref="EU205" si="2300">(EU54+EV205)/(1+EU$99)</f>
        <v>0</v>
      </c>
      <c r="EV205" s="93">
        <f t="shared" ref="EV205" si="2301">(EV54+EW205)/(1+EV$99)</f>
        <v>0</v>
      </c>
      <c r="EW205" s="93">
        <f t="shared" ref="EW205" si="2302">(EW54+EX205)/(1+EW$99)</f>
        <v>0</v>
      </c>
      <c r="EX205" s="93">
        <f t="shared" ref="EX205" si="2303">(EX54+EY205)/(1+EX$99)</f>
        <v>0</v>
      </c>
      <c r="EY205" s="93">
        <f t="shared" ref="EY205" si="2304">(EY54+EZ205)/(1+EY$99)</f>
        <v>0</v>
      </c>
      <c r="EZ205" s="93">
        <f t="shared" ref="EZ205" si="2305">(EZ54+FA205)/(1+EZ$99)</f>
        <v>0</v>
      </c>
      <c r="FA205" s="93">
        <f t="shared" ref="FA205" si="2306">(FA54+FB205)/(1+FA$99)</f>
        <v>0</v>
      </c>
      <c r="FB205" s="93">
        <f t="shared" ref="FB205" si="2307">(FB54+FC205)/(1+FB$99)</f>
        <v>0</v>
      </c>
      <c r="FC205" s="93">
        <f t="shared" ref="FC205" si="2308">(FC54+FD205)/(1+FC$99)</f>
        <v>0</v>
      </c>
      <c r="FD205" s="93">
        <f t="shared" ref="FD205" si="2309">(FD54+FE205)/(1+FD$99)</f>
        <v>0</v>
      </c>
      <c r="FE205" s="93">
        <f t="shared" ref="FE205" si="2310">(FE54+FF205)/(1+FE$99)</f>
        <v>0</v>
      </c>
      <c r="FF205" s="93">
        <f t="shared" ref="FF205" si="2311">(FF54+FG205)/(1+FF$99)</f>
        <v>0</v>
      </c>
      <c r="FG205" s="93">
        <f t="shared" ref="FG205" si="2312">(FG54+FH205)/(1+FG$99)</f>
        <v>0</v>
      </c>
      <c r="FH205" s="93">
        <f t="shared" ref="FH205" si="2313">(FH54+FI205)/(1+FH$99)</f>
        <v>0</v>
      </c>
      <c r="FI205" s="93">
        <f t="shared" ref="FI205" si="2314">(FI54+FJ205)/(1+FI$99)</f>
        <v>0</v>
      </c>
      <c r="FJ205" s="93">
        <f t="shared" ref="FJ205" si="2315">(FJ54+FK205)/(1+FJ$99)</f>
        <v>0</v>
      </c>
      <c r="FK205" s="93">
        <f t="shared" ref="FK205" si="2316">(FK54+FL205)/(1+FK$99)</f>
        <v>0</v>
      </c>
      <c r="FL205" s="93">
        <f t="shared" ref="FL205" si="2317">(FL54+FM205)/(1+FL$99)</f>
        <v>0</v>
      </c>
      <c r="FM205" s="93">
        <f t="shared" ref="FM205" si="2318">(FM54+FN205)/(1+FM$99)</f>
        <v>0</v>
      </c>
      <c r="FN205" s="93">
        <f t="shared" ref="FN205" si="2319">(FN54+FO205)/(1+FN$99)</f>
        <v>0</v>
      </c>
      <c r="FO205" s="93">
        <f t="shared" ref="FO205" si="2320">(FO54+FP205)/(1+FO$99)</f>
        <v>0</v>
      </c>
      <c r="FP205" s="93">
        <f t="shared" ref="FP205" si="2321">(FP54+FQ205)/(1+FP$99)</f>
        <v>0</v>
      </c>
      <c r="FQ205" s="93">
        <f t="shared" ref="FQ205" si="2322">(FQ54+FR205)/(1+FQ$99)</f>
        <v>0</v>
      </c>
      <c r="FR205" s="93">
        <f t="shared" ref="FR205" si="2323">(FR54+FS205)/(1+FR$99)</f>
        <v>0</v>
      </c>
      <c r="FS205" s="93">
        <f t="shared" ref="FS205" si="2324">(FS54+FT205)/(1+FS$99)</f>
        <v>0</v>
      </c>
      <c r="FT205" s="93">
        <f t="shared" ref="FT205" si="2325">(FT54+FU205)/(1+FT$99)</f>
        <v>0</v>
      </c>
      <c r="FU205" s="93">
        <f t="shared" ref="FU205" si="2326">(FU54+FV205)/(1+FU$99)</f>
        <v>0</v>
      </c>
      <c r="FV205" s="93">
        <f t="shared" ref="FV205" si="2327">(FV54+FW205)/(1+FV$99)</f>
        <v>0</v>
      </c>
      <c r="FW205" s="93">
        <f t="shared" ref="FW205" si="2328">(FW54+FX205)/(1+FW$99)</f>
        <v>0</v>
      </c>
      <c r="FX205" s="93">
        <f t="shared" ref="FX205" si="2329">(FX54+FY205)/(1+FX$99)</f>
        <v>0</v>
      </c>
      <c r="FY205" s="93">
        <f t="shared" ref="FY205" si="2330">(FY54+FZ205)/(1+FY$99)</f>
        <v>0</v>
      </c>
      <c r="FZ205" s="59"/>
    </row>
    <row r="206" spans="1:182" x14ac:dyDescent="0.2">
      <c r="Z206" s="57"/>
      <c r="AA206" s="58"/>
      <c r="AB206" s="58"/>
      <c r="AC206" s="58"/>
    </row>
    <row r="207" spans="1:182" x14ac:dyDescent="0.2">
      <c r="A207" s="94" t="s">
        <v>201</v>
      </c>
      <c r="B207" s="65">
        <f>-(B183+B184+B185+B186+B187+B188+B189+B190+B191+B192+B193)</f>
        <v>-109988.3434935283</v>
      </c>
      <c r="C207" s="65">
        <f t="shared" ref="C207:BH207" si="2331">-(C183+C184+C185+C186+C187+C188+C189+C190+C191+C192+C193)</f>
        <v>116340.21687673498</v>
      </c>
      <c r="D207" s="65">
        <f t="shared" si="2331"/>
        <v>111344.84860098925</v>
      </c>
      <c r="E207" s="65">
        <f t="shared" si="2331"/>
        <v>106427.22316741536</v>
      </c>
      <c r="F207" s="65">
        <f t="shared" si="2331"/>
        <v>101589.04071189013</v>
      </c>
      <c r="G207" s="65">
        <f t="shared" si="2331"/>
        <v>96832.03047848586</v>
      </c>
      <c r="H207" s="65">
        <f t="shared" si="2331"/>
        <v>92157.951287310672</v>
      </c>
      <c r="I207" s="65">
        <f t="shared" si="2331"/>
        <v>87568.592009715037</v>
      </c>
      <c r="J207" s="65">
        <f t="shared" si="2331"/>
        <v>83065.772051021107</v>
      </c>
      <c r="K207" s="65">
        <f t="shared" si="2331"/>
        <v>78651.341840905749</v>
      </c>
      <c r="L207" s="65">
        <f t="shared" si="2331"/>
        <v>74327.183331532564</v>
      </c>
      <c r="M207" s="65">
        <f t="shared" si="2331"/>
        <v>70095.210503527196</v>
      </c>
      <c r="N207" s="65">
        <f t="shared" si="2331"/>
        <v>65957.369880023994</v>
      </c>
      <c r="O207" s="65">
        <f t="shared" si="2331"/>
        <v>61827.232482347361</v>
      </c>
      <c r="P207" s="65">
        <f t="shared" si="2331"/>
        <v>57802.391546291874</v>
      </c>
      <c r="Q207" s="65">
        <f t="shared" si="2331"/>
        <v>53884.710334165429</v>
      </c>
      <c r="R207" s="65">
        <f t="shared" si="2331"/>
        <v>50076.082107570393</v>
      </c>
      <c r="S207" s="65">
        <f t="shared" si="2331"/>
        <v>46378.430581235501</v>
      </c>
      <c r="T207" s="65">
        <f t="shared" si="2331"/>
        <v>42793.710383675003</v>
      </c>
      <c r="U207" s="65">
        <f t="shared" si="2331"/>
        <v>39323.907524679256</v>
      </c>
      <c r="V207" s="65">
        <f t="shared" si="2331"/>
        <v>35971.03986984989</v>
      </c>
      <c r="W207" s="65">
        <f t="shared" si="2331"/>
        <v>32737.1576221998</v>
      </c>
      <c r="X207" s="65">
        <f t="shared" si="2331"/>
        <v>29624.343810942006</v>
      </c>
      <c r="Y207" s="65">
        <f t="shared" si="2331"/>
        <v>26634.714787607827</v>
      </c>
      <c r="Z207" s="65">
        <f t="shared" si="2331"/>
        <v>23770.420729590405</v>
      </c>
      <c r="AA207" s="65">
        <f t="shared" si="2331"/>
        <v>20991.864853248608</v>
      </c>
      <c r="AB207" s="65">
        <f t="shared" si="2331"/>
        <v>18349.069292902564</v>
      </c>
      <c r="AC207" s="65">
        <f t="shared" si="2331"/>
        <v>15844.048051209444</v>
      </c>
      <c r="AD207" s="65">
        <f t="shared" si="2331"/>
        <v>13478.846000153972</v>
      </c>
      <c r="AE207" s="65">
        <f t="shared" si="2331"/>
        <v>11255.539317900404</v>
      </c>
      <c r="AF207" s="65">
        <f t="shared" si="2331"/>
        <v>9176.2359317517112</v>
      </c>
      <c r="AG207" s="65">
        <f t="shared" si="2331"/>
        <v>7243.0759673743132</v>
      </c>
      <c r="AH207" s="65">
        <f t="shared" si="2331"/>
        <v>5458.2322043363938</v>
      </c>
      <c r="AI207" s="65">
        <f t="shared" si="2331"/>
        <v>3823.9105380888764</v>
      </c>
      <c r="AJ207" s="65">
        <f t="shared" si="2331"/>
        <v>2342.3504484392156</v>
      </c>
      <c r="AK207" s="65">
        <f t="shared" si="2331"/>
        <v>1015.8254746301382</v>
      </c>
      <c r="AL207" s="65">
        <f t="shared" si="2331"/>
        <v>0</v>
      </c>
      <c r="AM207" s="65">
        <f t="shared" si="2331"/>
        <v>0</v>
      </c>
      <c r="AN207" s="65">
        <f t="shared" si="2331"/>
        <v>0</v>
      </c>
      <c r="AO207" s="65">
        <f t="shared" si="2331"/>
        <v>0</v>
      </c>
      <c r="AP207" s="65">
        <f t="shared" si="2331"/>
        <v>0</v>
      </c>
      <c r="AQ207" s="65">
        <f t="shared" si="2331"/>
        <v>0</v>
      </c>
      <c r="AR207" s="65">
        <f t="shared" si="2331"/>
        <v>0</v>
      </c>
      <c r="AS207" s="65">
        <f t="shared" si="2331"/>
        <v>0</v>
      </c>
      <c r="AT207" s="65">
        <f t="shared" si="2331"/>
        <v>0</v>
      </c>
      <c r="AU207" s="65">
        <f t="shared" si="2331"/>
        <v>0</v>
      </c>
      <c r="AV207" s="65">
        <f t="shared" si="2331"/>
        <v>0</v>
      </c>
      <c r="AW207" s="65">
        <f t="shared" si="2331"/>
        <v>0</v>
      </c>
      <c r="AX207" s="65">
        <f t="shared" si="2331"/>
        <v>0</v>
      </c>
      <c r="AY207" s="65">
        <f t="shared" si="2331"/>
        <v>0</v>
      </c>
      <c r="AZ207" s="65">
        <f t="shared" si="2331"/>
        <v>0</v>
      </c>
      <c r="BA207" s="65">
        <f t="shared" si="2331"/>
        <v>0</v>
      </c>
      <c r="BB207" s="65">
        <f t="shared" si="2331"/>
        <v>0</v>
      </c>
      <c r="BC207" s="65">
        <f t="shared" si="2331"/>
        <v>0</v>
      </c>
      <c r="BD207" s="65">
        <f t="shared" si="2331"/>
        <v>0</v>
      </c>
      <c r="BE207" s="65">
        <f t="shared" si="2331"/>
        <v>0</v>
      </c>
      <c r="BF207" s="65">
        <f t="shared" si="2331"/>
        <v>0</v>
      </c>
      <c r="BG207" s="65">
        <f t="shared" si="2331"/>
        <v>0</v>
      </c>
      <c r="BH207" s="65">
        <f t="shared" si="2331"/>
        <v>0</v>
      </c>
      <c r="BI207" s="65">
        <f t="shared" ref="BI207:DP207" si="2332">-(BI183+BI184+BI185+BI186+BI187+BI188+BI189+BI190+BI191+BI192+BI193)</f>
        <v>0</v>
      </c>
      <c r="BJ207" s="65">
        <f t="shared" si="2332"/>
        <v>0</v>
      </c>
      <c r="BK207" s="65">
        <f t="shared" si="2332"/>
        <v>0</v>
      </c>
      <c r="BL207" s="65">
        <f t="shared" si="2332"/>
        <v>0</v>
      </c>
      <c r="BM207" s="65">
        <f t="shared" si="2332"/>
        <v>0</v>
      </c>
      <c r="BN207" s="65">
        <f t="shared" si="2332"/>
        <v>0</v>
      </c>
      <c r="BO207" s="65">
        <f t="shared" si="2332"/>
        <v>0</v>
      </c>
      <c r="BP207" s="65">
        <f t="shared" si="2332"/>
        <v>0</v>
      </c>
      <c r="BQ207" s="65">
        <f t="shared" si="2332"/>
        <v>0</v>
      </c>
      <c r="BR207" s="65">
        <f t="shared" si="2332"/>
        <v>0</v>
      </c>
      <c r="BS207" s="65">
        <f t="shared" si="2332"/>
        <v>0</v>
      </c>
      <c r="BT207" s="65">
        <f t="shared" si="2332"/>
        <v>0</v>
      </c>
      <c r="BU207" s="65">
        <f t="shared" si="2332"/>
        <v>0</v>
      </c>
      <c r="BV207" s="65">
        <f t="shared" si="2332"/>
        <v>0</v>
      </c>
      <c r="BW207" s="65">
        <f t="shared" si="2332"/>
        <v>0</v>
      </c>
      <c r="BX207" s="65">
        <f t="shared" si="2332"/>
        <v>0</v>
      </c>
      <c r="BY207" s="65">
        <f t="shared" si="2332"/>
        <v>0</v>
      </c>
      <c r="BZ207" s="65">
        <f t="shared" si="2332"/>
        <v>0</v>
      </c>
      <c r="CA207" s="65">
        <f t="shared" si="2332"/>
        <v>0</v>
      </c>
      <c r="CB207" s="65">
        <f t="shared" si="2332"/>
        <v>0</v>
      </c>
      <c r="CC207" s="65">
        <f t="shared" si="2332"/>
        <v>0</v>
      </c>
      <c r="CD207" s="65">
        <f t="shared" si="2332"/>
        <v>0</v>
      </c>
      <c r="CE207" s="65">
        <f t="shared" si="2332"/>
        <v>0</v>
      </c>
      <c r="CF207" s="65">
        <f t="shared" si="2332"/>
        <v>0</v>
      </c>
      <c r="CG207" s="65">
        <f t="shared" si="2332"/>
        <v>0</v>
      </c>
      <c r="CH207" s="65">
        <f t="shared" si="2332"/>
        <v>0</v>
      </c>
      <c r="CI207" s="65">
        <f t="shared" si="2332"/>
        <v>0</v>
      </c>
      <c r="CJ207" s="65">
        <f t="shared" si="2332"/>
        <v>0</v>
      </c>
      <c r="CK207" s="65">
        <f t="shared" si="2332"/>
        <v>0</v>
      </c>
      <c r="CL207" s="65">
        <f t="shared" si="2332"/>
        <v>0</v>
      </c>
      <c r="CM207" s="65">
        <f t="shared" si="2332"/>
        <v>0</v>
      </c>
      <c r="CN207" s="65">
        <f t="shared" si="2332"/>
        <v>0</v>
      </c>
      <c r="CO207" s="65">
        <f t="shared" si="2332"/>
        <v>0</v>
      </c>
      <c r="CP207" s="65">
        <f t="shared" si="2332"/>
        <v>0</v>
      </c>
      <c r="CQ207" s="65">
        <f t="shared" si="2332"/>
        <v>0</v>
      </c>
      <c r="CR207" s="65">
        <f t="shared" si="2332"/>
        <v>0</v>
      </c>
      <c r="CS207" s="65">
        <f t="shared" si="2332"/>
        <v>0</v>
      </c>
      <c r="CT207" s="65">
        <f t="shared" si="2332"/>
        <v>0</v>
      </c>
      <c r="CU207" s="65">
        <f t="shared" si="2332"/>
        <v>0</v>
      </c>
      <c r="CV207" s="65">
        <f t="shared" si="2332"/>
        <v>0</v>
      </c>
      <c r="CW207" s="65">
        <f t="shared" si="2332"/>
        <v>0</v>
      </c>
      <c r="CX207" s="65">
        <f t="shared" si="2332"/>
        <v>0</v>
      </c>
      <c r="CY207" s="65">
        <f t="shared" si="2332"/>
        <v>0</v>
      </c>
      <c r="CZ207" s="65">
        <f t="shared" si="2332"/>
        <v>0</v>
      </c>
      <c r="DA207" s="65">
        <f t="shared" si="2332"/>
        <v>0</v>
      </c>
      <c r="DB207" s="65">
        <f t="shared" si="2332"/>
        <v>0</v>
      </c>
      <c r="DC207" s="65">
        <f t="shared" si="2332"/>
        <v>0</v>
      </c>
      <c r="DD207" s="65">
        <f t="shared" si="2332"/>
        <v>0</v>
      </c>
      <c r="DE207" s="65">
        <f t="shared" si="2332"/>
        <v>0</v>
      </c>
      <c r="DF207" s="65">
        <f t="shared" si="2332"/>
        <v>0</v>
      </c>
      <c r="DG207" s="65">
        <f t="shared" si="2332"/>
        <v>0</v>
      </c>
      <c r="DH207" s="65">
        <f t="shared" si="2332"/>
        <v>0</v>
      </c>
      <c r="DI207" s="65">
        <f t="shared" si="2332"/>
        <v>0</v>
      </c>
      <c r="DJ207" s="65">
        <f t="shared" si="2332"/>
        <v>0</v>
      </c>
      <c r="DK207" s="65">
        <f t="shared" si="2332"/>
        <v>0</v>
      </c>
      <c r="DL207" s="65">
        <f t="shared" si="2332"/>
        <v>0</v>
      </c>
      <c r="DM207" s="65">
        <f t="shared" si="2332"/>
        <v>0</v>
      </c>
      <c r="DN207" s="65">
        <f t="shared" si="2332"/>
        <v>0</v>
      </c>
      <c r="DO207" s="65">
        <f t="shared" si="2332"/>
        <v>0</v>
      </c>
      <c r="DP207" s="65">
        <f t="shared" si="2332"/>
        <v>0</v>
      </c>
      <c r="DQ207" s="65">
        <f t="shared" ref="DQ207:FY207" si="2333">-(DQ183+DQ184+DQ185+DQ186+DQ187+DQ188+DQ189+DQ190+DQ191+DQ192+DQ193)</f>
        <v>0</v>
      </c>
      <c r="DR207" s="65">
        <f t="shared" si="2333"/>
        <v>0</v>
      </c>
      <c r="DS207" s="65">
        <f t="shared" si="2333"/>
        <v>0</v>
      </c>
      <c r="DT207" s="65">
        <f t="shared" si="2333"/>
        <v>0</v>
      </c>
      <c r="DU207" s="65">
        <f t="shared" si="2333"/>
        <v>0</v>
      </c>
      <c r="DV207" s="65">
        <f t="shared" si="2333"/>
        <v>0</v>
      </c>
      <c r="DW207" s="65">
        <f t="shared" si="2333"/>
        <v>0</v>
      </c>
      <c r="DX207" s="65">
        <f t="shared" si="2333"/>
        <v>0</v>
      </c>
      <c r="DY207" s="65">
        <f t="shared" si="2333"/>
        <v>0</v>
      </c>
      <c r="DZ207" s="65">
        <f t="shared" si="2333"/>
        <v>0</v>
      </c>
      <c r="EA207" s="65">
        <f t="shared" si="2333"/>
        <v>0</v>
      </c>
      <c r="EB207" s="65">
        <f t="shared" si="2333"/>
        <v>0</v>
      </c>
      <c r="EC207" s="65">
        <f t="shared" si="2333"/>
        <v>0</v>
      </c>
      <c r="ED207" s="65">
        <f t="shared" si="2333"/>
        <v>0</v>
      </c>
      <c r="EE207" s="65">
        <f t="shared" si="2333"/>
        <v>0</v>
      </c>
      <c r="EF207" s="65">
        <f t="shared" si="2333"/>
        <v>0</v>
      </c>
      <c r="EG207" s="65">
        <f t="shared" si="2333"/>
        <v>0</v>
      </c>
      <c r="EH207" s="65">
        <f t="shared" si="2333"/>
        <v>0</v>
      </c>
      <c r="EI207" s="65">
        <f t="shared" si="2333"/>
        <v>0</v>
      </c>
      <c r="EJ207" s="65">
        <f t="shared" si="2333"/>
        <v>0</v>
      </c>
      <c r="EK207" s="65">
        <f t="shared" si="2333"/>
        <v>0</v>
      </c>
      <c r="EL207" s="65">
        <f t="shared" si="2333"/>
        <v>0</v>
      </c>
      <c r="EM207" s="65">
        <f t="shared" si="2333"/>
        <v>0</v>
      </c>
      <c r="EN207" s="65">
        <f t="shared" si="2333"/>
        <v>0</v>
      </c>
      <c r="EO207" s="65">
        <f t="shared" si="2333"/>
        <v>0</v>
      </c>
      <c r="EP207" s="65">
        <f t="shared" si="2333"/>
        <v>0</v>
      </c>
      <c r="EQ207" s="65">
        <f t="shared" si="2333"/>
        <v>0</v>
      </c>
      <c r="ER207" s="65">
        <f t="shared" si="2333"/>
        <v>0</v>
      </c>
      <c r="ES207" s="65">
        <f t="shared" si="2333"/>
        <v>0</v>
      </c>
      <c r="ET207" s="65">
        <f t="shared" si="2333"/>
        <v>0</v>
      </c>
      <c r="EU207" s="65">
        <f t="shared" si="2333"/>
        <v>0</v>
      </c>
      <c r="EV207" s="65">
        <f t="shared" si="2333"/>
        <v>0</v>
      </c>
      <c r="EW207" s="65">
        <f t="shared" si="2333"/>
        <v>0</v>
      </c>
      <c r="EX207" s="65">
        <f t="shared" si="2333"/>
        <v>0</v>
      </c>
      <c r="EY207" s="65">
        <f t="shared" si="2333"/>
        <v>0</v>
      </c>
      <c r="EZ207" s="65">
        <f t="shared" si="2333"/>
        <v>0</v>
      </c>
      <c r="FA207" s="65">
        <f t="shared" si="2333"/>
        <v>0</v>
      </c>
      <c r="FB207" s="65">
        <f t="shared" si="2333"/>
        <v>0</v>
      </c>
      <c r="FC207" s="65">
        <f t="shared" si="2333"/>
        <v>0</v>
      </c>
      <c r="FD207" s="65">
        <f t="shared" si="2333"/>
        <v>0</v>
      </c>
      <c r="FE207" s="65">
        <f t="shared" si="2333"/>
        <v>0</v>
      </c>
      <c r="FF207" s="65">
        <f t="shared" si="2333"/>
        <v>0</v>
      </c>
      <c r="FG207" s="65">
        <f t="shared" si="2333"/>
        <v>0</v>
      </c>
      <c r="FH207" s="65">
        <f t="shared" si="2333"/>
        <v>0</v>
      </c>
      <c r="FI207" s="65">
        <f t="shared" si="2333"/>
        <v>0</v>
      </c>
      <c r="FJ207" s="65">
        <f t="shared" si="2333"/>
        <v>0</v>
      </c>
      <c r="FK207" s="65">
        <f t="shared" si="2333"/>
        <v>0</v>
      </c>
      <c r="FL207" s="65">
        <f t="shared" si="2333"/>
        <v>0</v>
      </c>
      <c r="FM207" s="65">
        <f t="shared" si="2333"/>
        <v>0</v>
      </c>
      <c r="FN207" s="65">
        <f t="shared" si="2333"/>
        <v>0</v>
      </c>
      <c r="FO207" s="65">
        <f t="shared" si="2333"/>
        <v>0</v>
      </c>
      <c r="FP207" s="65">
        <f t="shared" si="2333"/>
        <v>0</v>
      </c>
      <c r="FQ207" s="65">
        <f t="shared" si="2333"/>
        <v>0</v>
      </c>
      <c r="FR207" s="65">
        <f t="shared" si="2333"/>
        <v>0</v>
      </c>
      <c r="FS207" s="65">
        <f t="shared" si="2333"/>
        <v>0</v>
      </c>
      <c r="FT207" s="65">
        <f t="shared" si="2333"/>
        <v>0</v>
      </c>
      <c r="FU207" s="65">
        <f t="shared" si="2333"/>
        <v>0</v>
      </c>
      <c r="FV207" s="65">
        <f t="shared" si="2333"/>
        <v>0</v>
      </c>
      <c r="FW207" s="65">
        <f t="shared" si="2333"/>
        <v>0</v>
      </c>
      <c r="FX207" s="65">
        <f t="shared" si="2333"/>
        <v>0</v>
      </c>
      <c r="FY207" s="65">
        <f t="shared" si="2333"/>
        <v>0</v>
      </c>
      <c r="FZ207" s="59"/>
    </row>
    <row r="208" spans="1:182" x14ac:dyDescent="0.2">
      <c r="A208" s="94" t="s">
        <v>202</v>
      </c>
      <c r="B208" s="65">
        <f>-(B195+B196+B197+B198+B199+B200+B201+B202+B203+B204+B205)</f>
        <v>-107138.88198712851</v>
      </c>
      <c r="C208" s="65">
        <f t="shared" ref="C208:BH208" si="2334">-(C195+C196+C197+C198+C199+C200+C201+C202+C203+C204+C205)</f>
        <v>117785.98959689426</v>
      </c>
      <c r="D208" s="65">
        <f t="shared" si="2334"/>
        <v>112765.47653236649</v>
      </c>
      <c r="E208" s="65">
        <f t="shared" si="2334"/>
        <v>107821.26973803905</v>
      </c>
      <c r="F208" s="65">
        <f t="shared" si="2334"/>
        <v>102955.08938179491</v>
      </c>
      <c r="G208" s="65">
        <f t="shared" si="2334"/>
        <v>98168.685354809568</v>
      </c>
      <c r="H208" s="65">
        <f t="shared" si="2334"/>
        <v>93463.837753329746</v>
      </c>
      <c r="I208" s="65">
        <f t="shared" si="2334"/>
        <v>88842.357368100464</v>
      </c>
      <c r="J208" s="65">
        <f t="shared" si="2334"/>
        <v>84306.086181603474</v>
      </c>
      <c r="K208" s="65">
        <f t="shared" si="2334"/>
        <v>79856.897873242619</v>
      </c>
      <c r="L208" s="65">
        <f t="shared" si="2334"/>
        <v>75496.698332577478</v>
      </c>
      <c r="M208" s="65">
        <f t="shared" si="2334"/>
        <v>71227.426180705312</v>
      </c>
      <c r="N208" s="65">
        <f t="shared" si="2334"/>
        <v>67051.05330002516</v>
      </c>
      <c r="O208" s="65">
        <f t="shared" si="2334"/>
        <v>62894.32466663987</v>
      </c>
      <c r="P208" s="65">
        <f t="shared" si="2334"/>
        <v>58840.655583075117</v>
      </c>
      <c r="Q208" s="65">
        <f t="shared" si="2334"/>
        <v>54891.968076637961</v>
      </c>
      <c r="R208" s="65">
        <f t="shared" si="2334"/>
        <v>51050.215562063961</v>
      </c>
      <c r="S208" s="65">
        <f t="shared" si="2334"/>
        <v>47317.383324942442</v>
      </c>
      <c r="T208" s="65">
        <f t="shared" si="2334"/>
        <v>43695.489012534934</v>
      </c>
      <c r="U208" s="65">
        <f t="shared" si="2334"/>
        <v>40186.583132000931</v>
      </c>
      <c r="V208" s="65">
        <f t="shared" si="2334"/>
        <v>36792.749556255127</v>
      </c>
      <c r="W208" s="65">
        <f t="shared" si="2334"/>
        <v>33516.106037486534</v>
      </c>
      <c r="X208" s="65">
        <f t="shared" si="2334"/>
        <v>30358.804728474679</v>
      </c>
      <c r="Y208" s="65">
        <f t="shared" si="2334"/>
        <v>27323.032711854321</v>
      </c>
      <c r="Z208" s="65">
        <f t="shared" si="2334"/>
        <v>24411.012537436112</v>
      </c>
      <c r="AA208" s="65">
        <f t="shared" si="2334"/>
        <v>21589.327025731647</v>
      </c>
      <c r="AB208" s="65">
        <f t="shared" si="2334"/>
        <v>18901.105504668962</v>
      </c>
      <c r="AC208" s="65">
        <f t="shared" si="2334"/>
        <v>16348.480122904135</v>
      </c>
      <c r="AD208" s="65">
        <f t="shared" si="2334"/>
        <v>13933.6162130339</v>
      </c>
      <c r="AE208" s="65">
        <f t="shared" si="2334"/>
        <v>11658.712775603415</v>
      </c>
      <c r="AF208" s="65">
        <f t="shared" si="2334"/>
        <v>9526.0029700665582</v>
      </c>
      <c r="AG208" s="65">
        <f t="shared" si="2334"/>
        <v>7537.7546128718441</v>
      </c>
      <c r="AH208" s="65">
        <f t="shared" si="2334"/>
        <v>5696.2706827367265</v>
      </c>
      <c r="AI208" s="65">
        <f t="shared" si="2334"/>
        <v>4003.8898332546123</v>
      </c>
      <c r="AJ208" s="65">
        <f t="shared" si="2334"/>
        <v>2462.9869128997984</v>
      </c>
      <c r="AK208" s="65">
        <f t="shared" si="2334"/>
        <v>1075.9734925581949</v>
      </c>
      <c r="AL208" s="65">
        <f t="shared" si="2334"/>
        <v>0</v>
      </c>
      <c r="AM208" s="65">
        <f t="shared" si="2334"/>
        <v>0</v>
      </c>
      <c r="AN208" s="65">
        <f t="shared" si="2334"/>
        <v>0</v>
      </c>
      <c r="AO208" s="65">
        <f t="shared" si="2334"/>
        <v>0</v>
      </c>
      <c r="AP208" s="65">
        <f t="shared" si="2334"/>
        <v>0</v>
      </c>
      <c r="AQ208" s="65">
        <f t="shared" si="2334"/>
        <v>0</v>
      </c>
      <c r="AR208" s="65">
        <f t="shared" si="2334"/>
        <v>0</v>
      </c>
      <c r="AS208" s="65">
        <f t="shared" si="2334"/>
        <v>0</v>
      </c>
      <c r="AT208" s="65">
        <f t="shared" si="2334"/>
        <v>0</v>
      </c>
      <c r="AU208" s="65">
        <f t="shared" si="2334"/>
        <v>0</v>
      </c>
      <c r="AV208" s="65">
        <f t="shared" si="2334"/>
        <v>0</v>
      </c>
      <c r="AW208" s="65">
        <f t="shared" si="2334"/>
        <v>0</v>
      </c>
      <c r="AX208" s="65">
        <f t="shared" si="2334"/>
        <v>0</v>
      </c>
      <c r="AY208" s="65">
        <f t="shared" si="2334"/>
        <v>0</v>
      </c>
      <c r="AZ208" s="65">
        <f t="shared" si="2334"/>
        <v>0</v>
      </c>
      <c r="BA208" s="65">
        <f t="shared" si="2334"/>
        <v>0</v>
      </c>
      <c r="BB208" s="65">
        <f t="shared" si="2334"/>
        <v>0</v>
      </c>
      <c r="BC208" s="65">
        <f t="shared" si="2334"/>
        <v>0</v>
      </c>
      <c r="BD208" s="65">
        <f t="shared" si="2334"/>
        <v>0</v>
      </c>
      <c r="BE208" s="65">
        <f t="shared" si="2334"/>
        <v>0</v>
      </c>
      <c r="BF208" s="65">
        <f t="shared" si="2334"/>
        <v>0</v>
      </c>
      <c r="BG208" s="65">
        <f t="shared" si="2334"/>
        <v>0</v>
      </c>
      <c r="BH208" s="65">
        <f t="shared" si="2334"/>
        <v>0</v>
      </c>
      <c r="BI208" s="65">
        <f t="shared" ref="BI208:DP208" si="2335">-(BI195+BI196+BI197+BI198+BI199+BI200+BI201+BI202+BI203+BI204+BI205)</f>
        <v>0</v>
      </c>
      <c r="BJ208" s="65">
        <f t="shared" si="2335"/>
        <v>0</v>
      </c>
      <c r="BK208" s="65">
        <f t="shared" si="2335"/>
        <v>0</v>
      </c>
      <c r="BL208" s="65">
        <f t="shared" si="2335"/>
        <v>0</v>
      </c>
      <c r="BM208" s="65">
        <f t="shared" si="2335"/>
        <v>0</v>
      </c>
      <c r="BN208" s="65">
        <f t="shared" si="2335"/>
        <v>0</v>
      </c>
      <c r="BO208" s="65">
        <f t="shared" si="2335"/>
        <v>0</v>
      </c>
      <c r="BP208" s="65">
        <f t="shared" si="2335"/>
        <v>0</v>
      </c>
      <c r="BQ208" s="65">
        <f t="shared" si="2335"/>
        <v>0</v>
      </c>
      <c r="BR208" s="65">
        <f t="shared" si="2335"/>
        <v>0</v>
      </c>
      <c r="BS208" s="65">
        <f t="shared" si="2335"/>
        <v>0</v>
      </c>
      <c r="BT208" s="65">
        <f t="shared" si="2335"/>
        <v>0</v>
      </c>
      <c r="BU208" s="65">
        <f t="shared" si="2335"/>
        <v>0</v>
      </c>
      <c r="BV208" s="65">
        <f t="shared" si="2335"/>
        <v>0</v>
      </c>
      <c r="BW208" s="65">
        <f t="shared" si="2335"/>
        <v>0</v>
      </c>
      <c r="BX208" s="65">
        <f t="shared" si="2335"/>
        <v>0</v>
      </c>
      <c r="BY208" s="65">
        <f t="shared" si="2335"/>
        <v>0</v>
      </c>
      <c r="BZ208" s="65">
        <f t="shared" si="2335"/>
        <v>0</v>
      </c>
      <c r="CA208" s="65">
        <f t="shared" si="2335"/>
        <v>0</v>
      </c>
      <c r="CB208" s="65">
        <f t="shared" si="2335"/>
        <v>0</v>
      </c>
      <c r="CC208" s="65">
        <f t="shared" si="2335"/>
        <v>0</v>
      </c>
      <c r="CD208" s="65">
        <f t="shared" si="2335"/>
        <v>0</v>
      </c>
      <c r="CE208" s="65">
        <f t="shared" si="2335"/>
        <v>0</v>
      </c>
      <c r="CF208" s="65">
        <f t="shared" si="2335"/>
        <v>0</v>
      </c>
      <c r="CG208" s="65">
        <f t="shared" si="2335"/>
        <v>0</v>
      </c>
      <c r="CH208" s="65">
        <f t="shared" si="2335"/>
        <v>0</v>
      </c>
      <c r="CI208" s="65">
        <f t="shared" si="2335"/>
        <v>0</v>
      </c>
      <c r="CJ208" s="65">
        <f t="shared" si="2335"/>
        <v>0</v>
      </c>
      <c r="CK208" s="65">
        <f t="shared" si="2335"/>
        <v>0</v>
      </c>
      <c r="CL208" s="65">
        <f t="shared" si="2335"/>
        <v>0</v>
      </c>
      <c r="CM208" s="65">
        <f t="shared" si="2335"/>
        <v>0</v>
      </c>
      <c r="CN208" s="65">
        <f t="shared" si="2335"/>
        <v>0</v>
      </c>
      <c r="CO208" s="65">
        <f t="shared" si="2335"/>
        <v>0</v>
      </c>
      <c r="CP208" s="65">
        <f t="shared" si="2335"/>
        <v>0</v>
      </c>
      <c r="CQ208" s="65">
        <f t="shared" si="2335"/>
        <v>0</v>
      </c>
      <c r="CR208" s="65">
        <f t="shared" si="2335"/>
        <v>0</v>
      </c>
      <c r="CS208" s="65">
        <f t="shared" si="2335"/>
        <v>0</v>
      </c>
      <c r="CT208" s="65">
        <f t="shared" si="2335"/>
        <v>0</v>
      </c>
      <c r="CU208" s="65">
        <f t="shared" si="2335"/>
        <v>0</v>
      </c>
      <c r="CV208" s="65">
        <f t="shared" si="2335"/>
        <v>0</v>
      </c>
      <c r="CW208" s="65">
        <f t="shared" si="2335"/>
        <v>0</v>
      </c>
      <c r="CX208" s="65">
        <f t="shared" si="2335"/>
        <v>0</v>
      </c>
      <c r="CY208" s="65">
        <f t="shared" si="2335"/>
        <v>0</v>
      </c>
      <c r="CZ208" s="65">
        <f t="shared" si="2335"/>
        <v>0</v>
      </c>
      <c r="DA208" s="65">
        <f t="shared" si="2335"/>
        <v>0</v>
      </c>
      <c r="DB208" s="65">
        <f t="shared" si="2335"/>
        <v>0</v>
      </c>
      <c r="DC208" s="65">
        <f t="shared" si="2335"/>
        <v>0</v>
      </c>
      <c r="DD208" s="65">
        <f t="shared" si="2335"/>
        <v>0</v>
      </c>
      <c r="DE208" s="65">
        <f t="shared" si="2335"/>
        <v>0</v>
      </c>
      <c r="DF208" s="65">
        <f t="shared" si="2335"/>
        <v>0</v>
      </c>
      <c r="DG208" s="65">
        <f t="shared" si="2335"/>
        <v>0</v>
      </c>
      <c r="DH208" s="65">
        <f t="shared" si="2335"/>
        <v>0</v>
      </c>
      <c r="DI208" s="65">
        <f t="shared" si="2335"/>
        <v>0</v>
      </c>
      <c r="DJ208" s="65">
        <f t="shared" si="2335"/>
        <v>0</v>
      </c>
      <c r="DK208" s="65">
        <f t="shared" si="2335"/>
        <v>0</v>
      </c>
      <c r="DL208" s="65">
        <f t="shared" si="2335"/>
        <v>0</v>
      </c>
      <c r="DM208" s="65">
        <f t="shared" si="2335"/>
        <v>0</v>
      </c>
      <c r="DN208" s="65">
        <f t="shared" si="2335"/>
        <v>0</v>
      </c>
      <c r="DO208" s="65">
        <f t="shared" si="2335"/>
        <v>0</v>
      </c>
      <c r="DP208" s="65">
        <f t="shared" si="2335"/>
        <v>0</v>
      </c>
      <c r="DQ208" s="65">
        <f t="shared" ref="DQ208:FY208" si="2336">-(DQ195+DQ196+DQ197+DQ198+DQ199+DQ200+DQ201+DQ202+DQ203+DQ204+DQ205)</f>
        <v>0</v>
      </c>
      <c r="DR208" s="65">
        <f t="shared" si="2336"/>
        <v>0</v>
      </c>
      <c r="DS208" s="65">
        <f t="shared" si="2336"/>
        <v>0</v>
      </c>
      <c r="DT208" s="65">
        <f t="shared" si="2336"/>
        <v>0</v>
      </c>
      <c r="DU208" s="65">
        <f t="shared" si="2336"/>
        <v>0</v>
      </c>
      <c r="DV208" s="65">
        <f t="shared" si="2336"/>
        <v>0</v>
      </c>
      <c r="DW208" s="65">
        <f t="shared" si="2336"/>
        <v>0</v>
      </c>
      <c r="DX208" s="65">
        <f t="shared" si="2336"/>
        <v>0</v>
      </c>
      <c r="DY208" s="65">
        <f t="shared" si="2336"/>
        <v>0</v>
      </c>
      <c r="DZ208" s="65">
        <f t="shared" si="2336"/>
        <v>0</v>
      </c>
      <c r="EA208" s="65">
        <f t="shared" si="2336"/>
        <v>0</v>
      </c>
      <c r="EB208" s="65">
        <f t="shared" si="2336"/>
        <v>0</v>
      </c>
      <c r="EC208" s="65">
        <f t="shared" si="2336"/>
        <v>0</v>
      </c>
      <c r="ED208" s="65">
        <f t="shared" si="2336"/>
        <v>0</v>
      </c>
      <c r="EE208" s="65">
        <f t="shared" si="2336"/>
        <v>0</v>
      </c>
      <c r="EF208" s="65">
        <f t="shared" si="2336"/>
        <v>0</v>
      </c>
      <c r="EG208" s="65">
        <f t="shared" si="2336"/>
        <v>0</v>
      </c>
      <c r="EH208" s="65">
        <f t="shared" si="2336"/>
        <v>0</v>
      </c>
      <c r="EI208" s="65">
        <f t="shared" si="2336"/>
        <v>0</v>
      </c>
      <c r="EJ208" s="65">
        <f t="shared" si="2336"/>
        <v>0</v>
      </c>
      <c r="EK208" s="65">
        <f t="shared" si="2336"/>
        <v>0</v>
      </c>
      <c r="EL208" s="65">
        <f t="shared" si="2336"/>
        <v>0</v>
      </c>
      <c r="EM208" s="65">
        <f t="shared" si="2336"/>
        <v>0</v>
      </c>
      <c r="EN208" s="65">
        <f t="shared" si="2336"/>
        <v>0</v>
      </c>
      <c r="EO208" s="65">
        <f t="shared" si="2336"/>
        <v>0</v>
      </c>
      <c r="EP208" s="65">
        <f t="shared" si="2336"/>
        <v>0</v>
      </c>
      <c r="EQ208" s="65">
        <f t="shared" si="2336"/>
        <v>0</v>
      </c>
      <c r="ER208" s="65">
        <f t="shared" si="2336"/>
        <v>0</v>
      </c>
      <c r="ES208" s="65">
        <f t="shared" si="2336"/>
        <v>0</v>
      </c>
      <c r="ET208" s="65">
        <f t="shared" si="2336"/>
        <v>0</v>
      </c>
      <c r="EU208" s="65">
        <f t="shared" si="2336"/>
        <v>0</v>
      </c>
      <c r="EV208" s="65">
        <f t="shared" si="2336"/>
        <v>0</v>
      </c>
      <c r="EW208" s="65">
        <f t="shared" si="2336"/>
        <v>0</v>
      </c>
      <c r="EX208" s="65">
        <f t="shared" si="2336"/>
        <v>0</v>
      </c>
      <c r="EY208" s="65">
        <f t="shared" si="2336"/>
        <v>0</v>
      </c>
      <c r="EZ208" s="65">
        <f t="shared" si="2336"/>
        <v>0</v>
      </c>
      <c r="FA208" s="65">
        <f t="shared" si="2336"/>
        <v>0</v>
      </c>
      <c r="FB208" s="65">
        <f t="shared" si="2336"/>
        <v>0</v>
      </c>
      <c r="FC208" s="65">
        <f t="shared" si="2336"/>
        <v>0</v>
      </c>
      <c r="FD208" s="65">
        <f t="shared" si="2336"/>
        <v>0</v>
      </c>
      <c r="FE208" s="65">
        <f t="shared" si="2336"/>
        <v>0</v>
      </c>
      <c r="FF208" s="65">
        <f t="shared" si="2336"/>
        <v>0</v>
      </c>
      <c r="FG208" s="65">
        <f t="shared" si="2336"/>
        <v>0</v>
      </c>
      <c r="FH208" s="65">
        <f t="shared" si="2336"/>
        <v>0</v>
      </c>
      <c r="FI208" s="65">
        <f t="shared" si="2336"/>
        <v>0</v>
      </c>
      <c r="FJ208" s="65">
        <f t="shared" si="2336"/>
        <v>0</v>
      </c>
      <c r="FK208" s="65">
        <f t="shared" si="2336"/>
        <v>0</v>
      </c>
      <c r="FL208" s="65">
        <f t="shared" si="2336"/>
        <v>0</v>
      </c>
      <c r="FM208" s="65">
        <f t="shared" si="2336"/>
        <v>0</v>
      </c>
      <c r="FN208" s="65">
        <f t="shared" si="2336"/>
        <v>0</v>
      </c>
      <c r="FO208" s="65">
        <f t="shared" si="2336"/>
        <v>0</v>
      </c>
      <c r="FP208" s="65">
        <f t="shared" si="2336"/>
        <v>0</v>
      </c>
      <c r="FQ208" s="65">
        <f t="shared" si="2336"/>
        <v>0</v>
      </c>
      <c r="FR208" s="65">
        <f t="shared" si="2336"/>
        <v>0</v>
      </c>
      <c r="FS208" s="65">
        <f t="shared" si="2336"/>
        <v>0</v>
      </c>
      <c r="FT208" s="65">
        <f t="shared" si="2336"/>
        <v>0</v>
      </c>
      <c r="FU208" s="65">
        <f t="shared" si="2336"/>
        <v>0</v>
      </c>
      <c r="FV208" s="65">
        <f t="shared" si="2336"/>
        <v>0</v>
      </c>
      <c r="FW208" s="65">
        <f t="shared" si="2336"/>
        <v>0</v>
      </c>
      <c r="FX208" s="65">
        <f t="shared" si="2336"/>
        <v>0</v>
      </c>
      <c r="FY208" s="65">
        <f t="shared" si="2336"/>
        <v>0</v>
      </c>
      <c r="FZ208" s="59"/>
    </row>
    <row r="209" spans="1:182" x14ac:dyDescent="0.2">
      <c r="A209" s="94" t="s">
        <v>333</v>
      </c>
      <c r="B209" s="65">
        <f t="array" ref="B209:FY209">TRANSPOSE(BEL!W13:W192)</f>
        <v>1</v>
      </c>
      <c r="C209" s="65">
        <v>0.99907361221547641</v>
      </c>
      <c r="D209" s="65">
        <v>0.9981480826252801</v>
      </c>
      <c r="E209" s="65">
        <v>0.99722341043439044</v>
      </c>
      <c r="F209" s="65">
        <v>0.99629959484852304</v>
      </c>
      <c r="G209" s="65">
        <v>0.99537663507412955</v>
      </c>
      <c r="H209" s="65">
        <v>0.9944545303183967</v>
      </c>
      <c r="I209" s="65">
        <v>0.99353327978924555</v>
      </c>
      <c r="J209" s="65">
        <v>0.9926128826953311</v>
      </c>
      <c r="K209" s="65">
        <v>0.99169333824604144</v>
      </c>
      <c r="L209" s="65">
        <v>0.99077464565149687</v>
      </c>
      <c r="M209" s="65">
        <v>0.98985680412254962</v>
      </c>
      <c r="N209" s="65">
        <v>0.98893981287078292</v>
      </c>
      <c r="O209" s="65">
        <v>0.98718805138805055</v>
      </c>
      <c r="P209" s="65">
        <v>0.98543939289323756</v>
      </c>
      <c r="Q209" s="65">
        <v>0.98369383188985715</v>
      </c>
      <c r="R209" s="65">
        <v>0.98195136289115859</v>
      </c>
      <c r="S209" s="65">
        <v>0.98021198042011015</v>
      </c>
      <c r="T209" s="65">
        <v>0.97847567900938193</v>
      </c>
      <c r="U209" s="65">
        <v>0.97674245320132858</v>
      </c>
      <c r="V209" s="65">
        <v>0.97501229754797214</v>
      </c>
      <c r="W209" s="65">
        <v>0.97328520661098494</v>
      </c>
      <c r="X209" s="65">
        <v>0.97156117496167249</v>
      </c>
      <c r="Y209" s="65">
        <v>0.96984019718095649</v>
      </c>
      <c r="Z209" s="65">
        <v>0.96812226785935762</v>
      </c>
      <c r="AA209" s="65">
        <v>0.96558166424683844</v>
      </c>
      <c r="AB209" s="65">
        <v>0.96304772783631454</v>
      </c>
      <c r="AC209" s="65">
        <v>0.96052044113132085</v>
      </c>
      <c r="AD209" s="65">
        <v>0.95799978668130747</v>
      </c>
      <c r="AE209" s="65">
        <v>0.95548574708151934</v>
      </c>
      <c r="AF209" s="65">
        <v>0.95297830497287594</v>
      </c>
      <c r="AG209" s="65">
        <v>0.95047744304185156</v>
      </c>
      <c r="AH209" s="65">
        <v>0.94798314402035555</v>
      </c>
      <c r="AI209" s="65">
        <v>0.94549539068561328</v>
      </c>
      <c r="AJ209" s="65">
        <v>0.94301416586004705</v>
      </c>
      <c r="AK209" s="65">
        <v>0.94053945241115777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  <c r="FD209" s="65">
        <v>0</v>
      </c>
      <c r="FE209" s="65">
        <v>0</v>
      </c>
      <c r="FF209" s="65">
        <v>0</v>
      </c>
      <c r="FG209" s="65">
        <v>0</v>
      </c>
      <c r="FH209" s="65">
        <v>0</v>
      </c>
      <c r="FI209" s="65">
        <v>0</v>
      </c>
      <c r="FJ209" s="65">
        <v>0</v>
      </c>
      <c r="FK209" s="65">
        <v>0</v>
      </c>
      <c r="FL209" s="65">
        <v>0</v>
      </c>
      <c r="FM209" s="65">
        <v>0</v>
      </c>
      <c r="FN209" s="65">
        <v>0</v>
      </c>
      <c r="FO209" s="65">
        <v>0</v>
      </c>
      <c r="FP209" s="65">
        <v>0</v>
      </c>
      <c r="FQ209" s="65">
        <v>0</v>
      </c>
      <c r="FR209" s="65">
        <v>0</v>
      </c>
      <c r="FS209" s="65">
        <v>0</v>
      </c>
      <c r="FT209" s="65">
        <v>0</v>
      </c>
      <c r="FU209" s="65">
        <v>0</v>
      </c>
      <c r="FV209" s="65">
        <v>0</v>
      </c>
      <c r="FW209" s="65">
        <v>0</v>
      </c>
      <c r="FX209" s="65">
        <v>0</v>
      </c>
      <c r="FY209" s="65">
        <v>0</v>
      </c>
      <c r="FZ209" s="59"/>
    </row>
    <row r="210" spans="1:182" x14ac:dyDescent="0.2">
      <c r="A210" s="94" t="s">
        <v>332</v>
      </c>
      <c r="B210" s="65">
        <f t="array" ref="B210:FY210">TRANSPOSE(BEL!AA13:AA192)</f>
        <v>0.99907361221547641</v>
      </c>
      <c r="C210" s="65">
        <v>0.9981480826252801</v>
      </c>
      <c r="D210" s="65">
        <v>0.99722341043439044</v>
      </c>
      <c r="E210" s="65">
        <v>0.99629959484852304</v>
      </c>
      <c r="F210" s="65">
        <v>0.99537663507412955</v>
      </c>
      <c r="G210" s="65">
        <v>0.9944545303183967</v>
      </c>
      <c r="H210" s="65">
        <v>0.99353327978924555</v>
      </c>
      <c r="I210" s="65">
        <v>0.9926128826953311</v>
      </c>
      <c r="J210" s="65">
        <v>0.99169333824604144</v>
      </c>
      <c r="K210" s="65">
        <v>0.99077464565149687</v>
      </c>
      <c r="L210" s="65">
        <v>0.98985680412254962</v>
      </c>
      <c r="M210" s="65">
        <v>0.98893981287078292</v>
      </c>
      <c r="N210" s="65">
        <v>0.98718805138805055</v>
      </c>
      <c r="O210" s="65">
        <v>0.98543939289323756</v>
      </c>
      <c r="P210" s="65">
        <v>0.98369383188985715</v>
      </c>
      <c r="Q210" s="65">
        <v>0.98195136289115859</v>
      </c>
      <c r="R210" s="65">
        <v>0.98021198042011015</v>
      </c>
      <c r="S210" s="65">
        <v>0.97847567900938193</v>
      </c>
      <c r="T210" s="65">
        <v>0.97674245320132858</v>
      </c>
      <c r="U210" s="65">
        <v>0.97501229754797214</v>
      </c>
      <c r="V210" s="65">
        <v>0.97328520661098494</v>
      </c>
      <c r="W210" s="65">
        <v>0.97156117496167249</v>
      </c>
      <c r="X210" s="65">
        <v>0.96984019718095649</v>
      </c>
      <c r="Y210" s="65">
        <v>0.96812226785935762</v>
      </c>
      <c r="Z210" s="65">
        <v>0.96558166424683844</v>
      </c>
      <c r="AA210" s="65">
        <v>0.96304772783631454</v>
      </c>
      <c r="AB210" s="65">
        <v>0.96052044113132085</v>
      </c>
      <c r="AC210" s="65">
        <v>0.95799978668130747</v>
      </c>
      <c r="AD210" s="65">
        <v>0.95548574708151934</v>
      </c>
      <c r="AE210" s="65">
        <v>0.95297830497287594</v>
      </c>
      <c r="AF210" s="65">
        <v>0.95047744304185156</v>
      </c>
      <c r="AG210" s="65">
        <v>0.94798314402035555</v>
      </c>
      <c r="AH210" s="65">
        <v>0.94549539068561328</v>
      </c>
      <c r="AI210" s="65">
        <v>0.94301416586004705</v>
      </c>
      <c r="AJ210" s="65">
        <v>0.94053945241115777</v>
      </c>
      <c r="AK210" s="65">
        <v>0</v>
      </c>
      <c r="AL210" s="65">
        <v>0</v>
      </c>
      <c r="AM210" s="65">
        <v>0</v>
      </c>
      <c r="AN210" s="65">
        <v>0</v>
      </c>
      <c r="AO210" s="65">
        <v>0</v>
      </c>
      <c r="AP210" s="65">
        <v>0</v>
      </c>
      <c r="AQ210" s="65">
        <v>0</v>
      </c>
      <c r="AR210" s="65">
        <v>0</v>
      </c>
      <c r="AS210" s="65">
        <v>0</v>
      </c>
      <c r="AT210" s="65">
        <v>0</v>
      </c>
      <c r="AU210" s="65">
        <v>0</v>
      </c>
      <c r="AV210" s="65">
        <v>0</v>
      </c>
      <c r="AW210" s="65">
        <v>0</v>
      </c>
      <c r="AX210" s="65">
        <v>0</v>
      </c>
      <c r="AY210" s="65">
        <v>0</v>
      </c>
      <c r="AZ210" s="65">
        <v>0</v>
      </c>
      <c r="BA210" s="65">
        <v>0</v>
      </c>
      <c r="BB210" s="65">
        <v>0</v>
      </c>
      <c r="BC210" s="65">
        <v>0</v>
      </c>
      <c r="BD210" s="65">
        <v>0</v>
      </c>
      <c r="BE210" s="65">
        <v>0</v>
      </c>
      <c r="BF210" s="65">
        <v>0</v>
      </c>
      <c r="BG210" s="65">
        <v>0</v>
      </c>
      <c r="BH210" s="65">
        <v>0</v>
      </c>
      <c r="BI210" s="65">
        <v>0</v>
      </c>
      <c r="BJ210" s="65">
        <v>0</v>
      </c>
      <c r="BK210" s="65">
        <v>0</v>
      </c>
      <c r="BL210" s="65">
        <v>0</v>
      </c>
      <c r="BM210" s="65">
        <v>0</v>
      </c>
      <c r="BN210" s="65">
        <v>0</v>
      </c>
      <c r="BO210" s="65">
        <v>0</v>
      </c>
      <c r="BP210" s="65">
        <v>0</v>
      </c>
      <c r="BQ210" s="65">
        <v>0</v>
      </c>
      <c r="BR210" s="65">
        <v>0</v>
      </c>
      <c r="BS210" s="65">
        <v>0</v>
      </c>
      <c r="BT210" s="65">
        <v>0</v>
      </c>
      <c r="BU210" s="65">
        <v>0</v>
      </c>
      <c r="BV210" s="65">
        <v>0</v>
      </c>
      <c r="BW210" s="65">
        <v>0</v>
      </c>
      <c r="BX210" s="65">
        <v>0</v>
      </c>
      <c r="BY210" s="65">
        <v>0</v>
      </c>
      <c r="BZ210" s="65">
        <v>0</v>
      </c>
      <c r="CA210" s="65">
        <v>0</v>
      </c>
      <c r="CB210" s="65">
        <v>0</v>
      </c>
      <c r="CC210" s="65">
        <v>0</v>
      </c>
      <c r="CD210" s="65">
        <v>0</v>
      </c>
      <c r="CE210" s="65">
        <v>0</v>
      </c>
      <c r="CF210" s="65">
        <v>0</v>
      </c>
      <c r="CG210" s="65">
        <v>0</v>
      </c>
      <c r="CH210" s="65">
        <v>0</v>
      </c>
      <c r="CI210" s="65">
        <v>0</v>
      </c>
      <c r="CJ210" s="65">
        <v>0</v>
      </c>
      <c r="CK210" s="65">
        <v>0</v>
      </c>
      <c r="CL210" s="65">
        <v>0</v>
      </c>
      <c r="CM210" s="65">
        <v>0</v>
      </c>
      <c r="CN210" s="65">
        <v>0</v>
      </c>
      <c r="CO210" s="65">
        <v>0</v>
      </c>
      <c r="CP210" s="65">
        <v>0</v>
      </c>
      <c r="CQ210" s="65">
        <v>0</v>
      </c>
      <c r="CR210" s="65">
        <v>0</v>
      </c>
      <c r="CS210" s="65">
        <v>0</v>
      </c>
      <c r="CT210" s="65">
        <v>0</v>
      </c>
      <c r="CU210" s="65">
        <v>0</v>
      </c>
      <c r="CV210" s="65">
        <v>0</v>
      </c>
      <c r="CW210" s="65">
        <v>0</v>
      </c>
      <c r="CX210" s="65">
        <v>0</v>
      </c>
      <c r="CY210" s="65">
        <v>0</v>
      </c>
      <c r="CZ210" s="65">
        <v>0</v>
      </c>
      <c r="DA210" s="65">
        <v>0</v>
      </c>
      <c r="DB210" s="65">
        <v>0</v>
      </c>
      <c r="DC210" s="65">
        <v>0</v>
      </c>
      <c r="DD210" s="65">
        <v>0</v>
      </c>
      <c r="DE210" s="65">
        <v>0</v>
      </c>
      <c r="DF210" s="65">
        <v>0</v>
      </c>
      <c r="DG210" s="65">
        <v>0</v>
      </c>
      <c r="DH210" s="65">
        <v>0</v>
      </c>
      <c r="DI210" s="65">
        <v>0</v>
      </c>
      <c r="DJ210" s="65">
        <v>0</v>
      </c>
      <c r="DK210" s="65">
        <v>0</v>
      </c>
      <c r="DL210" s="65">
        <v>0</v>
      </c>
      <c r="DM210" s="65">
        <v>0</v>
      </c>
      <c r="DN210" s="65">
        <v>0</v>
      </c>
      <c r="DO210" s="65">
        <v>0</v>
      </c>
      <c r="DP210" s="65">
        <v>0</v>
      </c>
      <c r="DQ210" s="65">
        <v>0</v>
      </c>
      <c r="DR210" s="65">
        <v>0</v>
      </c>
      <c r="DS210" s="65">
        <v>0</v>
      </c>
      <c r="DT210" s="65">
        <v>0</v>
      </c>
      <c r="DU210" s="65">
        <v>0</v>
      </c>
      <c r="DV210" s="65">
        <v>0</v>
      </c>
      <c r="DW210" s="65">
        <v>0</v>
      </c>
      <c r="DX210" s="65">
        <v>0</v>
      </c>
      <c r="DY210" s="65">
        <v>0</v>
      </c>
      <c r="DZ210" s="65">
        <v>0</v>
      </c>
      <c r="EA210" s="65">
        <v>0</v>
      </c>
      <c r="EB210" s="65">
        <v>0</v>
      </c>
      <c r="EC210" s="65">
        <v>0</v>
      </c>
      <c r="ED210" s="65">
        <v>0</v>
      </c>
      <c r="EE210" s="65">
        <v>0</v>
      </c>
      <c r="EF210" s="65">
        <v>0</v>
      </c>
      <c r="EG210" s="65">
        <v>0</v>
      </c>
      <c r="EH210" s="65">
        <v>0</v>
      </c>
      <c r="EI210" s="65">
        <v>0</v>
      </c>
      <c r="EJ210" s="65">
        <v>0</v>
      </c>
      <c r="EK210" s="65">
        <v>0</v>
      </c>
      <c r="EL210" s="65">
        <v>0</v>
      </c>
      <c r="EM210" s="65">
        <v>0</v>
      </c>
      <c r="EN210" s="65">
        <v>0</v>
      </c>
      <c r="EO210" s="65">
        <v>0</v>
      </c>
      <c r="EP210" s="65">
        <v>0</v>
      </c>
      <c r="EQ210" s="65">
        <v>0</v>
      </c>
      <c r="ER210" s="65">
        <v>0</v>
      </c>
      <c r="ES210" s="65">
        <v>0</v>
      </c>
      <c r="ET210" s="65">
        <v>0</v>
      </c>
      <c r="EU210" s="65">
        <v>0</v>
      </c>
      <c r="EV210" s="65">
        <v>0</v>
      </c>
      <c r="EW210" s="65">
        <v>0</v>
      </c>
      <c r="EX210" s="65">
        <v>0</v>
      </c>
      <c r="EY210" s="65">
        <v>0</v>
      </c>
      <c r="EZ210" s="65">
        <v>0</v>
      </c>
      <c r="FA210" s="65">
        <v>0</v>
      </c>
      <c r="FB210" s="65">
        <v>0</v>
      </c>
      <c r="FC210" s="65">
        <v>0</v>
      </c>
      <c r="FD210" s="65">
        <v>0</v>
      </c>
      <c r="FE210" s="65">
        <v>0</v>
      </c>
      <c r="FF210" s="65">
        <v>0</v>
      </c>
      <c r="FG210" s="65">
        <v>0</v>
      </c>
      <c r="FH210" s="65">
        <v>0</v>
      </c>
      <c r="FI210" s="65">
        <v>0</v>
      </c>
      <c r="FJ210" s="65">
        <v>0</v>
      </c>
      <c r="FK210" s="65">
        <v>0</v>
      </c>
      <c r="FL210" s="65">
        <v>0</v>
      </c>
      <c r="FM210" s="65">
        <v>0</v>
      </c>
      <c r="FN210" s="65">
        <v>0</v>
      </c>
      <c r="FO210" s="65">
        <v>0</v>
      </c>
      <c r="FP210" s="65">
        <v>0</v>
      </c>
      <c r="FQ210" s="65">
        <v>0</v>
      </c>
      <c r="FR210" s="65">
        <v>0</v>
      </c>
      <c r="FS210" s="65">
        <v>0</v>
      </c>
      <c r="FT210" s="65">
        <v>0</v>
      </c>
      <c r="FU210" s="65">
        <v>0</v>
      </c>
      <c r="FV210" s="65">
        <v>0</v>
      </c>
      <c r="FW210" s="65">
        <v>0</v>
      </c>
      <c r="FX210" s="65">
        <v>0</v>
      </c>
      <c r="FY210" s="65">
        <v>0</v>
      </c>
      <c r="FZ210" s="59"/>
    </row>
    <row r="211" spans="1:182" x14ac:dyDescent="0.2">
      <c r="A211" s="94" t="s">
        <v>334</v>
      </c>
      <c r="B211" s="65">
        <f t="array" ref="B211:FY211">TRANSPOSE('RA CSM'!W13:W192)</f>
        <v>1</v>
      </c>
      <c r="C211" s="65">
        <v>0.99919918881934455</v>
      </c>
      <c r="D211" s="65">
        <v>0.99839901893723615</v>
      </c>
      <c r="E211" s="65">
        <v>0.99759948984011571</v>
      </c>
      <c r="F211" s="65">
        <v>0.99680060101483547</v>
      </c>
      <c r="G211" s="65">
        <v>0.99600235194865872</v>
      </c>
      <c r="H211" s="65">
        <v>0.99520474212925902</v>
      </c>
      <c r="I211" s="65">
        <v>0.99440777104472056</v>
      </c>
      <c r="J211" s="65">
        <v>0.99361143818353725</v>
      </c>
      <c r="K211" s="65">
        <v>0.99281574303461273</v>
      </c>
      <c r="L211" s="65">
        <v>0.99202068508725982</v>
      </c>
      <c r="M211" s="65">
        <v>0.99122626383120038</v>
      </c>
      <c r="N211" s="65">
        <v>0.99043247875656493</v>
      </c>
      <c r="O211" s="65">
        <v>0.98892798052839015</v>
      </c>
      <c r="P211" s="65">
        <v>0.9874257676805589</v>
      </c>
      <c r="Q211" s="65">
        <v>0.98592583674150625</v>
      </c>
      <c r="R211" s="65">
        <v>0.98442818424494072</v>
      </c>
      <c r="S211" s="65">
        <v>0.98293280672983618</v>
      </c>
      <c r="T211" s="65">
        <v>0.98143970074042386</v>
      </c>
      <c r="U211" s="65">
        <v>0.97994886282618443</v>
      </c>
      <c r="V211" s="65">
        <v>0.97846028954184017</v>
      </c>
      <c r="W211" s="65">
        <v>0.9769739774473466</v>
      </c>
      <c r="X211" s="65">
        <v>0.97548992310788496</v>
      </c>
      <c r="Y211" s="65">
        <v>0.97400812309385398</v>
      </c>
      <c r="Z211" s="65">
        <v>0.97252857398086212</v>
      </c>
      <c r="AA211" s="65">
        <v>0.97034621816168198</v>
      </c>
      <c r="AB211" s="65">
        <v>0.96816875955277304</v>
      </c>
      <c r="AC211" s="65">
        <v>0.96599618716478686</v>
      </c>
      <c r="AD211" s="65">
        <v>0.96382849003303517</v>
      </c>
      <c r="AE211" s="65">
        <v>0.96166565721743447</v>
      </c>
      <c r="AF211" s="65">
        <v>0.95950767780245072</v>
      </c>
      <c r="AG211" s="65">
        <v>0.95735454089704453</v>
      </c>
      <c r="AH211" s="65">
        <v>0.95520623563461604</v>
      </c>
      <c r="AI211" s="65">
        <v>0.95306275117294981</v>
      </c>
      <c r="AJ211" s="65">
        <v>0.95092407669416057</v>
      </c>
      <c r="AK211" s="65">
        <v>0.94879020140463843</v>
      </c>
      <c r="AL211" s="65">
        <v>0</v>
      </c>
      <c r="AM211" s="65">
        <v>0</v>
      </c>
      <c r="AN211" s="65">
        <v>0</v>
      </c>
      <c r="AO211" s="65">
        <v>0</v>
      </c>
      <c r="AP211" s="65">
        <v>0</v>
      </c>
      <c r="AQ211" s="65">
        <v>0</v>
      </c>
      <c r="AR211" s="65">
        <v>0</v>
      </c>
      <c r="AS211" s="65">
        <v>0</v>
      </c>
      <c r="AT211" s="65">
        <v>0</v>
      </c>
      <c r="AU211" s="65">
        <v>0</v>
      </c>
      <c r="AV211" s="65">
        <v>0</v>
      </c>
      <c r="AW211" s="65">
        <v>0</v>
      </c>
      <c r="AX211" s="65">
        <v>0</v>
      </c>
      <c r="AY211" s="65">
        <v>0</v>
      </c>
      <c r="AZ211" s="65">
        <v>0</v>
      </c>
      <c r="BA211" s="65">
        <v>0</v>
      </c>
      <c r="BB211" s="65">
        <v>0</v>
      </c>
      <c r="BC211" s="65">
        <v>0</v>
      </c>
      <c r="BD211" s="65">
        <v>0</v>
      </c>
      <c r="BE211" s="65">
        <v>0</v>
      </c>
      <c r="BF211" s="65">
        <v>0</v>
      </c>
      <c r="BG211" s="65">
        <v>0</v>
      </c>
      <c r="BH211" s="65">
        <v>0</v>
      </c>
      <c r="BI211" s="65">
        <v>0</v>
      </c>
      <c r="BJ211" s="65">
        <v>0</v>
      </c>
      <c r="BK211" s="65">
        <v>0</v>
      </c>
      <c r="BL211" s="65">
        <v>0</v>
      </c>
      <c r="BM211" s="65">
        <v>0</v>
      </c>
      <c r="BN211" s="65">
        <v>0</v>
      </c>
      <c r="BO211" s="65">
        <v>0</v>
      </c>
      <c r="BP211" s="65">
        <v>0</v>
      </c>
      <c r="BQ211" s="65">
        <v>0</v>
      </c>
      <c r="BR211" s="65">
        <v>0</v>
      </c>
      <c r="BS211" s="65">
        <v>0</v>
      </c>
      <c r="BT211" s="65">
        <v>0</v>
      </c>
      <c r="BU211" s="65">
        <v>0</v>
      </c>
      <c r="BV211" s="65">
        <v>0</v>
      </c>
      <c r="BW211" s="65">
        <v>0</v>
      </c>
      <c r="BX211" s="65">
        <v>0</v>
      </c>
      <c r="BY211" s="65">
        <v>0</v>
      </c>
      <c r="BZ211" s="65">
        <v>0</v>
      </c>
      <c r="CA211" s="65">
        <v>0</v>
      </c>
      <c r="CB211" s="65">
        <v>0</v>
      </c>
      <c r="CC211" s="65">
        <v>0</v>
      </c>
      <c r="CD211" s="65">
        <v>0</v>
      </c>
      <c r="CE211" s="65">
        <v>0</v>
      </c>
      <c r="CF211" s="65">
        <v>0</v>
      </c>
      <c r="CG211" s="65">
        <v>0</v>
      </c>
      <c r="CH211" s="65">
        <v>0</v>
      </c>
      <c r="CI211" s="65">
        <v>0</v>
      </c>
      <c r="CJ211" s="65">
        <v>0</v>
      </c>
      <c r="CK211" s="65">
        <v>0</v>
      </c>
      <c r="CL211" s="65">
        <v>0</v>
      </c>
      <c r="CM211" s="65">
        <v>0</v>
      </c>
      <c r="CN211" s="65">
        <v>0</v>
      </c>
      <c r="CO211" s="65">
        <v>0</v>
      </c>
      <c r="CP211" s="65">
        <v>0</v>
      </c>
      <c r="CQ211" s="65">
        <v>0</v>
      </c>
      <c r="CR211" s="65">
        <v>0</v>
      </c>
      <c r="CS211" s="65">
        <v>0</v>
      </c>
      <c r="CT211" s="65">
        <v>0</v>
      </c>
      <c r="CU211" s="65">
        <v>0</v>
      </c>
      <c r="CV211" s="65">
        <v>0</v>
      </c>
      <c r="CW211" s="65">
        <v>0</v>
      </c>
      <c r="CX211" s="65">
        <v>0</v>
      </c>
      <c r="CY211" s="65">
        <v>0</v>
      </c>
      <c r="CZ211" s="65">
        <v>0</v>
      </c>
      <c r="DA211" s="65">
        <v>0</v>
      </c>
      <c r="DB211" s="65">
        <v>0</v>
      </c>
      <c r="DC211" s="65">
        <v>0</v>
      </c>
      <c r="DD211" s="65">
        <v>0</v>
      </c>
      <c r="DE211" s="65">
        <v>0</v>
      </c>
      <c r="DF211" s="65">
        <v>0</v>
      </c>
      <c r="DG211" s="65">
        <v>0</v>
      </c>
      <c r="DH211" s="65">
        <v>0</v>
      </c>
      <c r="DI211" s="65">
        <v>0</v>
      </c>
      <c r="DJ211" s="65">
        <v>0</v>
      </c>
      <c r="DK211" s="65">
        <v>0</v>
      </c>
      <c r="DL211" s="65">
        <v>0</v>
      </c>
      <c r="DM211" s="65">
        <v>0</v>
      </c>
      <c r="DN211" s="65">
        <v>0</v>
      </c>
      <c r="DO211" s="65">
        <v>0</v>
      </c>
      <c r="DP211" s="65">
        <v>0</v>
      </c>
      <c r="DQ211" s="65">
        <v>0</v>
      </c>
      <c r="DR211" s="65">
        <v>0</v>
      </c>
      <c r="DS211" s="65">
        <v>0</v>
      </c>
      <c r="DT211" s="65">
        <v>0</v>
      </c>
      <c r="DU211" s="65">
        <v>0</v>
      </c>
      <c r="DV211" s="65">
        <v>0</v>
      </c>
      <c r="DW211" s="65">
        <v>0</v>
      </c>
      <c r="DX211" s="65">
        <v>0</v>
      </c>
      <c r="DY211" s="65">
        <v>0</v>
      </c>
      <c r="DZ211" s="65">
        <v>0</v>
      </c>
      <c r="EA211" s="65">
        <v>0</v>
      </c>
      <c r="EB211" s="65">
        <v>0</v>
      </c>
      <c r="EC211" s="65">
        <v>0</v>
      </c>
      <c r="ED211" s="65">
        <v>0</v>
      </c>
      <c r="EE211" s="65">
        <v>0</v>
      </c>
      <c r="EF211" s="65">
        <v>0</v>
      </c>
      <c r="EG211" s="65">
        <v>0</v>
      </c>
      <c r="EH211" s="65">
        <v>0</v>
      </c>
      <c r="EI211" s="65">
        <v>0</v>
      </c>
      <c r="EJ211" s="65">
        <v>0</v>
      </c>
      <c r="EK211" s="65">
        <v>0</v>
      </c>
      <c r="EL211" s="65">
        <v>0</v>
      </c>
      <c r="EM211" s="65">
        <v>0</v>
      </c>
      <c r="EN211" s="65">
        <v>0</v>
      </c>
      <c r="EO211" s="65">
        <v>0</v>
      </c>
      <c r="EP211" s="65">
        <v>0</v>
      </c>
      <c r="EQ211" s="65">
        <v>0</v>
      </c>
      <c r="ER211" s="65">
        <v>0</v>
      </c>
      <c r="ES211" s="65">
        <v>0</v>
      </c>
      <c r="ET211" s="65">
        <v>0</v>
      </c>
      <c r="EU211" s="65">
        <v>0</v>
      </c>
      <c r="EV211" s="65">
        <v>0</v>
      </c>
      <c r="EW211" s="65">
        <v>0</v>
      </c>
      <c r="EX211" s="65">
        <v>0</v>
      </c>
      <c r="EY211" s="65">
        <v>0</v>
      </c>
      <c r="EZ211" s="65">
        <v>0</v>
      </c>
      <c r="FA211" s="65">
        <v>0</v>
      </c>
      <c r="FB211" s="65">
        <v>0</v>
      </c>
      <c r="FC211" s="65">
        <v>0</v>
      </c>
      <c r="FD211" s="65">
        <v>0</v>
      </c>
      <c r="FE211" s="65">
        <v>0</v>
      </c>
      <c r="FF211" s="65">
        <v>0</v>
      </c>
      <c r="FG211" s="65">
        <v>0</v>
      </c>
      <c r="FH211" s="65">
        <v>0</v>
      </c>
      <c r="FI211" s="65">
        <v>0</v>
      </c>
      <c r="FJ211" s="65">
        <v>0</v>
      </c>
      <c r="FK211" s="65">
        <v>0</v>
      </c>
      <c r="FL211" s="65">
        <v>0</v>
      </c>
      <c r="FM211" s="65">
        <v>0</v>
      </c>
      <c r="FN211" s="65">
        <v>0</v>
      </c>
      <c r="FO211" s="65">
        <v>0</v>
      </c>
      <c r="FP211" s="65">
        <v>0</v>
      </c>
      <c r="FQ211" s="65">
        <v>0</v>
      </c>
      <c r="FR211" s="65">
        <v>0</v>
      </c>
      <c r="FS211" s="65">
        <v>0</v>
      </c>
      <c r="FT211" s="65">
        <v>0</v>
      </c>
      <c r="FU211" s="65">
        <v>0</v>
      </c>
      <c r="FV211" s="65">
        <v>0</v>
      </c>
      <c r="FW211" s="65">
        <v>0</v>
      </c>
      <c r="FX211" s="65">
        <v>0</v>
      </c>
      <c r="FY211" s="65">
        <v>0</v>
      </c>
      <c r="FZ211" s="59"/>
    </row>
    <row r="212" spans="1:182" x14ac:dyDescent="0.2">
      <c r="A212" s="94" t="s">
        <v>335</v>
      </c>
      <c r="B212" s="65">
        <f t="array" ref="B212:FY212">TRANSPOSE('RA CSM'!AA13:AA192)</f>
        <v>0.99919918881934455</v>
      </c>
      <c r="C212" s="65">
        <v>0.99839901893723615</v>
      </c>
      <c r="D212" s="65">
        <v>0.99759948984011571</v>
      </c>
      <c r="E212" s="65">
        <v>0.99680060101483547</v>
      </c>
      <c r="F212" s="65">
        <v>0.99600235194865872</v>
      </c>
      <c r="G212" s="65">
        <v>0.99520474212925902</v>
      </c>
      <c r="H212" s="65">
        <v>0.99440777104472056</v>
      </c>
      <c r="I212" s="65">
        <v>0.99361143818353725</v>
      </c>
      <c r="J212" s="65">
        <v>0.99281574303461273</v>
      </c>
      <c r="K212" s="65">
        <v>0.99202068508725982</v>
      </c>
      <c r="L212" s="65">
        <v>0.99122626383120038</v>
      </c>
      <c r="M212" s="65">
        <v>0.99043247875656493</v>
      </c>
      <c r="N212" s="65">
        <v>0.98892798052839015</v>
      </c>
      <c r="O212" s="65">
        <v>0.9874257676805589</v>
      </c>
      <c r="P212" s="65">
        <v>0.98592583674150625</v>
      </c>
      <c r="Q212" s="65">
        <v>0.98442818424494072</v>
      </c>
      <c r="R212" s="65">
        <v>0.98293280672983618</v>
      </c>
      <c r="S212" s="65">
        <v>0.98143970074042386</v>
      </c>
      <c r="T212" s="65">
        <v>0.97994886282618443</v>
      </c>
      <c r="U212" s="65">
        <v>0.97846028954184017</v>
      </c>
      <c r="V212" s="65">
        <v>0.9769739774473466</v>
      </c>
      <c r="W212" s="65">
        <v>0.97548992310788496</v>
      </c>
      <c r="X212" s="65">
        <v>0.97400812309385398</v>
      </c>
      <c r="Y212" s="65">
        <v>0.97252857398086212</v>
      </c>
      <c r="Z212" s="65">
        <v>0.97034621816168198</v>
      </c>
      <c r="AA212" s="65">
        <v>0.96816875955277304</v>
      </c>
      <c r="AB212" s="65">
        <v>0.96599618716478686</v>
      </c>
      <c r="AC212" s="65">
        <v>0.96382849003303517</v>
      </c>
      <c r="AD212" s="65">
        <v>0.96166565721743447</v>
      </c>
      <c r="AE212" s="65">
        <v>0.95950767780245072</v>
      </c>
      <c r="AF212" s="65">
        <v>0.95735454089704453</v>
      </c>
      <c r="AG212" s="65">
        <v>0.95520623563461604</v>
      </c>
      <c r="AH212" s="65">
        <v>0.95306275117294981</v>
      </c>
      <c r="AI212" s="65">
        <v>0.95092407669416057</v>
      </c>
      <c r="AJ212" s="65">
        <v>0.94879020140463843</v>
      </c>
      <c r="AK212" s="65">
        <v>0</v>
      </c>
      <c r="AL212" s="65">
        <v>0</v>
      </c>
      <c r="AM212" s="65">
        <v>0</v>
      </c>
      <c r="AN212" s="65">
        <v>0</v>
      </c>
      <c r="AO212" s="65">
        <v>0</v>
      </c>
      <c r="AP212" s="65">
        <v>0</v>
      </c>
      <c r="AQ212" s="65">
        <v>0</v>
      </c>
      <c r="AR212" s="65">
        <v>0</v>
      </c>
      <c r="AS212" s="65">
        <v>0</v>
      </c>
      <c r="AT212" s="65">
        <v>0</v>
      </c>
      <c r="AU212" s="65">
        <v>0</v>
      </c>
      <c r="AV212" s="65">
        <v>0</v>
      </c>
      <c r="AW212" s="65">
        <v>0</v>
      </c>
      <c r="AX212" s="65">
        <v>0</v>
      </c>
      <c r="AY212" s="65">
        <v>0</v>
      </c>
      <c r="AZ212" s="65">
        <v>0</v>
      </c>
      <c r="BA212" s="65">
        <v>0</v>
      </c>
      <c r="BB212" s="65">
        <v>0</v>
      </c>
      <c r="BC212" s="65">
        <v>0</v>
      </c>
      <c r="BD212" s="65">
        <v>0</v>
      </c>
      <c r="BE212" s="65">
        <v>0</v>
      </c>
      <c r="BF212" s="65">
        <v>0</v>
      </c>
      <c r="BG212" s="65">
        <v>0</v>
      </c>
      <c r="BH212" s="65">
        <v>0</v>
      </c>
      <c r="BI212" s="65">
        <v>0</v>
      </c>
      <c r="BJ212" s="65">
        <v>0</v>
      </c>
      <c r="BK212" s="65">
        <v>0</v>
      </c>
      <c r="BL212" s="65">
        <v>0</v>
      </c>
      <c r="BM212" s="65">
        <v>0</v>
      </c>
      <c r="BN212" s="65">
        <v>0</v>
      </c>
      <c r="BO212" s="65">
        <v>0</v>
      </c>
      <c r="BP212" s="65">
        <v>0</v>
      </c>
      <c r="BQ212" s="65">
        <v>0</v>
      </c>
      <c r="BR212" s="65">
        <v>0</v>
      </c>
      <c r="BS212" s="65">
        <v>0</v>
      </c>
      <c r="BT212" s="65">
        <v>0</v>
      </c>
      <c r="BU212" s="65">
        <v>0</v>
      </c>
      <c r="BV212" s="65">
        <v>0</v>
      </c>
      <c r="BW212" s="65">
        <v>0</v>
      </c>
      <c r="BX212" s="65">
        <v>0</v>
      </c>
      <c r="BY212" s="65">
        <v>0</v>
      </c>
      <c r="BZ212" s="65">
        <v>0</v>
      </c>
      <c r="CA212" s="65">
        <v>0</v>
      </c>
      <c r="CB212" s="65">
        <v>0</v>
      </c>
      <c r="CC212" s="65">
        <v>0</v>
      </c>
      <c r="CD212" s="65">
        <v>0</v>
      </c>
      <c r="CE212" s="65">
        <v>0</v>
      </c>
      <c r="CF212" s="65">
        <v>0</v>
      </c>
      <c r="CG212" s="65">
        <v>0</v>
      </c>
      <c r="CH212" s="65">
        <v>0</v>
      </c>
      <c r="CI212" s="65">
        <v>0</v>
      </c>
      <c r="CJ212" s="65">
        <v>0</v>
      </c>
      <c r="CK212" s="65">
        <v>0</v>
      </c>
      <c r="CL212" s="65">
        <v>0</v>
      </c>
      <c r="CM212" s="65">
        <v>0</v>
      </c>
      <c r="CN212" s="65">
        <v>0</v>
      </c>
      <c r="CO212" s="65">
        <v>0</v>
      </c>
      <c r="CP212" s="65">
        <v>0</v>
      </c>
      <c r="CQ212" s="65">
        <v>0</v>
      </c>
      <c r="CR212" s="65">
        <v>0</v>
      </c>
      <c r="CS212" s="65">
        <v>0</v>
      </c>
      <c r="CT212" s="65">
        <v>0</v>
      </c>
      <c r="CU212" s="65">
        <v>0</v>
      </c>
      <c r="CV212" s="65">
        <v>0</v>
      </c>
      <c r="CW212" s="65">
        <v>0</v>
      </c>
      <c r="CX212" s="65">
        <v>0</v>
      </c>
      <c r="CY212" s="65">
        <v>0</v>
      </c>
      <c r="CZ212" s="65">
        <v>0</v>
      </c>
      <c r="DA212" s="65">
        <v>0</v>
      </c>
      <c r="DB212" s="65">
        <v>0</v>
      </c>
      <c r="DC212" s="65">
        <v>0</v>
      </c>
      <c r="DD212" s="65">
        <v>0</v>
      </c>
      <c r="DE212" s="65">
        <v>0</v>
      </c>
      <c r="DF212" s="65">
        <v>0</v>
      </c>
      <c r="DG212" s="65">
        <v>0</v>
      </c>
      <c r="DH212" s="65">
        <v>0</v>
      </c>
      <c r="DI212" s="65">
        <v>0</v>
      </c>
      <c r="DJ212" s="65">
        <v>0</v>
      </c>
      <c r="DK212" s="65">
        <v>0</v>
      </c>
      <c r="DL212" s="65">
        <v>0</v>
      </c>
      <c r="DM212" s="65">
        <v>0</v>
      </c>
      <c r="DN212" s="65">
        <v>0</v>
      </c>
      <c r="DO212" s="65">
        <v>0</v>
      </c>
      <c r="DP212" s="65">
        <v>0</v>
      </c>
      <c r="DQ212" s="65">
        <v>0</v>
      </c>
      <c r="DR212" s="65">
        <v>0</v>
      </c>
      <c r="DS212" s="65">
        <v>0</v>
      </c>
      <c r="DT212" s="65">
        <v>0</v>
      </c>
      <c r="DU212" s="65">
        <v>0</v>
      </c>
      <c r="DV212" s="65">
        <v>0</v>
      </c>
      <c r="DW212" s="65">
        <v>0</v>
      </c>
      <c r="DX212" s="65">
        <v>0</v>
      </c>
      <c r="DY212" s="65">
        <v>0</v>
      </c>
      <c r="DZ212" s="65">
        <v>0</v>
      </c>
      <c r="EA212" s="65">
        <v>0</v>
      </c>
      <c r="EB212" s="65">
        <v>0</v>
      </c>
      <c r="EC212" s="65">
        <v>0</v>
      </c>
      <c r="ED212" s="65">
        <v>0</v>
      </c>
      <c r="EE212" s="65">
        <v>0</v>
      </c>
      <c r="EF212" s="65">
        <v>0</v>
      </c>
      <c r="EG212" s="65">
        <v>0</v>
      </c>
      <c r="EH212" s="65">
        <v>0</v>
      </c>
      <c r="EI212" s="65">
        <v>0</v>
      </c>
      <c r="EJ212" s="65">
        <v>0</v>
      </c>
      <c r="EK212" s="65">
        <v>0</v>
      </c>
      <c r="EL212" s="65">
        <v>0</v>
      </c>
      <c r="EM212" s="65">
        <v>0</v>
      </c>
      <c r="EN212" s="65">
        <v>0</v>
      </c>
      <c r="EO212" s="65">
        <v>0</v>
      </c>
      <c r="EP212" s="65">
        <v>0</v>
      </c>
      <c r="EQ212" s="65">
        <v>0</v>
      </c>
      <c r="ER212" s="65">
        <v>0</v>
      </c>
      <c r="ES212" s="65">
        <v>0</v>
      </c>
      <c r="ET212" s="65">
        <v>0</v>
      </c>
      <c r="EU212" s="65">
        <v>0</v>
      </c>
      <c r="EV212" s="65">
        <v>0</v>
      </c>
      <c r="EW212" s="65">
        <v>0</v>
      </c>
      <c r="EX212" s="65">
        <v>0</v>
      </c>
      <c r="EY212" s="65">
        <v>0</v>
      </c>
      <c r="EZ212" s="65">
        <v>0</v>
      </c>
      <c r="FA212" s="65">
        <v>0</v>
      </c>
      <c r="FB212" s="65">
        <v>0</v>
      </c>
      <c r="FC212" s="65">
        <v>0</v>
      </c>
      <c r="FD212" s="65">
        <v>0</v>
      </c>
      <c r="FE212" s="65">
        <v>0</v>
      </c>
      <c r="FF212" s="65">
        <v>0</v>
      </c>
      <c r="FG212" s="65">
        <v>0</v>
      </c>
      <c r="FH212" s="65">
        <v>0</v>
      </c>
      <c r="FI212" s="65">
        <v>0</v>
      </c>
      <c r="FJ212" s="65">
        <v>0</v>
      </c>
      <c r="FK212" s="65">
        <v>0</v>
      </c>
      <c r="FL212" s="65">
        <v>0</v>
      </c>
      <c r="FM212" s="65">
        <v>0</v>
      </c>
      <c r="FN212" s="65">
        <v>0</v>
      </c>
      <c r="FO212" s="65">
        <v>0</v>
      </c>
      <c r="FP212" s="65">
        <v>0</v>
      </c>
      <c r="FQ212" s="65">
        <v>0</v>
      </c>
      <c r="FR212" s="65">
        <v>0</v>
      </c>
      <c r="FS212" s="65">
        <v>0</v>
      </c>
      <c r="FT212" s="65">
        <v>0</v>
      </c>
      <c r="FU212" s="65">
        <v>0</v>
      </c>
      <c r="FV212" s="65">
        <v>0</v>
      </c>
      <c r="FW212" s="65">
        <v>0</v>
      </c>
      <c r="FX212" s="65">
        <v>0</v>
      </c>
      <c r="FY212" s="65">
        <v>0</v>
      </c>
      <c r="FZ212" s="59"/>
    </row>
    <row r="213" spans="1:182" x14ac:dyDescent="0.2">
      <c r="Z213" s="57"/>
      <c r="AA213" s="58"/>
      <c r="AB213" s="58"/>
      <c r="AC213" s="58"/>
    </row>
    <row r="214" spans="1:182" x14ac:dyDescent="0.2">
      <c r="A214" s="94" t="s">
        <v>319</v>
      </c>
      <c r="B214" s="65">
        <f>IFERROR(B207/B209,0)</f>
        <v>-109988.3434935283</v>
      </c>
      <c r="C214" s="65">
        <f t="shared" ref="C214:BN214" si="2337">IFERROR(C207/C209,0)</f>
        <v>116448.09296759122</v>
      </c>
      <c r="D214" s="65">
        <f t="shared" si="2337"/>
        <v>111551.4326372651</v>
      </c>
      <c r="E214" s="65">
        <f t="shared" si="2337"/>
        <v>106723.55066459547</v>
      </c>
      <c r="F214" s="65">
        <f t="shared" si="2337"/>
        <v>101966.35754663304</v>
      </c>
      <c r="G214" s="65">
        <f t="shared" si="2337"/>
        <v>97281.799739326219</v>
      </c>
      <c r="H214" s="65">
        <f t="shared" si="2337"/>
        <v>92671.860278824664</v>
      </c>
      <c r="I214" s="65">
        <f t="shared" si="2337"/>
        <v>88138.559413219278</v>
      </c>
      <c r="J214" s="65">
        <f t="shared" si="2337"/>
        <v>83683.955244934099</v>
      </c>
      <c r="K214" s="65">
        <f t="shared" si="2337"/>
        <v>79310.144383960927</v>
      </c>
      <c r="L214" s="65">
        <f t="shared" si="2337"/>
        <v>75019.262612092527</v>
      </c>
      <c r="M214" s="65">
        <f t="shared" si="2337"/>
        <v>70813.485558310145</v>
      </c>
      <c r="N214" s="65">
        <f t="shared" si="2337"/>
        <v>66695.029385617556</v>
      </c>
      <c r="O214" s="65">
        <f t="shared" si="2337"/>
        <v>62629.640214358609</v>
      </c>
      <c r="P214" s="65">
        <f t="shared" si="2337"/>
        <v>58656.465291675406</v>
      </c>
      <c r="Q214" s="65">
        <f t="shared" si="2337"/>
        <v>54777.928444100304</v>
      </c>
      <c r="R214" s="65">
        <f t="shared" si="2337"/>
        <v>50996.499419412612</v>
      </c>
      <c r="S214" s="65">
        <f t="shared" si="2337"/>
        <v>47314.694686100571</v>
      </c>
      <c r="T214" s="65">
        <f t="shared" si="2337"/>
        <v>43735.07824640032</v>
      </c>
      <c r="U214" s="65">
        <f t="shared" si="2337"/>
        <v>40260.262463040206</v>
      </c>
      <c r="V214" s="65">
        <f t="shared" si="2337"/>
        <v>36892.908900033704</v>
      </c>
      <c r="W214" s="65">
        <f t="shared" si="2337"/>
        <v>33635.729177670124</v>
      </c>
      <c r="X214" s="65">
        <f t="shared" si="2337"/>
        <v>30491.485841960151</v>
      </c>
      <c r="Y214" s="65">
        <f t="shared" si="2337"/>
        <v>27462.993248812742</v>
      </c>
      <c r="Z214" s="65">
        <f t="shared" si="2337"/>
        <v>24553.118463177023</v>
      </c>
      <c r="AA214" s="65">
        <f t="shared" si="2337"/>
        <v>21740.123731142339</v>
      </c>
      <c r="AB214" s="65">
        <f t="shared" si="2337"/>
        <v>19053.125574708054</v>
      </c>
      <c r="AC214" s="65">
        <f t="shared" si="2337"/>
        <v>16495.274200045129</v>
      </c>
      <c r="AD214" s="65">
        <f t="shared" si="2337"/>
        <v>14069.779751044876</v>
      </c>
      <c r="AE214" s="65">
        <f t="shared" si="2337"/>
        <v>11779.913360591567</v>
      </c>
      <c r="AF214" s="65">
        <f t="shared" si="2337"/>
        <v>9629.008219670739</v>
      </c>
      <c r="AG214" s="65">
        <f t="shared" si="2337"/>
        <v>7620.4606646886887</v>
      </c>
      <c r="AH214" s="65">
        <f t="shared" si="2337"/>
        <v>5757.7312832676189</v>
      </c>
      <c r="AI214" s="65">
        <f t="shared" si="2337"/>
        <v>4044.3460388696544</v>
      </c>
      <c r="AJ214" s="65">
        <f t="shared" si="2337"/>
        <v>2483.8974145239345</v>
      </c>
      <c r="AK214" s="65">
        <f t="shared" si="2337"/>
        <v>1080.045576000005</v>
      </c>
      <c r="AL214" s="65">
        <f t="shared" si="2337"/>
        <v>0</v>
      </c>
      <c r="AM214" s="65">
        <f t="shared" si="2337"/>
        <v>0</v>
      </c>
      <c r="AN214" s="65">
        <f t="shared" si="2337"/>
        <v>0</v>
      </c>
      <c r="AO214" s="65">
        <f t="shared" si="2337"/>
        <v>0</v>
      </c>
      <c r="AP214" s="65">
        <f t="shared" si="2337"/>
        <v>0</v>
      </c>
      <c r="AQ214" s="65">
        <f t="shared" si="2337"/>
        <v>0</v>
      </c>
      <c r="AR214" s="65">
        <f t="shared" si="2337"/>
        <v>0</v>
      </c>
      <c r="AS214" s="65">
        <f t="shared" si="2337"/>
        <v>0</v>
      </c>
      <c r="AT214" s="65">
        <f t="shared" si="2337"/>
        <v>0</v>
      </c>
      <c r="AU214" s="65">
        <f t="shared" si="2337"/>
        <v>0</v>
      </c>
      <c r="AV214" s="65">
        <f t="shared" si="2337"/>
        <v>0</v>
      </c>
      <c r="AW214" s="65">
        <f t="shared" si="2337"/>
        <v>0</v>
      </c>
      <c r="AX214" s="65">
        <f t="shared" si="2337"/>
        <v>0</v>
      </c>
      <c r="AY214" s="65">
        <f t="shared" si="2337"/>
        <v>0</v>
      </c>
      <c r="AZ214" s="65">
        <f t="shared" si="2337"/>
        <v>0</v>
      </c>
      <c r="BA214" s="65">
        <f t="shared" si="2337"/>
        <v>0</v>
      </c>
      <c r="BB214" s="65">
        <f t="shared" si="2337"/>
        <v>0</v>
      </c>
      <c r="BC214" s="65">
        <f t="shared" si="2337"/>
        <v>0</v>
      </c>
      <c r="BD214" s="65">
        <f t="shared" si="2337"/>
        <v>0</v>
      </c>
      <c r="BE214" s="65">
        <f t="shared" si="2337"/>
        <v>0</v>
      </c>
      <c r="BF214" s="65">
        <f t="shared" si="2337"/>
        <v>0</v>
      </c>
      <c r="BG214" s="65">
        <f t="shared" si="2337"/>
        <v>0</v>
      </c>
      <c r="BH214" s="65">
        <f t="shared" si="2337"/>
        <v>0</v>
      </c>
      <c r="BI214" s="65">
        <f t="shared" si="2337"/>
        <v>0</v>
      </c>
      <c r="BJ214" s="65">
        <f t="shared" si="2337"/>
        <v>0</v>
      </c>
      <c r="BK214" s="65">
        <f t="shared" si="2337"/>
        <v>0</v>
      </c>
      <c r="BL214" s="65">
        <f t="shared" si="2337"/>
        <v>0</v>
      </c>
      <c r="BM214" s="65">
        <f t="shared" si="2337"/>
        <v>0</v>
      </c>
      <c r="BN214" s="65">
        <f t="shared" si="2337"/>
        <v>0</v>
      </c>
      <c r="BO214" s="65">
        <f t="shared" ref="BO214:DZ214" si="2338">IFERROR(BO207/BO209,0)</f>
        <v>0</v>
      </c>
      <c r="BP214" s="65">
        <f t="shared" si="2338"/>
        <v>0</v>
      </c>
      <c r="BQ214" s="65">
        <f t="shared" si="2338"/>
        <v>0</v>
      </c>
      <c r="BR214" s="65">
        <f t="shared" si="2338"/>
        <v>0</v>
      </c>
      <c r="BS214" s="65">
        <f t="shared" si="2338"/>
        <v>0</v>
      </c>
      <c r="BT214" s="65">
        <f t="shared" si="2338"/>
        <v>0</v>
      </c>
      <c r="BU214" s="65">
        <f t="shared" si="2338"/>
        <v>0</v>
      </c>
      <c r="BV214" s="65">
        <f t="shared" si="2338"/>
        <v>0</v>
      </c>
      <c r="BW214" s="65">
        <f t="shared" si="2338"/>
        <v>0</v>
      </c>
      <c r="BX214" s="65">
        <f t="shared" si="2338"/>
        <v>0</v>
      </c>
      <c r="BY214" s="65">
        <f t="shared" si="2338"/>
        <v>0</v>
      </c>
      <c r="BZ214" s="65">
        <f t="shared" si="2338"/>
        <v>0</v>
      </c>
      <c r="CA214" s="65">
        <f t="shared" si="2338"/>
        <v>0</v>
      </c>
      <c r="CB214" s="65">
        <f t="shared" si="2338"/>
        <v>0</v>
      </c>
      <c r="CC214" s="65">
        <f t="shared" si="2338"/>
        <v>0</v>
      </c>
      <c r="CD214" s="65">
        <f t="shared" si="2338"/>
        <v>0</v>
      </c>
      <c r="CE214" s="65">
        <f t="shared" si="2338"/>
        <v>0</v>
      </c>
      <c r="CF214" s="65">
        <f t="shared" si="2338"/>
        <v>0</v>
      </c>
      <c r="CG214" s="65">
        <f t="shared" si="2338"/>
        <v>0</v>
      </c>
      <c r="CH214" s="65">
        <f t="shared" si="2338"/>
        <v>0</v>
      </c>
      <c r="CI214" s="65">
        <f t="shared" si="2338"/>
        <v>0</v>
      </c>
      <c r="CJ214" s="65">
        <f t="shared" si="2338"/>
        <v>0</v>
      </c>
      <c r="CK214" s="65">
        <f t="shared" si="2338"/>
        <v>0</v>
      </c>
      <c r="CL214" s="65">
        <f t="shared" si="2338"/>
        <v>0</v>
      </c>
      <c r="CM214" s="65">
        <f t="shared" si="2338"/>
        <v>0</v>
      </c>
      <c r="CN214" s="65">
        <f t="shared" si="2338"/>
        <v>0</v>
      </c>
      <c r="CO214" s="65">
        <f t="shared" si="2338"/>
        <v>0</v>
      </c>
      <c r="CP214" s="65">
        <f t="shared" si="2338"/>
        <v>0</v>
      </c>
      <c r="CQ214" s="65">
        <f t="shared" si="2338"/>
        <v>0</v>
      </c>
      <c r="CR214" s="65">
        <f t="shared" si="2338"/>
        <v>0</v>
      </c>
      <c r="CS214" s="65">
        <f t="shared" si="2338"/>
        <v>0</v>
      </c>
      <c r="CT214" s="65">
        <f t="shared" si="2338"/>
        <v>0</v>
      </c>
      <c r="CU214" s="65">
        <f t="shared" si="2338"/>
        <v>0</v>
      </c>
      <c r="CV214" s="65">
        <f t="shared" si="2338"/>
        <v>0</v>
      </c>
      <c r="CW214" s="65">
        <f t="shared" si="2338"/>
        <v>0</v>
      </c>
      <c r="CX214" s="65">
        <f t="shared" si="2338"/>
        <v>0</v>
      </c>
      <c r="CY214" s="65">
        <f t="shared" si="2338"/>
        <v>0</v>
      </c>
      <c r="CZ214" s="65">
        <f t="shared" si="2338"/>
        <v>0</v>
      </c>
      <c r="DA214" s="65">
        <f t="shared" si="2338"/>
        <v>0</v>
      </c>
      <c r="DB214" s="65">
        <f t="shared" si="2338"/>
        <v>0</v>
      </c>
      <c r="DC214" s="65">
        <f t="shared" si="2338"/>
        <v>0</v>
      </c>
      <c r="DD214" s="65">
        <f t="shared" si="2338"/>
        <v>0</v>
      </c>
      <c r="DE214" s="65">
        <f t="shared" si="2338"/>
        <v>0</v>
      </c>
      <c r="DF214" s="65">
        <f t="shared" si="2338"/>
        <v>0</v>
      </c>
      <c r="DG214" s="65">
        <f t="shared" si="2338"/>
        <v>0</v>
      </c>
      <c r="DH214" s="65">
        <f t="shared" si="2338"/>
        <v>0</v>
      </c>
      <c r="DI214" s="65">
        <f t="shared" si="2338"/>
        <v>0</v>
      </c>
      <c r="DJ214" s="65">
        <f t="shared" si="2338"/>
        <v>0</v>
      </c>
      <c r="DK214" s="65">
        <f t="shared" si="2338"/>
        <v>0</v>
      </c>
      <c r="DL214" s="65">
        <f t="shared" si="2338"/>
        <v>0</v>
      </c>
      <c r="DM214" s="65">
        <f t="shared" si="2338"/>
        <v>0</v>
      </c>
      <c r="DN214" s="65">
        <f t="shared" si="2338"/>
        <v>0</v>
      </c>
      <c r="DO214" s="65">
        <f t="shared" si="2338"/>
        <v>0</v>
      </c>
      <c r="DP214" s="65">
        <f t="shared" si="2338"/>
        <v>0</v>
      </c>
      <c r="DQ214" s="65">
        <f t="shared" si="2338"/>
        <v>0</v>
      </c>
      <c r="DR214" s="65">
        <f t="shared" si="2338"/>
        <v>0</v>
      </c>
      <c r="DS214" s="65">
        <f t="shared" si="2338"/>
        <v>0</v>
      </c>
      <c r="DT214" s="65">
        <f t="shared" si="2338"/>
        <v>0</v>
      </c>
      <c r="DU214" s="65">
        <f t="shared" si="2338"/>
        <v>0</v>
      </c>
      <c r="DV214" s="65">
        <f t="shared" si="2338"/>
        <v>0</v>
      </c>
      <c r="DW214" s="65">
        <f t="shared" si="2338"/>
        <v>0</v>
      </c>
      <c r="DX214" s="65">
        <f t="shared" si="2338"/>
        <v>0</v>
      </c>
      <c r="DY214" s="65">
        <f t="shared" si="2338"/>
        <v>0</v>
      </c>
      <c r="DZ214" s="65">
        <f t="shared" si="2338"/>
        <v>0</v>
      </c>
      <c r="EA214" s="65">
        <f t="shared" ref="EA214:FY214" si="2339">IFERROR(EA207/EA209,0)</f>
        <v>0</v>
      </c>
      <c r="EB214" s="65">
        <f t="shared" si="2339"/>
        <v>0</v>
      </c>
      <c r="EC214" s="65">
        <f t="shared" si="2339"/>
        <v>0</v>
      </c>
      <c r="ED214" s="65">
        <f t="shared" si="2339"/>
        <v>0</v>
      </c>
      <c r="EE214" s="65">
        <f t="shared" si="2339"/>
        <v>0</v>
      </c>
      <c r="EF214" s="65">
        <f t="shared" si="2339"/>
        <v>0</v>
      </c>
      <c r="EG214" s="65">
        <f t="shared" si="2339"/>
        <v>0</v>
      </c>
      <c r="EH214" s="65">
        <f t="shared" si="2339"/>
        <v>0</v>
      </c>
      <c r="EI214" s="65">
        <f t="shared" si="2339"/>
        <v>0</v>
      </c>
      <c r="EJ214" s="65">
        <f t="shared" si="2339"/>
        <v>0</v>
      </c>
      <c r="EK214" s="65">
        <f t="shared" si="2339"/>
        <v>0</v>
      </c>
      <c r="EL214" s="65">
        <f t="shared" si="2339"/>
        <v>0</v>
      </c>
      <c r="EM214" s="65">
        <f t="shared" si="2339"/>
        <v>0</v>
      </c>
      <c r="EN214" s="65">
        <f t="shared" si="2339"/>
        <v>0</v>
      </c>
      <c r="EO214" s="65">
        <f t="shared" si="2339"/>
        <v>0</v>
      </c>
      <c r="EP214" s="65">
        <f t="shared" si="2339"/>
        <v>0</v>
      </c>
      <c r="EQ214" s="65">
        <f t="shared" si="2339"/>
        <v>0</v>
      </c>
      <c r="ER214" s="65">
        <f t="shared" si="2339"/>
        <v>0</v>
      </c>
      <c r="ES214" s="65">
        <f t="shared" si="2339"/>
        <v>0</v>
      </c>
      <c r="ET214" s="65">
        <f t="shared" si="2339"/>
        <v>0</v>
      </c>
      <c r="EU214" s="65">
        <f t="shared" si="2339"/>
        <v>0</v>
      </c>
      <c r="EV214" s="65">
        <f t="shared" si="2339"/>
        <v>0</v>
      </c>
      <c r="EW214" s="65">
        <f t="shared" si="2339"/>
        <v>0</v>
      </c>
      <c r="EX214" s="65">
        <f t="shared" si="2339"/>
        <v>0</v>
      </c>
      <c r="EY214" s="65">
        <f t="shared" si="2339"/>
        <v>0</v>
      </c>
      <c r="EZ214" s="65">
        <f t="shared" si="2339"/>
        <v>0</v>
      </c>
      <c r="FA214" s="65">
        <f t="shared" si="2339"/>
        <v>0</v>
      </c>
      <c r="FB214" s="65">
        <f t="shared" si="2339"/>
        <v>0</v>
      </c>
      <c r="FC214" s="65">
        <f t="shared" si="2339"/>
        <v>0</v>
      </c>
      <c r="FD214" s="65">
        <f t="shared" si="2339"/>
        <v>0</v>
      </c>
      <c r="FE214" s="65">
        <f t="shared" si="2339"/>
        <v>0</v>
      </c>
      <c r="FF214" s="65">
        <f t="shared" si="2339"/>
        <v>0</v>
      </c>
      <c r="FG214" s="65">
        <f t="shared" si="2339"/>
        <v>0</v>
      </c>
      <c r="FH214" s="65">
        <f t="shared" si="2339"/>
        <v>0</v>
      </c>
      <c r="FI214" s="65">
        <f t="shared" si="2339"/>
        <v>0</v>
      </c>
      <c r="FJ214" s="65">
        <f t="shared" si="2339"/>
        <v>0</v>
      </c>
      <c r="FK214" s="65">
        <f t="shared" si="2339"/>
        <v>0</v>
      </c>
      <c r="FL214" s="65">
        <f t="shared" si="2339"/>
        <v>0</v>
      </c>
      <c r="FM214" s="65">
        <f t="shared" si="2339"/>
        <v>0</v>
      </c>
      <c r="FN214" s="65">
        <f t="shared" si="2339"/>
        <v>0</v>
      </c>
      <c r="FO214" s="65">
        <f t="shared" si="2339"/>
        <v>0</v>
      </c>
      <c r="FP214" s="65">
        <f t="shared" si="2339"/>
        <v>0</v>
      </c>
      <c r="FQ214" s="65">
        <f t="shared" si="2339"/>
        <v>0</v>
      </c>
      <c r="FR214" s="65">
        <f t="shared" si="2339"/>
        <v>0</v>
      </c>
      <c r="FS214" s="65">
        <f t="shared" si="2339"/>
        <v>0</v>
      </c>
      <c r="FT214" s="65">
        <f t="shared" si="2339"/>
        <v>0</v>
      </c>
      <c r="FU214" s="65">
        <f t="shared" si="2339"/>
        <v>0</v>
      </c>
      <c r="FV214" s="65">
        <f t="shared" si="2339"/>
        <v>0</v>
      </c>
      <c r="FW214" s="65">
        <f t="shared" si="2339"/>
        <v>0</v>
      </c>
      <c r="FX214" s="65">
        <f t="shared" si="2339"/>
        <v>0</v>
      </c>
      <c r="FY214" s="65">
        <f t="shared" si="2339"/>
        <v>0</v>
      </c>
      <c r="FZ214" s="59"/>
    </row>
    <row r="215" spans="1:182" ht="15.75" customHeight="1" x14ac:dyDescent="0.2">
      <c r="A215" s="94" t="s">
        <v>320</v>
      </c>
      <c r="B215" s="65">
        <f>IFERROR((B208/B211)-B214,0)</f>
        <v>2849.4615063997917</v>
      </c>
      <c r="C215" s="65">
        <f t="shared" ref="C215:BN215" si="2340">IFERROR((C208/C211)-C214,0)</f>
        <v>1432.2965632193373</v>
      </c>
      <c r="D215" s="65">
        <f t="shared" si="2340"/>
        <v>1394.8687847873225</v>
      </c>
      <c r="E215" s="65">
        <f t="shared" si="2340"/>
        <v>1357.1679365331802</v>
      </c>
      <c r="F215" s="65">
        <f t="shared" si="2340"/>
        <v>1319.1834903377312</v>
      </c>
      <c r="G215" s="65">
        <f t="shared" si="2340"/>
        <v>1280.9046184943145</v>
      </c>
      <c r="H215" s="65">
        <f t="shared" si="2340"/>
        <v>1242.3201875607047</v>
      </c>
      <c r="I215" s="65">
        <f t="shared" si="2340"/>
        <v>1203.4187520992273</v>
      </c>
      <c r="J215" s="65">
        <f t="shared" si="2340"/>
        <v>1164.1885483046062</v>
      </c>
      <c r="K215" s="65">
        <f t="shared" si="2340"/>
        <v>1124.6174875161232</v>
      </c>
      <c r="L215" s="65">
        <f t="shared" si="2340"/>
        <v>1084.6931496128527</v>
      </c>
      <c r="M215" s="65">
        <f t="shared" si="2340"/>
        <v>1044.4027762900078</v>
      </c>
      <c r="N215" s="65">
        <f t="shared" si="2340"/>
        <v>1003.7332642141409</v>
      </c>
      <c r="O215" s="65">
        <f t="shared" si="2340"/>
        <v>968.84815385912225</v>
      </c>
      <c r="P215" s="65">
        <f t="shared" si="2340"/>
        <v>933.48821064255026</v>
      </c>
      <c r="Q215" s="65">
        <f t="shared" si="2340"/>
        <v>897.62648207589518</v>
      </c>
      <c r="R215" s="65">
        <f t="shared" si="2340"/>
        <v>861.23523211976135</v>
      </c>
      <c r="S215" s="65">
        <f t="shared" si="2340"/>
        <v>824.28592475602636</v>
      </c>
      <c r="T215" s="65">
        <f t="shared" si="2340"/>
        <v>786.74920725772245</v>
      </c>
      <c r="U215" s="65">
        <f t="shared" si="2340"/>
        <v>748.59489315115206</v>
      </c>
      <c r="V215" s="65">
        <f t="shared" si="2340"/>
        <v>709.79194486534834</v>
      </c>
      <c r="W215" s="65">
        <f t="shared" si="2340"/>
        <v>670.30845606292132</v>
      </c>
      <c r="X215" s="65">
        <f t="shared" si="2340"/>
        <v>630.11163364711319</v>
      </c>
      <c r="Y215" s="65">
        <f t="shared" si="2340"/>
        <v>589.16777943929264</v>
      </c>
      <c r="Z215" s="65">
        <f t="shared" si="2340"/>
        <v>547.44227152123131</v>
      </c>
      <c r="AA215" s="65">
        <f t="shared" si="2340"/>
        <v>508.97315989575145</v>
      </c>
      <c r="AB215" s="65">
        <f t="shared" si="2340"/>
        <v>469.40633739368059</v>
      </c>
      <c r="AC215" s="65">
        <f t="shared" si="2340"/>
        <v>428.68506617844469</v>
      </c>
      <c r="AD215" s="65">
        <f t="shared" si="2340"/>
        <v>386.7510084435944</v>
      </c>
      <c r="AE215" s="65">
        <f t="shared" si="2340"/>
        <v>343.54419256441361</v>
      </c>
      <c r="AF215" s="65">
        <f t="shared" si="2340"/>
        <v>299.00297861779654</v>
      </c>
      <c r="AG215" s="65">
        <f t="shared" si="2340"/>
        <v>253.06402325914496</v>
      </c>
      <c r="AH215" s="65">
        <f t="shared" si="2340"/>
        <v>205.66224394513119</v>
      </c>
      <c r="AI215" s="65">
        <f t="shared" si="2340"/>
        <v>156.73078249070159</v>
      </c>
      <c r="AJ215" s="65">
        <f t="shared" si="2340"/>
        <v>106.20096794866822</v>
      </c>
      <c r="AK215" s="65">
        <f t="shared" si="2340"/>
        <v>54.002278800000113</v>
      </c>
      <c r="AL215" s="65">
        <f t="shared" si="2340"/>
        <v>0</v>
      </c>
      <c r="AM215" s="65">
        <f t="shared" si="2340"/>
        <v>0</v>
      </c>
      <c r="AN215" s="65">
        <f t="shared" si="2340"/>
        <v>0</v>
      </c>
      <c r="AO215" s="65">
        <f t="shared" si="2340"/>
        <v>0</v>
      </c>
      <c r="AP215" s="65">
        <f t="shared" si="2340"/>
        <v>0</v>
      </c>
      <c r="AQ215" s="65">
        <f t="shared" si="2340"/>
        <v>0</v>
      </c>
      <c r="AR215" s="65">
        <f t="shared" si="2340"/>
        <v>0</v>
      </c>
      <c r="AS215" s="65">
        <f t="shared" si="2340"/>
        <v>0</v>
      </c>
      <c r="AT215" s="65">
        <f t="shared" si="2340"/>
        <v>0</v>
      </c>
      <c r="AU215" s="65">
        <f t="shared" si="2340"/>
        <v>0</v>
      </c>
      <c r="AV215" s="65">
        <f t="shared" si="2340"/>
        <v>0</v>
      </c>
      <c r="AW215" s="65">
        <f t="shared" si="2340"/>
        <v>0</v>
      </c>
      <c r="AX215" s="65">
        <f t="shared" si="2340"/>
        <v>0</v>
      </c>
      <c r="AY215" s="65">
        <f t="shared" si="2340"/>
        <v>0</v>
      </c>
      <c r="AZ215" s="65">
        <f t="shared" si="2340"/>
        <v>0</v>
      </c>
      <c r="BA215" s="65">
        <f t="shared" si="2340"/>
        <v>0</v>
      </c>
      <c r="BB215" s="65">
        <f t="shared" si="2340"/>
        <v>0</v>
      </c>
      <c r="BC215" s="65">
        <f t="shared" si="2340"/>
        <v>0</v>
      </c>
      <c r="BD215" s="65">
        <f t="shared" si="2340"/>
        <v>0</v>
      </c>
      <c r="BE215" s="65">
        <f t="shared" si="2340"/>
        <v>0</v>
      </c>
      <c r="BF215" s="65">
        <f t="shared" si="2340"/>
        <v>0</v>
      </c>
      <c r="BG215" s="65">
        <f t="shared" si="2340"/>
        <v>0</v>
      </c>
      <c r="BH215" s="65">
        <f t="shared" si="2340"/>
        <v>0</v>
      </c>
      <c r="BI215" s="65">
        <f t="shared" si="2340"/>
        <v>0</v>
      </c>
      <c r="BJ215" s="65">
        <f t="shared" si="2340"/>
        <v>0</v>
      </c>
      <c r="BK215" s="65">
        <f t="shared" si="2340"/>
        <v>0</v>
      </c>
      <c r="BL215" s="65">
        <f t="shared" si="2340"/>
        <v>0</v>
      </c>
      <c r="BM215" s="65">
        <f t="shared" si="2340"/>
        <v>0</v>
      </c>
      <c r="BN215" s="65">
        <f t="shared" si="2340"/>
        <v>0</v>
      </c>
      <c r="BO215" s="65">
        <f t="shared" ref="BO215:DZ215" si="2341">IFERROR((BO208/BO211)-BO214,0)</f>
        <v>0</v>
      </c>
      <c r="BP215" s="65">
        <f t="shared" si="2341"/>
        <v>0</v>
      </c>
      <c r="BQ215" s="65">
        <f t="shared" si="2341"/>
        <v>0</v>
      </c>
      <c r="BR215" s="65">
        <f t="shared" si="2341"/>
        <v>0</v>
      </c>
      <c r="BS215" s="65">
        <f t="shared" si="2341"/>
        <v>0</v>
      </c>
      <c r="BT215" s="65">
        <f t="shared" si="2341"/>
        <v>0</v>
      </c>
      <c r="BU215" s="65">
        <f t="shared" si="2341"/>
        <v>0</v>
      </c>
      <c r="BV215" s="65">
        <f t="shared" si="2341"/>
        <v>0</v>
      </c>
      <c r="BW215" s="65">
        <f t="shared" si="2341"/>
        <v>0</v>
      </c>
      <c r="BX215" s="65">
        <f t="shared" si="2341"/>
        <v>0</v>
      </c>
      <c r="BY215" s="65">
        <f t="shared" si="2341"/>
        <v>0</v>
      </c>
      <c r="BZ215" s="65">
        <f t="shared" si="2341"/>
        <v>0</v>
      </c>
      <c r="CA215" s="65">
        <f t="shared" si="2341"/>
        <v>0</v>
      </c>
      <c r="CB215" s="65">
        <f t="shared" si="2341"/>
        <v>0</v>
      </c>
      <c r="CC215" s="65">
        <f t="shared" si="2341"/>
        <v>0</v>
      </c>
      <c r="CD215" s="65">
        <f t="shared" si="2341"/>
        <v>0</v>
      </c>
      <c r="CE215" s="65">
        <f t="shared" si="2341"/>
        <v>0</v>
      </c>
      <c r="CF215" s="65">
        <f t="shared" si="2341"/>
        <v>0</v>
      </c>
      <c r="CG215" s="65">
        <f t="shared" si="2341"/>
        <v>0</v>
      </c>
      <c r="CH215" s="65">
        <f t="shared" si="2341"/>
        <v>0</v>
      </c>
      <c r="CI215" s="65">
        <f t="shared" si="2341"/>
        <v>0</v>
      </c>
      <c r="CJ215" s="65">
        <f t="shared" si="2341"/>
        <v>0</v>
      </c>
      <c r="CK215" s="65">
        <f t="shared" si="2341"/>
        <v>0</v>
      </c>
      <c r="CL215" s="65">
        <f t="shared" si="2341"/>
        <v>0</v>
      </c>
      <c r="CM215" s="65">
        <f t="shared" si="2341"/>
        <v>0</v>
      </c>
      <c r="CN215" s="65">
        <f t="shared" si="2341"/>
        <v>0</v>
      </c>
      <c r="CO215" s="65">
        <f t="shared" si="2341"/>
        <v>0</v>
      </c>
      <c r="CP215" s="65">
        <f t="shared" si="2341"/>
        <v>0</v>
      </c>
      <c r="CQ215" s="65">
        <f t="shared" si="2341"/>
        <v>0</v>
      </c>
      <c r="CR215" s="65">
        <f t="shared" si="2341"/>
        <v>0</v>
      </c>
      <c r="CS215" s="65">
        <f t="shared" si="2341"/>
        <v>0</v>
      </c>
      <c r="CT215" s="65">
        <f t="shared" si="2341"/>
        <v>0</v>
      </c>
      <c r="CU215" s="65">
        <f t="shared" si="2341"/>
        <v>0</v>
      </c>
      <c r="CV215" s="65">
        <f t="shared" si="2341"/>
        <v>0</v>
      </c>
      <c r="CW215" s="65">
        <f t="shared" si="2341"/>
        <v>0</v>
      </c>
      <c r="CX215" s="65">
        <f t="shared" si="2341"/>
        <v>0</v>
      </c>
      <c r="CY215" s="65">
        <f t="shared" si="2341"/>
        <v>0</v>
      </c>
      <c r="CZ215" s="65">
        <f t="shared" si="2341"/>
        <v>0</v>
      </c>
      <c r="DA215" s="65">
        <f t="shared" si="2341"/>
        <v>0</v>
      </c>
      <c r="DB215" s="65">
        <f t="shared" si="2341"/>
        <v>0</v>
      </c>
      <c r="DC215" s="65">
        <f t="shared" si="2341"/>
        <v>0</v>
      </c>
      <c r="DD215" s="65">
        <f t="shared" si="2341"/>
        <v>0</v>
      </c>
      <c r="DE215" s="65">
        <f t="shared" si="2341"/>
        <v>0</v>
      </c>
      <c r="DF215" s="65">
        <f t="shared" si="2341"/>
        <v>0</v>
      </c>
      <c r="DG215" s="65">
        <f t="shared" si="2341"/>
        <v>0</v>
      </c>
      <c r="DH215" s="65">
        <f t="shared" si="2341"/>
        <v>0</v>
      </c>
      <c r="DI215" s="65">
        <f t="shared" si="2341"/>
        <v>0</v>
      </c>
      <c r="DJ215" s="65">
        <f t="shared" si="2341"/>
        <v>0</v>
      </c>
      <c r="DK215" s="65">
        <f t="shared" si="2341"/>
        <v>0</v>
      </c>
      <c r="DL215" s="65">
        <f t="shared" si="2341"/>
        <v>0</v>
      </c>
      <c r="DM215" s="65">
        <f t="shared" si="2341"/>
        <v>0</v>
      </c>
      <c r="DN215" s="65">
        <f t="shared" si="2341"/>
        <v>0</v>
      </c>
      <c r="DO215" s="65">
        <f t="shared" si="2341"/>
        <v>0</v>
      </c>
      <c r="DP215" s="65">
        <f t="shared" si="2341"/>
        <v>0</v>
      </c>
      <c r="DQ215" s="65">
        <f t="shared" si="2341"/>
        <v>0</v>
      </c>
      <c r="DR215" s="65">
        <f t="shared" si="2341"/>
        <v>0</v>
      </c>
      <c r="DS215" s="65">
        <f t="shared" si="2341"/>
        <v>0</v>
      </c>
      <c r="DT215" s="65">
        <f t="shared" si="2341"/>
        <v>0</v>
      </c>
      <c r="DU215" s="65">
        <f t="shared" si="2341"/>
        <v>0</v>
      </c>
      <c r="DV215" s="65">
        <f t="shared" si="2341"/>
        <v>0</v>
      </c>
      <c r="DW215" s="65">
        <f t="shared" si="2341"/>
        <v>0</v>
      </c>
      <c r="DX215" s="65">
        <f t="shared" si="2341"/>
        <v>0</v>
      </c>
      <c r="DY215" s="65">
        <f t="shared" si="2341"/>
        <v>0</v>
      </c>
      <c r="DZ215" s="65">
        <f t="shared" si="2341"/>
        <v>0</v>
      </c>
      <c r="EA215" s="65">
        <f t="shared" ref="EA215:FY215" si="2342">IFERROR((EA208/EA211)-EA214,0)</f>
        <v>0</v>
      </c>
      <c r="EB215" s="65">
        <f t="shared" si="2342"/>
        <v>0</v>
      </c>
      <c r="EC215" s="65">
        <f t="shared" si="2342"/>
        <v>0</v>
      </c>
      <c r="ED215" s="65">
        <f t="shared" si="2342"/>
        <v>0</v>
      </c>
      <c r="EE215" s="65">
        <f t="shared" si="2342"/>
        <v>0</v>
      </c>
      <c r="EF215" s="65">
        <f t="shared" si="2342"/>
        <v>0</v>
      </c>
      <c r="EG215" s="65">
        <f t="shared" si="2342"/>
        <v>0</v>
      </c>
      <c r="EH215" s="65">
        <f t="shared" si="2342"/>
        <v>0</v>
      </c>
      <c r="EI215" s="65">
        <f t="shared" si="2342"/>
        <v>0</v>
      </c>
      <c r="EJ215" s="65">
        <f t="shared" si="2342"/>
        <v>0</v>
      </c>
      <c r="EK215" s="65">
        <f t="shared" si="2342"/>
        <v>0</v>
      </c>
      <c r="EL215" s="65">
        <f t="shared" si="2342"/>
        <v>0</v>
      </c>
      <c r="EM215" s="65">
        <f t="shared" si="2342"/>
        <v>0</v>
      </c>
      <c r="EN215" s="65">
        <f t="shared" si="2342"/>
        <v>0</v>
      </c>
      <c r="EO215" s="65">
        <f t="shared" si="2342"/>
        <v>0</v>
      </c>
      <c r="EP215" s="65">
        <f t="shared" si="2342"/>
        <v>0</v>
      </c>
      <c r="EQ215" s="65">
        <f t="shared" si="2342"/>
        <v>0</v>
      </c>
      <c r="ER215" s="65">
        <f t="shared" si="2342"/>
        <v>0</v>
      </c>
      <c r="ES215" s="65">
        <f t="shared" si="2342"/>
        <v>0</v>
      </c>
      <c r="ET215" s="65">
        <f t="shared" si="2342"/>
        <v>0</v>
      </c>
      <c r="EU215" s="65">
        <f t="shared" si="2342"/>
        <v>0</v>
      </c>
      <c r="EV215" s="65">
        <f t="shared" si="2342"/>
        <v>0</v>
      </c>
      <c r="EW215" s="65">
        <f t="shared" si="2342"/>
        <v>0</v>
      </c>
      <c r="EX215" s="65">
        <f t="shared" si="2342"/>
        <v>0</v>
      </c>
      <c r="EY215" s="65">
        <f t="shared" si="2342"/>
        <v>0</v>
      </c>
      <c r="EZ215" s="65">
        <f t="shared" si="2342"/>
        <v>0</v>
      </c>
      <c r="FA215" s="65">
        <f t="shared" si="2342"/>
        <v>0</v>
      </c>
      <c r="FB215" s="65">
        <f t="shared" si="2342"/>
        <v>0</v>
      </c>
      <c r="FC215" s="65">
        <f t="shared" si="2342"/>
        <v>0</v>
      </c>
      <c r="FD215" s="65">
        <f t="shared" si="2342"/>
        <v>0</v>
      </c>
      <c r="FE215" s="65">
        <f t="shared" si="2342"/>
        <v>0</v>
      </c>
      <c r="FF215" s="65">
        <f t="shared" si="2342"/>
        <v>0</v>
      </c>
      <c r="FG215" s="65">
        <f t="shared" si="2342"/>
        <v>0</v>
      </c>
      <c r="FH215" s="65">
        <f t="shared" si="2342"/>
        <v>0</v>
      </c>
      <c r="FI215" s="65">
        <f t="shared" si="2342"/>
        <v>0</v>
      </c>
      <c r="FJ215" s="65">
        <f t="shared" si="2342"/>
        <v>0</v>
      </c>
      <c r="FK215" s="65">
        <f t="shared" si="2342"/>
        <v>0</v>
      </c>
      <c r="FL215" s="65">
        <f t="shared" si="2342"/>
        <v>0</v>
      </c>
      <c r="FM215" s="65">
        <f t="shared" si="2342"/>
        <v>0</v>
      </c>
      <c r="FN215" s="65">
        <f t="shared" si="2342"/>
        <v>0</v>
      </c>
      <c r="FO215" s="65">
        <f t="shared" si="2342"/>
        <v>0</v>
      </c>
      <c r="FP215" s="65">
        <f t="shared" si="2342"/>
        <v>0</v>
      </c>
      <c r="FQ215" s="65">
        <f t="shared" si="2342"/>
        <v>0</v>
      </c>
      <c r="FR215" s="65">
        <f t="shared" si="2342"/>
        <v>0</v>
      </c>
      <c r="FS215" s="65">
        <f t="shared" si="2342"/>
        <v>0</v>
      </c>
      <c r="FT215" s="65">
        <f t="shared" si="2342"/>
        <v>0</v>
      </c>
      <c r="FU215" s="65">
        <f t="shared" si="2342"/>
        <v>0</v>
      </c>
      <c r="FV215" s="65">
        <f t="shared" si="2342"/>
        <v>0</v>
      </c>
      <c r="FW215" s="65">
        <f t="shared" si="2342"/>
        <v>0</v>
      </c>
      <c r="FX215" s="65">
        <f t="shared" si="2342"/>
        <v>0</v>
      </c>
      <c r="FY215" s="65">
        <f t="shared" si="2342"/>
        <v>0</v>
      </c>
      <c r="FZ215" s="59"/>
    </row>
    <row r="216" spans="1:182" ht="15.75" customHeight="1" x14ac:dyDescent="0.2">
      <c r="A216" s="94" t="s">
        <v>219</v>
      </c>
      <c r="B216" s="65">
        <f>MAX(B215:FY215)</f>
        <v>2849.4615063997917</v>
      </c>
      <c r="C216" s="65">
        <f>B219</f>
        <v>2719.0774143267922</v>
      </c>
      <c r="D216" s="65">
        <f t="shared" ref="D216:BH216" si="2343">C219</f>
        <v>2590.574180237978</v>
      </c>
      <c r="E216" s="65">
        <f t="shared" si="2343"/>
        <v>2464.027501250629</v>
      </c>
      <c r="F216" s="65">
        <f t="shared" si="2343"/>
        <v>2339.5148339398079</v>
      </c>
      <c r="G216" s="65">
        <f t="shared" si="2343"/>
        <v>2217.1154255873785</v>
      </c>
      <c r="H216" s="65">
        <f t="shared" si="2343"/>
        <v>2096.9104819216745</v>
      </c>
      <c r="I216" s="65">
        <f t="shared" si="2343"/>
        <v>1978.9829396809412</v>
      </c>
      <c r="J216" s="65">
        <f t="shared" si="2343"/>
        <v>1863.4176404479474</v>
      </c>
      <c r="K216" s="65">
        <f t="shared" si="2343"/>
        <v>1750.3013703389124</v>
      </c>
      <c r="L216" s="65">
        <f t="shared" si="2343"/>
        <v>1639.7229005011063</v>
      </c>
      <c r="M216" s="65">
        <f t="shared" si="2343"/>
        <v>1531.7730284340837</v>
      </c>
      <c r="N216" s="65">
        <f t="shared" si="2343"/>
        <v>1426.5446201526993</v>
      </c>
      <c r="O216" s="65">
        <f t="shared" si="2343"/>
        <v>1324.1327629660982</v>
      </c>
      <c r="P216" s="65">
        <f t="shared" si="2343"/>
        <v>1224.6356375487489</v>
      </c>
      <c r="Q216" s="65">
        <f t="shared" si="2343"/>
        <v>1128.1525176718228</v>
      </c>
      <c r="R216" s="65">
        <f t="shared" si="2343"/>
        <v>1034.7849094839485</v>
      </c>
      <c r="S216" s="65">
        <f t="shared" si="2343"/>
        <v>944.63660811284444</v>
      </c>
      <c r="T216" s="65">
        <f t="shared" si="2343"/>
        <v>857.81374513381684</v>
      </c>
      <c r="U216" s="65">
        <f t="shared" si="2343"/>
        <v>774.42483700373009</v>
      </c>
      <c r="V216" s="65">
        <f t="shared" si="2343"/>
        <v>694.58083448023342</v>
      </c>
      <c r="W216" s="65">
        <f t="shared" si="2343"/>
        <v>618.39525367754618</v>
      </c>
      <c r="X216" s="65">
        <f t="shared" si="2343"/>
        <v>545.984058382017</v>
      </c>
      <c r="Y216" s="65">
        <f t="shared" si="2343"/>
        <v>477.46580067522757</v>
      </c>
      <c r="Z216" s="65">
        <f t="shared" si="2343"/>
        <v>412.96167448109071</v>
      </c>
      <c r="AA216" s="65">
        <f t="shared" si="2343"/>
        <v>352.59557020469259</v>
      </c>
      <c r="AB216" s="65">
        <f t="shared" si="2343"/>
        <v>296.49470743643599</v>
      </c>
      <c r="AC216" s="65">
        <f t="shared" si="2343"/>
        <v>244.78845956682508</v>
      </c>
      <c r="AD216" s="65">
        <f t="shared" si="2343"/>
        <v>197.6090501608769</v>
      </c>
      <c r="AE216" s="65">
        <f t="shared" si="2343"/>
        <v>155.09162487402568</v>
      </c>
      <c r="AF216" s="65">
        <f t="shared" si="2343"/>
        <v>117.37435115105059</v>
      </c>
      <c r="AG216" s="65">
        <f t="shared" si="2343"/>
        <v>84.598390662460105</v>
      </c>
      <c r="AH216" s="65">
        <f t="shared" si="2343"/>
        <v>56.908011268652345</v>
      </c>
      <c r="AI216" s="65">
        <f t="shared" si="2343"/>
        <v>34.45065103595438</v>
      </c>
      <c r="AJ216" s="65">
        <f t="shared" si="2343"/>
        <v>17.376983553017283</v>
      </c>
      <c r="AK216" s="65">
        <f t="shared" si="2343"/>
        <v>5.8409845716587157</v>
      </c>
      <c r="AL216" s="65">
        <f t="shared" si="2343"/>
        <v>0</v>
      </c>
      <c r="AM216" s="65">
        <f t="shared" si="2343"/>
        <v>0</v>
      </c>
      <c r="AN216" s="65">
        <f t="shared" si="2343"/>
        <v>0</v>
      </c>
      <c r="AO216" s="65">
        <f t="shared" si="2343"/>
        <v>0</v>
      </c>
      <c r="AP216" s="65">
        <f t="shared" si="2343"/>
        <v>0</v>
      </c>
      <c r="AQ216" s="65">
        <f t="shared" si="2343"/>
        <v>0</v>
      </c>
      <c r="AR216" s="65">
        <f t="shared" si="2343"/>
        <v>0</v>
      </c>
      <c r="AS216" s="65">
        <f t="shared" si="2343"/>
        <v>0</v>
      </c>
      <c r="AT216" s="65">
        <f t="shared" si="2343"/>
        <v>0</v>
      </c>
      <c r="AU216" s="65">
        <f t="shared" si="2343"/>
        <v>0</v>
      </c>
      <c r="AV216" s="65">
        <f t="shared" si="2343"/>
        <v>0</v>
      </c>
      <c r="AW216" s="65">
        <f t="shared" si="2343"/>
        <v>0</v>
      </c>
      <c r="AX216" s="65">
        <f t="shared" si="2343"/>
        <v>0</v>
      </c>
      <c r="AY216" s="65">
        <f t="shared" si="2343"/>
        <v>0</v>
      </c>
      <c r="AZ216" s="65">
        <f t="shared" si="2343"/>
        <v>0</v>
      </c>
      <c r="BA216" s="65">
        <f t="shared" si="2343"/>
        <v>0</v>
      </c>
      <c r="BB216" s="65">
        <f t="shared" si="2343"/>
        <v>0</v>
      </c>
      <c r="BC216" s="65">
        <f t="shared" si="2343"/>
        <v>0</v>
      </c>
      <c r="BD216" s="65">
        <f t="shared" si="2343"/>
        <v>0</v>
      </c>
      <c r="BE216" s="65">
        <f t="shared" si="2343"/>
        <v>0</v>
      </c>
      <c r="BF216" s="65">
        <f t="shared" si="2343"/>
        <v>0</v>
      </c>
      <c r="BG216" s="65">
        <f t="shared" si="2343"/>
        <v>0</v>
      </c>
      <c r="BH216" s="65">
        <f t="shared" si="2343"/>
        <v>0</v>
      </c>
      <c r="BI216" s="65">
        <f t="shared" ref="BI216:DP216" si="2344">BH219</f>
        <v>0</v>
      </c>
      <c r="BJ216" s="65">
        <f t="shared" si="2344"/>
        <v>0</v>
      </c>
      <c r="BK216" s="65">
        <f t="shared" si="2344"/>
        <v>0</v>
      </c>
      <c r="BL216" s="65">
        <f t="shared" si="2344"/>
        <v>0</v>
      </c>
      <c r="BM216" s="65">
        <f t="shared" si="2344"/>
        <v>0</v>
      </c>
      <c r="BN216" s="65">
        <f t="shared" si="2344"/>
        <v>0</v>
      </c>
      <c r="BO216" s="65">
        <f t="shared" si="2344"/>
        <v>0</v>
      </c>
      <c r="BP216" s="65">
        <f t="shared" si="2344"/>
        <v>0</v>
      </c>
      <c r="BQ216" s="65">
        <f t="shared" si="2344"/>
        <v>0</v>
      </c>
      <c r="BR216" s="65">
        <f t="shared" si="2344"/>
        <v>0</v>
      </c>
      <c r="BS216" s="65">
        <f t="shared" si="2344"/>
        <v>0</v>
      </c>
      <c r="BT216" s="65">
        <f t="shared" si="2344"/>
        <v>0</v>
      </c>
      <c r="BU216" s="65">
        <f t="shared" si="2344"/>
        <v>0</v>
      </c>
      <c r="BV216" s="65">
        <f t="shared" si="2344"/>
        <v>0</v>
      </c>
      <c r="BW216" s="65">
        <f t="shared" si="2344"/>
        <v>0</v>
      </c>
      <c r="BX216" s="65">
        <f t="shared" si="2344"/>
        <v>0</v>
      </c>
      <c r="BY216" s="65">
        <f t="shared" si="2344"/>
        <v>0</v>
      </c>
      <c r="BZ216" s="65">
        <f t="shared" si="2344"/>
        <v>0</v>
      </c>
      <c r="CA216" s="65">
        <f t="shared" si="2344"/>
        <v>0</v>
      </c>
      <c r="CB216" s="65">
        <f t="shared" si="2344"/>
        <v>0</v>
      </c>
      <c r="CC216" s="65">
        <f t="shared" si="2344"/>
        <v>0</v>
      </c>
      <c r="CD216" s="65">
        <f t="shared" si="2344"/>
        <v>0</v>
      </c>
      <c r="CE216" s="65">
        <f t="shared" si="2344"/>
        <v>0</v>
      </c>
      <c r="CF216" s="65">
        <f t="shared" si="2344"/>
        <v>0</v>
      </c>
      <c r="CG216" s="65">
        <f t="shared" si="2344"/>
        <v>0</v>
      </c>
      <c r="CH216" s="65">
        <f t="shared" si="2344"/>
        <v>0</v>
      </c>
      <c r="CI216" s="65">
        <f t="shared" si="2344"/>
        <v>0</v>
      </c>
      <c r="CJ216" s="65">
        <f t="shared" si="2344"/>
        <v>0</v>
      </c>
      <c r="CK216" s="65">
        <f t="shared" si="2344"/>
        <v>0</v>
      </c>
      <c r="CL216" s="65">
        <f t="shared" si="2344"/>
        <v>0</v>
      </c>
      <c r="CM216" s="65">
        <f t="shared" si="2344"/>
        <v>0</v>
      </c>
      <c r="CN216" s="65">
        <f t="shared" si="2344"/>
        <v>0</v>
      </c>
      <c r="CO216" s="65">
        <f t="shared" si="2344"/>
        <v>0</v>
      </c>
      <c r="CP216" s="65">
        <f t="shared" si="2344"/>
        <v>0</v>
      </c>
      <c r="CQ216" s="65">
        <f t="shared" si="2344"/>
        <v>0</v>
      </c>
      <c r="CR216" s="65">
        <f t="shared" si="2344"/>
        <v>0</v>
      </c>
      <c r="CS216" s="65">
        <f t="shared" si="2344"/>
        <v>0</v>
      </c>
      <c r="CT216" s="65">
        <f t="shared" si="2344"/>
        <v>0</v>
      </c>
      <c r="CU216" s="65">
        <f t="shared" si="2344"/>
        <v>0</v>
      </c>
      <c r="CV216" s="65">
        <f t="shared" si="2344"/>
        <v>0</v>
      </c>
      <c r="CW216" s="65">
        <f t="shared" si="2344"/>
        <v>0</v>
      </c>
      <c r="CX216" s="65">
        <f t="shared" si="2344"/>
        <v>0</v>
      </c>
      <c r="CY216" s="65">
        <f t="shared" si="2344"/>
        <v>0</v>
      </c>
      <c r="CZ216" s="65">
        <f t="shared" si="2344"/>
        <v>0</v>
      </c>
      <c r="DA216" s="65">
        <f t="shared" si="2344"/>
        <v>0</v>
      </c>
      <c r="DB216" s="65">
        <f t="shared" si="2344"/>
        <v>0</v>
      </c>
      <c r="DC216" s="65">
        <f t="shared" si="2344"/>
        <v>0</v>
      </c>
      <c r="DD216" s="65">
        <f t="shared" si="2344"/>
        <v>0</v>
      </c>
      <c r="DE216" s="65">
        <f t="shared" si="2344"/>
        <v>0</v>
      </c>
      <c r="DF216" s="65">
        <f t="shared" si="2344"/>
        <v>0</v>
      </c>
      <c r="DG216" s="65">
        <f t="shared" si="2344"/>
        <v>0</v>
      </c>
      <c r="DH216" s="65">
        <f t="shared" si="2344"/>
        <v>0</v>
      </c>
      <c r="DI216" s="65">
        <f t="shared" si="2344"/>
        <v>0</v>
      </c>
      <c r="DJ216" s="65">
        <f t="shared" si="2344"/>
        <v>0</v>
      </c>
      <c r="DK216" s="65">
        <f t="shared" si="2344"/>
        <v>0</v>
      </c>
      <c r="DL216" s="65">
        <f t="shared" si="2344"/>
        <v>0</v>
      </c>
      <c r="DM216" s="65">
        <f t="shared" si="2344"/>
        <v>0</v>
      </c>
      <c r="DN216" s="65">
        <f t="shared" si="2344"/>
        <v>0</v>
      </c>
      <c r="DO216" s="65">
        <f t="shared" si="2344"/>
        <v>0</v>
      </c>
      <c r="DP216" s="65">
        <f t="shared" si="2344"/>
        <v>0</v>
      </c>
      <c r="DQ216" s="65">
        <f t="shared" ref="DQ216" si="2345">DP219</f>
        <v>0</v>
      </c>
      <c r="DR216" s="65">
        <f t="shared" ref="DR216" si="2346">DQ219</f>
        <v>0</v>
      </c>
      <c r="DS216" s="65">
        <f t="shared" ref="DS216" si="2347">DR219</f>
        <v>0</v>
      </c>
      <c r="DT216" s="65">
        <f t="shared" ref="DT216" si="2348">DS219</f>
        <v>0</v>
      </c>
      <c r="DU216" s="65">
        <f t="shared" ref="DU216" si="2349">DT219</f>
        <v>0</v>
      </c>
      <c r="DV216" s="65">
        <f t="shared" ref="DV216" si="2350">DU219</f>
        <v>0</v>
      </c>
      <c r="DW216" s="65">
        <f t="shared" ref="DW216" si="2351">DV219</f>
        <v>0</v>
      </c>
      <c r="DX216" s="65">
        <f t="shared" ref="DX216" si="2352">DW219</f>
        <v>0</v>
      </c>
      <c r="DY216" s="65">
        <f t="shared" ref="DY216" si="2353">DX219</f>
        <v>0</v>
      </c>
      <c r="DZ216" s="65">
        <f t="shared" ref="DZ216" si="2354">DY219</f>
        <v>0</v>
      </c>
      <c r="EA216" s="65">
        <f t="shared" ref="EA216" si="2355">DZ219</f>
        <v>0</v>
      </c>
      <c r="EB216" s="65">
        <f t="shared" ref="EB216" si="2356">EA219</f>
        <v>0</v>
      </c>
      <c r="EC216" s="65">
        <f t="shared" ref="EC216" si="2357">EB219</f>
        <v>0</v>
      </c>
      <c r="ED216" s="65">
        <f t="shared" ref="ED216" si="2358">EC219</f>
        <v>0</v>
      </c>
      <c r="EE216" s="65">
        <f t="shared" ref="EE216" si="2359">ED219</f>
        <v>0</v>
      </c>
      <c r="EF216" s="65">
        <f t="shared" ref="EF216" si="2360">EE219</f>
        <v>0</v>
      </c>
      <c r="EG216" s="65">
        <f t="shared" ref="EG216" si="2361">EF219</f>
        <v>0</v>
      </c>
      <c r="EH216" s="65">
        <f t="shared" ref="EH216" si="2362">EG219</f>
        <v>0</v>
      </c>
      <c r="EI216" s="65">
        <f t="shared" ref="EI216" si="2363">EH219</f>
        <v>0</v>
      </c>
      <c r="EJ216" s="65">
        <f t="shared" ref="EJ216" si="2364">EI219</f>
        <v>0</v>
      </c>
      <c r="EK216" s="65">
        <f t="shared" ref="EK216" si="2365">EJ219</f>
        <v>0</v>
      </c>
      <c r="EL216" s="65">
        <f t="shared" ref="EL216" si="2366">EK219</f>
        <v>0</v>
      </c>
      <c r="EM216" s="65">
        <f t="shared" ref="EM216" si="2367">EL219</f>
        <v>0</v>
      </c>
      <c r="EN216" s="65">
        <f t="shared" ref="EN216" si="2368">EM219</f>
        <v>0</v>
      </c>
      <c r="EO216" s="65">
        <f t="shared" ref="EO216" si="2369">EN219</f>
        <v>0</v>
      </c>
      <c r="EP216" s="65">
        <f t="shared" ref="EP216" si="2370">EO219</f>
        <v>0</v>
      </c>
      <c r="EQ216" s="65">
        <f t="shared" ref="EQ216" si="2371">EP219</f>
        <v>0</v>
      </c>
      <c r="ER216" s="65">
        <f t="shared" ref="ER216" si="2372">EQ219</f>
        <v>0</v>
      </c>
      <c r="ES216" s="65">
        <f t="shared" ref="ES216" si="2373">ER219</f>
        <v>0</v>
      </c>
      <c r="ET216" s="65">
        <f t="shared" ref="ET216" si="2374">ES219</f>
        <v>0</v>
      </c>
      <c r="EU216" s="65">
        <f t="shared" ref="EU216" si="2375">ET219</f>
        <v>0</v>
      </c>
      <c r="EV216" s="65">
        <f t="shared" ref="EV216" si="2376">EU219</f>
        <v>0</v>
      </c>
      <c r="EW216" s="65">
        <f t="shared" ref="EW216" si="2377">EV219</f>
        <v>0</v>
      </c>
      <c r="EX216" s="65">
        <f t="shared" ref="EX216" si="2378">EW219</f>
        <v>0</v>
      </c>
      <c r="EY216" s="65">
        <f t="shared" ref="EY216" si="2379">EX219</f>
        <v>0</v>
      </c>
      <c r="EZ216" s="65">
        <f t="shared" ref="EZ216" si="2380">EY219</f>
        <v>0</v>
      </c>
      <c r="FA216" s="65">
        <f t="shared" ref="FA216" si="2381">EZ219</f>
        <v>0</v>
      </c>
      <c r="FB216" s="65">
        <f t="shared" ref="FB216" si="2382">FA219</f>
        <v>0</v>
      </c>
      <c r="FC216" s="65">
        <f t="shared" ref="FC216" si="2383">FB219</f>
        <v>0</v>
      </c>
      <c r="FD216" s="65">
        <f t="shared" ref="FD216" si="2384">FC219</f>
        <v>0</v>
      </c>
      <c r="FE216" s="65">
        <f t="shared" ref="FE216" si="2385">FD219</f>
        <v>0</v>
      </c>
      <c r="FF216" s="65">
        <f t="shared" ref="FF216" si="2386">FE219</f>
        <v>0</v>
      </c>
      <c r="FG216" s="65">
        <f t="shared" ref="FG216" si="2387">FF219</f>
        <v>0</v>
      </c>
      <c r="FH216" s="65">
        <f t="shared" ref="FH216" si="2388">FG219</f>
        <v>0</v>
      </c>
      <c r="FI216" s="65">
        <f t="shared" ref="FI216" si="2389">FH219</f>
        <v>0</v>
      </c>
      <c r="FJ216" s="65">
        <f t="shared" ref="FJ216" si="2390">FI219</f>
        <v>0</v>
      </c>
      <c r="FK216" s="65">
        <f t="shared" ref="FK216" si="2391">FJ219</f>
        <v>0</v>
      </c>
      <c r="FL216" s="65">
        <f t="shared" ref="FL216" si="2392">FK219</f>
        <v>0</v>
      </c>
      <c r="FM216" s="65">
        <f t="shared" ref="FM216" si="2393">FL219</f>
        <v>0</v>
      </c>
      <c r="FN216" s="65">
        <f t="shared" ref="FN216" si="2394">FM219</f>
        <v>0</v>
      </c>
      <c r="FO216" s="65">
        <f t="shared" ref="FO216" si="2395">FN219</f>
        <v>0</v>
      </c>
      <c r="FP216" s="65">
        <f t="shared" ref="FP216" si="2396">FO219</f>
        <v>0</v>
      </c>
      <c r="FQ216" s="65">
        <f t="shared" ref="FQ216" si="2397">FP219</f>
        <v>0</v>
      </c>
      <c r="FR216" s="65">
        <f t="shared" ref="FR216" si="2398">FQ219</f>
        <v>0</v>
      </c>
      <c r="FS216" s="65">
        <f t="shared" ref="FS216" si="2399">FR219</f>
        <v>0</v>
      </c>
      <c r="FT216" s="65">
        <f t="shared" ref="FT216" si="2400">FS219</f>
        <v>0</v>
      </c>
      <c r="FU216" s="65">
        <f t="shared" ref="FU216" si="2401">FT219</f>
        <v>0</v>
      </c>
      <c r="FV216" s="65">
        <f t="shared" ref="FV216" si="2402">FU219</f>
        <v>0</v>
      </c>
      <c r="FW216" s="65">
        <f t="shared" ref="FW216" si="2403">FV219</f>
        <v>0</v>
      </c>
      <c r="FX216" s="65">
        <f t="shared" ref="FX216" si="2404">FW219</f>
        <v>0</v>
      </c>
      <c r="FY216" s="65">
        <f t="shared" ref="FY216" si="2405">FX219</f>
        <v>0</v>
      </c>
      <c r="FZ216" s="59"/>
    </row>
    <row r="217" spans="1:182" ht="15.75" customHeight="1" x14ac:dyDescent="0.2">
      <c r="A217" s="94" t="s">
        <v>220</v>
      </c>
      <c r="B217" s="65">
        <f>B216*B99</f>
        <v>12.447860664994499</v>
      </c>
      <c r="C217" s="65">
        <f>C216*C99</f>
        <v>11.878278304463816</v>
      </c>
      <c r="D217" s="65">
        <f t="shared" ref="D217:BH217" si="2406">D216*D99</f>
        <v>11.316912464165181</v>
      </c>
      <c r="E217" s="65">
        <f t="shared" si="2406"/>
        <v>10.764093826638623</v>
      </c>
      <c r="F217" s="65">
        <f t="shared" si="2406"/>
        <v>10.220160760608126</v>
      </c>
      <c r="G217" s="65">
        <f t="shared" si="2406"/>
        <v>9.6854594574928434</v>
      </c>
      <c r="H217" s="65">
        <f t="shared" si="2406"/>
        <v>9.1603446641771349</v>
      </c>
      <c r="I217" s="65">
        <f t="shared" si="2406"/>
        <v>8.6451786894549123</v>
      </c>
      <c r="J217" s="65">
        <f t="shared" si="2406"/>
        <v>8.140332163425418</v>
      </c>
      <c r="K217" s="65">
        <f t="shared" si="2406"/>
        <v>7.6461842108741358</v>
      </c>
      <c r="L217" s="65">
        <f t="shared" si="2406"/>
        <v>7.1631226281863851</v>
      </c>
      <c r="M217" s="65">
        <f t="shared" si="2406"/>
        <v>6.6915440638589585</v>
      </c>
      <c r="N217" s="65">
        <f t="shared" si="2406"/>
        <v>6.2318542026890817</v>
      </c>
      <c r="O217" s="65">
        <f t="shared" si="2406"/>
        <v>5.7844684331887919</v>
      </c>
      <c r="P217" s="65">
        <f t="shared" si="2406"/>
        <v>5.3498156572235933</v>
      </c>
      <c r="Q217" s="65">
        <f t="shared" si="2406"/>
        <v>4.9283295518473622</v>
      </c>
      <c r="R217" s="65">
        <f t="shared" si="2406"/>
        <v>4.5204535462455535</v>
      </c>
      <c r="S217" s="65">
        <f t="shared" si="2406"/>
        <v>4.1266410689991977</v>
      </c>
      <c r="T217" s="65">
        <f t="shared" si="2406"/>
        <v>3.7473557554508314</v>
      </c>
      <c r="U217" s="65">
        <f t="shared" si="2406"/>
        <v>3.3830716592880985</v>
      </c>
      <c r="V217" s="65">
        <f t="shared" si="2406"/>
        <v>3.0342734684314334</v>
      </c>
      <c r="W217" s="65">
        <f t="shared" si="2406"/>
        <v>2.701457077550709</v>
      </c>
      <c r="X217" s="65">
        <f t="shared" si="2406"/>
        <v>2.3851290739612523</v>
      </c>
      <c r="Y217" s="65">
        <f t="shared" si="2406"/>
        <v>2.0858073519352822</v>
      </c>
      <c r="Z217" s="65">
        <f t="shared" si="2406"/>
        <v>1.8040213466221848</v>
      </c>
      <c r="AA217" s="65">
        <f t="shared" si="2406"/>
        <v>1.5403122727380671</v>
      </c>
      <c r="AB217" s="65">
        <f t="shared" si="2406"/>
        <v>1.295235888531157</v>
      </c>
      <c r="AC217" s="65">
        <f t="shared" si="2406"/>
        <v>1.0693573611164124</v>
      </c>
      <c r="AD217" s="65">
        <f t="shared" si="2406"/>
        <v>0.86325430858422081</v>
      </c>
      <c r="AE217" s="65">
        <f t="shared" si="2406"/>
        <v>0.67751711416472848</v>
      </c>
      <c r="AF217" s="65">
        <f t="shared" si="2406"/>
        <v>0.51274936176218744</v>
      </c>
      <c r="AG217" s="65">
        <f t="shared" si="2406"/>
        <v>0.36956771554341711</v>
      </c>
      <c r="AH217" s="65">
        <f t="shared" si="2406"/>
        <v>0.24860240905276931</v>
      </c>
      <c r="AI217" s="65">
        <f t="shared" si="2406"/>
        <v>0.15049752486592843</v>
      </c>
      <c r="AJ217" s="65">
        <f t="shared" si="2406"/>
        <v>7.5911279924309849E-2</v>
      </c>
      <c r="AK217" s="65">
        <f t="shared" si="2406"/>
        <v>2.5516316655301768E-2</v>
      </c>
      <c r="AL217" s="65">
        <f t="shared" si="2406"/>
        <v>0</v>
      </c>
      <c r="AM217" s="65">
        <f t="shared" si="2406"/>
        <v>0</v>
      </c>
      <c r="AN217" s="65">
        <f t="shared" si="2406"/>
        <v>0</v>
      </c>
      <c r="AO217" s="65">
        <f t="shared" si="2406"/>
        <v>0</v>
      </c>
      <c r="AP217" s="65">
        <f t="shared" si="2406"/>
        <v>0</v>
      </c>
      <c r="AQ217" s="65">
        <f t="shared" si="2406"/>
        <v>0</v>
      </c>
      <c r="AR217" s="65">
        <f t="shared" si="2406"/>
        <v>0</v>
      </c>
      <c r="AS217" s="65">
        <f t="shared" si="2406"/>
        <v>0</v>
      </c>
      <c r="AT217" s="65">
        <f t="shared" si="2406"/>
        <v>0</v>
      </c>
      <c r="AU217" s="65">
        <f t="shared" si="2406"/>
        <v>0</v>
      </c>
      <c r="AV217" s="65">
        <f t="shared" si="2406"/>
        <v>0</v>
      </c>
      <c r="AW217" s="65">
        <f t="shared" si="2406"/>
        <v>0</v>
      </c>
      <c r="AX217" s="65">
        <f t="shared" si="2406"/>
        <v>0</v>
      </c>
      <c r="AY217" s="65">
        <f t="shared" si="2406"/>
        <v>0</v>
      </c>
      <c r="AZ217" s="65">
        <f t="shared" si="2406"/>
        <v>0</v>
      </c>
      <c r="BA217" s="65">
        <f t="shared" si="2406"/>
        <v>0</v>
      </c>
      <c r="BB217" s="65">
        <f t="shared" si="2406"/>
        <v>0</v>
      </c>
      <c r="BC217" s="65">
        <f t="shared" si="2406"/>
        <v>0</v>
      </c>
      <c r="BD217" s="65">
        <f t="shared" si="2406"/>
        <v>0</v>
      </c>
      <c r="BE217" s="65">
        <f t="shared" si="2406"/>
        <v>0</v>
      </c>
      <c r="BF217" s="65">
        <f t="shared" si="2406"/>
        <v>0</v>
      </c>
      <c r="BG217" s="65">
        <f t="shared" si="2406"/>
        <v>0</v>
      </c>
      <c r="BH217" s="65">
        <f t="shared" si="2406"/>
        <v>0</v>
      </c>
      <c r="BI217" s="65">
        <f t="shared" ref="BI217" si="2407">BI216*BI99</f>
        <v>0</v>
      </c>
      <c r="BJ217" s="65">
        <f t="shared" ref="BJ217" si="2408">BJ216*BJ99</f>
        <v>0</v>
      </c>
      <c r="BK217" s="65">
        <f t="shared" ref="BK217" si="2409">BK216*BK99</f>
        <v>0</v>
      </c>
      <c r="BL217" s="65">
        <f t="shared" ref="BL217" si="2410">BL216*BL99</f>
        <v>0</v>
      </c>
      <c r="BM217" s="65">
        <f t="shared" ref="BM217" si="2411">BM216*BM99</f>
        <v>0</v>
      </c>
      <c r="BN217" s="65">
        <f t="shared" ref="BN217" si="2412">BN216*BN99</f>
        <v>0</v>
      </c>
      <c r="BO217" s="65">
        <f t="shared" ref="BO217" si="2413">BO216*BO99</f>
        <v>0</v>
      </c>
      <c r="BP217" s="65">
        <f t="shared" ref="BP217" si="2414">BP216*BP99</f>
        <v>0</v>
      </c>
      <c r="BQ217" s="65">
        <f t="shared" ref="BQ217" si="2415">BQ216*BQ99</f>
        <v>0</v>
      </c>
      <c r="BR217" s="65">
        <f t="shared" ref="BR217" si="2416">BR216*BR99</f>
        <v>0</v>
      </c>
      <c r="BS217" s="65">
        <f t="shared" ref="BS217" si="2417">BS216*BS99</f>
        <v>0</v>
      </c>
      <c r="BT217" s="65">
        <f t="shared" ref="BT217" si="2418">BT216*BT99</f>
        <v>0</v>
      </c>
      <c r="BU217" s="65">
        <f t="shared" ref="BU217" si="2419">BU216*BU99</f>
        <v>0</v>
      </c>
      <c r="BV217" s="65">
        <f t="shared" ref="BV217" si="2420">BV216*BV99</f>
        <v>0</v>
      </c>
      <c r="BW217" s="65">
        <f t="shared" ref="BW217" si="2421">BW216*BW99</f>
        <v>0</v>
      </c>
      <c r="BX217" s="65">
        <f t="shared" ref="BX217" si="2422">BX216*BX99</f>
        <v>0</v>
      </c>
      <c r="BY217" s="65">
        <f t="shared" ref="BY217" si="2423">BY216*BY99</f>
        <v>0</v>
      </c>
      <c r="BZ217" s="65">
        <f t="shared" ref="BZ217" si="2424">BZ216*BZ99</f>
        <v>0</v>
      </c>
      <c r="CA217" s="65">
        <f t="shared" ref="CA217" si="2425">CA216*CA99</f>
        <v>0</v>
      </c>
      <c r="CB217" s="65">
        <f t="shared" ref="CB217" si="2426">CB216*CB99</f>
        <v>0</v>
      </c>
      <c r="CC217" s="65">
        <f t="shared" ref="CC217" si="2427">CC216*CC99</f>
        <v>0</v>
      </c>
      <c r="CD217" s="65">
        <f t="shared" ref="CD217" si="2428">CD216*CD99</f>
        <v>0</v>
      </c>
      <c r="CE217" s="65">
        <f t="shared" ref="CE217" si="2429">CE216*CE99</f>
        <v>0</v>
      </c>
      <c r="CF217" s="65">
        <f t="shared" ref="CF217" si="2430">CF216*CF99</f>
        <v>0</v>
      </c>
      <c r="CG217" s="65">
        <f t="shared" ref="CG217" si="2431">CG216*CG99</f>
        <v>0</v>
      </c>
      <c r="CH217" s="65">
        <f t="shared" ref="CH217" si="2432">CH216*CH99</f>
        <v>0</v>
      </c>
      <c r="CI217" s="65">
        <f t="shared" ref="CI217" si="2433">CI216*CI99</f>
        <v>0</v>
      </c>
      <c r="CJ217" s="65">
        <f t="shared" ref="CJ217" si="2434">CJ216*CJ99</f>
        <v>0</v>
      </c>
      <c r="CK217" s="65">
        <f t="shared" ref="CK217" si="2435">CK216*CK99</f>
        <v>0</v>
      </c>
      <c r="CL217" s="65">
        <f t="shared" ref="CL217" si="2436">CL216*CL99</f>
        <v>0</v>
      </c>
      <c r="CM217" s="65">
        <f t="shared" ref="CM217" si="2437">CM216*CM99</f>
        <v>0</v>
      </c>
      <c r="CN217" s="65">
        <f t="shared" ref="CN217" si="2438">CN216*CN99</f>
        <v>0</v>
      </c>
      <c r="CO217" s="65">
        <f t="shared" ref="CO217" si="2439">CO216*CO99</f>
        <v>0</v>
      </c>
      <c r="CP217" s="65">
        <f t="shared" ref="CP217" si="2440">CP216*CP99</f>
        <v>0</v>
      </c>
      <c r="CQ217" s="65">
        <f t="shared" ref="CQ217" si="2441">CQ216*CQ99</f>
        <v>0</v>
      </c>
      <c r="CR217" s="65">
        <f t="shared" ref="CR217" si="2442">CR216*CR99</f>
        <v>0</v>
      </c>
      <c r="CS217" s="65">
        <f t="shared" ref="CS217" si="2443">CS216*CS99</f>
        <v>0</v>
      </c>
      <c r="CT217" s="65">
        <f t="shared" ref="CT217" si="2444">CT216*CT99</f>
        <v>0</v>
      </c>
      <c r="CU217" s="65">
        <f t="shared" ref="CU217" si="2445">CU216*CU99</f>
        <v>0</v>
      </c>
      <c r="CV217" s="65">
        <f t="shared" ref="CV217" si="2446">CV216*CV99</f>
        <v>0</v>
      </c>
      <c r="CW217" s="65">
        <f t="shared" ref="CW217" si="2447">CW216*CW99</f>
        <v>0</v>
      </c>
      <c r="CX217" s="65">
        <f t="shared" ref="CX217" si="2448">CX216*CX99</f>
        <v>0</v>
      </c>
      <c r="CY217" s="65">
        <f t="shared" ref="CY217" si="2449">CY216*CY99</f>
        <v>0</v>
      </c>
      <c r="CZ217" s="65">
        <f t="shared" ref="CZ217" si="2450">CZ216*CZ99</f>
        <v>0</v>
      </c>
      <c r="DA217" s="65">
        <f t="shared" ref="DA217" si="2451">DA216*DA99</f>
        <v>0</v>
      </c>
      <c r="DB217" s="65">
        <f t="shared" ref="DB217" si="2452">DB216*DB99</f>
        <v>0</v>
      </c>
      <c r="DC217" s="65">
        <f t="shared" ref="DC217" si="2453">DC216*DC99</f>
        <v>0</v>
      </c>
      <c r="DD217" s="65">
        <f t="shared" ref="DD217" si="2454">DD216*DD99</f>
        <v>0</v>
      </c>
      <c r="DE217" s="65">
        <f t="shared" ref="DE217" si="2455">DE216*DE99</f>
        <v>0</v>
      </c>
      <c r="DF217" s="65">
        <f t="shared" ref="DF217" si="2456">DF216*DF99</f>
        <v>0</v>
      </c>
      <c r="DG217" s="65">
        <f t="shared" ref="DG217" si="2457">DG216*DG99</f>
        <v>0</v>
      </c>
      <c r="DH217" s="65">
        <f t="shared" ref="DH217" si="2458">DH216*DH99</f>
        <v>0</v>
      </c>
      <c r="DI217" s="65">
        <f t="shared" ref="DI217" si="2459">DI216*DI99</f>
        <v>0</v>
      </c>
      <c r="DJ217" s="65">
        <f t="shared" ref="DJ217" si="2460">DJ216*DJ99</f>
        <v>0</v>
      </c>
      <c r="DK217" s="65">
        <f t="shared" ref="DK217" si="2461">DK216*DK99</f>
        <v>0</v>
      </c>
      <c r="DL217" s="65">
        <f t="shared" ref="DL217" si="2462">DL216*DL99</f>
        <v>0</v>
      </c>
      <c r="DM217" s="65">
        <f t="shared" ref="DM217" si="2463">DM216*DM99</f>
        <v>0</v>
      </c>
      <c r="DN217" s="65">
        <f t="shared" ref="DN217" si="2464">DN216*DN99</f>
        <v>0</v>
      </c>
      <c r="DO217" s="65">
        <f t="shared" ref="DO217" si="2465">DO216*DO99</f>
        <v>0</v>
      </c>
      <c r="DP217" s="65">
        <f t="shared" ref="DP217:FY217" si="2466">DP216*DP99</f>
        <v>0</v>
      </c>
      <c r="DQ217" s="65">
        <f t="shared" si="2466"/>
        <v>0</v>
      </c>
      <c r="DR217" s="65">
        <f t="shared" si="2466"/>
        <v>0</v>
      </c>
      <c r="DS217" s="65">
        <f t="shared" si="2466"/>
        <v>0</v>
      </c>
      <c r="DT217" s="65">
        <f t="shared" si="2466"/>
        <v>0</v>
      </c>
      <c r="DU217" s="65">
        <f t="shared" si="2466"/>
        <v>0</v>
      </c>
      <c r="DV217" s="65">
        <f t="shared" si="2466"/>
        <v>0</v>
      </c>
      <c r="DW217" s="65">
        <f t="shared" si="2466"/>
        <v>0</v>
      </c>
      <c r="DX217" s="65">
        <f t="shared" si="2466"/>
        <v>0</v>
      </c>
      <c r="DY217" s="65">
        <f t="shared" si="2466"/>
        <v>0</v>
      </c>
      <c r="DZ217" s="65">
        <f t="shared" si="2466"/>
        <v>0</v>
      </c>
      <c r="EA217" s="65">
        <f t="shared" si="2466"/>
        <v>0</v>
      </c>
      <c r="EB217" s="65">
        <f t="shared" si="2466"/>
        <v>0</v>
      </c>
      <c r="EC217" s="65">
        <f t="shared" si="2466"/>
        <v>0</v>
      </c>
      <c r="ED217" s="65">
        <f t="shared" si="2466"/>
        <v>0</v>
      </c>
      <c r="EE217" s="65">
        <f t="shared" si="2466"/>
        <v>0</v>
      </c>
      <c r="EF217" s="65">
        <f t="shared" si="2466"/>
        <v>0</v>
      </c>
      <c r="EG217" s="65">
        <f t="shared" si="2466"/>
        <v>0</v>
      </c>
      <c r="EH217" s="65">
        <f t="shared" si="2466"/>
        <v>0</v>
      </c>
      <c r="EI217" s="65">
        <f t="shared" si="2466"/>
        <v>0</v>
      </c>
      <c r="EJ217" s="65">
        <f t="shared" si="2466"/>
        <v>0</v>
      </c>
      <c r="EK217" s="65">
        <f t="shared" si="2466"/>
        <v>0</v>
      </c>
      <c r="EL217" s="65">
        <f t="shared" si="2466"/>
        <v>0</v>
      </c>
      <c r="EM217" s="65">
        <f t="shared" si="2466"/>
        <v>0</v>
      </c>
      <c r="EN217" s="65">
        <f t="shared" si="2466"/>
        <v>0</v>
      </c>
      <c r="EO217" s="65">
        <f t="shared" si="2466"/>
        <v>0</v>
      </c>
      <c r="EP217" s="65">
        <f t="shared" si="2466"/>
        <v>0</v>
      </c>
      <c r="EQ217" s="65">
        <f t="shared" si="2466"/>
        <v>0</v>
      </c>
      <c r="ER217" s="65">
        <f t="shared" si="2466"/>
        <v>0</v>
      </c>
      <c r="ES217" s="65">
        <f t="shared" si="2466"/>
        <v>0</v>
      </c>
      <c r="ET217" s="65">
        <f t="shared" si="2466"/>
        <v>0</v>
      </c>
      <c r="EU217" s="65">
        <f t="shared" si="2466"/>
        <v>0</v>
      </c>
      <c r="EV217" s="65">
        <f t="shared" si="2466"/>
        <v>0</v>
      </c>
      <c r="EW217" s="65">
        <f t="shared" si="2466"/>
        <v>0</v>
      </c>
      <c r="EX217" s="65">
        <f t="shared" si="2466"/>
        <v>0</v>
      </c>
      <c r="EY217" s="65">
        <f t="shared" si="2466"/>
        <v>0</v>
      </c>
      <c r="EZ217" s="65">
        <f t="shared" si="2466"/>
        <v>0</v>
      </c>
      <c r="FA217" s="65">
        <f t="shared" si="2466"/>
        <v>0</v>
      </c>
      <c r="FB217" s="65">
        <f t="shared" si="2466"/>
        <v>0</v>
      </c>
      <c r="FC217" s="65">
        <f t="shared" si="2466"/>
        <v>0</v>
      </c>
      <c r="FD217" s="65">
        <f t="shared" si="2466"/>
        <v>0</v>
      </c>
      <c r="FE217" s="65">
        <f t="shared" si="2466"/>
        <v>0</v>
      </c>
      <c r="FF217" s="65">
        <f t="shared" si="2466"/>
        <v>0</v>
      </c>
      <c r="FG217" s="65">
        <f t="shared" si="2466"/>
        <v>0</v>
      </c>
      <c r="FH217" s="65">
        <f t="shared" si="2466"/>
        <v>0</v>
      </c>
      <c r="FI217" s="65">
        <f t="shared" si="2466"/>
        <v>0</v>
      </c>
      <c r="FJ217" s="65">
        <f t="shared" si="2466"/>
        <v>0</v>
      </c>
      <c r="FK217" s="65">
        <f t="shared" si="2466"/>
        <v>0</v>
      </c>
      <c r="FL217" s="65">
        <f t="shared" si="2466"/>
        <v>0</v>
      </c>
      <c r="FM217" s="65">
        <f t="shared" si="2466"/>
        <v>0</v>
      </c>
      <c r="FN217" s="65">
        <f t="shared" si="2466"/>
        <v>0</v>
      </c>
      <c r="FO217" s="65">
        <f t="shared" si="2466"/>
        <v>0</v>
      </c>
      <c r="FP217" s="65">
        <f t="shared" si="2466"/>
        <v>0</v>
      </c>
      <c r="FQ217" s="65">
        <f t="shared" si="2466"/>
        <v>0</v>
      </c>
      <c r="FR217" s="65">
        <f t="shared" si="2466"/>
        <v>0</v>
      </c>
      <c r="FS217" s="65">
        <f t="shared" si="2466"/>
        <v>0</v>
      </c>
      <c r="FT217" s="65">
        <f t="shared" si="2466"/>
        <v>0</v>
      </c>
      <c r="FU217" s="65">
        <f t="shared" si="2466"/>
        <v>0</v>
      </c>
      <c r="FV217" s="65">
        <f t="shared" si="2466"/>
        <v>0</v>
      </c>
      <c r="FW217" s="65">
        <f t="shared" si="2466"/>
        <v>0</v>
      </c>
      <c r="FX217" s="65">
        <f t="shared" si="2466"/>
        <v>0</v>
      </c>
      <c r="FY217" s="65">
        <f t="shared" si="2466"/>
        <v>0</v>
      </c>
      <c r="FZ217" s="59"/>
    </row>
    <row r="218" spans="1:182" ht="15.75" customHeight="1" x14ac:dyDescent="0.2">
      <c r="A218" s="94" t="s">
        <v>317</v>
      </c>
      <c r="B218" s="65">
        <f>-(B216+B217)*B308</f>
        <v>-142.83195273799399</v>
      </c>
      <c r="C218" s="65">
        <f>-(C216+C217)*C308</f>
        <v>-140.38151239327809</v>
      </c>
      <c r="D218" s="65">
        <f t="shared" ref="D218:BH218" si="2467">-(D216+D217)*D308</f>
        <v>-137.86359145151457</v>
      </c>
      <c r="E218" s="65">
        <f t="shared" si="2467"/>
        <v>-135.27676113745954</v>
      </c>
      <c r="F218" s="65">
        <f t="shared" si="2467"/>
        <v>-132.61956911303733</v>
      </c>
      <c r="G218" s="65">
        <f t="shared" si="2467"/>
        <v>-129.89040312319679</v>
      </c>
      <c r="H218" s="65">
        <f t="shared" si="2467"/>
        <v>-127.0878869049105</v>
      </c>
      <c r="I218" s="65">
        <f t="shared" si="2467"/>
        <v>-124.21047792244865</v>
      </c>
      <c r="J218" s="65">
        <f t="shared" si="2467"/>
        <v>-121.25660227246034</v>
      </c>
      <c r="K218" s="65">
        <f t="shared" si="2467"/>
        <v>-118.22465404868001</v>
      </c>
      <c r="L218" s="65">
        <f t="shared" si="2467"/>
        <v>-115.11299469520887</v>
      </c>
      <c r="M218" s="65">
        <f t="shared" si="2467"/>
        <v>-111.91995234524337</v>
      </c>
      <c r="N218" s="65">
        <f t="shared" si="2467"/>
        <v>-108.6437113892903</v>
      </c>
      <c r="O218" s="65">
        <f t="shared" si="2467"/>
        <v>-105.28159385053806</v>
      </c>
      <c r="P218" s="65">
        <f t="shared" si="2467"/>
        <v>-101.83293553414968</v>
      </c>
      <c r="Q218" s="65">
        <f t="shared" si="2467"/>
        <v>-98.295937739721694</v>
      </c>
      <c r="R218" s="65">
        <f t="shared" si="2467"/>
        <v>-94.668754917349631</v>
      </c>
      <c r="S218" s="65">
        <f t="shared" si="2467"/>
        <v>-90.949504048026867</v>
      </c>
      <c r="T218" s="65">
        <f t="shared" si="2467"/>
        <v>-87.136263885537559</v>
      </c>
      <c r="U218" s="65">
        <f t="shared" si="2467"/>
        <v>-83.227074182784833</v>
      </c>
      <c r="V218" s="65">
        <f t="shared" si="2467"/>
        <v>-79.219854271118692</v>
      </c>
      <c r="W218" s="65">
        <f t="shared" si="2467"/>
        <v>-75.112652373079882</v>
      </c>
      <c r="X218" s="65">
        <f t="shared" si="2467"/>
        <v>-70.903386780750708</v>
      </c>
      <c r="Y218" s="65">
        <f t="shared" si="2467"/>
        <v>-66.589933546072118</v>
      </c>
      <c r="Z218" s="65">
        <f t="shared" si="2467"/>
        <v>-62.170125623020283</v>
      </c>
      <c r="AA218" s="65">
        <f t="shared" si="2467"/>
        <v>-57.641175040994682</v>
      </c>
      <c r="AB218" s="65">
        <f t="shared" si="2467"/>
        <v>-53.001483758142079</v>
      </c>
      <c r="AC218" s="65">
        <f t="shared" si="2467"/>
        <v>-48.248766767064581</v>
      </c>
      <c r="AD218" s="65">
        <f t="shared" si="2467"/>
        <v>-43.38067959543546</v>
      </c>
      <c r="AE218" s="65">
        <f t="shared" si="2467"/>
        <v>-38.394790837139809</v>
      </c>
      <c r="AF218" s="65">
        <f t="shared" si="2467"/>
        <v>-33.288709850352674</v>
      </c>
      <c r="AG218" s="65">
        <f t="shared" si="2467"/>
        <v>-28.059947109351171</v>
      </c>
      <c r="AH218" s="65">
        <f t="shared" si="2467"/>
        <v>-22.705962641750737</v>
      </c>
      <c r="AI218" s="65">
        <f t="shared" si="2467"/>
        <v>-17.224165007803023</v>
      </c>
      <c r="AJ218" s="65">
        <f t="shared" si="2467"/>
        <v>-11.611910261282876</v>
      </c>
      <c r="AK218" s="65">
        <f t="shared" si="2467"/>
        <v>-5.8665008883140173</v>
      </c>
      <c r="AL218" s="65">
        <f t="shared" si="2467"/>
        <v>0</v>
      </c>
      <c r="AM218" s="65">
        <f t="shared" si="2467"/>
        <v>0</v>
      </c>
      <c r="AN218" s="65">
        <f t="shared" si="2467"/>
        <v>0</v>
      </c>
      <c r="AO218" s="65">
        <f t="shared" si="2467"/>
        <v>0</v>
      </c>
      <c r="AP218" s="65">
        <f t="shared" si="2467"/>
        <v>0</v>
      </c>
      <c r="AQ218" s="65">
        <f t="shared" si="2467"/>
        <v>0</v>
      </c>
      <c r="AR218" s="65">
        <f t="shared" si="2467"/>
        <v>0</v>
      </c>
      <c r="AS218" s="65">
        <f t="shared" si="2467"/>
        <v>0</v>
      </c>
      <c r="AT218" s="65">
        <f t="shared" si="2467"/>
        <v>0</v>
      </c>
      <c r="AU218" s="65">
        <f t="shared" si="2467"/>
        <v>0</v>
      </c>
      <c r="AV218" s="65">
        <f t="shared" si="2467"/>
        <v>0</v>
      </c>
      <c r="AW218" s="65">
        <f t="shared" si="2467"/>
        <v>0</v>
      </c>
      <c r="AX218" s="65">
        <f t="shared" si="2467"/>
        <v>0</v>
      </c>
      <c r="AY218" s="65">
        <f t="shared" si="2467"/>
        <v>0</v>
      </c>
      <c r="AZ218" s="65">
        <f t="shared" si="2467"/>
        <v>0</v>
      </c>
      <c r="BA218" s="65">
        <f t="shared" si="2467"/>
        <v>0</v>
      </c>
      <c r="BB218" s="65">
        <f t="shared" si="2467"/>
        <v>0</v>
      </c>
      <c r="BC218" s="65">
        <f t="shared" si="2467"/>
        <v>0</v>
      </c>
      <c r="BD218" s="65">
        <f t="shared" si="2467"/>
        <v>0</v>
      </c>
      <c r="BE218" s="65">
        <f t="shared" si="2467"/>
        <v>0</v>
      </c>
      <c r="BF218" s="65">
        <f t="shared" si="2467"/>
        <v>0</v>
      </c>
      <c r="BG218" s="65">
        <f t="shared" si="2467"/>
        <v>0</v>
      </c>
      <c r="BH218" s="65">
        <f t="shared" si="2467"/>
        <v>0</v>
      </c>
      <c r="BI218" s="65">
        <f t="shared" ref="BI218" si="2468">-(BI216+BI217)*BI308</f>
        <v>0</v>
      </c>
      <c r="BJ218" s="65">
        <f t="shared" ref="BJ218" si="2469">-(BJ216+BJ217)*BJ308</f>
        <v>0</v>
      </c>
      <c r="BK218" s="65">
        <f t="shared" ref="BK218" si="2470">-(BK216+BK217)*BK308</f>
        <v>0</v>
      </c>
      <c r="BL218" s="65">
        <f t="shared" ref="BL218" si="2471">-(BL216+BL217)*BL308</f>
        <v>0</v>
      </c>
      <c r="BM218" s="65">
        <f t="shared" ref="BM218" si="2472">-(BM216+BM217)*BM308</f>
        <v>0</v>
      </c>
      <c r="BN218" s="65">
        <f t="shared" ref="BN218" si="2473">-(BN216+BN217)*BN308</f>
        <v>0</v>
      </c>
      <c r="BO218" s="65">
        <f t="shared" ref="BO218" si="2474">-(BO216+BO217)*BO308</f>
        <v>0</v>
      </c>
      <c r="BP218" s="65">
        <f t="shared" ref="BP218" si="2475">-(BP216+BP217)*BP308</f>
        <v>0</v>
      </c>
      <c r="BQ218" s="65">
        <f t="shared" ref="BQ218" si="2476">-(BQ216+BQ217)*BQ308</f>
        <v>0</v>
      </c>
      <c r="BR218" s="65">
        <f t="shared" ref="BR218" si="2477">-(BR216+BR217)*BR308</f>
        <v>0</v>
      </c>
      <c r="BS218" s="65">
        <f t="shared" ref="BS218" si="2478">-(BS216+BS217)*BS308</f>
        <v>0</v>
      </c>
      <c r="BT218" s="65">
        <f t="shared" ref="BT218" si="2479">-(BT216+BT217)*BT308</f>
        <v>0</v>
      </c>
      <c r="BU218" s="65">
        <f t="shared" ref="BU218" si="2480">-(BU216+BU217)*BU308</f>
        <v>0</v>
      </c>
      <c r="BV218" s="65">
        <f t="shared" ref="BV218" si="2481">-(BV216+BV217)*BV308</f>
        <v>0</v>
      </c>
      <c r="BW218" s="65">
        <f t="shared" ref="BW218" si="2482">-(BW216+BW217)*BW308</f>
        <v>0</v>
      </c>
      <c r="BX218" s="65">
        <f t="shared" ref="BX218" si="2483">-(BX216+BX217)*BX308</f>
        <v>0</v>
      </c>
      <c r="BY218" s="65">
        <f t="shared" ref="BY218" si="2484">-(BY216+BY217)*BY308</f>
        <v>0</v>
      </c>
      <c r="BZ218" s="65">
        <f t="shared" ref="BZ218" si="2485">-(BZ216+BZ217)*BZ308</f>
        <v>0</v>
      </c>
      <c r="CA218" s="65">
        <f t="shared" ref="CA218" si="2486">-(CA216+CA217)*CA308</f>
        <v>0</v>
      </c>
      <c r="CB218" s="65">
        <f t="shared" ref="CB218" si="2487">-(CB216+CB217)*CB308</f>
        <v>0</v>
      </c>
      <c r="CC218" s="65">
        <f t="shared" ref="CC218" si="2488">-(CC216+CC217)*CC308</f>
        <v>0</v>
      </c>
      <c r="CD218" s="65">
        <f t="shared" ref="CD218" si="2489">-(CD216+CD217)*CD308</f>
        <v>0</v>
      </c>
      <c r="CE218" s="65">
        <f t="shared" ref="CE218" si="2490">-(CE216+CE217)*CE308</f>
        <v>0</v>
      </c>
      <c r="CF218" s="65">
        <f t="shared" ref="CF218" si="2491">-(CF216+CF217)*CF308</f>
        <v>0</v>
      </c>
      <c r="CG218" s="65">
        <f t="shared" ref="CG218" si="2492">-(CG216+CG217)*CG308</f>
        <v>0</v>
      </c>
      <c r="CH218" s="65">
        <f t="shared" ref="CH218" si="2493">-(CH216+CH217)*CH308</f>
        <v>0</v>
      </c>
      <c r="CI218" s="65">
        <f t="shared" ref="CI218" si="2494">-(CI216+CI217)*CI308</f>
        <v>0</v>
      </c>
      <c r="CJ218" s="65">
        <f t="shared" ref="CJ218" si="2495">-(CJ216+CJ217)*CJ308</f>
        <v>0</v>
      </c>
      <c r="CK218" s="65">
        <f t="shared" ref="CK218" si="2496">-(CK216+CK217)*CK308</f>
        <v>0</v>
      </c>
      <c r="CL218" s="65">
        <f t="shared" ref="CL218" si="2497">-(CL216+CL217)*CL308</f>
        <v>0</v>
      </c>
      <c r="CM218" s="65">
        <f t="shared" ref="CM218" si="2498">-(CM216+CM217)*CM308</f>
        <v>0</v>
      </c>
      <c r="CN218" s="65">
        <f t="shared" ref="CN218" si="2499">-(CN216+CN217)*CN308</f>
        <v>0</v>
      </c>
      <c r="CO218" s="65">
        <f t="shared" ref="CO218" si="2500">-(CO216+CO217)*CO308</f>
        <v>0</v>
      </c>
      <c r="CP218" s="65">
        <f t="shared" ref="CP218" si="2501">-(CP216+CP217)*CP308</f>
        <v>0</v>
      </c>
      <c r="CQ218" s="65">
        <f t="shared" ref="CQ218" si="2502">-(CQ216+CQ217)*CQ308</f>
        <v>0</v>
      </c>
      <c r="CR218" s="65">
        <f t="shared" ref="CR218" si="2503">-(CR216+CR217)*CR308</f>
        <v>0</v>
      </c>
      <c r="CS218" s="65">
        <f t="shared" ref="CS218" si="2504">-(CS216+CS217)*CS308</f>
        <v>0</v>
      </c>
      <c r="CT218" s="65">
        <f t="shared" ref="CT218" si="2505">-(CT216+CT217)*CT308</f>
        <v>0</v>
      </c>
      <c r="CU218" s="65">
        <f t="shared" ref="CU218" si="2506">-(CU216+CU217)*CU308</f>
        <v>0</v>
      </c>
      <c r="CV218" s="65">
        <f t="shared" ref="CV218" si="2507">-(CV216+CV217)*CV308</f>
        <v>0</v>
      </c>
      <c r="CW218" s="65">
        <f t="shared" ref="CW218" si="2508">-(CW216+CW217)*CW308</f>
        <v>0</v>
      </c>
      <c r="CX218" s="65">
        <f t="shared" ref="CX218" si="2509">-(CX216+CX217)*CX308</f>
        <v>0</v>
      </c>
      <c r="CY218" s="65">
        <f t="shared" ref="CY218" si="2510">-(CY216+CY217)*CY308</f>
        <v>0</v>
      </c>
      <c r="CZ218" s="65">
        <f t="shared" ref="CZ218" si="2511">-(CZ216+CZ217)*CZ308</f>
        <v>0</v>
      </c>
      <c r="DA218" s="65">
        <f t="shared" ref="DA218" si="2512">-(DA216+DA217)*DA308</f>
        <v>0</v>
      </c>
      <c r="DB218" s="65">
        <f t="shared" ref="DB218" si="2513">-(DB216+DB217)*DB308</f>
        <v>0</v>
      </c>
      <c r="DC218" s="65">
        <f t="shared" ref="DC218" si="2514">-(DC216+DC217)*DC308</f>
        <v>0</v>
      </c>
      <c r="DD218" s="65">
        <f t="shared" ref="DD218" si="2515">-(DD216+DD217)*DD308</f>
        <v>0</v>
      </c>
      <c r="DE218" s="65">
        <f t="shared" ref="DE218" si="2516">-(DE216+DE217)*DE308</f>
        <v>0</v>
      </c>
      <c r="DF218" s="65">
        <f t="shared" ref="DF218" si="2517">-(DF216+DF217)*DF308</f>
        <v>0</v>
      </c>
      <c r="DG218" s="65">
        <f t="shared" ref="DG218" si="2518">-(DG216+DG217)*DG308</f>
        <v>0</v>
      </c>
      <c r="DH218" s="65">
        <f t="shared" ref="DH218" si="2519">-(DH216+DH217)*DH308</f>
        <v>0</v>
      </c>
      <c r="DI218" s="65">
        <f t="shared" ref="DI218" si="2520">-(DI216+DI217)*DI308</f>
        <v>0</v>
      </c>
      <c r="DJ218" s="65">
        <f t="shared" ref="DJ218" si="2521">-(DJ216+DJ217)*DJ308</f>
        <v>0</v>
      </c>
      <c r="DK218" s="65">
        <f t="shared" ref="DK218" si="2522">-(DK216+DK217)*DK308</f>
        <v>0</v>
      </c>
      <c r="DL218" s="65">
        <f t="shared" ref="DL218" si="2523">-(DL216+DL217)*DL308</f>
        <v>0</v>
      </c>
      <c r="DM218" s="65">
        <f t="shared" ref="DM218" si="2524">-(DM216+DM217)*DM308</f>
        <v>0</v>
      </c>
      <c r="DN218" s="65">
        <f t="shared" ref="DN218" si="2525">-(DN216+DN217)*DN308</f>
        <v>0</v>
      </c>
      <c r="DO218" s="65">
        <f t="shared" ref="DO218" si="2526">-(DO216+DO217)*DO308</f>
        <v>0</v>
      </c>
      <c r="DP218" s="65">
        <f t="shared" ref="DP218:FY218" si="2527">-(DP216+DP217)*DP308</f>
        <v>0</v>
      </c>
      <c r="DQ218" s="65">
        <f t="shared" si="2527"/>
        <v>0</v>
      </c>
      <c r="DR218" s="65">
        <f t="shared" si="2527"/>
        <v>0</v>
      </c>
      <c r="DS218" s="65">
        <f t="shared" si="2527"/>
        <v>0</v>
      </c>
      <c r="DT218" s="65">
        <f t="shared" si="2527"/>
        <v>0</v>
      </c>
      <c r="DU218" s="65">
        <f t="shared" si="2527"/>
        <v>0</v>
      </c>
      <c r="DV218" s="65">
        <f t="shared" si="2527"/>
        <v>0</v>
      </c>
      <c r="DW218" s="65">
        <f t="shared" si="2527"/>
        <v>0</v>
      </c>
      <c r="DX218" s="65">
        <f t="shared" si="2527"/>
        <v>0</v>
      </c>
      <c r="DY218" s="65">
        <f t="shared" si="2527"/>
        <v>0</v>
      </c>
      <c r="DZ218" s="65">
        <f t="shared" si="2527"/>
        <v>0</v>
      </c>
      <c r="EA218" s="65">
        <f t="shared" si="2527"/>
        <v>0</v>
      </c>
      <c r="EB218" s="65">
        <f t="shared" si="2527"/>
        <v>0</v>
      </c>
      <c r="EC218" s="65">
        <f t="shared" si="2527"/>
        <v>0</v>
      </c>
      <c r="ED218" s="65">
        <f t="shared" si="2527"/>
        <v>0</v>
      </c>
      <c r="EE218" s="65">
        <f t="shared" si="2527"/>
        <v>0</v>
      </c>
      <c r="EF218" s="65">
        <f t="shared" si="2527"/>
        <v>0</v>
      </c>
      <c r="EG218" s="65">
        <f t="shared" si="2527"/>
        <v>0</v>
      </c>
      <c r="EH218" s="65">
        <f t="shared" si="2527"/>
        <v>0</v>
      </c>
      <c r="EI218" s="65">
        <f t="shared" si="2527"/>
        <v>0</v>
      </c>
      <c r="EJ218" s="65">
        <f t="shared" si="2527"/>
        <v>0</v>
      </c>
      <c r="EK218" s="65">
        <f t="shared" si="2527"/>
        <v>0</v>
      </c>
      <c r="EL218" s="65">
        <f t="shared" si="2527"/>
        <v>0</v>
      </c>
      <c r="EM218" s="65">
        <f t="shared" si="2527"/>
        <v>0</v>
      </c>
      <c r="EN218" s="65">
        <f t="shared" si="2527"/>
        <v>0</v>
      </c>
      <c r="EO218" s="65">
        <f t="shared" si="2527"/>
        <v>0</v>
      </c>
      <c r="EP218" s="65">
        <f t="shared" si="2527"/>
        <v>0</v>
      </c>
      <c r="EQ218" s="65">
        <f t="shared" si="2527"/>
        <v>0</v>
      </c>
      <c r="ER218" s="65">
        <f t="shared" si="2527"/>
        <v>0</v>
      </c>
      <c r="ES218" s="65">
        <f t="shared" si="2527"/>
        <v>0</v>
      </c>
      <c r="ET218" s="65">
        <f t="shared" si="2527"/>
        <v>0</v>
      </c>
      <c r="EU218" s="65">
        <f t="shared" si="2527"/>
        <v>0</v>
      </c>
      <c r="EV218" s="65">
        <f t="shared" si="2527"/>
        <v>0</v>
      </c>
      <c r="EW218" s="65">
        <f t="shared" si="2527"/>
        <v>0</v>
      </c>
      <c r="EX218" s="65">
        <f t="shared" si="2527"/>
        <v>0</v>
      </c>
      <c r="EY218" s="65">
        <f t="shared" si="2527"/>
        <v>0</v>
      </c>
      <c r="EZ218" s="65">
        <f t="shared" si="2527"/>
        <v>0</v>
      </c>
      <c r="FA218" s="65">
        <f t="shared" si="2527"/>
        <v>0</v>
      </c>
      <c r="FB218" s="65">
        <f t="shared" si="2527"/>
        <v>0</v>
      </c>
      <c r="FC218" s="65">
        <f t="shared" si="2527"/>
        <v>0</v>
      </c>
      <c r="FD218" s="65">
        <f t="shared" si="2527"/>
        <v>0</v>
      </c>
      <c r="FE218" s="65">
        <f t="shared" si="2527"/>
        <v>0</v>
      </c>
      <c r="FF218" s="65">
        <f t="shared" si="2527"/>
        <v>0</v>
      </c>
      <c r="FG218" s="65">
        <f t="shared" si="2527"/>
        <v>0</v>
      </c>
      <c r="FH218" s="65">
        <f t="shared" si="2527"/>
        <v>0</v>
      </c>
      <c r="FI218" s="65">
        <f t="shared" si="2527"/>
        <v>0</v>
      </c>
      <c r="FJ218" s="65">
        <f t="shared" si="2527"/>
        <v>0</v>
      </c>
      <c r="FK218" s="65">
        <f t="shared" si="2527"/>
        <v>0</v>
      </c>
      <c r="FL218" s="65">
        <f t="shared" si="2527"/>
        <v>0</v>
      </c>
      <c r="FM218" s="65">
        <f t="shared" si="2527"/>
        <v>0</v>
      </c>
      <c r="FN218" s="65">
        <f t="shared" si="2527"/>
        <v>0</v>
      </c>
      <c r="FO218" s="65">
        <f t="shared" si="2527"/>
        <v>0</v>
      </c>
      <c r="FP218" s="65">
        <f t="shared" si="2527"/>
        <v>0</v>
      </c>
      <c r="FQ218" s="65">
        <f t="shared" si="2527"/>
        <v>0</v>
      </c>
      <c r="FR218" s="65">
        <f t="shared" si="2527"/>
        <v>0</v>
      </c>
      <c r="FS218" s="65">
        <f t="shared" si="2527"/>
        <v>0</v>
      </c>
      <c r="FT218" s="65">
        <f t="shared" si="2527"/>
        <v>0</v>
      </c>
      <c r="FU218" s="65">
        <f t="shared" si="2527"/>
        <v>0</v>
      </c>
      <c r="FV218" s="65">
        <f t="shared" si="2527"/>
        <v>0</v>
      </c>
      <c r="FW218" s="65">
        <f t="shared" si="2527"/>
        <v>0</v>
      </c>
      <c r="FX218" s="65">
        <f t="shared" si="2527"/>
        <v>0</v>
      </c>
      <c r="FY218" s="65">
        <f t="shared" si="2527"/>
        <v>0</v>
      </c>
      <c r="FZ218" s="59"/>
    </row>
    <row r="219" spans="1:182" ht="15.75" customHeight="1" x14ac:dyDescent="0.2">
      <c r="A219" s="94" t="s">
        <v>329</v>
      </c>
      <c r="B219" s="65">
        <f>SUM(B216:B218)</f>
        <v>2719.0774143267922</v>
      </c>
      <c r="C219" s="65">
        <f>SUM(C216:C218)</f>
        <v>2590.574180237978</v>
      </c>
      <c r="D219" s="65">
        <f t="shared" ref="D219:BH219" si="2528">SUM(D216:D218)</f>
        <v>2464.027501250629</v>
      </c>
      <c r="E219" s="65">
        <f t="shared" si="2528"/>
        <v>2339.5148339398079</v>
      </c>
      <c r="F219" s="65">
        <f t="shared" si="2528"/>
        <v>2217.1154255873785</v>
      </c>
      <c r="G219" s="65">
        <f t="shared" si="2528"/>
        <v>2096.9104819216745</v>
      </c>
      <c r="H219" s="65">
        <f t="shared" si="2528"/>
        <v>1978.9829396809412</v>
      </c>
      <c r="I219" s="65">
        <f t="shared" si="2528"/>
        <v>1863.4176404479474</v>
      </c>
      <c r="J219" s="65">
        <f t="shared" si="2528"/>
        <v>1750.3013703389124</v>
      </c>
      <c r="K219" s="65">
        <f t="shared" si="2528"/>
        <v>1639.7229005011063</v>
      </c>
      <c r="L219" s="65">
        <f t="shared" si="2528"/>
        <v>1531.7730284340837</v>
      </c>
      <c r="M219" s="65">
        <f t="shared" si="2528"/>
        <v>1426.5446201526993</v>
      </c>
      <c r="N219" s="65">
        <f t="shared" si="2528"/>
        <v>1324.1327629660982</v>
      </c>
      <c r="O219" s="65">
        <f t="shared" si="2528"/>
        <v>1224.6356375487489</v>
      </c>
      <c r="P219" s="65">
        <f t="shared" si="2528"/>
        <v>1128.1525176718228</v>
      </c>
      <c r="Q219" s="65">
        <f t="shared" si="2528"/>
        <v>1034.7849094839485</v>
      </c>
      <c r="R219" s="65">
        <f t="shared" si="2528"/>
        <v>944.63660811284444</v>
      </c>
      <c r="S219" s="65">
        <f t="shared" si="2528"/>
        <v>857.81374513381684</v>
      </c>
      <c r="T219" s="65">
        <f t="shared" si="2528"/>
        <v>774.42483700373009</v>
      </c>
      <c r="U219" s="65">
        <f t="shared" si="2528"/>
        <v>694.58083448023342</v>
      </c>
      <c r="V219" s="65">
        <f t="shared" si="2528"/>
        <v>618.39525367754618</v>
      </c>
      <c r="W219" s="65">
        <f t="shared" si="2528"/>
        <v>545.984058382017</v>
      </c>
      <c r="X219" s="65">
        <f t="shared" si="2528"/>
        <v>477.46580067522757</v>
      </c>
      <c r="Y219" s="65">
        <f t="shared" si="2528"/>
        <v>412.96167448109071</v>
      </c>
      <c r="Z219" s="65">
        <f t="shared" si="2528"/>
        <v>352.59557020469259</v>
      </c>
      <c r="AA219" s="65">
        <f t="shared" si="2528"/>
        <v>296.49470743643599</v>
      </c>
      <c r="AB219" s="65">
        <f t="shared" si="2528"/>
        <v>244.78845956682508</v>
      </c>
      <c r="AC219" s="65">
        <f t="shared" si="2528"/>
        <v>197.6090501608769</v>
      </c>
      <c r="AD219" s="65">
        <f t="shared" si="2528"/>
        <v>155.09162487402568</v>
      </c>
      <c r="AE219" s="65">
        <f t="shared" si="2528"/>
        <v>117.37435115105059</v>
      </c>
      <c r="AF219" s="65">
        <f t="shared" si="2528"/>
        <v>84.598390662460105</v>
      </c>
      <c r="AG219" s="65">
        <f t="shared" si="2528"/>
        <v>56.908011268652345</v>
      </c>
      <c r="AH219" s="65">
        <f t="shared" si="2528"/>
        <v>34.45065103595438</v>
      </c>
      <c r="AI219" s="65">
        <f t="shared" si="2528"/>
        <v>17.376983553017283</v>
      </c>
      <c r="AJ219" s="65">
        <f t="shared" si="2528"/>
        <v>5.8409845716587157</v>
      </c>
      <c r="AK219" s="65">
        <f t="shared" si="2528"/>
        <v>0</v>
      </c>
      <c r="AL219" s="65">
        <f t="shared" si="2528"/>
        <v>0</v>
      </c>
      <c r="AM219" s="65">
        <f t="shared" si="2528"/>
        <v>0</v>
      </c>
      <c r="AN219" s="65">
        <f t="shared" si="2528"/>
        <v>0</v>
      </c>
      <c r="AO219" s="65">
        <f t="shared" si="2528"/>
        <v>0</v>
      </c>
      <c r="AP219" s="65">
        <f t="shared" si="2528"/>
        <v>0</v>
      </c>
      <c r="AQ219" s="65">
        <f t="shared" si="2528"/>
        <v>0</v>
      </c>
      <c r="AR219" s="65">
        <f t="shared" si="2528"/>
        <v>0</v>
      </c>
      <c r="AS219" s="65">
        <f t="shared" si="2528"/>
        <v>0</v>
      </c>
      <c r="AT219" s="65">
        <f t="shared" si="2528"/>
        <v>0</v>
      </c>
      <c r="AU219" s="65">
        <f t="shared" si="2528"/>
        <v>0</v>
      </c>
      <c r="AV219" s="65">
        <f t="shared" si="2528"/>
        <v>0</v>
      </c>
      <c r="AW219" s="65">
        <f t="shared" si="2528"/>
        <v>0</v>
      </c>
      <c r="AX219" s="65">
        <f t="shared" si="2528"/>
        <v>0</v>
      </c>
      <c r="AY219" s="65">
        <f t="shared" si="2528"/>
        <v>0</v>
      </c>
      <c r="AZ219" s="65">
        <f t="shared" si="2528"/>
        <v>0</v>
      </c>
      <c r="BA219" s="65">
        <f t="shared" si="2528"/>
        <v>0</v>
      </c>
      <c r="BB219" s="65">
        <f t="shared" si="2528"/>
        <v>0</v>
      </c>
      <c r="BC219" s="65">
        <f t="shared" si="2528"/>
        <v>0</v>
      </c>
      <c r="BD219" s="65">
        <f t="shared" si="2528"/>
        <v>0</v>
      </c>
      <c r="BE219" s="65">
        <f t="shared" si="2528"/>
        <v>0</v>
      </c>
      <c r="BF219" s="65">
        <f t="shared" si="2528"/>
        <v>0</v>
      </c>
      <c r="BG219" s="65">
        <f t="shared" si="2528"/>
        <v>0</v>
      </c>
      <c r="BH219" s="65">
        <f t="shared" si="2528"/>
        <v>0</v>
      </c>
      <c r="BI219" s="65">
        <f t="shared" ref="BI219" si="2529">SUM(BI216:BI218)</f>
        <v>0</v>
      </c>
      <c r="BJ219" s="65">
        <f t="shared" ref="BJ219" si="2530">SUM(BJ216:BJ218)</f>
        <v>0</v>
      </c>
      <c r="BK219" s="65">
        <f t="shared" ref="BK219" si="2531">SUM(BK216:BK218)</f>
        <v>0</v>
      </c>
      <c r="BL219" s="65">
        <f t="shared" ref="BL219" si="2532">SUM(BL216:BL218)</f>
        <v>0</v>
      </c>
      <c r="BM219" s="65">
        <f t="shared" ref="BM219" si="2533">SUM(BM216:BM218)</f>
        <v>0</v>
      </c>
      <c r="BN219" s="65">
        <f t="shared" ref="BN219" si="2534">SUM(BN216:BN218)</f>
        <v>0</v>
      </c>
      <c r="BO219" s="65">
        <f t="shared" ref="BO219" si="2535">SUM(BO216:BO218)</f>
        <v>0</v>
      </c>
      <c r="BP219" s="65">
        <f t="shared" ref="BP219" si="2536">SUM(BP216:BP218)</f>
        <v>0</v>
      </c>
      <c r="BQ219" s="65">
        <f t="shared" ref="BQ219" si="2537">SUM(BQ216:BQ218)</f>
        <v>0</v>
      </c>
      <c r="BR219" s="65">
        <f t="shared" ref="BR219" si="2538">SUM(BR216:BR218)</f>
        <v>0</v>
      </c>
      <c r="BS219" s="65">
        <f t="shared" ref="BS219" si="2539">SUM(BS216:BS218)</f>
        <v>0</v>
      </c>
      <c r="BT219" s="65">
        <f t="shared" ref="BT219" si="2540">SUM(BT216:BT218)</f>
        <v>0</v>
      </c>
      <c r="BU219" s="65">
        <f t="shared" ref="BU219" si="2541">SUM(BU216:BU218)</f>
        <v>0</v>
      </c>
      <c r="BV219" s="65">
        <f t="shared" ref="BV219" si="2542">SUM(BV216:BV218)</f>
        <v>0</v>
      </c>
      <c r="BW219" s="65">
        <f t="shared" ref="BW219" si="2543">SUM(BW216:BW218)</f>
        <v>0</v>
      </c>
      <c r="BX219" s="65">
        <f t="shared" ref="BX219" si="2544">SUM(BX216:BX218)</f>
        <v>0</v>
      </c>
      <c r="BY219" s="65">
        <f t="shared" ref="BY219" si="2545">SUM(BY216:BY218)</f>
        <v>0</v>
      </c>
      <c r="BZ219" s="65">
        <f t="shared" ref="BZ219" si="2546">SUM(BZ216:BZ218)</f>
        <v>0</v>
      </c>
      <c r="CA219" s="65">
        <f t="shared" ref="CA219" si="2547">SUM(CA216:CA218)</f>
        <v>0</v>
      </c>
      <c r="CB219" s="65">
        <f t="shared" ref="CB219" si="2548">SUM(CB216:CB218)</f>
        <v>0</v>
      </c>
      <c r="CC219" s="65">
        <f t="shared" ref="CC219" si="2549">SUM(CC216:CC218)</f>
        <v>0</v>
      </c>
      <c r="CD219" s="65">
        <f t="shared" ref="CD219" si="2550">SUM(CD216:CD218)</f>
        <v>0</v>
      </c>
      <c r="CE219" s="65">
        <f t="shared" ref="CE219" si="2551">SUM(CE216:CE218)</f>
        <v>0</v>
      </c>
      <c r="CF219" s="65">
        <f t="shared" ref="CF219" si="2552">SUM(CF216:CF218)</f>
        <v>0</v>
      </c>
      <c r="CG219" s="65">
        <f t="shared" ref="CG219" si="2553">SUM(CG216:CG218)</f>
        <v>0</v>
      </c>
      <c r="CH219" s="65">
        <f t="shared" ref="CH219" si="2554">SUM(CH216:CH218)</f>
        <v>0</v>
      </c>
      <c r="CI219" s="65">
        <f t="shared" ref="CI219" si="2555">SUM(CI216:CI218)</f>
        <v>0</v>
      </c>
      <c r="CJ219" s="65">
        <f t="shared" ref="CJ219" si="2556">SUM(CJ216:CJ218)</f>
        <v>0</v>
      </c>
      <c r="CK219" s="65">
        <f t="shared" ref="CK219" si="2557">SUM(CK216:CK218)</f>
        <v>0</v>
      </c>
      <c r="CL219" s="65">
        <f t="shared" ref="CL219" si="2558">SUM(CL216:CL218)</f>
        <v>0</v>
      </c>
      <c r="CM219" s="65">
        <f t="shared" ref="CM219" si="2559">SUM(CM216:CM218)</f>
        <v>0</v>
      </c>
      <c r="CN219" s="65">
        <f t="shared" ref="CN219" si="2560">SUM(CN216:CN218)</f>
        <v>0</v>
      </c>
      <c r="CO219" s="65">
        <f t="shared" ref="CO219" si="2561">SUM(CO216:CO218)</f>
        <v>0</v>
      </c>
      <c r="CP219" s="65">
        <f t="shared" ref="CP219" si="2562">SUM(CP216:CP218)</f>
        <v>0</v>
      </c>
      <c r="CQ219" s="65">
        <f t="shared" ref="CQ219" si="2563">SUM(CQ216:CQ218)</f>
        <v>0</v>
      </c>
      <c r="CR219" s="65">
        <f t="shared" ref="CR219" si="2564">SUM(CR216:CR218)</f>
        <v>0</v>
      </c>
      <c r="CS219" s="65">
        <f t="shared" ref="CS219" si="2565">SUM(CS216:CS218)</f>
        <v>0</v>
      </c>
      <c r="CT219" s="65">
        <f t="shared" ref="CT219" si="2566">SUM(CT216:CT218)</f>
        <v>0</v>
      </c>
      <c r="CU219" s="65">
        <f t="shared" ref="CU219" si="2567">SUM(CU216:CU218)</f>
        <v>0</v>
      </c>
      <c r="CV219" s="65">
        <f t="shared" ref="CV219" si="2568">SUM(CV216:CV218)</f>
        <v>0</v>
      </c>
      <c r="CW219" s="65">
        <f t="shared" ref="CW219" si="2569">SUM(CW216:CW218)</f>
        <v>0</v>
      </c>
      <c r="CX219" s="65">
        <f t="shared" ref="CX219" si="2570">SUM(CX216:CX218)</f>
        <v>0</v>
      </c>
      <c r="CY219" s="65">
        <f t="shared" ref="CY219" si="2571">SUM(CY216:CY218)</f>
        <v>0</v>
      </c>
      <c r="CZ219" s="65">
        <f t="shared" ref="CZ219" si="2572">SUM(CZ216:CZ218)</f>
        <v>0</v>
      </c>
      <c r="DA219" s="65">
        <f t="shared" ref="DA219" si="2573">SUM(DA216:DA218)</f>
        <v>0</v>
      </c>
      <c r="DB219" s="65">
        <f t="shared" ref="DB219" si="2574">SUM(DB216:DB218)</f>
        <v>0</v>
      </c>
      <c r="DC219" s="65">
        <f t="shared" ref="DC219" si="2575">SUM(DC216:DC218)</f>
        <v>0</v>
      </c>
      <c r="DD219" s="65">
        <f t="shared" ref="DD219" si="2576">SUM(DD216:DD218)</f>
        <v>0</v>
      </c>
      <c r="DE219" s="65">
        <f t="shared" ref="DE219" si="2577">SUM(DE216:DE218)</f>
        <v>0</v>
      </c>
      <c r="DF219" s="65">
        <f t="shared" ref="DF219" si="2578">SUM(DF216:DF218)</f>
        <v>0</v>
      </c>
      <c r="DG219" s="65">
        <f t="shared" ref="DG219" si="2579">SUM(DG216:DG218)</f>
        <v>0</v>
      </c>
      <c r="DH219" s="65">
        <f t="shared" ref="DH219" si="2580">SUM(DH216:DH218)</f>
        <v>0</v>
      </c>
      <c r="DI219" s="65">
        <f t="shared" ref="DI219" si="2581">SUM(DI216:DI218)</f>
        <v>0</v>
      </c>
      <c r="DJ219" s="65">
        <f t="shared" ref="DJ219" si="2582">SUM(DJ216:DJ218)</f>
        <v>0</v>
      </c>
      <c r="DK219" s="65">
        <f t="shared" ref="DK219" si="2583">SUM(DK216:DK218)</f>
        <v>0</v>
      </c>
      <c r="DL219" s="65">
        <f t="shared" ref="DL219" si="2584">SUM(DL216:DL218)</f>
        <v>0</v>
      </c>
      <c r="DM219" s="65">
        <f t="shared" ref="DM219" si="2585">SUM(DM216:DM218)</f>
        <v>0</v>
      </c>
      <c r="DN219" s="65">
        <f t="shared" ref="DN219" si="2586">SUM(DN216:DN218)</f>
        <v>0</v>
      </c>
      <c r="DO219" s="65">
        <f t="shared" ref="DO219" si="2587">SUM(DO216:DO218)</f>
        <v>0</v>
      </c>
      <c r="DP219" s="65">
        <f t="shared" ref="DP219:FY219" si="2588">SUM(DP216:DP218)</f>
        <v>0</v>
      </c>
      <c r="DQ219" s="65">
        <f t="shared" si="2588"/>
        <v>0</v>
      </c>
      <c r="DR219" s="65">
        <f t="shared" si="2588"/>
        <v>0</v>
      </c>
      <c r="DS219" s="65">
        <f t="shared" si="2588"/>
        <v>0</v>
      </c>
      <c r="DT219" s="65">
        <f t="shared" si="2588"/>
        <v>0</v>
      </c>
      <c r="DU219" s="65">
        <f t="shared" si="2588"/>
        <v>0</v>
      </c>
      <c r="DV219" s="65">
        <f t="shared" si="2588"/>
        <v>0</v>
      </c>
      <c r="DW219" s="65">
        <f t="shared" si="2588"/>
        <v>0</v>
      </c>
      <c r="DX219" s="65">
        <f t="shared" si="2588"/>
        <v>0</v>
      </c>
      <c r="DY219" s="65">
        <f t="shared" si="2588"/>
        <v>0</v>
      </c>
      <c r="DZ219" s="65">
        <f t="shared" si="2588"/>
        <v>0</v>
      </c>
      <c r="EA219" s="65">
        <f t="shared" si="2588"/>
        <v>0</v>
      </c>
      <c r="EB219" s="65">
        <f t="shared" si="2588"/>
        <v>0</v>
      </c>
      <c r="EC219" s="65">
        <f t="shared" si="2588"/>
        <v>0</v>
      </c>
      <c r="ED219" s="65">
        <f t="shared" si="2588"/>
        <v>0</v>
      </c>
      <c r="EE219" s="65">
        <f t="shared" si="2588"/>
        <v>0</v>
      </c>
      <c r="EF219" s="65">
        <f t="shared" si="2588"/>
        <v>0</v>
      </c>
      <c r="EG219" s="65">
        <f t="shared" si="2588"/>
        <v>0</v>
      </c>
      <c r="EH219" s="65">
        <f t="shared" si="2588"/>
        <v>0</v>
      </c>
      <c r="EI219" s="65">
        <f t="shared" si="2588"/>
        <v>0</v>
      </c>
      <c r="EJ219" s="65">
        <f t="shared" si="2588"/>
        <v>0</v>
      </c>
      <c r="EK219" s="65">
        <f t="shared" si="2588"/>
        <v>0</v>
      </c>
      <c r="EL219" s="65">
        <f t="shared" si="2588"/>
        <v>0</v>
      </c>
      <c r="EM219" s="65">
        <f t="shared" si="2588"/>
        <v>0</v>
      </c>
      <c r="EN219" s="65">
        <f t="shared" si="2588"/>
        <v>0</v>
      </c>
      <c r="EO219" s="65">
        <f t="shared" si="2588"/>
        <v>0</v>
      </c>
      <c r="EP219" s="65">
        <f t="shared" si="2588"/>
        <v>0</v>
      </c>
      <c r="EQ219" s="65">
        <f t="shared" si="2588"/>
        <v>0</v>
      </c>
      <c r="ER219" s="65">
        <f t="shared" si="2588"/>
        <v>0</v>
      </c>
      <c r="ES219" s="65">
        <f t="shared" si="2588"/>
        <v>0</v>
      </c>
      <c r="ET219" s="65">
        <f t="shared" si="2588"/>
        <v>0</v>
      </c>
      <c r="EU219" s="65">
        <f t="shared" si="2588"/>
        <v>0</v>
      </c>
      <c r="EV219" s="65">
        <f t="shared" si="2588"/>
        <v>0</v>
      </c>
      <c r="EW219" s="65">
        <f t="shared" si="2588"/>
        <v>0</v>
      </c>
      <c r="EX219" s="65">
        <f t="shared" si="2588"/>
        <v>0</v>
      </c>
      <c r="EY219" s="65">
        <f t="shared" si="2588"/>
        <v>0</v>
      </c>
      <c r="EZ219" s="65">
        <f t="shared" si="2588"/>
        <v>0</v>
      </c>
      <c r="FA219" s="65">
        <f t="shared" si="2588"/>
        <v>0</v>
      </c>
      <c r="FB219" s="65">
        <f t="shared" si="2588"/>
        <v>0</v>
      </c>
      <c r="FC219" s="65">
        <f t="shared" si="2588"/>
        <v>0</v>
      </c>
      <c r="FD219" s="65">
        <f t="shared" si="2588"/>
        <v>0</v>
      </c>
      <c r="FE219" s="65">
        <f t="shared" si="2588"/>
        <v>0</v>
      </c>
      <c r="FF219" s="65">
        <f t="shared" si="2588"/>
        <v>0</v>
      </c>
      <c r="FG219" s="65">
        <f t="shared" si="2588"/>
        <v>0</v>
      </c>
      <c r="FH219" s="65">
        <f t="shared" si="2588"/>
        <v>0</v>
      </c>
      <c r="FI219" s="65">
        <f t="shared" si="2588"/>
        <v>0</v>
      </c>
      <c r="FJ219" s="65">
        <f t="shared" si="2588"/>
        <v>0</v>
      </c>
      <c r="FK219" s="65">
        <f t="shared" si="2588"/>
        <v>0</v>
      </c>
      <c r="FL219" s="65">
        <f t="shared" si="2588"/>
        <v>0</v>
      </c>
      <c r="FM219" s="65">
        <f t="shared" si="2588"/>
        <v>0</v>
      </c>
      <c r="FN219" s="65">
        <f t="shared" si="2588"/>
        <v>0</v>
      </c>
      <c r="FO219" s="65">
        <f t="shared" si="2588"/>
        <v>0</v>
      </c>
      <c r="FP219" s="65">
        <f t="shared" si="2588"/>
        <v>0</v>
      </c>
      <c r="FQ219" s="65">
        <f t="shared" si="2588"/>
        <v>0</v>
      </c>
      <c r="FR219" s="65">
        <f t="shared" si="2588"/>
        <v>0</v>
      </c>
      <c r="FS219" s="65">
        <f t="shared" si="2588"/>
        <v>0</v>
      </c>
      <c r="FT219" s="65">
        <f t="shared" si="2588"/>
        <v>0</v>
      </c>
      <c r="FU219" s="65">
        <f t="shared" si="2588"/>
        <v>0</v>
      </c>
      <c r="FV219" s="65">
        <f t="shared" si="2588"/>
        <v>0</v>
      </c>
      <c r="FW219" s="65">
        <f t="shared" si="2588"/>
        <v>0</v>
      </c>
      <c r="FX219" s="65">
        <f t="shared" si="2588"/>
        <v>0</v>
      </c>
      <c r="FY219" s="65">
        <f t="shared" si="2588"/>
        <v>0</v>
      </c>
      <c r="FZ219" s="59"/>
    </row>
    <row r="220" spans="1:182" x14ac:dyDescent="0.2">
      <c r="Z220" s="57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58"/>
      <c r="AL220" s="57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7"/>
      <c r="AY220" s="58"/>
      <c r="AZ220" s="58"/>
      <c r="BA220" s="58"/>
      <c r="BB220" s="58"/>
      <c r="BC220" s="58"/>
      <c r="BD220" s="58"/>
      <c r="BE220" s="58"/>
      <c r="BF220" s="58"/>
      <c r="BG220" s="58"/>
      <c r="BH220" s="58"/>
      <c r="BI220" s="58"/>
      <c r="BJ220" s="58"/>
      <c r="BK220" s="58"/>
      <c r="BL220" s="58"/>
      <c r="BM220" s="58"/>
      <c r="BN220" s="58"/>
      <c r="BO220" s="58"/>
      <c r="BP220" s="58"/>
      <c r="BQ220" s="58"/>
      <c r="BR220" s="58"/>
      <c r="BS220" s="58"/>
      <c r="BT220" s="58"/>
      <c r="BU220" s="58"/>
      <c r="BV220" s="58"/>
      <c r="BW220" s="58"/>
      <c r="BX220" s="58"/>
      <c r="BY220" s="58"/>
      <c r="BZ220" s="58"/>
      <c r="CA220" s="58"/>
      <c r="CB220" s="58"/>
      <c r="CC220" s="58"/>
      <c r="CD220" s="58"/>
      <c r="CE220" s="58"/>
      <c r="CF220" s="58"/>
      <c r="CG220" s="58"/>
      <c r="CH220" s="58"/>
      <c r="CI220" s="58"/>
      <c r="CJ220" s="58"/>
      <c r="CK220" s="58"/>
      <c r="CL220" s="58"/>
      <c r="CM220" s="58"/>
      <c r="CN220" s="58"/>
      <c r="CO220" s="58"/>
      <c r="CP220" s="58"/>
      <c r="CQ220" s="58"/>
      <c r="CR220" s="58"/>
      <c r="CS220" s="58"/>
      <c r="CT220" s="58"/>
      <c r="CU220" s="58"/>
      <c r="CV220" s="58"/>
      <c r="CW220" s="58"/>
      <c r="CX220" s="58"/>
      <c r="CY220" s="58"/>
      <c r="CZ220" s="58"/>
      <c r="DA220" s="58"/>
      <c r="DB220" s="58"/>
      <c r="DC220" s="58"/>
      <c r="DD220" s="58"/>
      <c r="DE220" s="58"/>
      <c r="DF220" s="58"/>
      <c r="DG220" s="58"/>
      <c r="DH220" s="58"/>
      <c r="DI220" s="58"/>
      <c r="DJ220" s="58"/>
      <c r="DK220" s="58"/>
      <c r="DL220" s="58"/>
      <c r="DM220" s="58"/>
      <c r="DN220" s="58"/>
      <c r="DO220" s="58"/>
      <c r="DP220" s="58"/>
      <c r="DQ220" s="58"/>
      <c r="DR220" s="58"/>
      <c r="DS220" s="58"/>
      <c r="DT220" s="58"/>
      <c r="DU220" s="58"/>
      <c r="DV220" s="58"/>
      <c r="DW220" s="58"/>
      <c r="DX220" s="58"/>
      <c r="DY220" s="58"/>
      <c r="DZ220" s="58"/>
      <c r="EA220" s="58"/>
      <c r="EB220" s="58"/>
      <c r="EC220" s="58"/>
      <c r="ED220" s="58"/>
      <c r="EE220" s="58"/>
      <c r="EF220" s="58"/>
      <c r="EG220" s="58"/>
      <c r="EH220" s="58"/>
      <c r="EI220" s="58"/>
      <c r="EJ220" s="58"/>
      <c r="EK220" s="58"/>
      <c r="EL220" s="58"/>
      <c r="EM220" s="58"/>
      <c r="EN220" s="58"/>
      <c r="EO220" s="58"/>
      <c r="EP220" s="58"/>
      <c r="EQ220" s="58"/>
      <c r="ER220" s="58"/>
      <c r="ES220" s="58"/>
      <c r="ET220" s="58"/>
      <c r="EU220" s="58"/>
      <c r="EV220" s="58"/>
      <c r="EW220" s="58"/>
      <c r="EX220" s="58"/>
      <c r="EY220" s="58"/>
      <c r="EZ220" s="58"/>
      <c r="FA220" s="58"/>
      <c r="FB220" s="58"/>
      <c r="FC220" s="58"/>
      <c r="FD220" s="58"/>
      <c r="FE220" s="58"/>
      <c r="FF220" s="58"/>
      <c r="FG220" s="58"/>
      <c r="FH220" s="58"/>
      <c r="FI220" s="58"/>
      <c r="FJ220" s="58"/>
      <c r="FK220" s="58"/>
      <c r="FL220" s="58"/>
      <c r="FM220" s="58"/>
      <c r="FN220" s="58"/>
      <c r="FO220" s="58"/>
      <c r="FP220" s="58"/>
      <c r="FQ220" s="58"/>
      <c r="FR220" s="58"/>
      <c r="FS220" s="58"/>
      <c r="FT220" s="58"/>
      <c r="FU220" s="58"/>
      <c r="FV220" s="58"/>
      <c r="FW220" s="58"/>
      <c r="FX220" s="58"/>
      <c r="FY220" s="58"/>
      <c r="FZ220" s="59"/>
    </row>
    <row r="221" spans="1:182" x14ac:dyDescent="0.2">
      <c r="A221" s="91" t="s">
        <v>203</v>
      </c>
      <c r="Z221" s="57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  <c r="AK221" s="58"/>
      <c r="AL221" s="57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7"/>
      <c r="AY221" s="58"/>
      <c r="AZ221" s="58"/>
      <c r="BA221" s="58"/>
      <c r="BB221" s="58"/>
      <c r="BC221" s="58"/>
      <c r="BD221" s="58"/>
      <c r="BE221" s="58"/>
      <c r="BF221" s="58"/>
      <c r="BG221" s="58"/>
      <c r="BH221" s="58"/>
      <c r="BI221" s="58"/>
      <c r="BJ221" s="58"/>
      <c r="BK221" s="58"/>
      <c r="BL221" s="58"/>
      <c r="BM221" s="58"/>
      <c r="BN221" s="58"/>
      <c r="BO221" s="58"/>
      <c r="BP221" s="58"/>
      <c r="BQ221" s="58"/>
      <c r="BR221" s="58"/>
      <c r="BS221" s="58"/>
      <c r="BT221" s="58"/>
      <c r="BU221" s="58"/>
      <c r="BV221" s="58"/>
      <c r="BW221" s="58"/>
      <c r="BX221" s="58"/>
      <c r="BY221" s="58"/>
      <c r="BZ221" s="58"/>
      <c r="CA221" s="58"/>
      <c r="CB221" s="58"/>
      <c r="CC221" s="58"/>
      <c r="CD221" s="58"/>
      <c r="CE221" s="58"/>
      <c r="CF221" s="58"/>
      <c r="CG221" s="58"/>
      <c r="CH221" s="58"/>
      <c r="CI221" s="58"/>
      <c r="CJ221" s="58"/>
      <c r="CK221" s="58"/>
      <c r="CL221" s="58"/>
      <c r="CM221" s="58"/>
      <c r="CN221" s="58"/>
      <c r="CO221" s="58"/>
      <c r="CP221" s="58"/>
      <c r="CQ221" s="58"/>
      <c r="CR221" s="58"/>
      <c r="CS221" s="58"/>
      <c r="CT221" s="58"/>
      <c r="CU221" s="58"/>
      <c r="CV221" s="58"/>
      <c r="CW221" s="58"/>
      <c r="CX221" s="58"/>
      <c r="CY221" s="58"/>
      <c r="CZ221" s="58"/>
      <c r="DA221" s="58"/>
      <c r="DB221" s="58"/>
      <c r="DC221" s="58"/>
      <c r="DD221" s="58"/>
      <c r="DE221" s="58"/>
      <c r="DF221" s="58"/>
      <c r="DG221" s="58"/>
      <c r="DH221" s="58"/>
      <c r="DI221" s="58"/>
      <c r="DJ221" s="58"/>
      <c r="DK221" s="58"/>
      <c r="DL221" s="58"/>
      <c r="DM221" s="58"/>
      <c r="DN221" s="58"/>
      <c r="DO221" s="58"/>
      <c r="DP221" s="58"/>
      <c r="DQ221" s="58"/>
      <c r="DR221" s="58"/>
      <c r="DS221" s="58"/>
      <c r="DT221" s="58"/>
      <c r="DU221" s="58"/>
      <c r="DV221" s="58"/>
      <c r="DW221" s="58"/>
      <c r="DX221" s="58"/>
      <c r="DY221" s="58"/>
      <c r="DZ221" s="58"/>
      <c r="EA221" s="58"/>
      <c r="EB221" s="58"/>
      <c r="EC221" s="58"/>
      <c r="ED221" s="58"/>
      <c r="EE221" s="58"/>
      <c r="EF221" s="58"/>
      <c r="EG221" s="58"/>
      <c r="EH221" s="58"/>
      <c r="EI221" s="58"/>
      <c r="EJ221" s="58"/>
      <c r="EK221" s="58"/>
      <c r="EL221" s="58"/>
      <c r="EM221" s="58"/>
      <c r="EN221" s="58"/>
      <c r="EO221" s="58"/>
      <c r="EP221" s="58"/>
      <c r="EQ221" s="58"/>
      <c r="ER221" s="58"/>
      <c r="ES221" s="58"/>
      <c r="ET221" s="58"/>
      <c r="EU221" s="58"/>
      <c r="EV221" s="58"/>
      <c r="EW221" s="58"/>
      <c r="EX221" s="58"/>
      <c r="EY221" s="58"/>
      <c r="EZ221" s="58"/>
      <c r="FA221" s="58"/>
      <c r="FB221" s="58"/>
      <c r="FC221" s="58"/>
      <c r="FD221" s="58"/>
      <c r="FE221" s="58"/>
      <c r="FF221" s="58"/>
      <c r="FG221" s="58"/>
      <c r="FH221" s="58"/>
      <c r="FI221" s="58"/>
      <c r="FJ221" s="58"/>
      <c r="FK221" s="58"/>
      <c r="FL221" s="58"/>
      <c r="FM221" s="58"/>
      <c r="FN221" s="58"/>
      <c r="FO221" s="58"/>
      <c r="FP221" s="58"/>
      <c r="FQ221" s="58"/>
      <c r="FR221" s="58"/>
      <c r="FS221" s="58"/>
      <c r="FT221" s="58"/>
      <c r="FU221" s="58"/>
      <c r="FV221" s="58"/>
      <c r="FW221" s="58"/>
      <c r="FX221" s="58"/>
      <c r="FY221" s="58"/>
      <c r="FZ221" s="59"/>
    </row>
    <row r="222" spans="1:182" x14ac:dyDescent="0.2">
      <c r="A222" s="92" t="s">
        <v>189</v>
      </c>
      <c r="B222" s="93">
        <f>B30+C222/(1+B$139)</f>
        <v>368000</v>
      </c>
      <c r="C222" s="93">
        <f t="shared" ref="C222" si="2589">C30+D222/(1+C$139)</f>
        <v>0</v>
      </c>
      <c r="D222" s="93">
        <f t="shared" ref="D222:D223" si="2590">D30+E222/(1+D$139)</f>
        <v>0</v>
      </c>
      <c r="E222" s="93">
        <f t="shared" ref="E222:E223" si="2591">E30+F222/(1+E$139)</f>
        <v>0</v>
      </c>
      <c r="F222" s="93">
        <f t="shared" ref="F222:F223" si="2592">F30+G222/(1+F$139)</f>
        <v>0</v>
      </c>
      <c r="G222" s="93">
        <f t="shared" ref="G222:G223" si="2593">G30+H222/(1+G$139)</f>
        <v>0</v>
      </c>
      <c r="H222" s="93">
        <f t="shared" ref="H222:H223" si="2594">H30+I222/(1+H$139)</f>
        <v>0</v>
      </c>
      <c r="I222" s="93">
        <f t="shared" ref="I222:I223" si="2595">I30+J222/(1+I$139)</f>
        <v>0</v>
      </c>
      <c r="J222" s="93">
        <f t="shared" ref="J222:J223" si="2596">J30+K222/(1+J$139)</f>
        <v>0</v>
      </c>
      <c r="K222" s="93">
        <f t="shared" ref="K222:K223" si="2597">K30+L222/(1+K$139)</f>
        <v>0</v>
      </c>
      <c r="L222" s="93">
        <f t="shared" ref="L222:L223" si="2598">L30+M222/(1+L$139)</f>
        <v>0</v>
      </c>
      <c r="M222" s="93">
        <f t="shared" ref="M222:M223" si="2599">M30+N222/(1+M$139)</f>
        <v>0</v>
      </c>
      <c r="N222" s="93">
        <f t="shared" ref="N222:N223" si="2600">N30+O222/(1+N$139)</f>
        <v>0</v>
      </c>
      <c r="O222" s="93">
        <f t="shared" ref="O222:O223" si="2601">O30+P222/(1+O$139)</f>
        <v>0</v>
      </c>
      <c r="P222" s="93">
        <f t="shared" ref="P222:P223" si="2602">P30+Q222/(1+P$139)</f>
        <v>0</v>
      </c>
      <c r="Q222" s="93">
        <f t="shared" ref="Q222:Q223" si="2603">Q30+R222/(1+Q$139)</f>
        <v>0</v>
      </c>
      <c r="R222" s="93">
        <f t="shared" ref="R222:R223" si="2604">R30+S222/(1+R$139)</f>
        <v>0</v>
      </c>
      <c r="S222" s="93">
        <f t="shared" ref="S222:S223" si="2605">S30+T222/(1+S$139)</f>
        <v>0</v>
      </c>
      <c r="T222" s="93">
        <f t="shared" ref="T222:T223" si="2606">T30+U222/(1+T$139)</f>
        <v>0</v>
      </c>
      <c r="U222" s="93">
        <f t="shared" ref="U222:U223" si="2607">U30+V222/(1+U$139)</f>
        <v>0</v>
      </c>
      <c r="V222" s="93">
        <f t="shared" ref="V222:V223" si="2608">V30+W222/(1+V$139)</f>
        <v>0</v>
      </c>
      <c r="W222" s="93">
        <f t="shared" ref="W222:W223" si="2609">W30+X222/(1+W$139)</f>
        <v>0</v>
      </c>
      <c r="X222" s="93">
        <f t="shared" ref="X222:X223" si="2610">X30+Y222/(1+X$139)</f>
        <v>0</v>
      </c>
      <c r="Y222" s="93">
        <f t="shared" ref="Y222:Y223" si="2611">Y30+Z222/(1+Y$139)</f>
        <v>0</v>
      </c>
      <c r="Z222" s="93">
        <f t="shared" ref="Z222:Z223" si="2612">Z30+AA222/(1+Z$139)</f>
        <v>0</v>
      </c>
      <c r="AA222" s="93">
        <f t="shared" ref="AA222:AA223" si="2613">AA30+AB222/(1+AA$139)</f>
        <v>0</v>
      </c>
      <c r="AB222" s="93">
        <f t="shared" ref="AB222:AB223" si="2614">AB30+AC222/(1+AB$139)</f>
        <v>0</v>
      </c>
      <c r="AC222" s="93">
        <f t="shared" ref="AC222:AC223" si="2615">AC30+AD222/(1+AC$139)</f>
        <v>0</v>
      </c>
      <c r="AD222" s="93">
        <f t="shared" ref="AD222:AD223" si="2616">AD30+AE222/(1+AD$139)</f>
        <v>0</v>
      </c>
      <c r="AE222" s="93">
        <f t="shared" ref="AE222:AE223" si="2617">AE30+AF222/(1+AE$139)</f>
        <v>0</v>
      </c>
      <c r="AF222" s="93">
        <f t="shared" ref="AF222:AF223" si="2618">AF30+AG222/(1+AF$139)</f>
        <v>0</v>
      </c>
      <c r="AG222" s="93">
        <f t="shared" ref="AG222:AG223" si="2619">AG30+AH222/(1+AG$139)</f>
        <v>0</v>
      </c>
      <c r="AH222" s="93">
        <f t="shared" ref="AH222:AH223" si="2620">AH30+AI222/(1+AH$139)</f>
        <v>0</v>
      </c>
      <c r="AI222" s="93">
        <f t="shared" ref="AI222:AI223" si="2621">AI30+AJ222/(1+AI$139)</f>
        <v>0</v>
      </c>
      <c r="AJ222" s="93">
        <f t="shared" ref="AJ222:AJ223" si="2622">AJ30+AK222/(1+AJ$139)</f>
        <v>0</v>
      </c>
      <c r="AK222" s="93">
        <f t="shared" ref="AK222:AK223" si="2623">AK30+AL222/(1+AK$139)</f>
        <v>0</v>
      </c>
      <c r="AL222" s="93">
        <f t="shared" ref="AL222:AL223" si="2624">AL30+AM222/(1+AL$139)</f>
        <v>0</v>
      </c>
      <c r="AM222" s="93">
        <f t="shared" ref="AM222:AM223" si="2625">AM30+AN222/(1+AM$139)</f>
        <v>0</v>
      </c>
      <c r="AN222" s="93">
        <f t="shared" ref="AN222:AN223" si="2626">AN30+AO222/(1+AN$139)</f>
        <v>0</v>
      </c>
      <c r="AO222" s="93">
        <f t="shared" ref="AO222:AO223" si="2627">AO30+AP222/(1+AO$139)</f>
        <v>0</v>
      </c>
      <c r="AP222" s="93">
        <f t="shared" ref="AP222:AP223" si="2628">AP30+AQ222/(1+AP$139)</f>
        <v>0</v>
      </c>
      <c r="AQ222" s="93">
        <f t="shared" ref="AQ222:AQ223" si="2629">AQ30+AR222/(1+AQ$139)</f>
        <v>0</v>
      </c>
      <c r="AR222" s="93">
        <f t="shared" ref="AR222:AR223" si="2630">AR30+AS222/(1+AR$139)</f>
        <v>0</v>
      </c>
      <c r="AS222" s="93">
        <f t="shared" ref="AS222:AS223" si="2631">AS30+AT222/(1+AS$139)</f>
        <v>0</v>
      </c>
      <c r="AT222" s="93">
        <f t="shared" ref="AT222:AT223" si="2632">AT30+AU222/(1+AT$139)</f>
        <v>0</v>
      </c>
      <c r="AU222" s="93">
        <f t="shared" ref="AU222:AU223" si="2633">AU30+AV222/(1+AU$139)</f>
        <v>0</v>
      </c>
      <c r="AV222" s="93">
        <f t="shared" ref="AV222:AV223" si="2634">AV30+AW222/(1+AV$139)</f>
        <v>0</v>
      </c>
      <c r="AW222" s="93">
        <f t="shared" ref="AW222:AW223" si="2635">AW30+AX222/(1+AW$139)</f>
        <v>0</v>
      </c>
      <c r="AX222" s="93">
        <f t="shared" ref="AX222:AX223" si="2636">AX30+AY222/(1+AX$139)</f>
        <v>0</v>
      </c>
      <c r="AY222" s="93">
        <f t="shared" ref="AY222:AY223" si="2637">AY30+AZ222/(1+AY$139)</f>
        <v>0</v>
      </c>
      <c r="AZ222" s="93">
        <f t="shared" ref="AZ222:AZ223" si="2638">AZ30+BA222/(1+AZ$139)</f>
        <v>0</v>
      </c>
      <c r="BA222" s="93">
        <f t="shared" ref="BA222:BA223" si="2639">BA30+BB222/(1+BA$139)</f>
        <v>0</v>
      </c>
      <c r="BB222" s="93">
        <f t="shared" ref="BB222:BB223" si="2640">BB30+BC222/(1+BB$139)</f>
        <v>0</v>
      </c>
      <c r="BC222" s="93">
        <f t="shared" ref="BC222:BC223" si="2641">BC30+BD222/(1+BC$139)</f>
        <v>0</v>
      </c>
      <c r="BD222" s="93">
        <f t="shared" ref="BD222:BD223" si="2642">BD30+BE222/(1+BD$139)</f>
        <v>0</v>
      </c>
      <c r="BE222" s="93">
        <f t="shared" ref="BE222:BE223" si="2643">BE30+BF222/(1+BE$139)</f>
        <v>0</v>
      </c>
      <c r="BF222" s="93">
        <f t="shared" ref="BF222:BF223" si="2644">BF30+BG222/(1+BF$139)</f>
        <v>0</v>
      </c>
      <c r="BG222" s="93">
        <f t="shared" ref="BG222:BG223" si="2645">BG30+BH222/(1+BG$139)</f>
        <v>0</v>
      </c>
      <c r="BH222" s="93">
        <f t="shared" ref="BH222:BH223" si="2646">BH30+BI222/(1+BH$139)</f>
        <v>0</v>
      </c>
      <c r="BI222" s="93">
        <f t="shared" ref="BI222:BI223" si="2647">BI30+BJ222/(1+BI$139)</f>
        <v>0</v>
      </c>
      <c r="BJ222" s="93">
        <f t="shared" ref="BJ222:BJ223" si="2648">BJ30+BK222/(1+BJ$139)</f>
        <v>0</v>
      </c>
      <c r="BK222" s="93">
        <f t="shared" ref="BK222:BK223" si="2649">BK30+BL222/(1+BK$139)</f>
        <v>0</v>
      </c>
      <c r="BL222" s="93">
        <f t="shared" ref="BL222:BL223" si="2650">BL30+BM222/(1+BL$139)</f>
        <v>0</v>
      </c>
      <c r="BM222" s="93">
        <f t="shared" ref="BM222:BM223" si="2651">BM30+BN222/(1+BM$139)</f>
        <v>0</v>
      </c>
      <c r="BN222" s="93">
        <f t="shared" ref="BN222:BN223" si="2652">BN30+BO222/(1+BN$139)</f>
        <v>0</v>
      </c>
      <c r="BO222" s="93">
        <f t="shared" ref="BO222:BO223" si="2653">BO30+BP222/(1+BO$139)</f>
        <v>0</v>
      </c>
      <c r="BP222" s="93">
        <f t="shared" ref="BP222:BP223" si="2654">BP30+BQ222/(1+BP$139)</f>
        <v>0</v>
      </c>
      <c r="BQ222" s="93">
        <f t="shared" ref="BQ222:BQ223" si="2655">BQ30+BR222/(1+BQ$139)</f>
        <v>0</v>
      </c>
      <c r="BR222" s="93">
        <f t="shared" ref="BR222:BR223" si="2656">BR30+BS222/(1+BR$139)</f>
        <v>0</v>
      </c>
      <c r="BS222" s="93">
        <f t="shared" ref="BS222:BS223" si="2657">BS30+BT222/(1+BS$139)</f>
        <v>0</v>
      </c>
      <c r="BT222" s="93">
        <f t="shared" ref="BT222:BT223" si="2658">BT30+BU222/(1+BT$139)</f>
        <v>0</v>
      </c>
      <c r="BU222" s="93">
        <f t="shared" ref="BU222:BU223" si="2659">BU30+BV222/(1+BU$139)</f>
        <v>0</v>
      </c>
      <c r="BV222" s="93">
        <f t="shared" ref="BV222:BV223" si="2660">BV30+BW222/(1+BV$139)</f>
        <v>0</v>
      </c>
      <c r="BW222" s="93">
        <f t="shared" ref="BW222:BW223" si="2661">BW30+BX222/(1+BW$139)</f>
        <v>0</v>
      </c>
      <c r="BX222" s="93">
        <f t="shared" ref="BX222:BX223" si="2662">BX30+BY222/(1+BX$139)</f>
        <v>0</v>
      </c>
      <c r="BY222" s="93">
        <f t="shared" ref="BY222:BY223" si="2663">BY30+BZ222/(1+BY$139)</f>
        <v>0</v>
      </c>
      <c r="BZ222" s="93">
        <f t="shared" ref="BZ222:BZ223" si="2664">BZ30+CA222/(1+BZ$139)</f>
        <v>0</v>
      </c>
      <c r="CA222" s="93">
        <f t="shared" ref="CA222:CA223" si="2665">CA30+CB222/(1+CA$139)</f>
        <v>0</v>
      </c>
      <c r="CB222" s="93">
        <f t="shared" ref="CB222:CB223" si="2666">CB30+CC222/(1+CB$139)</f>
        <v>0</v>
      </c>
      <c r="CC222" s="93">
        <f t="shared" ref="CC222:CC223" si="2667">CC30+CD222/(1+CC$139)</f>
        <v>0</v>
      </c>
      <c r="CD222" s="93">
        <f t="shared" ref="CD222:CD223" si="2668">CD30+CE222/(1+CD$139)</f>
        <v>0</v>
      </c>
      <c r="CE222" s="93">
        <f t="shared" ref="CE222:CE223" si="2669">CE30+CF222/(1+CE$139)</f>
        <v>0</v>
      </c>
      <c r="CF222" s="93">
        <f t="shared" ref="CF222:CF223" si="2670">CF30+CG222/(1+CF$139)</f>
        <v>0</v>
      </c>
      <c r="CG222" s="93">
        <f t="shared" ref="CG222:CG223" si="2671">CG30+CH222/(1+CG$139)</f>
        <v>0</v>
      </c>
      <c r="CH222" s="93">
        <f t="shared" ref="CH222:CH223" si="2672">CH30+CI222/(1+CH$139)</f>
        <v>0</v>
      </c>
      <c r="CI222" s="93">
        <f t="shared" ref="CI222:CI223" si="2673">CI30+CJ222/(1+CI$139)</f>
        <v>0</v>
      </c>
      <c r="CJ222" s="93">
        <f t="shared" ref="CJ222:CJ223" si="2674">CJ30+CK222/(1+CJ$139)</f>
        <v>0</v>
      </c>
      <c r="CK222" s="93">
        <f t="shared" ref="CK222:CK223" si="2675">CK30+CL222/(1+CK$139)</f>
        <v>0</v>
      </c>
      <c r="CL222" s="93">
        <f t="shared" ref="CL222:CL223" si="2676">CL30+CM222/(1+CL$139)</f>
        <v>0</v>
      </c>
      <c r="CM222" s="93">
        <f t="shared" ref="CM222:CM223" si="2677">CM30+CN222/(1+CM$139)</f>
        <v>0</v>
      </c>
      <c r="CN222" s="93">
        <f t="shared" ref="CN222:CN223" si="2678">CN30+CO222/(1+CN$139)</f>
        <v>0</v>
      </c>
      <c r="CO222" s="93">
        <f t="shared" ref="CO222:CO223" si="2679">CO30+CP222/(1+CO$139)</f>
        <v>0</v>
      </c>
      <c r="CP222" s="93">
        <f t="shared" ref="CP222:CP223" si="2680">CP30+CQ222/(1+CP$139)</f>
        <v>0</v>
      </c>
      <c r="CQ222" s="93">
        <f t="shared" ref="CQ222:CQ223" si="2681">CQ30+CR222/(1+CQ$139)</f>
        <v>0</v>
      </c>
      <c r="CR222" s="93">
        <f t="shared" ref="CR222:CR223" si="2682">CR30+CS222/(1+CR$139)</f>
        <v>0</v>
      </c>
      <c r="CS222" s="93">
        <f t="shared" ref="CS222:CS223" si="2683">CS30+CT222/(1+CS$139)</f>
        <v>0</v>
      </c>
      <c r="CT222" s="93">
        <f t="shared" ref="CT222:CT223" si="2684">CT30+CU222/(1+CT$139)</f>
        <v>0</v>
      </c>
      <c r="CU222" s="93">
        <f t="shared" ref="CU222:CU223" si="2685">CU30+CV222/(1+CU$139)</f>
        <v>0</v>
      </c>
      <c r="CV222" s="93">
        <f t="shared" ref="CV222:CV223" si="2686">CV30+CW222/(1+CV$139)</f>
        <v>0</v>
      </c>
      <c r="CW222" s="93">
        <f t="shared" ref="CW222:CW223" si="2687">CW30+CX222/(1+CW$139)</f>
        <v>0</v>
      </c>
      <c r="CX222" s="93">
        <f t="shared" ref="CX222:CX223" si="2688">CX30+CY222/(1+CX$139)</f>
        <v>0</v>
      </c>
      <c r="CY222" s="93">
        <f t="shared" ref="CY222:CY223" si="2689">CY30+CZ222/(1+CY$139)</f>
        <v>0</v>
      </c>
      <c r="CZ222" s="93">
        <f t="shared" ref="CZ222:CZ223" si="2690">CZ30+DA222/(1+CZ$139)</f>
        <v>0</v>
      </c>
      <c r="DA222" s="93">
        <f t="shared" ref="DA222:DA223" si="2691">DA30+DB222/(1+DA$139)</f>
        <v>0</v>
      </c>
      <c r="DB222" s="93">
        <f t="shared" ref="DB222:DB223" si="2692">DB30+DC222/(1+DB$139)</f>
        <v>0</v>
      </c>
      <c r="DC222" s="93">
        <f t="shared" ref="DC222:DC223" si="2693">DC30+DD222/(1+DC$139)</f>
        <v>0</v>
      </c>
      <c r="DD222" s="93">
        <f t="shared" ref="DD222:DD223" si="2694">DD30+DE222/(1+DD$139)</f>
        <v>0</v>
      </c>
      <c r="DE222" s="93">
        <f t="shared" ref="DE222:DE223" si="2695">DE30+DF222/(1+DE$139)</f>
        <v>0</v>
      </c>
      <c r="DF222" s="93">
        <f t="shared" ref="DF222:DF223" si="2696">DF30+DG222/(1+DF$139)</f>
        <v>0</v>
      </c>
      <c r="DG222" s="93">
        <f t="shared" ref="DG222:DG223" si="2697">DG30+DH222/(1+DG$139)</f>
        <v>0</v>
      </c>
      <c r="DH222" s="93">
        <f t="shared" ref="DH222:DH223" si="2698">DH30+DI222/(1+DH$139)</f>
        <v>0</v>
      </c>
      <c r="DI222" s="93">
        <f t="shared" ref="DI222:DI223" si="2699">DI30+DJ222/(1+DI$139)</f>
        <v>0</v>
      </c>
      <c r="DJ222" s="93">
        <f t="shared" ref="DJ222:DJ223" si="2700">DJ30+DK222/(1+DJ$139)</f>
        <v>0</v>
      </c>
      <c r="DK222" s="93">
        <f t="shared" ref="DK222:DK223" si="2701">DK30+DL222/(1+DK$139)</f>
        <v>0</v>
      </c>
      <c r="DL222" s="93">
        <f t="shared" ref="DL222:DL223" si="2702">DL30+DM222/(1+DL$139)</f>
        <v>0</v>
      </c>
      <c r="DM222" s="93">
        <f t="shared" ref="DM222:DM223" si="2703">DM30+DN222/(1+DM$139)</f>
        <v>0</v>
      </c>
      <c r="DN222" s="93">
        <f t="shared" ref="DN222:DN223" si="2704">DN30+DO222/(1+DN$139)</f>
        <v>0</v>
      </c>
      <c r="DO222" s="93">
        <f t="shared" ref="DO222:DO223" si="2705">DO30+DP222/(1+DO$139)</f>
        <v>0</v>
      </c>
      <c r="DP222" s="93">
        <f t="shared" ref="DP222:DP223" si="2706">DP30+DQ222/(1+DP$139)</f>
        <v>0</v>
      </c>
      <c r="DQ222" s="93">
        <f t="shared" ref="DQ222:DQ223" si="2707">DQ30+DR222/(1+DQ$139)</f>
        <v>0</v>
      </c>
      <c r="DR222" s="93">
        <f t="shared" ref="DR222:DR223" si="2708">DR30+DS222/(1+DR$139)</f>
        <v>0</v>
      </c>
      <c r="DS222" s="93">
        <f t="shared" ref="DS222:DS223" si="2709">DS30+DT222/(1+DS$139)</f>
        <v>0</v>
      </c>
      <c r="DT222" s="93">
        <f t="shared" ref="DT222:DT223" si="2710">DT30+DU222/(1+DT$139)</f>
        <v>0</v>
      </c>
      <c r="DU222" s="93">
        <f t="shared" ref="DU222:DU223" si="2711">DU30+DV222/(1+DU$139)</f>
        <v>0</v>
      </c>
      <c r="DV222" s="93">
        <f t="shared" ref="DV222:DV223" si="2712">DV30+DW222/(1+DV$139)</f>
        <v>0</v>
      </c>
      <c r="DW222" s="93">
        <f t="shared" ref="DW222:DW223" si="2713">DW30+DX222/(1+DW$139)</f>
        <v>0</v>
      </c>
      <c r="DX222" s="93">
        <f t="shared" ref="DX222:DX223" si="2714">DX30+DY222/(1+DX$139)</f>
        <v>0</v>
      </c>
      <c r="DY222" s="93">
        <f t="shared" ref="DY222:DY223" si="2715">DY30+DZ222/(1+DY$139)</f>
        <v>0</v>
      </c>
      <c r="DZ222" s="93">
        <f t="shared" ref="DZ222:DZ223" si="2716">DZ30+EA222/(1+DZ$139)</f>
        <v>0</v>
      </c>
      <c r="EA222" s="93">
        <f t="shared" ref="EA222:EA223" si="2717">EA30+EB222/(1+EA$139)</f>
        <v>0</v>
      </c>
      <c r="EB222" s="93">
        <f t="shared" ref="EB222:EB223" si="2718">EB30+EC222/(1+EB$139)</f>
        <v>0</v>
      </c>
      <c r="EC222" s="93">
        <f t="shared" ref="EC222:EC223" si="2719">EC30+ED222/(1+EC$139)</f>
        <v>0</v>
      </c>
      <c r="ED222" s="93">
        <f t="shared" ref="ED222:ED223" si="2720">ED30+EE222/(1+ED$139)</f>
        <v>0</v>
      </c>
      <c r="EE222" s="93">
        <f t="shared" ref="EE222:EE223" si="2721">EE30+EF222/(1+EE$139)</f>
        <v>0</v>
      </c>
      <c r="EF222" s="93">
        <f t="shared" ref="EF222:EF223" si="2722">EF30+EG222/(1+EF$139)</f>
        <v>0</v>
      </c>
      <c r="EG222" s="93">
        <f t="shared" ref="EG222:EG223" si="2723">EG30+EH222/(1+EG$139)</f>
        <v>0</v>
      </c>
      <c r="EH222" s="93">
        <f t="shared" ref="EH222:EH223" si="2724">EH30+EI222/(1+EH$139)</f>
        <v>0</v>
      </c>
      <c r="EI222" s="93">
        <f t="shared" ref="EI222:EI223" si="2725">EI30+EJ222/(1+EI$139)</f>
        <v>0</v>
      </c>
      <c r="EJ222" s="93">
        <f t="shared" ref="EJ222:EJ223" si="2726">EJ30+EK222/(1+EJ$139)</f>
        <v>0</v>
      </c>
      <c r="EK222" s="93">
        <f t="shared" ref="EK222:EK223" si="2727">EK30+EL222/(1+EK$139)</f>
        <v>0</v>
      </c>
      <c r="EL222" s="93">
        <f t="shared" ref="EL222:EL223" si="2728">EL30+EM222/(1+EL$139)</f>
        <v>0</v>
      </c>
      <c r="EM222" s="93">
        <f t="shared" ref="EM222:EM223" si="2729">EM30+EN222/(1+EM$139)</f>
        <v>0</v>
      </c>
      <c r="EN222" s="93">
        <f t="shared" ref="EN222:EN223" si="2730">EN30+EO222/(1+EN$139)</f>
        <v>0</v>
      </c>
      <c r="EO222" s="93">
        <f t="shared" ref="EO222:EO223" si="2731">EO30+EP222/(1+EO$139)</f>
        <v>0</v>
      </c>
      <c r="EP222" s="93">
        <f t="shared" ref="EP222:EP223" si="2732">EP30+EQ222/(1+EP$139)</f>
        <v>0</v>
      </c>
      <c r="EQ222" s="93">
        <f t="shared" ref="EQ222:EQ223" si="2733">EQ30+ER222/(1+EQ$139)</f>
        <v>0</v>
      </c>
      <c r="ER222" s="93">
        <f t="shared" ref="ER222:ER223" si="2734">ER30+ES222/(1+ER$139)</f>
        <v>0</v>
      </c>
      <c r="ES222" s="93">
        <f t="shared" ref="ES222:ES223" si="2735">ES30+ET222/(1+ES$139)</f>
        <v>0</v>
      </c>
      <c r="ET222" s="93">
        <f t="shared" ref="ET222:ET223" si="2736">ET30+EU222/(1+ET$139)</f>
        <v>0</v>
      </c>
      <c r="EU222" s="93">
        <f t="shared" ref="EU222:EU223" si="2737">EU30+EV222/(1+EU$139)</f>
        <v>0</v>
      </c>
      <c r="EV222" s="93">
        <f t="shared" ref="EV222:EV223" si="2738">EV30+EW222/(1+EV$139)</f>
        <v>0</v>
      </c>
      <c r="EW222" s="93">
        <f t="shared" ref="EW222:EW223" si="2739">EW30+EX222/(1+EW$139)</f>
        <v>0</v>
      </c>
      <c r="EX222" s="93">
        <f t="shared" ref="EX222:EX223" si="2740">EX30+EY222/(1+EX$139)</f>
        <v>0</v>
      </c>
      <c r="EY222" s="93">
        <f t="shared" ref="EY222:EY223" si="2741">EY30+EZ222/(1+EY$139)</f>
        <v>0</v>
      </c>
      <c r="EZ222" s="93">
        <f t="shared" ref="EZ222:EZ223" si="2742">EZ30+FA222/(1+EZ$139)</f>
        <v>0</v>
      </c>
      <c r="FA222" s="93">
        <f t="shared" ref="FA222:FA223" si="2743">FA30+FB222/(1+FA$139)</f>
        <v>0</v>
      </c>
      <c r="FB222" s="93">
        <f t="shared" ref="FB222:FB223" si="2744">FB30+FC222/(1+FB$139)</f>
        <v>0</v>
      </c>
      <c r="FC222" s="93">
        <f t="shared" ref="FC222:FC223" si="2745">FC30+FD222/(1+FC$139)</f>
        <v>0</v>
      </c>
      <c r="FD222" s="93">
        <f t="shared" ref="FD222:FD223" si="2746">FD30+FE222/(1+FD$139)</f>
        <v>0</v>
      </c>
      <c r="FE222" s="93">
        <f t="shared" ref="FE222:FE223" si="2747">FE30+FF222/(1+FE$139)</f>
        <v>0</v>
      </c>
      <c r="FF222" s="93">
        <f t="shared" ref="FF222:FF223" si="2748">FF30+FG222/(1+FF$139)</f>
        <v>0</v>
      </c>
      <c r="FG222" s="93">
        <f t="shared" ref="FG222:FG223" si="2749">FG30+FH222/(1+FG$139)</f>
        <v>0</v>
      </c>
      <c r="FH222" s="93">
        <f t="shared" ref="FH222:FH223" si="2750">FH30+FI222/(1+FH$139)</f>
        <v>0</v>
      </c>
      <c r="FI222" s="93">
        <f t="shared" ref="FI222:FI223" si="2751">FI30+FJ222/(1+FI$139)</f>
        <v>0</v>
      </c>
      <c r="FJ222" s="93">
        <f t="shared" ref="FJ222:FJ223" si="2752">FJ30+FK222/(1+FJ$139)</f>
        <v>0</v>
      </c>
      <c r="FK222" s="93">
        <f t="shared" ref="FK222:FK223" si="2753">FK30+FL222/(1+FK$139)</f>
        <v>0</v>
      </c>
      <c r="FL222" s="93">
        <f t="shared" ref="FL222:FL223" si="2754">FL30+FM222/(1+FL$139)</f>
        <v>0</v>
      </c>
      <c r="FM222" s="93">
        <f t="shared" ref="FM222:FM223" si="2755">FM30+FN222/(1+FM$139)</f>
        <v>0</v>
      </c>
      <c r="FN222" s="93">
        <f t="shared" ref="FN222:FN223" si="2756">FN30+FO222/(1+FN$139)</f>
        <v>0</v>
      </c>
      <c r="FO222" s="93">
        <f t="shared" ref="FO222:FO223" si="2757">FO30+FP222/(1+FO$139)</f>
        <v>0</v>
      </c>
      <c r="FP222" s="93">
        <f t="shared" ref="FP222:FP223" si="2758">FP30+FQ222/(1+FP$139)</f>
        <v>0</v>
      </c>
      <c r="FQ222" s="93">
        <f t="shared" ref="FQ222:FQ223" si="2759">FQ30+FR222/(1+FQ$139)</f>
        <v>0</v>
      </c>
      <c r="FR222" s="93">
        <f t="shared" ref="FR222:FR223" si="2760">FR30+FS222/(1+FR$139)</f>
        <v>0</v>
      </c>
      <c r="FS222" s="93">
        <f t="shared" ref="FS222:FS223" si="2761">FS30+FT222/(1+FS$139)</f>
        <v>0</v>
      </c>
      <c r="FT222" s="93">
        <f t="shared" ref="FT222:FT223" si="2762">FT30+FU222/(1+FT$139)</f>
        <v>0</v>
      </c>
      <c r="FU222" s="93">
        <f t="shared" ref="FU222:FU223" si="2763">FU30+FV222/(1+FU$139)</f>
        <v>0</v>
      </c>
      <c r="FV222" s="93">
        <f t="shared" ref="FV222:FV223" si="2764">FV30+FW222/(1+FV$139)</f>
        <v>0</v>
      </c>
      <c r="FW222" s="93">
        <f t="shared" ref="FW222:FW223" si="2765">FW30+FX222/(1+FW$139)</f>
        <v>0</v>
      </c>
      <c r="FX222" s="93">
        <f t="shared" ref="FX222:FX223" si="2766">FX30+FY222/(1+FX$139)</f>
        <v>0</v>
      </c>
      <c r="FY222" s="93">
        <f t="shared" ref="FY222:FY223" si="2767">FY30+FZ222/(1+FY$139)</f>
        <v>0</v>
      </c>
      <c r="FZ222" s="59"/>
    </row>
    <row r="223" spans="1:182" x14ac:dyDescent="0.2">
      <c r="A223" s="92" t="s">
        <v>190</v>
      </c>
      <c r="B223" s="93">
        <f>B31+C223/(1+B$139)</f>
        <v>-92000</v>
      </c>
      <c r="C223" s="93">
        <f t="shared" ref="C223" si="2768">C31+D223/(1+C$139)</f>
        <v>0</v>
      </c>
      <c r="D223" s="93">
        <f t="shared" si="2590"/>
        <v>0</v>
      </c>
      <c r="E223" s="93">
        <f t="shared" si="2591"/>
        <v>0</v>
      </c>
      <c r="F223" s="93">
        <f t="shared" si="2592"/>
        <v>0</v>
      </c>
      <c r="G223" s="93">
        <f t="shared" si="2593"/>
        <v>0</v>
      </c>
      <c r="H223" s="93">
        <f t="shared" si="2594"/>
        <v>0</v>
      </c>
      <c r="I223" s="93">
        <f t="shared" si="2595"/>
        <v>0</v>
      </c>
      <c r="J223" s="93">
        <f t="shared" si="2596"/>
        <v>0</v>
      </c>
      <c r="K223" s="93">
        <f t="shared" si="2597"/>
        <v>0</v>
      </c>
      <c r="L223" s="93">
        <f t="shared" si="2598"/>
        <v>0</v>
      </c>
      <c r="M223" s="93">
        <f t="shared" si="2599"/>
        <v>0</v>
      </c>
      <c r="N223" s="93">
        <f t="shared" si="2600"/>
        <v>0</v>
      </c>
      <c r="O223" s="93">
        <f t="shared" si="2601"/>
        <v>0</v>
      </c>
      <c r="P223" s="93">
        <f t="shared" si="2602"/>
        <v>0</v>
      </c>
      <c r="Q223" s="93">
        <f t="shared" si="2603"/>
        <v>0</v>
      </c>
      <c r="R223" s="93">
        <f t="shared" si="2604"/>
        <v>0</v>
      </c>
      <c r="S223" s="93">
        <f t="shared" si="2605"/>
        <v>0</v>
      </c>
      <c r="T223" s="93">
        <f t="shared" si="2606"/>
        <v>0</v>
      </c>
      <c r="U223" s="93">
        <f t="shared" si="2607"/>
        <v>0</v>
      </c>
      <c r="V223" s="93">
        <f t="shared" si="2608"/>
        <v>0</v>
      </c>
      <c r="W223" s="93">
        <f t="shared" si="2609"/>
        <v>0</v>
      </c>
      <c r="X223" s="93">
        <f t="shared" si="2610"/>
        <v>0</v>
      </c>
      <c r="Y223" s="93">
        <f t="shared" si="2611"/>
        <v>0</v>
      </c>
      <c r="Z223" s="93">
        <f t="shared" si="2612"/>
        <v>0</v>
      </c>
      <c r="AA223" s="93">
        <f t="shared" si="2613"/>
        <v>0</v>
      </c>
      <c r="AB223" s="93">
        <f t="shared" si="2614"/>
        <v>0</v>
      </c>
      <c r="AC223" s="93">
        <f t="shared" si="2615"/>
        <v>0</v>
      </c>
      <c r="AD223" s="93">
        <f t="shared" si="2616"/>
        <v>0</v>
      </c>
      <c r="AE223" s="93">
        <f t="shared" si="2617"/>
        <v>0</v>
      </c>
      <c r="AF223" s="93">
        <f t="shared" si="2618"/>
        <v>0</v>
      </c>
      <c r="AG223" s="93">
        <f t="shared" si="2619"/>
        <v>0</v>
      </c>
      <c r="AH223" s="93">
        <f t="shared" si="2620"/>
        <v>0</v>
      </c>
      <c r="AI223" s="93">
        <f t="shared" si="2621"/>
        <v>0</v>
      </c>
      <c r="AJ223" s="93">
        <f t="shared" si="2622"/>
        <v>0</v>
      </c>
      <c r="AK223" s="93">
        <f t="shared" si="2623"/>
        <v>0</v>
      </c>
      <c r="AL223" s="93">
        <f t="shared" si="2624"/>
        <v>0</v>
      </c>
      <c r="AM223" s="93">
        <f t="shared" si="2625"/>
        <v>0</v>
      </c>
      <c r="AN223" s="93">
        <f t="shared" si="2626"/>
        <v>0</v>
      </c>
      <c r="AO223" s="93">
        <f t="shared" si="2627"/>
        <v>0</v>
      </c>
      <c r="AP223" s="93">
        <f t="shared" si="2628"/>
        <v>0</v>
      </c>
      <c r="AQ223" s="93">
        <f t="shared" si="2629"/>
        <v>0</v>
      </c>
      <c r="AR223" s="93">
        <f t="shared" si="2630"/>
        <v>0</v>
      </c>
      <c r="AS223" s="93">
        <f t="shared" si="2631"/>
        <v>0</v>
      </c>
      <c r="AT223" s="93">
        <f t="shared" si="2632"/>
        <v>0</v>
      </c>
      <c r="AU223" s="93">
        <f t="shared" si="2633"/>
        <v>0</v>
      </c>
      <c r="AV223" s="93">
        <f t="shared" si="2634"/>
        <v>0</v>
      </c>
      <c r="AW223" s="93">
        <f t="shared" si="2635"/>
        <v>0</v>
      </c>
      <c r="AX223" s="93">
        <f t="shared" si="2636"/>
        <v>0</v>
      </c>
      <c r="AY223" s="93">
        <f t="shared" si="2637"/>
        <v>0</v>
      </c>
      <c r="AZ223" s="93">
        <f t="shared" si="2638"/>
        <v>0</v>
      </c>
      <c r="BA223" s="93">
        <f t="shared" si="2639"/>
        <v>0</v>
      </c>
      <c r="BB223" s="93">
        <f t="shared" si="2640"/>
        <v>0</v>
      </c>
      <c r="BC223" s="93">
        <f t="shared" si="2641"/>
        <v>0</v>
      </c>
      <c r="BD223" s="93">
        <f t="shared" si="2642"/>
        <v>0</v>
      </c>
      <c r="BE223" s="93">
        <f t="shared" si="2643"/>
        <v>0</v>
      </c>
      <c r="BF223" s="93">
        <f t="shared" si="2644"/>
        <v>0</v>
      </c>
      <c r="BG223" s="93">
        <f t="shared" si="2645"/>
        <v>0</v>
      </c>
      <c r="BH223" s="93">
        <f t="shared" si="2646"/>
        <v>0</v>
      </c>
      <c r="BI223" s="93">
        <f t="shared" si="2647"/>
        <v>0</v>
      </c>
      <c r="BJ223" s="93">
        <f t="shared" si="2648"/>
        <v>0</v>
      </c>
      <c r="BK223" s="93">
        <f t="shared" si="2649"/>
        <v>0</v>
      </c>
      <c r="BL223" s="93">
        <f t="shared" si="2650"/>
        <v>0</v>
      </c>
      <c r="BM223" s="93">
        <f t="shared" si="2651"/>
        <v>0</v>
      </c>
      <c r="BN223" s="93">
        <f t="shared" si="2652"/>
        <v>0</v>
      </c>
      <c r="BO223" s="93">
        <f t="shared" si="2653"/>
        <v>0</v>
      </c>
      <c r="BP223" s="93">
        <f t="shared" si="2654"/>
        <v>0</v>
      </c>
      <c r="BQ223" s="93">
        <f t="shared" si="2655"/>
        <v>0</v>
      </c>
      <c r="BR223" s="93">
        <f t="shared" si="2656"/>
        <v>0</v>
      </c>
      <c r="BS223" s="93">
        <f t="shared" si="2657"/>
        <v>0</v>
      </c>
      <c r="BT223" s="93">
        <f t="shared" si="2658"/>
        <v>0</v>
      </c>
      <c r="BU223" s="93">
        <f t="shared" si="2659"/>
        <v>0</v>
      </c>
      <c r="BV223" s="93">
        <f t="shared" si="2660"/>
        <v>0</v>
      </c>
      <c r="BW223" s="93">
        <f t="shared" si="2661"/>
        <v>0</v>
      </c>
      <c r="BX223" s="93">
        <f t="shared" si="2662"/>
        <v>0</v>
      </c>
      <c r="BY223" s="93">
        <f t="shared" si="2663"/>
        <v>0</v>
      </c>
      <c r="BZ223" s="93">
        <f t="shared" si="2664"/>
        <v>0</v>
      </c>
      <c r="CA223" s="93">
        <f t="shared" si="2665"/>
        <v>0</v>
      </c>
      <c r="CB223" s="93">
        <f t="shared" si="2666"/>
        <v>0</v>
      </c>
      <c r="CC223" s="93">
        <f t="shared" si="2667"/>
        <v>0</v>
      </c>
      <c r="CD223" s="93">
        <f t="shared" si="2668"/>
        <v>0</v>
      </c>
      <c r="CE223" s="93">
        <f t="shared" si="2669"/>
        <v>0</v>
      </c>
      <c r="CF223" s="93">
        <f t="shared" si="2670"/>
        <v>0</v>
      </c>
      <c r="CG223" s="93">
        <f t="shared" si="2671"/>
        <v>0</v>
      </c>
      <c r="CH223" s="93">
        <f t="shared" si="2672"/>
        <v>0</v>
      </c>
      <c r="CI223" s="93">
        <f t="shared" si="2673"/>
        <v>0</v>
      </c>
      <c r="CJ223" s="93">
        <f t="shared" si="2674"/>
        <v>0</v>
      </c>
      <c r="CK223" s="93">
        <f t="shared" si="2675"/>
        <v>0</v>
      </c>
      <c r="CL223" s="93">
        <f t="shared" si="2676"/>
        <v>0</v>
      </c>
      <c r="CM223" s="93">
        <f t="shared" si="2677"/>
        <v>0</v>
      </c>
      <c r="CN223" s="93">
        <f t="shared" si="2678"/>
        <v>0</v>
      </c>
      <c r="CO223" s="93">
        <f t="shared" si="2679"/>
        <v>0</v>
      </c>
      <c r="CP223" s="93">
        <f t="shared" si="2680"/>
        <v>0</v>
      </c>
      <c r="CQ223" s="93">
        <f t="shared" si="2681"/>
        <v>0</v>
      </c>
      <c r="CR223" s="93">
        <f t="shared" si="2682"/>
        <v>0</v>
      </c>
      <c r="CS223" s="93">
        <f t="shared" si="2683"/>
        <v>0</v>
      </c>
      <c r="CT223" s="93">
        <f t="shared" si="2684"/>
        <v>0</v>
      </c>
      <c r="CU223" s="93">
        <f t="shared" si="2685"/>
        <v>0</v>
      </c>
      <c r="CV223" s="93">
        <f t="shared" si="2686"/>
        <v>0</v>
      </c>
      <c r="CW223" s="93">
        <f t="shared" si="2687"/>
        <v>0</v>
      </c>
      <c r="CX223" s="93">
        <f t="shared" si="2688"/>
        <v>0</v>
      </c>
      <c r="CY223" s="93">
        <f t="shared" si="2689"/>
        <v>0</v>
      </c>
      <c r="CZ223" s="93">
        <f t="shared" si="2690"/>
        <v>0</v>
      </c>
      <c r="DA223" s="93">
        <f t="shared" si="2691"/>
        <v>0</v>
      </c>
      <c r="DB223" s="93">
        <f t="shared" si="2692"/>
        <v>0</v>
      </c>
      <c r="DC223" s="93">
        <f t="shared" si="2693"/>
        <v>0</v>
      </c>
      <c r="DD223" s="93">
        <f t="shared" si="2694"/>
        <v>0</v>
      </c>
      <c r="DE223" s="93">
        <f t="shared" si="2695"/>
        <v>0</v>
      </c>
      <c r="DF223" s="93">
        <f t="shared" si="2696"/>
        <v>0</v>
      </c>
      <c r="DG223" s="93">
        <f t="shared" si="2697"/>
        <v>0</v>
      </c>
      <c r="DH223" s="93">
        <f t="shared" si="2698"/>
        <v>0</v>
      </c>
      <c r="DI223" s="93">
        <f t="shared" si="2699"/>
        <v>0</v>
      </c>
      <c r="DJ223" s="93">
        <f t="shared" si="2700"/>
        <v>0</v>
      </c>
      <c r="DK223" s="93">
        <f t="shared" si="2701"/>
        <v>0</v>
      </c>
      <c r="DL223" s="93">
        <f t="shared" si="2702"/>
        <v>0</v>
      </c>
      <c r="DM223" s="93">
        <f t="shared" si="2703"/>
        <v>0</v>
      </c>
      <c r="DN223" s="93">
        <f t="shared" si="2704"/>
        <v>0</v>
      </c>
      <c r="DO223" s="93">
        <f t="shared" si="2705"/>
        <v>0</v>
      </c>
      <c r="DP223" s="93">
        <f t="shared" si="2706"/>
        <v>0</v>
      </c>
      <c r="DQ223" s="93">
        <f t="shared" si="2707"/>
        <v>0</v>
      </c>
      <c r="DR223" s="93">
        <f t="shared" si="2708"/>
        <v>0</v>
      </c>
      <c r="DS223" s="93">
        <f t="shared" si="2709"/>
        <v>0</v>
      </c>
      <c r="DT223" s="93">
        <f t="shared" si="2710"/>
        <v>0</v>
      </c>
      <c r="DU223" s="93">
        <f t="shared" si="2711"/>
        <v>0</v>
      </c>
      <c r="DV223" s="93">
        <f t="shared" si="2712"/>
        <v>0</v>
      </c>
      <c r="DW223" s="93">
        <f t="shared" si="2713"/>
        <v>0</v>
      </c>
      <c r="DX223" s="93">
        <f t="shared" si="2714"/>
        <v>0</v>
      </c>
      <c r="DY223" s="93">
        <f t="shared" si="2715"/>
        <v>0</v>
      </c>
      <c r="DZ223" s="93">
        <f t="shared" si="2716"/>
        <v>0</v>
      </c>
      <c r="EA223" s="93">
        <f t="shared" si="2717"/>
        <v>0</v>
      </c>
      <c r="EB223" s="93">
        <f t="shared" si="2718"/>
        <v>0</v>
      </c>
      <c r="EC223" s="93">
        <f t="shared" si="2719"/>
        <v>0</v>
      </c>
      <c r="ED223" s="93">
        <f t="shared" si="2720"/>
        <v>0</v>
      </c>
      <c r="EE223" s="93">
        <f t="shared" si="2721"/>
        <v>0</v>
      </c>
      <c r="EF223" s="93">
        <f t="shared" si="2722"/>
        <v>0</v>
      </c>
      <c r="EG223" s="93">
        <f t="shared" si="2723"/>
        <v>0</v>
      </c>
      <c r="EH223" s="93">
        <f t="shared" si="2724"/>
        <v>0</v>
      </c>
      <c r="EI223" s="93">
        <f t="shared" si="2725"/>
        <v>0</v>
      </c>
      <c r="EJ223" s="93">
        <f t="shared" si="2726"/>
        <v>0</v>
      </c>
      <c r="EK223" s="93">
        <f t="shared" si="2727"/>
        <v>0</v>
      </c>
      <c r="EL223" s="93">
        <f t="shared" si="2728"/>
        <v>0</v>
      </c>
      <c r="EM223" s="93">
        <f t="shared" si="2729"/>
        <v>0</v>
      </c>
      <c r="EN223" s="93">
        <f t="shared" si="2730"/>
        <v>0</v>
      </c>
      <c r="EO223" s="93">
        <f t="shared" si="2731"/>
        <v>0</v>
      </c>
      <c r="EP223" s="93">
        <f t="shared" si="2732"/>
        <v>0</v>
      </c>
      <c r="EQ223" s="93">
        <f t="shared" si="2733"/>
        <v>0</v>
      </c>
      <c r="ER223" s="93">
        <f t="shared" si="2734"/>
        <v>0</v>
      </c>
      <c r="ES223" s="93">
        <f t="shared" si="2735"/>
        <v>0</v>
      </c>
      <c r="ET223" s="93">
        <f t="shared" si="2736"/>
        <v>0</v>
      </c>
      <c r="EU223" s="93">
        <f t="shared" si="2737"/>
        <v>0</v>
      </c>
      <c r="EV223" s="93">
        <f t="shared" si="2738"/>
        <v>0</v>
      </c>
      <c r="EW223" s="93">
        <f t="shared" si="2739"/>
        <v>0</v>
      </c>
      <c r="EX223" s="93">
        <f t="shared" si="2740"/>
        <v>0</v>
      </c>
      <c r="EY223" s="93">
        <f t="shared" si="2741"/>
        <v>0</v>
      </c>
      <c r="EZ223" s="93">
        <f t="shared" si="2742"/>
        <v>0</v>
      </c>
      <c r="FA223" s="93">
        <f t="shared" si="2743"/>
        <v>0</v>
      </c>
      <c r="FB223" s="93">
        <f t="shared" si="2744"/>
        <v>0</v>
      </c>
      <c r="FC223" s="93">
        <f t="shared" si="2745"/>
        <v>0</v>
      </c>
      <c r="FD223" s="93">
        <f t="shared" si="2746"/>
        <v>0</v>
      </c>
      <c r="FE223" s="93">
        <f t="shared" si="2747"/>
        <v>0</v>
      </c>
      <c r="FF223" s="93">
        <f t="shared" si="2748"/>
        <v>0</v>
      </c>
      <c r="FG223" s="93">
        <f t="shared" si="2749"/>
        <v>0</v>
      </c>
      <c r="FH223" s="93">
        <f t="shared" si="2750"/>
        <v>0</v>
      </c>
      <c r="FI223" s="93">
        <f t="shared" si="2751"/>
        <v>0</v>
      </c>
      <c r="FJ223" s="93">
        <f t="shared" si="2752"/>
        <v>0</v>
      </c>
      <c r="FK223" s="93">
        <f t="shared" si="2753"/>
        <v>0</v>
      </c>
      <c r="FL223" s="93">
        <f t="shared" si="2754"/>
        <v>0</v>
      </c>
      <c r="FM223" s="93">
        <f t="shared" si="2755"/>
        <v>0</v>
      </c>
      <c r="FN223" s="93">
        <f t="shared" si="2756"/>
        <v>0</v>
      </c>
      <c r="FO223" s="93">
        <f t="shared" si="2757"/>
        <v>0</v>
      </c>
      <c r="FP223" s="93">
        <f t="shared" si="2758"/>
        <v>0</v>
      </c>
      <c r="FQ223" s="93">
        <f t="shared" si="2759"/>
        <v>0</v>
      </c>
      <c r="FR223" s="93">
        <f t="shared" si="2760"/>
        <v>0</v>
      </c>
      <c r="FS223" s="93">
        <f t="shared" si="2761"/>
        <v>0</v>
      </c>
      <c r="FT223" s="93">
        <f t="shared" si="2762"/>
        <v>0</v>
      </c>
      <c r="FU223" s="93">
        <f t="shared" si="2763"/>
        <v>0</v>
      </c>
      <c r="FV223" s="93">
        <f t="shared" si="2764"/>
        <v>0</v>
      </c>
      <c r="FW223" s="93">
        <f t="shared" si="2765"/>
        <v>0</v>
      </c>
      <c r="FX223" s="93">
        <f t="shared" si="2766"/>
        <v>0</v>
      </c>
      <c r="FY223" s="93">
        <f t="shared" si="2767"/>
        <v>0</v>
      </c>
      <c r="FZ223" s="59"/>
    </row>
    <row r="224" spans="1:182" x14ac:dyDescent="0.2">
      <c r="A224" s="92" t="s">
        <v>399</v>
      </c>
      <c r="B224" s="93">
        <f>(B32+C224)/(1+B$139)</f>
        <v>-84063.726003759861</v>
      </c>
      <c r="C224" s="93">
        <f t="shared" ref="C224" si="2769">(C32+D224)/(1+C$139)</f>
        <v>-79970.436768829619</v>
      </c>
      <c r="D224" s="93">
        <f t="shared" ref="D224" si="2770">(D32+E224)/(1+D$139)</f>
        <v>-75954.740425517564</v>
      </c>
      <c r="E224" s="93">
        <f t="shared" ref="E224" si="2771">(E32+F224)/(1+E$139)</f>
        <v>-72018.323833674571</v>
      </c>
      <c r="F224" s="93">
        <f t="shared" ref="F224" si="2772">(F32+G224)/(1+F$139)</f>
        <v>-68162.902559781825</v>
      </c>
      <c r="G224" s="93">
        <f t="shared" ref="G224" si="2773">(G32+H224)/(1+G$139)</f>
        <v>-64390.221337722149</v>
      </c>
      <c r="H224" s="93">
        <f t="shared" ref="H224" si="2774">(H32+I224)/(1+H$139)</f>
        <v>-60702.054536893702</v>
      </c>
      <c r="I224" s="93">
        <f t="shared" ref="I224" si="2775">(I32+J224)/(1+I$139)</f>
        <v>-57100.206637690651</v>
      </c>
      <c r="J224" s="93">
        <f t="shared" ref="J224" si="2776">(J32+K224)/(1+J$139)</f>
        <v>-53586.512714508077</v>
      </c>
      <c r="K224" s="93">
        <f t="shared" ref="K224" si="2777">(K32+L224)/(1+K$139)</f>
        <v>-50162.838926401782</v>
      </c>
      <c r="L224" s="93">
        <f t="shared" ref="L224" si="2778">(L32+M224)/(1+L$139)</f>
        <v>-46831.083015498058</v>
      </c>
      <c r="M224" s="93">
        <f t="shared" ref="M224" si="2779">(M32+N224)/(1+M$139)</f>
        <v>-43593.174813248253</v>
      </c>
      <c r="N224" s="93">
        <f t="shared" ref="N224" si="2780">(N32+O224)/(1+N$139)</f>
        <v>-40451.076754755624</v>
      </c>
      <c r="O224" s="93">
        <f t="shared" ref="O224" si="2781">(O32+P224)/(1+O$139)</f>
        <v>-37406.784401163</v>
      </c>
      <c r="P224" s="93">
        <f t="shared" ref="P224" si="2782">(P32+Q224)/(1+P$139)</f>
        <v>-34464.955446306354</v>
      </c>
      <c r="Q224" s="93">
        <f t="shared" ref="Q224" si="2783">(Q32+R224)/(1+Q$139)</f>
        <v>-31627.46852714166</v>
      </c>
      <c r="R224" s="93">
        <f t="shared" ref="R224" si="2784">(R32+S224)/(1+R$139)</f>
        <v>-28896.232274251539</v>
      </c>
      <c r="S224" s="93">
        <f t="shared" ref="S224" si="2785">(S32+T224)/(1+S$139)</f>
        <v>-26273.185765823968</v>
      </c>
      <c r="T224" s="93">
        <f t="shared" ref="T224" si="2786">(T32+U224)/(1+T$139)</f>
        <v>-23760.298988458486</v>
      </c>
      <c r="U224" s="93">
        <f t="shared" ref="U224" si="2787">(U32+V224)/(1+U$139)</f>
        <v>-21359.573304804126</v>
      </c>
      <c r="V224" s="93">
        <f t="shared" ref="V224" si="2788">(V32+W224)/(1+V$139)</f>
        <v>-19073.041928242219</v>
      </c>
      <c r="W224" s="93">
        <f t="shared" ref="W224" si="2789">(W32+X224)/(1+W$139)</f>
        <v>-16902.770404634237</v>
      </c>
      <c r="X224" s="93">
        <f t="shared" ref="X224" si="2790">(X32+Y224)/(1+X$139)</f>
        <v>-14850.857101258796</v>
      </c>
      <c r="Y224" s="93">
        <f t="shared" ref="Y224" si="2791">(Y32+Z224)/(1+Y$139)</f>
        <v>-12919.433703078241</v>
      </c>
      <c r="Z224" s="93">
        <f t="shared" ref="Z224" si="2792">(Z32+AA224)/(1+Z$139)</f>
        <v>-11110.665716430893</v>
      </c>
      <c r="AA224" s="93">
        <f t="shared" ref="AA224" si="2793">(AA32+AB224)/(1+AA$139)</f>
        <v>-9426.7529802009922</v>
      </c>
      <c r="AB224" s="93">
        <f t="shared" ref="AB224" si="2794">(AB32+AC224)/(1+AB$139)</f>
        <v>-7871.2955500934513</v>
      </c>
      <c r="AC224" s="93">
        <f t="shared" ref="AC224" si="2795">(AC32+AD224)/(1+AC$139)</f>
        <v>-6446.3357145741957</v>
      </c>
      <c r="AD224" s="93">
        <f t="shared" ref="AD224" si="2796">(AD32+AE224)/(1+AD$139)</f>
        <v>-5153.9465200080422</v>
      </c>
      <c r="AE224" s="93">
        <f t="shared" ref="AE224" si="2797">(AE32+AF224)/(1+AE$139)</f>
        <v>-3996.2322078438301</v>
      </c>
      <c r="AF224" s="93">
        <f t="shared" ref="AF224" si="2798">(AF32+AG224)/(1+AF$139)</f>
        <v>-2975.3286579055316</v>
      </c>
      <c r="AG224" s="93">
        <f t="shared" ref="AG224" si="2799">(AG32+AH224)/(1+AG$139)</f>
        <v>-2093.4038379476683</v>
      </c>
      <c r="AH224" s="93">
        <f t="shared" ref="AH224" si="2800">(AH32+AI224)/(1+AH$139)</f>
        <v>-1352.6582595231027</v>
      </c>
      <c r="AI224" s="93">
        <f t="shared" ref="AI224" si="2801">(AI32+AJ224)/(1+AI$139)</f>
        <v>-755.32544029226767</v>
      </c>
      <c r="AJ224" s="93">
        <f t="shared" ref="AJ224" si="2802">(AJ32+AK224)/(1+AJ$139)</f>
        <v>-303.67237282397912</v>
      </c>
      <c r="AK224" s="93">
        <f t="shared" ref="AK224" si="2803">(AK32+AL224)/(1+AK$139)</f>
        <v>0</v>
      </c>
      <c r="AL224" s="93">
        <f t="shared" ref="AL224" si="2804">(AL32+AM224)/(1+AL$139)</f>
        <v>0</v>
      </c>
      <c r="AM224" s="93">
        <f t="shared" ref="AM224" si="2805">(AM32+AN224)/(1+AM$139)</f>
        <v>0</v>
      </c>
      <c r="AN224" s="93">
        <f t="shared" ref="AN224" si="2806">(AN32+AO224)/(1+AN$139)</f>
        <v>0</v>
      </c>
      <c r="AO224" s="93">
        <f t="shared" ref="AO224" si="2807">(AO32+AP224)/(1+AO$139)</f>
        <v>0</v>
      </c>
      <c r="AP224" s="93">
        <f t="shared" ref="AP224" si="2808">(AP32+AQ224)/(1+AP$139)</f>
        <v>0</v>
      </c>
      <c r="AQ224" s="93">
        <f t="shared" ref="AQ224" si="2809">(AQ32+AR224)/(1+AQ$139)</f>
        <v>0</v>
      </c>
      <c r="AR224" s="93">
        <f t="shared" ref="AR224" si="2810">(AR32+AS224)/(1+AR$139)</f>
        <v>0</v>
      </c>
      <c r="AS224" s="93">
        <f t="shared" ref="AS224" si="2811">(AS32+AT224)/(1+AS$139)</f>
        <v>0</v>
      </c>
      <c r="AT224" s="93">
        <f t="shared" ref="AT224" si="2812">(AT32+AU224)/(1+AT$139)</f>
        <v>0</v>
      </c>
      <c r="AU224" s="93">
        <f t="shared" ref="AU224" si="2813">(AU32+AV224)/(1+AU$139)</f>
        <v>0</v>
      </c>
      <c r="AV224" s="93">
        <f t="shared" ref="AV224" si="2814">(AV32+AW224)/(1+AV$139)</f>
        <v>0</v>
      </c>
      <c r="AW224" s="93">
        <f t="shared" ref="AW224" si="2815">(AW32+AX224)/(1+AW$139)</f>
        <v>0</v>
      </c>
      <c r="AX224" s="93">
        <f t="shared" ref="AX224" si="2816">(AX32+AY224)/(1+AX$139)</f>
        <v>0</v>
      </c>
      <c r="AY224" s="93">
        <f t="shared" ref="AY224" si="2817">(AY32+AZ224)/(1+AY$139)</f>
        <v>0</v>
      </c>
      <c r="AZ224" s="93">
        <f t="shared" ref="AZ224" si="2818">(AZ32+BA224)/(1+AZ$139)</f>
        <v>0</v>
      </c>
      <c r="BA224" s="93">
        <f t="shared" ref="BA224" si="2819">(BA32+BB224)/(1+BA$139)</f>
        <v>0</v>
      </c>
      <c r="BB224" s="93">
        <f t="shared" ref="BB224" si="2820">(BB32+BC224)/(1+BB$139)</f>
        <v>0</v>
      </c>
      <c r="BC224" s="93">
        <f t="shared" ref="BC224" si="2821">(BC32+BD224)/(1+BC$139)</f>
        <v>0</v>
      </c>
      <c r="BD224" s="93">
        <f t="shared" ref="BD224" si="2822">(BD32+BE224)/(1+BD$139)</f>
        <v>0</v>
      </c>
      <c r="BE224" s="93">
        <f t="shared" ref="BE224" si="2823">(BE32+BF224)/(1+BE$139)</f>
        <v>0</v>
      </c>
      <c r="BF224" s="93">
        <f t="shared" ref="BF224" si="2824">(BF32+BG224)/(1+BF$139)</f>
        <v>0</v>
      </c>
      <c r="BG224" s="93">
        <f t="shared" ref="BG224" si="2825">(BG32+BH224)/(1+BG$139)</f>
        <v>0</v>
      </c>
      <c r="BH224" s="93">
        <f t="shared" ref="BH224" si="2826">(BH32+BI224)/(1+BH$139)</f>
        <v>0</v>
      </c>
      <c r="BI224" s="93">
        <f t="shared" ref="BI224" si="2827">(BI32+BJ224)/(1+BI$139)</f>
        <v>0</v>
      </c>
      <c r="BJ224" s="93">
        <f t="shared" ref="BJ224" si="2828">(BJ32+BK224)/(1+BJ$139)</f>
        <v>0</v>
      </c>
      <c r="BK224" s="93">
        <f t="shared" ref="BK224" si="2829">(BK32+BL224)/(1+BK$139)</f>
        <v>0</v>
      </c>
      <c r="BL224" s="93">
        <f t="shared" ref="BL224" si="2830">(BL32+BM224)/(1+BL$139)</f>
        <v>0</v>
      </c>
      <c r="BM224" s="93">
        <f t="shared" ref="BM224" si="2831">(BM32+BN224)/(1+BM$139)</f>
        <v>0</v>
      </c>
      <c r="BN224" s="93">
        <f t="shared" ref="BN224" si="2832">(BN32+BO224)/(1+BN$139)</f>
        <v>0</v>
      </c>
      <c r="BO224" s="93">
        <f t="shared" ref="BO224" si="2833">(BO32+BP224)/(1+BO$139)</f>
        <v>0</v>
      </c>
      <c r="BP224" s="93">
        <f t="shared" ref="BP224" si="2834">(BP32+BQ224)/(1+BP$139)</f>
        <v>0</v>
      </c>
      <c r="BQ224" s="93">
        <f t="shared" ref="BQ224" si="2835">(BQ32+BR224)/(1+BQ$139)</f>
        <v>0</v>
      </c>
      <c r="BR224" s="93">
        <f t="shared" ref="BR224" si="2836">(BR32+BS224)/(1+BR$139)</f>
        <v>0</v>
      </c>
      <c r="BS224" s="93">
        <f t="shared" ref="BS224" si="2837">(BS32+BT224)/(1+BS$139)</f>
        <v>0</v>
      </c>
      <c r="BT224" s="93">
        <f t="shared" ref="BT224" si="2838">(BT32+BU224)/(1+BT$139)</f>
        <v>0</v>
      </c>
      <c r="BU224" s="93">
        <f t="shared" ref="BU224" si="2839">(BU32+BV224)/(1+BU$139)</f>
        <v>0</v>
      </c>
      <c r="BV224" s="93">
        <f t="shared" ref="BV224" si="2840">(BV32+BW224)/(1+BV$139)</f>
        <v>0</v>
      </c>
      <c r="BW224" s="93">
        <f t="shared" ref="BW224" si="2841">(BW32+BX224)/(1+BW$139)</f>
        <v>0</v>
      </c>
      <c r="BX224" s="93">
        <f t="shared" ref="BX224" si="2842">(BX32+BY224)/(1+BX$139)</f>
        <v>0</v>
      </c>
      <c r="BY224" s="93">
        <f t="shared" ref="BY224" si="2843">(BY32+BZ224)/(1+BY$139)</f>
        <v>0</v>
      </c>
      <c r="BZ224" s="93">
        <f t="shared" ref="BZ224" si="2844">(BZ32+CA224)/(1+BZ$139)</f>
        <v>0</v>
      </c>
      <c r="CA224" s="93">
        <f t="shared" ref="CA224" si="2845">(CA32+CB224)/(1+CA$139)</f>
        <v>0</v>
      </c>
      <c r="CB224" s="93">
        <f t="shared" ref="CB224" si="2846">(CB32+CC224)/(1+CB$139)</f>
        <v>0</v>
      </c>
      <c r="CC224" s="93">
        <f t="shared" ref="CC224" si="2847">(CC32+CD224)/(1+CC$139)</f>
        <v>0</v>
      </c>
      <c r="CD224" s="93">
        <f t="shared" ref="CD224" si="2848">(CD32+CE224)/(1+CD$139)</f>
        <v>0</v>
      </c>
      <c r="CE224" s="93">
        <f t="shared" ref="CE224" si="2849">(CE32+CF224)/(1+CE$139)</f>
        <v>0</v>
      </c>
      <c r="CF224" s="93">
        <f t="shared" ref="CF224" si="2850">(CF32+CG224)/(1+CF$139)</f>
        <v>0</v>
      </c>
      <c r="CG224" s="93">
        <f t="shared" ref="CG224" si="2851">(CG32+CH224)/(1+CG$139)</f>
        <v>0</v>
      </c>
      <c r="CH224" s="93">
        <f t="shared" ref="CH224" si="2852">(CH32+CI224)/(1+CH$139)</f>
        <v>0</v>
      </c>
      <c r="CI224" s="93">
        <f t="shared" ref="CI224" si="2853">(CI32+CJ224)/(1+CI$139)</f>
        <v>0</v>
      </c>
      <c r="CJ224" s="93">
        <f t="shared" ref="CJ224" si="2854">(CJ32+CK224)/(1+CJ$139)</f>
        <v>0</v>
      </c>
      <c r="CK224" s="93">
        <f t="shared" ref="CK224" si="2855">(CK32+CL224)/(1+CK$139)</f>
        <v>0</v>
      </c>
      <c r="CL224" s="93">
        <f t="shared" ref="CL224" si="2856">(CL32+CM224)/(1+CL$139)</f>
        <v>0</v>
      </c>
      <c r="CM224" s="93">
        <f t="shared" ref="CM224" si="2857">(CM32+CN224)/(1+CM$139)</f>
        <v>0</v>
      </c>
      <c r="CN224" s="93">
        <f t="shared" ref="CN224" si="2858">(CN32+CO224)/(1+CN$139)</f>
        <v>0</v>
      </c>
      <c r="CO224" s="93">
        <f t="shared" ref="CO224" si="2859">(CO32+CP224)/(1+CO$139)</f>
        <v>0</v>
      </c>
      <c r="CP224" s="93">
        <f t="shared" ref="CP224" si="2860">(CP32+CQ224)/(1+CP$139)</f>
        <v>0</v>
      </c>
      <c r="CQ224" s="93">
        <f t="shared" ref="CQ224" si="2861">(CQ32+CR224)/(1+CQ$139)</f>
        <v>0</v>
      </c>
      <c r="CR224" s="93">
        <f t="shared" ref="CR224" si="2862">(CR32+CS224)/(1+CR$139)</f>
        <v>0</v>
      </c>
      <c r="CS224" s="93">
        <f t="shared" ref="CS224" si="2863">(CS32+CT224)/(1+CS$139)</f>
        <v>0</v>
      </c>
      <c r="CT224" s="93">
        <f t="shared" ref="CT224" si="2864">(CT32+CU224)/(1+CT$139)</f>
        <v>0</v>
      </c>
      <c r="CU224" s="93">
        <f t="shared" ref="CU224" si="2865">(CU32+CV224)/(1+CU$139)</f>
        <v>0</v>
      </c>
      <c r="CV224" s="93">
        <f t="shared" ref="CV224" si="2866">(CV32+CW224)/(1+CV$139)</f>
        <v>0</v>
      </c>
      <c r="CW224" s="93">
        <f t="shared" ref="CW224" si="2867">(CW32+CX224)/(1+CW$139)</f>
        <v>0</v>
      </c>
      <c r="CX224" s="93">
        <f t="shared" ref="CX224" si="2868">(CX32+CY224)/(1+CX$139)</f>
        <v>0</v>
      </c>
      <c r="CY224" s="93">
        <f t="shared" ref="CY224" si="2869">(CY32+CZ224)/(1+CY$139)</f>
        <v>0</v>
      </c>
      <c r="CZ224" s="93">
        <f t="shared" ref="CZ224" si="2870">(CZ32+DA224)/(1+CZ$139)</f>
        <v>0</v>
      </c>
      <c r="DA224" s="93">
        <f t="shared" ref="DA224" si="2871">(DA32+DB224)/(1+DA$139)</f>
        <v>0</v>
      </c>
      <c r="DB224" s="93">
        <f t="shared" ref="DB224" si="2872">(DB32+DC224)/(1+DB$139)</f>
        <v>0</v>
      </c>
      <c r="DC224" s="93">
        <f t="shared" ref="DC224" si="2873">(DC32+DD224)/(1+DC$139)</f>
        <v>0</v>
      </c>
      <c r="DD224" s="93">
        <f t="shared" ref="DD224" si="2874">(DD32+DE224)/(1+DD$139)</f>
        <v>0</v>
      </c>
      <c r="DE224" s="93">
        <f t="shared" ref="DE224" si="2875">(DE32+DF224)/(1+DE$139)</f>
        <v>0</v>
      </c>
      <c r="DF224" s="93">
        <f t="shared" ref="DF224" si="2876">(DF32+DG224)/(1+DF$139)</f>
        <v>0</v>
      </c>
      <c r="DG224" s="93">
        <f t="shared" ref="DG224" si="2877">(DG32+DH224)/(1+DG$139)</f>
        <v>0</v>
      </c>
      <c r="DH224" s="93">
        <f t="shared" ref="DH224" si="2878">(DH32+DI224)/(1+DH$139)</f>
        <v>0</v>
      </c>
      <c r="DI224" s="93">
        <f t="shared" ref="DI224" si="2879">(DI32+DJ224)/(1+DI$139)</f>
        <v>0</v>
      </c>
      <c r="DJ224" s="93">
        <f t="shared" ref="DJ224" si="2880">(DJ32+DK224)/(1+DJ$139)</f>
        <v>0</v>
      </c>
      <c r="DK224" s="93">
        <f t="shared" ref="DK224" si="2881">(DK32+DL224)/(1+DK$139)</f>
        <v>0</v>
      </c>
      <c r="DL224" s="93">
        <f t="shared" ref="DL224" si="2882">(DL32+DM224)/(1+DL$139)</f>
        <v>0</v>
      </c>
      <c r="DM224" s="93">
        <f t="shared" ref="DM224" si="2883">(DM32+DN224)/(1+DM$139)</f>
        <v>0</v>
      </c>
      <c r="DN224" s="93">
        <f t="shared" ref="DN224" si="2884">(DN32+DO224)/(1+DN$139)</f>
        <v>0</v>
      </c>
      <c r="DO224" s="93">
        <f t="shared" ref="DO224" si="2885">(DO32+DP224)/(1+DO$139)</f>
        <v>0</v>
      </c>
      <c r="DP224" s="93">
        <f t="shared" ref="DP224" si="2886">(DP32+DQ224)/(1+DP$139)</f>
        <v>0</v>
      </c>
      <c r="DQ224" s="93">
        <f t="shared" ref="DQ224" si="2887">(DQ32+DR224)/(1+DQ$139)</f>
        <v>0</v>
      </c>
      <c r="DR224" s="93">
        <f t="shared" ref="DR224" si="2888">(DR32+DS224)/(1+DR$139)</f>
        <v>0</v>
      </c>
      <c r="DS224" s="93">
        <f t="shared" ref="DS224" si="2889">(DS32+DT224)/(1+DS$139)</f>
        <v>0</v>
      </c>
      <c r="DT224" s="93">
        <f t="shared" ref="DT224" si="2890">(DT32+DU224)/(1+DT$139)</f>
        <v>0</v>
      </c>
      <c r="DU224" s="93">
        <f t="shared" ref="DU224" si="2891">(DU32+DV224)/(1+DU$139)</f>
        <v>0</v>
      </c>
      <c r="DV224" s="93">
        <f t="shared" ref="DV224" si="2892">(DV32+DW224)/(1+DV$139)</f>
        <v>0</v>
      </c>
      <c r="DW224" s="93">
        <f t="shared" ref="DW224" si="2893">(DW32+DX224)/(1+DW$139)</f>
        <v>0</v>
      </c>
      <c r="DX224" s="93">
        <f t="shared" ref="DX224" si="2894">(DX32+DY224)/(1+DX$139)</f>
        <v>0</v>
      </c>
      <c r="DY224" s="93">
        <f t="shared" ref="DY224" si="2895">(DY32+DZ224)/(1+DY$139)</f>
        <v>0</v>
      </c>
      <c r="DZ224" s="93">
        <f t="shared" ref="DZ224" si="2896">(DZ32+EA224)/(1+DZ$139)</f>
        <v>0</v>
      </c>
      <c r="EA224" s="93">
        <f t="shared" ref="EA224" si="2897">(EA32+EB224)/(1+EA$139)</f>
        <v>0</v>
      </c>
      <c r="EB224" s="93">
        <f t="shared" ref="EB224" si="2898">(EB32+EC224)/(1+EB$139)</f>
        <v>0</v>
      </c>
      <c r="EC224" s="93">
        <f t="shared" ref="EC224" si="2899">(EC32+ED224)/(1+EC$139)</f>
        <v>0</v>
      </c>
      <c r="ED224" s="93">
        <f t="shared" ref="ED224" si="2900">(ED32+EE224)/(1+ED$139)</f>
        <v>0</v>
      </c>
      <c r="EE224" s="93">
        <f t="shared" ref="EE224" si="2901">(EE32+EF224)/(1+EE$139)</f>
        <v>0</v>
      </c>
      <c r="EF224" s="93">
        <f t="shared" ref="EF224" si="2902">(EF32+EG224)/(1+EF$139)</f>
        <v>0</v>
      </c>
      <c r="EG224" s="93">
        <f t="shared" ref="EG224" si="2903">(EG32+EH224)/(1+EG$139)</f>
        <v>0</v>
      </c>
      <c r="EH224" s="93">
        <f t="shared" ref="EH224" si="2904">(EH32+EI224)/(1+EH$139)</f>
        <v>0</v>
      </c>
      <c r="EI224" s="93">
        <f t="shared" ref="EI224" si="2905">(EI32+EJ224)/(1+EI$139)</f>
        <v>0</v>
      </c>
      <c r="EJ224" s="93">
        <f t="shared" ref="EJ224" si="2906">(EJ32+EK224)/(1+EJ$139)</f>
        <v>0</v>
      </c>
      <c r="EK224" s="93">
        <f t="shared" ref="EK224" si="2907">(EK32+EL224)/(1+EK$139)</f>
        <v>0</v>
      </c>
      <c r="EL224" s="93">
        <f t="shared" ref="EL224" si="2908">(EL32+EM224)/(1+EL$139)</f>
        <v>0</v>
      </c>
      <c r="EM224" s="93">
        <f t="shared" ref="EM224" si="2909">(EM32+EN224)/(1+EM$139)</f>
        <v>0</v>
      </c>
      <c r="EN224" s="93">
        <f t="shared" ref="EN224" si="2910">(EN32+EO224)/(1+EN$139)</f>
        <v>0</v>
      </c>
      <c r="EO224" s="93">
        <f t="shared" ref="EO224" si="2911">(EO32+EP224)/(1+EO$139)</f>
        <v>0</v>
      </c>
      <c r="EP224" s="93">
        <f t="shared" ref="EP224" si="2912">(EP32+EQ224)/(1+EP$139)</f>
        <v>0</v>
      </c>
      <c r="EQ224" s="93">
        <f t="shared" ref="EQ224" si="2913">(EQ32+ER224)/(1+EQ$139)</f>
        <v>0</v>
      </c>
      <c r="ER224" s="93">
        <f t="shared" ref="ER224" si="2914">(ER32+ES224)/(1+ER$139)</f>
        <v>0</v>
      </c>
      <c r="ES224" s="93">
        <f t="shared" ref="ES224" si="2915">(ES32+ET224)/(1+ES$139)</f>
        <v>0</v>
      </c>
      <c r="ET224" s="93">
        <f t="shared" ref="ET224" si="2916">(ET32+EU224)/(1+ET$139)</f>
        <v>0</v>
      </c>
      <c r="EU224" s="93">
        <f t="shared" ref="EU224" si="2917">(EU32+EV224)/(1+EU$139)</f>
        <v>0</v>
      </c>
      <c r="EV224" s="93">
        <f t="shared" ref="EV224" si="2918">(EV32+EW224)/(1+EV$139)</f>
        <v>0</v>
      </c>
      <c r="EW224" s="93">
        <f t="shared" ref="EW224" si="2919">(EW32+EX224)/(1+EW$139)</f>
        <v>0</v>
      </c>
      <c r="EX224" s="93">
        <f t="shared" ref="EX224" si="2920">(EX32+EY224)/(1+EX$139)</f>
        <v>0</v>
      </c>
      <c r="EY224" s="93">
        <f t="shared" ref="EY224" si="2921">(EY32+EZ224)/(1+EY$139)</f>
        <v>0</v>
      </c>
      <c r="EZ224" s="93">
        <f t="shared" ref="EZ224" si="2922">(EZ32+FA224)/(1+EZ$139)</f>
        <v>0</v>
      </c>
      <c r="FA224" s="93">
        <f t="shared" ref="FA224" si="2923">(FA32+FB224)/(1+FA$139)</f>
        <v>0</v>
      </c>
      <c r="FB224" s="93">
        <f t="shared" ref="FB224" si="2924">(FB32+FC224)/(1+FB$139)</f>
        <v>0</v>
      </c>
      <c r="FC224" s="93">
        <f t="shared" ref="FC224" si="2925">(FC32+FD224)/(1+FC$139)</f>
        <v>0</v>
      </c>
      <c r="FD224" s="93">
        <f t="shared" ref="FD224" si="2926">(FD32+FE224)/(1+FD$139)</f>
        <v>0</v>
      </c>
      <c r="FE224" s="93">
        <f t="shared" ref="FE224" si="2927">(FE32+FF224)/(1+FE$139)</f>
        <v>0</v>
      </c>
      <c r="FF224" s="93">
        <f t="shared" ref="FF224" si="2928">(FF32+FG224)/(1+FF$139)</f>
        <v>0</v>
      </c>
      <c r="FG224" s="93">
        <f t="shared" ref="FG224" si="2929">(FG32+FH224)/(1+FG$139)</f>
        <v>0</v>
      </c>
      <c r="FH224" s="93">
        <f t="shared" ref="FH224" si="2930">(FH32+FI224)/(1+FH$139)</f>
        <v>0</v>
      </c>
      <c r="FI224" s="93">
        <f t="shared" ref="FI224" si="2931">(FI32+FJ224)/(1+FI$139)</f>
        <v>0</v>
      </c>
      <c r="FJ224" s="93">
        <f t="shared" ref="FJ224" si="2932">(FJ32+FK224)/(1+FJ$139)</f>
        <v>0</v>
      </c>
      <c r="FK224" s="93">
        <f t="shared" ref="FK224" si="2933">(FK32+FL224)/(1+FK$139)</f>
        <v>0</v>
      </c>
      <c r="FL224" s="93">
        <f t="shared" ref="FL224" si="2934">(FL32+FM224)/(1+FL$139)</f>
        <v>0</v>
      </c>
      <c r="FM224" s="93">
        <f t="shared" ref="FM224" si="2935">(FM32+FN224)/(1+FM$139)</f>
        <v>0</v>
      </c>
      <c r="FN224" s="93">
        <f t="shared" ref="FN224" si="2936">(FN32+FO224)/(1+FN$139)</f>
        <v>0</v>
      </c>
      <c r="FO224" s="93">
        <f t="shared" ref="FO224" si="2937">(FO32+FP224)/(1+FO$139)</f>
        <v>0</v>
      </c>
      <c r="FP224" s="93">
        <f t="shared" ref="FP224" si="2938">(FP32+FQ224)/(1+FP$139)</f>
        <v>0</v>
      </c>
      <c r="FQ224" s="93">
        <f t="shared" ref="FQ224" si="2939">(FQ32+FR224)/(1+FQ$139)</f>
        <v>0</v>
      </c>
      <c r="FR224" s="93">
        <f t="shared" ref="FR224" si="2940">(FR32+FS224)/(1+FR$139)</f>
        <v>0</v>
      </c>
      <c r="FS224" s="93">
        <f t="shared" ref="FS224" si="2941">(FS32+FT224)/(1+FS$139)</f>
        <v>0</v>
      </c>
      <c r="FT224" s="93">
        <f t="shared" ref="FT224" si="2942">(FT32+FU224)/(1+FT$139)</f>
        <v>0</v>
      </c>
      <c r="FU224" s="93">
        <f t="shared" ref="FU224" si="2943">(FU32+FV224)/(1+FU$139)</f>
        <v>0</v>
      </c>
      <c r="FV224" s="93">
        <f t="shared" ref="FV224" si="2944">(FV32+FW224)/(1+FV$139)</f>
        <v>0</v>
      </c>
      <c r="FW224" s="93">
        <f t="shared" ref="FW224" si="2945">(FW32+FX224)/(1+FW$139)</f>
        <v>0</v>
      </c>
      <c r="FX224" s="93">
        <f t="shared" ref="FX224" si="2946">(FX32+FY224)/(1+FX$139)</f>
        <v>0</v>
      </c>
      <c r="FY224" s="93">
        <f t="shared" ref="FY224" si="2947">(FY32+FZ224)/(1+FY$139)</f>
        <v>0</v>
      </c>
      <c r="FZ224" s="59"/>
    </row>
    <row r="225" spans="1:182" x14ac:dyDescent="0.2">
      <c r="A225" s="66" t="s">
        <v>192</v>
      </c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  <c r="AF225" s="67"/>
      <c r="AG225" s="67"/>
      <c r="AH225" s="67"/>
      <c r="AI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  <c r="BI225" s="67"/>
      <c r="BJ225" s="67"/>
      <c r="BK225" s="67"/>
      <c r="BL225" s="67"/>
      <c r="BM225" s="67"/>
      <c r="BN225" s="67"/>
      <c r="BO225" s="67"/>
      <c r="BP225" s="67"/>
      <c r="BQ225" s="67"/>
      <c r="BR225" s="67"/>
      <c r="BS225" s="67"/>
      <c r="BT225" s="67"/>
      <c r="BU225" s="67"/>
      <c r="BV225" s="67"/>
      <c r="BW225" s="67"/>
      <c r="BX225" s="67"/>
      <c r="BY225" s="67"/>
      <c r="BZ225" s="67"/>
      <c r="CA225" s="67"/>
      <c r="CB225" s="67"/>
      <c r="CC225" s="67"/>
      <c r="CD225" s="67"/>
      <c r="CE225" s="67"/>
      <c r="CF225" s="67"/>
      <c r="CG225" s="67"/>
      <c r="CH225" s="67"/>
      <c r="CI225" s="67"/>
      <c r="CJ225" s="67"/>
      <c r="CK225" s="67"/>
      <c r="CL225" s="67"/>
      <c r="CM225" s="67"/>
      <c r="CN225" s="67"/>
      <c r="CO225" s="67"/>
      <c r="CP225" s="67"/>
      <c r="CQ225" s="67"/>
      <c r="CR225" s="67"/>
      <c r="CS225" s="67"/>
      <c r="CT225" s="67"/>
      <c r="CU225" s="67"/>
      <c r="CV225" s="67"/>
      <c r="CW225" s="67"/>
      <c r="CX225" s="67"/>
      <c r="CY225" s="67"/>
      <c r="CZ225" s="67"/>
      <c r="DA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/>
      <c r="DR225" s="67"/>
      <c r="DS225" s="67"/>
      <c r="DT225" s="67"/>
      <c r="DU225" s="67"/>
      <c r="DV225" s="67"/>
      <c r="DW225" s="67"/>
      <c r="DX225" s="67"/>
      <c r="DY225" s="67"/>
      <c r="DZ225" s="67"/>
      <c r="EA225" s="67"/>
      <c r="EB225" s="67"/>
      <c r="EC225" s="67"/>
      <c r="ED225" s="67"/>
      <c r="EE225" s="67"/>
      <c r="EF225" s="67"/>
      <c r="EG225" s="67"/>
      <c r="EH225" s="67"/>
      <c r="EI225" s="67"/>
      <c r="EJ225" s="67"/>
      <c r="EK225" s="67"/>
      <c r="EL225" s="67"/>
      <c r="EM225" s="67"/>
      <c r="EN225" s="67"/>
      <c r="EO225" s="67"/>
      <c r="EP225" s="67"/>
      <c r="EQ225" s="67"/>
      <c r="ER225" s="67"/>
      <c r="ES225" s="67"/>
      <c r="ET225" s="67"/>
      <c r="EU225" s="67"/>
      <c r="EV225" s="67"/>
      <c r="EW225" s="67"/>
      <c r="EX225" s="67"/>
      <c r="EY225" s="67"/>
      <c r="EZ225" s="67"/>
      <c r="FA225" s="67"/>
      <c r="FB225" s="67"/>
      <c r="FC225" s="67"/>
      <c r="FD225" s="67"/>
      <c r="FE225" s="67"/>
      <c r="FF225" s="67"/>
      <c r="FG225" s="67"/>
      <c r="FH225" s="67"/>
      <c r="FI225" s="67"/>
      <c r="FJ225" s="67"/>
      <c r="FK225" s="67"/>
      <c r="FL225" s="67"/>
      <c r="FM225" s="67"/>
      <c r="FN225" s="67"/>
      <c r="FO225" s="67"/>
      <c r="FP225" s="67"/>
      <c r="FQ225" s="67"/>
      <c r="FR225" s="67"/>
      <c r="FS225" s="67"/>
      <c r="FT225" s="67"/>
      <c r="FU225" s="67"/>
      <c r="FV225" s="67"/>
      <c r="FW225" s="67"/>
      <c r="FX225" s="67"/>
      <c r="FY225" s="67"/>
      <c r="FZ225" s="59"/>
    </row>
    <row r="226" spans="1:182" x14ac:dyDescent="0.2">
      <c r="A226" s="66" t="s">
        <v>193</v>
      </c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AH226" s="67"/>
      <c r="AI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  <c r="BI226" s="67"/>
      <c r="BJ226" s="67"/>
      <c r="BK226" s="67"/>
      <c r="BL226" s="67"/>
      <c r="BM226" s="67"/>
      <c r="BN226" s="67"/>
      <c r="BO226" s="67"/>
      <c r="BP226" s="67"/>
      <c r="BQ226" s="67"/>
      <c r="BR226" s="67"/>
      <c r="BS226" s="67"/>
      <c r="BT226" s="67"/>
      <c r="BU226" s="67"/>
      <c r="BV226" s="67"/>
      <c r="BW226" s="67"/>
      <c r="BX226" s="67"/>
      <c r="BY226" s="67"/>
      <c r="BZ226" s="67"/>
      <c r="CA226" s="67"/>
      <c r="CB226" s="67"/>
      <c r="CC226" s="67"/>
      <c r="CD226" s="67"/>
      <c r="CE226" s="67"/>
      <c r="CF226" s="67"/>
      <c r="CG226" s="67"/>
      <c r="CH226" s="67"/>
      <c r="CI226" s="67"/>
      <c r="CJ226" s="67"/>
      <c r="CK226" s="67"/>
      <c r="CL226" s="67"/>
      <c r="CM226" s="67"/>
      <c r="CN226" s="67"/>
      <c r="CO226" s="67"/>
      <c r="CP226" s="67"/>
      <c r="CQ226" s="67"/>
      <c r="CR226" s="67"/>
      <c r="CS226" s="67"/>
      <c r="CT226" s="67"/>
      <c r="CU226" s="67"/>
      <c r="CV226" s="67"/>
      <c r="CW226" s="67"/>
      <c r="CX226" s="67"/>
      <c r="CY226" s="67"/>
      <c r="CZ226" s="67"/>
      <c r="DA226" s="67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/>
      <c r="DR226" s="67"/>
      <c r="DS226" s="67"/>
      <c r="DT226" s="67"/>
      <c r="DU226" s="67"/>
      <c r="DV226" s="67"/>
      <c r="DW226" s="67"/>
      <c r="DX226" s="67"/>
      <c r="DY226" s="67"/>
      <c r="DZ226" s="67"/>
      <c r="EA226" s="67"/>
      <c r="EB226" s="67"/>
      <c r="EC226" s="67"/>
      <c r="ED226" s="67"/>
      <c r="EE226" s="67"/>
      <c r="EF226" s="67"/>
      <c r="EG226" s="67"/>
      <c r="EH226" s="67"/>
      <c r="EI226" s="67"/>
      <c r="EJ226" s="67"/>
      <c r="EK226" s="67"/>
      <c r="EL226" s="67"/>
      <c r="EM226" s="67"/>
      <c r="EN226" s="67"/>
      <c r="EO226" s="67"/>
      <c r="EP226" s="67"/>
      <c r="EQ226" s="67"/>
      <c r="ER226" s="67"/>
      <c r="ES226" s="67"/>
      <c r="ET226" s="67"/>
      <c r="EU226" s="67"/>
      <c r="EV226" s="67"/>
      <c r="EW226" s="67"/>
      <c r="EX226" s="67"/>
      <c r="EY226" s="67"/>
      <c r="EZ226" s="67"/>
      <c r="FA226" s="67"/>
      <c r="FB226" s="67"/>
      <c r="FC226" s="67"/>
      <c r="FD226" s="67"/>
      <c r="FE226" s="67"/>
      <c r="FF226" s="67"/>
      <c r="FG226" s="67"/>
      <c r="FH226" s="67"/>
      <c r="FI226" s="67"/>
      <c r="FJ226" s="67"/>
      <c r="FK226" s="67"/>
      <c r="FL226" s="67"/>
      <c r="FM226" s="67"/>
      <c r="FN226" s="67"/>
      <c r="FO226" s="67"/>
      <c r="FP226" s="67"/>
      <c r="FQ226" s="67"/>
      <c r="FR226" s="67"/>
      <c r="FS226" s="67"/>
      <c r="FT226" s="67"/>
      <c r="FU226" s="67"/>
      <c r="FV226" s="67"/>
      <c r="FW226" s="67"/>
      <c r="FX226" s="67"/>
      <c r="FY226" s="67"/>
      <c r="FZ226" s="59"/>
    </row>
    <row r="227" spans="1:182" x14ac:dyDescent="0.2">
      <c r="A227" s="92" t="s">
        <v>262</v>
      </c>
      <c r="B227" s="93">
        <f>B35+C227/(1+B$139)</f>
        <v>-61498.996994221663</v>
      </c>
      <c r="C227" s="93">
        <f t="shared" ref="C227" si="2948">C35+D227/(1+C$139)</f>
        <v>-33040.565502636426</v>
      </c>
      <c r="D227" s="93">
        <f t="shared" ref="D227:D228" si="2949">D35+E227/(1+D$139)</f>
        <v>-32177.16315294223</v>
      </c>
      <c r="E227" s="93">
        <f t="shared" ref="E227:E228" si="2950">E35+F227/(1+E$139)</f>
        <v>-31308.766749257396</v>
      </c>
      <c r="F227" s="93">
        <f t="shared" ref="F227:F228" si="2951">F35+G227/(1+F$139)</f>
        <v>-30435.352992573189</v>
      </c>
      <c r="G227" s="93">
        <f t="shared" ref="G227:G228" si="2952">G35+H227/(1+G$139)</f>
        <v>-29556.898480301126</v>
      </c>
      <c r="H227" s="93">
        <f t="shared" ref="H227:H228" si="2953">H35+I227/(1+H$139)</f>
        <v>-28673.379705818308</v>
      </c>
      <c r="I227" s="93">
        <f t="shared" ref="I227:I228" si="2954">I35+J227/(1+I$139)</f>
        <v>-27784.773058010756</v>
      </c>
      <c r="J227" s="93">
        <f t="shared" ref="J227:J228" si="2955">J35+K227/(1+J$139)</f>
        <v>-26891.054820814777</v>
      </c>
      <c r="K227" s="93">
        <f t="shared" ref="K227:K228" si="2956">K35+L227/(1+K$139)</f>
        <v>-25992.201172756271</v>
      </c>
      <c r="L227" s="93">
        <f t="shared" ref="L227:L228" si="2957">L35+M227/(1+L$139)</f>
        <v>-25088.188186488082</v>
      </c>
      <c r="M227" s="93">
        <f t="shared" ref="M227:M228" si="2958">M35+N227/(1+M$139)</f>
        <v>-24178.991828325288</v>
      </c>
      <c r="N227" s="93">
        <f t="shared" ref="N227:N228" si="2959">N35+O227/(1+N$139)</f>
        <v>-23264.587957778465</v>
      </c>
      <c r="O227" s="93">
        <f t="shared" ref="O227:O228" si="2960">O35+P227/(1+O$139)</f>
        <v>-22344.952327084909</v>
      </c>
      <c r="P227" s="93">
        <f t="shared" ref="P227:P228" si="2961">P35+Q227/(1+P$139)</f>
        <v>-21420.925363484905</v>
      </c>
      <c r="Q227" s="93">
        <f t="shared" ref="Q227:Q228" si="2962">Q35+R227/(1+Q$139)</f>
        <v>-20492.48774656282</v>
      </c>
      <c r="R227" s="93">
        <f t="shared" ref="R227:R228" si="2963">R35+S227/(1+R$139)</f>
        <v>-19559.62007145174</v>
      </c>
      <c r="S227" s="93">
        <f t="shared" ref="S227:S228" si="2964">S35+T227/(1+S$139)</f>
        <v>-18622.302848464533</v>
      </c>
      <c r="T227" s="93">
        <f t="shared" ref="T227:T228" si="2965">T35+U227/(1+T$139)</f>
        <v>-17680.516502723298</v>
      </c>
      <c r="U227" s="93">
        <f t="shared" ref="U227:U228" si="2966">U35+V227/(1+U$139)</f>
        <v>-16734.241373787183</v>
      </c>
      <c r="V227" s="93">
        <f t="shared" ref="V227:V228" si="2967">V35+W227/(1+V$139)</f>
        <v>-15783.457715278588</v>
      </c>
      <c r="W227" s="93">
        <f t="shared" ref="W227:W228" si="2968">W35+X227/(1+W$139)</f>
        <v>-14828.145694507732</v>
      </c>
      <c r="X227" s="93">
        <f t="shared" ref="X227:X228" si="2969">X35+Y227/(1+X$139)</f>
        <v>-13868.28539209558</v>
      </c>
      <c r="Y227" s="93">
        <f t="shared" ref="Y227:Y228" si="2970">Y35+Z227/(1+Y$139)</f>
        <v>-12903.856801595131</v>
      </c>
      <c r="Z227" s="93">
        <f t="shared" ref="Z227:Z228" si="2971">Z35+AA227/(1+Z$139)</f>
        <v>-11934.839829111026</v>
      </c>
      <c r="AA227" s="93">
        <f t="shared" ref="AA227:AA228" si="2972">AA35+AB227/(1+AA$139)</f>
        <v>-10961.214292917528</v>
      </c>
      <c r="AB227" s="93">
        <f t="shared" ref="AB227:AB228" si="2973">AB35+AC227/(1+AB$139)</f>
        <v>-9983.8366757644635</v>
      </c>
      <c r="AC227" s="93">
        <f t="shared" ref="AC227:AC228" si="2974">AC35+AD227/(1+AC$139)</f>
        <v>-9002.6903418113816</v>
      </c>
      <c r="AD227" s="93">
        <f t="shared" ref="AD227:AD228" si="2975">AD35+AE227/(1+AD$139)</f>
        <v>-8017.758582663886</v>
      </c>
      <c r="AE227" s="93">
        <f t="shared" ref="AE227:AE228" si="2976">AE35+AF227/(1+AE$139)</f>
        <v>-7029.0246170566306</v>
      </c>
      <c r="AF227" s="93">
        <f t="shared" ref="AF227:AF228" si="2977">AF35+AG227/(1+AF$139)</f>
        <v>-6036.4715905349167</v>
      </c>
      <c r="AG227" s="93">
        <f t="shared" ref="AG227:AG228" si="2978">AG35+AH227/(1+AG$139)</f>
        <v>-5040.0825751349148</v>
      </c>
      <c r="AH227" s="93">
        <f t="shared" ref="AH227:AH228" si="2979">AH35+AI227/(1+AH$139)</f>
        <v>-4039.8405690624759</v>
      </c>
      <c r="AI227" s="93">
        <f t="shared" ref="AI227:AI228" si="2980">AI35+AJ227/(1+AI$139)</f>
        <v>-3035.7284963705501</v>
      </c>
      <c r="AJ227" s="93">
        <f t="shared" ref="AJ227:AJ228" si="2981">AJ35+AK227/(1+AJ$139)</f>
        <v>-2027.7292066351895</v>
      </c>
      <c r="AK227" s="93">
        <f t="shared" ref="AK227:AK228" si="2982">AK35+AL227/(1+AK$139)</f>
        <v>-1015.8254746301382</v>
      </c>
      <c r="AL227" s="93">
        <f t="shared" ref="AL227:AL228" si="2983">AL35+AM227/(1+AL$139)</f>
        <v>0</v>
      </c>
      <c r="AM227" s="93">
        <f t="shared" ref="AM227:AM228" si="2984">AM35+AN227/(1+AM$139)</f>
        <v>0</v>
      </c>
      <c r="AN227" s="93">
        <f t="shared" ref="AN227:AN228" si="2985">AN35+AO227/(1+AN$139)</f>
        <v>0</v>
      </c>
      <c r="AO227" s="93">
        <f t="shared" ref="AO227:AO228" si="2986">AO35+AP227/(1+AO$139)</f>
        <v>0</v>
      </c>
      <c r="AP227" s="93">
        <f t="shared" ref="AP227:AP228" si="2987">AP35+AQ227/(1+AP$139)</f>
        <v>0</v>
      </c>
      <c r="AQ227" s="93">
        <f t="shared" ref="AQ227:AQ228" si="2988">AQ35+AR227/(1+AQ$139)</f>
        <v>0</v>
      </c>
      <c r="AR227" s="93">
        <f t="shared" ref="AR227:AR228" si="2989">AR35+AS227/(1+AR$139)</f>
        <v>0</v>
      </c>
      <c r="AS227" s="93">
        <f t="shared" ref="AS227:AS228" si="2990">AS35+AT227/(1+AS$139)</f>
        <v>0</v>
      </c>
      <c r="AT227" s="93">
        <f t="shared" ref="AT227:AT228" si="2991">AT35+AU227/(1+AT$139)</f>
        <v>0</v>
      </c>
      <c r="AU227" s="93">
        <f t="shared" ref="AU227:AU228" si="2992">AU35+AV227/(1+AU$139)</f>
        <v>0</v>
      </c>
      <c r="AV227" s="93">
        <f t="shared" ref="AV227:AV228" si="2993">AV35+AW227/(1+AV$139)</f>
        <v>0</v>
      </c>
      <c r="AW227" s="93">
        <f t="shared" ref="AW227:AW228" si="2994">AW35+AX227/(1+AW$139)</f>
        <v>0</v>
      </c>
      <c r="AX227" s="93">
        <f t="shared" ref="AX227:AX228" si="2995">AX35+AY227/(1+AX$139)</f>
        <v>0</v>
      </c>
      <c r="AY227" s="93">
        <f t="shared" ref="AY227:AY228" si="2996">AY35+AZ227/(1+AY$139)</f>
        <v>0</v>
      </c>
      <c r="AZ227" s="93">
        <f t="shared" ref="AZ227:AZ228" si="2997">AZ35+BA227/(1+AZ$139)</f>
        <v>0</v>
      </c>
      <c r="BA227" s="93">
        <f t="shared" ref="BA227:BA228" si="2998">BA35+BB227/(1+BA$139)</f>
        <v>0</v>
      </c>
      <c r="BB227" s="93">
        <f t="shared" ref="BB227:BB228" si="2999">BB35+BC227/(1+BB$139)</f>
        <v>0</v>
      </c>
      <c r="BC227" s="93">
        <f t="shared" ref="BC227:BC228" si="3000">BC35+BD227/(1+BC$139)</f>
        <v>0</v>
      </c>
      <c r="BD227" s="93">
        <f t="shared" ref="BD227:BD228" si="3001">BD35+BE227/(1+BD$139)</f>
        <v>0</v>
      </c>
      <c r="BE227" s="93">
        <f t="shared" ref="BE227:BE228" si="3002">BE35+BF227/(1+BE$139)</f>
        <v>0</v>
      </c>
      <c r="BF227" s="93">
        <f t="shared" ref="BF227:BF228" si="3003">BF35+BG227/(1+BF$139)</f>
        <v>0</v>
      </c>
      <c r="BG227" s="93">
        <f t="shared" ref="BG227:BG228" si="3004">BG35+BH227/(1+BG$139)</f>
        <v>0</v>
      </c>
      <c r="BH227" s="93">
        <f t="shared" ref="BH227:BH228" si="3005">BH35+BI227/(1+BH$139)</f>
        <v>0</v>
      </c>
      <c r="BI227" s="93">
        <f t="shared" ref="BI227:BI228" si="3006">BI35+BJ227/(1+BI$139)</f>
        <v>0</v>
      </c>
      <c r="BJ227" s="93">
        <f t="shared" ref="BJ227:BJ228" si="3007">BJ35+BK227/(1+BJ$139)</f>
        <v>0</v>
      </c>
      <c r="BK227" s="93">
        <f t="shared" ref="BK227:BK228" si="3008">BK35+BL227/(1+BK$139)</f>
        <v>0</v>
      </c>
      <c r="BL227" s="93">
        <f t="shared" ref="BL227:BL228" si="3009">BL35+BM227/(1+BL$139)</f>
        <v>0</v>
      </c>
      <c r="BM227" s="93">
        <f t="shared" ref="BM227:BM228" si="3010">BM35+BN227/(1+BM$139)</f>
        <v>0</v>
      </c>
      <c r="BN227" s="93">
        <f t="shared" ref="BN227:BN228" si="3011">BN35+BO227/(1+BN$139)</f>
        <v>0</v>
      </c>
      <c r="BO227" s="93">
        <f t="shared" ref="BO227:BO228" si="3012">BO35+BP227/(1+BO$139)</f>
        <v>0</v>
      </c>
      <c r="BP227" s="93">
        <f t="shared" ref="BP227:BP228" si="3013">BP35+BQ227/(1+BP$139)</f>
        <v>0</v>
      </c>
      <c r="BQ227" s="93">
        <f t="shared" ref="BQ227:BQ228" si="3014">BQ35+BR227/(1+BQ$139)</f>
        <v>0</v>
      </c>
      <c r="BR227" s="93">
        <f t="shared" ref="BR227:BR228" si="3015">BR35+BS227/(1+BR$139)</f>
        <v>0</v>
      </c>
      <c r="BS227" s="93">
        <f t="shared" ref="BS227:BS228" si="3016">BS35+BT227/(1+BS$139)</f>
        <v>0</v>
      </c>
      <c r="BT227" s="93">
        <f t="shared" ref="BT227:BT228" si="3017">BT35+BU227/(1+BT$139)</f>
        <v>0</v>
      </c>
      <c r="BU227" s="93">
        <f t="shared" ref="BU227:BU228" si="3018">BU35+BV227/(1+BU$139)</f>
        <v>0</v>
      </c>
      <c r="BV227" s="93">
        <f t="shared" ref="BV227:BV228" si="3019">BV35+BW227/(1+BV$139)</f>
        <v>0</v>
      </c>
      <c r="BW227" s="93">
        <f t="shared" ref="BW227:BW228" si="3020">BW35+BX227/(1+BW$139)</f>
        <v>0</v>
      </c>
      <c r="BX227" s="93">
        <f t="shared" ref="BX227:BX228" si="3021">BX35+BY227/(1+BX$139)</f>
        <v>0</v>
      </c>
      <c r="BY227" s="93">
        <f t="shared" ref="BY227:BY228" si="3022">BY35+BZ227/(1+BY$139)</f>
        <v>0</v>
      </c>
      <c r="BZ227" s="93">
        <f t="shared" ref="BZ227:BZ228" si="3023">BZ35+CA227/(1+BZ$139)</f>
        <v>0</v>
      </c>
      <c r="CA227" s="93">
        <f t="shared" ref="CA227:CA228" si="3024">CA35+CB227/(1+CA$139)</f>
        <v>0</v>
      </c>
      <c r="CB227" s="93">
        <f t="shared" ref="CB227:CB228" si="3025">CB35+CC227/(1+CB$139)</f>
        <v>0</v>
      </c>
      <c r="CC227" s="93">
        <f t="shared" ref="CC227:CC228" si="3026">CC35+CD227/(1+CC$139)</f>
        <v>0</v>
      </c>
      <c r="CD227" s="93">
        <f t="shared" ref="CD227:CD228" si="3027">CD35+CE227/(1+CD$139)</f>
        <v>0</v>
      </c>
      <c r="CE227" s="93">
        <f t="shared" ref="CE227:CE228" si="3028">CE35+CF227/(1+CE$139)</f>
        <v>0</v>
      </c>
      <c r="CF227" s="93">
        <f t="shared" ref="CF227:CF228" si="3029">CF35+CG227/(1+CF$139)</f>
        <v>0</v>
      </c>
      <c r="CG227" s="93">
        <f t="shared" ref="CG227:CG228" si="3030">CG35+CH227/(1+CG$139)</f>
        <v>0</v>
      </c>
      <c r="CH227" s="93">
        <f t="shared" ref="CH227:CH228" si="3031">CH35+CI227/(1+CH$139)</f>
        <v>0</v>
      </c>
      <c r="CI227" s="93">
        <f t="shared" ref="CI227:CI228" si="3032">CI35+CJ227/(1+CI$139)</f>
        <v>0</v>
      </c>
      <c r="CJ227" s="93">
        <f t="shared" ref="CJ227:CJ228" si="3033">CJ35+CK227/(1+CJ$139)</f>
        <v>0</v>
      </c>
      <c r="CK227" s="93">
        <f t="shared" ref="CK227:CK228" si="3034">CK35+CL227/(1+CK$139)</f>
        <v>0</v>
      </c>
      <c r="CL227" s="93">
        <f t="shared" ref="CL227:CL228" si="3035">CL35+CM227/(1+CL$139)</f>
        <v>0</v>
      </c>
      <c r="CM227" s="93">
        <f t="shared" ref="CM227:CM228" si="3036">CM35+CN227/(1+CM$139)</f>
        <v>0</v>
      </c>
      <c r="CN227" s="93">
        <f t="shared" ref="CN227:CN228" si="3037">CN35+CO227/(1+CN$139)</f>
        <v>0</v>
      </c>
      <c r="CO227" s="93">
        <f t="shared" ref="CO227:CO228" si="3038">CO35+CP227/(1+CO$139)</f>
        <v>0</v>
      </c>
      <c r="CP227" s="93">
        <f t="shared" ref="CP227:CP228" si="3039">CP35+CQ227/(1+CP$139)</f>
        <v>0</v>
      </c>
      <c r="CQ227" s="93">
        <f t="shared" ref="CQ227:CQ228" si="3040">CQ35+CR227/(1+CQ$139)</f>
        <v>0</v>
      </c>
      <c r="CR227" s="93">
        <f t="shared" ref="CR227:CR228" si="3041">CR35+CS227/(1+CR$139)</f>
        <v>0</v>
      </c>
      <c r="CS227" s="93">
        <f t="shared" ref="CS227:CS228" si="3042">CS35+CT227/(1+CS$139)</f>
        <v>0</v>
      </c>
      <c r="CT227" s="93">
        <f t="shared" ref="CT227:CT228" si="3043">CT35+CU227/(1+CT$139)</f>
        <v>0</v>
      </c>
      <c r="CU227" s="93">
        <f t="shared" ref="CU227:CU228" si="3044">CU35+CV227/(1+CU$139)</f>
        <v>0</v>
      </c>
      <c r="CV227" s="93">
        <f t="shared" ref="CV227:CV228" si="3045">CV35+CW227/(1+CV$139)</f>
        <v>0</v>
      </c>
      <c r="CW227" s="93">
        <f t="shared" ref="CW227:CW228" si="3046">CW35+CX227/(1+CW$139)</f>
        <v>0</v>
      </c>
      <c r="CX227" s="93">
        <f t="shared" ref="CX227:CX228" si="3047">CX35+CY227/(1+CX$139)</f>
        <v>0</v>
      </c>
      <c r="CY227" s="93">
        <f t="shared" ref="CY227:CY228" si="3048">CY35+CZ227/(1+CY$139)</f>
        <v>0</v>
      </c>
      <c r="CZ227" s="93">
        <f t="shared" ref="CZ227:CZ228" si="3049">CZ35+DA227/(1+CZ$139)</f>
        <v>0</v>
      </c>
      <c r="DA227" s="93">
        <f t="shared" ref="DA227:DA228" si="3050">DA35+DB227/(1+DA$139)</f>
        <v>0</v>
      </c>
      <c r="DB227" s="93">
        <f t="shared" ref="DB227:DB228" si="3051">DB35+DC227/(1+DB$139)</f>
        <v>0</v>
      </c>
      <c r="DC227" s="93">
        <f t="shared" ref="DC227:DC228" si="3052">DC35+DD227/(1+DC$139)</f>
        <v>0</v>
      </c>
      <c r="DD227" s="93">
        <f t="shared" ref="DD227:DD228" si="3053">DD35+DE227/(1+DD$139)</f>
        <v>0</v>
      </c>
      <c r="DE227" s="93">
        <f t="shared" ref="DE227:DE228" si="3054">DE35+DF227/(1+DE$139)</f>
        <v>0</v>
      </c>
      <c r="DF227" s="93">
        <f t="shared" ref="DF227:DF228" si="3055">DF35+DG227/(1+DF$139)</f>
        <v>0</v>
      </c>
      <c r="DG227" s="93">
        <f t="shared" ref="DG227:DG228" si="3056">DG35+DH227/(1+DG$139)</f>
        <v>0</v>
      </c>
      <c r="DH227" s="93">
        <f t="shared" ref="DH227:DH228" si="3057">DH35+DI227/(1+DH$139)</f>
        <v>0</v>
      </c>
      <c r="DI227" s="93">
        <f t="shared" ref="DI227:DI228" si="3058">DI35+DJ227/(1+DI$139)</f>
        <v>0</v>
      </c>
      <c r="DJ227" s="93">
        <f t="shared" ref="DJ227:DJ228" si="3059">DJ35+DK227/(1+DJ$139)</f>
        <v>0</v>
      </c>
      <c r="DK227" s="93">
        <f t="shared" ref="DK227:DK228" si="3060">DK35+DL227/(1+DK$139)</f>
        <v>0</v>
      </c>
      <c r="DL227" s="93">
        <f t="shared" ref="DL227:DL228" si="3061">DL35+DM227/(1+DL$139)</f>
        <v>0</v>
      </c>
      <c r="DM227" s="93">
        <f t="shared" ref="DM227:DM228" si="3062">DM35+DN227/(1+DM$139)</f>
        <v>0</v>
      </c>
      <c r="DN227" s="93">
        <f t="shared" ref="DN227:DN228" si="3063">DN35+DO227/(1+DN$139)</f>
        <v>0</v>
      </c>
      <c r="DO227" s="93">
        <f t="shared" ref="DO227:DO228" si="3064">DO35+DP227/(1+DO$139)</f>
        <v>0</v>
      </c>
      <c r="DP227" s="93">
        <f t="shared" ref="DP227:DP228" si="3065">DP35+DQ227/(1+DP$139)</f>
        <v>0</v>
      </c>
      <c r="DQ227" s="93">
        <f t="shared" ref="DQ227:DQ228" si="3066">DQ35+DR227/(1+DQ$139)</f>
        <v>0</v>
      </c>
      <c r="DR227" s="93">
        <f t="shared" ref="DR227:DR228" si="3067">DR35+DS227/(1+DR$139)</f>
        <v>0</v>
      </c>
      <c r="DS227" s="93">
        <f t="shared" ref="DS227:DS228" si="3068">DS35+DT227/(1+DS$139)</f>
        <v>0</v>
      </c>
      <c r="DT227" s="93">
        <f t="shared" ref="DT227:DT228" si="3069">DT35+DU227/(1+DT$139)</f>
        <v>0</v>
      </c>
      <c r="DU227" s="93">
        <f t="shared" ref="DU227:DU228" si="3070">DU35+DV227/(1+DU$139)</f>
        <v>0</v>
      </c>
      <c r="DV227" s="93">
        <f t="shared" ref="DV227:DV228" si="3071">DV35+DW227/(1+DV$139)</f>
        <v>0</v>
      </c>
      <c r="DW227" s="93">
        <f t="shared" ref="DW227:DW228" si="3072">DW35+DX227/(1+DW$139)</f>
        <v>0</v>
      </c>
      <c r="DX227" s="93">
        <f t="shared" ref="DX227:DX228" si="3073">DX35+DY227/(1+DX$139)</f>
        <v>0</v>
      </c>
      <c r="DY227" s="93">
        <f t="shared" ref="DY227:DY228" si="3074">DY35+DZ227/(1+DY$139)</f>
        <v>0</v>
      </c>
      <c r="DZ227" s="93">
        <f t="shared" ref="DZ227:DZ228" si="3075">DZ35+EA227/(1+DZ$139)</f>
        <v>0</v>
      </c>
      <c r="EA227" s="93">
        <f t="shared" ref="EA227:EA228" si="3076">EA35+EB227/(1+EA$139)</f>
        <v>0</v>
      </c>
      <c r="EB227" s="93">
        <f t="shared" ref="EB227:EB228" si="3077">EB35+EC227/(1+EB$139)</f>
        <v>0</v>
      </c>
      <c r="EC227" s="93">
        <f t="shared" ref="EC227:EC228" si="3078">EC35+ED227/(1+EC$139)</f>
        <v>0</v>
      </c>
      <c r="ED227" s="93">
        <f t="shared" ref="ED227:ED228" si="3079">ED35+EE227/(1+ED$139)</f>
        <v>0</v>
      </c>
      <c r="EE227" s="93">
        <f t="shared" ref="EE227:EE228" si="3080">EE35+EF227/(1+EE$139)</f>
        <v>0</v>
      </c>
      <c r="EF227" s="93">
        <f t="shared" ref="EF227:EF228" si="3081">EF35+EG227/(1+EF$139)</f>
        <v>0</v>
      </c>
      <c r="EG227" s="93">
        <f t="shared" ref="EG227:EG228" si="3082">EG35+EH227/(1+EG$139)</f>
        <v>0</v>
      </c>
      <c r="EH227" s="93">
        <f t="shared" ref="EH227:EH228" si="3083">EH35+EI227/(1+EH$139)</f>
        <v>0</v>
      </c>
      <c r="EI227" s="93">
        <f t="shared" ref="EI227:EI228" si="3084">EI35+EJ227/(1+EI$139)</f>
        <v>0</v>
      </c>
      <c r="EJ227" s="93">
        <f t="shared" ref="EJ227:EJ228" si="3085">EJ35+EK227/(1+EJ$139)</f>
        <v>0</v>
      </c>
      <c r="EK227" s="93">
        <f t="shared" ref="EK227:EK228" si="3086">EK35+EL227/(1+EK$139)</f>
        <v>0</v>
      </c>
      <c r="EL227" s="93">
        <f t="shared" ref="EL227:EL228" si="3087">EL35+EM227/(1+EL$139)</f>
        <v>0</v>
      </c>
      <c r="EM227" s="93">
        <f t="shared" ref="EM227:EM228" si="3088">EM35+EN227/(1+EM$139)</f>
        <v>0</v>
      </c>
      <c r="EN227" s="93">
        <f t="shared" ref="EN227:EN228" si="3089">EN35+EO227/(1+EN$139)</f>
        <v>0</v>
      </c>
      <c r="EO227" s="93">
        <f t="shared" ref="EO227:EO228" si="3090">EO35+EP227/(1+EO$139)</f>
        <v>0</v>
      </c>
      <c r="EP227" s="93">
        <f t="shared" ref="EP227:EP228" si="3091">EP35+EQ227/(1+EP$139)</f>
        <v>0</v>
      </c>
      <c r="EQ227" s="93">
        <f t="shared" ref="EQ227:EQ228" si="3092">EQ35+ER227/(1+EQ$139)</f>
        <v>0</v>
      </c>
      <c r="ER227" s="93">
        <f t="shared" ref="ER227:ER228" si="3093">ER35+ES227/(1+ER$139)</f>
        <v>0</v>
      </c>
      <c r="ES227" s="93">
        <f t="shared" ref="ES227:ES228" si="3094">ES35+ET227/(1+ES$139)</f>
        <v>0</v>
      </c>
      <c r="ET227" s="93">
        <f t="shared" ref="ET227:ET228" si="3095">ET35+EU227/(1+ET$139)</f>
        <v>0</v>
      </c>
      <c r="EU227" s="93">
        <f t="shared" ref="EU227:EU228" si="3096">EU35+EV227/(1+EU$139)</f>
        <v>0</v>
      </c>
      <c r="EV227" s="93">
        <f t="shared" ref="EV227:EV228" si="3097">EV35+EW227/(1+EV$139)</f>
        <v>0</v>
      </c>
      <c r="EW227" s="93">
        <f t="shared" ref="EW227:EW228" si="3098">EW35+EX227/(1+EW$139)</f>
        <v>0</v>
      </c>
      <c r="EX227" s="93">
        <f t="shared" ref="EX227:EX228" si="3099">EX35+EY227/(1+EX$139)</f>
        <v>0</v>
      </c>
      <c r="EY227" s="93">
        <f t="shared" ref="EY227:EY228" si="3100">EY35+EZ227/(1+EY$139)</f>
        <v>0</v>
      </c>
      <c r="EZ227" s="93">
        <f t="shared" ref="EZ227:EZ228" si="3101">EZ35+FA227/(1+EZ$139)</f>
        <v>0</v>
      </c>
      <c r="FA227" s="93">
        <f t="shared" ref="FA227:FA228" si="3102">FA35+FB227/(1+FA$139)</f>
        <v>0</v>
      </c>
      <c r="FB227" s="93">
        <f t="shared" ref="FB227:FB228" si="3103">FB35+FC227/(1+FB$139)</f>
        <v>0</v>
      </c>
      <c r="FC227" s="93">
        <f t="shared" ref="FC227:FC228" si="3104">FC35+FD227/(1+FC$139)</f>
        <v>0</v>
      </c>
      <c r="FD227" s="93">
        <f t="shared" ref="FD227:FD228" si="3105">FD35+FE227/(1+FD$139)</f>
        <v>0</v>
      </c>
      <c r="FE227" s="93">
        <f t="shared" ref="FE227:FE228" si="3106">FE35+FF227/(1+FE$139)</f>
        <v>0</v>
      </c>
      <c r="FF227" s="93">
        <f t="shared" ref="FF227:FF228" si="3107">FF35+FG227/(1+FF$139)</f>
        <v>0</v>
      </c>
      <c r="FG227" s="93">
        <f t="shared" ref="FG227:FG228" si="3108">FG35+FH227/(1+FG$139)</f>
        <v>0</v>
      </c>
      <c r="FH227" s="93">
        <f t="shared" ref="FH227:FH228" si="3109">FH35+FI227/(1+FH$139)</f>
        <v>0</v>
      </c>
      <c r="FI227" s="93">
        <f t="shared" ref="FI227:FI228" si="3110">FI35+FJ227/(1+FI$139)</f>
        <v>0</v>
      </c>
      <c r="FJ227" s="93">
        <f t="shared" ref="FJ227:FJ228" si="3111">FJ35+FK227/(1+FJ$139)</f>
        <v>0</v>
      </c>
      <c r="FK227" s="93">
        <f t="shared" ref="FK227:FK228" si="3112">FK35+FL227/(1+FK$139)</f>
        <v>0</v>
      </c>
      <c r="FL227" s="93">
        <f t="shared" ref="FL227:FL228" si="3113">FL35+FM227/(1+FL$139)</f>
        <v>0</v>
      </c>
      <c r="FM227" s="93">
        <f t="shared" ref="FM227:FM228" si="3114">FM35+FN227/(1+FM$139)</f>
        <v>0</v>
      </c>
      <c r="FN227" s="93">
        <f t="shared" ref="FN227:FN228" si="3115">FN35+FO227/(1+FN$139)</f>
        <v>0</v>
      </c>
      <c r="FO227" s="93">
        <f t="shared" ref="FO227:FO228" si="3116">FO35+FP227/(1+FO$139)</f>
        <v>0</v>
      </c>
      <c r="FP227" s="93">
        <f t="shared" ref="FP227:FP228" si="3117">FP35+FQ227/(1+FP$139)</f>
        <v>0</v>
      </c>
      <c r="FQ227" s="93">
        <f t="shared" ref="FQ227:FQ228" si="3118">FQ35+FR227/(1+FQ$139)</f>
        <v>0</v>
      </c>
      <c r="FR227" s="93">
        <f t="shared" ref="FR227:FR228" si="3119">FR35+FS227/(1+FR$139)</f>
        <v>0</v>
      </c>
      <c r="FS227" s="93">
        <f t="shared" ref="FS227:FS228" si="3120">FS35+FT227/(1+FS$139)</f>
        <v>0</v>
      </c>
      <c r="FT227" s="93">
        <f t="shared" ref="FT227:FT228" si="3121">FT35+FU227/(1+FT$139)</f>
        <v>0</v>
      </c>
      <c r="FU227" s="93">
        <f t="shared" ref="FU227:FU228" si="3122">FU35+FV227/(1+FU$139)</f>
        <v>0</v>
      </c>
      <c r="FV227" s="93">
        <f t="shared" ref="FV227:FV228" si="3123">FV35+FW227/(1+FV$139)</f>
        <v>0</v>
      </c>
      <c r="FW227" s="93">
        <f t="shared" ref="FW227:FW228" si="3124">FW35+FX227/(1+FW$139)</f>
        <v>0</v>
      </c>
      <c r="FX227" s="93">
        <f t="shared" ref="FX227:FX228" si="3125">FX35+FY227/(1+FX$139)</f>
        <v>0</v>
      </c>
      <c r="FY227" s="93">
        <f t="shared" ref="FY227:FY228" si="3126">FY35+FZ227/(1+FY$139)</f>
        <v>0</v>
      </c>
      <c r="FZ227" s="59"/>
    </row>
    <row r="228" spans="1:182" x14ac:dyDescent="0.2">
      <c r="A228" s="92" t="s">
        <v>180</v>
      </c>
      <c r="B228" s="93">
        <f>B36+C228/(1+B$139)</f>
        <v>-17000</v>
      </c>
      <c r="C228" s="93">
        <f t="shared" ref="C228" si="3127">C36+D228/(1+C$139)</f>
        <v>0</v>
      </c>
      <c r="D228" s="93">
        <f t="shared" si="2949"/>
        <v>0</v>
      </c>
      <c r="E228" s="93">
        <f t="shared" si="2950"/>
        <v>0</v>
      </c>
      <c r="F228" s="93">
        <f t="shared" si="2951"/>
        <v>0</v>
      </c>
      <c r="G228" s="93">
        <f t="shared" si="2952"/>
        <v>0</v>
      </c>
      <c r="H228" s="93">
        <f t="shared" si="2953"/>
        <v>0</v>
      </c>
      <c r="I228" s="93">
        <f t="shared" si="2954"/>
        <v>0</v>
      </c>
      <c r="J228" s="93">
        <f t="shared" si="2955"/>
        <v>0</v>
      </c>
      <c r="K228" s="93">
        <f t="shared" si="2956"/>
        <v>0</v>
      </c>
      <c r="L228" s="93">
        <f t="shared" si="2957"/>
        <v>0</v>
      </c>
      <c r="M228" s="93">
        <f t="shared" si="2958"/>
        <v>0</v>
      </c>
      <c r="N228" s="93">
        <f t="shared" si="2959"/>
        <v>0</v>
      </c>
      <c r="O228" s="93">
        <f t="shared" si="2960"/>
        <v>0</v>
      </c>
      <c r="P228" s="93">
        <f t="shared" si="2961"/>
        <v>0</v>
      </c>
      <c r="Q228" s="93">
        <f t="shared" si="2962"/>
        <v>0</v>
      </c>
      <c r="R228" s="93">
        <f t="shared" si="2963"/>
        <v>0</v>
      </c>
      <c r="S228" s="93">
        <f t="shared" si="2964"/>
        <v>0</v>
      </c>
      <c r="T228" s="93">
        <f t="shared" si="2965"/>
        <v>0</v>
      </c>
      <c r="U228" s="93">
        <f t="shared" si="2966"/>
        <v>0</v>
      </c>
      <c r="V228" s="93">
        <f t="shared" si="2967"/>
        <v>0</v>
      </c>
      <c r="W228" s="93">
        <f t="shared" si="2968"/>
        <v>0</v>
      </c>
      <c r="X228" s="93">
        <f t="shared" si="2969"/>
        <v>0</v>
      </c>
      <c r="Y228" s="93">
        <f t="shared" si="2970"/>
        <v>0</v>
      </c>
      <c r="Z228" s="93">
        <f t="shared" si="2971"/>
        <v>0</v>
      </c>
      <c r="AA228" s="93">
        <f t="shared" si="2972"/>
        <v>0</v>
      </c>
      <c r="AB228" s="93">
        <f t="shared" si="2973"/>
        <v>0</v>
      </c>
      <c r="AC228" s="93">
        <f t="shared" si="2974"/>
        <v>0</v>
      </c>
      <c r="AD228" s="93">
        <f t="shared" si="2975"/>
        <v>0</v>
      </c>
      <c r="AE228" s="93">
        <f t="shared" si="2976"/>
        <v>0</v>
      </c>
      <c r="AF228" s="93">
        <f t="shared" si="2977"/>
        <v>0</v>
      </c>
      <c r="AG228" s="93">
        <f t="shared" si="2978"/>
        <v>0</v>
      </c>
      <c r="AH228" s="93">
        <f t="shared" si="2979"/>
        <v>0</v>
      </c>
      <c r="AI228" s="93">
        <f t="shared" si="2980"/>
        <v>0</v>
      </c>
      <c r="AJ228" s="93">
        <f t="shared" si="2981"/>
        <v>0</v>
      </c>
      <c r="AK228" s="93">
        <f t="shared" si="2982"/>
        <v>0</v>
      </c>
      <c r="AL228" s="93">
        <f t="shared" si="2983"/>
        <v>0</v>
      </c>
      <c r="AM228" s="93">
        <f t="shared" si="2984"/>
        <v>0</v>
      </c>
      <c r="AN228" s="93">
        <f t="shared" si="2985"/>
        <v>0</v>
      </c>
      <c r="AO228" s="93">
        <f t="shared" si="2986"/>
        <v>0</v>
      </c>
      <c r="AP228" s="93">
        <f t="shared" si="2987"/>
        <v>0</v>
      </c>
      <c r="AQ228" s="93">
        <f t="shared" si="2988"/>
        <v>0</v>
      </c>
      <c r="AR228" s="93">
        <f t="shared" si="2989"/>
        <v>0</v>
      </c>
      <c r="AS228" s="93">
        <f t="shared" si="2990"/>
        <v>0</v>
      </c>
      <c r="AT228" s="93">
        <f t="shared" si="2991"/>
        <v>0</v>
      </c>
      <c r="AU228" s="93">
        <f t="shared" si="2992"/>
        <v>0</v>
      </c>
      <c r="AV228" s="93">
        <f t="shared" si="2993"/>
        <v>0</v>
      </c>
      <c r="AW228" s="93">
        <f t="shared" si="2994"/>
        <v>0</v>
      </c>
      <c r="AX228" s="93">
        <f t="shared" si="2995"/>
        <v>0</v>
      </c>
      <c r="AY228" s="93">
        <f t="shared" si="2996"/>
        <v>0</v>
      </c>
      <c r="AZ228" s="93">
        <f t="shared" si="2997"/>
        <v>0</v>
      </c>
      <c r="BA228" s="93">
        <f t="shared" si="2998"/>
        <v>0</v>
      </c>
      <c r="BB228" s="93">
        <f t="shared" si="2999"/>
        <v>0</v>
      </c>
      <c r="BC228" s="93">
        <f t="shared" si="3000"/>
        <v>0</v>
      </c>
      <c r="BD228" s="93">
        <f t="shared" si="3001"/>
        <v>0</v>
      </c>
      <c r="BE228" s="93">
        <f t="shared" si="3002"/>
        <v>0</v>
      </c>
      <c r="BF228" s="93">
        <f t="shared" si="3003"/>
        <v>0</v>
      </c>
      <c r="BG228" s="93">
        <f t="shared" si="3004"/>
        <v>0</v>
      </c>
      <c r="BH228" s="93">
        <f t="shared" si="3005"/>
        <v>0</v>
      </c>
      <c r="BI228" s="93">
        <f t="shared" si="3006"/>
        <v>0</v>
      </c>
      <c r="BJ228" s="93">
        <f t="shared" si="3007"/>
        <v>0</v>
      </c>
      <c r="BK228" s="93">
        <f t="shared" si="3008"/>
        <v>0</v>
      </c>
      <c r="BL228" s="93">
        <f t="shared" si="3009"/>
        <v>0</v>
      </c>
      <c r="BM228" s="93">
        <f t="shared" si="3010"/>
        <v>0</v>
      </c>
      <c r="BN228" s="93">
        <f t="shared" si="3011"/>
        <v>0</v>
      </c>
      <c r="BO228" s="93">
        <f t="shared" si="3012"/>
        <v>0</v>
      </c>
      <c r="BP228" s="93">
        <f t="shared" si="3013"/>
        <v>0</v>
      </c>
      <c r="BQ228" s="93">
        <f t="shared" si="3014"/>
        <v>0</v>
      </c>
      <c r="BR228" s="93">
        <f t="shared" si="3015"/>
        <v>0</v>
      </c>
      <c r="BS228" s="93">
        <f t="shared" si="3016"/>
        <v>0</v>
      </c>
      <c r="BT228" s="93">
        <f t="shared" si="3017"/>
        <v>0</v>
      </c>
      <c r="BU228" s="93">
        <f t="shared" si="3018"/>
        <v>0</v>
      </c>
      <c r="BV228" s="93">
        <f t="shared" si="3019"/>
        <v>0</v>
      </c>
      <c r="BW228" s="93">
        <f t="shared" si="3020"/>
        <v>0</v>
      </c>
      <c r="BX228" s="93">
        <f t="shared" si="3021"/>
        <v>0</v>
      </c>
      <c r="BY228" s="93">
        <f t="shared" si="3022"/>
        <v>0</v>
      </c>
      <c r="BZ228" s="93">
        <f t="shared" si="3023"/>
        <v>0</v>
      </c>
      <c r="CA228" s="93">
        <f t="shared" si="3024"/>
        <v>0</v>
      </c>
      <c r="CB228" s="93">
        <f t="shared" si="3025"/>
        <v>0</v>
      </c>
      <c r="CC228" s="93">
        <f t="shared" si="3026"/>
        <v>0</v>
      </c>
      <c r="CD228" s="93">
        <f t="shared" si="3027"/>
        <v>0</v>
      </c>
      <c r="CE228" s="93">
        <f t="shared" si="3028"/>
        <v>0</v>
      </c>
      <c r="CF228" s="93">
        <f t="shared" si="3029"/>
        <v>0</v>
      </c>
      <c r="CG228" s="93">
        <f t="shared" si="3030"/>
        <v>0</v>
      </c>
      <c r="CH228" s="93">
        <f t="shared" si="3031"/>
        <v>0</v>
      </c>
      <c r="CI228" s="93">
        <f t="shared" si="3032"/>
        <v>0</v>
      </c>
      <c r="CJ228" s="93">
        <f t="shared" si="3033"/>
        <v>0</v>
      </c>
      <c r="CK228" s="93">
        <f t="shared" si="3034"/>
        <v>0</v>
      </c>
      <c r="CL228" s="93">
        <f t="shared" si="3035"/>
        <v>0</v>
      </c>
      <c r="CM228" s="93">
        <f t="shared" si="3036"/>
        <v>0</v>
      </c>
      <c r="CN228" s="93">
        <f t="shared" si="3037"/>
        <v>0</v>
      </c>
      <c r="CO228" s="93">
        <f t="shared" si="3038"/>
        <v>0</v>
      </c>
      <c r="CP228" s="93">
        <f t="shared" si="3039"/>
        <v>0</v>
      </c>
      <c r="CQ228" s="93">
        <f t="shared" si="3040"/>
        <v>0</v>
      </c>
      <c r="CR228" s="93">
        <f t="shared" si="3041"/>
        <v>0</v>
      </c>
      <c r="CS228" s="93">
        <f t="shared" si="3042"/>
        <v>0</v>
      </c>
      <c r="CT228" s="93">
        <f t="shared" si="3043"/>
        <v>0</v>
      </c>
      <c r="CU228" s="93">
        <f t="shared" si="3044"/>
        <v>0</v>
      </c>
      <c r="CV228" s="93">
        <f t="shared" si="3045"/>
        <v>0</v>
      </c>
      <c r="CW228" s="93">
        <f t="shared" si="3046"/>
        <v>0</v>
      </c>
      <c r="CX228" s="93">
        <f t="shared" si="3047"/>
        <v>0</v>
      </c>
      <c r="CY228" s="93">
        <f t="shared" si="3048"/>
        <v>0</v>
      </c>
      <c r="CZ228" s="93">
        <f t="shared" si="3049"/>
        <v>0</v>
      </c>
      <c r="DA228" s="93">
        <f t="shared" si="3050"/>
        <v>0</v>
      </c>
      <c r="DB228" s="93">
        <f t="shared" si="3051"/>
        <v>0</v>
      </c>
      <c r="DC228" s="93">
        <f t="shared" si="3052"/>
        <v>0</v>
      </c>
      <c r="DD228" s="93">
        <f t="shared" si="3053"/>
        <v>0</v>
      </c>
      <c r="DE228" s="93">
        <f t="shared" si="3054"/>
        <v>0</v>
      </c>
      <c r="DF228" s="93">
        <f t="shared" si="3055"/>
        <v>0</v>
      </c>
      <c r="DG228" s="93">
        <f t="shared" si="3056"/>
        <v>0</v>
      </c>
      <c r="DH228" s="93">
        <f t="shared" si="3057"/>
        <v>0</v>
      </c>
      <c r="DI228" s="93">
        <f t="shared" si="3058"/>
        <v>0</v>
      </c>
      <c r="DJ228" s="93">
        <f t="shared" si="3059"/>
        <v>0</v>
      </c>
      <c r="DK228" s="93">
        <f t="shared" si="3060"/>
        <v>0</v>
      </c>
      <c r="DL228" s="93">
        <f t="shared" si="3061"/>
        <v>0</v>
      </c>
      <c r="DM228" s="93">
        <f t="shared" si="3062"/>
        <v>0</v>
      </c>
      <c r="DN228" s="93">
        <f t="shared" si="3063"/>
        <v>0</v>
      </c>
      <c r="DO228" s="93">
        <f t="shared" si="3064"/>
        <v>0</v>
      </c>
      <c r="DP228" s="93">
        <f t="shared" si="3065"/>
        <v>0</v>
      </c>
      <c r="DQ228" s="93">
        <f t="shared" si="3066"/>
        <v>0</v>
      </c>
      <c r="DR228" s="93">
        <f t="shared" si="3067"/>
        <v>0</v>
      </c>
      <c r="DS228" s="93">
        <f t="shared" si="3068"/>
        <v>0</v>
      </c>
      <c r="DT228" s="93">
        <f t="shared" si="3069"/>
        <v>0</v>
      </c>
      <c r="DU228" s="93">
        <f t="shared" si="3070"/>
        <v>0</v>
      </c>
      <c r="DV228" s="93">
        <f t="shared" si="3071"/>
        <v>0</v>
      </c>
      <c r="DW228" s="93">
        <f t="shared" si="3072"/>
        <v>0</v>
      </c>
      <c r="DX228" s="93">
        <f t="shared" si="3073"/>
        <v>0</v>
      </c>
      <c r="DY228" s="93">
        <f t="shared" si="3074"/>
        <v>0</v>
      </c>
      <c r="DZ228" s="93">
        <f t="shared" si="3075"/>
        <v>0</v>
      </c>
      <c r="EA228" s="93">
        <f t="shared" si="3076"/>
        <v>0</v>
      </c>
      <c r="EB228" s="93">
        <f t="shared" si="3077"/>
        <v>0</v>
      </c>
      <c r="EC228" s="93">
        <f t="shared" si="3078"/>
        <v>0</v>
      </c>
      <c r="ED228" s="93">
        <f t="shared" si="3079"/>
        <v>0</v>
      </c>
      <c r="EE228" s="93">
        <f t="shared" si="3080"/>
        <v>0</v>
      </c>
      <c r="EF228" s="93">
        <f t="shared" si="3081"/>
        <v>0</v>
      </c>
      <c r="EG228" s="93">
        <f t="shared" si="3082"/>
        <v>0</v>
      </c>
      <c r="EH228" s="93">
        <f t="shared" si="3083"/>
        <v>0</v>
      </c>
      <c r="EI228" s="93">
        <f t="shared" si="3084"/>
        <v>0</v>
      </c>
      <c r="EJ228" s="93">
        <f t="shared" si="3085"/>
        <v>0</v>
      </c>
      <c r="EK228" s="93">
        <f t="shared" si="3086"/>
        <v>0</v>
      </c>
      <c r="EL228" s="93">
        <f t="shared" si="3087"/>
        <v>0</v>
      </c>
      <c r="EM228" s="93">
        <f t="shared" si="3088"/>
        <v>0</v>
      </c>
      <c r="EN228" s="93">
        <f t="shared" si="3089"/>
        <v>0</v>
      </c>
      <c r="EO228" s="93">
        <f t="shared" si="3090"/>
        <v>0</v>
      </c>
      <c r="EP228" s="93">
        <f t="shared" si="3091"/>
        <v>0</v>
      </c>
      <c r="EQ228" s="93">
        <f t="shared" si="3092"/>
        <v>0</v>
      </c>
      <c r="ER228" s="93">
        <f t="shared" si="3093"/>
        <v>0</v>
      </c>
      <c r="ES228" s="93">
        <f t="shared" si="3094"/>
        <v>0</v>
      </c>
      <c r="ET228" s="93">
        <f t="shared" si="3095"/>
        <v>0</v>
      </c>
      <c r="EU228" s="93">
        <f t="shared" si="3096"/>
        <v>0</v>
      </c>
      <c r="EV228" s="93">
        <f t="shared" si="3097"/>
        <v>0</v>
      </c>
      <c r="EW228" s="93">
        <f t="shared" si="3098"/>
        <v>0</v>
      </c>
      <c r="EX228" s="93">
        <f t="shared" si="3099"/>
        <v>0</v>
      </c>
      <c r="EY228" s="93">
        <f t="shared" si="3100"/>
        <v>0</v>
      </c>
      <c r="EZ228" s="93">
        <f t="shared" si="3101"/>
        <v>0</v>
      </c>
      <c r="FA228" s="93">
        <f t="shared" si="3102"/>
        <v>0</v>
      </c>
      <c r="FB228" s="93">
        <f t="shared" si="3103"/>
        <v>0</v>
      </c>
      <c r="FC228" s="93">
        <f t="shared" si="3104"/>
        <v>0</v>
      </c>
      <c r="FD228" s="93">
        <f t="shared" si="3105"/>
        <v>0</v>
      </c>
      <c r="FE228" s="93">
        <f t="shared" si="3106"/>
        <v>0</v>
      </c>
      <c r="FF228" s="93">
        <f t="shared" si="3107"/>
        <v>0</v>
      </c>
      <c r="FG228" s="93">
        <f t="shared" si="3108"/>
        <v>0</v>
      </c>
      <c r="FH228" s="93">
        <f t="shared" si="3109"/>
        <v>0</v>
      </c>
      <c r="FI228" s="93">
        <f t="shared" si="3110"/>
        <v>0</v>
      </c>
      <c r="FJ228" s="93">
        <f t="shared" si="3111"/>
        <v>0</v>
      </c>
      <c r="FK228" s="93">
        <f t="shared" si="3112"/>
        <v>0</v>
      </c>
      <c r="FL228" s="93">
        <f t="shared" si="3113"/>
        <v>0</v>
      </c>
      <c r="FM228" s="93">
        <f t="shared" si="3114"/>
        <v>0</v>
      </c>
      <c r="FN228" s="93">
        <f t="shared" si="3115"/>
        <v>0</v>
      </c>
      <c r="FO228" s="93">
        <f t="shared" si="3116"/>
        <v>0</v>
      </c>
      <c r="FP228" s="93">
        <f t="shared" si="3117"/>
        <v>0</v>
      </c>
      <c r="FQ228" s="93">
        <f t="shared" si="3118"/>
        <v>0</v>
      </c>
      <c r="FR228" s="93">
        <f t="shared" si="3119"/>
        <v>0</v>
      </c>
      <c r="FS228" s="93">
        <f t="shared" si="3120"/>
        <v>0</v>
      </c>
      <c r="FT228" s="93">
        <f t="shared" si="3121"/>
        <v>0</v>
      </c>
      <c r="FU228" s="93">
        <f t="shared" si="3122"/>
        <v>0</v>
      </c>
      <c r="FV228" s="93">
        <f t="shared" si="3123"/>
        <v>0</v>
      </c>
      <c r="FW228" s="93">
        <f t="shared" si="3124"/>
        <v>0</v>
      </c>
      <c r="FX228" s="93">
        <f t="shared" si="3125"/>
        <v>0</v>
      </c>
      <c r="FY228" s="93">
        <f t="shared" si="3126"/>
        <v>0</v>
      </c>
      <c r="FZ228" s="59"/>
    </row>
    <row r="229" spans="1:182" x14ac:dyDescent="0.2">
      <c r="A229" s="66" t="s">
        <v>181</v>
      </c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  <c r="AF229" s="67"/>
      <c r="AG229" s="67"/>
      <c r="AH229" s="67"/>
      <c r="AI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  <c r="BI229" s="67"/>
      <c r="BJ229" s="67"/>
      <c r="BK229" s="67"/>
      <c r="BL229" s="67"/>
      <c r="BM229" s="67"/>
      <c r="BN229" s="67"/>
      <c r="BO229" s="67"/>
      <c r="BP229" s="67"/>
      <c r="BQ229" s="67"/>
      <c r="BR229" s="67"/>
      <c r="BS229" s="67"/>
      <c r="BT229" s="67"/>
      <c r="BU229" s="67"/>
      <c r="BV229" s="67"/>
      <c r="BW229" s="67"/>
      <c r="BX229" s="67"/>
      <c r="BY229" s="67"/>
      <c r="BZ229" s="67"/>
      <c r="CA229" s="67"/>
      <c r="CB229" s="67"/>
      <c r="CC229" s="67"/>
      <c r="CD229" s="67"/>
      <c r="CE229" s="67"/>
      <c r="CF229" s="67"/>
      <c r="CG229" s="67"/>
      <c r="CH229" s="67"/>
      <c r="CI229" s="67"/>
      <c r="CJ229" s="67"/>
      <c r="CK229" s="67"/>
      <c r="CL229" s="67"/>
      <c r="CM229" s="67"/>
      <c r="CN229" s="67"/>
      <c r="CO229" s="67"/>
      <c r="CP229" s="67"/>
      <c r="CQ229" s="67"/>
      <c r="CR229" s="67"/>
      <c r="CS229" s="67"/>
      <c r="CT229" s="67"/>
      <c r="CU229" s="67"/>
      <c r="CV229" s="67"/>
      <c r="CW229" s="67"/>
      <c r="CX229" s="67"/>
      <c r="CY229" s="67"/>
      <c r="CZ229" s="67"/>
      <c r="DA229" s="67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/>
      <c r="DQ229" s="67"/>
      <c r="DR229" s="67"/>
      <c r="DS229" s="67"/>
      <c r="DT229" s="67"/>
      <c r="DU229" s="67"/>
      <c r="DV229" s="67"/>
      <c r="DW229" s="67"/>
      <c r="DX229" s="67"/>
      <c r="DY229" s="67"/>
      <c r="DZ229" s="67"/>
      <c r="EA229" s="67"/>
      <c r="EB229" s="67"/>
      <c r="EC229" s="67"/>
      <c r="ED229" s="67"/>
      <c r="EE229" s="67"/>
      <c r="EF229" s="67"/>
      <c r="EG229" s="67"/>
      <c r="EH229" s="67"/>
      <c r="EI229" s="67"/>
      <c r="EJ229" s="67"/>
      <c r="EK229" s="67"/>
      <c r="EL229" s="67"/>
      <c r="EM229" s="67"/>
      <c r="EN229" s="67"/>
      <c r="EO229" s="67"/>
      <c r="EP229" s="67"/>
      <c r="EQ229" s="67"/>
      <c r="ER229" s="67"/>
      <c r="ES229" s="67"/>
      <c r="ET229" s="67"/>
      <c r="EU229" s="67"/>
      <c r="EV229" s="67"/>
      <c r="EW229" s="67"/>
      <c r="EX229" s="67"/>
      <c r="EY229" s="67"/>
      <c r="EZ229" s="67"/>
      <c r="FA229" s="67"/>
      <c r="FB229" s="67"/>
      <c r="FC229" s="67"/>
      <c r="FD229" s="67"/>
      <c r="FE229" s="67"/>
      <c r="FF229" s="67"/>
      <c r="FG229" s="67"/>
      <c r="FH229" s="67"/>
      <c r="FI229" s="67"/>
      <c r="FJ229" s="67"/>
      <c r="FK229" s="67"/>
      <c r="FL229" s="67"/>
      <c r="FM229" s="67"/>
      <c r="FN229" s="67"/>
      <c r="FO229" s="67"/>
      <c r="FP229" s="67"/>
      <c r="FQ229" s="67"/>
      <c r="FR229" s="67"/>
      <c r="FS229" s="67"/>
      <c r="FT229" s="67"/>
      <c r="FU229" s="67"/>
      <c r="FV229" s="67"/>
      <c r="FW229" s="67"/>
      <c r="FX229" s="67"/>
      <c r="FY229" s="67"/>
      <c r="FZ229" s="59"/>
    </row>
    <row r="230" spans="1:182" x14ac:dyDescent="0.2">
      <c r="A230" s="66" t="s">
        <v>182</v>
      </c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  <c r="AF230" s="67"/>
      <c r="AG230" s="67"/>
      <c r="AH230" s="67"/>
      <c r="AI230" s="67"/>
      <c r="AJ230" s="67"/>
      <c r="AK230" s="67"/>
      <c r="AL230" s="67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  <c r="BI230" s="67"/>
      <c r="BJ230" s="67"/>
      <c r="BK230" s="67"/>
      <c r="BL230" s="67"/>
      <c r="BM230" s="67"/>
      <c r="BN230" s="67"/>
      <c r="BO230" s="67"/>
      <c r="BP230" s="67"/>
      <c r="BQ230" s="67"/>
      <c r="BR230" s="67"/>
      <c r="BS230" s="67"/>
      <c r="BT230" s="67"/>
      <c r="BU230" s="67"/>
      <c r="BV230" s="67"/>
      <c r="BW230" s="67"/>
      <c r="BX230" s="67"/>
      <c r="BY230" s="67"/>
      <c r="BZ230" s="67"/>
      <c r="CA230" s="67"/>
      <c r="CB230" s="67"/>
      <c r="CC230" s="67"/>
      <c r="CD230" s="67"/>
      <c r="CE230" s="67"/>
      <c r="CF230" s="67"/>
      <c r="CG230" s="67"/>
      <c r="CH230" s="67"/>
      <c r="CI230" s="67"/>
      <c r="CJ230" s="67"/>
      <c r="CK230" s="67"/>
      <c r="CL230" s="67"/>
      <c r="CM230" s="67"/>
      <c r="CN230" s="67"/>
      <c r="CO230" s="67"/>
      <c r="CP230" s="67"/>
      <c r="CQ230" s="67"/>
      <c r="CR230" s="67"/>
      <c r="CS230" s="67"/>
      <c r="CT230" s="67"/>
      <c r="CU230" s="67"/>
      <c r="CV230" s="67"/>
      <c r="CW230" s="67"/>
      <c r="CX230" s="67"/>
      <c r="CY230" s="67"/>
      <c r="CZ230" s="67"/>
      <c r="DA230" s="67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/>
      <c r="DQ230" s="67"/>
      <c r="DR230" s="67"/>
      <c r="DS230" s="67"/>
      <c r="DT230" s="67"/>
      <c r="DU230" s="67"/>
      <c r="DV230" s="67"/>
      <c r="DW230" s="67"/>
      <c r="DX230" s="67"/>
      <c r="DY230" s="67"/>
      <c r="DZ230" s="67"/>
      <c r="EA230" s="67"/>
      <c r="EB230" s="67"/>
      <c r="EC230" s="67"/>
      <c r="ED230" s="67"/>
      <c r="EE230" s="67"/>
      <c r="EF230" s="67"/>
      <c r="EG230" s="67"/>
      <c r="EH230" s="67"/>
      <c r="EI230" s="67"/>
      <c r="EJ230" s="67"/>
      <c r="EK230" s="67"/>
      <c r="EL230" s="67"/>
      <c r="EM230" s="67"/>
      <c r="EN230" s="67"/>
      <c r="EO230" s="67"/>
      <c r="EP230" s="67"/>
      <c r="EQ230" s="67"/>
      <c r="ER230" s="67"/>
      <c r="ES230" s="67"/>
      <c r="ET230" s="67"/>
      <c r="EU230" s="67"/>
      <c r="EV230" s="67"/>
      <c r="EW230" s="67"/>
      <c r="EX230" s="67"/>
      <c r="EY230" s="67"/>
      <c r="EZ230" s="67"/>
      <c r="FA230" s="67"/>
      <c r="FB230" s="67"/>
      <c r="FC230" s="67"/>
      <c r="FD230" s="67"/>
      <c r="FE230" s="67"/>
      <c r="FF230" s="67"/>
      <c r="FG230" s="67"/>
      <c r="FH230" s="67"/>
      <c r="FI230" s="67"/>
      <c r="FJ230" s="67"/>
      <c r="FK230" s="67"/>
      <c r="FL230" s="67"/>
      <c r="FM230" s="67"/>
      <c r="FN230" s="67"/>
      <c r="FO230" s="67"/>
      <c r="FP230" s="67"/>
      <c r="FQ230" s="67"/>
      <c r="FR230" s="67"/>
      <c r="FS230" s="67"/>
      <c r="FT230" s="67"/>
      <c r="FU230" s="67"/>
      <c r="FV230" s="67"/>
      <c r="FW230" s="67"/>
      <c r="FX230" s="67"/>
      <c r="FY230" s="67"/>
      <c r="FZ230" s="59"/>
    </row>
    <row r="231" spans="1:182" x14ac:dyDescent="0.2">
      <c r="A231" s="66" t="s">
        <v>183</v>
      </c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  <c r="AF231" s="67"/>
      <c r="AG231" s="67"/>
      <c r="AH231" s="67"/>
      <c r="AI231" s="67"/>
      <c r="AJ231" s="67"/>
      <c r="AK231" s="67"/>
      <c r="AL231" s="67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  <c r="BI231" s="67"/>
      <c r="BJ231" s="67"/>
      <c r="BK231" s="67"/>
      <c r="BL231" s="67"/>
      <c r="BM231" s="67"/>
      <c r="BN231" s="67"/>
      <c r="BO231" s="67"/>
      <c r="BP231" s="67"/>
      <c r="BQ231" s="67"/>
      <c r="BR231" s="67"/>
      <c r="BS231" s="67"/>
      <c r="BT231" s="67"/>
      <c r="BU231" s="67"/>
      <c r="BV231" s="67"/>
      <c r="BW231" s="67"/>
      <c r="BX231" s="67"/>
      <c r="BY231" s="67"/>
      <c r="BZ231" s="67"/>
      <c r="CA231" s="67"/>
      <c r="CB231" s="67"/>
      <c r="CC231" s="67"/>
      <c r="CD231" s="67"/>
      <c r="CE231" s="67"/>
      <c r="CF231" s="67"/>
      <c r="CG231" s="67"/>
      <c r="CH231" s="67"/>
      <c r="CI231" s="67"/>
      <c r="CJ231" s="67"/>
      <c r="CK231" s="67"/>
      <c r="CL231" s="67"/>
      <c r="CM231" s="67"/>
      <c r="CN231" s="67"/>
      <c r="CO231" s="67"/>
      <c r="CP231" s="67"/>
      <c r="CQ231" s="67"/>
      <c r="CR231" s="67"/>
      <c r="CS231" s="67"/>
      <c r="CT231" s="67"/>
      <c r="CU231" s="67"/>
      <c r="CV231" s="67"/>
      <c r="CW231" s="67"/>
      <c r="CX231" s="67"/>
      <c r="CY231" s="67"/>
      <c r="CZ231" s="67"/>
      <c r="DA231" s="67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/>
      <c r="DQ231" s="67"/>
      <c r="DR231" s="67"/>
      <c r="DS231" s="67"/>
      <c r="DT231" s="67"/>
      <c r="DU231" s="67"/>
      <c r="DV231" s="67"/>
      <c r="DW231" s="67"/>
      <c r="DX231" s="67"/>
      <c r="DY231" s="67"/>
      <c r="DZ231" s="67"/>
      <c r="EA231" s="67"/>
      <c r="EB231" s="67"/>
      <c r="EC231" s="67"/>
      <c r="ED231" s="67"/>
      <c r="EE231" s="67"/>
      <c r="EF231" s="67"/>
      <c r="EG231" s="67"/>
      <c r="EH231" s="67"/>
      <c r="EI231" s="67"/>
      <c r="EJ231" s="67"/>
      <c r="EK231" s="67"/>
      <c r="EL231" s="67"/>
      <c r="EM231" s="67"/>
      <c r="EN231" s="67"/>
      <c r="EO231" s="67"/>
      <c r="EP231" s="67"/>
      <c r="EQ231" s="67"/>
      <c r="ER231" s="67"/>
      <c r="ES231" s="67"/>
      <c r="ET231" s="67"/>
      <c r="EU231" s="67"/>
      <c r="EV231" s="67"/>
      <c r="EW231" s="67"/>
      <c r="EX231" s="67"/>
      <c r="EY231" s="67"/>
      <c r="EZ231" s="67"/>
      <c r="FA231" s="67"/>
      <c r="FB231" s="67"/>
      <c r="FC231" s="67"/>
      <c r="FD231" s="67"/>
      <c r="FE231" s="67"/>
      <c r="FF231" s="67"/>
      <c r="FG231" s="67"/>
      <c r="FH231" s="67"/>
      <c r="FI231" s="67"/>
      <c r="FJ231" s="67"/>
      <c r="FK231" s="67"/>
      <c r="FL231" s="67"/>
      <c r="FM231" s="67"/>
      <c r="FN231" s="67"/>
      <c r="FO231" s="67"/>
      <c r="FP231" s="67"/>
      <c r="FQ231" s="67"/>
      <c r="FR231" s="67"/>
      <c r="FS231" s="67"/>
      <c r="FT231" s="67"/>
      <c r="FU231" s="67"/>
      <c r="FV231" s="67"/>
      <c r="FW231" s="67"/>
      <c r="FX231" s="67"/>
      <c r="FY231" s="67"/>
      <c r="FZ231" s="59"/>
    </row>
    <row r="232" spans="1:182" x14ac:dyDescent="0.2">
      <c r="A232" s="92" t="s">
        <v>184</v>
      </c>
      <c r="B232" s="93">
        <f>(B40+C232)/(1+B$139)</f>
        <v>-3448.9335084901618</v>
      </c>
      <c r="C232" s="93">
        <f t="shared" ref="C232" si="3128">(C40+D232)/(1+C$139)</f>
        <v>-3329.2146052689322</v>
      </c>
      <c r="D232" s="93">
        <f t="shared" ref="D232" si="3129">(D40+E232)/(1+D$139)</f>
        <v>-3212.9450225294599</v>
      </c>
      <c r="E232" s="93">
        <f t="shared" ref="E232" si="3130">(E40+F232)/(1+E$139)</f>
        <v>-3100.1325844833877</v>
      </c>
      <c r="F232" s="93">
        <f t="shared" ref="F232" si="3131">(F40+G232)/(1+F$139)</f>
        <v>-2990.7851595351276</v>
      </c>
      <c r="G232" s="93">
        <f t="shared" ref="G232" si="3132">(G40+H232)/(1+G$139)</f>
        <v>-2884.9106604625795</v>
      </c>
      <c r="H232" s="93">
        <f t="shared" ref="H232" si="3133">(H40+I232)/(1+H$139)</f>
        <v>-2782.5170445986596</v>
      </c>
      <c r="I232" s="93">
        <f t="shared" ref="I232" si="3134">(I40+J232)/(1+I$139)</f>
        <v>-2683.6123140136297</v>
      </c>
      <c r="J232" s="93">
        <f t="shared" ref="J232" si="3135">(J40+K232)/(1+J$139)</f>
        <v>-2588.2045156982435</v>
      </c>
      <c r="K232" s="93">
        <f t="shared" ref="K232" si="3136">(K40+L232)/(1+K$139)</f>
        <v>-2496.3017417477013</v>
      </c>
      <c r="L232" s="93">
        <f t="shared" ref="L232" si="3137">(L40+M232)/(1+L$139)</f>
        <v>-2407.9121295464274</v>
      </c>
      <c r="M232" s="93">
        <f t="shared" ref="M232" si="3138">(M40+N232)/(1+M$139)</f>
        <v>-2323.0438619536653</v>
      </c>
      <c r="N232" s="93">
        <f t="shared" ref="N232" si="3139">(N40+O232)/(1+N$139)</f>
        <v>-2241.7051674898989</v>
      </c>
      <c r="O232" s="93">
        <f t="shared" ref="O232" si="3140">(O40+P232)/(1+O$139)</f>
        <v>-2075.4957540994492</v>
      </c>
      <c r="P232" s="93">
        <f t="shared" ref="P232" si="3141">(P40+Q232)/(1+P$139)</f>
        <v>-1916.5107365006156</v>
      </c>
      <c r="Q232" s="93">
        <f t="shared" ref="Q232" si="3142">(Q40+R232)/(1+Q$139)</f>
        <v>-1764.7540604609499</v>
      </c>
      <c r="R232" s="93">
        <f t="shared" ref="R232" si="3143">(R40+S232)/(1+R$139)</f>
        <v>-1620.2297618671114</v>
      </c>
      <c r="S232" s="93">
        <f t="shared" ref="S232" si="3144">(S40+T232)/(1+S$139)</f>
        <v>-1482.9419669469971</v>
      </c>
      <c r="T232" s="93">
        <f t="shared" ref="T232" si="3145">(T40+U232)/(1+T$139)</f>
        <v>-1352.8948924932208</v>
      </c>
      <c r="U232" s="93">
        <f t="shared" ref="U232" si="3146">(U40+V232)/(1+U$139)</f>
        <v>-1230.0928460879461</v>
      </c>
      <c r="V232" s="93">
        <f t="shared" ref="V232" si="3147">(V40+W232)/(1+V$139)</f>
        <v>-1114.5402263290798</v>
      </c>
      <c r="W232" s="93">
        <f t="shared" ref="W232" si="3148">(W40+X232)/(1+W$139)</f>
        <v>-1006.2415230578295</v>
      </c>
      <c r="X232" s="93">
        <f t="shared" ref="X232" si="3149">(X40+Y232)/(1+X$139)</f>
        <v>-905.20131758763193</v>
      </c>
      <c r="Y232" s="93">
        <f t="shared" ref="Y232" si="3150">(Y40+Z232)/(1+Y$139)</f>
        <v>-811.42428293445562</v>
      </c>
      <c r="Z232" s="93">
        <f t="shared" ref="Z232" si="3151">(Z40+AA232)/(1+Z$139)</f>
        <v>-724.91518404848466</v>
      </c>
      <c r="AA232" s="93">
        <f t="shared" ref="AA232" si="3152">(AA40+AB232)/(1+AA$139)</f>
        <v>-603.89758013008657</v>
      </c>
      <c r="AB232" s="93">
        <f t="shared" ref="AB232" si="3153">(AB40+AC232)/(1+AB$139)</f>
        <v>-493.93706704464842</v>
      </c>
      <c r="AC232" s="93">
        <f t="shared" ref="AC232" si="3154">(AC40+AD232)/(1+AC$139)</f>
        <v>-395.02199482386726</v>
      </c>
      <c r="AD232" s="93">
        <f t="shared" ref="AD232" si="3155">(AD40+AE232)/(1+AD$139)</f>
        <v>-307.14089748204418</v>
      </c>
      <c r="AE232" s="93">
        <f t="shared" ref="AE232" si="3156">(AE40+AF232)/(1+AE$139)</f>
        <v>-230.2824929999428</v>
      </c>
      <c r="AF232" s="93">
        <f t="shared" ref="AF232" si="3157">(AF40+AG232)/(1+AF$139)</f>
        <v>-164.43568331126269</v>
      </c>
      <c r="AG232" s="93">
        <f t="shared" ref="AG232" si="3158">(AG40+AH232)/(1+AG$139)</f>
        <v>-109.58955429173096</v>
      </c>
      <c r="AH232" s="93">
        <f t="shared" ref="AH232" si="3159">(AH40+AI232)/(1+AH$139)</f>
        <v>-65.733375750814901</v>
      </c>
      <c r="AI232" s="93">
        <f t="shared" ref="AI232" si="3160">(AI40+AJ232)/(1+AI$139)</f>
        <v>-32.856601426058631</v>
      </c>
      <c r="AJ232" s="93">
        <f t="shared" ref="AJ232" si="3161">(AJ40+AK232)/(1+AJ$139)</f>
        <v>-10.948868980047049</v>
      </c>
      <c r="AK232" s="93">
        <f t="shared" ref="AK232" si="3162">(AK40+AL232)/(1+AK$139)</f>
        <v>0</v>
      </c>
      <c r="AL232" s="93">
        <f t="shared" ref="AL232" si="3163">(AL40+AM232)/(1+AL$139)</f>
        <v>0</v>
      </c>
      <c r="AM232" s="93">
        <f t="shared" ref="AM232" si="3164">(AM40+AN232)/(1+AM$139)</f>
        <v>0</v>
      </c>
      <c r="AN232" s="93">
        <f t="shared" ref="AN232" si="3165">(AN40+AO232)/(1+AN$139)</f>
        <v>0</v>
      </c>
      <c r="AO232" s="93">
        <f t="shared" ref="AO232" si="3166">(AO40+AP232)/(1+AO$139)</f>
        <v>0</v>
      </c>
      <c r="AP232" s="93">
        <f t="shared" ref="AP232" si="3167">(AP40+AQ232)/(1+AP$139)</f>
        <v>0</v>
      </c>
      <c r="AQ232" s="93">
        <f t="shared" ref="AQ232" si="3168">(AQ40+AR232)/(1+AQ$139)</f>
        <v>0</v>
      </c>
      <c r="AR232" s="93">
        <f t="shared" ref="AR232" si="3169">(AR40+AS232)/(1+AR$139)</f>
        <v>0</v>
      </c>
      <c r="AS232" s="93">
        <f t="shared" ref="AS232" si="3170">(AS40+AT232)/(1+AS$139)</f>
        <v>0</v>
      </c>
      <c r="AT232" s="93">
        <f t="shared" ref="AT232" si="3171">(AT40+AU232)/(1+AT$139)</f>
        <v>0</v>
      </c>
      <c r="AU232" s="93">
        <f t="shared" ref="AU232" si="3172">(AU40+AV232)/(1+AU$139)</f>
        <v>0</v>
      </c>
      <c r="AV232" s="93">
        <f t="shared" ref="AV232" si="3173">(AV40+AW232)/(1+AV$139)</f>
        <v>0</v>
      </c>
      <c r="AW232" s="93">
        <f t="shared" ref="AW232" si="3174">(AW40+AX232)/(1+AW$139)</f>
        <v>0</v>
      </c>
      <c r="AX232" s="93">
        <f t="shared" ref="AX232" si="3175">(AX40+AY232)/(1+AX$139)</f>
        <v>0</v>
      </c>
      <c r="AY232" s="93">
        <f t="shared" ref="AY232" si="3176">(AY40+AZ232)/(1+AY$139)</f>
        <v>0</v>
      </c>
      <c r="AZ232" s="93">
        <f t="shared" ref="AZ232" si="3177">(AZ40+BA232)/(1+AZ$139)</f>
        <v>0</v>
      </c>
      <c r="BA232" s="93">
        <f t="shared" ref="BA232" si="3178">(BA40+BB232)/(1+BA$139)</f>
        <v>0</v>
      </c>
      <c r="BB232" s="93">
        <f t="shared" ref="BB232" si="3179">(BB40+BC232)/(1+BB$139)</f>
        <v>0</v>
      </c>
      <c r="BC232" s="93">
        <f t="shared" ref="BC232" si="3180">(BC40+BD232)/(1+BC$139)</f>
        <v>0</v>
      </c>
      <c r="BD232" s="93">
        <f t="shared" ref="BD232" si="3181">(BD40+BE232)/(1+BD$139)</f>
        <v>0</v>
      </c>
      <c r="BE232" s="93">
        <f t="shared" ref="BE232" si="3182">(BE40+BF232)/(1+BE$139)</f>
        <v>0</v>
      </c>
      <c r="BF232" s="93">
        <f t="shared" ref="BF232" si="3183">(BF40+BG232)/(1+BF$139)</f>
        <v>0</v>
      </c>
      <c r="BG232" s="93">
        <f t="shared" ref="BG232" si="3184">(BG40+BH232)/(1+BG$139)</f>
        <v>0</v>
      </c>
      <c r="BH232" s="93">
        <f t="shared" ref="BH232" si="3185">(BH40+BI232)/(1+BH$139)</f>
        <v>0</v>
      </c>
      <c r="BI232" s="93">
        <f t="shared" ref="BI232" si="3186">(BI40+BJ232)/(1+BI$139)</f>
        <v>0</v>
      </c>
      <c r="BJ232" s="93">
        <f t="shared" ref="BJ232" si="3187">(BJ40+BK232)/(1+BJ$139)</f>
        <v>0</v>
      </c>
      <c r="BK232" s="93">
        <f t="shared" ref="BK232" si="3188">(BK40+BL232)/(1+BK$139)</f>
        <v>0</v>
      </c>
      <c r="BL232" s="93">
        <f t="shared" ref="BL232" si="3189">(BL40+BM232)/(1+BL$139)</f>
        <v>0</v>
      </c>
      <c r="BM232" s="93">
        <f t="shared" ref="BM232" si="3190">(BM40+BN232)/(1+BM$139)</f>
        <v>0</v>
      </c>
      <c r="BN232" s="93">
        <f t="shared" ref="BN232" si="3191">(BN40+BO232)/(1+BN$139)</f>
        <v>0</v>
      </c>
      <c r="BO232" s="93">
        <f t="shared" ref="BO232" si="3192">(BO40+BP232)/(1+BO$139)</f>
        <v>0</v>
      </c>
      <c r="BP232" s="93">
        <f t="shared" ref="BP232" si="3193">(BP40+BQ232)/(1+BP$139)</f>
        <v>0</v>
      </c>
      <c r="BQ232" s="93">
        <f t="shared" ref="BQ232" si="3194">(BQ40+BR232)/(1+BQ$139)</f>
        <v>0</v>
      </c>
      <c r="BR232" s="93">
        <f t="shared" ref="BR232" si="3195">(BR40+BS232)/(1+BR$139)</f>
        <v>0</v>
      </c>
      <c r="BS232" s="93">
        <f t="shared" ref="BS232" si="3196">(BS40+BT232)/(1+BS$139)</f>
        <v>0</v>
      </c>
      <c r="BT232" s="93">
        <f t="shared" ref="BT232" si="3197">(BT40+BU232)/(1+BT$139)</f>
        <v>0</v>
      </c>
      <c r="BU232" s="93">
        <f t="shared" ref="BU232" si="3198">(BU40+BV232)/(1+BU$139)</f>
        <v>0</v>
      </c>
      <c r="BV232" s="93">
        <f t="shared" ref="BV232" si="3199">(BV40+BW232)/(1+BV$139)</f>
        <v>0</v>
      </c>
      <c r="BW232" s="93">
        <f t="shared" ref="BW232" si="3200">(BW40+BX232)/(1+BW$139)</f>
        <v>0</v>
      </c>
      <c r="BX232" s="93">
        <f t="shared" ref="BX232" si="3201">(BX40+BY232)/(1+BX$139)</f>
        <v>0</v>
      </c>
      <c r="BY232" s="93">
        <f t="shared" ref="BY232" si="3202">(BY40+BZ232)/(1+BY$139)</f>
        <v>0</v>
      </c>
      <c r="BZ232" s="93">
        <f t="shared" ref="BZ232" si="3203">(BZ40+CA232)/(1+BZ$139)</f>
        <v>0</v>
      </c>
      <c r="CA232" s="93">
        <f t="shared" ref="CA232" si="3204">(CA40+CB232)/(1+CA$139)</f>
        <v>0</v>
      </c>
      <c r="CB232" s="93">
        <f t="shared" ref="CB232" si="3205">(CB40+CC232)/(1+CB$139)</f>
        <v>0</v>
      </c>
      <c r="CC232" s="93">
        <f t="shared" ref="CC232" si="3206">(CC40+CD232)/(1+CC$139)</f>
        <v>0</v>
      </c>
      <c r="CD232" s="93">
        <f t="shared" ref="CD232" si="3207">(CD40+CE232)/(1+CD$139)</f>
        <v>0</v>
      </c>
      <c r="CE232" s="93">
        <f t="shared" ref="CE232" si="3208">(CE40+CF232)/(1+CE$139)</f>
        <v>0</v>
      </c>
      <c r="CF232" s="93">
        <f t="shared" ref="CF232" si="3209">(CF40+CG232)/(1+CF$139)</f>
        <v>0</v>
      </c>
      <c r="CG232" s="93">
        <f t="shared" ref="CG232" si="3210">(CG40+CH232)/(1+CG$139)</f>
        <v>0</v>
      </c>
      <c r="CH232" s="93">
        <f t="shared" ref="CH232" si="3211">(CH40+CI232)/(1+CH$139)</f>
        <v>0</v>
      </c>
      <c r="CI232" s="93">
        <f t="shared" ref="CI232" si="3212">(CI40+CJ232)/(1+CI$139)</f>
        <v>0</v>
      </c>
      <c r="CJ232" s="93">
        <f t="shared" ref="CJ232" si="3213">(CJ40+CK232)/(1+CJ$139)</f>
        <v>0</v>
      </c>
      <c r="CK232" s="93">
        <f t="shared" ref="CK232" si="3214">(CK40+CL232)/(1+CK$139)</f>
        <v>0</v>
      </c>
      <c r="CL232" s="93">
        <f t="shared" ref="CL232" si="3215">(CL40+CM232)/(1+CL$139)</f>
        <v>0</v>
      </c>
      <c r="CM232" s="93">
        <f t="shared" ref="CM232" si="3216">(CM40+CN232)/(1+CM$139)</f>
        <v>0</v>
      </c>
      <c r="CN232" s="93">
        <f t="shared" ref="CN232" si="3217">(CN40+CO232)/(1+CN$139)</f>
        <v>0</v>
      </c>
      <c r="CO232" s="93">
        <f t="shared" ref="CO232" si="3218">(CO40+CP232)/(1+CO$139)</f>
        <v>0</v>
      </c>
      <c r="CP232" s="93">
        <f t="shared" ref="CP232" si="3219">(CP40+CQ232)/(1+CP$139)</f>
        <v>0</v>
      </c>
      <c r="CQ232" s="93">
        <f t="shared" ref="CQ232" si="3220">(CQ40+CR232)/(1+CQ$139)</f>
        <v>0</v>
      </c>
      <c r="CR232" s="93">
        <f t="shared" ref="CR232" si="3221">(CR40+CS232)/(1+CR$139)</f>
        <v>0</v>
      </c>
      <c r="CS232" s="93">
        <f t="shared" ref="CS232" si="3222">(CS40+CT232)/(1+CS$139)</f>
        <v>0</v>
      </c>
      <c r="CT232" s="93">
        <f t="shared" ref="CT232" si="3223">(CT40+CU232)/(1+CT$139)</f>
        <v>0</v>
      </c>
      <c r="CU232" s="93">
        <f t="shared" ref="CU232" si="3224">(CU40+CV232)/(1+CU$139)</f>
        <v>0</v>
      </c>
      <c r="CV232" s="93">
        <f t="shared" ref="CV232" si="3225">(CV40+CW232)/(1+CV$139)</f>
        <v>0</v>
      </c>
      <c r="CW232" s="93">
        <f t="shared" ref="CW232" si="3226">(CW40+CX232)/(1+CW$139)</f>
        <v>0</v>
      </c>
      <c r="CX232" s="93">
        <f t="shared" ref="CX232" si="3227">(CX40+CY232)/(1+CX$139)</f>
        <v>0</v>
      </c>
      <c r="CY232" s="93">
        <f t="shared" ref="CY232" si="3228">(CY40+CZ232)/(1+CY$139)</f>
        <v>0</v>
      </c>
      <c r="CZ232" s="93">
        <f t="shared" ref="CZ232" si="3229">(CZ40+DA232)/(1+CZ$139)</f>
        <v>0</v>
      </c>
      <c r="DA232" s="93">
        <f t="shared" ref="DA232" si="3230">(DA40+DB232)/(1+DA$139)</f>
        <v>0</v>
      </c>
      <c r="DB232" s="93">
        <f t="shared" ref="DB232" si="3231">(DB40+DC232)/(1+DB$139)</f>
        <v>0</v>
      </c>
      <c r="DC232" s="93">
        <f t="shared" ref="DC232" si="3232">(DC40+DD232)/(1+DC$139)</f>
        <v>0</v>
      </c>
      <c r="DD232" s="93">
        <f t="shared" ref="DD232" si="3233">(DD40+DE232)/(1+DD$139)</f>
        <v>0</v>
      </c>
      <c r="DE232" s="93">
        <f t="shared" ref="DE232" si="3234">(DE40+DF232)/(1+DE$139)</f>
        <v>0</v>
      </c>
      <c r="DF232" s="93">
        <f t="shared" ref="DF232" si="3235">(DF40+DG232)/(1+DF$139)</f>
        <v>0</v>
      </c>
      <c r="DG232" s="93">
        <f t="shared" ref="DG232" si="3236">(DG40+DH232)/(1+DG$139)</f>
        <v>0</v>
      </c>
      <c r="DH232" s="93">
        <f t="shared" ref="DH232" si="3237">(DH40+DI232)/(1+DH$139)</f>
        <v>0</v>
      </c>
      <c r="DI232" s="93">
        <f t="shared" ref="DI232" si="3238">(DI40+DJ232)/(1+DI$139)</f>
        <v>0</v>
      </c>
      <c r="DJ232" s="93">
        <f t="shared" ref="DJ232" si="3239">(DJ40+DK232)/(1+DJ$139)</f>
        <v>0</v>
      </c>
      <c r="DK232" s="93">
        <f t="shared" ref="DK232" si="3240">(DK40+DL232)/(1+DK$139)</f>
        <v>0</v>
      </c>
      <c r="DL232" s="93">
        <f t="shared" ref="DL232" si="3241">(DL40+DM232)/(1+DL$139)</f>
        <v>0</v>
      </c>
      <c r="DM232" s="93">
        <f t="shared" ref="DM232" si="3242">(DM40+DN232)/(1+DM$139)</f>
        <v>0</v>
      </c>
      <c r="DN232" s="93">
        <f t="shared" ref="DN232" si="3243">(DN40+DO232)/(1+DN$139)</f>
        <v>0</v>
      </c>
      <c r="DO232" s="93">
        <f t="shared" ref="DO232" si="3244">(DO40+DP232)/(1+DO$139)</f>
        <v>0</v>
      </c>
      <c r="DP232" s="93">
        <f t="shared" ref="DP232" si="3245">(DP40+DQ232)/(1+DP$139)</f>
        <v>0</v>
      </c>
      <c r="DQ232" s="93">
        <f t="shared" ref="DQ232" si="3246">(DQ40+DR232)/(1+DQ$139)</f>
        <v>0</v>
      </c>
      <c r="DR232" s="93">
        <f t="shared" ref="DR232" si="3247">(DR40+DS232)/(1+DR$139)</f>
        <v>0</v>
      </c>
      <c r="DS232" s="93">
        <f t="shared" ref="DS232" si="3248">(DS40+DT232)/(1+DS$139)</f>
        <v>0</v>
      </c>
      <c r="DT232" s="93">
        <f t="shared" ref="DT232" si="3249">(DT40+DU232)/(1+DT$139)</f>
        <v>0</v>
      </c>
      <c r="DU232" s="93">
        <f t="shared" ref="DU232" si="3250">(DU40+DV232)/(1+DU$139)</f>
        <v>0</v>
      </c>
      <c r="DV232" s="93">
        <f t="shared" ref="DV232" si="3251">(DV40+DW232)/(1+DV$139)</f>
        <v>0</v>
      </c>
      <c r="DW232" s="93">
        <f t="shared" ref="DW232" si="3252">(DW40+DX232)/(1+DW$139)</f>
        <v>0</v>
      </c>
      <c r="DX232" s="93">
        <f t="shared" ref="DX232" si="3253">(DX40+DY232)/(1+DX$139)</f>
        <v>0</v>
      </c>
      <c r="DY232" s="93">
        <f t="shared" ref="DY232" si="3254">(DY40+DZ232)/(1+DY$139)</f>
        <v>0</v>
      </c>
      <c r="DZ232" s="93">
        <f t="shared" ref="DZ232" si="3255">(DZ40+EA232)/(1+DZ$139)</f>
        <v>0</v>
      </c>
      <c r="EA232" s="93">
        <f t="shared" ref="EA232" si="3256">(EA40+EB232)/(1+EA$139)</f>
        <v>0</v>
      </c>
      <c r="EB232" s="93">
        <f t="shared" ref="EB232" si="3257">(EB40+EC232)/(1+EB$139)</f>
        <v>0</v>
      </c>
      <c r="EC232" s="93">
        <f t="shared" ref="EC232" si="3258">(EC40+ED232)/(1+EC$139)</f>
        <v>0</v>
      </c>
      <c r="ED232" s="93">
        <f t="shared" ref="ED232" si="3259">(ED40+EE232)/(1+ED$139)</f>
        <v>0</v>
      </c>
      <c r="EE232" s="93">
        <f t="shared" ref="EE232" si="3260">(EE40+EF232)/(1+EE$139)</f>
        <v>0</v>
      </c>
      <c r="EF232" s="93">
        <f t="shared" ref="EF232" si="3261">(EF40+EG232)/(1+EF$139)</f>
        <v>0</v>
      </c>
      <c r="EG232" s="93">
        <f t="shared" ref="EG232" si="3262">(EG40+EH232)/(1+EG$139)</f>
        <v>0</v>
      </c>
      <c r="EH232" s="93">
        <f t="shared" ref="EH232" si="3263">(EH40+EI232)/(1+EH$139)</f>
        <v>0</v>
      </c>
      <c r="EI232" s="93">
        <f t="shared" ref="EI232" si="3264">(EI40+EJ232)/(1+EI$139)</f>
        <v>0</v>
      </c>
      <c r="EJ232" s="93">
        <f t="shared" ref="EJ232" si="3265">(EJ40+EK232)/(1+EJ$139)</f>
        <v>0</v>
      </c>
      <c r="EK232" s="93">
        <f t="shared" ref="EK232" si="3266">(EK40+EL232)/(1+EK$139)</f>
        <v>0</v>
      </c>
      <c r="EL232" s="93">
        <f t="shared" ref="EL232" si="3267">(EL40+EM232)/(1+EL$139)</f>
        <v>0</v>
      </c>
      <c r="EM232" s="93">
        <f t="shared" ref="EM232" si="3268">(EM40+EN232)/(1+EM$139)</f>
        <v>0</v>
      </c>
      <c r="EN232" s="93">
        <f t="shared" ref="EN232" si="3269">(EN40+EO232)/(1+EN$139)</f>
        <v>0</v>
      </c>
      <c r="EO232" s="93">
        <f t="shared" ref="EO232" si="3270">(EO40+EP232)/(1+EO$139)</f>
        <v>0</v>
      </c>
      <c r="EP232" s="93">
        <f t="shared" ref="EP232" si="3271">(EP40+EQ232)/(1+EP$139)</f>
        <v>0</v>
      </c>
      <c r="EQ232" s="93">
        <f t="shared" ref="EQ232" si="3272">(EQ40+ER232)/(1+EQ$139)</f>
        <v>0</v>
      </c>
      <c r="ER232" s="93">
        <f t="shared" ref="ER232" si="3273">(ER40+ES232)/(1+ER$139)</f>
        <v>0</v>
      </c>
      <c r="ES232" s="93">
        <f t="shared" ref="ES232" si="3274">(ES40+ET232)/(1+ES$139)</f>
        <v>0</v>
      </c>
      <c r="ET232" s="93">
        <f t="shared" ref="ET232" si="3275">(ET40+EU232)/(1+ET$139)</f>
        <v>0</v>
      </c>
      <c r="EU232" s="93">
        <f t="shared" ref="EU232" si="3276">(EU40+EV232)/(1+EU$139)</f>
        <v>0</v>
      </c>
      <c r="EV232" s="93">
        <f t="shared" ref="EV232" si="3277">(EV40+EW232)/(1+EV$139)</f>
        <v>0</v>
      </c>
      <c r="EW232" s="93">
        <f t="shared" ref="EW232" si="3278">(EW40+EX232)/(1+EW$139)</f>
        <v>0</v>
      </c>
      <c r="EX232" s="93">
        <f t="shared" ref="EX232" si="3279">(EX40+EY232)/(1+EX$139)</f>
        <v>0</v>
      </c>
      <c r="EY232" s="93">
        <f t="shared" ref="EY232" si="3280">(EY40+EZ232)/(1+EY$139)</f>
        <v>0</v>
      </c>
      <c r="EZ232" s="93">
        <f t="shared" ref="EZ232" si="3281">(EZ40+FA232)/(1+EZ$139)</f>
        <v>0</v>
      </c>
      <c r="FA232" s="93">
        <f t="shared" ref="FA232" si="3282">(FA40+FB232)/(1+FA$139)</f>
        <v>0</v>
      </c>
      <c r="FB232" s="93">
        <f t="shared" ref="FB232" si="3283">(FB40+FC232)/(1+FB$139)</f>
        <v>0</v>
      </c>
      <c r="FC232" s="93">
        <f t="shared" ref="FC232" si="3284">(FC40+FD232)/(1+FC$139)</f>
        <v>0</v>
      </c>
      <c r="FD232" s="93">
        <f t="shared" ref="FD232" si="3285">(FD40+FE232)/(1+FD$139)</f>
        <v>0</v>
      </c>
      <c r="FE232" s="93">
        <f t="shared" ref="FE232" si="3286">(FE40+FF232)/(1+FE$139)</f>
        <v>0</v>
      </c>
      <c r="FF232" s="93">
        <f t="shared" ref="FF232" si="3287">(FF40+FG232)/(1+FF$139)</f>
        <v>0</v>
      </c>
      <c r="FG232" s="93">
        <f t="shared" ref="FG232" si="3288">(FG40+FH232)/(1+FG$139)</f>
        <v>0</v>
      </c>
      <c r="FH232" s="93">
        <f t="shared" ref="FH232" si="3289">(FH40+FI232)/(1+FH$139)</f>
        <v>0</v>
      </c>
      <c r="FI232" s="93">
        <f t="shared" ref="FI232" si="3290">(FI40+FJ232)/(1+FI$139)</f>
        <v>0</v>
      </c>
      <c r="FJ232" s="93">
        <f t="shared" ref="FJ232" si="3291">(FJ40+FK232)/(1+FJ$139)</f>
        <v>0</v>
      </c>
      <c r="FK232" s="93">
        <f t="shared" ref="FK232" si="3292">(FK40+FL232)/(1+FK$139)</f>
        <v>0</v>
      </c>
      <c r="FL232" s="93">
        <f t="shared" ref="FL232" si="3293">(FL40+FM232)/(1+FL$139)</f>
        <v>0</v>
      </c>
      <c r="FM232" s="93">
        <f t="shared" ref="FM232" si="3294">(FM40+FN232)/(1+FM$139)</f>
        <v>0</v>
      </c>
      <c r="FN232" s="93">
        <f t="shared" ref="FN232" si="3295">(FN40+FO232)/(1+FN$139)</f>
        <v>0</v>
      </c>
      <c r="FO232" s="93">
        <f t="shared" ref="FO232" si="3296">(FO40+FP232)/(1+FO$139)</f>
        <v>0</v>
      </c>
      <c r="FP232" s="93">
        <f t="shared" ref="FP232" si="3297">(FP40+FQ232)/(1+FP$139)</f>
        <v>0</v>
      </c>
      <c r="FQ232" s="93">
        <f t="shared" ref="FQ232" si="3298">(FQ40+FR232)/(1+FQ$139)</f>
        <v>0</v>
      </c>
      <c r="FR232" s="93">
        <f t="shared" ref="FR232" si="3299">(FR40+FS232)/(1+FR$139)</f>
        <v>0</v>
      </c>
      <c r="FS232" s="93">
        <f t="shared" ref="FS232" si="3300">(FS40+FT232)/(1+FS$139)</f>
        <v>0</v>
      </c>
      <c r="FT232" s="93">
        <f t="shared" ref="FT232" si="3301">(FT40+FU232)/(1+FT$139)</f>
        <v>0</v>
      </c>
      <c r="FU232" s="93">
        <f t="shared" ref="FU232" si="3302">(FU40+FV232)/(1+FU$139)</f>
        <v>0</v>
      </c>
      <c r="FV232" s="93">
        <f t="shared" ref="FV232" si="3303">(FV40+FW232)/(1+FV$139)</f>
        <v>0</v>
      </c>
      <c r="FW232" s="93">
        <f t="shared" ref="FW232" si="3304">(FW40+FX232)/(1+FW$139)</f>
        <v>0</v>
      </c>
      <c r="FX232" s="93">
        <f t="shared" ref="FX232" si="3305">(FX40+FY232)/(1+FX$139)</f>
        <v>0</v>
      </c>
      <c r="FY232" s="93">
        <f t="shared" ref="FY232" si="3306">(FY40+FZ232)/(1+FY$139)</f>
        <v>0</v>
      </c>
      <c r="FZ232" s="59"/>
    </row>
    <row r="233" spans="1:182" x14ac:dyDescent="0.2"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  <c r="FB233" s="57"/>
      <c r="FC233" s="57"/>
      <c r="FD233" s="57"/>
      <c r="FE233" s="57"/>
      <c r="FF233" s="57"/>
      <c r="FG233" s="57"/>
      <c r="FH233" s="57"/>
      <c r="FI233" s="57"/>
      <c r="FJ233" s="57"/>
      <c r="FK233" s="57"/>
      <c r="FL233" s="57"/>
      <c r="FM233" s="57"/>
      <c r="FN233" s="57"/>
      <c r="FO233" s="57"/>
      <c r="FP233" s="57"/>
      <c r="FQ233" s="57"/>
      <c r="FR233" s="57"/>
      <c r="FS233" s="57"/>
      <c r="FT233" s="57"/>
      <c r="FU233" s="57"/>
      <c r="FV233" s="57"/>
      <c r="FW233" s="57"/>
      <c r="FX233" s="57"/>
      <c r="FY233" s="57"/>
    </row>
    <row r="234" spans="1:182" x14ac:dyDescent="0.2">
      <c r="A234" s="92" t="s">
        <v>263</v>
      </c>
      <c r="B234" s="93">
        <f>B44+C234/(1+B$139)</f>
        <v>368000</v>
      </c>
      <c r="C234" s="93">
        <f t="shared" ref="C234" si="3307">C44+D234/(1+C$139)</f>
        <v>0</v>
      </c>
      <c r="D234" s="93">
        <f t="shared" ref="D234:D235" si="3308">D44+E234/(1+D$139)</f>
        <v>0</v>
      </c>
      <c r="E234" s="93">
        <f t="shared" ref="E234:E235" si="3309">E44+F234/(1+E$139)</f>
        <v>0</v>
      </c>
      <c r="F234" s="93">
        <f t="shared" ref="F234:F235" si="3310">F44+G234/(1+F$139)</f>
        <v>0</v>
      </c>
      <c r="G234" s="93">
        <f t="shared" ref="G234:G235" si="3311">G44+H234/(1+G$139)</f>
        <v>0</v>
      </c>
      <c r="H234" s="93">
        <f t="shared" ref="H234:H235" si="3312">H44+I234/(1+H$139)</f>
        <v>0</v>
      </c>
      <c r="I234" s="93">
        <f t="shared" ref="I234:I235" si="3313">I44+J234/(1+I$139)</f>
        <v>0</v>
      </c>
      <c r="J234" s="93">
        <f t="shared" ref="J234:J235" si="3314">J44+K234/(1+J$139)</f>
        <v>0</v>
      </c>
      <c r="K234" s="93">
        <f t="shared" ref="K234:K235" si="3315">K44+L234/(1+K$139)</f>
        <v>0</v>
      </c>
      <c r="L234" s="93">
        <f t="shared" ref="L234:L235" si="3316">L44+M234/(1+L$139)</f>
        <v>0</v>
      </c>
      <c r="M234" s="93">
        <f t="shared" ref="M234:M235" si="3317">M44+N234/(1+M$139)</f>
        <v>0</v>
      </c>
      <c r="N234" s="93">
        <f t="shared" ref="N234:N235" si="3318">N44+O234/(1+N$139)</f>
        <v>0</v>
      </c>
      <c r="O234" s="93">
        <f t="shared" ref="O234:O235" si="3319">O44+P234/(1+O$139)</f>
        <v>0</v>
      </c>
      <c r="P234" s="93">
        <f t="shared" ref="P234:P235" si="3320">P44+Q234/(1+P$139)</f>
        <v>0</v>
      </c>
      <c r="Q234" s="93">
        <f t="shared" ref="Q234:Q235" si="3321">Q44+R234/(1+Q$139)</f>
        <v>0</v>
      </c>
      <c r="R234" s="93">
        <f t="shared" ref="R234:R235" si="3322">R44+S234/(1+R$139)</f>
        <v>0</v>
      </c>
      <c r="S234" s="93">
        <f t="shared" ref="S234:S235" si="3323">S44+T234/(1+S$139)</f>
        <v>0</v>
      </c>
      <c r="T234" s="93">
        <f t="shared" ref="T234:T235" si="3324">T44+U234/(1+T$139)</f>
        <v>0</v>
      </c>
      <c r="U234" s="93">
        <f t="shared" ref="U234:U235" si="3325">U44+V234/(1+U$139)</f>
        <v>0</v>
      </c>
      <c r="V234" s="93">
        <f t="shared" ref="V234:V235" si="3326">V44+W234/(1+V$139)</f>
        <v>0</v>
      </c>
      <c r="W234" s="93">
        <f t="shared" ref="W234:W235" si="3327">W44+X234/(1+W$139)</f>
        <v>0</v>
      </c>
      <c r="X234" s="93">
        <f t="shared" ref="X234:X235" si="3328">X44+Y234/(1+X$139)</f>
        <v>0</v>
      </c>
      <c r="Y234" s="93">
        <f t="shared" ref="Y234:Y235" si="3329">Y44+Z234/(1+Y$139)</f>
        <v>0</v>
      </c>
      <c r="Z234" s="93">
        <f t="shared" ref="Z234:Z235" si="3330">Z44+AA234/(1+Z$139)</f>
        <v>0</v>
      </c>
      <c r="AA234" s="93">
        <f t="shared" ref="AA234:AA235" si="3331">AA44+AB234/(1+AA$139)</f>
        <v>0</v>
      </c>
      <c r="AB234" s="93">
        <f t="shared" ref="AB234:AB235" si="3332">AB44+AC234/(1+AB$139)</f>
        <v>0</v>
      </c>
      <c r="AC234" s="93">
        <f t="shared" ref="AC234:AC235" si="3333">AC44+AD234/(1+AC$139)</f>
        <v>0</v>
      </c>
      <c r="AD234" s="93">
        <f t="shared" ref="AD234:AD235" si="3334">AD44+AE234/(1+AD$139)</f>
        <v>0</v>
      </c>
      <c r="AE234" s="93">
        <f t="shared" ref="AE234:AE235" si="3335">AE44+AF234/(1+AE$139)</f>
        <v>0</v>
      </c>
      <c r="AF234" s="93">
        <f t="shared" ref="AF234:AF235" si="3336">AF44+AG234/(1+AF$139)</f>
        <v>0</v>
      </c>
      <c r="AG234" s="93">
        <f t="shared" ref="AG234:AG235" si="3337">AG44+AH234/(1+AG$139)</f>
        <v>0</v>
      </c>
      <c r="AH234" s="93">
        <f t="shared" ref="AH234:AH235" si="3338">AH44+AI234/(1+AH$139)</f>
        <v>0</v>
      </c>
      <c r="AI234" s="93">
        <f t="shared" ref="AI234:AI235" si="3339">AI44+AJ234/(1+AI$139)</f>
        <v>0</v>
      </c>
      <c r="AJ234" s="93">
        <f t="shared" ref="AJ234:AJ235" si="3340">AJ44+AK234/(1+AJ$139)</f>
        <v>0</v>
      </c>
      <c r="AK234" s="93">
        <f t="shared" ref="AK234:AK235" si="3341">AK44+AL234/(1+AK$139)</f>
        <v>0</v>
      </c>
      <c r="AL234" s="93">
        <f t="shared" ref="AL234:AL235" si="3342">AL44+AM234/(1+AL$139)</f>
        <v>0</v>
      </c>
      <c r="AM234" s="93">
        <f t="shared" ref="AM234:AM235" si="3343">AM44+AN234/(1+AM$139)</f>
        <v>0</v>
      </c>
      <c r="AN234" s="93">
        <f t="shared" ref="AN234:AN235" si="3344">AN44+AO234/(1+AN$139)</f>
        <v>0</v>
      </c>
      <c r="AO234" s="93">
        <f t="shared" ref="AO234:AO235" si="3345">AO44+AP234/(1+AO$139)</f>
        <v>0</v>
      </c>
      <c r="AP234" s="93">
        <f t="shared" ref="AP234:AP235" si="3346">AP44+AQ234/(1+AP$139)</f>
        <v>0</v>
      </c>
      <c r="AQ234" s="93">
        <f t="shared" ref="AQ234:AQ235" si="3347">AQ44+AR234/(1+AQ$139)</f>
        <v>0</v>
      </c>
      <c r="AR234" s="93">
        <f t="shared" ref="AR234:AR235" si="3348">AR44+AS234/(1+AR$139)</f>
        <v>0</v>
      </c>
      <c r="AS234" s="93">
        <f t="shared" ref="AS234:AS235" si="3349">AS44+AT234/(1+AS$139)</f>
        <v>0</v>
      </c>
      <c r="AT234" s="93">
        <f t="shared" ref="AT234:AT235" si="3350">AT44+AU234/(1+AT$139)</f>
        <v>0</v>
      </c>
      <c r="AU234" s="93">
        <f t="shared" ref="AU234:AU235" si="3351">AU44+AV234/(1+AU$139)</f>
        <v>0</v>
      </c>
      <c r="AV234" s="93">
        <f t="shared" ref="AV234:AV235" si="3352">AV44+AW234/(1+AV$139)</f>
        <v>0</v>
      </c>
      <c r="AW234" s="93">
        <f t="shared" ref="AW234:AW235" si="3353">AW44+AX234/(1+AW$139)</f>
        <v>0</v>
      </c>
      <c r="AX234" s="93">
        <f t="shared" ref="AX234:AX235" si="3354">AX44+AY234/(1+AX$139)</f>
        <v>0</v>
      </c>
      <c r="AY234" s="93">
        <f t="shared" ref="AY234:AY235" si="3355">AY44+AZ234/(1+AY$139)</f>
        <v>0</v>
      </c>
      <c r="AZ234" s="93">
        <f t="shared" ref="AZ234:AZ235" si="3356">AZ44+BA234/(1+AZ$139)</f>
        <v>0</v>
      </c>
      <c r="BA234" s="93">
        <f t="shared" ref="BA234:BA235" si="3357">BA44+BB234/(1+BA$139)</f>
        <v>0</v>
      </c>
      <c r="BB234" s="93">
        <f t="shared" ref="BB234:BB235" si="3358">BB44+BC234/(1+BB$139)</f>
        <v>0</v>
      </c>
      <c r="BC234" s="93">
        <f t="shared" ref="BC234:BC235" si="3359">BC44+BD234/(1+BC$139)</f>
        <v>0</v>
      </c>
      <c r="BD234" s="93">
        <f t="shared" ref="BD234:BD235" si="3360">BD44+BE234/(1+BD$139)</f>
        <v>0</v>
      </c>
      <c r="BE234" s="93">
        <f t="shared" ref="BE234:BE235" si="3361">BE44+BF234/(1+BE$139)</f>
        <v>0</v>
      </c>
      <c r="BF234" s="93">
        <f t="shared" ref="BF234:BF235" si="3362">BF44+BG234/(1+BF$139)</f>
        <v>0</v>
      </c>
      <c r="BG234" s="93">
        <f t="shared" ref="BG234:BG235" si="3363">BG44+BH234/(1+BG$139)</f>
        <v>0</v>
      </c>
      <c r="BH234" s="93">
        <f t="shared" ref="BH234:BH235" si="3364">BH44+BI234/(1+BH$139)</f>
        <v>0</v>
      </c>
      <c r="BI234" s="93">
        <f t="shared" ref="BI234:BI235" si="3365">BI44+BJ234/(1+BI$139)</f>
        <v>0</v>
      </c>
      <c r="BJ234" s="93">
        <f t="shared" ref="BJ234:BJ235" si="3366">BJ44+BK234/(1+BJ$139)</f>
        <v>0</v>
      </c>
      <c r="BK234" s="93">
        <f t="shared" ref="BK234:BK235" si="3367">BK44+BL234/(1+BK$139)</f>
        <v>0</v>
      </c>
      <c r="BL234" s="93">
        <f t="shared" ref="BL234:BL235" si="3368">BL44+BM234/(1+BL$139)</f>
        <v>0</v>
      </c>
      <c r="BM234" s="93">
        <f t="shared" ref="BM234:BM235" si="3369">BM44+BN234/(1+BM$139)</f>
        <v>0</v>
      </c>
      <c r="BN234" s="93">
        <f t="shared" ref="BN234:BN235" si="3370">BN44+BO234/(1+BN$139)</f>
        <v>0</v>
      </c>
      <c r="BO234" s="93">
        <f t="shared" ref="BO234:BO235" si="3371">BO44+BP234/(1+BO$139)</f>
        <v>0</v>
      </c>
      <c r="BP234" s="93">
        <f t="shared" ref="BP234:BP235" si="3372">BP44+BQ234/(1+BP$139)</f>
        <v>0</v>
      </c>
      <c r="BQ234" s="93">
        <f t="shared" ref="BQ234:BQ235" si="3373">BQ44+BR234/(1+BQ$139)</f>
        <v>0</v>
      </c>
      <c r="BR234" s="93">
        <f t="shared" ref="BR234:BR235" si="3374">BR44+BS234/(1+BR$139)</f>
        <v>0</v>
      </c>
      <c r="BS234" s="93">
        <f t="shared" ref="BS234:BS235" si="3375">BS44+BT234/(1+BS$139)</f>
        <v>0</v>
      </c>
      <c r="BT234" s="93">
        <f t="shared" ref="BT234:BT235" si="3376">BT44+BU234/(1+BT$139)</f>
        <v>0</v>
      </c>
      <c r="BU234" s="93">
        <f t="shared" ref="BU234:BU235" si="3377">BU44+BV234/(1+BU$139)</f>
        <v>0</v>
      </c>
      <c r="BV234" s="93">
        <f t="shared" ref="BV234:BV235" si="3378">BV44+BW234/(1+BV$139)</f>
        <v>0</v>
      </c>
      <c r="BW234" s="93">
        <f t="shared" ref="BW234:BW235" si="3379">BW44+BX234/(1+BW$139)</f>
        <v>0</v>
      </c>
      <c r="BX234" s="93">
        <f t="shared" ref="BX234:BX235" si="3380">BX44+BY234/(1+BX$139)</f>
        <v>0</v>
      </c>
      <c r="BY234" s="93">
        <f t="shared" ref="BY234:BY235" si="3381">BY44+BZ234/(1+BY$139)</f>
        <v>0</v>
      </c>
      <c r="BZ234" s="93">
        <f t="shared" ref="BZ234:BZ235" si="3382">BZ44+CA234/(1+BZ$139)</f>
        <v>0</v>
      </c>
      <c r="CA234" s="93">
        <f t="shared" ref="CA234:CA235" si="3383">CA44+CB234/(1+CA$139)</f>
        <v>0</v>
      </c>
      <c r="CB234" s="93">
        <f t="shared" ref="CB234:CB235" si="3384">CB44+CC234/(1+CB$139)</f>
        <v>0</v>
      </c>
      <c r="CC234" s="93">
        <f t="shared" ref="CC234:CC235" si="3385">CC44+CD234/(1+CC$139)</f>
        <v>0</v>
      </c>
      <c r="CD234" s="93">
        <f t="shared" ref="CD234:CD235" si="3386">CD44+CE234/(1+CD$139)</f>
        <v>0</v>
      </c>
      <c r="CE234" s="93">
        <f t="shared" ref="CE234:CE235" si="3387">CE44+CF234/(1+CE$139)</f>
        <v>0</v>
      </c>
      <c r="CF234" s="93">
        <f t="shared" ref="CF234:CF235" si="3388">CF44+CG234/(1+CF$139)</f>
        <v>0</v>
      </c>
      <c r="CG234" s="93">
        <f t="shared" ref="CG234:CG235" si="3389">CG44+CH234/(1+CG$139)</f>
        <v>0</v>
      </c>
      <c r="CH234" s="93">
        <f t="shared" ref="CH234:CH235" si="3390">CH44+CI234/(1+CH$139)</f>
        <v>0</v>
      </c>
      <c r="CI234" s="93">
        <f t="shared" ref="CI234:CI235" si="3391">CI44+CJ234/(1+CI$139)</f>
        <v>0</v>
      </c>
      <c r="CJ234" s="93">
        <f t="shared" ref="CJ234:CJ235" si="3392">CJ44+CK234/(1+CJ$139)</f>
        <v>0</v>
      </c>
      <c r="CK234" s="93">
        <f t="shared" ref="CK234:CK235" si="3393">CK44+CL234/(1+CK$139)</f>
        <v>0</v>
      </c>
      <c r="CL234" s="93">
        <f t="shared" ref="CL234:CL235" si="3394">CL44+CM234/(1+CL$139)</f>
        <v>0</v>
      </c>
      <c r="CM234" s="93">
        <f t="shared" ref="CM234:CM235" si="3395">CM44+CN234/(1+CM$139)</f>
        <v>0</v>
      </c>
      <c r="CN234" s="93">
        <f t="shared" ref="CN234:CN235" si="3396">CN44+CO234/(1+CN$139)</f>
        <v>0</v>
      </c>
      <c r="CO234" s="93">
        <f t="shared" ref="CO234:CO235" si="3397">CO44+CP234/(1+CO$139)</f>
        <v>0</v>
      </c>
      <c r="CP234" s="93">
        <f t="shared" ref="CP234:CP235" si="3398">CP44+CQ234/(1+CP$139)</f>
        <v>0</v>
      </c>
      <c r="CQ234" s="93">
        <f t="shared" ref="CQ234:CQ235" si="3399">CQ44+CR234/(1+CQ$139)</f>
        <v>0</v>
      </c>
      <c r="CR234" s="93">
        <f t="shared" ref="CR234:CR235" si="3400">CR44+CS234/(1+CR$139)</f>
        <v>0</v>
      </c>
      <c r="CS234" s="93">
        <f t="shared" ref="CS234:CS235" si="3401">CS44+CT234/(1+CS$139)</f>
        <v>0</v>
      </c>
      <c r="CT234" s="93">
        <f t="shared" ref="CT234:CT235" si="3402">CT44+CU234/(1+CT$139)</f>
        <v>0</v>
      </c>
      <c r="CU234" s="93">
        <f t="shared" ref="CU234:CU235" si="3403">CU44+CV234/(1+CU$139)</f>
        <v>0</v>
      </c>
      <c r="CV234" s="93">
        <f t="shared" ref="CV234:CV235" si="3404">CV44+CW234/(1+CV$139)</f>
        <v>0</v>
      </c>
      <c r="CW234" s="93">
        <f t="shared" ref="CW234:CW235" si="3405">CW44+CX234/(1+CW$139)</f>
        <v>0</v>
      </c>
      <c r="CX234" s="93">
        <f t="shared" ref="CX234:CX235" si="3406">CX44+CY234/(1+CX$139)</f>
        <v>0</v>
      </c>
      <c r="CY234" s="93">
        <f t="shared" ref="CY234:CY235" si="3407">CY44+CZ234/(1+CY$139)</f>
        <v>0</v>
      </c>
      <c r="CZ234" s="93">
        <f t="shared" ref="CZ234:CZ235" si="3408">CZ44+DA234/(1+CZ$139)</f>
        <v>0</v>
      </c>
      <c r="DA234" s="93">
        <f t="shared" ref="DA234:DA235" si="3409">DA44+DB234/(1+DA$139)</f>
        <v>0</v>
      </c>
      <c r="DB234" s="93">
        <f t="shared" ref="DB234:DB235" si="3410">DB44+DC234/(1+DB$139)</f>
        <v>0</v>
      </c>
      <c r="DC234" s="93">
        <f t="shared" ref="DC234:DC235" si="3411">DC44+DD234/(1+DC$139)</f>
        <v>0</v>
      </c>
      <c r="DD234" s="93">
        <f t="shared" ref="DD234:DD235" si="3412">DD44+DE234/(1+DD$139)</f>
        <v>0</v>
      </c>
      <c r="DE234" s="93">
        <f t="shared" ref="DE234:DE235" si="3413">DE44+DF234/(1+DE$139)</f>
        <v>0</v>
      </c>
      <c r="DF234" s="93">
        <f t="shared" ref="DF234:DF235" si="3414">DF44+DG234/(1+DF$139)</f>
        <v>0</v>
      </c>
      <c r="DG234" s="93">
        <f t="shared" ref="DG234:DG235" si="3415">DG44+DH234/(1+DG$139)</f>
        <v>0</v>
      </c>
      <c r="DH234" s="93">
        <f t="shared" ref="DH234:DH235" si="3416">DH44+DI234/(1+DH$139)</f>
        <v>0</v>
      </c>
      <c r="DI234" s="93">
        <f t="shared" ref="DI234:DI235" si="3417">DI44+DJ234/(1+DI$139)</f>
        <v>0</v>
      </c>
      <c r="DJ234" s="93">
        <f t="shared" ref="DJ234:DJ235" si="3418">DJ44+DK234/(1+DJ$139)</f>
        <v>0</v>
      </c>
      <c r="DK234" s="93">
        <f t="shared" ref="DK234:DK235" si="3419">DK44+DL234/(1+DK$139)</f>
        <v>0</v>
      </c>
      <c r="DL234" s="93">
        <f t="shared" ref="DL234:DL235" si="3420">DL44+DM234/(1+DL$139)</f>
        <v>0</v>
      </c>
      <c r="DM234" s="93">
        <f t="shared" ref="DM234:DM235" si="3421">DM44+DN234/(1+DM$139)</f>
        <v>0</v>
      </c>
      <c r="DN234" s="93">
        <f t="shared" ref="DN234:DN235" si="3422">DN44+DO234/(1+DN$139)</f>
        <v>0</v>
      </c>
      <c r="DO234" s="93">
        <f t="shared" ref="DO234:DO235" si="3423">DO44+DP234/(1+DO$139)</f>
        <v>0</v>
      </c>
      <c r="DP234" s="93">
        <f t="shared" ref="DP234:DP235" si="3424">DP44+DQ234/(1+DP$139)</f>
        <v>0</v>
      </c>
      <c r="DQ234" s="93">
        <f t="shared" ref="DQ234:DQ235" si="3425">DQ44+DR234/(1+DQ$139)</f>
        <v>0</v>
      </c>
      <c r="DR234" s="93">
        <f t="shared" ref="DR234:DR235" si="3426">DR44+DS234/(1+DR$139)</f>
        <v>0</v>
      </c>
      <c r="DS234" s="93">
        <f t="shared" ref="DS234:DS235" si="3427">DS44+DT234/(1+DS$139)</f>
        <v>0</v>
      </c>
      <c r="DT234" s="93">
        <f t="shared" ref="DT234:DT235" si="3428">DT44+DU234/(1+DT$139)</f>
        <v>0</v>
      </c>
      <c r="DU234" s="93">
        <f t="shared" ref="DU234:DU235" si="3429">DU44+DV234/(1+DU$139)</f>
        <v>0</v>
      </c>
      <c r="DV234" s="93">
        <f t="shared" ref="DV234:DV235" si="3430">DV44+DW234/(1+DV$139)</f>
        <v>0</v>
      </c>
      <c r="DW234" s="93">
        <f t="shared" ref="DW234:DW235" si="3431">DW44+DX234/(1+DW$139)</f>
        <v>0</v>
      </c>
      <c r="DX234" s="93">
        <f t="shared" ref="DX234:DX235" si="3432">DX44+DY234/(1+DX$139)</f>
        <v>0</v>
      </c>
      <c r="DY234" s="93">
        <f t="shared" ref="DY234:DY235" si="3433">DY44+DZ234/(1+DY$139)</f>
        <v>0</v>
      </c>
      <c r="DZ234" s="93">
        <f t="shared" ref="DZ234:DZ235" si="3434">DZ44+EA234/(1+DZ$139)</f>
        <v>0</v>
      </c>
      <c r="EA234" s="93">
        <f t="shared" ref="EA234:EA235" si="3435">EA44+EB234/(1+EA$139)</f>
        <v>0</v>
      </c>
      <c r="EB234" s="93">
        <f t="shared" ref="EB234:EB235" si="3436">EB44+EC234/(1+EB$139)</f>
        <v>0</v>
      </c>
      <c r="EC234" s="93">
        <f t="shared" ref="EC234:EC235" si="3437">EC44+ED234/(1+EC$139)</f>
        <v>0</v>
      </c>
      <c r="ED234" s="93">
        <f t="shared" ref="ED234:ED235" si="3438">ED44+EE234/(1+ED$139)</f>
        <v>0</v>
      </c>
      <c r="EE234" s="93">
        <f t="shared" ref="EE234:EE235" si="3439">EE44+EF234/(1+EE$139)</f>
        <v>0</v>
      </c>
      <c r="EF234" s="93">
        <f t="shared" ref="EF234:EF235" si="3440">EF44+EG234/(1+EF$139)</f>
        <v>0</v>
      </c>
      <c r="EG234" s="93">
        <f t="shared" ref="EG234:EG235" si="3441">EG44+EH234/(1+EG$139)</f>
        <v>0</v>
      </c>
      <c r="EH234" s="93">
        <f t="shared" ref="EH234:EH235" si="3442">EH44+EI234/(1+EH$139)</f>
        <v>0</v>
      </c>
      <c r="EI234" s="93">
        <f t="shared" ref="EI234:EI235" si="3443">EI44+EJ234/(1+EI$139)</f>
        <v>0</v>
      </c>
      <c r="EJ234" s="93">
        <f t="shared" ref="EJ234:EJ235" si="3444">EJ44+EK234/(1+EJ$139)</f>
        <v>0</v>
      </c>
      <c r="EK234" s="93">
        <f t="shared" ref="EK234:EK235" si="3445">EK44+EL234/(1+EK$139)</f>
        <v>0</v>
      </c>
      <c r="EL234" s="93">
        <f t="shared" ref="EL234:EL235" si="3446">EL44+EM234/(1+EL$139)</f>
        <v>0</v>
      </c>
      <c r="EM234" s="93">
        <f t="shared" ref="EM234:EM235" si="3447">EM44+EN234/(1+EM$139)</f>
        <v>0</v>
      </c>
      <c r="EN234" s="93">
        <f t="shared" ref="EN234:EN235" si="3448">EN44+EO234/(1+EN$139)</f>
        <v>0</v>
      </c>
      <c r="EO234" s="93">
        <f t="shared" ref="EO234:EO235" si="3449">EO44+EP234/(1+EO$139)</f>
        <v>0</v>
      </c>
      <c r="EP234" s="93">
        <f t="shared" ref="EP234:EP235" si="3450">EP44+EQ234/(1+EP$139)</f>
        <v>0</v>
      </c>
      <c r="EQ234" s="93">
        <f t="shared" ref="EQ234:EQ235" si="3451">EQ44+ER234/(1+EQ$139)</f>
        <v>0</v>
      </c>
      <c r="ER234" s="93">
        <f t="shared" ref="ER234:ER235" si="3452">ER44+ES234/(1+ER$139)</f>
        <v>0</v>
      </c>
      <c r="ES234" s="93">
        <f t="shared" ref="ES234:ES235" si="3453">ES44+ET234/(1+ES$139)</f>
        <v>0</v>
      </c>
      <c r="ET234" s="93">
        <f t="shared" ref="ET234:ET235" si="3454">ET44+EU234/(1+ET$139)</f>
        <v>0</v>
      </c>
      <c r="EU234" s="93">
        <f t="shared" ref="EU234:EU235" si="3455">EU44+EV234/(1+EU$139)</f>
        <v>0</v>
      </c>
      <c r="EV234" s="93">
        <f t="shared" ref="EV234:EV235" si="3456">EV44+EW234/(1+EV$139)</f>
        <v>0</v>
      </c>
      <c r="EW234" s="93">
        <f t="shared" ref="EW234:EW235" si="3457">EW44+EX234/(1+EW$139)</f>
        <v>0</v>
      </c>
      <c r="EX234" s="93">
        <f t="shared" ref="EX234:EX235" si="3458">EX44+EY234/(1+EX$139)</f>
        <v>0</v>
      </c>
      <c r="EY234" s="93">
        <f t="shared" ref="EY234:EY235" si="3459">EY44+EZ234/(1+EY$139)</f>
        <v>0</v>
      </c>
      <c r="EZ234" s="93">
        <f t="shared" ref="EZ234:EZ235" si="3460">EZ44+FA234/(1+EZ$139)</f>
        <v>0</v>
      </c>
      <c r="FA234" s="93">
        <f t="shared" ref="FA234:FA235" si="3461">FA44+FB234/(1+FA$139)</f>
        <v>0</v>
      </c>
      <c r="FB234" s="93">
        <f t="shared" ref="FB234:FB235" si="3462">FB44+FC234/(1+FB$139)</f>
        <v>0</v>
      </c>
      <c r="FC234" s="93">
        <f t="shared" ref="FC234:FC235" si="3463">FC44+FD234/(1+FC$139)</f>
        <v>0</v>
      </c>
      <c r="FD234" s="93">
        <f t="shared" ref="FD234:FD235" si="3464">FD44+FE234/(1+FD$139)</f>
        <v>0</v>
      </c>
      <c r="FE234" s="93">
        <f t="shared" ref="FE234:FE235" si="3465">FE44+FF234/(1+FE$139)</f>
        <v>0</v>
      </c>
      <c r="FF234" s="93">
        <f t="shared" ref="FF234:FF235" si="3466">FF44+FG234/(1+FF$139)</f>
        <v>0</v>
      </c>
      <c r="FG234" s="93">
        <f t="shared" ref="FG234:FG235" si="3467">FG44+FH234/(1+FG$139)</f>
        <v>0</v>
      </c>
      <c r="FH234" s="93">
        <f t="shared" ref="FH234:FH235" si="3468">FH44+FI234/(1+FH$139)</f>
        <v>0</v>
      </c>
      <c r="FI234" s="93">
        <f t="shared" ref="FI234:FI235" si="3469">FI44+FJ234/(1+FI$139)</f>
        <v>0</v>
      </c>
      <c r="FJ234" s="93">
        <f t="shared" ref="FJ234:FJ235" si="3470">FJ44+FK234/(1+FJ$139)</f>
        <v>0</v>
      </c>
      <c r="FK234" s="93">
        <f t="shared" ref="FK234:FK235" si="3471">FK44+FL234/(1+FK$139)</f>
        <v>0</v>
      </c>
      <c r="FL234" s="93">
        <f t="shared" ref="FL234:FL235" si="3472">FL44+FM234/(1+FL$139)</f>
        <v>0</v>
      </c>
      <c r="FM234" s="93">
        <f t="shared" ref="FM234:FM235" si="3473">FM44+FN234/(1+FM$139)</f>
        <v>0</v>
      </c>
      <c r="FN234" s="93">
        <f t="shared" ref="FN234:FN235" si="3474">FN44+FO234/(1+FN$139)</f>
        <v>0</v>
      </c>
      <c r="FO234" s="93">
        <f t="shared" ref="FO234:FO235" si="3475">FO44+FP234/(1+FO$139)</f>
        <v>0</v>
      </c>
      <c r="FP234" s="93">
        <f t="shared" ref="FP234:FP235" si="3476">FP44+FQ234/(1+FP$139)</f>
        <v>0</v>
      </c>
      <c r="FQ234" s="93">
        <f t="shared" ref="FQ234:FQ235" si="3477">FQ44+FR234/(1+FQ$139)</f>
        <v>0</v>
      </c>
      <c r="FR234" s="93">
        <f t="shared" ref="FR234:FR235" si="3478">FR44+FS234/(1+FR$139)</f>
        <v>0</v>
      </c>
      <c r="FS234" s="93">
        <f t="shared" ref="FS234:FS235" si="3479">FS44+FT234/(1+FS$139)</f>
        <v>0</v>
      </c>
      <c r="FT234" s="93">
        <f t="shared" ref="FT234:FT235" si="3480">FT44+FU234/(1+FT$139)</f>
        <v>0</v>
      </c>
      <c r="FU234" s="93">
        <f t="shared" ref="FU234:FU235" si="3481">FU44+FV234/(1+FU$139)</f>
        <v>0</v>
      </c>
      <c r="FV234" s="93">
        <f t="shared" ref="FV234:FV235" si="3482">FV44+FW234/(1+FV$139)</f>
        <v>0</v>
      </c>
      <c r="FW234" s="93">
        <f t="shared" ref="FW234:FW235" si="3483">FW44+FX234/(1+FW$139)</f>
        <v>0</v>
      </c>
      <c r="FX234" s="93">
        <f t="shared" ref="FX234:FX235" si="3484">FX44+FY234/(1+FX$139)</f>
        <v>0</v>
      </c>
      <c r="FY234" s="93">
        <f t="shared" ref="FY234:FY235" si="3485">FY44+FZ234/(1+FY$139)</f>
        <v>0</v>
      </c>
      <c r="FZ234" s="59"/>
    </row>
    <row r="235" spans="1:182" x14ac:dyDescent="0.2">
      <c r="A235" s="92" t="s">
        <v>264</v>
      </c>
      <c r="B235" s="93">
        <f>B45+C235/(1+B$139)</f>
        <v>-92000</v>
      </c>
      <c r="C235" s="93">
        <f t="shared" ref="C235" si="3486">C45+D235/(1+C$139)</f>
        <v>0</v>
      </c>
      <c r="D235" s="93">
        <f t="shared" si="3308"/>
        <v>0</v>
      </c>
      <c r="E235" s="93">
        <f t="shared" si="3309"/>
        <v>0</v>
      </c>
      <c r="F235" s="93">
        <f t="shared" si="3310"/>
        <v>0</v>
      </c>
      <c r="G235" s="93">
        <f t="shared" si="3311"/>
        <v>0</v>
      </c>
      <c r="H235" s="93">
        <f t="shared" si="3312"/>
        <v>0</v>
      </c>
      <c r="I235" s="93">
        <f t="shared" si="3313"/>
        <v>0</v>
      </c>
      <c r="J235" s="93">
        <f t="shared" si="3314"/>
        <v>0</v>
      </c>
      <c r="K235" s="93">
        <f t="shared" si="3315"/>
        <v>0</v>
      </c>
      <c r="L235" s="93">
        <f t="shared" si="3316"/>
        <v>0</v>
      </c>
      <c r="M235" s="93">
        <f t="shared" si="3317"/>
        <v>0</v>
      </c>
      <c r="N235" s="93">
        <f t="shared" si="3318"/>
        <v>0</v>
      </c>
      <c r="O235" s="93">
        <f t="shared" si="3319"/>
        <v>0</v>
      </c>
      <c r="P235" s="93">
        <f t="shared" si="3320"/>
        <v>0</v>
      </c>
      <c r="Q235" s="93">
        <f t="shared" si="3321"/>
        <v>0</v>
      </c>
      <c r="R235" s="93">
        <f t="shared" si="3322"/>
        <v>0</v>
      </c>
      <c r="S235" s="93">
        <f t="shared" si="3323"/>
        <v>0</v>
      </c>
      <c r="T235" s="93">
        <f t="shared" si="3324"/>
        <v>0</v>
      </c>
      <c r="U235" s="93">
        <f t="shared" si="3325"/>
        <v>0</v>
      </c>
      <c r="V235" s="93">
        <f t="shared" si="3326"/>
        <v>0</v>
      </c>
      <c r="W235" s="93">
        <f t="shared" si="3327"/>
        <v>0</v>
      </c>
      <c r="X235" s="93">
        <f t="shared" si="3328"/>
        <v>0</v>
      </c>
      <c r="Y235" s="93">
        <f t="shared" si="3329"/>
        <v>0</v>
      </c>
      <c r="Z235" s="93">
        <f t="shared" si="3330"/>
        <v>0</v>
      </c>
      <c r="AA235" s="93">
        <f t="shared" si="3331"/>
        <v>0</v>
      </c>
      <c r="AB235" s="93">
        <f t="shared" si="3332"/>
        <v>0</v>
      </c>
      <c r="AC235" s="93">
        <f t="shared" si="3333"/>
        <v>0</v>
      </c>
      <c r="AD235" s="93">
        <f t="shared" si="3334"/>
        <v>0</v>
      </c>
      <c r="AE235" s="93">
        <f t="shared" si="3335"/>
        <v>0</v>
      </c>
      <c r="AF235" s="93">
        <f t="shared" si="3336"/>
        <v>0</v>
      </c>
      <c r="AG235" s="93">
        <f t="shared" si="3337"/>
        <v>0</v>
      </c>
      <c r="AH235" s="93">
        <f t="shared" si="3338"/>
        <v>0</v>
      </c>
      <c r="AI235" s="93">
        <f t="shared" si="3339"/>
        <v>0</v>
      </c>
      <c r="AJ235" s="93">
        <f t="shared" si="3340"/>
        <v>0</v>
      </c>
      <c r="AK235" s="93">
        <f t="shared" si="3341"/>
        <v>0</v>
      </c>
      <c r="AL235" s="93">
        <f t="shared" si="3342"/>
        <v>0</v>
      </c>
      <c r="AM235" s="93">
        <f t="shared" si="3343"/>
        <v>0</v>
      </c>
      <c r="AN235" s="93">
        <f t="shared" si="3344"/>
        <v>0</v>
      </c>
      <c r="AO235" s="93">
        <f t="shared" si="3345"/>
        <v>0</v>
      </c>
      <c r="AP235" s="93">
        <f t="shared" si="3346"/>
        <v>0</v>
      </c>
      <c r="AQ235" s="93">
        <f t="shared" si="3347"/>
        <v>0</v>
      </c>
      <c r="AR235" s="93">
        <f t="shared" si="3348"/>
        <v>0</v>
      </c>
      <c r="AS235" s="93">
        <f t="shared" si="3349"/>
        <v>0</v>
      </c>
      <c r="AT235" s="93">
        <f t="shared" si="3350"/>
        <v>0</v>
      </c>
      <c r="AU235" s="93">
        <f t="shared" si="3351"/>
        <v>0</v>
      </c>
      <c r="AV235" s="93">
        <f t="shared" si="3352"/>
        <v>0</v>
      </c>
      <c r="AW235" s="93">
        <f t="shared" si="3353"/>
        <v>0</v>
      </c>
      <c r="AX235" s="93">
        <f t="shared" si="3354"/>
        <v>0</v>
      </c>
      <c r="AY235" s="93">
        <f t="shared" si="3355"/>
        <v>0</v>
      </c>
      <c r="AZ235" s="93">
        <f t="shared" si="3356"/>
        <v>0</v>
      </c>
      <c r="BA235" s="93">
        <f t="shared" si="3357"/>
        <v>0</v>
      </c>
      <c r="BB235" s="93">
        <f t="shared" si="3358"/>
        <v>0</v>
      </c>
      <c r="BC235" s="93">
        <f t="shared" si="3359"/>
        <v>0</v>
      </c>
      <c r="BD235" s="93">
        <f t="shared" si="3360"/>
        <v>0</v>
      </c>
      <c r="BE235" s="93">
        <f t="shared" si="3361"/>
        <v>0</v>
      </c>
      <c r="BF235" s="93">
        <f t="shared" si="3362"/>
        <v>0</v>
      </c>
      <c r="BG235" s="93">
        <f t="shared" si="3363"/>
        <v>0</v>
      </c>
      <c r="BH235" s="93">
        <f t="shared" si="3364"/>
        <v>0</v>
      </c>
      <c r="BI235" s="93">
        <f t="shared" si="3365"/>
        <v>0</v>
      </c>
      <c r="BJ235" s="93">
        <f t="shared" si="3366"/>
        <v>0</v>
      </c>
      <c r="BK235" s="93">
        <f t="shared" si="3367"/>
        <v>0</v>
      </c>
      <c r="BL235" s="93">
        <f t="shared" si="3368"/>
        <v>0</v>
      </c>
      <c r="BM235" s="93">
        <f t="shared" si="3369"/>
        <v>0</v>
      </c>
      <c r="BN235" s="93">
        <f t="shared" si="3370"/>
        <v>0</v>
      </c>
      <c r="BO235" s="93">
        <f t="shared" si="3371"/>
        <v>0</v>
      </c>
      <c r="BP235" s="93">
        <f t="shared" si="3372"/>
        <v>0</v>
      </c>
      <c r="BQ235" s="93">
        <f t="shared" si="3373"/>
        <v>0</v>
      </c>
      <c r="BR235" s="93">
        <f t="shared" si="3374"/>
        <v>0</v>
      </c>
      <c r="BS235" s="93">
        <f t="shared" si="3375"/>
        <v>0</v>
      </c>
      <c r="BT235" s="93">
        <f t="shared" si="3376"/>
        <v>0</v>
      </c>
      <c r="BU235" s="93">
        <f t="shared" si="3377"/>
        <v>0</v>
      </c>
      <c r="BV235" s="93">
        <f t="shared" si="3378"/>
        <v>0</v>
      </c>
      <c r="BW235" s="93">
        <f t="shared" si="3379"/>
        <v>0</v>
      </c>
      <c r="BX235" s="93">
        <f t="shared" si="3380"/>
        <v>0</v>
      </c>
      <c r="BY235" s="93">
        <f t="shared" si="3381"/>
        <v>0</v>
      </c>
      <c r="BZ235" s="93">
        <f t="shared" si="3382"/>
        <v>0</v>
      </c>
      <c r="CA235" s="93">
        <f t="shared" si="3383"/>
        <v>0</v>
      </c>
      <c r="CB235" s="93">
        <f t="shared" si="3384"/>
        <v>0</v>
      </c>
      <c r="CC235" s="93">
        <f t="shared" si="3385"/>
        <v>0</v>
      </c>
      <c r="CD235" s="93">
        <f t="shared" si="3386"/>
        <v>0</v>
      </c>
      <c r="CE235" s="93">
        <f t="shared" si="3387"/>
        <v>0</v>
      </c>
      <c r="CF235" s="93">
        <f t="shared" si="3388"/>
        <v>0</v>
      </c>
      <c r="CG235" s="93">
        <f t="shared" si="3389"/>
        <v>0</v>
      </c>
      <c r="CH235" s="93">
        <f t="shared" si="3390"/>
        <v>0</v>
      </c>
      <c r="CI235" s="93">
        <f t="shared" si="3391"/>
        <v>0</v>
      </c>
      <c r="CJ235" s="93">
        <f t="shared" si="3392"/>
        <v>0</v>
      </c>
      <c r="CK235" s="93">
        <f t="shared" si="3393"/>
        <v>0</v>
      </c>
      <c r="CL235" s="93">
        <f t="shared" si="3394"/>
        <v>0</v>
      </c>
      <c r="CM235" s="93">
        <f t="shared" si="3395"/>
        <v>0</v>
      </c>
      <c r="CN235" s="93">
        <f t="shared" si="3396"/>
        <v>0</v>
      </c>
      <c r="CO235" s="93">
        <f t="shared" si="3397"/>
        <v>0</v>
      </c>
      <c r="CP235" s="93">
        <f t="shared" si="3398"/>
        <v>0</v>
      </c>
      <c r="CQ235" s="93">
        <f t="shared" si="3399"/>
        <v>0</v>
      </c>
      <c r="CR235" s="93">
        <f t="shared" si="3400"/>
        <v>0</v>
      </c>
      <c r="CS235" s="93">
        <f t="shared" si="3401"/>
        <v>0</v>
      </c>
      <c r="CT235" s="93">
        <f t="shared" si="3402"/>
        <v>0</v>
      </c>
      <c r="CU235" s="93">
        <f t="shared" si="3403"/>
        <v>0</v>
      </c>
      <c r="CV235" s="93">
        <f t="shared" si="3404"/>
        <v>0</v>
      </c>
      <c r="CW235" s="93">
        <f t="shared" si="3405"/>
        <v>0</v>
      </c>
      <c r="CX235" s="93">
        <f t="shared" si="3406"/>
        <v>0</v>
      </c>
      <c r="CY235" s="93">
        <f t="shared" si="3407"/>
        <v>0</v>
      </c>
      <c r="CZ235" s="93">
        <f t="shared" si="3408"/>
        <v>0</v>
      </c>
      <c r="DA235" s="93">
        <f t="shared" si="3409"/>
        <v>0</v>
      </c>
      <c r="DB235" s="93">
        <f t="shared" si="3410"/>
        <v>0</v>
      </c>
      <c r="DC235" s="93">
        <f t="shared" si="3411"/>
        <v>0</v>
      </c>
      <c r="DD235" s="93">
        <f t="shared" si="3412"/>
        <v>0</v>
      </c>
      <c r="DE235" s="93">
        <f t="shared" si="3413"/>
        <v>0</v>
      </c>
      <c r="DF235" s="93">
        <f t="shared" si="3414"/>
        <v>0</v>
      </c>
      <c r="DG235" s="93">
        <f t="shared" si="3415"/>
        <v>0</v>
      </c>
      <c r="DH235" s="93">
        <f t="shared" si="3416"/>
        <v>0</v>
      </c>
      <c r="DI235" s="93">
        <f t="shared" si="3417"/>
        <v>0</v>
      </c>
      <c r="DJ235" s="93">
        <f t="shared" si="3418"/>
        <v>0</v>
      </c>
      <c r="DK235" s="93">
        <f t="shared" si="3419"/>
        <v>0</v>
      </c>
      <c r="DL235" s="93">
        <f t="shared" si="3420"/>
        <v>0</v>
      </c>
      <c r="DM235" s="93">
        <f t="shared" si="3421"/>
        <v>0</v>
      </c>
      <c r="DN235" s="93">
        <f t="shared" si="3422"/>
        <v>0</v>
      </c>
      <c r="DO235" s="93">
        <f t="shared" si="3423"/>
        <v>0</v>
      </c>
      <c r="DP235" s="93">
        <f t="shared" si="3424"/>
        <v>0</v>
      </c>
      <c r="DQ235" s="93">
        <f t="shared" si="3425"/>
        <v>0</v>
      </c>
      <c r="DR235" s="93">
        <f t="shared" si="3426"/>
        <v>0</v>
      </c>
      <c r="DS235" s="93">
        <f t="shared" si="3427"/>
        <v>0</v>
      </c>
      <c r="DT235" s="93">
        <f t="shared" si="3428"/>
        <v>0</v>
      </c>
      <c r="DU235" s="93">
        <f t="shared" si="3429"/>
        <v>0</v>
      </c>
      <c r="DV235" s="93">
        <f t="shared" si="3430"/>
        <v>0</v>
      </c>
      <c r="DW235" s="93">
        <f t="shared" si="3431"/>
        <v>0</v>
      </c>
      <c r="DX235" s="93">
        <f t="shared" si="3432"/>
        <v>0</v>
      </c>
      <c r="DY235" s="93">
        <f t="shared" si="3433"/>
        <v>0</v>
      </c>
      <c r="DZ235" s="93">
        <f t="shared" si="3434"/>
        <v>0</v>
      </c>
      <c r="EA235" s="93">
        <f t="shared" si="3435"/>
        <v>0</v>
      </c>
      <c r="EB235" s="93">
        <f t="shared" si="3436"/>
        <v>0</v>
      </c>
      <c r="EC235" s="93">
        <f t="shared" si="3437"/>
        <v>0</v>
      </c>
      <c r="ED235" s="93">
        <f t="shared" si="3438"/>
        <v>0</v>
      </c>
      <c r="EE235" s="93">
        <f t="shared" si="3439"/>
        <v>0</v>
      </c>
      <c r="EF235" s="93">
        <f t="shared" si="3440"/>
        <v>0</v>
      </c>
      <c r="EG235" s="93">
        <f t="shared" si="3441"/>
        <v>0</v>
      </c>
      <c r="EH235" s="93">
        <f t="shared" si="3442"/>
        <v>0</v>
      </c>
      <c r="EI235" s="93">
        <f t="shared" si="3443"/>
        <v>0</v>
      </c>
      <c r="EJ235" s="93">
        <f t="shared" si="3444"/>
        <v>0</v>
      </c>
      <c r="EK235" s="93">
        <f t="shared" si="3445"/>
        <v>0</v>
      </c>
      <c r="EL235" s="93">
        <f t="shared" si="3446"/>
        <v>0</v>
      </c>
      <c r="EM235" s="93">
        <f t="shared" si="3447"/>
        <v>0</v>
      </c>
      <c r="EN235" s="93">
        <f t="shared" si="3448"/>
        <v>0</v>
      </c>
      <c r="EO235" s="93">
        <f t="shared" si="3449"/>
        <v>0</v>
      </c>
      <c r="EP235" s="93">
        <f t="shared" si="3450"/>
        <v>0</v>
      </c>
      <c r="EQ235" s="93">
        <f t="shared" si="3451"/>
        <v>0</v>
      </c>
      <c r="ER235" s="93">
        <f t="shared" si="3452"/>
        <v>0</v>
      </c>
      <c r="ES235" s="93">
        <f t="shared" si="3453"/>
        <v>0</v>
      </c>
      <c r="ET235" s="93">
        <f t="shared" si="3454"/>
        <v>0</v>
      </c>
      <c r="EU235" s="93">
        <f t="shared" si="3455"/>
        <v>0</v>
      </c>
      <c r="EV235" s="93">
        <f t="shared" si="3456"/>
        <v>0</v>
      </c>
      <c r="EW235" s="93">
        <f t="shared" si="3457"/>
        <v>0</v>
      </c>
      <c r="EX235" s="93">
        <f t="shared" si="3458"/>
        <v>0</v>
      </c>
      <c r="EY235" s="93">
        <f t="shared" si="3459"/>
        <v>0</v>
      </c>
      <c r="EZ235" s="93">
        <f t="shared" si="3460"/>
        <v>0</v>
      </c>
      <c r="FA235" s="93">
        <f t="shared" si="3461"/>
        <v>0</v>
      </c>
      <c r="FB235" s="93">
        <f t="shared" si="3462"/>
        <v>0</v>
      </c>
      <c r="FC235" s="93">
        <f t="shared" si="3463"/>
        <v>0</v>
      </c>
      <c r="FD235" s="93">
        <f t="shared" si="3464"/>
        <v>0</v>
      </c>
      <c r="FE235" s="93">
        <f t="shared" si="3465"/>
        <v>0</v>
      </c>
      <c r="FF235" s="93">
        <f t="shared" si="3466"/>
        <v>0</v>
      </c>
      <c r="FG235" s="93">
        <f t="shared" si="3467"/>
        <v>0</v>
      </c>
      <c r="FH235" s="93">
        <f t="shared" si="3468"/>
        <v>0</v>
      </c>
      <c r="FI235" s="93">
        <f t="shared" si="3469"/>
        <v>0</v>
      </c>
      <c r="FJ235" s="93">
        <f t="shared" si="3470"/>
        <v>0</v>
      </c>
      <c r="FK235" s="93">
        <f t="shared" si="3471"/>
        <v>0</v>
      </c>
      <c r="FL235" s="93">
        <f t="shared" si="3472"/>
        <v>0</v>
      </c>
      <c r="FM235" s="93">
        <f t="shared" si="3473"/>
        <v>0</v>
      </c>
      <c r="FN235" s="93">
        <f t="shared" si="3474"/>
        <v>0</v>
      </c>
      <c r="FO235" s="93">
        <f t="shared" si="3475"/>
        <v>0</v>
      </c>
      <c r="FP235" s="93">
        <f t="shared" si="3476"/>
        <v>0</v>
      </c>
      <c r="FQ235" s="93">
        <f t="shared" si="3477"/>
        <v>0</v>
      </c>
      <c r="FR235" s="93">
        <f t="shared" si="3478"/>
        <v>0</v>
      </c>
      <c r="FS235" s="93">
        <f t="shared" si="3479"/>
        <v>0</v>
      </c>
      <c r="FT235" s="93">
        <f t="shared" si="3480"/>
        <v>0</v>
      </c>
      <c r="FU235" s="93">
        <f t="shared" si="3481"/>
        <v>0</v>
      </c>
      <c r="FV235" s="93">
        <f t="shared" si="3482"/>
        <v>0</v>
      </c>
      <c r="FW235" s="93">
        <f t="shared" si="3483"/>
        <v>0</v>
      </c>
      <c r="FX235" s="93">
        <f t="shared" si="3484"/>
        <v>0</v>
      </c>
      <c r="FY235" s="93">
        <f t="shared" si="3485"/>
        <v>0</v>
      </c>
      <c r="FZ235" s="59"/>
    </row>
    <row r="236" spans="1:182" x14ac:dyDescent="0.2">
      <c r="A236" s="92" t="s">
        <v>400</v>
      </c>
      <c r="B236" s="93">
        <f>(B46+C236)/(1+B$139)</f>
        <v>-84230.402296285291</v>
      </c>
      <c r="C236" s="93">
        <f t="shared" ref="C236" si="3487">(C46+D236)/(1+C$139)</f>
        <v>-80137.841186041362</v>
      </c>
      <c r="D236" s="93">
        <f t="shared" ref="D236" si="3488">(D46+E236)/(1+D$139)</f>
        <v>-76122.327492196418</v>
      </c>
      <c r="E236" s="93">
        <f t="shared" ref="E236" si="3489">(E46+F236)/(1+E$139)</f>
        <v>-72185.569964042879</v>
      </c>
      <c r="F236" s="93">
        <f t="shared" ref="F236" si="3490">(F46+G236)/(1+F$139)</f>
        <v>-68329.306674082327</v>
      </c>
      <c r="G236" s="93">
        <f t="shared" ref="G236" si="3491">(G46+H236)/(1+G$139)</f>
        <v>-64555.30549251951</v>
      </c>
      <c r="H236" s="93">
        <f t="shared" ref="H236" si="3492">(H46+I236)/(1+H$139)</f>
        <v>-60865.364569376383</v>
      </c>
      <c r="I236" s="93">
        <f t="shared" ref="I236" si="3493">(I46+J236)/(1+I$139)</f>
        <v>-57261.312824255911</v>
      </c>
      <c r="J236" s="93">
        <f t="shared" ref="J236" si="3494">(J46+K236)/(1+J$139)</f>
        <v>-53745.010443918465</v>
      </c>
      <c r="K236" s="93">
        <f t="shared" ref="K236" si="3495">(K46+L236)/(1+K$139)</f>
        <v>-50318.349387807022</v>
      </c>
      <c r="L236" s="93">
        <f t="shared" ref="L236" si="3496">(L46+M236)/(1+L$139)</f>
        <v>-46983.253901621756</v>
      </c>
      <c r="M236" s="93">
        <f t="shared" ref="M236" si="3497">(M46+N236)/(1+M$139)</f>
        <v>-43741.681039044699</v>
      </c>
      <c r="N236" s="93">
        <f t="shared" ref="N236" si="3498">(N46+O236)/(1+N$139)</f>
        <v>-40595.621191847807</v>
      </c>
      <c r="O236" s="93">
        <f t="shared" ref="O236" si="3499">(O46+P236)/(1+O$139)</f>
        <v>-37547.098628378866</v>
      </c>
      <c r="P236" s="93">
        <f t="shared" ref="P236" si="3500">(P46+Q236)/(1+P$139)</f>
        <v>-34600.409617460653</v>
      </c>
      <c r="Q236" s="93">
        <f t="shared" ref="Q236" si="3501">(Q46+R236)/(1+Q$139)</f>
        <v>-31757.491348471955</v>
      </c>
      <c r="R236" s="93">
        <f t="shared" ref="R236" si="3502">(R46+S236)/(1+R$139)</f>
        <v>-29020.312419159516</v>
      </c>
      <c r="S236" s="93">
        <f t="shared" ref="S236" si="3503">(S46+T236)/(1+S$139)</f>
        <v>-26390.873319246897</v>
      </c>
      <c r="T236" s="93">
        <f t="shared" ref="T236" si="3504">(T46+U236)/(1+T$139)</f>
        <v>-23871.206921437129</v>
      </c>
      <c r="U236" s="93">
        <f t="shared" ref="U236" si="3505">(U46+V236)/(1+U$139)</f>
        <v>-21463.378979823414</v>
      </c>
      <c r="V236" s="93">
        <f t="shared" ref="V236" si="3506">(V46+W236)/(1+V$139)</f>
        <v>-19169.48863593183</v>
      </c>
      <c r="W236" s="93">
        <f t="shared" ref="W236" si="3507">(W46+X236)/(1+W$139)</f>
        <v>-16991.668932426652</v>
      </c>
      <c r="X236" s="93">
        <f t="shared" ref="X236" si="3508">(X46+Y236)/(1+X$139)</f>
        <v>-14932.087334613281</v>
      </c>
      <c r="Y236" s="93">
        <f t="shared" ref="Y236" si="3509">(Y46+Z236)/(1+Y$139)</f>
        <v>-12992.946259890448</v>
      </c>
      <c r="Z236" s="93">
        <f t="shared" ref="Z236" si="3510">(Z46+AA236)/(1+Z$139)</f>
        <v>-11176.483615258921</v>
      </c>
      <c r="AA236" s="93">
        <f t="shared" ref="AA236" si="3511">(AA46+AB236)/(1+AA$139)</f>
        <v>-9484.973342950032</v>
      </c>
      <c r="AB236" s="93">
        <f t="shared" ref="AB236" si="3512">(AB46+AC236)/(1+AB$139)</f>
        <v>-7921.8918171663163</v>
      </c>
      <c r="AC236" s="93">
        <f t="shared" ref="AC236" si="3513">(AC46+AD236)/(1+AC$139)</f>
        <v>-6489.3929027021159</v>
      </c>
      <c r="AD236" s="93">
        <f t="shared" ref="AD236" si="3514">(AD46+AE236)/(1+AD$139)</f>
        <v>-5189.663596662469</v>
      </c>
      <c r="AE236" s="93">
        <f t="shared" ref="AE236" si="3515">(AE46+AF236)/(1+AE$139)</f>
        <v>-4024.9245126828</v>
      </c>
      <c r="AF236" s="93">
        <f t="shared" ref="AF236" si="3516">(AF46+AG236)/(1+AF$139)</f>
        <v>-2997.4303721007491</v>
      </c>
      <c r="AG236" s="93">
        <f t="shared" ref="AG236" si="3517">(AG46+AH236)/(1+AG$139)</f>
        <v>-2109.4705022533908</v>
      </c>
      <c r="AH236" s="93">
        <f t="shared" ref="AH236" si="3518">(AH46+AI236)/(1+AH$139)</f>
        <v>-1363.3693419625017</v>
      </c>
      <c r="AI236" s="93">
        <f t="shared" ref="AI236" si="3519">(AI46+AJ236)/(1+AI$139)</f>
        <v>-761.48695435226489</v>
      </c>
      <c r="AJ236" s="93">
        <f t="shared" ref="AJ236" si="3520">(AJ46+AK236)/(1+AJ$139)</f>
        <v>-306.21954706460212</v>
      </c>
      <c r="AK236" s="93">
        <f t="shared" ref="AK236" si="3521">(AK46+AL236)/(1+AK$139)</f>
        <v>0</v>
      </c>
      <c r="AL236" s="93">
        <f t="shared" ref="AL236" si="3522">(AL46+AM236)/(1+AL$139)</f>
        <v>0</v>
      </c>
      <c r="AM236" s="93">
        <f t="shared" ref="AM236" si="3523">(AM46+AN236)/(1+AM$139)</f>
        <v>0</v>
      </c>
      <c r="AN236" s="93">
        <f t="shared" ref="AN236" si="3524">(AN46+AO236)/(1+AN$139)</f>
        <v>0</v>
      </c>
      <c r="AO236" s="93">
        <f t="shared" ref="AO236" si="3525">(AO46+AP236)/(1+AO$139)</f>
        <v>0</v>
      </c>
      <c r="AP236" s="93">
        <f t="shared" ref="AP236" si="3526">(AP46+AQ236)/(1+AP$139)</f>
        <v>0</v>
      </c>
      <c r="AQ236" s="93">
        <f t="shared" ref="AQ236" si="3527">(AQ46+AR236)/(1+AQ$139)</f>
        <v>0</v>
      </c>
      <c r="AR236" s="93">
        <f t="shared" ref="AR236" si="3528">(AR46+AS236)/(1+AR$139)</f>
        <v>0</v>
      </c>
      <c r="AS236" s="93">
        <f t="shared" ref="AS236" si="3529">(AS46+AT236)/(1+AS$139)</f>
        <v>0</v>
      </c>
      <c r="AT236" s="93">
        <f t="shared" ref="AT236" si="3530">(AT46+AU236)/(1+AT$139)</f>
        <v>0</v>
      </c>
      <c r="AU236" s="93">
        <f t="shared" ref="AU236" si="3531">(AU46+AV236)/(1+AU$139)</f>
        <v>0</v>
      </c>
      <c r="AV236" s="93">
        <f t="shared" ref="AV236" si="3532">(AV46+AW236)/(1+AV$139)</f>
        <v>0</v>
      </c>
      <c r="AW236" s="93">
        <f t="shared" ref="AW236" si="3533">(AW46+AX236)/(1+AW$139)</f>
        <v>0</v>
      </c>
      <c r="AX236" s="93">
        <f t="shared" ref="AX236" si="3534">(AX46+AY236)/(1+AX$139)</f>
        <v>0</v>
      </c>
      <c r="AY236" s="93">
        <f t="shared" ref="AY236" si="3535">(AY46+AZ236)/(1+AY$139)</f>
        <v>0</v>
      </c>
      <c r="AZ236" s="93">
        <f t="shared" ref="AZ236" si="3536">(AZ46+BA236)/(1+AZ$139)</f>
        <v>0</v>
      </c>
      <c r="BA236" s="93">
        <f t="shared" ref="BA236" si="3537">(BA46+BB236)/(1+BA$139)</f>
        <v>0</v>
      </c>
      <c r="BB236" s="93">
        <f t="shared" ref="BB236" si="3538">(BB46+BC236)/(1+BB$139)</f>
        <v>0</v>
      </c>
      <c r="BC236" s="93">
        <f t="shared" ref="BC236" si="3539">(BC46+BD236)/(1+BC$139)</f>
        <v>0</v>
      </c>
      <c r="BD236" s="93">
        <f t="shared" ref="BD236" si="3540">(BD46+BE236)/(1+BD$139)</f>
        <v>0</v>
      </c>
      <c r="BE236" s="93">
        <f t="shared" ref="BE236" si="3541">(BE46+BF236)/(1+BE$139)</f>
        <v>0</v>
      </c>
      <c r="BF236" s="93">
        <f t="shared" ref="BF236" si="3542">(BF46+BG236)/(1+BF$139)</f>
        <v>0</v>
      </c>
      <c r="BG236" s="93">
        <f t="shared" ref="BG236" si="3543">(BG46+BH236)/(1+BG$139)</f>
        <v>0</v>
      </c>
      <c r="BH236" s="93">
        <f t="shared" ref="BH236" si="3544">(BH46+BI236)/(1+BH$139)</f>
        <v>0</v>
      </c>
      <c r="BI236" s="93">
        <f t="shared" ref="BI236" si="3545">(BI46+BJ236)/(1+BI$139)</f>
        <v>0</v>
      </c>
      <c r="BJ236" s="93">
        <f t="shared" ref="BJ236" si="3546">(BJ46+BK236)/(1+BJ$139)</f>
        <v>0</v>
      </c>
      <c r="BK236" s="93">
        <f t="shared" ref="BK236" si="3547">(BK46+BL236)/(1+BK$139)</f>
        <v>0</v>
      </c>
      <c r="BL236" s="93">
        <f t="shared" ref="BL236" si="3548">(BL46+BM236)/(1+BL$139)</f>
        <v>0</v>
      </c>
      <c r="BM236" s="93">
        <f t="shared" ref="BM236" si="3549">(BM46+BN236)/(1+BM$139)</f>
        <v>0</v>
      </c>
      <c r="BN236" s="93">
        <f t="shared" ref="BN236" si="3550">(BN46+BO236)/(1+BN$139)</f>
        <v>0</v>
      </c>
      <c r="BO236" s="93">
        <f t="shared" ref="BO236" si="3551">(BO46+BP236)/(1+BO$139)</f>
        <v>0</v>
      </c>
      <c r="BP236" s="93">
        <f t="shared" ref="BP236" si="3552">(BP46+BQ236)/(1+BP$139)</f>
        <v>0</v>
      </c>
      <c r="BQ236" s="93">
        <f t="shared" ref="BQ236" si="3553">(BQ46+BR236)/(1+BQ$139)</f>
        <v>0</v>
      </c>
      <c r="BR236" s="93">
        <f t="shared" ref="BR236" si="3554">(BR46+BS236)/(1+BR$139)</f>
        <v>0</v>
      </c>
      <c r="BS236" s="93">
        <f t="shared" ref="BS236" si="3555">(BS46+BT236)/(1+BS$139)</f>
        <v>0</v>
      </c>
      <c r="BT236" s="93">
        <f t="shared" ref="BT236" si="3556">(BT46+BU236)/(1+BT$139)</f>
        <v>0</v>
      </c>
      <c r="BU236" s="93">
        <f t="shared" ref="BU236" si="3557">(BU46+BV236)/(1+BU$139)</f>
        <v>0</v>
      </c>
      <c r="BV236" s="93">
        <f t="shared" ref="BV236" si="3558">(BV46+BW236)/(1+BV$139)</f>
        <v>0</v>
      </c>
      <c r="BW236" s="93">
        <f t="shared" ref="BW236" si="3559">(BW46+BX236)/(1+BW$139)</f>
        <v>0</v>
      </c>
      <c r="BX236" s="93">
        <f t="shared" ref="BX236" si="3560">(BX46+BY236)/(1+BX$139)</f>
        <v>0</v>
      </c>
      <c r="BY236" s="93">
        <f t="shared" ref="BY236" si="3561">(BY46+BZ236)/(1+BY$139)</f>
        <v>0</v>
      </c>
      <c r="BZ236" s="93">
        <f t="shared" ref="BZ236" si="3562">(BZ46+CA236)/(1+BZ$139)</f>
        <v>0</v>
      </c>
      <c r="CA236" s="93">
        <f t="shared" ref="CA236" si="3563">(CA46+CB236)/(1+CA$139)</f>
        <v>0</v>
      </c>
      <c r="CB236" s="93">
        <f t="shared" ref="CB236" si="3564">(CB46+CC236)/(1+CB$139)</f>
        <v>0</v>
      </c>
      <c r="CC236" s="93">
        <f t="shared" ref="CC236" si="3565">(CC46+CD236)/(1+CC$139)</f>
        <v>0</v>
      </c>
      <c r="CD236" s="93">
        <f t="shared" ref="CD236" si="3566">(CD46+CE236)/(1+CD$139)</f>
        <v>0</v>
      </c>
      <c r="CE236" s="93">
        <f t="shared" ref="CE236" si="3567">(CE46+CF236)/(1+CE$139)</f>
        <v>0</v>
      </c>
      <c r="CF236" s="93">
        <f t="shared" ref="CF236" si="3568">(CF46+CG236)/(1+CF$139)</f>
        <v>0</v>
      </c>
      <c r="CG236" s="93">
        <f t="shared" ref="CG236" si="3569">(CG46+CH236)/(1+CG$139)</f>
        <v>0</v>
      </c>
      <c r="CH236" s="93">
        <f t="shared" ref="CH236" si="3570">(CH46+CI236)/(1+CH$139)</f>
        <v>0</v>
      </c>
      <c r="CI236" s="93">
        <f t="shared" ref="CI236" si="3571">(CI46+CJ236)/(1+CI$139)</f>
        <v>0</v>
      </c>
      <c r="CJ236" s="93">
        <f t="shared" ref="CJ236" si="3572">(CJ46+CK236)/(1+CJ$139)</f>
        <v>0</v>
      </c>
      <c r="CK236" s="93">
        <f t="shared" ref="CK236" si="3573">(CK46+CL236)/(1+CK$139)</f>
        <v>0</v>
      </c>
      <c r="CL236" s="93">
        <f t="shared" ref="CL236" si="3574">(CL46+CM236)/(1+CL$139)</f>
        <v>0</v>
      </c>
      <c r="CM236" s="93">
        <f t="shared" ref="CM236" si="3575">(CM46+CN236)/(1+CM$139)</f>
        <v>0</v>
      </c>
      <c r="CN236" s="93">
        <f t="shared" ref="CN236" si="3576">(CN46+CO236)/(1+CN$139)</f>
        <v>0</v>
      </c>
      <c r="CO236" s="93">
        <f t="shared" ref="CO236" si="3577">(CO46+CP236)/(1+CO$139)</f>
        <v>0</v>
      </c>
      <c r="CP236" s="93">
        <f t="shared" ref="CP236" si="3578">(CP46+CQ236)/(1+CP$139)</f>
        <v>0</v>
      </c>
      <c r="CQ236" s="93">
        <f t="shared" ref="CQ236" si="3579">(CQ46+CR236)/(1+CQ$139)</f>
        <v>0</v>
      </c>
      <c r="CR236" s="93">
        <f t="shared" ref="CR236" si="3580">(CR46+CS236)/(1+CR$139)</f>
        <v>0</v>
      </c>
      <c r="CS236" s="93">
        <f t="shared" ref="CS236" si="3581">(CS46+CT236)/(1+CS$139)</f>
        <v>0</v>
      </c>
      <c r="CT236" s="93">
        <f t="shared" ref="CT236" si="3582">(CT46+CU236)/(1+CT$139)</f>
        <v>0</v>
      </c>
      <c r="CU236" s="93">
        <f t="shared" ref="CU236" si="3583">(CU46+CV236)/(1+CU$139)</f>
        <v>0</v>
      </c>
      <c r="CV236" s="93">
        <f t="shared" ref="CV236" si="3584">(CV46+CW236)/(1+CV$139)</f>
        <v>0</v>
      </c>
      <c r="CW236" s="93">
        <f t="shared" ref="CW236" si="3585">(CW46+CX236)/(1+CW$139)</f>
        <v>0</v>
      </c>
      <c r="CX236" s="93">
        <f t="shared" ref="CX236" si="3586">(CX46+CY236)/(1+CX$139)</f>
        <v>0</v>
      </c>
      <c r="CY236" s="93">
        <f t="shared" ref="CY236" si="3587">(CY46+CZ236)/(1+CY$139)</f>
        <v>0</v>
      </c>
      <c r="CZ236" s="93">
        <f t="shared" ref="CZ236" si="3588">(CZ46+DA236)/(1+CZ$139)</f>
        <v>0</v>
      </c>
      <c r="DA236" s="93">
        <f t="shared" ref="DA236" si="3589">(DA46+DB236)/(1+DA$139)</f>
        <v>0</v>
      </c>
      <c r="DB236" s="93">
        <f t="shared" ref="DB236" si="3590">(DB46+DC236)/(1+DB$139)</f>
        <v>0</v>
      </c>
      <c r="DC236" s="93">
        <f t="shared" ref="DC236" si="3591">(DC46+DD236)/(1+DC$139)</f>
        <v>0</v>
      </c>
      <c r="DD236" s="93">
        <f t="shared" ref="DD236" si="3592">(DD46+DE236)/(1+DD$139)</f>
        <v>0</v>
      </c>
      <c r="DE236" s="93">
        <f t="shared" ref="DE236" si="3593">(DE46+DF236)/(1+DE$139)</f>
        <v>0</v>
      </c>
      <c r="DF236" s="93">
        <f t="shared" ref="DF236" si="3594">(DF46+DG236)/(1+DF$139)</f>
        <v>0</v>
      </c>
      <c r="DG236" s="93">
        <f t="shared" ref="DG236" si="3595">(DG46+DH236)/(1+DG$139)</f>
        <v>0</v>
      </c>
      <c r="DH236" s="93">
        <f t="shared" ref="DH236" si="3596">(DH46+DI236)/(1+DH$139)</f>
        <v>0</v>
      </c>
      <c r="DI236" s="93">
        <f t="shared" ref="DI236" si="3597">(DI46+DJ236)/(1+DI$139)</f>
        <v>0</v>
      </c>
      <c r="DJ236" s="93">
        <f t="shared" ref="DJ236" si="3598">(DJ46+DK236)/(1+DJ$139)</f>
        <v>0</v>
      </c>
      <c r="DK236" s="93">
        <f t="shared" ref="DK236" si="3599">(DK46+DL236)/(1+DK$139)</f>
        <v>0</v>
      </c>
      <c r="DL236" s="93">
        <f t="shared" ref="DL236" si="3600">(DL46+DM236)/(1+DL$139)</f>
        <v>0</v>
      </c>
      <c r="DM236" s="93">
        <f t="shared" ref="DM236" si="3601">(DM46+DN236)/(1+DM$139)</f>
        <v>0</v>
      </c>
      <c r="DN236" s="93">
        <f t="shared" ref="DN236" si="3602">(DN46+DO236)/(1+DN$139)</f>
        <v>0</v>
      </c>
      <c r="DO236" s="93">
        <f t="shared" ref="DO236" si="3603">(DO46+DP236)/(1+DO$139)</f>
        <v>0</v>
      </c>
      <c r="DP236" s="93">
        <f t="shared" ref="DP236" si="3604">(DP46+DQ236)/(1+DP$139)</f>
        <v>0</v>
      </c>
      <c r="DQ236" s="93">
        <f t="shared" ref="DQ236" si="3605">(DQ46+DR236)/(1+DQ$139)</f>
        <v>0</v>
      </c>
      <c r="DR236" s="93">
        <f t="shared" ref="DR236" si="3606">(DR46+DS236)/(1+DR$139)</f>
        <v>0</v>
      </c>
      <c r="DS236" s="93">
        <f t="shared" ref="DS236" si="3607">(DS46+DT236)/(1+DS$139)</f>
        <v>0</v>
      </c>
      <c r="DT236" s="93">
        <f t="shared" ref="DT236" si="3608">(DT46+DU236)/(1+DT$139)</f>
        <v>0</v>
      </c>
      <c r="DU236" s="93">
        <f t="shared" ref="DU236" si="3609">(DU46+DV236)/(1+DU$139)</f>
        <v>0</v>
      </c>
      <c r="DV236" s="93">
        <f t="shared" ref="DV236" si="3610">(DV46+DW236)/(1+DV$139)</f>
        <v>0</v>
      </c>
      <c r="DW236" s="93">
        <f t="shared" ref="DW236" si="3611">(DW46+DX236)/(1+DW$139)</f>
        <v>0</v>
      </c>
      <c r="DX236" s="93">
        <f t="shared" ref="DX236" si="3612">(DX46+DY236)/(1+DX$139)</f>
        <v>0</v>
      </c>
      <c r="DY236" s="93">
        <f t="shared" ref="DY236" si="3613">(DY46+DZ236)/(1+DY$139)</f>
        <v>0</v>
      </c>
      <c r="DZ236" s="93">
        <f t="shared" ref="DZ236" si="3614">(DZ46+EA236)/(1+DZ$139)</f>
        <v>0</v>
      </c>
      <c r="EA236" s="93">
        <f t="shared" ref="EA236" si="3615">(EA46+EB236)/(1+EA$139)</f>
        <v>0</v>
      </c>
      <c r="EB236" s="93">
        <f t="shared" ref="EB236" si="3616">(EB46+EC236)/(1+EB$139)</f>
        <v>0</v>
      </c>
      <c r="EC236" s="93">
        <f t="shared" ref="EC236" si="3617">(EC46+ED236)/(1+EC$139)</f>
        <v>0</v>
      </c>
      <c r="ED236" s="93">
        <f t="shared" ref="ED236" si="3618">(ED46+EE236)/(1+ED$139)</f>
        <v>0</v>
      </c>
      <c r="EE236" s="93">
        <f t="shared" ref="EE236" si="3619">(EE46+EF236)/(1+EE$139)</f>
        <v>0</v>
      </c>
      <c r="EF236" s="93">
        <f t="shared" ref="EF236" si="3620">(EF46+EG236)/(1+EF$139)</f>
        <v>0</v>
      </c>
      <c r="EG236" s="93">
        <f t="shared" ref="EG236" si="3621">(EG46+EH236)/(1+EG$139)</f>
        <v>0</v>
      </c>
      <c r="EH236" s="93">
        <f t="shared" ref="EH236" si="3622">(EH46+EI236)/(1+EH$139)</f>
        <v>0</v>
      </c>
      <c r="EI236" s="93">
        <f t="shared" ref="EI236" si="3623">(EI46+EJ236)/(1+EI$139)</f>
        <v>0</v>
      </c>
      <c r="EJ236" s="93">
        <f t="shared" ref="EJ236" si="3624">(EJ46+EK236)/(1+EJ$139)</f>
        <v>0</v>
      </c>
      <c r="EK236" s="93">
        <f t="shared" ref="EK236" si="3625">(EK46+EL236)/(1+EK$139)</f>
        <v>0</v>
      </c>
      <c r="EL236" s="93">
        <f t="shared" ref="EL236" si="3626">(EL46+EM236)/(1+EL$139)</f>
        <v>0</v>
      </c>
      <c r="EM236" s="93">
        <f t="shared" ref="EM236" si="3627">(EM46+EN236)/(1+EM$139)</f>
        <v>0</v>
      </c>
      <c r="EN236" s="93">
        <f t="shared" ref="EN236" si="3628">(EN46+EO236)/(1+EN$139)</f>
        <v>0</v>
      </c>
      <c r="EO236" s="93">
        <f t="shared" ref="EO236" si="3629">(EO46+EP236)/(1+EO$139)</f>
        <v>0</v>
      </c>
      <c r="EP236" s="93">
        <f t="shared" ref="EP236" si="3630">(EP46+EQ236)/(1+EP$139)</f>
        <v>0</v>
      </c>
      <c r="EQ236" s="93">
        <f t="shared" ref="EQ236" si="3631">(EQ46+ER236)/(1+EQ$139)</f>
        <v>0</v>
      </c>
      <c r="ER236" s="93">
        <f t="shared" ref="ER236" si="3632">(ER46+ES236)/(1+ER$139)</f>
        <v>0</v>
      </c>
      <c r="ES236" s="93">
        <f t="shared" ref="ES236" si="3633">(ES46+ET236)/(1+ES$139)</f>
        <v>0</v>
      </c>
      <c r="ET236" s="93">
        <f t="shared" ref="ET236" si="3634">(ET46+EU236)/(1+ET$139)</f>
        <v>0</v>
      </c>
      <c r="EU236" s="93">
        <f t="shared" ref="EU236" si="3635">(EU46+EV236)/(1+EU$139)</f>
        <v>0</v>
      </c>
      <c r="EV236" s="93">
        <f t="shared" ref="EV236" si="3636">(EV46+EW236)/(1+EV$139)</f>
        <v>0</v>
      </c>
      <c r="EW236" s="93">
        <f t="shared" ref="EW236" si="3637">(EW46+EX236)/(1+EW$139)</f>
        <v>0</v>
      </c>
      <c r="EX236" s="93">
        <f t="shared" ref="EX236" si="3638">(EX46+EY236)/(1+EX$139)</f>
        <v>0</v>
      </c>
      <c r="EY236" s="93">
        <f t="shared" ref="EY236" si="3639">(EY46+EZ236)/(1+EY$139)</f>
        <v>0</v>
      </c>
      <c r="EZ236" s="93">
        <f t="shared" ref="EZ236" si="3640">(EZ46+FA236)/(1+EZ$139)</f>
        <v>0</v>
      </c>
      <c r="FA236" s="93">
        <f t="shared" ref="FA236" si="3641">(FA46+FB236)/(1+FA$139)</f>
        <v>0</v>
      </c>
      <c r="FB236" s="93">
        <f t="shared" ref="FB236" si="3642">(FB46+FC236)/(1+FB$139)</f>
        <v>0</v>
      </c>
      <c r="FC236" s="93">
        <f t="shared" ref="FC236" si="3643">(FC46+FD236)/(1+FC$139)</f>
        <v>0</v>
      </c>
      <c r="FD236" s="93">
        <f t="shared" ref="FD236" si="3644">(FD46+FE236)/(1+FD$139)</f>
        <v>0</v>
      </c>
      <c r="FE236" s="93">
        <f t="shared" ref="FE236" si="3645">(FE46+FF236)/(1+FE$139)</f>
        <v>0</v>
      </c>
      <c r="FF236" s="93">
        <f t="shared" ref="FF236" si="3646">(FF46+FG236)/(1+FF$139)</f>
        <v>0</v>
      </c>
      <c r="FG236" s="93">
        <f t="shared" ref="FG236" si="3647">(FG46+FH236)/(1+FG$139)</f>
        <v>0</v>
      </c>
      <c r="FH236" s="93">
        <f t="shared" ref="FH236" si="3648">(FH46+FI236)/(1+FH$139)</f>
        <v>0</v>
      </c>
      <c r="FI236" s="93">
        <f t="shared" ref="FI236" si="3649">(FI46+FJ236)/(1+FI$139)</f>
        <v>0</v>
      </c>
      <c r="FJ236" s="93">
        <f t="shared" ref="FJ236" si="3650">(FJ46+FK236)/(1+FJ$139)</f>
        <v>0</v>
      </c>
      <c r="FK236" s="93">
        <f t="shared" ref="FK236" si="3651">(FK46+FL236)/(1+FK$139)</f>
        <v>0</v>
      </c>
      <c r="FL236" s="93">
        <f t="shared" ref="FL236" si="3652">(FL46+FM236)/(1+FL$139)</f>
        <v>0</v>
      </c>
      <c r="FM236" s="93">
        <f t="shared" ref="FM236" si="3653">(FM46+FN236)/(1+FM$139)</f>
        <v>0</v>
      </c>
      <c r="FN236" s="93">
        <f t="shared" ref="FN236" si="3654">(FN46+FO236)/(1+FN$139)</f>
        <v>0</v>
      </c>
      <c r="FO236" s="93">
        <f t="shared" ref="FO236" si="3655">(FO46+FP236)/(1+FO$139)</f>
        <v>0</v>
      </c>
      <c r="FP236" s="93">
        <f t="shared" ref="FP236" si="3656">(FP46+FQ236)/(1+FP$139)</f>
        <v>0</v>
      </c>
      <c r="FQ236" s="93">
        <f t="shared" ref="FQ236" si="3657">(FQ46+FR236)/(1+FQ$139)</f>
        <v>0</v>
      </c>
      <c r="FR236" s="93">
        <f t="shared" ref="FR236" si="3658">(FR46+FS236)/(1+FR$139)</f>
        <v>0</v>
      </c>
      <c r="FS236" s="93">
        <f t="shared" ref="FS236" si="3659">(FS46+FT236)/(1+FS$139)</f>
        <v>0</v>
      </c>
      <c r="FT236" s="93">
        <f t="shared" ref="FT236" si="3660">(FT46+FU236)/(1+FT$139)</f>
        <v>0</v>
      </c>
      <c r="FU236" s="93">
        <f t="shared" ref="FU236" si="3661">(FU46+FV236)/(1+FU$139)</f>
        <v>0</v>
      </c>
      <c r="FV236" s="93">
        <f t="shared" ref="FV236" si="3662">(FV46+FW236)/(1+FV$139)</f>
        <v>0</v>
      </c>
      <c r="FW236" s="93">
        <f t="shared" ref="FW236" si="3663">(FW46+FX236)/(1+FW$139)</f>
        <v>0</v>
      </c>
      <c r="FX236" s="93">
        <f t="shared" ref="FX236" si="3664">(FX46+FY236)/(1+FX$139)</f>
        <v>0</v>
      </c>
      <c r="FY236" s="93">
        <f t="shared" ref="FY236" si="3665">(FY46+FZ236)/(1+FY$139)</f>
        <v>0</v>
      </c>
      <c r="FZ236" s="59"/>
    </row>
    <row r="237" spans="1:182" x14ac:dyDescent="0.2">
      <c r="A237" s="66" t="s">
        <v>194</v>
      </c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AH237" s="67"/>
      <c r="AI237" s="67"/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  <c r="BI237" s="67"/>
      <c r="BJ237" s="67"/>
      <c r="BK237" s="67"/>
      <c r="BL237" s="67"/>
      <c r="BM237" s="67"/>
      <c r="BN237" s="67"/>
      <c r="BO237" s="67"/>
      <c r="BP237" s="67"/>
      <c r="BQ237" s="67"/>
      <c r="BR237" s="67"/>
      <c r="BS237" s="67"/>
      <c r="BT237" s="67"/>
      <c r="BU237" s="67"/>
      <c r="BV237" s="67"/>
      <c r="BW237" s="67"/>
      <c r="BX237" s="67"/>
      <c r="BY237" s="67"/>
      <c r="BZ237" s="67"/>
      <c r="CA237" s="67"/>
      <c r="CB237" s="67"/>
      <c r="CC237" s="67"/>
      <c r="CD237" s="67"/>
      <c r="CE237" s="67"/>
      <c r="CF237" s="67"/>
      <c r="CG237" s="67"/>
      <c r="CH237" s="67"/>
      <c r="CI237" s="67"/>
      <c r="CJ237" s="67"/>
      <c r="CK237" s="67"/>
      <c r="CL237" s="67"/>
      <c r="CM237" s="67"/>
      <c r="CN237" s="67"/>
      <c r="CO237" s="67"/>
      <c r="CP237" s="67"/>
      <c r="CQ237" s="67"/>
      <c r="CR237" s="67"/>
      <c r="CS237" s="67"/>
      <c r="CT237" s="67"/>
      <c r="CU237" s="67"/>
      <c r="CV237" s="67"/>
      <c r="CW237" s="67"/>
      <c r="CX237" s="67"/>
      <c r="CY237" s="67"/>
      <c r="CZ237" s="67"/>
      <c r="DA237" s="67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/>
      <c r="DQ237" s="67"/>
      <c r="DR237" s="67"/>
      <c r="DS237" s="67"/>
      <c r="DT237" s="67"/>
      <c r="DU237" s="67"/>
      <c r="DV237" s="67"/>
      <c r="DW237" s="67"/>
      <c r="DX237" s="67"/>
      <c r="DY237" s="67"/>
      <c r="DZ237" s="67"/>
      <c r="EA237" s="67"/>
      <c r="EB237" s="67"/>
      <c r="EC237" s="67"/>
      <c r="ED237" s="67"/>
      <c r="EE237" s="67"/>
      <c r="EF237" s="67"/>
      <c r="EG237" s="67"/>
      <c r="EH237" s="67"/>
      <c r="EI237" s="67"/>
      <c r="EJ237" s="67"/>
      <c r="EK237" s="67"/>
      <c r="EL237" s="67"/>
      <c r="EM237" s="67"/>
      <c r="EN237" s="67"/>
      <c r="EO237" s="67"/>
      <c r="EP237" s="67"/>
      <c r="EQ237" s="67"/>
      <c r="ER237" s="67"/>
      <c r="ES237" s="67"/>
      <c r="ET237" s="67"/>
      <c r="EU237" s="67"/>
      <c r="EV237" s="67"/>
      <c r="EW237" s="67"/>
      <c r="EX237" s="67"/>
      <c r="EY237" s="67"/>
      <c r="EZ237" s="67"/>
      <c r="FA237" s="67"/>
      <c r="FB237" s="67"/>
      <c r="FC237" s="67"/>
      <c r="FD237" s="67"/>
      <c r="FE237" s="67"/>
      <c r="FF237" s="67"/>
      <c r="FG237" s="67"/>
      <c r="FH237" s="67"/>
      <c r="FI237" s="67"/>
      <c r="FJ237" s="67"/>
      <c r="FK237" s="67"/>
      <c r="FL237" s="67"/>
      <c r="FM237" s="67"/>
      <c r="FN237" s="67"/>
      <c r="FO237" s="67"/>
      <c r="FP237" s="67"/>
      <c r="FQ237" s="67"/>
      <c r="FR237" s="67"/>
      <c r="FS237" s="67"/>
      <c r="FT237" s="67"/>
      <c r="FU237" s="67"/>
      <c r="FV237" s="67"/>
      <c r="FW237" s="67"/>
      <c r="FX237" s="67"/>
      <c r="FY237" s="67"/>
      <c r="FZ237" s="59"/>
    </row>
    <row r="238" spans="1:182" x14ac:dyDescent="0.2">
      <c r="A238" s="66" t="s">
        <v>195</v>
      </c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AH238" s="67"/>
      <c r="AI238" s="67"/>
      <c r="AJ238" s="67"/>
      <c r="AK238" s="67"/>
      <c r="AL238" s="67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  <c r="BI238" s="67"/>
      <c r="BJ238" s="67"/>
      <c r="BK238" s="67"/>
      <c r="BL238" s="67"/>
      <c r="BM238" s="67"/>
      <c r="BN238" s="67"/>
      <c r="BO238" s="67"/>
      <c r="BP238" s="67"/>
      <c r="BQ238" s="67"/>
      <c r="BR238" s="67"/>
      <c r="BS238" s="67"/>
      <c r="BT238" s="67"/>
      <c r="BU238" s="67"/>
      <c r="BV238" s="67"/>
      <c r="BW238" s="67"/>
      <c r="BX238" s="67"/>
      <c r="BY238" s="67"/>
      <c r="BZ238" s="67"/>
      <c r="CA238" s="67"/>
      <c r="CB238" s="67"/>
      <c r="CC238" s="67"/>
      <c r="CD238" s="67"/>
      <c r="CE238" s="67"/>
      <c r="CF238" s="67"/>
      <c r="CG238" s="67"/>
      <c r="CH238" s="67"/>
      <c r="CI238" s="67"/>
      <c r="CJ238" s="67"/>
      <c r="CK238" s="67"/>
      <c r="CL238" s="67"/>
      <c r="CM238" s="67"/>
      <c r="CN238" s="67"/>
      <c r="CO238" s="67"/>
      <c r="CP238" s="67"/>
      <c r="CQ238" s="67"/>
      <c r="CR238" s="67"/>
      <c r="CS238" s="67"/>
      <c r="CT238" s="67"/>
      <c r="CU238" s="67"/>
      <c r="CV238" s="67"/>
      <c r="CW238" s="67"/>
      <c r="CX238" s="67"/>
      <c r="CY238" s="67"/>
      <c r="CZ238" s="67"/>
      <c r="DA238" s="67"/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/>
      <c r="DQ238" s="67"/>
      <c r="DR238" s="67"/>
      <c r="DS238" s="67"/>
      <c r="DT238" s="67"/>
      <c r="DU238" s="67"/>
      <c r="DV238" s="67"/>
      <c r="DW238" s="67"/>
      <c r="DX238" s="67"/>
      <c r="DY238" s="67"/>
      <c r="DZ238" s="67"/>
      <c r="EA238" s="67"/>
      <c r="EB238" s="67"/>
      <c r="EC238" s="67"/>
      <c r="ED238" s="67"/>
      <c r="EE238" s="67"/>
      <c r="EF238" s="67"/>
      <c r="EG238" s="67"/>
      <c r="EH238" s="67"/>
      <c r="EI238" s="67"/>
      <c r="EJ238" s="67"/>
      <c r="EK238" s="67"/>
      <c r="EL238" s="67"/>
      <c r="EM238" s="67"/>
      <c r="EN238" s="67"/>
      <c r="EO238" s="67"/>
      <c r="EP238" s="67"/>
      <c r="EQ238" s="67"/>
      <c r="ER238" s="67"/>
      <c r="ES238" s="67"/>
      <c r="ET238" s="67"/>
      <c r="EU238" s="67"/>
      <c r="EV238" s="67"/>
      <c r="EW238" s="67"/>
      <c r="EX238" s="67"/>
      <c r="EY238" s="67"/>
      <c r="EZ238" s="67"/>
      <c r="FA238" s="67"/>
      <c r="FB238" s="67"/>
      <c r="FC238" s="67"/>
      <c r="FD238" s="67"/>
      <c r="FE238" s="67"/>
      <c r="FF238" s="67"/>
      <c r="FG238" s="67"/>
      <c r="FH238" s="67"/>
      <c r="FI238" s="67"/>
      <c r="FJ238" s="67"/>
      <c r="FK238" s="67"/>
      <c r="FL238" s="67"/>
      <c r="FM238" s="67"/>
      <c r="FN238" s="67"/>
      <c r="FO238" s="67"/>
      <c r="FP238" s="67"/>
      <c r="FQ238" s="67"/>
      <c r="FR238" s="67"/>
      <c r="FS238" s="67"/>
      <c r="FT238" s="67"/>
      <c r="FU238" s="67"/>
      <c r="FV238" s="67"/>
      <c r="FW238" s="67"/>
      <c r="FX238" s="67"/>
      <c r="FY238" s="67"/>
      <c r="FZ238" s="59"/>
    </row>
    <row r="239" spans="1:182" x14ac:dyDescent="0.2">
      <c r="A239" s="92" t="s">
        <v>265</v>
      </c>
      <c r="B239" s="93">
        <f>B49+C239/(1+B$139)</f>
        <v>-64691.787123653572</v>
      </c>
      <c r="C239" s="93">
        <f t="shared" ref="C239" si="3666">C49+D239/(1+C$139)</f>
        <v>-34810.948842257843</v>
      </c>
      <c r="D239" s="93">
        <f t="shared" ref="D239:D240" si="3667">D49+E239/(1+D$139)</f>
        <v>-33904.760409489179</v>
      </c>
      <c r="E239" s="93">
        <f t="shared" ref="E239:E240" si="3668">E49+F239/(1+E$139)</f>
        <v>-32993.196559123498</v>
      </c>
      <c r="F239" s="93">
        <f t="shared" ref="F239:F240" si="3669">F49+G239/(1+F$139)</f>
        <v>-32076.231912025607</v>
      </c>
      <c r="G239" s="93">
        <f t="shared" ref="G239:G240" si="3670">G49+H239/(1+G$139)</f>
        <v>-31153.840975652551</v>
      </c>
      <c r="H239" s="93">
        <f t="shared" ref="H239:H240" si="3671">H49+I239/(1+H$139)</f>
        <v>-30225.998143554782</v>
      </c>
      <c r="I239" s="93">
        <f t="shared" ref="I239:I240" si="3672">I49+J239/(1+I$139)</f>
        <v>-29292.677694875158</v>
      </c>
      <c r="J239" s="93">
        <f t="shared" ref="J239:J240" si="3673">J49+K239/(1+J$139)</f>
        <v>-28353.853793845756</v>
      </c>
      <c r="K239" s="93">
        <f t="shared" ref="K239:K240" si="3674">K49+L239/(1+K$139)</f>
        <v>-27409.500489282462</v>
      </c>
      <c r="L239" s="93">
        <f t="shared" ref="L239:L240" si="3675">L49+M239/(1+L$139)</f>
        <v>-26459.59171407736</v>
      </c>
      <c r="M239" s="93">
        <f t="shared" ref="M239:M240" si="3676">M49+N239/(1+M$139)</f>
        <v>-25504.101284688903</v>
      </c>
      <c r="N239" s="93">
        <f t="shared" ref="N239:N240" si="3677">N49+O239/(1+N$139)</f>
        <v>-24543.002900629835</v>
      </c>
      <c r="O239" s="93">
        <f t="shared" ref="O239:O240" si="3678">O49+P239/(1+O$139)</f>
        <v>-23576.270143952901</v>
      </c>
      <c r="P239" s="93">
        <f t="shared" ref="P239:P240" si="3679">P49+Q239/(1+P$139)</f>
        <v>-22604.649462287911</v>
      </c>
      <c r="Q239" s="93">
        <f t="shared" ref="Q239:Q240" si="3680">Q49+R239/(1+Q$139)</f>
        <v>-21628.119091281147</v>
      </c>
      <c r="R239" s="93">
        <f t="shared" ref="R239:R240" si="3681">R49+S239/(1+R$139)</f>
        <v>-20646.657171246705</v>
      </c>
      <c r="S239" s="93">
        <f t="shared" ref="S239:S240" si="3682">S49+T239/(1+S$139)</f>
        <v>-19660.241746749878</v>
      </c>
      <c r="T239" s="93">
        <f t="shared" ref="T239:T240" si="3683">T49+U239/(1+T$139)</f>
        <v>-18668.850766188727</v>
      </c>
      <c r="U239" s="93">
        <f t="shared" ref="U239:U240" si="3684">U49+V239/(1+U$139)</f>
        <v>-17672.462081373811</v>
      </c>
      <c r="V239" s="93">
        <f t="shared" ref="V239:V240" si="3685">V49+W239/(1+V$139)</f>
        <v>-16671.053447106093</v>
      </c>
      <c r="W239" s="93">
        <f t="shared" ref="W239:W240" si="3686">W49+X239/(1+W$139)</f>
        <v>-15664.602520752984</v>
      </c>
      <c r="X239" s="93">
        <f t="shared" ref="X239:X240" si="3687">X49+Y239/(1+X$139)</f>
        <v>-14653.086861822567</v>
      </c>
      <c r="Y239" s="93">
        <f t="shared" ref="Y239:Y240" si="3688">Y49+Z239/(1+Y$139)</f>
        <v>-13636.483931535917</v>
      </c>
      <c r="Z239" s="93">
        <f t="shared" ref="Z239:Z240" si="3689">Z49+AA239/(1+Z$139)</f>
        <v>-12614.771092397594</v>
      </c>
      <c r="AA239" s="93">
        <f t="shared" ref="AA239:AA240" si="3690">AA49+AB239/(1+AA$139)</f>
        <v>-11587.925607764235</v>
      </c>
      <c r="AB239" s="93">
        <f t="shared" ref="AB239:AB240" si="3691">AB49+AC239/(1+AB$139)</f>
        <v>-10556.710704660865</v>
      </c>
      <c r="AC239" s="93">
        <f t="shared" ref="AC239:AC240" si="3692">AC49+AD239/(1+AC$139)</f>
        <v>-9521.107282788882</v>
      </c>
      <c r="AD239" s="93">
        <f t="shared" ref="AD239:AD240" si="3693">AD49+AE239/(1+AD$139)</f>
        <v>-8481.0961584114539</v>
      </c>
      <c r="AE239" s="93">
        <f t="shared" ref="AE239:AE240" si="3694">AE49+AF239/(1+AE$139)</f>
        <v>-7436.6580639890199</v>
      </c>
      <c r="AF239" s="93">
        <f t="shared" ref="AF239:AF240" si="3695">AF49+AG239/(1+AF$139)</f>
        <v>-6387.7736478131974</v>
      </c>
      <c r="AG239" s="93">
        <f t="shared" ref="AG239:AG240" si="3696">AG49+AH239/(1+AG$139)</f>
        <v>-5334.4234736390936</v>
      </c>
      <c r="AH239" s="93">
        <f t="shared" ref="AH239:AH240" si="3697">AH49+AI239/(1+AH$139)</f>
        <v>-4276.5880203160059</v>
      </c>
      <c r="AI239" s="93">
        <f t="shared" ref="AI239:AI240" si="3698">AI49+AJ239/(1+AI$139)</f>
        <v>-3214.2476814165116</v>
      </c>
      <c r="AJ239" s="93">
        <f t="shared" ref="AJ239:AJ240" si="3699">AJ49+AK239/(1+AJ$139)</f>
        <v>-2147.3827648639362</v>
      </c>
      <c r="AK239" s="93">
        <f t="shared" ref="AK239:AK240" si="3700">AK49+AL239/(1+AK$139)</f>
        <v>-1075.9734925581949</v>
      </c>
      <c r="AL239" s="93">
        <f t="shared" ref="AL239:AL240" si="3701">AL49+AM239/(1+AL$139)</f>
        <v>0</v>
      </c>
      <c r="AM239" s="93">
        <f t="shared" ref="AM239:AM240" si="3702">AM49+AN239/(1+AM$139)</f>
        <v>0</v>
      </c>
      <c r="AN239" s="93">
        <f t="shared" ref="AN239:AN240" si="3703">AN49+AO239/(1+AN$139)</f>
        <v>0</v>
      </c>
      <c r="AO239" s="93">
        <f t="shared" ref="AO239:AO240" si="3704">AO49+AP239/(1+AO$139)</f>
        <v>0</v>
      </c>
      <c r="AP239" s="93">
        <f t="shared" ref="AP239:AP240" si="3705">AP49+AQ239/(1+AP$139)</f>
        <v>0</v>
      </c>
      <c r="AQ239" s="93">
        <f t="shared" ref="AQ239:AQ240" si="3706">AQ49+AR239/(1+AQ$139)</f>
        <v>0</v>
      </c>
      <c r="AR239" s="93">
        <f t="shared" ref="AR239:AR240" si="3707">AR49+AS239/(1+AR$139)</f>
        <v>0</v>
      </c>
      <c r="AS239" s="93">
        <f t="shared" ref="AS239:AS240" si="3708">AS49+AT239/(1+AS$139)</f>
        <v>0</v>
      </c>
      <c r="AT239" s="93">
        <f t="shared" ref="AT239:AT240" si="3709">AT49+AU239/(1+AT$139)</f>
        <v>0</v>
      </c>
      <c r="AU239" s="93">
        <f t="shared" ref="AU239:AU240" si="3710">AU49+AV239/(1+AU$139)</f>
        <v>0</v>
      </c>
      <c r="AV239" s="93">
        <f t="shared" ref="AV239:AV240" si="3711">AV49+AW239/(1+AV$139)</f>
        <v>0</v>
      </c>
      <c r="AW239" s="93">
        <f t="shared" ref="AW239:AW240" si="3712">AW49+AX239/(1+AW$139)</f>
        <v>0</v>
      </c>
      <c r="AX239" s="93">
        <f t="shared" ref="AX239:AX240" si="3713">AX49+AY239/(1+AX$139)</f>
        <v>0</v>
      </c>
      <c r="AY239" s="93">
        <f t="shared" ref="AY239:AY240" si="3714">AY49+AZ239/(1+AY$139)</f>
        <v>0</v>
      </c>
      <c r="AZ239" s="93">
        <f t="shared" ref="AZ239:AZ240" si="3715">AZ49+BA239/(1+AZ$139)</f>
        <v>0</v>
      </c>
      <c r="BA239" s="93">
        <f t="shared" ref="BA239:BA240" si="3716">BA49+BB239/(1+BA$139)</f>
        <v>0</v>
      </c>
      <c r="BB239" s="93">
        <f t="shared" ref="BB239:BB240" si="3717">BB49+BC239/(1+BB$139)</f>
        <v>0</v>
      </c>
      <c r="BC239" s="93">
        <f t="shared" ref="BC239:BC240" si="3718">BC49+BD239/(1+BC$139)</f>
        <v>0</v>
      </c>
      <c r="BD239" s="93">
        <f t="shared" ref="BD239:BD240" si="3719">BD49+BE239/(1+BD$139)</f>
        <v>0</v>
      </c>
      <c r="BE239" s="93">
        <f t="shared" ref="BE239:BE240" si="3720">BE49+BF239/(1+BE$139)</f>
        <v>0</v>
      </c>
      <c r="BF239" s="93">
        <f t="shared" ref="BF239:BF240" si="3721">BF49+BG239/(1+BF$139)</f>
        <v>0</v>
      </c>
      <c r="BG239" s="93">
        <f t="shared" ref="BG239:BG240" si="3722">BG49+BH239/(1+BG$139)</f>
        <v>0</v>
      </c>
      <c r="BH239" s="93">
        <f t="shared" ref="BH239:BH240" si="3723">BH49+BI239/(1+BH$139)</f>
        <v>0</v>
      </c>
      <c r="BI239" s="93">
        <f t="shared" ref="BI239:BI240" si="3724">BI49+BJ239/(1+BI$139)</f>
        <v>0</v>
      </c>
      <c r="BJ239" s="93">
        <f t="shared" ref="BJ239:BJ240" si="3725">BJ49+BK239/(1+BJ$139)</f>
        <v>0</v>
      </c>
      <c r="BK239" s="93">
        <f t="shared" ref="BK239:BK240" si="3726">BK49+BL239/(1+BK$139)</f>
        <v>0</v>
      </c>
      <c r="BL239" s="93">
        <f t="shared" ref="BL239:BL240" si="3727">BL49+BM239/(1+BL$139)</f>
        <v>0</v>
      </c>
      <c r="BM239" s="93">
        <f t="shared" ref="BM239:BM240" si="3728">BM49+BN239/(1+BM$139)</f>
        <v>0</v>
      </c>
      <c r="BN239" s="93">
        <f t="shared" ref="BN239:BN240" si="3729">BN49+BO239/(1+BN$139)</f>
        <v>0</v>
      </c>
      <c r="BO239" s="93">
        <f t="shared" ref="BO239:BO240" si="3730">BO49+BP239/(1+BO$139)</f>
        <v>0</v>
      </c>
      <c r="BP239" s="93">
        <f t="shared" ref="BP239:BP240" si="3731">BP49+BQ239/(1+BP$139)</f>
        <v>0</v>
      </c>
      <c r="BQ239" s="93">
        <f t="shared" ref="BQ239:BQ240" si="3732">BQ49+BR239/(1+BQ$139)</f>
        <v>0</v>
      </c>
      <c r="BR239" s="93">
        <f t="shared" ref="BR239:BR240" si="3733">BR49+BS239/(1+BR$139)</f>
        <v>0</v>
      </c>
      <c r="BS239" s="93">
        <f t="shared" ref="BS239:BS240" si="3734">BS49+BT239/(1+BS$139)</f>
        <v>0</v>
      </c>
      <c r="BT239" s="93">
        <f t="shared" ref="BT239:BT240" si="3735">BT49+BU239/(1+BT$139)</f>
        <v>0</v>
      </c>
      <c r="BU239" s="93">
        <f t="shared" ref="BU239:BU240" si="3736">BU49+BV239/(1+BU$139)</f>
        <v>0</v>
      </c>
      <c r="BV239" s="93">
        <f t="shared" ref="BV239:BV240" si="3737">BV49+BW239/(1+BV$139)</f>
        <v>0</v>
      </c>
      <c r="BW239" s="93">
        <f t="shared" ref="BW239:BW240" si="3738">BW49+BX239/(1+BW$139)</f>
        <v>0</v>
      </c>
      <c r="BX239" s="93">
        <f t="shared" ref="BX239:BX240" si="3739">BX49+BY239/(1+BX$139)</f>
        <v>0</v>
      </c>
      <c r="BY239" s="93">
        <f t="shared" ref="BY239:BY240" si="3740">BY49+BZ239/(1+BY$139)</f>
        <v>0</v>
      </c>
      <c r="BZ239" s="93">
        <f t="shared" ref="BZ239:BZ240" si="3741">BZ49+CA239/(1+BZ$139)</f>
        <v>0</v>
      </c>
      <c r="CA239" s="93">
        <f t="shared" ref="CA239:CA240" si="3742">CA49+CB239/(1+CA$139)</f>
        <v>0</v>
      </c>
      <c r="CB239" s="93">
        <f t="shared" ref="CB239:CB240" si="3743">CB49+CC239/(1+CB$139)</f>
        <v>0</v>
      </c>
      <c r="CC239" s="93">
        <f t="shared" ref="CC239:CC240" si="3744">CC49+CD239/(1+CC$139)</f>
        <v>0</v>
      </c>
      <c r="CD239" s="93">
        <f t="shared" ref="CD239:CD240" si="3745">CD49+CE239/(1+CD$139)</f>
        <v>0</v>
      </c>
      <c r="CE239" s="93">
        <f t="shared" ref="CE239:CE240" si="3746">CE49+CF239/(1+CE$139)</f>
        <v>0</v>
      </c>
      <c r="CF239" s="93">
        <f t="shared" ref="CF239:CF240" si="3747">CF49+CG239/(1+CF$139)</f>
        <v>0</v>
      </c>
      <c r="CG239" s="93">
        <f t="shared" ref="CG239:CG240" si="3748">CG49+CH239/(1+CG$139)</f>
        <v>0</v>
      </c>
      <c r="CH239" s="93">
        <f t="shared" ref="CH239:CH240" si="3749">CH49+CI239/(1+CH$139)</f>
        <v>0</v>
      </c>
      <c r="CI239" s="93">
        <f t="shared" ref="CI239:CI240" si="3750">CI49+CJ239/(1+CI$139)</f>
        <v>0</v>
      </c>
      <c r="CJ239" s="93">
        <f t="shared" ref="CJ239:CJ240" si="3751">CJ49+CK239/(1+CJ$139)</f>
        <v>0</v>
      </c>
      <c r="CK239" s="93">
        <f t="shared" ref="CK239:CK240" si="3752">CK49+CL239/(1+CK$139)</f>
        <v>0</v>
      </c>
      <c r="CL239" s="93">
        <f t="shared" ref="CL239:CL240" si="3753">CL49+CM239/(1+CL$139)</f>
        <v>0</v>
      </c>
      <c r="CM239" s="93">
        <f t="shared" ref="CM239:CM240" si="3754">CM49+CN239/(1+CM$139)</f>
        <v>0</v>
      </c>
      <c r="CN239" s="93">
        <f t="shared" ref="CN239:CN240" si="3755">CN49+CO239/(1+CN$139)</f>
        <v>0</v>
      </c>
      <c r="CO239" s="93">
        <f t="shared" ref="CO239:CO240" si="3756">CO49+CP239/(1+CO$139)</f>
        <v>0</v>
      </c>
      <c r="CP239" s="93">
        <f t="shared" ref="CP239:CP240" si="3757">CP49+CQ239/(1+CP$139)</f>
        <v>0</v>
      </c>
      <c r="CQ239" s="93">
        <f t="shared" ref="CQ239:CQ240" si="3758">CQ49+CR239/(1+CQ$139)</f>
        <v>0</v>
      </c>
      <c r="CR239" s="93">
        <f t="shared" ref="CR239:CR240" si="3759">CR49+CS239/(1+CR$139)</f>
        <v>0</v>
      </c>
      <c r="CS239" s="93">
        <f t="shared" ref="CS239:CS240" si="3760">CS49+CT239/(1+CS$139)</f>
        <v>0</v>
      </c>
      <c r="CT239" s="93">
        <f t="shared" ref="CT239:CT240" si="3761">CT49+CU239/(1+CT$139)</f>
        <v>0</v>
      </c>
      <c r="CU239" s="93">
        <f t="shared" ref="CU239:CU240" si="3762">CU49+CV239/(1+CU$139)</f>
        <v>0</v>
      </c>
      <c r="CV239" s="93">
        <f t="shared" ref="CV239:CV240" si="3763">CV49+CW239/(1+CV$139)</f>
        <v>0</v>
      </c>
      <c r="CW239" s="93">
        <f t="shared" ref="CW239:CW240" si="3764">CW49+CX239/(1+CW$139)</f>
        <v>0</v>
      </c>
      <c r="CX239" s="93">
        <f t="shared" ref="CX239:CX240" si="3765">CX49+CY239/(1+CX$139)</f>
        <v>0</v>
      </c>
      <c r="CY239" s="93">
        <f t="shared" ref="CY239:CY240" si="3766">CY49+CZ239/(1+CY$139)</f>
        <v>0</v>
      </c>
      <c r="CZ239" s="93">
        <f t="shared" ref="CZ239:CZ240" si="3767">CZ49+DA239/(1+CZ$139)</f>
        <v>0</v>
      </c>
      <c r="DA239" s="93">
        <f t="shared" ref="DA239:DA240" si="3768">DA49+DB239/(1+DA$139)</f>
        <v>0</v>
      </c>
      <c r="DB239" s="93">
        <f t="shared" ref="DB239:DB240" si="3769">DB49+DC239/(1+DB$139)</f>
        <v>0</v>
      </c>
      <c r="DC239" s="93">
        <f t="shared" ref="DC239:DC240" si="3770">DC49+DD239/(1+DC$139)</f>
        <v>0</v>
      </c>
      <c r="DD239" s="93">
        <f t="shared" ref="DD239:DD240" si="3771">DD49+DE239/(1+DD$139)</f>
        <v>0</v>
      </c>
      <c r="DE239" s="93">
        <f t="shared" ref="DE239:DE240" si="3772">DE49+DF239/(1+DE$139)</f>
        <v>0</v>
      </c>
      <c r="DF239" s="93">
        <f t="shared" ref="DF239:DF240" si="3773">DF49+DG239/(1+DF$139)</f>
        <v>0</v>
      </c>
      <c r="DG239" s="93">
        <f t="shared" ref="DG239:DG240" si="3774">DG49+DH239/(1+DG$139)</f>
        <v>0</v>
      </c>
      <c r="DH239" s="93">
        <f t="shared" ref="DH239:DH240" si="3775">DH49+DI239/(1+DH$139)</f>
        <v>0</v>
      </c>
      <c r="DI239" s="93">
        <f t="shared" ref="DI239:DI240" si="3776">DI49+DJ239/(1+DI$139)</f>
        <v>0</v>
      </c>
      <c r="DJ239" s="93">
        <f t="shared" ref="DJ239:DJ240" si="3777">DJ49+DK239/(1+DJ$139)</f>
        <v>0</v>
      </c>
      <c r="DK239" s="93">
        <f t="shared" ref="DK239:DK240" si="3778">DK49+DL239/(1+DK$139)</f>
        <v>0</v>
      </c>
      <c r="DL239" s="93">
        <f t="shared" ref="DL239:DL240" si="3779">DL49+DM239/(1+DL$139)</f>
        <v>0</v>
      </c>
      <c r="DM239" s="93">
        <f t="shared" ref="DM239:DM240" si="3780">DM49+DN239/(1+DM$139)</f>
        <v>0</v>
      </c>
      <c r="DN239" s="93">
        <f t="shared" ref="DN239:DN240" si="3781">DN49+DO239/(1+DN$139)</f>
        <v>0</v>
      </c>
      <c r="DO239" s="93">
        <f t="shared" ref="DO239:DO240" si="3782">DO49+DP239/(1+DO$139)</f>
        <v>0</v>
      </c>
      <c r="DP239" s="93">
        <f t="shared" ref="DP239:DP240" si="3783">DP49+DQ239/(1+DP$139)</f>
        <v>0</v>
      </c>
      <c r="DQ239" s="93">
        <f t="shared" ref="DQ239:DQ240" si="3784">DQ49+DR239/(1+DQ$139)</f>
        <v>0</v>
      </c>
      <c r="DR239" s="93">
        <f t="shared" ref="DR239:DR240" si="3785">DR49+DS239/(1+DR$139)</f>
        <v>0</v>
      </c>
      <c r="DS239" s="93">
        <f t="shared" ref="DS239:DS240" si="3786">DS49+DT239/(1+DS$139)</f>
        <v>0</v>
      </c>
      <c r="DT239" s="93">
        <f t="shared" ref="DT239:DT240" si="3787">DT49+DU239/(1+DT$139)</f>
        <v>0</v>
      </c>
      <c r="DU239" s="93">
        <f t="shared" ref="DU239:DU240" si="3788">DU49+DV239/(1+DU$139)</f>
        <v>0</v>
      </c>
      <c r="DV239" s="93">
        <f t="shared" ref="DV239:DV240" si="3789">DV49+DW239/(1+DV$139)</f>
        <v>0</v>
      </c>
      <c r="DW239" s="93">
        <f t="shared" ref="DW239:DW240" si="3790">DW49+DX239/(1+DW$139)</f>
        <v>0</v>
      </c>
      <c r="DX239" s="93">
        <f t="shared" ref="DX239:DX240" si="3791">DX49+DY239/(1+DX$139)</f>
        <v>0</v>
      </c>
      <c r="DY239" s="93">
        <f t="shared" ref="DY239:DY240" si="3792">DY49+DZ239/(1+DY$139)</f>
        <v>0</v>
      </c>
      <c r="DZ239" s="93">
        <f t="shared" ref="DZ239:DZ240" si="3793">DZ49+EA239/(1+DZ$139)</f>
        <v>0</v>
      </c>
      <c r="EA239" s="93">
        <f t="shared" ref="EA239:EA240" si="3794">EA49+EB239/(1+EA$139)</f>
        <v>0</v>
      </c>
      <c r="EB239" s="93">
        <f t="shared" ref="EB239:EB240" si="3795">EB49+EC239/(1+EB$139)</f>
        <v>0</v>
      </c>
      <c r="EC239" s="93">
        <f t="shared" ref="EC239:EC240" si="3796">EC49+ED239/(1+EC$139)</f>
        <v>0</v>
      </c>
      <c r="ED239" s="93">
        <f t="shared" ref="ED239:ED240" si="3797">ED49+EE239/(1+ED$139)</f>
        <v>0</v>
      </c>
      <c r="EE239" s="93">
        <f t="shared" ref="EE239:EE240" si="3798">EE49+EF239/(1+EE$139)</f>
        <v>0</v>
      </c>
      <c r="EF239" s="93">
        <f t="shared" ref="EF239:EF240" si="3799">EF49+EG239/(1+EF$139)</f>
        <v>0</v>
      </c>
      <c r="EG239" s="93">
        <f t="shared" ref="EG239:EG240" si="3800">EG49+EH239/(1+EG$139)</f>
        <v>0</v>
      </c>
      <c r="EH239" s="93">
        <f t="shared" ref="EH239:EH240" si="3801">EH49+EI239/(1+EH$139)</f>
        <v>0</v>
      </c>
      <c r="EI239" s="93">
        <f t="shared" ref="EI239:EI240" si="3802">EI49+EJ239/(1+EI$139)</f>
        <v>0</v>
      </c>
      <c r="EJ239" s="93">
        <f t="shared" ref="EJ239:EJ240" si="3803">EJ49+EK239/(1+EJ$139)</f>
        <v>0</v>
      </c>
      <c r="EK239" s="93">
        <f t="shared" ref="EK239:EK240" si="3804">EK49+EL239/(1+EK$139)</f>
        <v>0</v>
      </c>
      <c r="EL239" s="93">
        <f t="shared" ref="EL239:EL240" si="3805">EL49+EM239/(1+EL$139)</f>
        <v>0</v>
      </c>
      <c r="EM239" s="93">
        <f t="shared" ref="EM239:EM240" si="3806">EM49+EN239/(1+EM$139)</f>
        <v>0</v>
      </c>
      <c r="EN239" s="93">
        <f t="shared" ref="EN239:EN240" si="3807">EN49+EO239/(1+EN$139)</f>
        <v>0</v>
      </c>
      <c r="EO239" s="93">
        <f t="shared" ref="EO239:EO240" si="3808">EO49+EP239/(1+EO$139)</f>
        <v>0</v>
      </c>
      <c r="EP239" s="93">
        <f t="shared" ref="EP239:EP240" si="3809">EP49+EQ239/(1+EP$139)</f>
        <v>0</v>
      </c>
      <c r="EQ239" s="93">
        <f t="shared" ref="EQ239:EQ240" si="3810">EQ49+ER239/(1+EQ$139)</f>
        <v>0</v>
      </c>
      <c r="ER239" s="93">
        <f t="shared" ref="ER239:ER240" si="3811">ER49+ES239/(1+ER$139)</f>
        <v>0</v>
      </c>
      <c r="ES239" s="93">
        <f t="shared" ref="ES239:ES240" si="3812">ES49+ET239/(1+ES$139)</f>
        <v>0</v>
      </c>
      <c r="ET239" s="93">
        <f t="shared" ref="ET239:ET240" si="3813">ET49+EU239/(1+ET$139)</f>
        <v>0</v>
      </c>
      <c r="EU239" s="93">
        <f t="shared" ref="EU239:EU240" si="3814">EU49+EV239/(1+EU$139)</f>
        <v>0</v>
      </c>
      <c r="EV239" s="93">
        <f t="shared" ref="EV239:EV240" si="3815">EV49+EW239/(1+EV$139)</f>
        <v>0</v>
      </c>
      <c r="EW239" s="93">
        <f t="shared" ref="EW239:EW240" si="3816">EW49+EX239/(1+EW$139)</f>
        <v>0</v>
      </c>
      <c r="EX239" s="93">
        <f t="shared" ref="EX239:EX240" si="3817">EX49+EY239/(1+EX$139)</f>
        <v>0</v>
      </c>
      <c r="EY239" s="93">
        <f t="shared" ref="EY239:EY240" si="3818">EY49+EZ239/(1+EY$139)</f>
        <v>0</v>
      </c>
      <c r="EZ239" s="93">
        <f t="shared" ref="EZ239:EZ240" si="3819">EZ49+FA239/(1+EZ$139)</f>
        <v>0</v>
      </c>
      <c r="FA239" s="93">
        <f t="shared" ref="FA239:FA240" si="3820">FA49+FB239/(1+FA$139)</f>
        <v>0</v>
      </c>
      <c r="FB239" s="93">
        <f t="shared" ref="FB239:FB240" si="3821">FB49+FC239/(1+FB$139)</f>
        <v>0</v>
      </c>
      <c r="FC239" s="93">
        <f t="shared" ref="FC239:FC240" si="3822">FC49+FD239/(1+FC$139)</f>
        <v>0</v>
      </c>
      <c r="FD239" s="93">
        <f t="shared" ref="FD239:FD240" si="3823">FD49+FE239/(1+FD$139)</f>
        <v>0</v>
      </c>
      <c r="FE239" s="93">
        <f t="shared" ref="FE239:FE240" si="3824">FE49+FF239/(1+FE$139)</f>
        <v>0</v>
      </c>
      <c r="FF239" s="93">
        <f t="shared" ref="FF239:FF240" si="3825">FF49+FG239/(1+FF$139)</f>
        <v>0</v>
      </c>
      <c r="FG239" s="93">
        <f t="shared" ref="FG239:FG240" si="3826">FG49+FH239/(1+FG$139)</f>
        <v>0</v>
      </c>
      <c r="FH239" s="93">
        <f t="shared" ref="FH239:FH240" si="3827">FH49+FI239/(1+FH$139)</f>
        <v>0</v>
      </c>
      <c r="FI239" s="93">
        <f t="shared" ref="FI239:FI240" si="3828">FI49+FJ239/(1+FI$139)</f>
        <v>0</v>
      </c>
      <c r="FJ239" s="93">
        <f t="shared" ref="FJ239:FJ240" si="3829">FJ49+FK239/(1+FJ$139)</f>
        <v>0</v>
      </c>
      <c r="FK239" s="93">
        <f t="shared" ref="FK239:FK240" si="3830">FK49+FL239/(1+FK$139)</f>
        <v>0</v>
      </c>
      <c r="FL239" s="93">
        <f t="shared" ref="FL239:FL240" si="3831">FL49+FM239/(1+FL$139)</f>
        <v>0</v>
      </c>
      <c r="FM239" s="93">
        <f t="shared" ref="FM239:FM240" si="3832">FM49+FN239/(1+FM$139)</f>
        <v>0</v>
      </c>
      <c r="FN239" s="93">
        <f t="shared" ref="FN239:FN240" si="3833">FN49+FO239/(1+FN$139)</f>
        <v>0</v>
      </c>
      <c r="FO239" s="93">
        <f t="shared" ref="FO239:FO240" si="3834">FO49+FP239/(1+FO$139)</f>
        <v>0</v>
      </c>
      <c r="FP239" s="93">
        <f t="shared" ref="FP239:FP240" si="3835">FP49+FQ239/(1+FP$139)</f>
        <v>0</v>
      </c>
      <c r="FQ239" s="93">
        <f t="shared" ref="FQ239:FQ240" si="3836">FQ49+FR239/(1+FQ$139)</f>
        <v>0</v>
      </c>
      <c r="FR239" s="93">
        <f t="shared" ref="FR239:FR240" si="3837">FR49+FS239/(1+FR$139)</f>
        <v>0</v>
      </c>
      <c r="FS239" s="93">
        <f t="shared" ref="FS239:FS240" si="3838">FS49+FT239/(1+FS$139)</f>
        <v>0</v>
      </c>
      <c r="FT239" s="93">
        <f t="shared" ref="FT239:FT240" si="3839">FT49+FU239/(1+FT$139)</f>
        <v>0</v>
      </c>
      <c r="FU239" s="93">
        <f t="shared" ref="FU239:FU240" si="3840">FU49+FV239/(1+FU$139)</f>
        <v>0</v>
      </c>
      <c r="FV239" s="93">
        <f t="shared" ref="FV239:FV240" si="3841">FV49+FW239/(1+FV$139)</f>
        <v>0</v>
      </c>
      <c r="FW239" s="93">
        <f t="shared" ref="FW239:FW240" si="3842">FW49+FX239/(1+FW$139)</f>
        <v>0</v>
      </c>
      <c r="FX239" s="93">
        <f t="shared" ref="FX239:FX240" si="3843">FX49+FY239/(1+FX$139)</f>
        <v>0</v>
      </c>
      <c r="FY239" s="93">
        <f t="shared" ref="FY239:FY240" si="3844">FY49+FZ239/(1+FY$139)</f>
        <v>0</v>
      </c>
      <c r="FZ239" s="59"/>
    </row>
    <row r="240" spans="1:182" x14ac:dyDescent="0.2">
      <c r="A240" s="92" t="s">
        <v>196</v>
      </c>
      <c r="B240" s="93">
        <f>B50+C240/(1+B$139)</f>
        <v>-17000</v>
      </c>
      <c r="C240" s="93">
        <f t="shared" ref="C240" si="3845">C50+D240/(1+C$139)</f>
        <v>0</v>
      </c>
      <c r="D240" s="93">
        <f t="shared" si="3667"/>
        <v>0</v>
      </c>
      <c r="E240" s="93">
        <f t="shared" si="3668"/>
        <v>0</v>
      </c>
      <c r="F240" s="93">
        <f t="shared" si="3669"/>
        <v>0</v>
      </c>
      <c r="G240" s="93">
        <f t="shared" si="3670"/>
        <v>0</v>
      </c>
      <c r="H240" s="93">
        <f t="shared" si="3671"/>
        <v>0</v>
      </c>
      <c r="I240" s="93">
        <f t="shared" si="3672"/>
        <v>0</v>
      </c>
      <c r="J240" s="93">
        <f t="shared" si="3673"/>
        <v>0</v>
      </c>
      <c r="K240" s="93">
        <f t="shared" si="3674"/>
        <v>0</v>
      </c>
      <c r="L240" s="93">
        <f t="shared" si="3675"/>
        <v>0</v>
      </c>
      <c r="M240" s="93">
        <f t="shared" si="3676"/>
        <v>0</v>
      </c>
      <c r="N240" s="93">
        <f t="shared" si="3677"/>
        <v>0</v>
      </c>
      <c r="O240" s="93">
        <f t="shared" si="3678"/>
        <v>0</v>
      </c>
      <c r="P240" s="93">
        <f t="shared" si="3679"/>
        <v>0</v>
      </c>
      <c r="Q240" s="93">
        <f t="shared" si="3680"/>
        <v>0</v>
      </c>
      <c r="R240" s="93">
        <f t="shared" si="3681"/>
        <v>0</v>
      </c>
      <c r="S240" s="93">
        <f t="shared" si="3682"/>
        <v>0</v>
      </c>
      <c r="T240" s="93">
        <f t="shared" si="3683"/>
        <v>0</v>
      </c>
      <c r="U240" s="93">
        <f t="shared" si="3684"/>
        <v>0</v>
      </c>
      <c r="V240" s="93">
        <f t="shared" si="3685"/>
        <v>0</v>
      </c>
      <c r="W240" s="93">
        <f t="shared" si="3686"/>
        <v>0</v>
      </c>
      <c r="X240" s="93">
        <f t="shared" si="3687"/>
        <v>0</v>
      </c>
      <c r="Y240" s="93">
        <f t="shared" si="3688"/>
        <v>0</v>
      </c>
      <c r="Z240" s="93">
        <f t="shared" si="3689"/>
        <v>0</v>
      </c>
      <c r="AA240" s="93">
        <f t="shared" si="3690"/>
        <v>0</v>
      </c>
      <c r="AB240" s="93">
        <f t="shared" si="3691"/>
        <v>0</v>
      </c>
      <c r="AC240" s="93">
        <f t="shared" si="3692"/>
        <v>0</v>
      </c>
      <c r="AD240" s="93">
        <f t="shared" si="3693"/>
        <v>0</v>
      </c>
      <c r="AE240" s="93">
        <f t="shared" si="3694"/>
        <v>0</v>
      </c>
      <c r="AF240" s="93">
        <f t="shared" si="3695"/>
        <v>0</v>
      </c>
      <c r="AG240" s="93">
        <f t="shared" si="3696"/>
        <v>0</v>
      </c>
      <c r="AH240" s="93">
        <f t="shared" si="3697"/>
        <v>0</v>
      </c>
      <c r="AI240" s="93">
        <f t="shared" si="3698"/>
        <v>0</v>
      </c>
      <c r="AJ240" s="93">
        <f t="shared" si="3699"/>
        <v>0</v>
      </c>
      <c r="AK240" s="93">
        <f t="shared" si="3700"/>
        <v>0</v>
      </c>
      <c r="AL240" s="93">
        <f t="shared" si="3701"/>
        <v>0</v>
      </c>
      <c r="AM240" s="93">
        <f t="shared" si="3702"/>
        <v>0</v>
      </c>
      <c r="AN240" s="93">
        <f t="shared" si="3703"/>
        <v>0</v>
      </c>
      <c r="AO240" s="93">
        <f t="shared" si="3704"/>
        <v>0</v>
      </c>
      <c r="AP240" s="93">
        <f t="shared" si="3705"/>
        <v>0</v>
      </c>
      <c r="AQ240" s="93">
        <f t="shared" si="3706"/>
        <v>0</v>
      </c>
      <c r="AR240" s="93">
        <f t="shared" si="3707"/>
        <v>0</v>
      </c>
      <c r="AS240" s="93">
        <f t="shared" si="3708"/>
        <v>0</v>
      </c>
      <c r="AT240" s="93">
        <f t="shared" si="3709"/>
        <v>0</v>
      </c>
      <c r="AU240" s="93">
        <f t="shared" si="3710"/>
        <v>0</v>
      </c>
      <c r="AV240" s="93">
        <f t="shared" si="3711"/>
        <v>0</v>
      </c>
      <c r="AW240" s="93">
        <f t="shared" si="3712"/>
        <v>0</v>
      </c>
      <c r="AX240" s="93">
        <f t="shared" si="3713"/>
        <v>0</v>
      </c>
      <c r="AY240" s="93">
        <f t="shared" si="3714"/>
        <v>0</v>
      </c>
      <c r="AZ240" s="93">
        <f t="shared" si="3715"/>
        <v>0</v>
      </c>
      <c r="BA240" s="93">
        <f t="shared" si="3716"/>
        <v>0</v>
      </c>
      <c r="BB240" s="93">
        <f t="shared" si="3717"/>
        <v>0</v>
      </c>
      <c r="BC240" s="93">
        <f t="shared" si="3718"/>
        <v>0</v>
      </c>
      <c r="BD240" s="93">
        <f t="shared" si="3719"/>
        <v>0</v>
      </c>
      <c r="BE240" s="93">
        <f t="shared" si="3720"/>
        <v>0</v>
      </c>
      <c r="BF240" s="93">
        <f t="shared" si="3721"/>
        <v>0</v>
      </c>
      <c r="BG240" s="93">
        <f t="shared" si="3722"/>
        <v>0</v>
      </c>
      <c r="BH240" s="93">
        <f t="shared" si="3723"/>
        <v>0</v>
      </c>
      <c r="BI240" s="93">
        <f t="shared" si="3724"/>
        <v>0</v>
      </c>
      <c r="BJ240" s="93">
        <f t="shared" si="3725"/>
        <v>0</v>
      </c>
      <c r="BK240" s="93">
        <f t="shared" si="3726"/>
        <v>0</v>
      </c>
      <c r="BL240" s="93">
        <f t="shared" si="3727"/>
        <v>0</v>
      </c>
      <c r="BM240" s="93">
        <f t="shared" si="3728"/>
        <v>0</v>
      </c>
      <c r="BN240" s="93">
        <f t="shared" si="3729"/>
        <v>0</v>
      </c>
      <c r="BO240" s="93">
        <f t="shared" si="3730"/>
        <v>0</v>
      </c>
      <c r="BP240" s="93">
        <f t="shared" si="3731"/>
        <v>0</v>
      </c>
      <c r="BQ240" s="93">
        <f t="shared" si="3732"/>
        <v>0</v>
      </c>
      <c r="BR240" s="93">
        <f t="shared" si="3733"/>
        <v>0</v>
      </c>
      <c r="BS240" s="93">
        <f t="shared" si="3734"/>
        <v>0</v>
      </c>
      <c r="BT240" s="93">
        <f t="shared" si="3735"/>
        <v>0</v>
      </c>
      <c r="BU240" s="93">
        <f t="shared" si="3736"/>
        <v>0</v>
      </c>
      <c r="BV240" s="93">
        <f t="shared" si="3737"/>
        <v>0</v>
      </c>
      <c r="BW240" s="93">
        <f t="shared" si="3738"/>
        <v>0</v>
      </c>
      <c r="BX240" s="93">
        <f t="shared" si="3739"/>
        <v>0</v>
      </c>
      <c r="BY240" s="93">
        <f t="shared" si="3740"/>
        <v>0</v>
      </c>
      <c r="BZ240" s="93">
        <f t="shared" si="3741"/>
        <v>0</v>
      </c>
      <c r="CA240" s="93">
        <f t="shared" si="3742"/>
        <v>0</v>
      </c>
      <c r="CB240" s="93">
        <f t="shared" si="3743"/>
        <v>0</v>
      </c>
      <c r="CC240" s="93">
        <f t="shared" si="3744"/>
        <v>0</v>
      </c>
      <c r="CD240" s="93">
        <f t="shared" si="3745"/>
        <v>0</v>
      </c>
      <c r="CE240" s="93">
        <f t="shared" si="3746"/>
        <v>0</v>
      </c>
      <c r="CF240" s="93">
        <f t="shared" si="3747"/>
        <v>0</v>
      </c>
      <c r="CG240" s="93">
        <f t="shared" si="3748"/>
        <v>0</v>
      </c>
      <c r="CH240" s="93">
        <f t="shared" si="3749"/>
        <v>0</v>
      </c>
      <c r="CI240" s="93">
        <f t="shared" si="3750"/>
        <v>0</v>
      </c>
      <c r="CJ240" s="93">
        <f t="shared" si="3751"/>
        <v>0</v>
      </c>
      <c r="CK240" s="93">
        <f t="shared" si="3752"/>
        <v>0</v>
      </c>
      <c r="CL240" s="93">
        <f t="shared" si="3753"/>
        <v>0</v>
      </c>
      <c r="CM240" s="93">
        <f t="shared" si="3754"/>
        <v>0</v>
      </c>
      <c r="CN240" s="93">
        <f t="shared" si="3755"/>
        <v>0</v>
      </c>
      <c r="CO240" s="93">
        <f t="shared" si="3756"/>
        <v>0</v>
      </c>
      <c r="CP240" s="93">
        <f t="shared" si="3757"/>
        <v>0</v>
      </c>
      <c r="CQ240" s="93">
        <f t="shared" si="3758"/>
        <v>0</v>
      </c>
      <c r="CR240" s="93">
        <f t="shared" si="3759"/>
        <v>0</v>
      </c>
      <c r="CS240" s="93">
        <f t="shared" si="3760"/>
        <v>0</v>
      </c>
      <c r="CT240" s="93">
        <f t="shared" si="3761"/>
        <v>0</v>
      </c>
      <c r="CU240" s="93">
        <f t="shared" si="3762"/>
        <v>0</v>
      </c>
      <c r="CV240" s="93">
        <f t="shared" si="3763"/>
        <v>0</v>
      </c>
      <c r="CW240" s="93">
        <f t="shared" si="3764"/>
        <v>0</v>
      </c>
      <c r="CX240" s="93">
        <f t="shared" si="3765"/>
        <v>0</v>
      </c>
      <c r="CY240" s="93">
        <f t="shared" si="3766"/>
        <v>0</v>
      </c>
      <c r="CZ240" s="93">
        <f t="shared" si="3767"/>
        <v>0</v>
      </c>
      <c r="DA240" s="93">
        <f t="shared" si="3768"/>
        <v>0</v>
      </c>
      <c r="DB240" s="93">
        <f t="shared" si="3769"/>
        <v>0</v>
      </c>
      <c r="DC240" s="93">
        <f t="shared" si="3770"/>
        <v>0</v>
      </c>
      <c r="DD240" s="93">
        <f t="shared" si="3771"/>
        <v>0</v>
      </c>
      <c r="DE240" s="93">
        <f t="shared" si="3772"/>
        <v>0</v>
      </c>
      <c r="DF240" s="93">
        <f t="shared" si="3773"/>
        <v>0</v>
      </c>
      <c r="DG240" s="93">
        <f t="shared" si="3774"/>
        <v>0</v>
      </c>
      <c r="DH240" s="93">
        <f t="shared" si="3775"/>
        <v>0</v>
      </c>
      <c r="DI240" s="93">
        <f t="shared" si="3776"/>
        <v>0</v>
      </c>
      <c r="DJ240" s="93">
        <f t="shared" si="3777"/>
        <v>0</v>
      </c>
      <c r="DK240" s="93">
        <f t="shared" si="3778"/>
        <v>0</v>
      </c>
      <c r="DL240" s="93">
        <f t="shared" si="3779"/>
        <v>0</v>
      </c>
      <c r="DM240" s="93">
        <f t="shared" si="3780"/>
        <v>0</v>
      </c>
      <c r="DN240" s="93">
        <f t="shared" si="3781"/>
        <v>0</v>
      </c>
      <c r="DO240" s="93">
        <f t="shared" si="3782"/>
        <v>0</v>
      </c>
      <c r="DP240" s="93">
        <f t="shared" si="3783"/>
        <v>0</v>
      </c>
      <c r="DQ240" s="93">
        <f t="shared" si="3784"/>
        <v>0</v>
      </c>
      <c r="DR240" s="93">
        <f t="shared" si="3785"/>
        <v>0</v>
      </c>
      <c r="DS240" s="93">
        <f t="shared" si="3786"/>
        <v>0</v>
      </c>
      <c r="DT240" s="93">
        <f t="shared" si="3787"/>
        <v>0</v>
      </c>
      <c r="DU240" s="93">
        <f t="shared" si="3788"/>
        <v>0</v>
      </c>
      <c r="DV240" s="93">
        <f t="shared" si="3789"/>
        <v>0</v>
      </c>
      <c r="DW240" s="93">
        <f t="shared" si="3790"/>
        <v>0</v>
      </c>
      <c r="DX240" s="93">
        <f t="shared" si="3791"/>
        <v>0</v>
      </c>
      <c r="DY240" s="93">
        <f t="shared" si="3792"/>
        <v>0</v>
      </c>
      <c r="DZ240" s="93">
        <f t="shared" si="3793"/>
        <v>0</v>
      </c>
      <c r="EA240" s="93">
        <f t="shared" si="3794"/>
        <v>0</v>
      </c>
      <c r="EB240" s="93">
        <f t="shared" si="3795"/>
        <v>0</v>
      </c>
      <c r="EC240" s="93">
        <f t="shared" si="3796"/>
        <v>0</v>
      </c>
      <c r="ED240" s="93">
        <f t="shared" si="3797"/>
        <v>0</v>
      </c>
      <c r="EE240" s="93">
        <f t="shared" si="3798"/>
        <v>0</v>
      </c>
      <c r="EF240" s="93">
        <f t="shared" si="3799"/>
        <v>0</v>
      </c>
      <c r="EG240" s="93">
        <f t="shared" si="3800"/>
        <v>0</v>
      </c>
      <c r="EH240" s="93">
        <f t="shared" si="3801"/>
        <v>0</v>
      </c>
      <c r="EI240" s="93">
        <f t="shared" si="3802"/>
        <v>0</v>
      </c>
      <c r="EJ240" s="93">
        <f t="shared" si="3803"/>
        <v>0</v>
      </c>
      <c r="EK240" s="93">
        <f t="shared" si="3804"/>
        <v>0</v>
      </c>
      <c r="EL240" s="93">
        <f t="shared" si="3805"/>
        <v>0</v>
      </c>
      <c r="EM240" s="93">
        <f t="shared" si="3806"/>
        <v>0</v>
      </c>
      <c r="EN240" s="93">
        <f t="shared" si="3807"/>
        <v>0</v>
      </c>
      <c r="EO240" s="93">
        <f t="shared" si="3808"/>
        <v>0</v>
      </c>
      <c r="EP240" s="93">
        <f t="shared" si="3809"/>
        <v>0</v>
      </c>
      <c r="EQ240" s="93">
        <f t="shared" si="3810"/>
        <v>0</v>
      </c>
      <c r="ER240" s="93">
        <f t="shared" si="3811"/>
        <v>0</v>
      </c>
      <c r="ES240" s="93">
        <f t="shared" si="3812"/>
        <v>0</v>
      </c>
      <c r="ET240" s="93">
        <f t="shared" si="3813"/>
        <v>0</v>
      </c>
      <c r="EU240" s="93">
        <f t="shared" si="3814"/>
        <v>0</v>
      </c>
      <c r="EV240" s="93">
        <f t="shared" si="3815"/>
        <v>0</v>
      </c>
      <c r="EW240" s="93">
        <f t="shared" si="3816"/>
        <v>0</v>
      </c>
      <c r="EX240" s="93">
        <f t="shared" si="3817"/>
        <v>0</v>
      </c>
      <c r="EY240" s="93">
        <f t="shared" si="3818"/>
        <v>0</v>
      </c>
      <c r="EZ240" s="93">
        <f t="shared" si="3819"/>
        <v>0</v>
      </c>
      <c r="FA240" s="93">
        <f t="shared" si="3820"/>
        <v>0</v>
      </c>
      <c r="FB240" s="93">
        <f t="shared" si="3821"/>
        <v>0</v>
      </c>
      <c r="FC240" s="93">
        <f t="shared" si="3822"/>
        <v>0</v>
      </c>
      <c r="FD240" s="93">
        <f t="shared" si="3823"/>
        <v>0</v>
      </c>
      <c r="FE240" s="93">
        <f t="shared" si="3824"/>
        <v>0</v>
      </c>
      <c r="FF240" s="93">
        <f t="shared" si="3825"/>
        <v>0</v>
      </c>
      <c r="FG240" s="93">
        <f t="shared" si="3826"/>
        <v>0</v>
      </c>
      <c r="FH240" s="93">
        <f t="shared" si="3827"/>
        <v>0</v>
      </c>
      <c r="FI240" s="93">
        <f t="shared" si="3828"/>
        <v>0</v>
      </c>
      <c r="FJ240" s="93">
        <f t="shared" si="3829"/>
        <v>0</v>
      </c>
      <c r="FK240" s="93">
        <f t="shared" si="3830"/>
        <v>0</v>
      </c>
      <c r="FL240" s="93">
        <f t="shared" si="3831"/>
        <v>0</v>
      </c>
      <c r="FM240" s="93">
        <f t="shared" si="3832"/>
        <v>0</v>
      </c>
      <c r="FN240" s="93">
        <f t="shared" si="3833"/>
        <v>0</v>
      </c>
      <c r="FO240" s="93">
        <f t="shared" si="3834"/>
        <v>0</v>
      </c>
      <c r="FP240" s="93">
        <f t="shared" si="3835"/>
        <v>0</v>
      </c>
      <c r="FQ240" s="93">
        <f t="shared" si="3836"/>
        <v>0</v>
      </c>
      <c r="FR240" s="93">
        <f t="shared" si="3837"/>
        <v>0</v>
      </c>
      <c r="FS240" s="93">
        <f t="shared" si="3838"/>
        <v>0</v>
      </c>
      <c r="FT240" s="93">
        <f t="shared" si="3839"/>
        <v>0</v>
      </c>
      <c r="FU240" s="93">
        <f t="shared" si="3840"/>
        <v>0</v>
      </c>
      <c r="FV240" s="93">
        <f t="shared" si="3841"/>
        <v>0</v>
      </c>
      <c r="FW240" s="93">
        <f t="shared" si="3842"/>
        <v>0</v>
      </c>
      <c r="FX240" s="93">
        <f t="shared" si="3843"/>
        <v>0</v>
      </c>
      <c r="FY240" s="93">
        <f t="shared" si="3844"/>
        <v>0</v>
      </c>
      <c r="FZ240" s="59"/>
    </row>
    <row r="241" spans="1:182" x14ac:dyDescent="0.2">
      <c r="A241" s="66" t="s">
        <v>197</v>
      </c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AH241" s="67"/>
      <c r="AI241" s="67"/>
      <c r="AJ241" s="67"/>
      <c r="AK241" s="67"/>
      <c r="AL241" s="67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  <c r="BI241" s="67"/>
      <c r="BJ241" s="67"/>
      <c r="BK241" s="67"/>
      <c r="BL241" s="67"/>
      <c r="BM241" s="67"/>
      <c r="BN241" s="67"/>
      <c r="BO241" s="67"/>
      <c r="BP241" s="67"/>
      <c r="BQ241" s="67"/>
      <c r="BR241" s="67"/>
      <c r="BS241" s="67"/>
      <c r="BT241" s="67"/>
      <c r="BU241" s="67"/>
      <c r="BV241" s="67"/>
      <c r="BW241" s="67"/>
      <c r="BX241" s="67"/>
      <c r="BY241" s="67"/>
      <c r="BZ241" s="67"/>
      <c r="CA241" s="67"/>
      <c r="CB241" s="67"/>
      <c r="CC241" s="67"/>
      <c r="CD241" s="67"/>
      <c r="CE241" s="67"/>
      <c r="CF241" s="67"/>
      <c r="CG241" s="67"/>
      <c r="CH241" s="67"/>
      <c r="CI241" s="67"/>
      <c r="CJ241" s="67"/>
      <c r="CK241" s="67"/>
      <c r="CL241" s="67"/>
      <c r="CM241" s="67"/>
      <c r="CN241" s="67"/>
      <c r="CO241" s="67"/>
      <c r="CP241" s="67"/>
      <c r="CQ241" s="67"/>
      <c r="CR241" s="67"/>
      <c r="CS241" s="67"/>
      <c r="CT241" s="67"/>
      <c r="CU241" s="67"/>
      <c r="CV241" s="67"/>
      <c r="CW241" s="67"/>
      <c r="CX241" s="67"/>
      <c r="CY241" s="67"/>
      <c r="CZ241" s="67"/>
      <c r="DA241" s="67"/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/>
      <c r="DQ241" s="67"/>
      <c r="DR241" s="67"/>
      <c r="DS241" s="67"/>
      <c r="DT241" s="67"/>
      <c r="DU241" s="67"/>
      <c r="DV241" s="67"/>
      <c r="DW241" s="67"/>
      <c r="DX241" s="67"/>
      <c r="DY241" s="67"/>
      <c r="DZ241" s="67"/>
      <c r="EA241" s="67"/>
      <c r="EB241" s="67"/>
      <c r="EC241" s="67"/>
      <c r="ED241" s="67"/>
      <c r="EE241" s="67"/>
      <c r="EF241" s="67"/>
      <c r="EG241" s="67"/>
      <c r="EH241" s="67"/>
      <c r="EI241" s="67"/>
      <c r="EJ241" s="67"/>
      <c r="EK241" s="67"/>
      <c r="EL241" s="67"/>
      <c r="EM241" s="67"/>
      <c r="EN241" s="67"/>
      <c r="EO241" s="67"/>
      <c r="EP241" s="67"/>
      <c r="EQ241" s="67"/>
      <c r="ER241" s="67"/>
      <c r="ES241" s="67"/>
      <c r="ET241" s="67"/>
      <c r="EU241" s="67"/>
      <c r="EV241" s="67"/>
      <c r="EW241" s="67"/>
      <c r="EX241" s="67"/>
      <c r="EY241" s="67"/>
      <c r="EZ241" s="67"/>
      <c r="FA241" s="67"/>
      <c r="FB241" s="67"/>
      <c r="FC241" s="67"/>
      <c r="FD241" s="67"/>
      <c r="FE241" s="67"/>
      <c r="FF241" s="67"/>
      <c r="FG241" s="67"/>
      <c r="FH241" s="67"/>
      <c r="FI241" s="67"/>
      <c r="FJ241" s="67"/>
      <c r="FK241" s="67"/>
      <c r="FL241" s="67"/>
      <c r="FM241" s="67"/>
      <c r="FN241" s="67"/>
      <c r="FO241" s="67"/>
      <c r="FP241" s="67"/>
      <c r="FQ241" s="67"/>
      <c r="FR241" s="67"/>
      <c r="FS241" s="67"/>
      <c r="FT241" s="67"/>
      <c r="FU241" s="67"/>
      <c r="FV241" s="67"/>
      <c r="FW241" s="67"/>
      <c r="FX241" s="67"/>
      <c r="FY241" s="67"/>
      <c r="FZ241" s="59"/>
    </row>
    <row r="242" spans="1:182" x14ac:dyDescent="0.2">
      <c r="A242" s="66" t="s">
        <v>198</v>
      </c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AH242" s="67"/>
      <c r="AI242" s="67"/>
      <c r="AJ242" s="67"/>
      <c r="AK242" s="67"/>
      <c r="AL242" s="67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  <c r="BI242" s="67"/>
      <c r="BJ242" s="67"/>
      <c r="BK242" s="67"/>
      <c r="BL242" s="67"/>
      <c r="BM242" s="67"/>
      <c r="BN242" s="67"/>
      <c r="BO242" s="67"/>
      <c r="BP242" s="67"/>
      <c r="BQ242" s="67"/>
      <c r="BR242" s="67"/>
      <c r="BS242" s="67"/>
      <c r="BT242" s="67"/>
      <c r="BU242" s="67"/>
      <c r="BV242" s="67"/>
      <c r="BW242" s="67"/>
      <c r="BX242" s="67"/>
      <c r="BY242" s="67"/>
      <c r="BZ242" s="67"/>
      <c r="CA242" s="67"/>
      <c r="CB242" s="67"/>
      <c r="CC242" s="67"/>
      <c r="CD242" s="67"/>
      <c r="CE242" s="67"/>
      <c r="CF242" s="67"/>
      <c r="CG242" s="67"/>
      <c r="CH242" s="67"/>
      <c r="CI242" s="67"/>
      <c r="CJ242" s="67"/>
      <c r="CK242" s="67"/>
      <c r="CL242" s="67"/>
      <c r="CM242" s="67"/>
      <c r="CN242" s="67"/>
      <c r="CO242" s="67"/>
      <c r="CP242" s="67"/>
      <c r="CQ242" s="67"/>
      <c r="CR242" s="67"/>
      <c r="CS242" s="67"/>
      <c r="CT242" s="67"/>
      <c r="CU242" s="67"/>
      <c r="CV242" s="67"/>
      <c r="CW242" s="67"/>
      <c r="CX242" s="67"/>
      <c r="CY242" s="67"/>
      <c r="CZ242" s="67"/>
      <c r="DA242" s="67"/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/>
      <c r="DQ242" s="67"/>
      <c r="DR242" s="67"/>
      <c r="DS242" s="67"/>
      <c r="DT242" s="67"/>
      <c r="DU242" s="67"/>
      <c r="DV242" s="67"/>
      <c r="DW242" s="67"/>
      <c r="DX242" s="67"/>
      <c r="DY242" s="67"/>
      <c r="DZ242" s="67"/>
      <c r="EA242" s="67"/>
      <c r="EB242" s="67"/>
      <c r="EC242" s="67"/>
      <c r="ED242" s="67"/>
      <c r="EE242" s="67"/>
      <c r="EF242" s="67"/>
      <c r="EG242" s="67"/>
      <c r="EH242" s="67"/>
      <c r="EI242" s="67"/>
      <c r="EJ242" s="67"/>
      <c r="EK242" s="67"/>
      <c r="EL242" s="67"/>
      <c r="EM242" s="67"/>
      <c r="EN242" s="67"/>
      <c r="EO242" s="67"/>
      <c r="EP242" s="67"/>
      <c r="EQ242" s="67"/>
      <c r="ER242" s="67"/>
      <c r="ES242" s="67"/>
      <c r="ET242" s="67"/>
      <c r="EU242" s="67"/>
      <c r="EV242" s="67"/>
      <c r="EW242" s="67"/>
      <c r="EX242" s="67"/>
      <c r="EY242" s="67"/>
      <c r="EZ242" s="67"/>
      <c r="FA242" s="67"/>
      <c r="FB242" s="67"/>
      <c r="FC242" s="67"/>
      <c r="FD242" s="67"/>
      <c r="FE242" s="67"/>
      <c r="FF242" s="67"/>
      <c r="FG242" s="67"/>
      <c r="FH242" s="67"/>
      <c r="FI242" s="67"/>
      <c r="FJ242" s="67"/>
      <c r="FK242" s="67"/>
      <c r="FL242" s="67"/>
      <c r="FM242" s="67"/>
      <c r="FN242" s="67"/>
      <c r="FO242" s="67"/>
      <c r="FP242" s="67"/>
      <c r="FQ242" s="67"/>
      <c r="FR242" s="67"/>
      <c r="FS242" s="67"/>
      <c r="FT242" s="67"/>
      <c r="FU242" s="67"/>
      <c r="FV242" s="67"/>
      <c r="FW242" s="67"/>
      <c r="FX242" s="67"/>
      <c r="FY242" s="67"/>
      <c r="FZ242" s="59"/>
    </row>
    <row r="243" spans="1:182" x14ac:dyDescent="0.2">
      <c r="A243" s="66" t="s">
        <v>199</v>
      </c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AH243" s="67"/>
      <c r="AI243" s="67"/>
      <c r="AJ243" s="67"/>
      <c r="AK243" s="67"/>
      <c r="AL243" s="67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  <c r="BI243" s="67"/>
      <c r="BJ243" s="67"/>
      <c r="BK243" s="67"/>
      <c r="BL243" s="67"/>
      <c r="BM243" s="67"/>
      <c r="BN243" s="67"/>
      <c r="BO243" s="67"/>
      <c r="BP243" s="67"/>
      <c r="BQ243" s="67"/>
      <c r="BR243" s="67"/>
      <c r="BS243" s="67"/>
      <c r="BT243" s="67"/>
      <c r="BU243" s="67"/>
      <c r="BV243" s="67"/>
      <c r="BW243" s="67"/>
      <c r="BX243" s="67"/>
      <c r="BY243" s="67"/>
      <c r="BZ243" s="67"/>
      <c r="CA243" s="67"/>
      <c r="CB243" s="67"/>
      <c r="CC243" s="67"/>
      <c r="CD243" s="67"/>
      <c r="CE243" s="67"/>
      <c r="CF243" s="67"/>
      <c r="CG243" s="67"/>
      <c r="CH243" s="67"/>
      <c r="CI243" s="67"/>
      <c r="CJ243" s="67"/>
      <c r="CK243" s="67"/>
      <c r="CL243" s="67"/>
      <c r="CM243" s="67"/>
      <c r="CN243" s="67"/>
      <c r="CO243" s="67"/>
      <c r="CP243" s="67"/>
      <c r="CQ243" s="67"/>
      <c r="CR243" s="67"/>
      <c r="CS243" s="67"/>
      <c r="CT243" s="67"/>
      <c r="CU243" s="67"/>
      <c r="CV243" s="67"/>
      <c r="CW243" s="67"/>
      <c r="CX243" s="67"/>
      <c r="CY243" s="67"/>
      <c r="CZ243" s="67"/>
      <c r="DA243" s="67"/>
      <c r="DB243" s="67"/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/>
      <c r="DQ243" s="67"/>
      <c r="DR243" s="67"/>
      <c r="DS243" s="67"/>
      <c r="DT243" s="67"/>
      <c r="DU243" s="67"/>
      <c r="DV243" s="67"/>
      <c r="DW243" s="67"/>
      <c r="DX243" s="67"/>
      <c r="DY243" s="67"/>
      <c r="DZ243" s="67"/>
      <c r="EA243" s="67"/>
      <c r="EB243" s="67"/>
      <c r="EC243" s="67"/>
      <c r="ED243" s="67"/>
      <c r="EE243" s="67"/>
      <c r="EF243" s="67"/>
      <c r="EG243" s="67"/>
      <c r="EH243" s="67"/>
      <c r="EI243" s="67"/>
      <c r="EJ243" s="67"/>
      <c r="EK243" s="67"/>
      <c r="EL243" s="67"/>
      <c r="EM243" s="67"/>
      <c r="EN243" s="67"/>
      <c r="EO243" s="67"/>
      <c r="EP243" s="67"/>
      <c r="EQ243" s="67"/>
      <c r="ER243" s="67"/>
      <c r="ES243" s="67"/>
      <c r="ET243" s="67"/>
      <c r="EU243" s="67"/>
      <c r="EV243" s="67"/>
      <c r="EW243" s="67"/>
      <c r="EX243" s="67"/>
      <c r="EY243" s="67"/>
      <c r="EZ243" s="67"/>
      <c r="FA243" s="67"/>
      <c r="FB243" s="67"/>
      <c r="FC243" s="67"/>
      <c r="FD243" s="67"/>
      <c r="FE243" s="67"/>
      <c r="FF243" s="67"/>
      <c r="FG243" s="67"/>
      <c r="FH243" s="67"/>
      <c r="FI243" s="67"/>
      <c r="FJ243" s="67"/>
      <c r="FK243" s="67"/>
      <c r="FL243" s="67"/>
      <c r="FM243" s="67"/>
      <c r="FN243" s="67"/>
      <c r="FO243" s="67"/>
      <c r="FP243" s="67"/>
      <c r="FQ243" s="67"/>
      <c r="FR243" s="67"/>
      <c r="FS243" s="67"/>
      <c r="FT243" s="67"/>
      <c r="FU243" s="67"/>
      <c r="FV243" s="67"/>
      <c r="FW243" s="67"/>
      <c r="FX243" s="67"/>
      <c r="FY243" s="67"/>
      <c r="FZ243" s="59"/>
    </row>
    <row r="244" spans="1:182" x14ac:dyDescent="0.2">
      <c r="A244" s="92" t="s">
        <v>200</v>
      </c>
      <c r="B244" s="93">
        <f>(B54+C244)/(1+B$139)</f>
        <v>-2938.9285929326288</v>
      </c>
      <c r="C244" s="93">
        <f t="shared" ref="C244" si="3846">(C54+D244)/(1+C$139)</f>
        <v>-2837.1995685950474</v>
      </c>
      <c r="D244" s="93">
        <f t="shared" ref="D244" si="3847">(D54+E244)/(1+D$139)</f>
        <v>-2738.3886306808977</v>
      </c>
      <c r="E244" s="93">
        <f t="shared" ref="E244" si="3848">(E54+F244)/(1+E$139)</f>
        <v>-2642.5032148726636</v>
      </c>
      <c r="F244" s="93">
        <f t="shared" ref="F244" si="3849">(F54+G244)/(1+F$139)</f>
        <v>-2549.550795686981</v>
      </c>
      <c r="G244" s="93">
        <f t="shared" ref="G244" si="3850">(G54+H244)/(1+G$139)</f>
        <v>-2459.5388866375183</v>
      </c>
      <c r="H244" s="93">
        <f t="shared" ref="H244" si="3851">(H54+I244)/(1+H$139)</f>
        <v>-2372.4750403985749</v>
      </c>
      <c r="I244" s="93">
        <f t="shared" ref="I244" si="3852">(I54+J244)/(1+I$139)</f>
        <v>-2288.3668489694028</v>
      </c>
      <c r="J244" s="93">
        <f t="shared" ref="J244" si="3853">(J54+K244)/(1+J$139)</f>
        <v>-2207.2219438392508</v>
      </c>
      <c r="K244" s="93">
        <f t="shared" ref="K244" si="3854">(K54+L244)/(1+K$139)</f>
        <v>-2129.0479961531387</v>
      </c>
      <c r="L244" s="93">
        <f t="shared" ref="L244" si="3855">(L54+M244)/(1+L$139)</f>
        <v>-2053.8527168783603</v>
      </c>
      <c r="M244" s="93">
        <f t="shared" ref="M244" si="3856">(M54+N244)/(1+M$139)</f>
        <v>-1981.6438569717207</v>
      </c>
      <c r="N244" s="93">
        <f t="shared" ref="N244" si="3857">(N54+O244)/(1+N$139)</f>
        <v>-1912.4292075475128</v>
      </c>
      <c r="O244" s="93">
        <f t="shared" ref="O244" si="3858">(O54+P244)/(1+O$139)</f>
        <v>-1770.9558943080986</v>
      </c>
      <c r="P244" s="93">
        <f t="shared" ref="P244" si="3859">(P54+Q244)/(1+P$139)</f>
        <v>-1635.5965033265556</v>
      </c>
      <c r="Q244" s="93">
        <f t="shared" ref="Q244" si="3860">(Q54+R244)/(1+Q$139)</f>
        <v>-1506.3576368848567</v>
      </c>
      <c r="R244" s="93">
        <f t="shared" ref="R244" si="3861">(R54+S244)/(1+R$139)</f>
        <v>-1383.245971657733</v>
      </c>
      <c r="S244" s="93">
        <f t="shared" ref="S244" si="3862">(S54+T244)/(1+S$139)</f>
        <v>-1266.2682589456674</v>
      </c>
      <c r="T244" s="93">
        <f t="shared" ref="T244" si="3863">(T54+U244)/(1+T$139)</f>
        <v>-1155.4313249090806</v>
      </c>
      <c r="U244" s="93">
        <f t="shared" ref="U244" si="3864">(U54+V244)/(1+U$139)</f>
        <v>-1050.7420708037121</v>
      </c>
      <c r="V244" s="93">
        <f t="shared" ref="V244" si="3865">(V54+W244)/(1+V$139)</f>
        <v>-952.20747321720557</v>
      </c>
      <c r="W244" s="93">
        <f t="shared" ref="W244" si="3866">(W54+X244)/(1+W$139)</f>
        <v>-859.83458430690007</v>
      </c>
      <c r="X244" s="93">
        <f t="shared" ref="X244" si="3867">(X54+Y244)/(1+X$139)</f>
        <v>-773.63053203883271</v>
      </c>
      <c r="Y244" s="93">
        <f t="shared" ref="Y244" si="3868">(Y54+Z244)/(1+Y$139)</f>
        <v>-693.60252042795901</v>
      </c>
      <c r="Z244" s="93">
        <f t="shared" ref="Z244" si="3869">(Z54+AA244)/(1+Z$139)</f>
        <v>-619.75782977959489</v>
      </c>
      <c r="AA244" s="93">
        <f t="shared" ref="AA244" si="3870">(AA54+AB244)/(1+AA$139)</f>
        <v>-516.42807501738025</v>
      </c>
      <c r="AB244" s="93">
        <f t="shared" ref="AB244" si="3871">(AB54+AC244)/(1+AB$139)</f>
        <v>-422.50298284177779</v>
      </c>
      <c r="AC244" s="93">
        <f t="shared" ref="AC244" si="3872">(AC54+AD244)/(1+AC$139)</f>
        <v>-337.9799374131382</v>
      </c>
      <c r="AD244" s="93">
        <f t="shared" ref="AD244" si="3873">(AD54+AE244)/(1+AD$139)</f>
        <v>-262.85645795997607</v>
      </c>
      <c r="AE244" s="93">
        <f t="shared" ref="AE244" si="3874">(AE54+AF244)/(1+AE$139)</f>
        <v>-197.13019893159614</v>
      </c>
      <c r="AF244" s="93">
        <f t="shared" ref="AF244" si="3875">(AF54+AG244)/(1+AF$139)</f>
        <v>-140.7989501526115</v>
      </c>
      <c r="AG244" s="93">
        <f t="shared" ref="AG244" si="3876">(AG54+AH244)/(1+AG$139)</f>
        <v>-93.860636979359398</v>
      </c>
      <c r="AH244" s="93">
        <f t="shared" ref="AH244" si="3877">(AH54+AI244)/(1+AH$139)</f>
        <v>-56.31332045821884</v>
      </c>
      <c r="AI244" s="93">
        <f t="shared" ref="AI244" si="3878">(AI54+AJ244)/(1+AI$139)</f>
        <v>-28.155197485835728</v>
      </c>
      <c r="AJ244" s="93">
        <f t="shared" ref="AJ244" si="3879">(AJ54+AK244)/(1+AJ$139)</f>
        <v>-9.3846009712599514</v>
      </c>
      <c r="AK244" s="93">
        <f t="shared" ref="AK244" si="3880">(AK54+AL244)/(1+AK$139)</f>
        <v>0</v>
      </c>
      <c r="AL244" s="93">
        <f t="shared" ref="AL244" si="3881">(AL54+AM244)/(1+AL$139)</f>
        <v>0</v>
      </c>
      <c r="AM244" s="93">
        <f t="shared" ref="AM244" si="3882">(AM54+AN244)/(1+AM$139)</f>
        <v>0</v>
      </c>
      <c r="AN244" s="93">
        <f t="shared" ref="AN244" si="3883">(AN54+AO244)/(1+AN$139)</f>
        <v>0</v>
      </c>
      <c r="AO244" s="93">
        <f t="shared" ref="AO244" si="3884">(AO54+AP244)/(1+AO$139)</f>
        <v>0</v>
      </c>
      <c r="AP244" s="93">
        <f t="shared" ref="AP244" si="3885">(AP54+AQ244)/(1+AP$139)</f>
        <v>0</v>
      </c>
      <c r="AQ244" s="93">
        <f t="shared" ref="AQ244" si="3886">(AQ54+AR244)/(1+AQ$139)</f>
        <v>0</v>
      </c>
      <c r="AR244" s="93">
        <f t="shared" ref="AR244" si="3887">(AR54+AS244)/(1+AR$139)</f>
        <v>0</v>
      </c>
      <c r="AS244" s="93">
        <f t="shared" ref="AS244" si="3888">(AS54+AT244)/(1+AS$139)</f>
        <v>0</v>
      </c>
      <c r="AT244" s="93">
        <f t="shared" ref="AT244" si="3889">(AT54+AU244)/(1+AT$139)</f>
        <v>0</v>
      </c>
      <c r="AU244" s="93">
        <f t="shared" ref="AU244" si="3890">(AU54+AV244)/(1+AU$139)</f>
        <v>0</v>
      </c>
      <c r="AV244" s="93">
        <f t="shared" ref="AV244" si="3891">(AV54+AW244)/(1+AV$139)</f>
        <v>0</v>
      </c>
      <c r="AW244" s="93">
        <f t="shared" ref="AW244" si="3892">(AW54+AX244)/(1+AW$139)</f>
        <v>0</v>
      </c>
      <c r="AX244" s="93">
        <f t="shared" ref="AX244" si="3893">(AX54+AY244)/(1+AX$139)</f>
        <v>0</v>
      </c>
      <c r="AY244" s="93">
        <f t="shared" ref="AY244" si="3894">(AY54+AZ244)/(1+AY$139)</f>
        <v>0</v>
      </c>
      <c r="AZ244" s="93">
        <f t="shared" ref="AZ244" si="3895">(AZ54+BA244)/(1+AZ$139)</f>
        <v>0</v>
      </c>
      <c r="BA244" s="93">
        <f t="shared" ref="BA244" si="3896">(BA54+BB244)/(1+BA$139)</f>
        <v>0</v>
      </c>
      <c r="BB244" s="93">
        <f t="shared" ref="BB244" si="3897">(BB54+BC244)/(1+BB$139)</f>
        <v>0</v>
      </c>
      <c r="BC244" s="93">
        <f t="shared" ref="BC244" si="3898">(BC54+BD244)/(1+BC$139)</f>
        <v>0</v>
      </c>
      <c r="BD244" s="93">
        <f t="shared" ref="BD244" si="3899">(BD54+BE244)/(1+BD$139)</f>
        <v>0</v>
      </c>
      <c r="BE244" s="93">
        <f t="shared" ref="BE244" si="3900">(BE54+BF244)/(1+BE$139)</f>
        <v>0</v>
      </c>
      <c r="BF244" s="93">
        <f t="shared" ref="BF244" si="3901">(BF54+BG244)/(1+BF$139)</f>
        <v>0</v>
      </c>
      <c r="BG244" s="93">
        <f t="shared" ref="BG244" si="3902">(BG54+BH244)/(1+BG$139)</f>
        <v>0</v>
      </c>
      <c r="BH244" s="93">
        <f t="shared" ref="BH244" si="3903">(BH54+BI244)/(1+BH$139)</f>
        <v>0</v>
      </c>
      <c r="BI244" s="93">
        <f t="shared" ref="BI244" si="3904">(BI54+BJ244)/(1+BI$139)</f>
        <v>0</v>
      </c>
      <c r="BJ244" s="93">
        <f t="shared" ref="BJ244" si="3905">(BJ54+BK244)/(1+BJ$139)</f>
        <v>0</v>
      </c>
      <c r="BK244" s="93">
        <f t="shared" ref="BK244" si="3906">(BK54+BL244)/(1+BK$139)</f>
        <v>0</v>
      </c>
      <c r="BL244" s="93">
        <f t="shared" ref="BL244" si="3907">(BL54+BM244)/(1+BL$139)</f>
        <v>0</v>
      </c>
      <c r="BM244" s="93">
        <f t="shared" ref="BM244" si="3908">(BM54+BN244)/(1+BM$139)</f>
        <v>0</v>
      </c>
      <c r="BN244" s="93">
        <f t="shared" ref="BN244" si="3909">(BN54+BO244)/(1+BN$139)</f>
        <v>0</v>
      </c>
      <c r="BO244" s="93">
        <f t="shared" ref="BO244" si="3910">(BO54+BP244)/(1+BO$139)</f>
        <v>0</v>
      </c>
      <c r="BP244" s="93">
        <f t="shared" ref="BP244" si="3911">(BP54+BQ244)/(1+BP$139)</f>
        <v>0</v>
      </c>
      <c r="BQ244" s="93">
        <f t="shared" ref="BQ244" si="3912">(BQ54+BR244)/(1+BQ$139)</f>
        <v>0</v>
      </c>
      <c r="BR244" s="93">
        <f t="shared" ref="BR244" si="3913">(BR54+BS244)/(1+BR$139)</f>
        <v>0</v>
      </c>
      <c r="BS244" s="93">
        <f t="shared" ref="BS244" si="3914">(BS54+BT244)/(1+BS$139)</f>
        <v>0</v>
      </c>
      <c r="BT244" s="93">
        <f t="shared" ref="BT244" si="3915">(BT54+BU244)/(1+BT$139)</f>
        <v>0</v>
      </c>
      <c r="BU244" s="93">
        <f t="shared" ref="BU244" si="3916">(BU54+BV244)/(1+BU$139)</f>
        <v>0</v>
      </c>
      <c r="BV244" s="93">
        <f t="shared" ref="BV244" si="3917">(BV54+BW244)/(1+BV$139)</f>
        <v>0</v>
      </c>
      <c r="BW244" s="93">
        <f t="shared" ref="BW244" si="3918">(BW54+BX244)/(1+BW$139)</f>
        <v>0</v>
      </c>
      <c r="BX244" s="93">
        <f t="shared" ref="BX244" si="3919">(BX54+BY244)/(1+BX$139)</f>
        <v>0</v>
      </c>
      <c r="BY244" s="93">
        <f t="shared" ref="BY244" si="3920">(BY54+BZ244)/(1+BY$139)</f>
        <v>0</v>
      </c>
      <c r="BZ244" s="93">
        <f t="shared" ref="BZ244" si="3921">(BZ54+CA244)/(1+BZ$139)</f>
        <v>0</v>
      </c>
      <c r="CA244" s="93">
        <f t="shared" ref="CA244" si="3922">(CA54+CB244)/(1+CA$139)</f>
        <v>0</v>
      </c>
      <c r="CB244" s="93">
        <f t="shared" ref="CB244" si="3923">(CB54+CC244)/(1+CB$139)</f>
        <v>0</v>
      </c>
      <c r="CC244" s="93">
        <f t="shared" ref="CC244" si="3924">(CC54+CD244)/(1+CC$139)</f>
        <v>0</v>
      </c>
      <c r="CD244" s="93">
        <f t="shared" ref="CD244" si="3925">(CD54+CE244)/(1+CD$139)</f>
        <v>0</v>
      </c>
      <c r="CE244" s="93">
        <f t="shared" ref="CE244" si="3926">(CE54+CF244)/(1+CE$139)</f>
        <v>0</v>
      </c>
      <c r="CF244" s="93">
        <f t="shared" ref="CF244" si="3927">(CF54+CG244)/(1+CF$139)</f>
        <v>0</v>
      </c>
      <c r="CG244" s="93">
        <f t="shared" ref="CG244" si="3928">(CG54+CH244)/(1+CG$139)</f>
        <v>0</v>
      </c>
      <c r="CH244" s="93">
        <f t="shared" ref="CH244" si="3929">(CH54+CI244)/(1+CH$139)</f>
        <v>0</v>
      </c>
      <c r="CI244" s="93">
        <f t="shared" ref="CI244" si="3930">(CI54+CJ244)/(1+CI$139)</f>
        <v>0</v>
      </c>
      <c r="CJ244" s="93">
        <f t="shared" ref="CJ244" si="3931">(CJ54+CK244)/(1+CJ$139)</f>
        <v>0</v>
      </c>
      <c r="CK244" s="93">
        <f t="shared" ref="CK244" si="3932">(CK54+CL244)/(1+CK$139)</f>
        <v>0</v>
      </c>
      <c r="CL244" s="93">
        <f t="shared" ref="CL244" si="3933">(CL54+CM244)/(1+CL$139)</f>
        <v>0</v>
      </c>
      <c r="CM244" s="93">
        <f t="shared" ref="CM244" si="3934">(CM54+CN244)/(1+CM$139)</f>
        <v>0</v>
      </c>
      <c r="CN244" s="93">
        <f t="shared" ref="CN244" si="3935">(CN54+CO244)/(1+CN$139)</f>
        <v>0</v>
      </c>
      <c r="CO244" s="93">
        <f t="shared" ref="CO244" si="3936">(CO54+CP244)/(1+CO$139)</f>
        <v>0</v>
      </c>
      <c r="CP244" s="93">
        <f t="shared" ref="CP244" si="3937">(CP54+CQ244)/(1+CP$139)</f>
        <v>0</v>
      </c>
      <c r="CQ244" s="93">
        <f t="shared" ref="CQ244" si="3938">(CQ54+CR244)/(1+CQ$139)</f>
        <v>0</v>
      </c>
      <c r="CR244" s="93">
        <f t="shared" ref="CR244" si="3939">(CR54+CS244)/(1+CR$139)</f>
        <v>0</v>
      </c>
      <c r="CS244" s="93">
        <f t="shared" ref="CS244" si="3940">(CS54+CT244)/(1+CS$139)</f>
        <v>0</v>
      </c>
      <c r="CT244" s="93">
        <f t="shared" ref="CT244" si="3941">(CT54+CU244)/(1+CT$139)</f>
        <v>0</v>
      </c>
      <c r="CU244" s="93">
        <f t="shared" ref="CU244" si="3942">(CU54+CV244)/(1+CU$139)</f>
        <v>0</v>
      </c>
      <c r="CV244" s="93">
        <f t="shared" ref="CV244" si="3943">(CV54+CW244)/(1+CV$139)</f>
        <v>0</v>
      </c>
      <c r="CW244" s="93">
        <f t="shared" ref="CW244" si="3944">(CW54+CX244)/(1+CW$139)</f>
        <v>0</v>
      </c>
      <c r="CX244" s="93">
        <f t="shared" ref="CX244" si="3945">(CX54+CY244)/(1+CX$139)</f>
        <v>0</v>
      </c>
      <c r="CY244" s="93">
        <f t="shared" ref="CY244" si="3946">(CY54+CZ244)/(1+CY$139)</f>
        <v>0</v>
      </c>
      <c r="CZ244" s="93">
        <f t="shared" ref="CZ244" si="3947">(CZ54+DA244)/(1+CZ$139)</f>
        <v>0</v>
      </c>
      <c r="DA244" s="93">
        <f t="shared" ref="DA244" si="3948">(DA54+DB244)/(1+DA$139)</f>
        <v>0</v>
      </c>
      <c r="DB244" s="93">
        <f t="shared" ref="DB244" si="3949">(DB54+DC244)/(1+DB$139)</f>
        <v>0</v>
      </c>
      <c r="DC244" s="93">
        <f t="shared" ref="DC244" si="3950">(DC54+DD244)/(1+DC$139)</f>
        <v>0</v>
      </c>
      <c r="DD244" s="93">
        <f t="shared" ref="DD244" si="3951">(DD54+DE244)/(1+DD$139)</f>
        <v>0</v>
      </c>
      <c r="DE244" s="93">
        <f t="shared" ref="DE244" si="3952">(DE54+DF244)/(1+DE$139)</f>
        <v>0</v>
      </c>
      <c r="DF244" s="93">
        <f t="shared" ref="DF244" si="3953">(DF54+DG244)/(1+DF$139)</f>
        <v>0</v>
      </c>
      <c r="DG244" s="93">
        <f t="shared" ref="DG244" si="3954">(DG54+DH244)/(1+DG$139)</f>
        <v>0</v>
      </c>
      <c r="DH244" s="93">
        <f t="shared" ref="DH244" si="3955">(DH54+DI244)/(1+DH$139)</f>
        <v>0</v>
      </c>
      <c r="DI244" s="93">
        <f t="shared" ref="DI244" si="3956">(DI54+DJ244)/(1+DI$139)</f>
        <v>0</v>
      </c>
      <c r="DJ244" s="93">
        <f t="shared" ref="DJ244" si="3957">(DJ54+DK244)/(1+DJ$139)</f>
        <v>0</v>
      </c>
      <c r="DK244" s="93">
        <f t="shared" ref="DK244" si="3958">(DK54+DL244)/(1+DK$139)</f>
        <v>0</v>
      </c>
      <c r="DL244" s="93">
        <f t="shared" ref="DL244" si="3959">(DL54+DM244)/(1+DL$139)</f>
        <v>0</v>
      </c>
      <c r="DM244" s="93">
        <f t="shared" ref="DM244" si="3960">(DM54+DN244)/(1+DM$139)</f>
        <v>0</v>
      </c>
      <c r="DN244" s="93">
        <f t="shared" ref="DN244" si="3961">(DN54+DO244)/(1+DN$139)</f>
        <v>0</v>
      </c>
      <c r="DO244" s="93">
        <f t="shared" ref="DO244" si="3962">(DO54+DP244)/(1+DO$139)</f>
        <v>0</v>
      </c>
      <c r="DP244" s="93">
        <f t="shared" ref="DP244" si="3963">(DP54+DQ244)/(1+DP$139)</f>
        <v>0</v>
      </c>
      <c r="DQ244" s="93">
        <f t="shared" ref="DQ244" si="3964">(DQ54+DR244)/(1+DQ$139)</f>
        <v>0</v>
      </c>
      <c r="DR244" s="93">
        <f t="shared" ref="DR244" si="3965">(DR54+DS244)/(1+DR$139)</f>
        <v>0</v>
      </c>
      <c r="DS244" s="93">
        <f t="shared" ref="DS244" si="3966">(DS54+DT244)/(1+DS$139)</f>
        <v>0</v>
      </c>
      <c r="DT244" s="93">
        <f t="shared" ref="DT244" si="3967">(DT54+DU244)/(1+DT$139)</f>
        <v>0</v>
      </c>
      <c r="DU244" s="93">
        <f t="shared" ref="DU244" si="3968">(DU54+DV244)/(1+DU$139)</f>
        <v>0</v>
      </c>
      <c r="DV244" s="93">
        <f t="shared" ref="DV244" si="3969">(DV54+DW244)/(1+DV$139)</f>
        <v>0</v>
      </c>
      <c r="DW244" s="93">
        <f t="shared" ref="DW244" si="3970">(DW54+DX244)/(1+DW$139)</f>
        <v>0</v>
      </c>
      <c r="DX244" s="93">
        <f t="shared" ref="DX244" si="3971">(DX54+DY244)/(1+DX$139)</f>
        <v>0</v>
      </c>
      <c r="DY244" s="93">
        <f t="shared" ref="DY244" si="3972">(DY54+DZ244)/(1+DY$139)</f>
        <v>0</v>
      </c>
      <c r="DZ244" s="93">
        <f t="shared" ref="DZ244" si="3973">(DZ54+EA244)/(1+DZ$139)</f>
        <v>0</v>
      </c>
      <c r="EA244" s="93">
        <f t="shared" ref="EA244" si="3974">(EA54+EB244)/(1+EA$139)</f>
        <v>0</v>
      </c>
      <c r="EB244" s="93">
        <f t="shared" ref="EB244" si="3975">(EB54+EC244)/(1+EB$139)</f>
        <v>0</v>
      </c>
      <c r="EC244" s="93">
        <f t="shared" ref="EC244" si="3976">(EC54+ED244)/(1+EC$139)</f>
        <v>0</v>
      </c>
      <c r="ED244" s="93">
        <f t="shared" ref="ED244" si="3977">(ED54+EE244)/(1+ED$139)</f>
        <v>0</v>
      </c>
      <c r="EE244" s="93">
        <f t="shared" ref="EE244" si="3978">(EE54+EF244)/(1+EE$139)</f>
        <v>0</v>
      </c>
      <c r="EF244" s="93">
        <f t="shared" ref="EF244" si="3979">(EF54+EG244)/(1+EF$139)</f>
        <v>0</v>
      </c>
      <c r="EG244" s="93">
        <f t="shared" ref="EG244" si="3980">(EG54+EH244)/(1+EG$139)</f>
        <v>0</v>
      </c>
      <c r="EH244" s="93">
        <f t="shared" ref="EH244" si="3981">(EH54+EI244)/(1+EH$139)</f>
        <v>0</v>
      </c>
      <c r="EI244" s="93">
        <f t="shared" ref="EI244" si="3982">(EI54+EJ244)/(1+EI$139)</f>
        <v>0</v>
      </c>
      <c r="EJ244" s="93">
        <f t="shared" ref="EJ244" si="3983">(EJ54+EK244)/(1+EJ$139)</f>
        <v>0</v>
      </c>
      <c r="EK244" s="93">
        <f t="shared" ref="EK244" si="3984">(EK54+EL244)/(1+EK$139)</f>
        <v>0</v>
      </c>
      <c r="EL244" s="93">
        <f t="shared" ref="EL244" si="3985">(EL54+EM244)/(1+EL$139)</f>
        <v>0</v>
      </c>
      <c r="EM244" s="93">
        <f t="shared" ref="EM244" si="3986">(EM54+EN244)/(1+EM$139)</f>
        <v>0</v>
      </c>
      <c r="EN244" s="93">
        <f t="shared" ref="EN244" si="3987">(EN54+EO244)/(1+EN$139)</f>
        <v>0</v>
      </c>
      <c r="EO244" s="93">
        <f t="shared" ref="EO244" si="3988">(EO54+EP244)/(1+EO$139)</f>
        <v>0</v>
      </c>
      <c r="EP244" s="93">
        <f t="shared" ref="EP244" si="3989">(EP54+EQ244)/(1+EP$139)</f>
        <v>0</v>
      </c>
      <c r="EQ244" s="93">
        <f t="shared" ref="EQ244" si="3990">(EQ54+ER244)/(1+EQ$139)</f>
        <v>0</v>
      </c>
      <c r="ER244" s="93">
        <f t="shared" ref="ER244" si="3991">(ER54+ES244)/(1+ER$139)</f>
        <v>0</v>
      </c>
      <c r="ES244" s="93">
        <f t="shared" ref="ES244" si="3992">(ES54+ET244)/(1+ES$139)</f>
        <v>0</v>
      </c>
      <c r="ET244" s="93">
        <f t="shared" ref="ET244" si="3993">(ET54+EU244)/(1+ET$139)</f>
        <v>0</v>
      </c>
      <c r="EU244" s="93">
        <f t="shared" ref="EU244" si="3994">(EU54+EV244)/(1+EU$139)</f>
        <v>0</v>
      </c>
      <c r="EV244" s="93">
        <f t="shared" ref="EV244" si="3995">(EV54+EW244)/(1+EV$139)</f>
        <v>0</v>
      </c>
      <c r="EW244" s="93">
        <f t="shared" ref="EW244" si="3996">(EW54+EX244)/(1+EW$139)</f>
        <v>0</v>
      </c>
      <c r="EX244" s="93">
        <f t="shared" ref="EX244" si="3997">(EX54+EY244)/(1+EX$139)</f>
        <v>0</v>
      </c>
      <c r="EY244" s="93">
        <f t="shared" ref="EY244" si="3998">(EY54+EZ244)/(1+EY$139)</f>
        <v>0</v>
      </c>
      <c r="EZ244" s="93">
        <f t="shared" ref="EZ244" si="3999">(EZ54+FA244)/(1+EZ$139)</f>
        <v>0</v>
      </c>
      <c r="FA244" s="93">
        <f t="shared" ref="FA244" si="4000">(FA54+FB244)/(1+FA$139)</f>
        <v>0</v>
      </c>
      <c r="FB244" s="93">
        <f t="shared" ref="FB244" si="4001">(FB54+FC244)/(1+FB$139)</f>
        <v>0</v>
      </c>
      <c r="FC244" s="93">
        <f t="shared" ref="FC244" si="4002">(FC54+FD244)/(1+FC$139)</f>
        <v>0</v>
      </c>
      <c r="FD244" s="93">
        <f t="shared" ref="FD244" si="4003">(FD54+FE244)/(1+FD$139)</f>
        <v>0</v>
      </c>
      <c r="FE244" s="93">
        <f t="shared" ref="FE244" si="4004">(FE54+FF244)/(1+FE$139)</f>
        <v>0</v>
      </c>
      <c r="FF244" s="93">
        <f t="shared" ref="FF244" si="4005">(FF54+FG244)/(1+FF$139)</f>
        <v>0</v>
      </c>
      <c r="FG244" s="93">
        <f t="shared" ref="FG244" si="4006">(FG54+FH244)/(1+FG$139)</f>
        <v>0</v>
      </c>
      <c r="FH244" s="93">
        <f t="shared" ref="FH244" si="4007">(FH54+FI244)/(1+FH$139)</f>
        <v>0</v>
      </c>
      <c r="FI244" s="93">
        <f t="shared" ref="FI244" si="4008">(FI54+FJ244)/(1+FI$139)</f>
        <v>0</v>
      </c>
      <c r="FJ244" s="93">
        <f t="shared" ref="FJ244" si="4009">(FJ54+FK244)/(1+FJ$139)</f>
        <v>0</v>
      </c>
      <c r="FK244" s="93">
        <f t="shared" ref="FK244" si="4010">(FK54+FL244)/(1+FK$139)</f>
        <v>0</v>
      </c>
      <c r="FL244" s="93">
        <f t="shared" ref="FL244" si="4011">(FL54+FM244)/(1+FL$139)</f>
        <v>0</v>
      </c>
      <c r="FM244" s="93">
        <f t="shared" ref="FM244" si="4012">(FM54+FN244)/(1+FM$139)</f>
        <v>0</v>
      </c>
      <c r="FN244" s="93">
        <f t="shared" ref="FN244" si="4013">(FN54+FO244)/(1+FN$139)</f>
        <v>0</v>
      </c>
      <c r="FO244" s="93">
        <f t="shared" ref="FO244" si="4014">(FO54+FP244)/(1+FO$139)</f>
        <v>0</v>
      </c>
      <c r="FP244" s="93">
        <f t="shared" ref="FP244" si="4015">(FP54+FQ244)/(1+FP$139)</f>
        <v>0</v>
      </c>
      <c r="FQ244" s="93">
        <f t="shared" ref="FQ244" si="4016">(FQ54+FR244)/(1+FQ$139)</f>
        <v>0</v>
      </c>
      <c r="FR244" s="93">
        <f t="shared" ref="FR244" si="4017">(FR54+FS244)/(1+FR$139)</f>
        <v>0</v>
      </c>
      <c r="FS244" s="93">
        <f t="shared" ref="FS244" si="4018">(FS54+FT244)/(1+FS$139)</f>
        <v>0</v>
      </c>
      <c r="FT244" s="93">
        <f t="shared" ref="FT244" si="4019">(FT54+FU244)/(1+FT$139)</f>
        <v>0</v>
      </c>
      <c r="FU244" s="93">
        <f t="shared" ref="FU244" si="4020">(FU54+FV244)/(1+FU$139)</f>
        <v>0</v>
      </c>
      <c r="FV244" s="93">
        <f t="shared" ref="FV244" si="4021">(FV54+FW244)/(1+FV$139)</f>
        <v>0</v>
      </c>
      <c r="FW244" s="93">
        <f t="shared" ref="FW244" si="4022">(FW54+FX244)/(1+FW$139)</f>
        <v>0</v>
      </c>
      <c r="FX244" s="93">
        <f t="shared" ref="FX244" si="4023">(FX54+FY244)/(1+FX$139)</f>
        <v>0</v>
      </c>
      <c r="FY244" s="93">
        <f t="shared" ref="FY244" si="4024">(FY54+FZ244)/(1+FY$139)</f>
        <v>0</v>
      </c>
      <c r="FZ244" s="59"/>
    </row>
    <row r="245" spans="1:182" x14ac:dyDescent="0.2">
      <c r="Z245" s="57"/>
      <c r="AA245" s="58"/>
      <c r="AB245" s="58"/>
      <c r="AC245" s="58"/>
    </row>
    <row r="246" spans="1:182" x14ac:dyDescent="0.2">
      <c r="A246" s="94" t="s">
        <v>201</v>
      </c>
      <c r="B246" s="65">
        <f t="shared" ref="B246:BH246" si="4025">-(B222+B223+B224+B225+B226+B227+B228+B229+B230+B231+B232)</f>
        <v>-109988.3434935283</v>
      </c>
      <c r="C246" s="65">
        <f t="shared" si="4025"/>
        <v>116340.21687673498</v>
      </c>
      <c r="D246" s="65">
        <f t="shared" si="4025"/>
        <v>111344.84860098925</v>
      </c>
      <c r="E246" s="65">
        <f t="shared" si="4025"/>
        <v>106427.22316741536</v>
      </c>
      <c r="F246" s="65">
        <f t="shared" si="4025"/>
        <v>101589.04071189013</v>
      </c>
      <c r="G246" s="65">
        <f t="shared" si="4025"/>
        <v>96832.03047848586</v>
      </c>
      <c r="H246" s="65">
        <f t="shared" si="4025"/>
        <v>92157.951287310672</v>
      </c>
      <c r="I246" s="65">
        <f t="shared" si="4025"/>
        <v>87568.592009715037</v>
      </c>
      <c r="J246" s="65">
        <f t="shared" si="4025"/>
        <v>83065.772051021107</v>
      </c>
      <c r="K246" s="65">
        <f t="shared" si="4025"/>
        <v>78651.341840905749</v>
      </c>
      <c r="L246" s="65">
        <f t="shared" si="4025"/>
        <v>74327.183331532564</v>
      </c>
      <c r="M246" s="65">
        <f t="shared" si="4025"/>
        <v>70095.210503527196</v>
      </c>
      <c r="N246" s="65">
        <f t="shared" si="4025"/>
        <v>65957.369880023994</v>
      </c>
      <c r="O246" s="65">
        <f t="shared" si="4025"/>
        <v>61827.232482347361</v>
      </c>
      <c r="P246" s="65">
        <f t="shared" si="4025"/>
        <v>57802.391546291874</v>
      </c>
      <c r="Q246" s="65">
        <f t="shared" si="4025"/>
        <v>53884.710334165429</v>
      </c>
      <c r="R246" s="65">
        <f t="shared" si="4025"/>
        <v>50076.082107570393</v>
      </c>
      <c r="S246" s="65">
        <f t="shared" si="4025"/>
        <v>46378.430581235501</v>
      </c>
      <c r="T246" s="65">
        <f t="shared" si="4025"/>
        <v>42793.710383675003</v>
      </c>
      <c r="U246" s="65">
        <f t="shared" si="4025"/>
        <v>39323.907524679256</v>
      </c>
      <c r="V246" s="65">
        <f t="shared" si="4025"/>
        <v>35971.03986984989</v>
      </c>
      <c r="W246" s="65">
        <f t="shared" si="4025"/>
        <v>32737.1576221998</v>
      </c>
      <c r="X246" s="65">
        <f t="shared" si="4025"/>
        <v>29624.343810942006</v>
      </c>
      <c r="Y246" s="65">
        <f t="shared" si="4025"/>
        <v>26634.714787607827</v>
      </c>
      <c r="Z246" s="65">
        <f t="shared" si="4025"/>
        <v>23770.420729590405</v>
      </c>
      <c r="AA246" s="65">
        <f t="shared" si="4025"/>
        <v>20991.864853248608</v>
      </c>
      <c r="AB246" s="65">
        <f t="shared" si="4025"/>
        <v>18349.069292902564</v>
      </c>
      <c r="AC246" s="65">
        <f t="shared" si="4025"/>
        <v>15844.048051209444</v>
      </c>
      <c r="AD246" s="65">
        <f t="shared" si="4025"/>
        <v>13478.846000153972</v>
      </c>
      <c r="AE246" s="65">
        <f t="shared" si="4025"/>
        <v>11255.539317900404</v>
      </c>
      <c r="AF246" s="65">
        <f t="shared" si="4025"/>
        <v>9176.2359317517112</v>
      </c>
      <c r="AG246" s="65">
        <f t="shared" si="4025"/>
        <v>7243.0759673743132</v>
      </c>
      <c r="AH246" s="65">
        <f t="shared" si="4025"/>
        <v>5458.2322043363938</v>
      </c>
      <c r="AI246" s="65">
        <f t="shared" si="4025"/>
        <v>3823.9105380888764</v>
      </c>
      <c r="AJ246" s="65">
        <f t="shared" si="4025"/>
        <v>2342.3504484392156</v>
      </c>
      <c r="AK246" s="65">
        <f t="shared" si="4025"/>
        <v>1015.8254746301382</v>
      </c>
      <c r="AL246" s="65">
        <f t="shared" si="4025"/>
        <v>0</v>
      </c>
      <c r="AM246" s="65">
        <f t="shared" si="4025"/>
        <v>0</v>
      </c>
      <c r="AN246" s="65">
        <f t="shared" si="4025"/>
        <v>0</v>
      </c>
      <c r="AO246" s="65">
        <f t="shared" si="4025"/>
        <v>0</v>
      </c>
      <c r="AP246" s="65">
        <f t="shared" si="4025"/>
        <v>0</v>
      </c>
      <c r="AQ246" s="65">
        <f t="shared" si="4025"/>
        <v>0</v>
      </c>
      <c r="AR246" s="65">
        <f t="shared" si="4025"/>
        <v>0</v>
      </c>
      <c r="AS246" s="65">
        <f t="shared" si="4025"/>
        <v>0</v>
      </c>
      <c r="AT246" s="65">
        <f t="shared" si="4025"/>
        <v>0</v>
      </c>
      <c r="AU246" s="65">
        <f t="shared" si="4025"/>
        <v>0</v>
      </c>
      <c r="AV246" s="65">
        <f t="shared" si="4025"/>
        <v>0</v>
      </c>
      <c r="AW246" s="65">
        <f t="shared" si="4025"/>
        <v>0</v>
      </c>
      <c r="AX246" s="65">
        <f t="shared" si="4025"/>
        <v>0</v>
      </c>
      <c r="AY246" s="65">
        <f t="shared" si="4025"/>
        <v>0</v>
      </c>
      <c r="AZ246" s="65">
        <f t="shared" si="4025"/>
        <v>0</v>
      </c>
      <c r="BA246" s="65">
        <f t="shared" si="4025"/>
        <v>0</v>
      </c>
      <c r="BB246" s="65">
        <f t="shared" si="4025"/>
        <v>0</v>
      </c>
      <c r="BC246" s="65">
        <f t="shared" si="4025"/>
        <v>0</v>
      </c>
      <c r="BD246" s="65">
        <f t="shared" si="4025"/>
        <v>0</v>
      </c>
      <c r="BE246" s="65">
        <f t="shared" si="4025"/>
        <v>0</v>
      </c>
      <c r="BF246" s="65">
        <f t="shared" si="4025"/>
        <v>0</v>
      </c>
      <c r="BG246" s="65">
        <f t="shared" si="4025"/>
        <v>0</v>
      </c>
      <c r="BH246" s="65">
        <f t="shared" si="4025"/>
        <v>0</v>
      </c>
      <c r="BI246" s="65">
        <f t="shared" ref="BI246:DP246" si="4026">-(BI222+BI223+BI224+BI225+BI226+BI227+BI228+BI229+BI230+BI231+BI232)</f>
        <v>0</v>
      </c>
      <c r="BJ246" s="65">
        <f t="shared" si="4026"/>
        <v>0</v>
      </c>
      <c r="BK246" s="65">
        <f t="shared" si="4026"/>
        <v>0</v>
      </c>
      <c r="BL246" s="65">
        <f t="shared" si="4026"/>
        <v>0</v>
      </c>
      <c r="BM246" s="65">
        <f t="shared" si="4026"/>
        <v>0</v>
      </c>
      <c r="BN246" s="65">
        <f t="shared" si="4026"/>
        <v>0</v>
      </c>
      <c r="BO246" s="65">
        <f t="shared" si="4026"/>
        <v>0</v>
      </c>
      <c r="BP246" s="65">
        <f t="shared" si="4026"/>
        <v>0</v>
      </c>
      <c r="BQ246" s="65">
        <f t="shared" si="4026"/>
        <v>0</v>
      </c>
      <c r="BR246" s="65">
        <f t="shared" si="4026"/>
        <v>0</v>
      </c>
      <c r="BS246" s="65">
        <f t="shared" si="4026"/>
        <v>0</v>
      </c>
      <c r="BT246" s="65">
        <f t="shared" si="4026"/>
        <v>0</v>
      </c>
      <c r="BU246" s="65">
        <f t="shared" si="4026"/>
        <v>0</v>
      </c>
      <c r="BV246" s="65">
        <f t="shared" si="4026"/>
        <v>0</v>
      </c>
      <c r="BW246" s="65">
        <f t="shared" si="4026"/>
        <v>0</v>
      </c>
      <c r="BX246" s="65">
        <f t="shared" si="4026"/>
        <v>0</v>
      </c>
      <c r="BY246" s="65">
        <f t="shared" si="4026"/>
        <v>0</v>
      </c>
      <c r="BZ246" s="65">
        <f t="shared" si="4026"/>
        <v>0</v>
      </c>
      <c r="CA246" s="65">
        <f t="shared" si="4026"/>
        <v>0</v>
      </c>
      <c r="CB246" s="65">
        <f t="shared" si="4026"/>
        <v>0</v>
      </c>
      <c r="CC246" s="65">
        <f t="shared" si="4026"/>
        <v>0</v>
      </c>
      <c r="CD246" s="65">
        <f t="shared" si="4026"/>
        <v>0</v>
      </c>
      <c r="CE246" s="65">
        <f t="shared" si="4026"/>
        <v>0</v>
      </c>
      <c r="CF246" s="65">
        <f t="shared" si="4026"/>
        <v>0</v>
      </c>
      <c r="CG246" s="65">
        <f t="shared" si="4026"/>
        <v>0</v>
      </c>
      <c r="CH246" s="65">
        <f t="shared" si="4026"/>
        <v>0</v>
      </c>
      <c r="CI246" s="65">
        <f t="shared" si="4026"/>
        <v>0</v>
      </c>
      <c r="CJ246" s="65">
        <f t="shared" si="4026"/>
        <v>0</v>
      </c>
      <c r="CK246" s="65">
        <f t="shared" si="4026"/>
        <v>0</v>
      </c>
      <c r="CL246" s="65">
        <f t="shared" si="4026"/>
        <v>0</v>
      </c>
      <c r="CM246" s="65">
        <f t="shared" si="4026"/>
        <v>0</v>
      </c>
      <c r="CN246" s="65">
        <f t="shared" si="4026"/>
        <v>0</v>
      </c>
      <c r="CO246" s="65">
        <f t="shared" si="4026"/>
        <v>0</v>
      </c>
      <c r="CP246" s="65">
        <f t="shared" si="4026"/>
        <v>0</v>
      </c>
      <c r="CQ246" s="65">
        <f t="shared" si="4026"/>
        <v>0</v>
      </c>
      <c r="CR246" s="65">
        <f t="shared" si="4026"/>
        <v>0</v>
      </c>
      <c r="CS246" s="65">
        <f t="shared" si="4026"/>
        <v>0</v>
      </c>
      <c r="CT246" s="65">
        <f t="shared" si="4026"/>
        <v>0</v>
      </c>
      <c r="CU246" s="65">
        <f t="shared" si="4026"/>
        <v>0</v>
      </c>
      <c r="CV246" s="65">
        <f t="shared" si="4026"/>
        <v>0</v>
      </c>
      <c r="CW246" s="65">
        <f t="shared" si="4026"/>
        <v>0</v>
      </c>
      <c r="CX246" s="65">
        <f t="shared" si="4026"/>
        <v>0</v>
      </c>
      <c r="CY246" s="65">
        <f t="shared" si="4026"/>
        <v>0</v>
      </c>
      <c r="CZ246" s="65">
        <f t="shared" si="4026"/>
        <v>0</v>
      </c>
      <c r="DA246" s="65">
        <f t="shared" si="4026"/>
        <v>0</v>
      </c>
      <c r="DB246" s="65">
        <f t="shared" si="4026"/>
        <v>0</v>
      </c>
      <c r="DC246" s="65">
        <f t="shared" si="4026"/>
        <v>0</v>
      </c>
      <c r="DD246" s="65">
        <f t="shared" si="4026"/>
        <v>0</v>
      </c>
      <c r="DE246" s="65">
        <f t="shared" si="4026"/>
        <v>0</v>
      </c>
      <c r="DF246" s="65">
        <f t="shared" si="4026"/>
        <v>0</v>
      </c>
      <c r="DG246" s="65">
        <f t="shared" si="4026"/>
        <v>0</v>
      </c>
      <c r="DH246" s="65">
        <f t="shared" si="4026"/>
        <v>0</v>
      </c>
      <c r="DI246" s="65">
        <f t="shared" si="4026"/>
        <v>0</v>
      </c>
      <c r="DJ246" s="65">
        <f t="shared" si="4026"/>
        <v>0</v>
      </c>
      <c r="DK246" s="65">
        <f t="shared" si="4026"/>
        <v>0</v>
      </c>
      <c r="DL246" s="65">
        <f t="shared" si="4026"/>
        <v>0</v>
      </c>
      <c r="DM246" s="65">
        <f t="shared" si="4026"/>
        <v>0</v>
      </c>
      <c r="DN246" s="65">
        <f t="shared" si="4026"/>
        <v>0</v>
      </c>
      <c r="DO246" s="65">
        <f t="shared" si="4026"/>
        <v>0</v>
      </c>
      <c r="DP246" s="65">
        <f t="shared" si="4026"/>
        <v>0</v>
      </c>
      <c r="DQ246" s="65">
        <f t="shared" ref="DQ246:FY246" si="4027">-(DQ222+DQ223+DQ224+DQ225+DQ226+DQ227+DQ228+DQ229+DQ230+DQ231+DQ232)</f>
        <v>0</v>
      </c>
      <c r="DR246" s="65">
        <f t="shared" si="4027"/>
        <v>0</v>
      </c>
      <c r="DS246" s="65">
        <f t="shared" si="4027"/>
        <v>0</v>
      </c>
      <c r="DT246" s="65">
        <f t="shared" si="4027"/>
        <v>0</v>
      </c>
      <c r="DU246" s="65">
        <f t="shared" si="4027"/>
        <v>0</v>
      </c>
      <c r="DV246" s="65">
        <f t="shared" si="4027"/>
        <v>0</v>
      </c>
      <c r="DW246" s="65">
        <f t="shared" si="4027"/>
        <v>0</v>
      </c>
      <c r="DX246" s="65">
        <f t="shared" si="4027"/>
        <v>0</v>
      </c>
      <c r="DY246" s="65">
        <f t="shared" si="4027"/>
        <v>0</v>
      </c>
      <c r="DZ246" s="65">
        <f t="shared" si="4027"/>
        <v>0</v>
      </c>
      <c r="EA246" s="65">
        <f t="shared" si="4027"/>
        <v>0</v>
      </c>
      <c r="EB246" s="65">
        <f t="shared" si="4027"/>
        <v>0</v>
      </c>
      <c r="EC246" s="65">
        <f t="shared" si="4027"/>
        <v>0</v>
      </c>
      <c r="ED246" s="65">
        <f t="shared" si="4027"/>
        <v>0</v>
      </c>
      <c r="EE246" s="65">
        <f t="shared" si="4027"/>
        <v>0</v>
      </c>
      <c r="EF246" s="65">
        <f t="shared" si="4027"/>
        <v>0</v>
      </c>
      <c r="EG246" s="65">
        <f t="shared" si="4027"/>
        <v>0</v>
      </c>
      <c r="EH246" s="65">
        <f t="shared" si="4027"/>
        <v>0</v>
      </c>
      <c r="EI246" s="65">
        <f t="shared" si="4027"/>
        <v>0</v>
      </c>
      <c r="EJ246" s="65">
        <f t="shared" si="4027"/>
        <v>0</v>
      </c>
      <c r="EK246" s="65">
        <f t="shared" si="4027"/>
        <v>0</v>
      </c>
      <c r="EL246" s="65">
        <f t="shared" si="4027"/>
        <v>0</v>
      </c>
      <c r="EM246" s="65">
        <f t="shared" si="4027"/>
        <v>0</v>
      </c>
      <c r="EN246" s="65">
        <f t="shared" si="4027"/>
        <v>0</v>
      </c>
      <c r="EO246" s="65">
        <f t="shared" si="4027"/>
        <v>0</v>
      </c>
      <c r="EP246" s="65">
        <f t="shared" si="4027"/>
        <v>0</v>
      </c>
      <c r="EQ246" s="65">
        <f t="shared" si="4027"/>
        <v>0</v>
      </c>
      <c r="ER246" s="65">
        <f t="shared" si="4027"/>
        <v>0</v>
      </c>
      <c r="ES246" s="65">
        <f t="shared" si="4027"/>
        <v>0</v>
      </c>
      <c r="ET246" s="65">
        <f t="shared" si="4027"/>
        <v>0</v>
      </c>
      <c r="EU246" s="65">
        <f t="shared" si="4027"/>
        <v>0</v>
      </c>
      <c r="EV246" s="65">
        <f t="shared" si="4027"/>
        <v>0</v>
      </c>
      <c r="EW246" s="65">
        <f t="shared" si="4027"/>
        <v>0</v>
      </c>
      <c r="EX246" s="65">
        <f t="shared" si="4027"/>
        <v>0</v>
      </c>
      <c r="EY246" s="65">
        <f t="shared" si="4027"/>
        <v>0</v>
      </c>
      <c r="EZ246" s="65">
        <f t="shared" si="4027"/>
        <v>0</v>
      </c>
      <c r="FA246" s="65">
        <f t="shared" si="4027"/>
        <v>0</v>
      </c>
      <c r="FB246" s="65">
        <f t="shared" si="4027"/>
        <v>0</v>
      </c>
      <c r="FC246" s="65">
        <f t="shared" si="4027"/>
        <v>0</v>
      </c>
      <c r="FD246" s="65">
        <f t="shared" si="4027"/>
        <v>0</v>
      </c>
      <c r="FE246" s="65">
        <f t="shared" si="4027"/>
        <v>0</v>
      </c>
      <c r="FF246" s="65">
        <f t="shared" si="4027"/>
        <v>0</v>
      </c>
      <c r="FG246" s="65">
        <f t="shared" si="4027"/>
        <v>0</v>
      </c>
      <c r="FH246" s="65">
        <f t="shared" si="4027"/>
        <v>0</v>
      </c>
      <c r="FI246" s="65">
        <f t="shared" si="4027"/>
        <v>0</v>
      </c>
      <c r="FJ246" s="65">
        <f t="shared" si="4027"/>
        <v>0</v>
      </c>
      <c r="FK246" s="65">
        <f t="shared" si="4027"/>
        <v>0</v>
      </c>
      <c r="FL246" s="65">
        <f t="shared" si="4027"/>
        <v>0</v>
      </c>
      <c r="FM246" s="65">
        <f t="shared" si="4027"/>
        <v>0</v>
      </c>
      <c r="FN246" s="65">
        <f t="shared" si="4027"/>
        <v>0</v>
      </c>
      <c r="FO246" s="65">
        <f t="shared" si="4027"/>
        <v>0</v>
      </c>
      <c r="FP246" s="65">
        <f t="shared" si="4027"/>
        <v>0</v>
      </c>
      <c r="FQ246" s="65">
        <f t="shared" si="4027"/>
        <v>0</v>
      </c>
      <c r="FR246" s="65">
        <f t="shared" si="4027"/>
        <v>0</v>
      </c>
      <c r="FS246" s="65">
        <f t="shared" si="4027"/>
        <v>0</v>
      </c>
      <c r="FT246" s="65">
        <f t="shared" si="4027"/>
        <v>0</v>
      </c>
      <c r="FU246" s="65">
        <f t="shared" si="4027"/>
        <v>0</v>
      </c>
      <c r="FV246" s="65">
        <f t="shared" si="4027"/>
        <v>0</v>
      </c>
      <c r="FW246" s="65">
        <f t="shared" si="4027"/>
        <v>0</v>
      </c>
      <c r="FX246" s="65">
        <f t="shared" si="4027"/>
        <v>0</v>
      </c>
      <c r="FY246" s="65">
        <f t="shared" si="4027"/>
        <v>0</v>
      </c>
      <c r="FZ246" s="59"/>
    </row>
    <row r="247" spans="1:182" x14ac:dyDescent="0.2">
      <c r="A247" s="94" t="s">
        <v>202</v>
      </c>
      <c r="B247" s="65">
        <f t="shared" ref="B247:BH247" si="4028">-(B234+B235+B236+B237+B238+B239+B240+B241+B242+B243+B244)</f>
        <v>-107138.88198712851</v>
      </c>
      <c r="C247" s="65">
        <f t="shared" si="4028"/>
        <v>117785.98959689426</v>
      </c>
      <c r="D247" s="65">
        <f t="shared" si="4028"/>
        <v>112765.47653236649</v>
      </c>
      <c r="E247" s="65">
        <f t="shared" si="4028"/>
        <v>107821.26973803905</v>
      </c>
      <c r="F247" s="65">
        <f t="shared" si="4028"/>
        <v>102955.08938179491</v>
      </c>
      <c r="G247" s="65">
        <f t="shared" si="4028"/>
        <v>98168.685354809568</v>
      </c>
      <c r="H247" s="65">
        <f t="shared" si="4028"/>
        <v>93463.837753329746</v>
      </c>
      <c r="I247" s="65">
        <f t="shared" si="4028"/>
        <v>88842.357368100464</v>
      </c>
      <c r="J247" s="65">
        <f t="shared" si="4028"/>
        <v>84306.086181603474</v>
      </c>
      <c r="K247" s="65">
        <f t="shared" si="4028"/>
        <v>79856.897873242619</v>
      </c>
      <c r="L247" s="65">
        <f t="shared" si="4028"/>
        <v>75496.698332577478</v>
      </c>
      <c r="M247" s="65">
        <f t="shared" si="4028"/>
        <v>71227.426180705312</v>
      </c>
      <c r="N247" s="65">
        <f t="shared" si="4028"/>
        <v>67051.05330002516</v>
      </c>
      <c r="O247" s="65">
        <f t="shared" si="4028"/>
        <v>62894.32466663987</v>
      </c>
      <c r="P247" s="65">
        <f t="shared" si="4028"/>
        <v>58840.655583075117</v>
      </c>
      <c r="Q247" s="65">
        <f t="shared" si="4028"/>
        <v>54891.968076637961</v>
      </c>
      <c r="R247" s="65">
        <f t="shared" si="4028"/>
        <v>51050.215562063961</v>
      </c>
      <c r="S247" s="65">
        <f t="shared" si="4028"/>
        <v>47317.383324942442</v>
      </c>
      <c r="T247" s="65">
        <f t="shared" si="4028"/>
        <v>43695.489012534934</v>
      </c>
      <c r="U247" s="65">
        <f t="shared" si="4028"/>
        <v>40186.583132000931</v>
      </c>
      <c r="V247" s="65">
        <f t="shared" si="4028"/>
        <v>36792.749556255127</v>
      </c>
      <c r="W247" s="65">
        <f t="shared" si="4028"/>
        <v>33516.106037486534</v>
      </c>
      <c r="X247" s="65">
        <f t="shared" si="4028"/>
        <v>30358.804728474679</v>
      </c>
      <c r="Y247" s="65">
        <f t="shared" si="4028"/>
        <v>27323.032711854321</v>
      </c>
      <c r="Z247" s="65">
        <f t="shared" si="4028"/>
        <v>24411.012537436112</v>
      </c>
      <c r="AA247" s="65">
        <f t="shared" si="4028"/>
        <v>21589.327025731647</v>
      </c>
      <c r="AB247" s="65">
        <f t="shared" si="4028"/>
        <v>18901.105504668962</v>
      </c>
      <c r="AC247" s="65">
        <f t="shared" si="4028"/>
        <v>16348.480122904135</v>
      </c>
      <c r="AD247" s="65">
        <f t="shared" si="4028"/>
        <v>13933.6162130339</v>
      </c>
      <c r="AE247" s="65">
        <f t="shared" si="4028"/>
        <v>11658.712775603415</v>
      </c>
      <c r="AF247" s="65">
        <f t="shared" si="4028"/>
        <v>9526.0029700665582</v>
      </c>
      <c r="AG247" s="65">
        <f t="shared" si="4028"/>
        <v>7537.7546128718441</v>
      </c>
      <c r="AH247" s="65">
        <f t="shared" si="4028"/>
        <v>5696.2706827367265</v>
      </c>
      <c r="AI247" s="65">
        <f t="shared" si="4028"/>
        <v>4003.8898332546123</v>
      </c>
      <c r="AJ247" s="65">
        <f t="shared" si="4028"/>
        <v>2462.9869128997984</v>
      </c>
      <c r="AK247" s="65">
        <f t="shared" si="4028"/>
        <v>1075.9734925581949</v>
      </c>
      <c r="AL247" s="65">
        <f t="shared" si="4028"/>
        <v>0</v>
      </c>
      <c r="AM247" s="65">
        <f t="shared" si="4028"/>
        <v>0</v>
      </c>
      <c r="AN247" s="65">
        <f t="shared" si="4028"/>
        <v>0</v>
      </c>
      <c r="AO247" s="65">
        <f t="shared" si="4028"/>
        <v>0</v>
      </c>
      <c r="AP247" s="65">
        <f t="shared" si="4028"/>
        <v>0</v>
      </c>
      <c r="AQ247" s="65">
        <f t="shared" si="4028"/>
        <v>0</v>
      </c>
      <c r="AR247" s="65">
        <f t="shared" si="4028"/>
        <v>0</v>
      </c>
      <c r="AS247" s="65">
        <f t="shared" si="4028"/>
        <v>0</v>
      </c>
      <c r="AT247" s="65">
        <f t="shared" si="4028"/>
        <v>0</v>
      </c>
      <c r="AU247" s="65">
        <f t="shared" si="4028"/>
        <v>0</v>
      </c>
      <c r="AV247" s="65">
        <f t="shared" si="4028"/>
        <v>0</v>
      </c>
      <c r="AW247" s="65">
        <f t="shared" si="4028"/>
        <v>0</v>
      </c>
      <c r="AX247" s="65">
        <f t="shared" si="4028"/>
        <v>0</v>
      </c>
      <c r="AY247" s="65">
        <f t="shared" si="4028"/>
        <v>0</v>
      </c>
      <c r="AZ247" s="65">
        <f t="shared" si="4028"/>
        <v>0</v>
      </c>
      <c r="BA247" s="65">
        <f t="shared" si="4028"/>
        <v>0</v>
      </c>
      <c r="BB247" s="65">
        <f t="shared" si="4028"/>
        <v>0</v>
      </c>
      <c r="BC247" s="65">
        <f t="shared" si="4028"/>
        <v>0</v>
      </c>
      <c r="BD247" s="65">
        <f t="shared" si="4028"/>
        <v>0</v>
      </c>
      <c r="BE247" s="65">
        <f t="shared" si="4028"/>
        <v>0</v>
      </c>
      <c r="BF247" s="65">
        <f t="shared" si="4028"/>
        <v>0</v>
      </c>
      <c r="BG247" s="65">
        <f t="shared" si="4028"/>
        <v>0</v>
      </c>
      <c r="BH247" s="65">
        <f t="shared" si="4028"/>
        <v>0</v>
      </c>
      <c r="BI247" s="65">
        <f t="shared" ref="BI247:DP247" si="4029">-(BI234+BI235+BI236+BI237+BI238+BI239+BI240+BI241+BI242+BI243+BI244)</f>
        <v>0</v>
      </c>
      <c r="BJ247" s="65">
        <f t="shared" si="4029"/>
        <v>0</v>
      </c>
      <c r="BK247" s="65">
        <f t="shared" si="4029"/>
        <v>0</v>
      </c>
      <c r="BL247" s="65">
        <f t="shared" si="4029"/>
        <v>0</v>
      </c>
      <c r="BM247" s="65">
        <f t="shared" si="4029"/>
        <v>0</v>
      </c>
      <c r="BN247" s="65">
        <f t="shared" si="4029"/>
        <v>0</v>
      </c>
      <c r="BO247" s="65">
        <f t="shared" si="4029"/>
        <v>0</v>
      </c>
      <c r="BP247" s="65">
        <f t="shared" si="4029"/>
        <v>0</v>
      </c>
      <c r="BQ247" s="65">
        <f t="shared" si="4029"/>
        <v>0</v>
      </c>
      <c r="BR247" s="65">
        <f t="shared" si="4029"/>
        <v>0</v>
      </c>
      <c r="BS247" s="65">
        <f t="shared" si="4029"/>
        <v>0</v>
      </c>
      <c r="BT247" s="65">
        <f t="shared" si="4029"/>
        <v>0</v>
      </c>
      <c r="BU247" s="65">
        <f t="shared" si="4029"/>
        <v>0</v>
      </c>
      <c r="BV247" s="65">
        <f t="shared" si="4029"/>
        <v>0</v>
      </c>
      <c r="BW247" s="65">
        <f t="shared" si="4029"/>
        <v>0</v>
      </c>
      <c r="BX247" s="65">
        <f t="shared" si="4029"/>
        <v>0</v>
      </c>
      <c r="BY247" s="65">
        <f t="shared" si="4029"/>
        <v>0</v>
      </c>
      <c r="BZ247" s="65">
        <f t="shared" si="4029"/>
        <v>0</v>
      </c>
      <c r="CA247" s="65">
        <f t="shared" si="4029"/>
        <v>0</v>
      </c>
      <c r="CB247" s="65">
        <f t="shared" si="4029"/>
        <v>0</v>
      </c>
      <c r="CC247" s="65">
        <f t="shared" si="4029"/>
        <v>0</v>
      </c>
      <c r="CD247" s="65">
        <f t="shared" si="4029"/>
        <v>0</v>
      </c>
      <c r="CE247" s="65">
        <f t="shared" si="4029"/>
        <v>0</v>
      </c>
      <c r="CF247" s="65">
        <f t="shared" si="4029"/>
        <v>0</v>
      </c>
      <c r="CG247" s="65">
        <f t="shared" si="4029"/>
        <v>0</v>
      </c>
      <c r="CH247" s="65">
        <f t="shared" si="4029"/>
        <v>0</v>
      </c>
      <c r="CI247" s="65">
        <f t="shared" si="4029"/>
        <v>0</v>
      </c>
      <c r="CJ247" s="65">
        <f t="shared" si="4029"/>
        <v>0</v>
      </c>
      <c r="CK247" s="65">
        <f t="shared" si="4029"/>
        <v>0</v>
      </c>
      <c r="CL247" s="65">
        <f t="shared" si="4029"/>
        <v>0</v>
      </c>
      <c r="CM247" s="65">
        <f t="shared" si="4029"/>
        <v>0</v>
      </c>
      <c r="CN247" s="65">
        <f t="shared" si="4029"/>
        <v>0</v>
      </c>
      <c r="CO247" s="65">
        <f t="shared" si="4029"/>
        <v>0</v>
      </c>
      <c r="CP247" s="65">
        <f t="shared" si="4029"/>
        <v>0</v>
      </c>
      <c r="CQ247" s="65">
        <f t="shared" si="4029"/>
        <v>0</v>
      </c>
      <c r="CR247" s="65">
        <f t="shared" si="4029"/>
        <v>0</v>
      </c>
      <c r="CS247" s="65">
        <f t="shared" si="4029"/>
        <v>0</v>
      </c>
      <c r="CT247" s="65">
        <f t="shared" si="4029"/>
        <v>0</v>
      </c>
      <c r="CU247" s="65">
        <f t="shared" si="4029"/>
        <v>0</v>
      </c>
      <c r="CV247" s="65">
        <f t="shared" si="4029"/>
        <v>0</v>
      </c>
      <c r="CW247" s="65">
        <f t="shared" si="4029"/>
        <v>0</v>
      </c>
      <c r="CX247" s="65">
        <f t="shared" si="4029"/>
        <v>0</v>
      </c>
      <c r="CY247" s="65">
        <f t="shared" si="4029"/>
        <v>0</v>
      </c>
      <c r="CZ247" s="65">
        <f t="shared" si="4029"/>
        <v>0</v>
      </c>
      <c r="DA247" s="65">
        <f t="shared" si="4029"/>
        <v>0</v>
      </c>
      <c r="DB247" s="65">
        <f t="shared" si="4029"/>
        <v>0</v>
      </c>
      <c r="DC247" s="65">
        <f t="shared" si="4029"/>
        <v>0</v>
      </c>
      <c r="DD247" s="65">
        <f t="shared" si="4029"/>
        <v>0</v>
      </c>
      <c r="DE247" s="65">
        <f t="shared" si="4029"/>
        <v>0</v>
      </c>
      <c r="DF247" s="65">
        <f t="shared" si="4029"/>
        <v>0</v>
      </c>
      <c r="DG247" s="65">
        <f t="shared" si="4029"/>
        <v>0</v>
      </c>
      <c r="DH247" s="65">
        <f t="shared" si="4029"/>
        <v>0</v>
      </c>
      <c r="DI247" s="65">
        <f t="shared" si="4029"/>
        <v>0</v>
      </c>
      <c r="DJ247" s="65">
        <f t="shared" si="4029"/>
        <v>0</v>
      </c>
      <c r="DK247" s="65">
        <f t="shared" si="4029"/>
        <v>0</v>
      </c>
      <c r="DL247" s="65">
        <f t="shared" si="4029"/>
        <v>0</v>
      </c>
      <c r="DM247" s="65">
        <f t="shared" si="4029"/>
        <v>0</v>
      </c>
      <c r="DN247" s="65">
        <f t="shared" si="4029"/>
        <v>0</v>
      </c>
      <c r="DO247" s="65">
        <f t="shared" si="4029"/>
        <v>0</v>
      </c>
      <c r="DP247" s="65">
        <f t="shared" si="4029"/>
        <v>0</v>
      </c>
      <c r="DQ247" s="65">
        <f t="shared" ref="DQ247:FY247" si="4030">-(DQ234+DQ235+DQ236+DQ237+DQ238+DQ239+DQ240+DQ241+DQ242+DQ243+DQ244)</f>
        <v>0</v>
      </c>
      <c r="DR247" s="65">
        <f t="shared" si="4030"/>
        <v>0</v>
      </c>
      <c r="DS247" s="65">
        <f t="shared" si="4030"/>
        <v>0</v>
      </c>
      <c r="DT247" s="65">
        <f t="shared" si="4030"/>
        <v>0</v>
      </c>
      <c r="DU247" s="65">
        <f t="shared" si="4030"/>
        <v>0</v>
      </c>
      <c r="DV247" s="65">
        <f t="shared" si="4030"/>
        <v>0</v>
      </c>
      <c r="DW247" s="65">
        <f t="shared" si="4030"/>
        <v>0</v>
      </c>
      <c r="DX247" s="65">
        <f t="shared" si="4030"/>
        <v>0</v>
      </c>
      <c r="DY247" s="65">
        <f t="shared" si="4030"/>
        <v>0</v>
      </c>
      <c r="DZ247" s="65">
        <f t="shared" si="4030"/>
        <v>0</v>
      </c>
      <c r="EA247" s="65">
        <f t="shared" si="4030"/>
        <v>0</v>
      </c>
      <c r="EB247" s="65">
        <f t="shared" si="4030"/>
        <v>0</v>
      </c>
      <c r="EC247" s="65">
        <f t="shared" si="4030"/>
        <v>0</v>
      </c>
      <c r="ED247" s="65">
        <f t="shared" si="4030"/>
        <v>0</v>
      </c>
      <c r="EE247" s="65">
        <f t="shared" si="4030"/>
        <v>0</v>
      </c>
      <c r="EF247" s="65">
        <f t="shared" si="4030"/>
        <v>0</v>
      </c>
      <c r="EG247" s="65">
        <f t="shared" si="4030"/>
        <v>0</v>
      </c>
      <c r="EH247" s="65">
        <f t="shared" si="4030"/>
        <v>0</v>
      </c>
      <c r="EI247" s="65">
        <f t="shared" si="4030"/>
        <v>0</v>
      </c>
      <c r="EJ247" s="65">
        <f t="shared" si="4030"/>
        <v>0</v>
      </c>
      <c r="EK247" s="65">
        <f t="shared" si="4030"/>
        <v>0</v>
      </c>
      <c r="EL247" s="65">
        <f t="shared" si="4030"/>
        <v>0</v>
      </c>
      <c r="EM247" s="65">
        <f t="shared" si="4030"/>
        <v>0</v>
      </c>
      <c r="EN247" s="65">
        <f t="shared" si="4030"/>
        <v>0</v>
      </c>
      <c r="EO247" s="65">
        <f t="shared" si="4030"/>
        <v>0</v>
      </c>
      <c r="EP247" s="65">
        <f t="shared" si="4030"/>
        <v>0</v>
      </c>
      <c r="EQ247" s="65">
        <f t="shared" si="4030"/>
        <v>0</v>
      </c>
      <c r="ER247" s="65">
        <f t="shared" si="4030"/>
        <v>0</v>
      </c>
      <c r="ES247" s="65">
        <f t="shared" si="4030"/>
        <v>0</v>
      </c>
      <c r="ET247" s="65">
        <f t="shared" si="4030"/>
        <v>0</v>
      </c>
      <c r="EU247" s="65">
        <f t="shared" si="4030"/>
        <v>0</v>
      </c>
      <c r="EV247" s="65">
        <f t="shared" si="4030"/>
        <v>0</v>
      </c>
      <c r="EW247" s="65">
        <f t="shared" si="4030"/>
        <v>0</v>
      </c>
      <c r="EX247" s="65">
        <f t="shared" si="4030"/>
        <v>0</v>
      </c>
      <c r="EY247" s="65">
        <f t="shared" si="4030"/>
        <v>0</v>
      </c>
      <c r="EZ247" s="65">
        <f t="shared" si="4030"/>
        <v>0</v>
      </c>
      <c r="FA247" s="65">
        <f t="shared" si="4030"/>
        <v>0</v>
      </c>
      <c r="FB247" s="65">
        <f t="shared" si="4030"/>
        <v>0</v>
      </c>
      <c r="FC247" s="65">
        <f t="shared" si="4030"/>
        <v>0</v>
      </c>
      <c r="FD247" s="65">
        <f t="shared" si="4030"/>
        <v>0</v>
      </c>
      <c r="FE247" s="65">
        <f t="shared" si="4030"/>
        <v>0</v>
      </c>
      <c r="FF247" s="65">
        <f t="shared" si="4030"/>
        <v>0</v>
      </c>
      <c r="FG247" s="65">
        <f t="shared" si="4030"/>
        <v>0</v>
      </c>
      <c r="FH247" s="65">
        <f t="shared" si="4030"/>
        <v>0</v>
      </c>
      <c r="FI247" s="65">
        <f t="shared" si="4030"/>
        <v>0</v>
      </c>
      <c r="FJ247" s="65">
        <f t="shared" si="4030"/>
        <v>0</v>
      </c>
      <c r="FK247" s="65">
        <f t="shared" si="4030"/>
        <v>0</v>
      </c>
      <c r="FL247" s="65">
        <f t="shared" si="4030"/>
        <v>0</v>
      </c>
      <c r="FM247" s="65">
        <f t="shared" si="4030"/>
        <v>0</v>
      </c>
      <c r="FN247" s="65">
        <f t="shared" si="4030"/>
        <v>0</v>
      </c>
      <c r="FO247" s="65">
        <f t="shared" si="4030"/>
        <v>0</v>
      </c>
      <c r="FP247" s="65">
        <f t="shared" si="4030"/>
        <v>0</v>
      </c>
      <c r="FQ247" s="65">
        <f t="shared" si="4030"/>
        <v>0</v>
      </c>
      <c r="FR247" s="65">
        <f t="shared" si="4030"/>
        <v>0</v>
      </c>
      <c r="FS247" s="65">
        <f t="shared" si="4030"/>
        <v>0</v>
      </c>
      <c r="FT247" s="65">
        <f t="shared" si="4030"/>
        <v>0</v>
      </c>
      <c r="FU247" s="65">
        <f t="shared" si="4030"/>
        <v>0</v>
      </c>
      <c r="FV247" s="65">
        <f t="shared" si="4030"/>
        <v>0</v>
      </c>
      <c r="FW247" s="65">
        <f t="shared" si="4030"/>
        <v>0</v>
      </c>
      <c r="FX247" s="65">
        <f t="shared" si="4030"/>
        <v>0</v>
      </c>
      <c r="FY247" s="65">
        <f t="shared" si="4030"/>
        <v>0</v>
      </c>
      <c r="FZ247" s="59"/>
    </row>
    <row r="248" spans="1:182" x14ac:dyDescent="0.2">
      <c r="A248" s="94" t="s">
        <v>333</v>
      </c>
      <c r="B248" s="65">
        <f>B209</f>
        <v>1</v>
      </c>
      <c r="C248" s="65">
        <f t="shared" ref="C248:BH248" si="4031">C209</f>
        <v>0.99907361221547641</v>
      </c>
      <c r="D248" s="65">
        <f t="shared" si="4031"/>
        <v>0.9981480826252801</v>
      </c>
      <c r="E248" s="65">
        <f t="shared" si="4031"/>
        <v>0.99722341043439044</v>
      </c>
      <c r="F248" s="65">
        <f t="shared" si="4031"/>
        <v>0.99629959484852304</v>
      </c>
      <c r="G248" s="65">
        <f t="shared" si="4031"/>
        <v>0.99537663507412955</v>
      </c>
      <c r="H248" s="65">
        <f t="shared" si="4031"/>
        <v>0.9944545303183967</v>
      </c>
      <c r="I248" s="65">
        <f t="shared" si="4031"/>
        <v>0.99353327978924555</v>
      </c>
      <c r="J248" s="65">
        <f t="shared" si="4031"/>
        <v>0.9926128826953311</v>
      </c>
      <c r="K248" s="65">
        <f t="shared" si="4031"/>
        <v>0.99169333824604144</v>
      </c>
      <c r="L248" s="65">
        <f t="shared" si="4031"/>
        <v>0.99077464565149687</v>
      </c>
      <c r="M248" s="65">
        <f t="shared" si="4031"/>
        <v>0.98985680412254962</v>
      </c>
      <c r="N248" s="65">
        <f t="shared" si="4031"/>
        <v>0.98893981287078292</v>
      </c>
      <c r="O248" s="65">
        <f t="shared" si="4031"/>
        <v>0.98718805138805055</v>
      </c>
      <c r="P248" s="65">
        <f t="shared" si="4031"/>
        <v>0.98543939289323756</v>
      </c>
      <c r="Q248" s="65">
        <f t="shared" si="4031"/>
        <v>0.98369383188985715</v>
      </c>
      <c r="R248" s="65">
        <f t="shared" si="4031"/>
        <v>0.98195136289115859</v>
      </c>
      <c r="S248" s="65">
        <f t="shared" si="4031"/>
        <v>0.98021198042011015</v>
      </c>
      <c r="T248" s="65">
        <f t="shared" si="4031"/>
        <v>0.97847567900938193</v>
      </c>
      <c r="U248" s="65">
        <f t="shared" si="4031"/>
        <v>0.97674245320132858</v>
      </c>
      <c r="V248" s="65">
        <f t="shared" si="4031"/>
        <v>0.97501229754797214</v>
      </c>
      <c r="W248" s="65">
        <f t="shared" si="4031"/>
        <v>0.97328520661098494</v>
      </c>
      <c r="X248" s="65">
        <f t="shared" si="4031"/>
        <v>0.97156117496167249</v>
      </c>
      <c r="Y248" s="65">
        <f t="shared" si="4031"/>
        <v>0.96984019718095649</v>
      </c>
      <c r="Z248" s="65">
        <f t="shared" si="4031"/>
        <v>0.96812226785935762</v>
      </c>
      <c r="AA248" s="65">
        <f t="shared" si="4031"/>
        <v>0.96558166424683844</v>
      </c>
      <c r="AB248" s="65">
        <f t="shared" si="4031"/>
        <v>0.96304772783631454</v>
      </c>
      <c r="AC248" s="65">
        <f t="shared" si="4031"/>
        <v>0.96052044113132085</v>
      </c>
      <c r="AD248" s="65">
        <f t="shared" si="4031"/>
        <v>0.95799978668130747</v>
      </c>
      <c r="AE248" s="65">
        <f t="shared" si="4031"/>
        <v>0.95548574708151934</v>
      </c>
      <c r="AF248" s="65">
        <f t="shared" si="4031"/>
        <v>0.95297830497287594</v>
      </c>
      <c r="AG248" s="65">
        <f t="shared" si="4031"/>
        <v>0.95047744304185156</v>
      </c>
      <c r="AH248" s="65">
        <f t="shared" si="4031"/>
        <v>0.94798314402035555</v>
      </c>
      <c r="AI248" s="65">
        <f t="shared" si="4031"/>
        <v>0.94549539068561328</v>
      </c>
      <c r="AJ248" s="65">
        <f t="shared" si="4031"/>
        <v>0.94301416586004705</v>
      </c>
      <c r="AK248" s="65">
        <f t="shared" si="4031"/>
        <v>0.94053945241115777</v>
      </c>
      <c r="AL248" s="65">
        <f t="shared" si="4031"/>
        <v>0</v>
      </c>
      <c r="AM248" s="65">
        <f t="shared" si="4031"/>
        <v>0</v>
      </c>
      <c r="AN248" s="65">
        <f t="shared" si="4031"/>
        <v>0</v>
      </c>
      <c r="AO248" s="65">
        <f t="shared" si="4031"/>
        <v>0</v>
      </c>
      <c r="AP248" s="65">
        <f t="shared" si="4031"/>
        <v>0</v>
      </c>
      <c r="AQ248" s="65">
        <f t="shared" si="4031"/>
        <v>0</v>
      </c>
      <c r="AR248" s="65">
        <f t="shared" si="4031"/>
        <v>0</v>
      </c>
      <c r="AS248" s="65">
        <f t="shared" si="4031"/>
        <v>0</v>
      </c>
      <c r="AT248" s="65">
        <f t="shared" si="4031"/>
        <v>0</v>
      </c>
      <c r="AU248" s="65">
        <f t="shared" si="4031"/>
        <v>0</v>
      </c>
      <c r="AV248" s="65">
        <f t="shared" si="4031"/>
        <v>0</v>
      </c>
      <c r="AW248" s="65">
        <f t="shared" si="4031"/>
        <v>0</v>
      </c>
      <c r="AX248" s="65">
        <f t="shared" si="4031"/>
        <v>0</v>
      </c>
      <c r="AY248" s="65">
        <f t="shared" si="4031"/>
        <v>0</v>
      </c>
      <c r="AZ248" s="65">
        <f t="shared" si="4031"/>
        <v>0</v>
      </c>
      <c r="BA248" s="65">
        <f t="shared" si="4031"/>
        <v>0</v>
      </c>
      <c r="BB248" s="65">
        <f t="shared" si="4031"/>
        <v>0</v>
      </c>
      <c r="BC248" s="65">
        <f t="shared" si="4031"/>
        <v>0</v>
      </c>
      <c r="BD248" s="65">
        <f t="shared" si="4031"/>
        <v>0</v>
      </c>
      <c r="BE248" s="65">
        <f t="shared" si="4031"/>
        <v>0</v>
      </c>
      <c r="BF248" s="65">
        <f t="shared" si="4031"/>
        <v>0</v>
      </c>
      <c r="BG248" s="65">
        <f t="shared" si="4031"/>
        <v>0</v>
      </c>
      <c r="BH248" s="65">
        <f t="shared" si="4031"/>
        <v>0</v>
      </c>
      <c r="BI248" s="65">
        <f t="shared" ref="BI248:DP248" si="4032">BI209</f>
        <v>0</v>
      </c>
      <c r="BJ248" s="65">
        <f t="shared" si="4032"/>
        <v>0</v>
      </c>
      <c r="BK248" s="65">
        <f t="shared" si="4032"/>
        <v>0</v>
      </c>
      <c r="BL248" s="65">
        <f t="shared" si="4032"/>
        <v>0</v>
      </c>
      <c r="BM248" s="65">
        <f t="shared" si="4032"/>
        <v>0</v>
      </c>
      <c r="BN248" s="65">
        <f t="shared" si="4032"/>
        <v>0</v>
      </c>
      <c r="BO248" s="65">
        <f t="shared" si="4032"/>
        <v>0</v>
      </c>
      <c r="BP248" s="65">
        <f t="shared" si="4032"/>
        <v>0</v>
      </c>
      <c r="BQ248" s="65">
        <f t="shared" si="4032"/>
        <v>0</v>
      </c>
      <c r="BR248" s="65">
        <f t="shared" si="4032"/>
        <v>0</v>
      </c>
      <c r="BS248" s="65">
        <f t="shared" si="4032"/>
        <v>0</v>
      </c>
      <c r="BT248" s="65">
        <f t="shared" si="4032"/>
        <v>0</v>
      </c>
      <c r="BU248" s="65">
        <f t="shared" si="4032"/>
        <v>0</v>
      </c>
      <c r="BV248" s="65">
        <f t="shared" si="4032"/>
        <v>0</v>
      </c>
      <c r="BW248" s="65">
        <f t="shared" si="4032"/>
        <v>0</v>
      </c>
      <c r="BX248" s="65">
        <f t="shared" si="4032"/>
        <v>0</v>
      </c>
      <c r="BY248" s="65">
        <f t="shared" si="4032"/>
        <v>0</v>
      </c>
      <c r="BZ248" s="65">
        <f t="shared" si="4032"/>
        <v>0</v>
      </c>
      <c r="CA248" s="65">
        <f t="shared" si="4032"/>
        <v>0</v>
      </c>
      <c r="CB248" s="65">
        <f t="shared" si="4032"/>
        <v>0</v>
      </c>
      <c r="CC248" s="65">
        <f t="shared" si="4032"/>
        <v>0</v>
      </c>
      <c r="CD248" s="65">
        <f t="shared" si="4032"/>
        <v>0</v>
      </c>
      <c r="CE248" s="65">
        <f t="shared" si="4032"/>
        <v>0</v>
      </c>
      <c r="CF248" s="65">
        <f t="shared" si="4032"/>
        <v>0</v>
      </c>
      <c r="CG248" s="65">
        <f t="shared" si="4032"/>
        <v>0</v>
      </c>
      <c r="CH248" s="65">
        <f t="shared" si="4032"/>
        <v>0</v>
      </c>
      <c r="CI248" s="65">
        <f t="shared" si="4032"/>
        <v>0</v>
      </c>
      <c r="CJ248" s="65">
        <f t="shared" si="4032"/>
        <v>0</v>
      </c>
      <c r="CK248" s="65">
        <f t="shared" si="4032"/>
        <v>0</v>
      </c>
      <c r="CL248" s="65">
        <f t="shared" si="4032"/>
        <v>0</v>
      </c>
      <c r="CM248" s="65">
        <f t="shared" si="4032"/>
        <v>0</v>
      </c>
      <c r="CN248" s="65">
        <f t="shared" si="4032"/>
        <v>0</v>
      </c>
      <c r="CO248" s="65">
        <f t="shared" si="4032"/>
        <v>0</v>
      </c>
      <c r="CP248" s="65">
        <f t="shared" si="4032"/>
        <v>0</v>
      </c>
      <c r="CQ248" s="65">
        <f t="shared" si="4032"/>
        <v>0</v>
      </c>
      <c r="CR248" s="65">
        <f t="shared" si="4032"/>
        <v>0</v>
      </c>
      <c r="CS248" s="65">
        <f t="shared" si="4032"/>
        <v>0</v>
      </c>
      <c r="CT248" s="65">
        <f t="shared" si="4032"/>
        <v>0</v>
      </c>
      <c r="CU248" s="65">
        <f t="shared" si="4032"/>
        <v>0</v>
      </c>
      <c r="CV248" s="65">
        <f t="shared" si="4032"/>
        <v>0</v>
      </c>
      <c r="CW248" s="65">
        <f t="shared" si="4032"/>
        <v>0</v>
      </c>
      <c r="CX248" s="65">
        <f t="shared" si="4032"/>
        <v>0</v>
      </c>
      <c r="CY248" s="65">
        <f t="shared" si="4032"/>
        <v>0</v>
      </c>
      <c r="CZ248" s="65">
        <f t="shared" si="4032"/>
        <v>0</v>
      </c>
      <c r="DA248" s="65">
        <f t="shared" si="4032"/>
        <v>0</v>
      </c>
      <c r="DB248" s="65">
        <f t="shared" si="4032"/>
        <v>0</v>
      </c>
      <c r="DC248" s="65">
        <f t="shared" si="4032"/>
        <v>0</v>
      </c>
      <c r="DD248" s="65">
        <f t="shared" si="4032"/>
        <v>0</v>
      </c>
      <c r="DE248" s="65">
        <f t="shared" si="4032"/>
        <v>0</v>
      </c>
      <c r="DF248" s="65">
        <f t="shared" si="4032"/>
        <v>0</v>
      </c>
      <c r="DG248" s="65">
        <f t="shared" si="4032"/>
        <v>0</v>
      </c>
      <c r="DH248" s="65">
        <f t="shared" si="4032"/>
        <v>0</v>
      </c>
      <c r="DI248" s="65">
        <f t="shared" si="4032"/>
        <v>0</v>
      </c>
      <c r="DJ248" s="65">
        <f t="shared" si="4032"/>
        <v>0</v>
      </c>
      <c r="DK248" s="65">
        <f t="shared" si="4032"/>
        <v>0</v>
      </c>
      <c r="DL248" s="65">
        <f t="shared" si="4032"/>
        <v>0</v>
      </c>
      <c r="DM248" s="65">
        <f t="shared" si="4032"/>
        <v>0</v>
      </c>
      <c r="DN248" s="65">
        <f t="shared" si="4032"/>
        <v>0</v>
      </c>
      <c r="DO248" s="65">
        <f t="shared" si="4032"/>
        <v>0</v>
      </c>
      <c r="DP248" s="65">
        <f t="shared" si="4032"/>
        <v>0</v>
      </c>
      <c r="DQ248" s="65">
        <f t="shared" ref="DQ248:FY248" si="4033">DQ209</f>
        <v>0</v>
      </c>
      <c r="DR248" s="65">
        <f t="shared" si="4033"/>
        <v>0</v>
      </c>
      <c r="DS248" s="65">
        <f t="shared" si="4033"/>
        <v>0</v>
      </c>
      <c r="DT248" s="65">
        <f t="shared" si="4033"/>
        <v>0</v>
      </c>
      <c r="DU248" s="65">
        <f t="shared" si="4033"/>
        <v>0</v>
      </c>
      <c r="DV248" s="65">
        <f t="shared" si="4033"/>
        <v>0</v>
      </c>
      <c r="DW248" s="65">
        <f t="shared" si="4033"/>
        <v>0</v>
      </c>
      <c r="DX248" s="65">
        <f t="shared" si="4033"/>
        <v>0</v>
      </c>
      <c r="DY248" s="65">
        <f t="shared" si="4033"/>
        <v>0</v>
      </c>
      <c r="DZ248" s="65">
        <f t="shared" si="4033"/>
        <v>0</v>
      </c>
      <c r="EA248" s="65">
        <f t="shared" si="4033"/>
        <v>0</v>
      </c>
      <c r="EB248" s="65">
        <f t="shared" si="4033"/>
        <v>0</v>
      </c>
      <c r="EC248" s="65">
        <f t="shared" si="4033"/>
        <v>0</v>
      </c>
      <c r="ED248" s="65">
        <f t="shared" si="4033"/>
        <v>0</v>
      </c>
      <c r="EE248" s="65">
        <f t="shared" si="4033"/>
        <v>0</v>
      </c>
      <c r="EF248" s="65">
        <f t="shared" si="4033"/>
        <v>0</v>
      </c>
      <c r="EG248" s="65">
        <f t="shared" si="4033"/>
        <v>0</v>
      </c>
      <c r="EH248" s="65">
        <f t="shared" si="4033"/>
        <v>0</v>
      </c>
      <c r="EI248" s="65">
        <f t="shared" si="4033"/>
        <v>0</v>
      </c>
      <c r="EJ248" s="65">
        <f t="shared" si="4033"/>
        <v>0</v>
      </c>
      <c r="EK248" s="65">
        <f t="shared" si="4033"/>
        <v>0</v>
      </c>
      <c r="EL248" s="65">
        <f t="shared" si="4033"/>
        <v>0</v>
      </c>
      <c r="EM248" s="65">
        <f t="shared" si="4033"/>
        <v>0</v>
      </c>
      <c r="EN248" s="65">
        <f t="shared" si="4033"/>
        <v>0</v>
      </c>
      <c r="EO248" s="65">
        <f t="shared" si="4033"/>
        <v>0</v>
      </c>
      <c r="EP248" s="65">
        <f t="shared" si="4033"/>
        <v>0</v>
      </c>
      <c r="EQ248" s="65">
        <f t="shared" si="4033"/>
        <v>0</v>
      </c>
      <c r="ER248" s="65">
        <f t="shared" si="4033"/>
        <v>0</v>
      </c>
      <c r="ES248" s="65">
        <f t="shared" si="4033"/>
        <v>0</v>
      </c>
      <c r="ET248" s="65">
        <f t="shared" si="4033"/>
        <v>0</v>
      </c>
      <c r="EU248" s="65">
        <f t="shared" si="4033"/>
        <v>0</v>
      </c>
      <c r="EV248" s="65">
        <f t="shared" si="4033"/>
        <v>0</v>
      </c>
      <c r="EW248" s="65">
        <f t="shared" si="4033"/>
        <v>0</v>
      </c>
      <c r="EX248" s="65">
        <f t="shared" si="4033"/>
        <v>0</v>
      </c>
      <c r="EY248" s="65">
        <f t="shared" si="4033"/>
        <v>0</v>
      </c>
      <c r="EZ248" s="65">
        <f t="shared" si="4033"/>
        <v>0</v>
      </c>
      <c r="FA248" s="65">
        <f t="shared" si="4033"/>
        <v>0</v>
      </c>
      <c r="FB248" s="65">
        <f t="shared" si="4033"/>
        <v>0</v>
      </c>
      <c r="FC248" s="65">
        <f t="shared" si="4033"/>
        <v>0</v>
      </c>
      <c r="FD248" s="65">
        <f t="shared" si="4033"/>
        <v>0</v>
      </c>
      <c r="FE248" s="65">
        <f t="shared" si="4033"/>
        <v>0</v>
      </c>
      <c r="FF248" s="65">
        <f t="shared" si="4033"/>
        <v>0</v>
      </c>
      <c r="FG248" s="65">
        <f t="shared" si="4033"/>
        <v>0</v>
      </c>
      <c r="FH248" s="65">
        <f t="shared" si="4033"/>
        <v>0</v>
      </c>
      <c r="FI248" s="65">
        <f t="shared" si="4033"/>
        <v>0</v>
      </c>
      <c r="FJ248" s="65">
        <f t="shared" si="4033"/>
        <v>0</v>
      </c>
      <c r="FK248" s="65">
        <f t="shared" si="4033"/>
        <v>0</v>
      </c>
      <c r="FL248" s="65">
        <f t="shared" si="4033"/>
        <v>0</v>
      </c>
      <c r="FM248" s="65">
        <f t="shared" si="4033"/>
        <v>0</v>
      </c>
      <c r="FN248" s="65">
        <f t="shared" si="4033"/>
        <v>0</v>
      </c>
      <c r="FO248" s="65">
        <f t="shared" si="4033"/>
        <v>0</v>
      </c>
      <c r="FP248" s="65">
        <f t="shared" si="4033"/>
        <v>0</v>
      </c>
      <c r="FQ248" s="65">
        <f t="shared" si="4033"/>
        <v>0</v>
      </c>
      <c r="FR248" s="65">
        <f t="shared" si="4033"/>
        <v>0</v>
      </c>
      <c r="FS248" s="65">
        <f t="shared" si="4033"/>
        <v>0</v>
      </c>
      <c r="FT248" s="65">
        <f t="shared" si="4033"/>
        <v>0</v>
      </c>
      <c r="FU248" s="65">
        <f t="shared" si="4033"/>
        <v>0</v>
      </c>
      <c r="FV248" s="65">
        <f t="shared" si="4033"/>
        <v>0</v>
      </c>
      <c r="FW248" s="65">
        <f t="shared" si="4033"/>
        <v>0</v>
      </c>
      <c r="FX248" s="65">
        <f t="shared" si="4033"/>
        <v>0</v>
      </c>
      <c r="FY248" s="65">
        <f t="shared" si="4033"/>
        <v>0</v>
      </c>
      <c r="FZ248" s="59"/>
    </row>
    <row r="249" spans="1:182" x14ac:dyDescent="0.2">
      <c r="A249" s="94" t="s">
        <v>332</v>
      </c>
      <c r="B249" s="65">
        <f>B210</f>
        <v>0.99907361221547641</v>
      </c>
      <c r="C249" s="65">
        <f t="shared" ref="C249:AH249" si="4034">C210</f>
        <v>0.9981480826252801</v>
      </c>
      <c r="D249" s="65">
        <f t="shared" si="4034"/>
        <v>0.99722341043439044</v>
      </c>
      <c r="E249" s="65">
        <f t="shared" si="4034"/>
        <v>0.99629959484852304</v>
      </c>
      <c r="F249" s="65">
        <f t="shared" si="4034"/>
        <v>0.99537663507412955</v>
      </c>
      <c r="G249" s="65">
        <f t="shared" si="4034"/>
        <v>0.9944545303183967</v>
      </c>
      <c r="H249" s="65">
        <f t="shared" si="4034"/>
        <v>0.99353327978924555</v>
      </c>
      <c r="I249" s="65">
        <f t="shared" si="4034"/>
        <v>0.9926128826953311</v>
      </c>
      <c r="J249" s="65">
        <f t="shared" si="4034"/>
        <v>0.99169333824604144</v>
      </c>
      <c r="K249" s="65">
        <f t="shared" si="4034"/>
        <v>0.99077464565149687</v>
      </c>
      <c r="L249" s="65">
        <f t="shared" si="4034"/>
        <v>0.98985680412254962</v>
      </c>
      <c r="M249" s="65">
        <f t="shared" si="4034"/>
        <v>0.98893981287078292</v>
      </c>
      <c r="N249" s="65">
        <f t="shared" si="4034"/>
        <v>0.98718805138805055</v>
      </c>
      <c r="O249" s="65">
        <f t="shared" si="4034"/>
        <v>0.98543939289323756</v>
      </c>
      <c r="P249" s="65">
        <f t="shared" si="4034"/>
        <v>0.98369383188985715</v>
      </c>
      <c r="Q249" s="65">
        <f t="shared" si="4034"/>
        <v>0.98195136289115859</v>
      </c>
      <c r="R249" s="65">
        <f t="shared" si="4034"/>
        <v>0.98021198042011015</v>
      </c>
      <c r="S249" s="65">
        <f t="shared" si="4034"/>
        <v>0.97847567900938193</v>
      </c>
      <c r="T249" s="65">
        <f t="shared" si="4034"/>
        <v>0.97674245320132858</v>
      </c>
      <c r="U249" s="65">
        <f t="shared" si="4034"/>
        <v>0.97501229754797214</v>
      </c>
      <c r="V249" s="65">
        <f t="shared" si="4034"/>
        <v>0.97328520661098494</v>
      </c>
      <c r="W249" s="65">
        <f t="shared" si="4034"/>
        <v>0.97156117496167249</v>
      </c>
      <c r="X249" s="65">
        <f t="shared" si="4034"/>
        <v>0.96984019718095649</v>
      </c>
      <c r="Y249" s="65">
        <f t="shared" si="4034"/>
        <v>0.96812226785935762</v>
      </c>
      <c r="Z249" s="65">
        <f t="shared" si="4034"/>
        <v>0.96558166424683844</v>
      </c>
      <c r="AA249" s="65">
        <f t="shared" si="4034"/>
        <v>0.96304772783631454</v>
      </c>
      <c r="AB249" s="65">
        <f t="shared" si="4034"/>
        <v>0.96052044113132085</v>
      </c>
      <c r="AC249" s="65">
        <f t="shared" si="4034"/>
        <v>0.95799978668130747</v>
      </c>
      <c r="AD249" s="65">
        <f t="shared" si="4034"/>
        <v>0.95548574708151934</v>
      </c>
      <c r="AE249" s="65">
        <f t="shared" si="4034"/>
        <v>0.95297830497287594</v>
      </c>
      <c r="AF249" s="65">
        <f t="shared" si="4034"/>
        <v>0.95047744304185156</v>
      </c>
      <c r="AG249" s="65">
        <f t="shared" si="4034"/>
        <v>0.94798314402035555</v>
      </c>
      <c r="AH249" s="65">
        <f t="shared" si="4034"/>
        <v>0.94549539068561328</v>
      </c>
      <c r="AI249" s="65">
        <f t="shared" ref="AI249:BH249" si="4035">AI210</f>
        <v>0.94301416586004705</v>
      </c>
      <c r="AJ249" s="65">
        <f t="shared" si="4035"/>
        <v>0.94053945241115777</v>
      </c>
      <c r="AK249" s="65">
        <f t="shared" si="4035"/>
        <v>0</v>
      </c>
      <c r="AL249" s="65">
        <f t="shared" si="4035"/>
        <v>0</v>
      </c>
      <c r="AM249" s="65">
        <f t="shared" si="4035"/>
        <v>0</v>
      </c>
      <c r="AN249" s="65">
        <f t="shared" si="4035"/>
        <v>0</v>
      </c>
      <c r="AO249" s="65">
        <f t="shared" si="4035"/>
        <v>0</v>
      </c>
      <c r="AP249" s="65">
        <f t="shared" si="4035"/>
        <v>0</v>
      </c>
      <c r="AQ249" s="65">
        <f t="shared" si="4035"/>
        <v>0</v>
      </c>
      <c r="AR249" s="65">
        <f t="shared" si="4035"/>
        <v>0</v>
      </c>
      <c r="AS249" s="65">
        <f t="shared" si="4035"/>
        <v>0</v>
      </c>
      <c r="AT249" s="65">
        <f t="shared" si="4035"/>
        <v>0</v>
      </c>
      <c r="AU249" s="65">
        <f t="shared" si="4035"/>
        <v>0</v>
      </c>
      <c r="AV249" s="65">
        <f t="shared" si="4035"/>
        <v>0</v>
      </c>
      <c r="AW249" s="65">
        <f t="shared" si="4035"/>
        <v>0</v>
      </c>
      <c r="AX249" s="65">
        <f t="shared" si="4035"/>
        <v>0</v>
      </c>
      <c r="AY249" s="65">
        <f t="shared" si="4035"/>
        <v>0</v>
      </c>
      <c r="AZ249" s="65">
        <f t="shared" si="4035"/>
        <v>0</v>
      </c>
      <c r="BA249" s="65">
        <f t="shared" si="4035"/>
        <v>0</v>
      </c>
      <c r="BB249" s="65">
        <f t="shared" si="4035"/>
        <v>0</v>
      </c>
      <c r="BC249" s="65">
        <f t="shared" si="4035"/>
        <v>0</v>
      </c>
      <c r="BD249" s="65">
        <f t="shared" si="4035"/>
        <v>0</v>
      </c>
      <c r="BE249" s="65">
        <f t="shared" si="4035"/>
        <v>0</v>
      </c>
      <c r="BF249" s="65">
        <f t="shared" si="4035"/>
        <v>0</v>
      </c>
      <c r="BG249" s="65">
        <f t="shared" si="4035"/>
        <v>0</v>
      </c>
      <c r="BH249" s="65">
        <f t="shared" si="4035"/>
        <v>0</v>
      </c>
      <c r="BI249" s="65">
        <f t="shared" ref="BI249:DP249" si="4036">BI210</f>
        <v>0</v>
      </c>
      <c r="BJ249" s="65">
        <f t="shared" si="4036"/>
        <v>0</v>
      </c>
      <c r="BK249" s="65">
        <f t="shared" si="4036"/>
        <v>0</v>
      </c>
      <c r="BL249" s="65">
        <f t="shared" si="4036"/>
        <v>0</v>
      </c>
      <c r="BM249" s="65">
        <f t="shared" si="4036"/>
        <v>0</v>
      </c>
      <c r="BN249" s="65">
        <f t="shared" si="4036"/>
        <v>0</v>
      </c>
      <c r="BO249" s="65">
        <f t="shared" si="4036"/>
        <v>0</v>
      </c>
      <c r="BP249" s="65">
        <f t="shared" si="4036"/>
        <v>0</v>
      </c>
      <c r="BQ249" s="65">
        <f t="shared" si="4036"/>
        <v>0</v>
      </c>
      <c r="BR249" s="65">
        <f t="shared" si="4036"/>
        <v>0</v>
      </c>
      <c r="BS249" s="65">
        <f t="shared" si="4036"/>
        <v>0</v>
      </c>
      <c r="BT249" s="65">
        <f t="shared" si="4036"/>
        <v>0</v>
      </c>
      <c r="BU249" s="65">
        <f t="shared" si="4036"/>
        <v>0</v>
      </c>
      <c r="BV249" s="65">
        <f t="shared" si="4036"/>
        <v>0</v>
      </c>
      <c r="BW249" s="65">
        <f t="shared" si="4036"/>
        <v>0</v>
      </c>
      <c r="BX249" s="65">
        <f t="shared" si="4036"/>
        <v>0</v>
      </c>
      <c r="BY249" s="65">
        <f t="shared" si="4036"/>
        <v>0</v>
      </c>
      <c r="BZ249" s="65">
        <f t="shared" si="4036"/>
        <v>0</v>
      </c>
      <c r="CA249" s="65">
        <f t="shared" si="4036"/>
        <v>0</v>
      </c>
      <c r="CB249" s="65">
        <f t="shared" si="4036"/>
        <v>0</v>
      </c>
      <c r="CC249" s="65">
        <f t="shared" si="4036"/>
        <v>0</v>
      </c>
      <c r="CD249" s="65">
        <f t="shared" si="4036"/>
        <v>0</v>
      </c>
      <c r="CE249" s="65">
        <f t="shared" si="4036"/>
        <v>0</v>
      </c>
      <c r="CF249" s="65">
        <f t="shared" si="4036"/>
        <v>0</v>
      </c>
      <c r="CG249" s="65">
        <f t="shared" si="4036"/>
        <v>0</v>
      </c>
      <c r="CH249" s="65">
        <f t="shared" si="4036"/>
        <v>0</v>
      </c>
      <c r="CI249" s="65">
        <f t="shared" si="4036"/>
        <v>0</v>
      </c>
      <c r="CJ249" s="65">
        <f t="shared" si="4036"/>
        <v>0</v>
      </c>
      <c r="CK249" s="65">
        <f t="shared" si="4036"/>
        <v>0</v>
      </c>
      <c r="CL249" s="65">
        <f t="shared" si="4036"/>
        <v>0</v>
      </c>
      <c r="CM249" s="65">
        <f t="shared" si="4036"/>
        <v>0</v>
      </c>
      <c r="CN249" s="65">
        <f t="shared" si="4036"/>
        <v>0</v>
      </c>
      <c r="CO249" s="65">
        <f t="shared" si="4036"/>
        <v>0</v>
      </c>
      <c r="CP249" s="65">
        <f t="shared" si="4036"/>
        <v>0</v>
      </c>
      <c r="CQ249" s="65">
        <f t="shared" si="4036"/>
        <v>0</v>
      </c>
      <c r="CR249" s="65">
        <f t="shared" si="4036"/>
        <v>0</v>
      </c>
      <c r="CS249" s="65">
        <f t="shared" si="4036"/>
        <v>0</v>
      </c>
      <c r="CT249" s="65">
        <f t="shared" si="4036"/>
        <v>0</v>
      </c>
      <c r="CU249" s="65">
        <f t="shared" si="4036"/>
        <v>0</v>
      </c>
      <c r="CV249" s="65">
        <f t="shared" si="4036"/>
        <v>0</v>
      </c>
      <c r="CW249" s="65">
        <f t="shared" si="4036"/>
        <v>0</v>
      </c>
      <c r="CX249" s="65">
        <f t="shared" si="4036"/>
        <v>0</v>
      </c>
      <c r="CY249" s="65">
        <f t="shared" si="4036"/>
        <v>0</v>
      </c>
      <c r="CZ249" s="65">
        <f t="shared" si="4036"/>
        <v>0</v>
      </c>
      <c r="DA249" s="65">
        <f t="shared" si="4036"/>
        <v>0</v>
      </c>
      <c r="DB249" s="65">
        <f t="shared" si="4036"/>
        <v>0</v>
      </c>
      <c r="DC249" s="65">
        <f t="shared" si="4036"/>
        <v>0</v>
      </c>
      <c r="DD249" s="65">
        <f t="shared" si="4036"/>
        <v>0</v>
      </c>
      <c r="DE249" s="65">
        <f t="shared" si="4036"/>
        <v>0</v>
      </c>
      <c r="DF249" s="65">
        <f t="shared" si="4036"/>
        <v>0</v>
      </c>
      <c r="DG249" s="65">
        <f t="shared" si="4036"/>
        <v>0</v>
      </c>
      <c r="DH249" s="65">
        <f t="shared" si="4036"/>
        <v>0</v>
      </c>
      <c r="DI249" s="65">
        <f t="shared" si="4036"/>
        <v>0</v>
      </c>
      <c r="DJ249" s="65">
        <f t="shared" si="4036"/>
        <v>0</v>
      </c>
      <c r="DK249" s="65">
        <f t="shared" si="4036"/>
        <v>0</v>
      </c>
      <c r="DL249" s="65">
        <f t="shared" si="4036"/>
        <v>0</v>
      </c>
      <c r="DM249" s="65">
        <f t="shared" si="4036"/>
        <v>0</v>
      </c>
      <c r="DN249" s="65">
        <f t="shared" si="4036"/>
        <v>0</v>
      </c>
      <c r="DO249" s="65">
        <f t="shared" si="4036"/>
        <v>0</v>
      </c>
      <c r="DP249" s="65">
        <f t="shared" si="4036"/>
        <v>0</v>
      </c>
      <c r="DQ249" s="65">
        <f t="shared" ref="DQ249:FY249" si="4037">DQ210</f>
        <v>0</v>
      </c>
      <c r="DR249" s="65">
        <f t="shared" si="4037"/>
        <v>0</v>
      </c>
      <c r="DS249" s="65">
        <f t="shared" si="4037"/>
        <v>0</v>
      </c>
      <c r="DT249" s="65">
        <f t="shared" si="4037"/>
        <v>0</v>
      </c>
      <c r="DU249" s="65">
        <f t="shared" si="4037"/>
        <v>0</v>
      </c>
      <c r="DV249" s="65">
        <f t="shared" si="4037"/>
        <v>0</v>
      </c>
      <c r="DW249" s="65">
        <f t="shared" si="4037"/>
        <v>0</v>
      </c>
      <c r="DX249" s="65">
        <f t="shared" si="4037"/>
        <v>0</v>
      </c>
      <c r="DY249" s="65">
        <f t="shared" si="4037"/>
        <v>0</v>
      </c>
      <c r="DZ249" s="65">
        <f t="shared" si="4037"/>
        <v>0</v>
      </c>
      <c r="EA249" s="65">
        <f t="shared" si="4037"/>
        <v>0</v>
      </c>
      <c r="EB249" s="65">
        <f t="shared" si="4037"/>
        <v>0</v>
      </c>
      <c r="EC249" s="65">
        <f t="shared" si="4037"/>
        <v>0</v>
      </c>
      <c r="ED249" s="65">
        <f t="shared" si="4037"/>
        <v>0</v>
      </c>
      <c r="EE249" s="65">
        <f t="shared" si="4037"/>
        <v>0</v>
      </c>
      <c r="EF249" s="65">
        <f t="shared" si="4037"/>
        <v>0</v>
      </c>
      <c r="EG249" s="65">
        <f t="shared" si="4037"/>
        <v>0</v>
      </c>
      <c r="EH249" s="65">
        <f t="shared" si="4037"/>
        <v>0</v>
      </c>
      <c r="EI249" s="65">
        <f t="shared" si="4037"/>
        <v>0</v>
      </c>
      <c r="EJ249" s="65">
        <f t="shared" si="4037"/>
        <v>0</v>
      </c>
      <c r="EK249" s="65">
        <f t="shared" si="4037"/>
        <v>0</v>
      </c>
      <c r="EL249" s="65">
        <f t="shared" si="4037"/>
        <v>0</v>
      </c>
      <c r="EM249" s="65">
        <f t="shared" si="4037"/>
        <v>0</v>
      </c>
      <c r="EN249" s="65">
        <f t="shared" si="4037"/>
        <v>0</v>
      </c>
      <c r="EO249" s="65">
        <f t="shared" si="4037"/>
        <v>0</v>
      </c>
      <c r="EP249" s="65">
        <f t="shared" si="4037"/>
        <v>0</v>
      </c>
      <c r="EQ249" s="65">
        <f t="shared" si="4037"/>
        <v>0</v>
      </c>
      <c r="ER249" s="65">
        <f t="shared" si="4037"/>
        <v>0</v>
      </c>
      <c r="ES249" s="65">
        <f t="shared" si="4037"/>
        <v>0</v>
      </c>
      <c r="ET249" s="65">
        <f t="shared" si="4037"/>
        <v>0</v>
      </c>
      <c r="EU249" s="65">
        <f t="shared" si="4037"/>
        <v>0</v>
      </c>
      <c r="EV249" s="65">
        <f t="shared" si="4037"/>
        <v>0</v>
      </c>
      <c r="EW249" s="65">
        <f t="shared" si="4037"/>
        <v>0</v>
      </c>
      <c r="EX249" s="65">
        <f t="shared" si="4037"/>
        <v>0</v>
      </c>
      <c r="EY249" s="65">
        <f t="shared" si="4037"/>
        <v>0</v>
      </c>
      <c r="EZ249" s="65">
        <f t="shared" si="4037"/>
        <v>0</v>
      </c>
      <c r="FA249" s="65">
        <f t="shared" si="4037"/>
        <v>0</v>
      </c>
      <c r="FB249" s="65">
        <f t="shared" si="4037"/>
        <v>0</v>
      </c>
      <c r="FC249" s="65">
        <f t="shared" si="4037"/>
        <v>0</v>
      </c>
      <c r="FD249" s="65">
        <f t="shared" si="4037"/>
        <v>0</v>
      </c>
      <c r="FE249" s="65">
        <f t="shared" si="4037"/>
        <v>0</v>
      </c>
      <c r="FF249" s="65">
        <f t="shared" si="4037"/>
        <v>0</v>
      </c>
      <c r="FG249" s="65">
        <f t="shared" si="4037"/>
        <v>0</v>
      </c>
      <c r="FH249" s="65">
        <f t="shared" si="4037"/>
        <v>0</v>
      </c>
      <c r="FI249" s="65">
        <f t="shared" si="4037"/>
        <v>0</v>
      </c>
      <c r="FJ249" s="65">
        <f t="shared" si="4037"/>
        <v>0</v>
      </c>
      <c r="FK249" s="65">
        <f t="shared" si="4037"/>
        <v>0</v>
      </c>
      <c r="FL249" s="65">
        <f t="shared" si="4037"/>
        <v>0</v>
      </c>
      <c r="FM249" s="65">
        <f t="shared" si="4037"/>
        <v>0</v>
      </c>
      <c r="FN249" s="65">
        <f t="shared" si="4037"/>
        <v>0</v>
      </c>
      <c r="FO249" s="65">
        <f t="shared" si="4037"/>
        <v>0</v>
      </c>
      <c r="FP249" s="65">
        <f t="shared" si="4037"/>
        <v>0</v>
      </c>
      <c r="FQ249" s="65">
        <f t="shared" si="4037"/>
        <v>0</v>
      </c>
      <c r="FR249" s="65">
        <f t="shared" si="4037"/>
        <v>0</v>
      </c>
      <c r="FS249" s="65">
        <f t="shared" si="4037"/>
        <v>0</v>
      </c>
      <c r="FT249" s="65">
        <f t="shared" si="4037"/>
        <v>0</v>
      </c>
      <c r="FU249" s="65">
        <f t="shared" si="4037"/>
        <v>0</v>
      </c>
      <c r="FV249" s="65">
        <f t="shared" si="4037"/>
        <v>0</v>
      </c>
      <c r="FW249" s="65">
        <f t="shared" si="4037"/>
        <v>0</v>
      </c>
      <c r="FX249" s="65">
        <f t="shared" si="4037"/>
        <v>0</v>
      </c>
      <c r="FY249" s="65">
        <f t="shared" si="4037"/>
        <v>0</v>
      </c>
      <c r="FZ249" s="59"/>
    </row>
    <row r="250" spans="1:182" x14ac:dyDescent="0.2">
      <c r="A250" s="94" t="s">
        <v>334</v>
      </c>
      <c r="B250" s="65">
        <f>B211</f>
        <v>1</v>
      </c>
      <c r="C250" s="65">
        <f t="shared" ref="C250:AH250" si="4038">C211</f>
        <v>0.99919918881934455</v>
      </c>
      <c r="D250" s="65">
        <f t="shared" si="4038"/>
        <v>0.99839901893723615</v>
      </c>
      <c r="E250" s="65">
        <f t="shared" si="4038"/>
        <v>0.99759948984011571</v>
      </c>
      <c r="F250" s="65">
        <f t="shared" si="4038"/>
        <v>0.99680060101483547</v>
      </c>
      <c r="G250" s="65">
        <f t="shared" si="4038"/>
        <v>0.99600235194865872</v>
      </c>
      <c r="H250" s="65">
        <f t="shared" si="4038"/>
        <v>0.99520474212925902</v>
      </c>
      <c r="I250" s="65">
        <f t="shared" si="4038"/>
        <v>0.99440777104472056</v>
      </c>
      <c r="J250" s="65">
        <f t="shared" si="4038"/>
        <v>0.99361143818353725</v>
      </c>
      <c r="K250" s="65">
        <f t="shared" si="4038"/>
        <v>0.99281574303461273</v>
      </c>
      <c r="L250" s="65">
        <f t="shared" si="4038"/>
        <v>0.99202068508725982</v>
      </c>
      <c r="M250" s="65">
        <f t="shared" si="4038"/>
        <v>0.99122626383120038</v>
      </c>
      <c r="N250" s="65">
        <f t="shared" si="4038"/>
        <v>0.99043247875656493</v>
      </c>
      <c r="O250" s="65">
        <f t="shared" si="4038"/>
        <v>0.98892798052839015</v>
      </c>
      <c r="P250" s="65">
        <f t="shared" si="4038"/>
        <v>0.9874257676805589</v>
      </c>
      <c r="Q250" s="65">
        <f t="shared" si="4038"/>
        <v>0.98592583674150625</v>
      </c>
      <c r="R250" s="65">
        <f t="shared" si="4038"/>
        <v>0.98442818424494072</v>
      </c>
      <c r="S250" s="65">
        <f t="shared" si="4038"/>
        <v>0.98293280672983618</v>
      </c>
      <c r="T250" s="65">
        <f t="shared" si="4038"/>
        <v>0.98143970074042386</v>
      </c>
      <c r="U250" s="65">
        <f t="shared" si="4038"/>
        <v>0.97994886282618443</v>
      </c>
      <c r="V250" s="65">
        <f t="shared" si="4038"/>
        <v>0.97846028954184017</v>
      </c>
      <c r="W250" s="65">
        <f t="shared" si="4038"/>
        <v>0.9769739774473466</v>
      </c>
      <c r="X250" s="65">
        <f t="shared" si="4038"/>
        <v>0.97548992310788496</v>
      </c>
      <c r="Y250" s="65">
        <f t="shared" si="4038"/>
        <v>0.97400812309385398</v>
      </c>
      <c r="Z250" s="65">
        <f t="shared" si="4038"/>
        <v>0.97252857398086212</v>
      </c>
      <c r="AA250" s="65">
        <f t="shared" si="4038"/>
        <v>0.97034621816168198</v>
      </c>
      <c r="AB250" s="65">
        <f t="shared" si="4038"/>
        <v>0.96816875955277304</v>
      </c>
      <c r="AC250" s="65">
        <f t="shared" si="4038"/>
        <v>0.96599618716478686</v>
      </c>
      <c r="AD250" s="65">
        <f t="shared" si="4038"/>
        <v>0.96382849003303517</v>
      </c>
      <c r="AE250" s="65">
        <f t="shared" si="4038"/>
        <v>0.96166565721743447</v>
      </c>
      <c r="AF250" s="65">
        <f t="shared" si="4038"/>
        <v>0.95950767780245072</v>
      </c>
      <c r="AG250" s="65">
        <f t="shared" si="4038"/>
        <v>0.95735454089704453</v>
      </c>
      <c r="AH250" s="65">
        <f t="shared" si="4038"/>
        <v>0.95520623563461604</v>
      </c>
      <c r="AI250" s="65">
        <f t="shared" ref="AI250:BH250" si="4039">AI211</f>
        <v>0.95306275117294981</v>
      </c>
      <c r="AJ250" s="65">
        <f t="shared" si="4039"/>
        <v>0.95092407669416057</v>
      </c>
      <c r="AK250" s="65">
        <f t="shared" si="4039"/>
        <v>0.94879020140463843</v>
      </c>
      <c r="AL250" s="65">
        <f t="shared" si="4039"/>
        <v>0</v>
      </c>
      <c r="AM250" s="65">
        <f t="shared" si="4039"/>
        <v>0</v>
      </c>
      <c r="AN250" s="65">
        <f t="shared" si="4039"/>
        <v>0</v>
      </c>
      <c r="AO250" s="65">
        <f t="shared" si="4039"/>
        <v>0</v>
      </c>
      <c r="AP250" s="65">
        <f t="shared" si="4039"/>
        <v>0</v>
      </c>
      <c r="AQ250" s="65">
        <f t="shared" si="4039"/>
        <v>0</v>
      </c>
      <c r="AR250" s="65">
        <f t="shared" si="4039"/>
        <v>0</v>
      </c>
      <c r="AS250" s="65">
        <f t="shared" si="4039"/>
        <v>0</v>
      </c>
      <c r="AT250" s="65">
        <f t="shared" si="4039"/>
        <v>0</v>
      </c>
      <c r="AU250" s="65">
        <f t="shared" si="4039"/>
        <v>0</v>
      </c>
      <c r="AV250" s="65">
        <f t="shared" si="4039"/>
        <v>0</v>
      </c>
      <c r="AW250" s="65">
        <f t="shared" si="4039"/>
        <v>0</v>
      </c>
      <c r="AX250" s="65">
        <f t="shared" si="4039"/>
        <v>0</v>
      </c>
      <c r="AY250" s="65">
        <f t="shared" si="4039"/>
        <v>0</v>
      </c>
      <c r="AZ250" s="65">
        <f t="shared" si="4039"/>
        <v>0</v>
      </c>
      <c r="BA250" s="65">
        <f t="shared" si="4039"/>
        <v>0</v>
      </c>
      <c r="BB250" s="65">
        <f t="shared" si="4039"/>
        <v>0</v>
      </c>
      <c r="BC250" s="65">
        <f t="shared" si="4039"/>
        <v>0</v>
      </c>
      <c r="BD250" s="65">
        <f t="shared" si="4039"/>
        <v>0</v>
      </c>
      <c r="BE250" s="65">
        <f t="shared" si="4039"/>
        <v>0</v>
      </c>
      <c r="BF250" s="65">
        <f t="shared" si="4039"/>
        <v>0</v>
      </c>
      <c r="BG250" s="65">
        <f t="shared" si="4039"/>
        <v>0</v>
      </c>
      <c r="BH250" s="65">
        <f t="shared" si="4039"/>
        <v>0</v>
      </c>
      <c r="BI250" s="65">
        <f t="shared" ref="BI250:DP250" si="4040">BI211</f>
        <v>0</v>
      </c>
      <c r="BJ250" s="65">
        <f t="shared" si="4040"/>
        <v>0</v>
      </c>
      <c r="BK250" s="65">
        <f t="shared" si="4040"/>
        <v>0</v>
      </c>
      <c r="BL250" s="65">
        <f t="shared" si="4040"/>
        <v>0</v>
      </c>
      <c r="BM250" s="65">
        <f t="shared" si="4040"/>
        <v>0</v>
      </c>
      <c r="BN250" s="65">
        <f t="shared" si="4040"/>
        <v>0</v>
      </c>
      <c r="BO250" s="65">
        <f t="shared" si="4040"/>
        <v>0</v>
      </c>
      <c r="BP250" s="65">
        <f t="shared" si="4040"/>
        <v>0</v>
      </c>
      <c r="BQ250" s="65">
        <f t="shared" si="4040"/>
        <v>0</v>
      </c>
      <c r="BR250" s="65">
        <f t="shared" si="4040"/>
        <v>0</v>
      </c>
      <c r="BS250" s="65">
        <f t="shared" si="4040"/>
        <v>0</v>
      </c>
      <c r="BT250" s="65">
        <f t="shared" si="4040"/>
        <v>0</v>
      </c>
      <c r="BU250" s="65">
        <f t="shared" si="4040"/>
        <v>0</v>
      </c>
      <c r="BV250" s="65">
        <f t="shared" si="4040"/>
        <v>0</v>
      </c>
      <c r="BW250" s="65">
        <f t="shared" si="4040"/>
        <v>0</v>
      </c>
      <c r="BX250" s="65">
        <f t="shared" si="4040"/>
        <v>0</v>
      </c>
      <c r="BY250" s="65">
        <f t="shared" si="4040"/>
        <v>0</v>
      </c>
      <c r="BZ250" s="65">
        <f t="shared" si="4040"/>
        <v>0</v>
      </c>
      <c r="CA250" s="65">
        <f t="shared" si="4040"/>
        <v>0</v>
      </c>
      <c r="CB250" s="65">
        <f t="shared" si="4040"/>
        <v>0</v>
      </c>
      <c r="CC250" s="65">
        <f t="shared" si="4040"/>
        <v>0</v>
      </c>
      <c r="CD250" s="65">
        <f t="shared" si="4040"/>
        <v>0</v>
      </c>
      <c r="CE250" s="65">
        <f t="shared" si="4040"/>
        <v>0</v>
      </c>
      <c r="CF250" s="65">
        <f t="shared" si="4040"/>
        <v>0</v>
      </c>
      <c r="CG250" s="65">
        <f t="shared" si="4040"/>
        <v>0</v>
      </c>
      <c r="CH250" s="65">
        <f t="shared" si="4040"/>
        <v>0</v>
      </c>
      <c r="CI250" s="65">
        <f t="shared" si="4040"/>
        <v>0</v>
      </c>
      <c r="CJ250" s="65">
        <f t="shared" si="4040"/>
        <v>0</v>
      </c>
      <c r="CK250" s="65">
        <f t="shared" si="4040"/>
        <v>0</v>
      </c>
      <c r="CL250" s="65">
        <f t="shared" si="4040"/>
        <v>0</v>
      </c>
      <c r="CM250" s="65">
        <f t="shared" si="4040"/>
        <v>0</v>
      </c>
      <c r="CN250" s="65">
        <f t="shared" si="4040"/>
        <v>0</v>
      </c>
      <c r="CO250" s="65">
        <f t="shared" si="4040"/>
        <v>0</v>
      </c>
      <c r="CP250" s="65">
        <f t="shared" si="4040"/>
        <v>0</v>
      </c>
      <c r="CQ250" s="65">
        <f t="shared" si="4040"/>
        <v>0</v>
      </c>
      <c r="CR250" s="65">
        <f t="shared" si="4040"/>
        <v>0</v>
      </c>
      <c r="CS250" s="65">
        <f t="shared" si="4040"/>
        <v>0</v>
      </c>
      <c r="CT250" s="65">
        <f t="shared" si="4040"/>
        <v>0</v>
      </c>
      <c r="CU250" s="65">
        <f t="shared" si="4040"/>
        <v>0</v>
      </c>
      <c r="CV250" s="65">
        <f t="shared" si="4040"/>
        <v>0</v>
      </c>
      <c r="CW250" s="65">
        <f t="shared" si="4040"/>
        <v>0</v>
      </c>
      <c r="CX250" s="65">
        <f t="shared" si="4040"/>
        <v>0</v>
      </c>
      <c r="CY250" s="65">
        <f t="shared" si="4040"/>
        <v>0</v>
      </c>
      <c r="CZ250" s="65">
        <f t="shared" si="4040"/>
        <v>0</v>
      </c>
      <c r="DA250" s="65">
        <f t="shared" si="4040"/>
        <v>0</v>
      </c>
      <c r="DB250" s="65">
        <f t="shared" si="4040"/>
        <v>0</v>
      </c>
      <c r="DC250" s="65">
        <f t="shared" si="4040"/>
        <v>0</v>
      </c>
      <c r="DD250" s="65">
        <f t="shared" si="4040"/>
        <v>0</v>
      </c>
      <c r="DE250" s="65">
        <f t="shared" si="4040"/>
        <v>0</v>
      </c>
      <c r="DF250" s="65">
        <f t="shared" si="4040"/>
        <v>0</v>
      </c>
      <c r="DG250" s="65">
        <f t="shared" si="4040"/>
        <v>0</v>
      </c>
      <c r="DH250" s="65">
        <f t="shared" si="4040"/>
        <v>0</v>
      </c>
      <c r="DI250" s="65">
        <f t="shared" si="4040"/>
        <v>0</v>
      </c>
      <c r="DJ250" s="65">
        <f t="shared" si="4040"/>
        <v>0</v>
      </c>
      <c r="DK250" s="65">
        <f t="shared" si="4040"/>
        <v>0</v>
      </c>
      <c r="DL250" s="65">
        <f t="shared" si="4040"/>
        <v>0</v>
      </c>
      <c r="DM250" s="65">
        <f t="shared" si="4040"/>
        <v>0</v>
      </c>
      <c r="DN250" s="65">
        <f t="shared" si="4040"/>
        <v>0</v>
      </c>
      <c r="DO250" s="65">
        <f t="shared" si="4040"/>
        <v>0</v>
      </c>
      <c r="DP250" s="65">
        <f t="shared" si="4040"/>
        <v>0</v>
      </c>
      <c r="DQ250" s="65">
        <f t="shared" ref="DQ250:FY250" si="4041">DQ211</f>
        <v>0</v>
      </c>
      <c r="DR250" s="65">
        <f t="shared" si="4041"/>
        <v>0</v>
      </c>
      <c r="DS250" s="65">
        <f t="shared" si="4041"/>
        <v>0</v>
      </c>
      <c r="DT250" s="65">
        <f t="shared" si="4041"/>
        <v>0</v>
      </c>
      <c r="DU250" s="65">
        <f t="shared" si="4041"/>
        <v>0</v>
      </c>
      <c r="DV250" s="65">
        <f t="shared" si="4041"/>
        <v>0</v>
      </c>
      <c r="DW250" s="65">
        <f t="shared" si="4041"/>
        <v>0</v>
      </c>
      <c r="DX250" s="65">
        <f t="shared" si="4041"/>
        <v>0</v>
      </c>
      <c r="DY250" s="65">
        <f t="shared" si="4041"/>
        <v>0</v>
      </c>
      <c r="DZ250" s="65">
        <f t="shared" si="4041"/>
        <v>0</v>
      </c>
      <c r="EA250" s="65">
        <f t="shared" si="4041"/>
        <v>0</v>
      </c>
      <c r="EB250" s="65">
        <f t="shared" si="4041"/>
        <v>0</v>
      </c>
      <c r="EC250" s="65">
        <f t="shared" si="4041"/>
        <v>0</v>
      </c>
      <c r="ED250" s="65">
        <f t="shared" si="4041"/>
        <v>0</v>
      </c>
      <c r="EE250" s="65">
        <f t="shared" si="4041"/>
        <v>0</v>
      </c>
      <c r="EF250" s="65">
        <f t="shared" si="4041"/>
        <v>0</v>
      </c>
      <c r="EG250" s="65">
        <f t="shared" si="4041"/>
        <v>0</v>
      </c>
      <c r="EH250" s="65">
        <f t="shared" si="4041"/>
        <v>0</v>
      </c>
      <c r="EI250" s="65">
        <f t="shared" si="4041"/>
        <v>0</v>
      </c>
      <c r="EJ250" s="65">
        <f t="shared" si="4041"/>
        <v>0</v>
      </c>
      <c r="EK250" s="65">
        <f t="shared" si="4041"/>
        <v>0</v>
      </c>
      <c r="EL250" s="65">
        <f t="shared" si="4041"/>
        <v>0</v>
      </c>
      <c r="EM250" s="65">
        <f t="shared" si="4041"/>
        <v>0</v>
      </c>
      <c r="EN250" s="65">
        <f t="shared" si="4041"/>
        <v>0</v>
      </c>
      <c r="EO250" s="65">
        <f t="shared" si="4041"/>
        <v>0</v>
      </c>
      <c r="EP250" s="65">
        <f t="shared" si="4041"/>
        <v>0</v>
      </c>
      <c r="EQ250" s="65">
        <f t="shared" si="4041"/>
        <v>0</v>
      </c>
      <c r="ER250" s="65">
        <f t="shared" si="4041"/>
        <v>0</v>
      </c>
      <c r="ES250" s="65">
        <f t="shared" si="4041"/>
        <v>0</v>
      </c>
      <c r="ET250" s="65">
        <f t="shared" si="4041"/>
        <v>0</v>
      </c>
      <c r="EU250" s="65">
        <f t="shared" si="4041"/>
        <v>0</v>
      </c>
      <c r="EV250" s="65">
        <f t="shared" si="4041"/>
        <v>0</v>
      </c>
      <c r="EW250" s="65">
        <f t="shared" si="4041"/>
        <v>0</v>
      </c>
      <c r="EX250" s="65">
        <f t="shared" si="4041"/>
        <v>0</v>
      </c>
      <c r="EY250" s="65">
        <f t="shared" si="4041"/>
        <v>0</v>
      </c>
      <c r="EZ250" s="65">
        <f t="shared" si="4041"/>
        <v>0</v>
      </c>
      <c r="FA250" s="65">
        <f t="shared" si="4041"/>
        <v>0</v>
      </c>
      <c r="FB250" s="65">
        <f t="shared" si="4041"/>
        <v>0</v>
      </c>
      <c r="FC250" s="65">
        <f t="shared" si="4041"/>
        <v>0</v>
      </c>
      <c r="FD250" s="65">
        <f t="shared" si="4041"/>
        <v>0</v>
      </c>
      <c r="FE250" s="65">
        <f t="shared" si="4041"/>
        <v>0</v>
      </c>
      <c r="FF250" s="65">
        <f t="shared" si="4041"/>
        <v>0</v>
      </c>
      <c r="FG250" s="65">
        <f t="shared" si="4041"/>
        <v>0</v>
      </c>
      <c r="FH250" s="65">
        <f t="shared" si="4041"/>
        <v>0</v>
      </c>
      <c r="FI250" s="65">
        <f t="shared" si="4041"/>
        <v>0</v>
      </c>
      <c r="FJ250" s="65">
        <f t="shared" si="4041"/>
        <v>0</v>
      </c>
      <c r="FK250" s="65">
        <f t="shared" si="4041"/>
        <v>0</v>
      </c>
      <c r="FL250" s="65">
        <f t="shared" si="4041"/>
        <v>0</v>
      </c>
      <c r="FM250" s="65">
        <f t="shared" si="4041"/>
        <v>0</v>
      </c>
      <c r="FN250" s="65">
        <f t="shared" si="4041"/>
        <v>0</v>
      </c>
      <c r="FO250" s="65">
        <f t="shared" si="4041"/>
        <v>0</v>
      </c>
      <c r="FP250" s="65">
        <f t="shared" si="4041"/>
        <v>0</v>
      </c>
      <c r="FQ250" s="65">
        <f t="shared" si="4041"/>
        <v>0</v>
      </c>
      <c r="FR250" s="65">
        <f t="shared" si="4041"/>
        <v>0</v>
      </c>
      <c r="FS250" s="65">
        <f t="shared" si="4041"/>
        <v>0</v>
      </c>
      <c r="FT250" s="65">
        <f t="shared" si="4041"/>
        <v>0</v>
      </c>
      <c r="FU250" s="65">
        <f t="shared" si="4041"/>
        <v>0</v>
      </c>
      <c r="FV250" s="65">
        <f t="shared" si="4041"/>
        <v>0</v>
      </c>
      <c r="FW250" s="65">
        <f t="shared" si="4041"/>
        <v>0</v>
      </c>
      <c r="FX250" s="65">
        <f t="shared" si="4041"/>
        <v>0</v>
      </c>
      <c r="FY250" s="65">
        <f t="shared" si="4041"/>
        <v>0</v>
      </c>
      <c r="FZ250" s="59"/>
    </row>
    <row r="251" spans="1:182" x14ac:dyDescent="0.2">
      <c r="A251" s="94" t="s">
        <v>335</v>
      </c>
      <c r="B251" s="65">
        <f>B212</f>
        <v>0.99919918881934455</v>
      </c>
      <c r="C251" s="65">
        <f t="shared" ref="C251:AH251" si="4042">C212</f>
        <v>0.99839901893723615</v>
      </c>
      <c r="D251" s="65">
        <f t="shared" si="4042"/>
        <v>0.99759948984011571</v>
      </c>
      <c r="E251" s="65">
        <f t="shared" si="4042"/>
        <v>0.99680060101483547</v>
      </c>
      <c r="F251" s="65">
        <f t="shared" si="4042"/>
        <v>0.99600235194865872</v>
      </c>
      <c r="G251" s="65">
        <f t="shared" si="4042"/>
        <v>0.99520474212925902</v>
      </c>
      <c r="H251" s="65">
        <f t="shared" si="4042"/>
        <v>0.99440777104472056</v>
      </c>
      <c r="I251" s="65">
        <f t="shared" si="4042"/>
        <v>0.99361143818353725</v>
      </c>
      <c r="J251" s="65">
        <f t="shared" si="4042"/>
        <v>0.99281574303461273</v>
      </c>
      <c r="K251" s="65">
        <f t="shared" si="4042"/>
        <v>0.99202068508725982</v>
      </c>
      <c r="L251" s="65">
        <f t="shared" si="4042"/>
        <v>0.99122626383120038</v>
      </c>
      <c r="M251" s="65">
        <f t="shared" si="4042"/>
        <v>0.99043247875656493</v>
      </c>
      <c r="N251" s="65">
        <f t="shared" si="4042"/>
        <v>0.98892798052839015</v>
      </c>
      <c r="O251" s="65">
        <f t="shared" si="4042"/>
        <v>0.9874257676805589</v>
      </c>
      <c r="P251" s="65">
        <f t="shared" si="4042"/>
        <v>0.98592583674150625</v>
      </c>
      <c r="Q251" s="65">
        <f t="shared" si="4042"/>
        <v>0.98442818424494072</v>
      </c>
      <c r="R251" s="65">
        <f t="shared" si="4042"/>
        <v>0.98293280672983618</v>
      </c>
      <c r="S251" s="65">
        <f t="shared" si="4042"/>
        <v>0.98143970074042386</v>
      </c>
      <c r="T251" s="65">
        <f t="shared" si="4042"/>
        <v>0.97994886282618443</v>
      </c>
      <c r="U251" s="65">
        <f t="shared" si="4042"/>
        <v>0.97846028954184017</v>
      </c>
      <c r="V251" s="65">
        <f t="shared" si="4042"/>
        <v>0.9769739774473466</v>
      </c>
      <c r="W251" s="65">
        <f t="shared" si="4042"/>
        <v>0.97548992310788496</v>
      </c>
      <c r="X251" s="65">
        <f t="shared" si="4042"/>
        <v>0.97400812309385398</v>
      </c>
      <c r="Y251" s="65">
        <f t="shared" si="4042"/>
        <v>0.97252857398086212</v>
      </c>
      <c r="Z251" s="65">
        <f t="shared" si="4042"/>
        <v>0.97034621816168198</v>
      </c>
      <c r="AA251" s="65">
        <f t="shared" si="4042"/>
        <v>0.96816875955277304</v>
      </c>
      <c r="AB251" s="65">
        <f t="shared" si="4042"/>
        <v>0.96599618716478686</v>
      </c>
      <c r="AC251" s="65">
        <f t="shared" si="4042"/>
        <v>0.96382849003303517</v>
      </c>
      <c r="AD251" s="65">
        <f t="shared" si="4042"/>
        <v>0.96166565721743447</v>
      </c>
      <c r="AE251" s="65">
        <f t="shared" si="4042"/>
        <v>0.95950767780245072</v>
      </c>
      <c r="AF251" s="65">
        <f t="shared" si="4042"/>
        <v>0.95735454089704453</v>
      </c>
      <c r="AG251" s="65">
        <f t="shared" si="4042"/>
        <v>0.95520623563461604</v>
      </c>
      <c r="AH251" s="65">
        <f t="shared" si="4042"/>
        <v>0.95306275117294981</v>
      </c>
      <c r="AI251" s="65">
        <f t="shared" ref="AI251:BH251" si="4043">AI212</f>
        <v>0.95092407669416057</v>
      </c>
      <c r="AJ251" s="65">
        <f t="shared" si="4043"/>
        <v>0.94879020140463843</v>
      </c>
      <c r="AK251" s="65">
        <f t="shared" si="4043"/>
        <v>0</v>
      </c>
      <c r="AL251" s="65">
        <f t="shared" si="4043"/>
        <v>0</v>
      </c>
      <c r="AM251" s="65">
        <f t="shared" si="4043"/>
        <v>0</v>
      </c>
      <c r="AN251" s="65">
        <f t="shared" si="4043"/>
        <v>0</v>
      </c>
      <c r="AO251" s="65">
        <f t="shared" si="4043"/>
        <v>0</v>
      </c>
      <c r="AP251" s="65">
        <f t="shared" si="4043"/>
        <v>0</v>
      </c>
      <c r="AQ251" s="65">
        <f t="shared" si="4043"/>
        <v>0</v>
      </c>
      <c r="AR251" s="65">
        <f t="shared" si="4043"/>
        <v>0</v>
      </c>
      <c r="AS251" s="65">
        <f t="shared" si="4043"/>
        <v>0</v>
      </c>
      <c r="AT251" s="65">
        <f t="shared" si="4043"/>
        <v>0</v>
      </c>
      <c r="AU251" s="65">
        <f t="shared" si="4043"/>
        <v>0</v>
      </c>
      <c r="AV251" s="65">
        <f t="shared" si="4043"/>
        <v>0</v>
      </c>
      <c r="AW251" s="65">
        <f t="shared" si="4043"/>
        <v>0</v>
      </c>
      <c r="AX251" s="65">
        <f t="shared" si="4043"/>
        <v>0</v>
      </c>
      <c r="AY251" s="65">
        <f t="shared" si="4043"/>
        <v>0</v>
      </c>
      <c r="AZ251" s="65">
        <f t="shared" si="4043"/>
        <v>0</v>
      </c>
      <c r="BA251" s="65">
        <f t="shared" si="4043"/>
        <v>0</v>
      </c>
      <c r="BB251" s="65">
        <f t="shared" si="4043"/>
        <v>0</v>
      </c>
      <c r="BC251" s="65">
        <f t="shared" si="4043"/>
        <v>0</v>
      </c>
      <c r="BD251" s="65">
        <f t="shared" si="4043"/>
        <v>0</v>
      </c>
      <c r="BE251" s="65">
        <f t="shared" si="4043"/>
        <v>0</v>
      </c>
      <c r="BF251" s="65">
        <f t="shared" si="4043"/>
        <v>0</v>
      </c>
      <c r="BG251" s="65">
        <f t="shared" si="4043"/>
        <v>0</v>
      </c>
      <c r="BH251" s="65">
        <f t="shared" si="4043"/>
        <v>0</v>
      </c>
      <c r="BI251" s="65">
        <f t="shared" ref="BI251:DP251" si="4044">BI212</f>
        <v>0</v>
      </c>
      <c r="BJ251" s="65">
        <f t="shared" si="4044"/>
        <v>0</v>
      </c>
      <c r="BK251" s="65">
        <f t="shared" si="4044"/>
        <v>0</v>
      </c>
      <c r="BL251" s="65">
        <f t="shared" si="4044"/>
        <v>0</v>
      </c>
      <c r="BM251" s="65">
        <f t="shared" si="4044"/>
        <v>0</v>
      </c>
      <c r="BN251" s="65">
        <f t="shared" si="4044"/>
        <v>0</v>
      </c>
      <c r="BO251" s="65">
        <f t="shared" si="4044"/>
        <v>0</v>
      </c>
      <c r="BP251" s="65">
        <f t="shared" si="4044"/>
        <v>0</v>
      </c>
      <c r="BQ251" s="65">
        <f t="shared" si="4044"/>
        <v>0</v>
      </c>
      <c r="BR251" s="65">
        <f t="shared" si="4044"/>
        <v>0</v>
      </c>
      <c r="BS251" s="65">
        <f t="shared" si="4044"/>
        <v>0</v>
      </c>
      <c r="BT251" s="65">
        <f t="shared" si="4044"/>
        <v>0</v>
      </c>
      <c r="BU251" s="65">
        <f t="shared" si="4044"/>
        <v>0</v>
      </c>
      <c r="BV251" s="65">
        <f t="shared" si="4044"/>
        <v>0</v>
      </c>
      <c r="BW251" s="65">
        <f t="shared" si="4044"/>
        <v>0</v>
      </c>
      <c r="BX251" s="65">
        <f t="shared" si="4044"/>
        <v>0</v>
      </c>
      <c r="BY251" s="65">
        <f t="shared" si="4044"/>
        <v>0</v>
      </c>
      <c r="BZ251" s="65">
        <f t="shared" si="4044"/>
        <v>0</v>
      </c>
      <c r="CA251" s="65">
        <f t="shared" si="4044"/>
        <v>0</v>
      </c>
      <c r="CB251" s="65">
        <f t="shared" si="4044"/>
        <v>0</v>
      </c>
      <c r="CC251" s="65">
        <f t="shared" si="4044"/>
        <v>0</v>
      </c>
      <c r="CD251" s="65">
        <f t="shared" si="4044"/>
        <v>0</v>
      </c>
      <c r="CE251" s="65">
        <f t="shared" si="4044"/>
        <v>0</v>
      </c>
      <c r="CF251" s="65">
        <f t="shared" si="4044"/>
        <v>0</v>
      </c>
      <c r="CG251" s="65">
        <f t="shared" si="4044"/>
        <v>0</v>
      </c>
      <c r="CH251" s="65">
        <f t="shared" si="4044"/>
        <v>0</v>
      </c>
      <c r="CI251" s="65">
        <f t="shared" si="4044"/>
        <v>0</v>
      </c>
      <c r="CJ251" s="65">
        <f t="shared" si="4044"/>
        <v>0</v>
      </c>
      <c r="CK251" s="65">
        <f t="shared" si="4044"/>
        <v>0</v>
      </c>
      <c r="CL251" s="65">
        <f t="shared" si="4044"/>
        <v>0</v>
      </c>
      <c r="CM251" s="65">
        <f t="shared" si="4044"/>
        <v>0</v>
      </c>
      <c r="CN251" s="65">
        <f t="shared" si="4044"/>
        <v>0</v>
      </c>
      <c r="CO251" s="65">
        <f t="shared" si="4044"/>
        <v>0</v>
      </c>
      <c r="CP251" s="65">
        <f t="shared" si="4044"/>
        <v>0</v>
      </c>
      <c r="CQ251" s="65">
        <f t="shared" si="4044"/>
        <v>0</v>
      </c>
      <c r="CR251" s="65">
        <f t="shared" si="4044"/>
        <v>0</v>
      </c>
      <c r="CS251" s="65">
        <f t="shared" si="4044"/>
        <v>0</v>
      </c>
      <c r="CT251" s="65">
        <f t="shared" si="4044"/>
        <v>0</v>
      </c>
      <c r="CU251" s="65">
        <f t="shared" si="4044"/>
        <v>0</v>
      </c>
      <c r="CV251" s="65">
        <f t="shared" si="4044"/>
        <v>0</v>
      </c>
      <c r="CW251" s="65">
        <f t="shared" si="4044"/>
        <v>0</v>
      </c>
      <c r="CX251" s="65">
        <f t="shared" si="4044"/>
        <v>0</v>
      </c>
      <c r="CY251" s="65">
        <f t="shared" si="4044"/>
        <v>0</v>
      </c>
      <c r="CZ251" s="65">
        <f t="shared" si="4044"/>
        <v>0</v>
      </c>
      <c r="DA251" s="65">
        <f t="shared" si="4044"/>
        <v>0</v>
      </c>
      <c r="DB251" s="65">
        <f t="shared" si="4044"/>
        <v>0</v>
      </c>
      <c r="DC251" s="65">
        <f t="shared" si="4044"/>
        <v>0</v>
      </c>
      <c r="DD251" s="65">
        <f t="shared" si="4044"/>
        <v>0</v>
      </c>
      <c r="DE251" s="65">
        <f t="shared" si="4044"/>
        <v>0</v>
      </c>
      <c r="DF251" s="65">
        <f t="shared" si="4044"/>
        <v>0</v>
      </c>
      <c r="DG251" s="65">
        <f t="shared" si="4044"/>
        <v>0</v>
      </c>
      <c r="DH251" s="65">
        <f t="shared" si="4044"/>
        <v>0</v>
      </c>
      <c r="DI251" s="65">
        <f t="shared" si="4044"/>
        <v>0</v>
      </c>
      <c r="DJ251" s="65">
        <f t="shared" si="4044"/>
        <v>0</v>
      </c>
      <c r="DK251" s="65">
        <f t="shared" si="4044"/>
        <v>0</v>
      </c>
      <c r="DL251" s="65">
        <f t="shared" si="4044"/>
        <v>0</v>
      </c>
      <c r="DM251" s="65">
        <f t="shared" si="4044"/>
        <v>0</v>
      </c>
      <c r="DN251" s="65">
        <f t="shared" si="4044"/>
        <v>0</v>
      </c>
      <c r="DO251" s="65">
        <f t="shared" si="4044"/>
        <v>0</v>
      </c>
      <c r="DP251" s="65">
        <f t="shared" si="4044"/>
        <v>0</v>
      </c>
      <c r="DQ251" s="65">
        <f t="shared" ref="DQ251:FY251" si="4045">DQ212</f>
        <v>0</v>
      </c>
      <c r="DR251" s="65">
        <f t="shared" si="4045"/>
        <v>0</v>
      </c>
      <c r="DS251" s="65">
        <f t="shared" si="4045"/>
        <v>0</v>
      </c>
      <c r="DT251" s="65">
        <f t="shared" si="4045"/>
        <v>0</v>
      </c>
      <c r="DU251" s="65">
        <f t="shared" si="4045"/>
        <v>0</v>
      </c>
      <c r="DV251" s="65">
        <f t="shared" si="4045"/>
        <v>0</v>
      </c>
      <c r="DW251" s="65">
        <f t="shared" si="4045"/>
        <v>0</v>
      </c>
      <c r="DX251" s="65">
        <f t="shared" si="4045"/>
        <v>0</v>
      </c>
      <c r="DY251" s="65">
        <f t="shared" si="4045"/>
        <v>0</v>
      </c>
      <c r="DZ251" s="65">
        <f t="shared" si="4045"/>
        <v>0</v>
      </c>
      <c r="EA251" s="65">
        <f t="shared" si="4045"/>
        <v>0</v>
      </c>
      <c r="EB251" s="65">
        <f t="shared" si="4045"/>
        <v>0</v>
      </c>
      <c r="EC251" s="65">
        <f t="shared" si="4045"/>
        <v>0</v>
      </c>
      <c r="ED251" s="65">
        <f t="shared" si="4045"/>
        <v>0</v>
      </c>
      <c r="EE251" s="65">
        <f t="shared" si="4045"/>
        <v>0</v>
      </c>
      <c r="EF251" s="65">
        <f t="shared" si="4045"/>
        <v>0</v>
      </c>
      <c r="EG251" s="65">
        <f t="shared" si="4045"/>
        <v>0</v>
      </c>
      <c r="EH251" s="65">
        <f t="shared" si="4045"/>
        <v>0</v>
      </c>
      <c r="EI251" s="65">
        <f t="shared" si="4045"/>
        <v>0</v>
      </c>
      <c r="EJ251" s="65">
        <f t="shared" si="4045"/>
        <v>0</v>
      </c>
      <c r="EK251" s="65">
        <f t="shared" si="4045"/>
        <v>0</v>
      </c>
      <c r="EL251" s="65">
        <f t="shared" si="4045"/>
        <v>0</v>
      </c>
      <c r="EM251" s="65">
        <f t="shared" si="4045"/>
        <v>0</v>
      </c>
      <c r="EN251" s="65">
        <f t="shared" si="4045"/>
        <v>0</v>
      </c>
      <c r="EO251" s="65">
        <f t="shared" si="4045"/>
        <v>0</v>
      </c>
      <c r="EP251" s="65">
        <f t="shared" si="4045"/>
        <v>0</v>
      </c>
      <c r="EQ251" s="65">
        <f t="shared" si="4045"/>
        <v>0</v>
      </c>
      <c r="ER251" s="65">
        <f t="shared" si="4045"/>
        <v>0</v>
      </c>
      <c r="ES251" s="65">
        <f t="shared" si="4045"/>
        <v>0</v>
      </c>
      <c r="ET251" s="65">
        <f t="shared" si="4045"/>
        <v>0</v>
      </c>
      <c r="EU251" s="65">
        <f t="shared" si="4045"/>
        <v>0</v>
      </c>
      <c r="EV251" s="65">
        <f t="shared" si="4045"/>
        <v>0</v>
      </c>
      <c r="EW251" s="65">
        <f t="shared" si="4045"/>
        <v>0</v>
      </c>
      <c r="EX251" s="65">
        <f t="shared" si="4045"/>
        <v>0</v>
      </c>
      <c r="EY251" s="65">
        <f t="shared" si="4045"/>
        <v>0</v>
      </c>
      <c r="EZ251" s="65">
        <f t="shared" si="4045"/>
        <v>0</v>
      </c>
      <c r="FA251" s="65">
        <f t="shared" si="4045"/>
        <v>0</v>
      </c>
      <c r="FB251" s="65">
        <f t="shared" si="4045"/>
        <v>0</v>
      </c>
      <c r="FC251" s="65">
        <f t="shared" si="4045"/>
        <v>0</v>
      </c>
      <c r="FD251" s="65">
        <f t="shared" si="4045"/>
        <v>0</v>
      </c>
      <c r="FE251" s="65">
        <f t="shared" si="4045"/>
        <v>0</v>
      </c>
      <c r="FF251" s="65">
        <f t="shared" si="4045"/>
        <v>0</v>
      </c>
      <c r="FG251" s="65">
        <f t="shared" si="4045"/>
        <v>0</v>
      </c>
      <c r="FH251" s="65">
        <f t="shared" si="4045"/>
        <v>0</v>
      </c>
      <c r="FI251" s="65">
        <f t="shared" si="4045"/>
        <v>0</v>
      </c>
      <c r="FJ251" s="65">
        <f t="shared" si="4045"/>
        <v>0</v>
      </c>
      <c r="FK251" s="65">
        <f t="shared" si="4045"/>
        <v>0</v>
      </c>
      <c r="FL251" s="65">
        <f t="shared" si="4045"/>
        <v>0</v>
      </c>
      <c r="FM251" s="65">
        <f t="shared" si="4045"/>
        <v>0</v>
      </c>
      <c r="FN251" s="65">
        <f t="shared" si="4045"/>
        <v>0</v>
      </c>
      <c r="FO251" s="65">
        <f t="shared" si="4045"/>
        <v>0</v>
      </c>
      <c r="FP251" s="65">
        <f t="shared" si="4045"/>
        <v>0</v>
      </c>
      <c r="FQ251" s="65">
        <f t="shared" si="4045"/>
        <v>0</v>
      </c>
      <c r="FR251" s="65">
        <f t="shared" si="4045"/>
        <v>0</v>
      </c>
      <c r="FS251" s="65">
        <f t="shared" si="4045"/>
        <v>0</v>
      </c>
      <c r="FT251" s="65">
        <f t="shared" si="4045"/>
        <v>0</v>
      </c>
      <c r="FU251" s="65">
        <f t="shared" si="4045"/>
        <v>0</v>
      </c>
      <c r="FV251" s="65">
        <f t="shared" si="4045"/>
        <v>0</v>
      </c>
      <c r="FW251" s="65">
        <f t="shared" si="4045"/>
        <v>0</v>
      </c>
      <c r="FX251" s="65">
        <f t="shared" si="4045"/>
        <v>0</v>
      </c>
      <c r="FY251" s="65">
        <f t="shared" si="4045"/>
        <v>0</v>
      </c>
      <c r="FZ251" s="59"/>
    </row>
    <row r="252" spans="1:182" x14ac:dyDescent="0.2"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  <c r="FB252" s="57"/>
      <c r="FC252" s="57"/>
      <c r="FD252" s="57"/>
      <c r="FE252" s="57"/>
      <c r="FF252" s="57"/>
      <c r="FG252" s="57"/>
      <c r="FH252" s="57"/>
      <c r="FI252" s="57"/>
      <c r="FJ252" s="57"/>
      <c r="FK252" s="57"/>
      <c r="FL252" s="57"/>
      <c r="FM252" s="57"/>
      <c r="FN252" s="57"/>
      <c r="FO252" s="57"/>
      <c r="FP252" s="57"/>
      <c r="FQ252" s="57"/>
      <c r="FR252" s="57"/>
      <c r="FS252" s="57"/>
      <c r="FT252" s="57"/>
      <c r="FU252" s="57"/>
      <c r="FV252" s="57"/>
      <c r="FW252" s="57"/>
      <c r="FX252" s="57"/>
      <c r="FY252" s="57"/>
    </row>
    <row r="253" spans="1:182" x14ac:dyDescent="0.2">
      <c r="A253" s="94" t="s">
        <v>283</v>
      </c>
      <c r="B253" s="65">
        <f>IFERROR(B246/B248,0)</f>
        <v>-109988.3434935283</v>
      </c>
      <c r="C253" s="65">
        <f t="shared" ref="C253:BN253" si="4046">IFERROR(C246/C248,0)</f>
        <v>116448.09296759122</v>
      </c>
      <c r="D253" s="65">
        <f t="shared" si="4046"/>
        <v>111551.4326372651</v>
      </c>
      <c r="E253" s="65">
        <f t="shared" si="4046"/>
        <v>106723.55066459547</v>
      </c>
      <c r="F253" s="65">
        <f t="shared" si="4046"/>
        <v>101966.35754663304</v>
      </c>
      <c r="G253" s="65">
        <f t="shared" si="4046"/>
        <v>97281.799739326219</v>
      </c>
      <c r="H253" s="65">
        <f t="shared" si="4046"/>
        <v>92671.860278824664</v>
      </c>
      <c r="I253" s="65">
        <f t="shared" si="4046"/>
        <v>88138.559413219278</v>
      </c>
      <c r="J253" s="65">
        <f t="shared" si="4046"/>
        <v>83683.955244934099</v>
      </c>
      <c r="K253" s="65">
        <f t="shared" si="4046"/>
        <v>79310.144383960927</v>
      </c>
      <c r="L253" s="65">
        <f t="shared" si="4046"/>
        <v>75019.262612092527</v>
      </c>
      <c r="M253" s="65">
        <f t="shared" si="4046"/>
        <v>70813.485558310145</v>
      </c>
      <c r="N253" s="65">
        <f t="shared" si="4046"/>
        <v>66695.029385617556</v>
      </c>
      <c r="O253" s="65">
        <f t="shared" si="4046"/>
        <v>62629.640214358609</v>
      </c>
      <c r="P253" s="65">
        <f t="shared" si="4046"/>
        <v>58656.465291675406</v>
      </c>
      <c r="Q253" s="65">
        <f t="shared" si="4046"/>
        <v>54777.928444100304</v>
      </c>
      <c r="R253" s="65">
        <f t="shared" si="4046"/>
        <v>50996.499419412612</v>
      </c>
      <c r="S253" s="65">
        <f t="shared" si="4046"/>
        <v>47314.694686100571</v>
      </c>
      <c r="T253" s="65">
        <f t="shared" si="4046"/>
        <v>43735.07824640032</v>
      </c>
      <c r="U253" s="65">
        <f t="shared" si="4046"/>
        <v>40260.262463040206</v>
      </c>
      <c r="V253" s="65">
        <f t="shared" si="4046"/>
        <v>36892.908900033704</v>
      </c>
      <c r="W253" s="65">
        <f t="shared" si="4046"/>
        <v>33635.729177670124</v>
      </c>
      <c r="X253" s="65">
        <f t="shared" si="4046"/>
        <v>30491.485841960151</v>
      </c>
      <c r="Y253" s="65">
        <f t="shared" si="4046"/>
        <v>27462.993248812742</v>
      </c>
      <c r="Z253" s="65">
        <f t="shared" si="4046"/>
        <v>24553.118463177023</v>
      </c>
      <c r="AA253" s="65">
        <f t="shared" si="4046"/>
        <v>21740.123731142339</v>
      </c>
      <c r="AB253" s="65">
        <f t="shared" si="4046"/>
        <v>19053.125574708054</v>
      </c>
      <c r="AC253" s="65">
        <f t="shared" si="4046"/>
        <v>16495.274200045129</v>
      </c>
      <c r="AD253" s="65">
        <f t="shared" si="4046"/>
        <v>14069.779751044876</v>
      </c>
      <c r="AE253" s="65">
        <f t="shared" si="4046"/>
        <v>11779.913360591567</v>
      </c>
      <c r="AF253" s="65">
        <f t="shared" si="4046"/>
        <v>9629.008219670739</v>
      </c>
      <c r="AG253" s="65">
        <f t="shared" si="4046"/>
        <v>7620.4606646886887</v>
      </c>
      <c r="AH253" s="65">
        <f t="shared" si="4046"/>
        <v>5757.7312832676189</v>
      </c>
      <c r="AI253" s="65">
        <f t="shared" si="4046"/>
        <v>4044.3460388696544</v>
      </c>
      <c r="AJ253" s="65">
        <f t="shared" si="4046"/>
        <v>2483.8974145239345</v>
      </c>
      <c r="AK253" s="65">
        <f t="shared" si="4046"/>
        <v>1080.045576000005</v>
      </c>
      <c r="AL253" s="65">
        <f t="shared" si="4046"/>
        <v>0</v>
      </c>
      <c r="AM253" s="65">
        <f t="shared" si="4046"/>
        <v>0</v>
      </c>
      <c r="AN253" s="65">
        <f t="shared" si="4046"/>
        <v>0</v>
      </c>
      <c r="AO253" s="65">
        <f t="shared" si="4046"/>
        <v>0</v>
      </c>
      <c r="AP253" s="65">
        <f t="shared" si="4046"/>
        <v>0</v>
      </c>
      <c r="AQ253" s="65">
        <f t="shared" si="4046"/>
        <v>0</v>
      </c>
      <c r="AR253" s="65">
        <f t="shared" si="4046"/>
        <v>0</v>
      </c>
      <c r="AS253" s="65">
        <f t="shared" si="4046"/>
        <v>0</v>
      </c>
      <c r="AT253" s="65">
        <f t="shared" si="4046"/>
        <v>0</v>
      </c>
      <c r="AU253" s="65">
        <f t="shared" si="4046"/>
        <v>0</v>
      </c>
      <c r="AV253" s="65">
        <f t="shared" si="4046"/>
        <v>0</v>
      </c>
      <c r="AW253" s="65">
        <f t="shared" si="4046"/>
        <v>0</v>
      </c>
      <c r="AX253" s="65">
        <f t="shared" si="4046"/>
        <v>0</v>
      </c>
      <c r="AY253" s="65">
        <f t="shared" si="4046"/>
        <v>0</v>
      </c>
      <c r="AZ253" s="65">
        <f t="shared" si="4046"/>
        <v>0</v>
      </c>
      <c r="BA253" s="65">
        <f t="shared" si="4046"/>
        <v>0</v>
      </c>
      <c r="BB253" s="65">
        <f t="shared" si="4046"/>
        <v>0</v>
      </c>
      <c r="BC253" s="65">
        <f t="shared" si="4046"/>
        <v>0</v>
      </c>
      <c r="BD253" s="65">
        <f t="shared" si="4046"/>
        <v>0</v>
      </c>
      <c r="BE253" s="65">
        <f t="shared" si="4046"/>
        <v>0</v>
      </c>
      <c r="BF253" s="65">
        <f t="shared" si="4046"/>
        <v>0</v>
      </c>
      <c r="BG253" s="65">
        <f t="shared" si="4046"/>
        <v>0</v>
      </c>
      <c r="BH253" s="65">
        <f t="shared" si="4046"/>
        <v>0</v>
      </c>
      <c r="BI253" s="65">
        <f t="shared" si="4046"/>
        <v>0</v>
      </c>
      <c r="BJ253" s="65">
        <f t="shared" si="4046"/>
        <v>0</v>
      </c>
      <c r="BK253" s="65">
        <f t="shared" si="4046"/>
        <v>0</v>
      </c>
      <c r="BL253" s="65">
        <f t="shared" si="4046"/>
        <v>0</v>
      </c>
      <c r="BM253" s="65">
        <f t="shared" si="4046"/>
        <v>0</v>
      </c>
      <c r="BN253" s="65">
        <f t="shared" si="4046"/>
        <v>0</v>
      </c>
      <c r="BO253" s="65">
        <f t="shared" ref="BO253:DZ253" si="4047">IFERROR(BO246/BO248,0)</f>
        <v>0</v>
      </c>
      <c r="BP253" s="65">
        <f t="shared" si="4047"/>
        <v>0</v>
      </c>
      <c r="BQ253" s="65">
        <f t="shared" si="4047"/>
        <v>0</v>
      </c>
      <c r="BR253" s="65">
        <f t="shared" si="4047"/>
        <v>0</v>
      </c>
      <c r="BS253" s="65">
        <f t="shared" si="4047"/>
        <v>0</v>
      </c>
      <c r="BT253" s="65">
        <f t="shared" si="4047"/>
        <v>0</v>
      </c>
      <c r="BU253" s="65">
        <f t="shared" si="4047"/>
        <v>0</v>
      </c>
      <c r="BV253" s="65">
        <f t="shared" si="4047"/>
        <v>0</v>
      </c>
      <c r="BW253" s="65">
        <f t="shared" si="4047"/>
        <v>0</v>
      </c>
      <c r="BX253" s="65">
        <f t="shared" si="4047"/>
        <v>0</v>
      </c>
      <c r="BY253" s="65">
        <f t="shared" si="4047"/>
        <v>0</v>
      </c>
      <c r="BZ253" s="65">
        <f t="shared" si="4047"/>
        <v>0</v>
      </c>
      <c r="CA253" s="65">
        <f t="shared" si="4047"/>
        <v>0</v>
      </c>
      <c r="CB253" s="65">
        <f t="shared" si="4047"/>
        <v>0</v>
      </c>
      <c r="CC253" s="65">
        <f t="shared" si="4047"/>
        <v>0</v>
      </c>
      <c r="CD253" s="65">
        <f t="shared" si="4047"/>
        <v>0</v>
      </c>
      <c r="CE253" s="65">
        <f t="shared" si="4047"/>
        <v>0</v>
      </c>
      <c r="CF253" s="65">
        <f t="shared" si="4047"/>
        <v>0</v>
      </c>
      <c r="CG253" s="65">
        <f t="shared" si="4047"/>
        <v>0</v>
      </c>
      <c r="CH253" s="65">
        <f t="shared" si="4047"/>
        <v>0</v>
      </c>
      <c r="CI253" s="65">
        <f t="shared" si="4047"/>
        <v>0</v>
      </c>
      <c r="CJ253" s="65">
        <f t="shared" si="4047"/>
        <v>0</v>
      </c>
      <c r="CK253" s="65">
        <f t="shared" si="4047"/>
        <v>0</v>
      </c>
      <c r="CL253" s="65">
        <f t="shared" si="4047"/>
        <v>0</v>
      </c>
      <c r="CM253" s="65">
        <f t="shared" si="4047"/>
        <v>0</v>
      </c>
      <c r="CN253" s="65">
        <f t="shared" si="4047"/>
        <v>0</v>
      </c>
      <c r="CO253" s="65">
        <f t="shared" si="4047"/>
        <v>0</v>
      </c>
      <c r="CP253" s="65">
        <f t="shared" si="4047"/>
        <v>0</v>
      </c>
      <c r="CQ253" s="65">
        <f t="shared" si="4047"/>
        <v>0</v>
      </c>
      <c r="CR253" s="65">
        <f t="shared" si="4047"/>
        <v>0</v>
      </c>
      <c r="CS253" s="65">
        <f t="shared" si="4047"/>
        <v>0</v>
      </c>
      <c r="CT253" s="65">
        <f t="shared" si="4047"/>
        <v>0</v>
      </c>
      <c r="CU253" s="65">
        <f t="shared" si="4047"/>
        <v>0</v>
      </c>
      <c r="CV253" s="65">
        <f t="shared" si="4047"/>
        <v>0</v>
      </c>
      <c r="CW253" s="65">
        <f t="shared" si="4047"/>
        <v>0</v>
      </c>
      <c r="CX253" s="65">
        <f t="shared" si="4047"/>
        <v>0</v>
      </c>
      <c r="CY253" s="65">
        <f t="shared" si="4047"/>
        <v>0</v>
      </c>
      <c r="CZ253" s="65">
        <f t="shared" si="4047"/>
        <v>0</v>
      </c>
      <c r="DA253" s="65">
        <f t="shared" si="4047"/>
        <v>0</v>
      </c>
      <c r="DB253" s="65">
        <f t="shared" si="4047"/>
        <v>0</v>
      </c>
      <c r="DC253" s="65">
        <f t="shared" si="4047"/>
        <v>0</v>
      </c>
      <c r="DD253" s="65">
        <f t="shared" si="4047"/>
        <v>0</v>
      </c>
      <c r="DE253" s="65">
        <f t="shared" si="4047"/>
        <v>0</v>
      </c>
      <c r="DF253" s="65">
        <f t="shared" si="4047"/>
        <v>0</v>
      </c>
      <c r="DG253" s="65">
        <f t="shared" si="4047"/>
        <v>0</v>
      </c>
      <c r="DH253" s="65">
        <f t="shared" si="4047"/>
        <v>0</v>
      </c>
      <c r="DI253" s="65">
        <f t="shared" si="4047"/>
        <v>0</v>
      </c>
      <c r="DJ253" s="65">
        <f t="shared" si="4047"/>
        <v>0</v>
      </c>
      <c r="DK253" s="65">
        <f t="shared" si="4047"/>
        <v>0</v>
      </c>
      <c r="DL253" s="65">
        <f t="shared" si="4047"/>
        <v>0</v>
      </c>
      <c r="DM253" s="65">
        <f t="shared" si="4047"/>
        <v>0</v>
      </c>
      <c r="DN253" s="65">
        <f t="shared" si="4047"/>
        <v>0</v>
      </c>
      <c r="DO253" s="65">
        <f t="shared" si="4047"/>
        <v>0</v>
      </c>
      <c r="DP253" s="65">
        <f t="shared" si="4047"/>
        <v>0</v>
      </c>
      <c r="DQ253" s="65">
        <f t="shared" si="4047"/>
        <v>0</v>
      </c>
      <c r="DR253" s="65">
        <f t="shared" si="4047"/>
        <v>0</v>
      </c>
      <c r="DS253" s="65">
        <f t="shared" si="4047"/>
        <v>0</v>
      </c>
      <c r="DT253" s="65">
        <f t="shared" si="4047"/>
        <v>0</v>
      </c>
      <c r="DU253" s="65">
        <f t="shared" si="4047"/>
        <v>0</v>
      </c>
      <c r="DV253" s="65">
        <f t="shared" si="4047"/>
        <v>0</v>
      </c>
      <c r="DW253" s="65">
        <f t="shared" si="4047"/>
        <v>0</v>
      </c>
      <c r="DX253" s="65">
        <f t="shared" si="4047"/>
        <v>0</v>
      </c>
      <c r="DY253" s="65">
        <f t="shared" si="4047"/>
        <v>0</v>
      </c>
      <c r="DZ253" s="65">
        <f t="shared" si="4047"/>
        <v>0</v>
      </c>
      <c r="EA253" s="65">
        <f t="shared" ref="EA253:FY253" si="4048">IFERROR(EA246/EA248,0)</f>
        <v>0</v>
      </c>
      <c r="EB253" s="65">
        <f t="shared" si="4048"/>
        <v>0</v>
      </c>
      <c r="EC253" s="65">
        <f t="shared" si="4048"/>
        <v>0</v>
      </c>
      <c r="ED253" s="65">
        <f t="shared" si="4048"/>
        <v>0</v>
      </c>
      <c r="EE253" s="65">
        <f t="shared" si="4048"/>
        <v>0</v>
      </c>
      <c r="EF253" s="65">
        <f t="shared" si="4048"/>
        <v>0</v>
      </c>
      <c r="EG253" s="65">
        <f t="shared" si="4048"/>
        <v>0</v>
      </c>
      <c r="EH253" s="65">
        <f t="shared" si="4048"/>
        <v>0</v>
      </c>
      <c r="EI253" s="65">
        <f t="shared" si="4048"/>
        <v>0</v>
      </c>
      <c r="EJ253" s="65">
        <f t="shared" si="4048"/>
        <v>0</v>
      </c>
      <c r="EK253" s="65">
        <f t="shared" si="4048"/>
        <v>0</v>
      </c>
      <c r="EL253" s="65">
        <f t="shared" si="4048"/>
        <v>0</v>
      </c>
      <c r="EM253" s="65">
        <f t="shared" si="4048"/>
        <v>0</v>
      </c>
      <c r="EN253" s="65">
        <f t="shared" si="4048"/>
        <v>0</v>
      </c>
      <c r="EO253" s="65">
        <f t="shared" si="4048"/>
        <v>0</v>
      </c>
      <c r="EP253" s="65">
        <f t="shared" si="4048"/>
        <v>0</v>
      </c>
      <c r="EQ253" s="65">
        <f t="shared" si="4048"/>
        <v>0</v>
      </c>
      <c r="ER253" s="65">
        <f t="shared" si="4048"/>
        <v>0</v>
      </c>
      <c r="ES253" s="65">
        <f t="shared" si="4048"/>
        <v>0</v>
      </c>
      <c r="ET253" s="65">
        <f t="shared" si="4048"/>
        <v>0</v>
      </c>
      <c r="EU253" s="65">
        <f t="shared" si="4048"/>
        <v>0</v>
      </c>
      <c r="EV253" s="65">
        <f t="shared" si="4048"/>
        <v>0</v>
      </c>
      <c r="EW253" s="65">
        <f t="shared" si="4048"/>
        <v>0</v>
      </c>
      <c r="EX253" s="65">
        <f t="shared" si="4048"/>
        <v>0</v>
      </c>
      <c r="EY253" s="65">
        <f t="shared" si="4048"/>
        <v>0</v>
      </c>
      <c r="EZ253" s="65">
        <f t="shared" si="4048"/>
        <v>0</v>
      </c>
      <c r="FA253" s="65">
        <f t="shared" si="4048"/>
        <v>0</v>
      </c>
      <c r="FB253" s="65">
        <f t="shared" si="4048"/>
        <v>0</v>
      </c>
      <c r="FC253" s="65">
        <f t="shared" si="4048"/>
        <v>0</v>
      </c>
      <c r="FD253" s="65">
        <f t="shared" si="4048"/>
        <v>0</v>
      </c>
      <c r="FE253" s="65">
        <f t="shared" si="4048"/>
        <v>0</v>
      </c>
      <c r="FF253" s="65">
        <f t="shared" si="4048"/>
        <v>0</v>
      </c>
      <c r="FG253" s="65">
        <f t="shared" si="4048"/>
        <v>0</v>
      </c>
      <c r="FH253" s="65">
        <f t="shared" si="4048"/>
        <v>0</v>
      </c>
      <c r="FI253" s="65">
        <f t="shared" si="4048"/>
        <v>0</v>
      </c>
      <c r="FJ253" s="65">
        <f t="shared" si="4048"/>
        <v>0</v>
      </c>
      <c r="FK253" s="65">
        <f t="shared" si="4048"/>
        <v>0</v>
      </c>
      <c r="FL253" s="65">
        <f t="shared" si="4048"/>
        <v>0</v>
      </c>
      <c r="FM253" s="65">
        <f t="shared" si="4048"/>
        <v>0</v>
      </c>
      <c r="FN253" s="65">
        <f t="shared" si="4048"/>
        <v>0</v>
      </c>
      <c r="FO253" s="65">
        <f t="shared" si="4048"/>
        <v>0</v>
      </c>
      <c r="FP253" s="65">
        <f t="shared" si="4048"/>
        <v>0</v>
      </c>
      <c r="FQ253" s="65">
        <f t="shared" si="4048"/>
        <v>0</v>
      </c>
      <c r="FR253" s="65">
        <f t="shared" si="4048"/>
        <v>0</v>
      </c>
      <c r="FS253" s="65">
        <f t="shared" si="4048"/>
        <v>0</v>
      </c>
      <c r="FT253" s="65">
        <f t="shared" si="4048"/>
        <v>0</v>
      </c>
      <c r="FU253" s="65">
        <f t="shared" si="4048"/>
        <v>0</v>
      </c>
      <c r="FV253" s="65">
        <f t="shared" si="4048"/>
        <v>0</v>
      </c>
      <c r="FW253" s="65">
        <f t="shared" si="4048"/>
        <v>0</v>
      </c>
      <c r="FX253" s="65">
        <f t="shared" si="4048"/>
        <v>0</v>
      </c>
      <c r="FY253" s="65">
        <f t="shared" si="4048"/>
        <v>0</v>
      </c>
      <c r="FZ253" s="59"/>
    </row>
    <row r="254" spans="1:182" ht="15.75" customHeight="1" x14ac:dyDescent="0.2">
      <c r="A254" s="94" t="s">
        <v>284</v>
      </c>
      <c r="B254" s="65">
        <f>IFERROR((B247/B250)-B253,0)</f>
        <v>2849.4615063997917</v>
      </c>
      <c r="C254" s="65">
        <f t="shared" ref="C254:BN254" si="4049">IFERROR((C247/C250)-C253,0)</f>
        <v>1432.2965632193373</v>
      </c>
      <c r="D254" s="65">
        <f t="shared" si="4049"/>
        <v>1394.8687847873225</v>
      </c>
      <c r="E254" s="65">
        <f t="shared" si="4049"/>
        <v>1357.1679365331802</v>
      </c>
      <c r="F254" s="65">
        <f t="shared" si="4049"/>
        <v>1319.1834903377312</v>
      </c>
      <c r="G254" s="65">
        <f t="shared" si="4049"/>
        <v>1280.9046184943145</v>
      </c>
      <c r="H254" s="65">
        <f t="shared" si="4049"/>
        <v>1242.3201875607047</v>
      </c>
      <c r="I254" s="65">
        <f t="shared" si="4049"/>
        <v>1203.4187520992273</v>
      </c>
      <c r="J254" s="65">
        <f t="shared" si="4049"/>
        <v>1164.1885483046062</v>
      </c>
      <c r="K254" s="65">
        <f t="shared" si="4049"/>
        <v>1124.6174875161232</v>
      </c>
      <c r="L254" s="65">
        <f t="shared" si="4049"/>
        <v>1084.6931496128527</v>
      </c>
      <c r="M254" s="65">
        <f t="shared" si="4049"/>
        <v>1044.4027762900078</v>
      </c>
      <c r="N254" s="65">
        <f t="shared" si="4049"/>
        <v>1003.7332642141409</v>
      </c>
      <c r="O254" s="65">
        <f t="shared" si="4049"/>
        <v>968.84815385912225</v>
      </c>
      <c r="P254" s="65">
        <f t="shared" si="4049"/>
        <v>933.48821064255026</v>
      </c>
      <c r="Q254" s="65">
        <f t="shared" si="4049"/>
        <v>897.62648207589518</v>
      </c>
      <c r="R254" s="65">
        <f t="shared" si="4049"/>
        <v>861.23523211976135</v>
      </c>
      <c r="S254" s="65">
        <f t="shared" si="4049"/>
        <v>824.28592475602636</v>
      </c>
      <c r="T254" s="65">
        <f t="shared" si="4049"/>
        <v>786.74920725772245</v>
      </c>
      <c r="U254" s="65">
        <f t="shared" si="4049"/>
        <v>748.59489315115206</v>
      </c>
      <c r="V254" s="65">
        <f t="shared" si="4049"/>
        <v>709.79194486534834</v>
      </c>
      <c r="W254" s="65">
        <f t="shared" si="4049"/>
        <v>670.30845606292132</v>
      </c>
      <c r="X254" s="65">
        <f t="shared" si="4049"/>
        <v>630.11163364711319</v>
      </c>
      <c r="Y254" s="65">
        <f t="shared" si="4049"/>
        <v>589.16777943929264</v>
      </c>
      <c r="Z254" s="65">
        <f t="shared" si="4049"/>
        <v>547.44227152123131</v>
      </c>
      <c r="AA254" s="65">
        <f t="shared" si="4049"/>
        <v>508.97315989575145</v>
      </c>
      <c r="AB254" s="65">
        <f t="shared" si="4049"/>
        <v>469.40633739368059</v>
      </c>
      <c r="AC254" s="65">
        <f t="shared" si="4049"/>
        <v>428.68506617844469</v>
      </c>
      <c r="AD254" s="65">
        <f t="shared" si="4049"/>
        <v>386.7510084435944</v>
      </c>
      <c r="AE254" s="65">
        <f t="shared" si="4049"/>
        <v>343.54419256441361</v>
      </c>
      <c r="AF254" s="65">
        <f t="shared" si="4049"/>
        <v>299.00297861779654</v>
      </c>
      <c r="AG254" s="65">
        <f t="shared" si="4049"/>
        <v>253.06402325914496</v>
      </c>
      <c r="AH254" s="65">
        <f t="shared" si="4049"/>
        <v>205.66224394513119</v>
      </c>
      <c r="AI254" s="65">
        <f t="shared" si="4049"/>
        <v>156.73078249070159</v>
      </c>
      <c r="AJ254" s="65">
        <f t="shared" si="4049"/>
        <v>106.20096794866822</v>
      </c>
      <c r="AK254" s="65">
        <f t="shared" si="4049"/>
        <v>54.002278800000113</v>
      </c>
      <c r="AL254" s="65">
        <f t="shared" si="4049"/>
        <v>0</v>
      </c>
      <c r="AM254" s="65">
        <f t="shared" si="4049"/>
        <v>0</v>
      </c>
      <c r="AN254" s="65">
        <f t="shared" si="4049"/>
        <v>0</v>
      </c>
      <c r="AO254" s="65">
        <f t="shared" si="4049"/>
        <v>0</v>
      </c>
      <c r="AP254" s="65">
        <f t="shared" si="4049"/>
        <v>0</v>
      </c>
      <c r="AQ254" s="65">
        <f t="shared" si="4049"/>
        <v>0</v>
      </c>
      <c r="AR254" s="65">
        <f t="shared" si="4049"/>
        <v>0</v>
      </c>
      <c r="AS254" s="65">
        <f t="shared" si="4049"/>
        <v>0</v>
      </c>
      <c r="AT254" s="65">
        <f t="shared" si="4049"/>
        <v>0</v>
      </c>
      <c r="AU254" s="65">
        <f t="shared" si="4049"/>
        <v>0</v>
      </c>
      <c r="AV254" s="65">
        <f t="shared" si="4049"/>
        <v>0</v>
      </c>
      <c r="AW254" s="65">
        <f t="shared" si="4049"/>
        <v>0</v>
      </c>
      <c r="AX254" s="65">
        <f t="shared" si="4049"/>
        <v>0</v>
      </c>
      <c r="AY254" s="65">
        <f t="shared" si="4049"/>
        <v>0</v>
      </c>
      <c r="AZ254" s="65">
        <f t="shared" si="4049"/>
        <v>0</v>
      </c>
      <c r="BA254" s="65">
        <f t="shared" si="4049"/>
        <v>0</v>
      </c>
      <c r="BB254" s="65">
        <f t="shared" si="4049"/>
        <v>0</v>
      </c>
      <c r="BC254" s="65">
        <f t="shared" si="4049"/>
        <v>0</v>
      </c>
      <c r="BD254" s="65">
        <f t="shared" si="4049"/>
        <v>0</v>
      </c>
      <c r="BE254" s="65">
        <f t="shared" si="4049"/>
        <v>0</v>
      </c>
      <c r="BF254" s="65">
        <f t="shared" si="4049"/>
        <v>0</v>
      </c>
      <c r="BG254" s="65">
        <f t="shared" si="4049"/>
        <v>0</v>
      </c>
      <c r="BH254" s="65">
        <f t="shared" si="4049"/>
        <v>0</v>
      </c>
      <c r="BI254" s="65">
        <f t="shared" si="4049"/>
        <v>0</v>
      </c>
      <c r="BJ254" s="65">
        <f t="shared" si="4049"/>
        <v>0</v>
      </c>
      <c r="BK254" s="65">
        <f t="shared" si="4049"/>
        <v>0</v>
      </c>
      <c r="BL254" s="65">
        <f t="shared" si="4049"/>
        <v>0</v>
      </c>
      <c r="BM254" s="65">
        <f t="shared" si="4049"/>
        <v>0</v>
      </c>
      <c r="BN254" s="65">
        <f t="shared" si="4049"/>
        <v>0</v>
      </c>
      <c r="BO254" s="65">
        <f t="shared" ref="BO254:DZ254" si="4050">IFERROR((BO247/BO250)-BO253,0)</f>
        <v>0</v>
      </c>
      <c r="BP254" s="65">
        <f t="shared" si="4050"/>
        <v>0</v>
      </c>
      <c r="BQ254" s="65">
        <f t="shared" si="4050"/>
        <v>0</v>
      </c>
      <c r="BR254" s="65">
        <f t="shared" si="4050"/>
        <v>0</v>
      </c>
      <c r="BS254" s="65">
        <f t="shared" si="4050"/>
        <v>0</v>
      </c>
      <c r="BT254" s="65">
        <f t="shared" si="4050"/>
        <v>0</v>
      </c>
      <c r="BU254" s="65">
        <f t="shared" si="4050"/>
        <v>0</v>
      </c>
      <c r="BV254" s="65">
        <f t="shared" si="4050"/>
        <v>0</v>
      </c>
      <c r="BW254" s="65">
        <f t="shared" si="4050"/>
        <v>0</v>
      </c>
      <c r="BX254" s="65">
        <f t="shared" si="4050"/>
        <v>0</v>
      </c>
      <c r="BY254" s="65">
        <f t="shared" si="4050"/>
        <v>0</v>
      </c>
      <c r="BZ254" s="65">
        <f t="shared" si="4050"/>
        <v>0</v>
      </c>
      <c r="CA254" s="65">
        <f t="shared" si="4050"/>
        <v>0</v>
      </c>
      <c r="CB254" s="65">
        <f t="shared" si="4050"/>
        <v>0</v>
      </c>
      <c r="CC254" s="65">
        <f t="shared" si="4050"/>
        <v>0</v>
      </c>
      <c r="CD254" s="65">
        <f t="shared" si="4050"/>
        <v>0</v>
      </c>
      <c r="CE254" s="65">
        <f t="shared" si="4050"/>
        <v>0</v>
      </c>
      <c r="CF254" s="65">
        <f t="shared" si="4050"/>
        <v>0</v>
      </c>
      <c r="CG254" s="65">
        <f t="shared" si="4050"/>
        <v>0</v>
      </c>
      <c r="CH254" s="65">
        <f t="shared" si="4050"/>
        <v>0</v>
      </c>
      <c r="CI254" s="65">
        <f t="shared" si="4050"/>
        <v>0</v>
      </c>
      <c r="CJ254" s="65">
        <f t="shared" si="4050"/>
        <v>0</v>
      </c>
      <c r="CK254" s="65">
        <f t="shared" si="4050"/>
        <v>0</v>
      </c>
      <c r="CL254" s="65">
        <f t="shared" si="4050"/>
        <v>0</v>
      </c>
      <c r="CM254" s="65">
        <f t="shared" si="4050"/>
        <v>0</v>
      </c>
      <c r="CN254" s="65">
        <f t="shared" si="4050"/>
        <v>0</v>
      </c>
      <c r="CO254" s="65">
        <f t="shared" si="4050"/>
        <v>0</v>
      </c>
      <c r="CP254" s="65">
        <f t="shared" si="4050"/>
        <v>0</v>
      </c>
      <c r="CQ254" s="65">
        <f t="shared" si="4050"/>
        <v>0</v>
      </c>
      <c r="CR254" s="65">
        <f t="shared" si="4050"/>
        <v>0</v>
      </c>
      <c r="CS254" s="65">
        <f t="shared" si="4050"/>
        <v>0</v>
      </c>
      <c r="CT254" s="65">
        <f t="shared" si="4050"/>
        <v>0</v>
      </c>
      <c r="CU254" s="65">
        <f t="shared" si="4050"/>
        <v>0</v>
      </c>
      <c r="CV254" s="65">
        <f t="shared" si="4050"/>
        <v>0</v>
      </c>
      <c r="CW254" s="65">
        <f t="shared" si="4050"/>
        <v>0</v>
      </c>
      <c r="CX254" s="65">
        <f t="shared" si="4050"/>
        <v>0</v>
      </c>
      <c r="CY254" s="65">
        <f t="shared" si="4050"/>
        <v>0</v>
      </c>
      <c r="CZ254" s="65">
        <f t="shared" si="4050"/>
        <v>0</v>
      </c>
      <c r="DA254" s="65">
        <f t="shared" si="4050"/>
        <v>0</v>
      </c>
      <c r="DB254" s="65">
        <f t="shared" si="4050"/>
        <v>0</v>
      </c>
      <c r="DC254" s="65">
        <f t="shared" si="4050"/>
        <v>0</v>
      </c>
      <c r="DD254" s="65">
        <f t="shared" si="4050"/>
        <v>0</v>
      </c>
      <c r="DE254" s="65">
        <f t="shared" si="4050"/>
        <v>0</v>
      </c>
      <c r="DF254" s="65">
        <f t="shared" si="4050"/>
        <v>0</v>
      </c>
      <c r="DG254" s="65">
        <f t="shared" si="4050"/>
        <v>0</v>
      </c>
      <c r="DH254" s="65">
        <f t="shared" si="4050"/>
        <v>0</v>
      </c>
      <c r="DI254" s="65">
        <f t="shared" si="4050"/>
        <v>0</v>
      </c>
      <c r="DJ254" s="65">
        <f t="shared" si="4050"/>
        <v>0</v>
      </c>
      <c r="DK254" s="65">
        <f t="shared" si="4050"/>
        <v>0</v>
      </c>
      <c r="DL254" s="65">
        <f t="shared" si="4050"/>
        <v>0</v>
      </c>
      <c r="DM254" s="65">
        <f t="shared" si="4050"/>
        <v>0</v>
      </c>
      <c r="DN254" s="65">
        <f t="shared" si="4050"/>
        <v>0</v>
      </c>
      <c r="DO254" s="65">
        <f t="shared" si="4050"/>
        <v>0</v>
      </c>
      <c r="DP254" s="65">
        <f t="shared" si="4050"/>
        <v>0</v>
      </c>
      <c r="DQ254" s="65">
        <f t="shared" si="4050"/>
        <v>0</v>
      </c>
      <c r="DR254" s="65">
        <f t="shared" si="4050"/>
        <v>0</v>
      </c>
      <c r="DS254" s="65">
        <f t="shared" si="4050"/>
        <v>0</v>
      </c>
      <c r="DT254" s="65">
        <f t="shared" si="4050"/>
        <v>0</v>
      </c>
      <c r="DU254" s="65">
        <f t="shared" si="4050"/>
        <v>0</v>
      </c>
      <c r="DV254" s="65">
        <f t="shared" si="4050"/>
        <v>0</v>
      </c>
      <c r="DW254" s="65">
        <f t="shared" si="4050"/>
        <v>0</v>
      </c>
      <c r="DX254" s="65">
        <f t="shared" si="4050"/>
        <v>0</v>
      </c>
      <c r="DY254" s="65">
        <f t="shared" si="4050"/>
        <v>0</v>
      </c>
      <c r="DZ254" s="65">
        <f t="shared" si="4050"/>
        <v>0</v>
      </c>
      <c r="EA254" s="65">
        <f t="shared" ref="EA254:FY254" si="4051">IFERROR((EA247/EA250)-EA253,0)</f>
        <v>0</v>
      </c>
      <c r="EB254" s="65">
        <f t="shared" si="4051"/>
        <v>0</v>
      </c>
      <c r="EC254" s="65">
        <f t="shared" si="4051"/>
        <v>0</v>
      </c>
      <c r="ED254" s="65">
        <f t="shared" si="4051"/>
        <v>0</v>
      </c>
      <c r="EE254" s="65">
        <f t="shared" si="4051"/>
        <v>0</v>
      </c>
      <c r="EF254" s="65">
        <f t="shared" si="4051"/>
        <v>0</v>
      </c>
      <c r="EG254" s="65">
        <f t="shared" si="4051"/>
        <v>0</v>
      </c>
      <c r="EH254" s="65">
        <f t="shared" si="4051"/>
        <v>0</v>
      </c>
      <c r="EI254" s="65">
        <f t="shared" si="4051"/>
        <v>0</v>
      </c>
      <c r="EJ254" s="65">
        <f t="shared" si="4051"/>
        <v>0</v>
      </c>
      <c r="EK254" s="65">
        <f t="shared" si="4051"/>
        <v>0</v>
      </c>
      <c r="EL254" s="65">
        <f t="shared" si="4051"/>
        <v>0</v>
      </c>
      <c r="EM254" s="65">
        <f t="shared" si="4051"/>
        <v>0</v>
      </c>
      <c r="EN254" s="65">
        <f t="shared" si="4051"/>
        <v>0</v>
      </c>
      <c r="EO254" s="65">
        <f t="shared" si="4051"/>
        <v>0</v>
      </c>
      <c r="EP254" s="65">
        <f t="shared" si="4051"/>
        <v>0</v>
      </c>
      <c r="EQ254" s="65">
        <f t="shared" si="4051"/>
        <v>0</v>
      </c>
      <c r="ER254" s="65">
        <f t="shared" si="4051"/>
        <v>0</v>
      </c>
      <c r="ES254" s="65">
        <f t="shared" si="4051"/>
        <v>0</v>
      </c>
      <c r="ET254" s="65">
        <f t="shared" si="4051"/>
        <v>0</v>
      </c>
      <c r="EU254" s="65">
        <f t="shared" si="4051"/>
        <v>0</v>
      </c>
      <c r="EV254" s="65">
        <f t="shared" si="4051"/>
        <v>0</v>
      </c>
      <c r="EW254" s="65">
        <f t="shared" si="4051"/>
        <v>0</v>
      </c>
      <c r="EX254" s="65">
        <f t="shared" si="4051"/>
        <v>0</v>
      </c>
      <c r="EY254" s="65">
        <f t="shared" si="4051"/>
        <v>0</v>
      </c>
      <c r="EZ254" s="65">
        <f t="shared" si="4051"/>
        <v>0</v>
      </c>
      <c r="FA254" s="65">
        <f t="shared" si="4051"/>
        <v>0</v>
      </c>
      <c r="FB254" s="65">
        <f t="shared" si="4051"/>
        <v>0</v>
      </c>
      <c r="FC254" s="65">
        <f t="shared" si="4051"/>
        <v>0</v>
      </c>
      <c r="FD254" s="65">
        <f t="shared" si="4051"/>
        <v>0</v>
      </c>
      <c r="FE254" s="65">
        <f t="shared" si="4051"/>
        <v>0</v>
      </c>
      <c r="FF254" s="65">
        <f t="shared" si="4051"/>
        <v>0</v>
      </c>
      <c r="FG254" s="65">
        <f t="shared" si="4051"/>
        <v>0</v>
      </c>
      <c r="FH254" s="65">
        <f t="shared" si="4051"/>
        <v>0</v>
      </c>
      <c r="FI254" s="65">
        <f t="shared" si="4051"/>
        <v>0</v>
      </c>
      <c r="FJ254" s="65">
        <f t="shared" si="4051"/>
        <v>0</v>
      </c>
      <c r="FK254" s="65">
        <f t="shared" si="4051"/>
        <v>0</v>
      </c>
      <c r="FL254" s="65">
        <f t="shared" si="4051"/>
        <v>0</v>
      </c>
      <c r="FM254" s="65">
        <f t="shared" si="4051"/>
        <v>0</v>
      </c>
      <c r="FN254" s="65">
        <f t="shared" si="4051"/>
        <v>0</v>
      </c>
      <c r="FO254" s="65">
        <f t="shared" si="4051"/>
        <v>0</v>
      </c>
      <c r="FP254" s="65">
        <f t="shared" si="4051"/>
        <v>0</v>
      </c>
      <c r="FQ254" s="65">
        <f t="shared" si="4051"/>
        <v>0</v>
      </c>
      <c r="FR254" s="65">
        <f t="shared" si="4051"/>
        <v>0</v>
      </c>
      <c r="FS254" s="65">
        <f t="shared" si="4051"/>
        <v>0</v>
      </c>
      <c r="FT254" s="65">
        <f t="shared" si="4051"/>
        <v>0</v>
      </c>
      <c r="FU254" s="65">
        <f t="shared" si="4051"/>
        <v>0</v>
      </c>
      <c r="FV254" s="65">
        <f t="shared" si="4051"/>
        <v>0</v>
      </c>
      <c r="FW254" s="65">
        <f t="shared" si="4051"/>
        <v>0</v>
      </c>
      <c r="FX254" s="65">
        <f t="shared" si="4051"/>
        <v>0</v>
      </c>
      <c r="FY254" s="65">
        <f t="shared" si="4051"/>
        <v>0</v>
      </c>
      <c r="FZ254" s="59"/>
    </row>
    <row r="255" spans="1:182" ht="15.75" customHeight="1" x14ac:dyDescent="0.2">
      <c r="A255" s="94" t="s">
        <v>219</v>
      </c>
      <c r="B255" s="65">
        <f>MAX(B254:FY254)</f>
        <v>2849.4615063997917</v>
      </c>
      <c r="C255" s="65">
        <f>B258</f>
        <v>2719.0774143267922</v>
      </c>
      <c r="D255" s="65">
        <f t="shared" ref="D255:BH255" si="4052">C258</f>
        <v>2590.574180237978</v>
      </c>
      <c r="E255" s="65">
        <f t="shared" si="4052"/>
        <v>2464.027501250629</v>
      </c>
      <c r="F255" s="65">
        <f t="shared" si="4052"/>
        <v>2339.5148339398079</v>
      </c>
      <c r="G255" s="65">
        <f t="shared" si="4052"/>
        <v>2217.1154255873785</v>
      </c>
      <c r="H255" s="65">
        <f t="shared" si="4052"/>
        <v>2096.9104819216745</v>
      </c>
      <c r="I255" s="65">
        <f t="shared" si="4052"/>
        <v>1978.9829396809412</v>
      </c>
      <c r="J255" s="65">
        <f t="shared" si="4052"/>
        <v>1863.4176404479474</v>
      </c>
      <c r="K255" s="65">
        <f t="shared" si="4052"/>
        <v>1750.3013703389124</v>
      </c>
      <c r="L255" s="65">
        <f t="shared" si="4052"/>
        <v>1639.7229005011063</v>
      </c>
      <c r="M255" s="65">
        <f t="shared" si="4052"/>
        <v>1531.7730284340837</v>
      </c>
      <c r="N255" s="65">
        <f t="shared" si="4052"/>
        <v>1426.5446201526993</v>
      </c>
      <c r="O255" s="65">
        <f t="shared" si="4052"/>
        <v>1324.1327629660982</v>
      </c>
      <c r="P255" s="65">
        <f t="shared" si="4052"/>
        <v>1224.6356375487489</v>
      </c>
      <c r="Q255" s="65">
        <f t="shared" si="4052"/>
        <v>1128.1525176718228</v>
      </c>
      <c r="R255" s="65">
        <f t="shared" si="4052"/>
        <v>1034.7849094839485</v>
      </c>
      <c r="S255" s="65">
        <f t="shared" si="4052"/>
        <v>944.63660811284444</v>
      </c>
      <c r="T255" s="65">
        <f t="shared" si="4052"/>
        <v>857.81374513381684</v>
      </c>
      <c r="U255" s="65">
        <f t="shared" si="4052"/>
        <v>774.42483700373009</v>
      </c>
      <c r="V255" s="65">
        <f t="shared" si="4052"/>
        <v>694.58083448023342</v>
      </c>
      <c r="W255" s="65">
        <f t="shared" si="4052"/>
        <v>618.39525367754618</v>
      </c>
      <c r="X255" s="65">
        <f t="shared" si="4052"/>
        <v>545.984058382017</v>
      </c>
      <c r="Y255" s="65">
        <f t="shared" si="4052"/>
        <v>477.46580067522757</v>
      </c>
      <c r="Z255" s="65">
        <f t="shared" si="4052"/>
        <v>412.96167448109071</v>
      </c>
      <c r="AA255" s="65">
        <f t="shared" si="4052"/>
        <v>352.59557020469259</v>
      </c>
      <c r="AB255" s="65">
        <f t="shared" si="4052"/>
        <v>296.49470743643599</v>
      </c>
      <c r="AC255" s="65">
        <f t="shared" si="4052"/>
        <v>244.78845956682508</v>
      </c>
      <c r="AD255" s="65">
        <f t="shared" si="4052"/>
        <v>197.6090501608769</v>
      </c>
      <c r="AE255" s="65">
        <f t="shared" si="4052"/>
        <v>155.09162487402568</v>
      </c>
      <c r="AF255" s="65">
        <f t="shared" si="4052"/>
        <v>117.37435115105059</v>
      </c>
      <c r="AG255" s="65">
        <f t="shared" si="4052"/>
        <v>84.598390662460105</v>
      </c>
      <c r="AH255" s="65">
        <f t="shared" si="4052"/>
        <v>56.908011268652345</v>
      </c>
      <c r="AI255" s="65">
        <f t="shared" si="4052"/>
        <v>34.45065103595438</v>
      </c>
      <c r="AJ255" s="65">
        <f t="shared" si="4052"/>
        <v>17.376983553017283</v>
      </c>
      <c r="AK255" s="65">
        <f t="shared" si="4052"/>
        <v>5.8409845716587157</v>
      </c>
      <c r="AL255" s="65">
        <f t="shared" si="4052"/>
        <v>0</v>
      </c>
      <c r="AM255" s="65">
        <f t="shared" si="4052"/>
        <v>0</v>
      </c>
      <c r="AN255" s="65">
        <f t="shared" si="4052"/>
        <v>0</v>
      </c>
      <c r="AO255" s="65">
        <f t="shared" si="4052"/>
        <v>0</v>
      </c>
      <c r="AP255" s="65">
        <f t="shared" si="4052"/>
        <v>0</v>
      </c>
      <c r="AQ255" s="65">
        <f t="shared" si="4052"/>
        <v>0</v>
      </c>
      <c r="AR255" s="65">
        <f t="shared" si="4052"/>
        <v>0</v>
      </c>
      <c r="AS255" s="65">
        <f t="shared" si="4052"/>
        <v>0</v>
      </c>
      <c r="AT255" s="65">
        <f t="shared" si="4052"/>
        <v>0</v>
      </c>
      <c r="AU255" s="65">
        <f t="shared" si="4052"/>
        <v>0</v>
      </c>
      <c r="AV255" s="65">
        <f t="shared" si="4052"/>
        <v>0</v>
      </c>
      <c r="AW255" s="65">
        <f t="shared" si="4052"/>
        <v>0</v>
      </c>
      <c r="AX255" s="65">
        <f t="shared" si="4052"/>
        <v>0</v>
      </c>
      <c r="AY255" s="65">
        <f t="shared" si="4052"/>
        <v>0</v>
      </c>
      <c r="AZ255" s="65">
        <f t="shared" si="4052"/>
        <v>0</v>
      </c>
      <c r="BA255" s="65">
        <f t="shared" si="4052"/>
        <v>0</v>
      </c>
      <c r="BB255" s="65">
        <f t="shared" si="4052"/>
        <v>0</v>
      </c>
      <c r="BC255" s="65">
        <f t="shared" si="4052"/>
        <v>0</v>
      </c>
      <c r="BD255" s="65">
        <f t="shared" si="4052"/>
        <v>0</v>
      </c>
      <c r="BE255" s="65">
        <f t="shared" si="4052"/>
        <v>0</v>
      </c>
      <c r="BF255" s="65">
        <f t="shared" si="4052"/>
        <v>0</v>
      </c>
      <c r="BG255" s="65">
        <f t="shared" si="4052"/>
        <v>0</v>
      </c>
      <c r="BH255" s="65">
        <f t="shared" si="4052"/>
        <v>0</v>
      </c>
      <c r="BI255" s="65">
        <f t="shared" ref="BI255:DP255" si="4053">BH258</f>
        <v>0</v>
      </c>
      <c r="BJ255" s="65">
        <f t="shared" si="4053"/>
        <v>0</v>
      </c>
      <c r="BK255" s="65">
        <f t="shared" si="4053"/>
        <v>0</v>
      </c>
      <c r="BL255" s="65">
        <f t="shared" si="4053"/>
        <v>0</v>
      </c>
      <c r="BM255" s="65">
        <f t="shared" si="4053"/>
        <v>0</v>
      </c>
      <c r="BN255" s="65">
        <f t="shared" si="4053"/>
        <v>0</v>
      </c>
      <c r="BO255" s="65">
        <f t="shared" si="4053"/>
        <v>0</v>
      </c>
      <c r="BP255" s="65">
        <f t="shared" si="4053"/>
        <v>0</v>
      </c>
      <c r="BQ255" s="65">
        <f t="shared" si="4053"/>
        <v>0</v>
      </c>
      <c r="BR255" s="65">
        <f t="shared" si="4053"/>
        <v>0</v>
      </c>
      <c r="BS255" s="65">
        <f t="shared" si="4053"/>
        <v>0</v>
      </c>
      <c r="BT255" s="65">
        <f t="shared" si="4053"/>
        <v>0</v>
      </c>
      <c r="BU255" s="65">
        <f t="shared" si="4053"/>
        <v>0</v>
      </c>
      <c r="BV255" s="65">
        <f t="shared" si="4053"/>
        <v>0</v>
      </c>
      <c r="BW255" s="65">
        <f t="shared" si="4053"/>
        <v>0</v>
      </c>
      <c r="BX255" s="65">
        <f t="shared" si="4053"/>
        <v>0</v>
      </c>
      <c r="BY255" s="65">
        <f t="shared" si="4053"/>
        <v>0</v>
      </c>
      <c r="BZ255" s="65">
        <f t="shared" si="4053"/>
        <v>0</v>
      </c>
      <c r="CA255" s="65">
        <f t="shared" si="4053"/>
        <v>0</v>
      </c>
      <c r="CB255" s="65">
        <f t="shared" si="4053"/>
        <v>0</v>
      </c>
      <c r="CC255" s="65">
        <f t="shared" si="4053"/>
        <v>0</v>
      </c>
      <c r="CD255" s="65">
        <f t="shared" si="4053"/>
        <v>0</v>
      </c>
      <c r="CE255" s="65">
        <f t="shared" si="4053"/>
        <v>0</v>
      </c>
      <c r="CF255" s="65">
        <f t="shared" si="4053"/>
        <v>0</v>
      </c>
      <c r="CG255" s="65">
        <f t="shared" si="4053"/>
        <v>0</v>
      </c>
      <c r="CH255" s="65">
        <f t="shared" si="4053"/>
        <v>0</v>
      </c>
      <c r="CI255" s="65">
        <f t="shared" si="4053"/>
        <v>0</v>
      </c>
      <c r="CJ255" s="65">
        <f t="shared" si="4053"/>
        <v>0</v>
      </c>
      <c r="CK255" s="65">
        <f t="shared" si="4053"/>
        <v>0</v>
      </c>
      <c r="CL255" s="65">
        <f t="shared" si="4053"/>
        <v>0</v>
      </c>
      <c r="CM255" s="65">
        <f t="shared" si="4053"/>
        <v>0</v>
      </c>
      <c r="CN255" s="65">
        <f t="shared" si="4053"/>
        <v>0</v>
      </c>
      <c r="CO255" s="65">
        <f t="shared" si="4053"/>
        <v>0</v>
      </c>
      <c r="CP255" s="65">
        <f t="shared" si="4053"/>
        <v>0</v>
      </c>
      <c r="CQ255" s="65">
        <f t="shared" si="4053"/>
        <v>0</v>
      </c>
      <c r="CR255" s="65">
        <f t="shared" si="4053"/>
        <v>0</v>
      </c>
      <c r="CS255" s="65">
        <f t="shared" si="4053"/>
        <v>0</v>
      </c>
      <c r="CT255" s="65">
        <f t="shared" si="4053"/>
        <v>0</v>
      </c>
      <c r="CU255" s="65">
        <f t="shared" si="4053"/>
        <v>0</v>
      </c>
      <c r="CV255" s="65">
        <f t="shared" si="4053"/>
        <v>0</v>
      </c>
      <c r="CW255" s="65">
        <f t="shared" si="4053"/>
        <v>0</v>
      </c>
      <c r="CX255" s="65">
        <f t="shared" si="4053"/>
        <v>0</v>
      </c>
      <c r="CY255" s="65">
        <f t="shared" si="4053"/>
        <v>0</v>
      </c>
      <c r="CZ255" s="65">
        <f t="shared" si="4053"/>
        <v>0</v>
      </c>
      <c r="DA255" s="65">
        <f t="shared" si="4053"/>
        <v>0</v>
      </c>
      <c r="DB255" s="65">
        <f t="shared" si="4053"/>
        <v>0</v>
      </c>
      <c r="DC255" s="65">
        <f t="shared" si="4053"/>
        <v>0</v>
      </c>
      <c r="DD255" s="65">
        <f t="shared" si="4053"/>
        <v>0</v>
      </c>
      <c r="DE255" s="65">
        <f t="shared" si="4053"/>
        <v>0</v>
      </c>
      <c r="DF255" s="65">
        <f t="shared" si="4053"/>
        <v>0</v>
      </c>
      <c r="DG255" s="65">
        <f t="shared" si="4053"/>
        <v>0</v>
      </c>
      <c r="DH255" s="65">
        <f t="shared" si="4053"/>
        <v>0</v>
      </c>
      <c r="DI255" s="65">
        <f t="shared" si="4053"/>
        <v>0</v>
      </c>
      <c r="DJ255" s="65">
        <f t="shared" si="4053"/>
        <v>0</v>
      </c>
      <c r="DK255" s="65">
        <f t="shared" si="4053"/>
        <v>0</v>
      </c>
      <c r="DL255" s="65">
        <f t="shared" si="4053"/>
        <v>0</v>
      </c>
      <c r="DM255" s="65">
        <f t="shared" si="4053"/>
        <v>0</v>
      </c>
      <c r="DN255" s="65">
        <f t="shared" si="4053"/>
        <v>0</v>
      </c>
      <c r="DO255" s="65">
        <f t="shared" si="4053"/>
        <v>0</v>
      </c>
      <c r="DP255" s="65">
        <f t="shared" si="4053"/>
        <v>0</v>
      </c>
      <c r="DQ255" s="65">
        <f t="shared" ref="DQ255" si="4054">DP258</f>
        <v>0</v>
      </c>
      <c r="DR255" s="65">
        <f t="shared" ref="DR255" si="4055">DQ258</f>
        <v>0</v>
      </c>
      <c r="DS255" s="65">
        <f t="shared" ref="DS255" si="4056">DR258</f>
        <v>0</v>
      </c>
      <c r="DT255" s="65">
        <f t="shared" ref="DT255" si="4057">DS258</f>
        <v>0</v>
      </c>
      <c r="DU255" s="65">
        <f t="shared" ref="DU255" si="4058">DT258</f>
        <v>0</v>
      </c>
      <c r="DV255" s="65">
        <f t="shared" ref="DV255" si="4059">DU258</f>
        <v>0</v>
      </c>
      <c r="DW255" s="65">
        <f t="shared" ref="DW255" si="4060">DV258</f>
        <v>0</v>
      </c>
      <c r="DX255" s="65">
        <f t="shared" ref="DX255" si="4061">DW258</f>
        <v>0</v>
      </c>
      <c r="DY255" s="65">
        <f t="shared" ref="DY255" si="4062">DX258</f>
        <v>0</v>
      </c>
      <c r="DZ255" s="65">
        <f t="shared" ref="DZ255" si="4063">DY258</f>
        <v>0</v>
      </c>
      <c r="EA255" s="65">
        <f t="shared" ref="EA255" si="4064">DZ258</f>
        <v>0</v>
      </c>
      <c r="EB255" s="65">
        <f t="shared" ref="EB255" si="4065">EA258</f>
        <v>0</v>
      </c>
      <c r="EC255" s="65">
        <f t="shared" ref="EC255" si="4066">EB258</f>
        <v>0</v>
      </c>
      <c r="ED255" s="65">
        <f t="shared" ref="ED255" si="4067">EC258</f>
        <v>0</v>
      </c>
      <c r="EE255" s="65">
        <f t="shared" ref="EE255" si="4068">ED258</f>
        <v>0</v>
      </c>
      <c r="EF255" s="65">
        <f t="shared" ref="EF255" si="4069">EE258</f>
        <v>0</v>
      </c>
      <c r="EG255" s="65">
        <f t="shared" ref="EG255" si="4070">EF258</f>
        <v>0</v>
      </c>
      <c r="EH255" s="65">
        <f t="shared" ref="EH255" si="4071">EG258</f>
        <v>0</v>
      </c>
      <c r="EI255" s="65">
        <f t="shared" ref="EI255" si="4072">EH258</f>
        <v>0</v>
      </c>
      <c r="EJ255" s="65">
        <f t="shared" ref="EJ255" si="4073">EI258</f>
        <v>0</v>
      </c>
      <c r="EK255" s="65">
        <f t="shared" ref="EK255" si="4074">EJ258</f>
        <v>0</v>
      </c>
      <c r="EL255" s="65">
        <f t="shared" ref="EL255" si="4075">EK258</f>
        <v>0</v>
      </c>
      <c r="EM255" s="65">
        <f t="shared" ref="EM255" si="4076">EL258</f>
        <v>0</v>
      </c>
      <c r="EN255" s="65">
        <f t="shared" ref="EN255" si="4077">EM258</f>
        <v>0</v>
      </c>
      <c r="EO255" s="65">
        <f t="shared" ref="EO255" si="4078">EN258</f>
        <v>0</v>
      </c>
      <c r="EP255" s="65">
        <f t="shared" ref="EP255" si="4079">EO258</f>
        <v>0</v>
      </c>
      <c r="EQ255" s="65">
        <f t="shared" ref="EQ255" si="4080">EP258</f>
        <v>0</v>
      </c>
      <c r="ER255" s="65">
        <f t="shared" ref="ER255" si="4081">EQ258</f>
        <v>0</v>
      </c>
      <c r="ES255" s="65">
        <f t="shared" ref="ES255" si="4082">ER258</f>
        <v>0</v>
      </c>
      <c r="ET255" s="65">
        <f t="shared" ref="ET255" si="4083">ES258</f>
        <v>0</v>
      </c>
      <c r="EU255" s="65">
        <f t="shared" ref="EU255" si="4084">ET258</f>
        <v>0</v>
      </c>
      <c r="EV255" s="65">
        <f t="shared" ref="EV255" si="4085">EU258</f>
        <v>0</v>
      </c>
      <c r="EW255" s="65">
        <f t="shared" ref="EW255" si="4086">EV258</f>
        <v>0</v>
      </c>
      <c r="EX255" s="65">
        <f t="shared" ref="EX255" si="4087">EW258</f>
        <v>0</v>
      </c>
      <c r="EY255" s="65">
        <f t="shared" ref="EY255" si="4088">EX258</f>
        <v>0</v>
      </c>
      <c r="EZ255" s="65">
        <f t="shared" ref="EZ255" si="4089">EY258</f>
        <v>0</v>
      </c>
      <c r="FA255" s="65">
        <f t="shared" ref="FA255" si="4090">EZ258</f>
        <v>0</v>
      </c>
      <c r="FB255" s="65">
        <f t="shared" ref="FB255" si="4091">FA258</f>
        <v>0</v>
      </c>
      <c r="FC255" s="65">
        <f t="shared" ref="FC255" si="4092">FB258</f>
        <v>0</v>
      </c>
      <c r="FD255" s="65">
        <f t="shared" ref="FD255" si="4093">FC258</f>
        <v>0</v>
      </c>
      <c r="FE255" s="65">
        <f t="shared" ref="FE255" si="4094">FD258</f>
        <v>0</v>
      </c>
      <c r="FF255" s="65">
        <f t="shared" ref="FF255" si="4095">FE258</f>
        <v>0</v>
      </c>
      <c r="FG255" s="65">
        <f t="shared" ref="FG255" si="4096">FF258</f>
        <v>0</v>
      </c>
      <c r="FH255" s="65">
        <f t="shared" ref="FH255" si="4097">FG258</f>
        <v>0</v>
      </c>
      <c r="FI255" s="65">
        <f t="shared" ref="FI255" si="4098">FH258</f>
        <v>0</v>
      </c>
      <c r="FJ255" s="65">
        <f t="shared" ref="FJ255" si="4099">FI258</f>
        <v>0</v>
      </c>
      <c r="FK255" s="65">
        <f t="shared" ref="FK255" si="4100">FJ258</f>
        <v>0</v>
      </c>
      <c r="FL255" s="65">
        <f t="shared" ref="FL255" si="4101">FK258</f>
        <v>0</v>
      </c>
      <c r="FM255" s="65">
        <f t="shared" ref="FM255" si="4102">FL258</f>
        <v>0</v>
      </c>
      <c r="FN255" s="65">
        <f t="shared" ref="FN255" si="4103">FM258</f>
        <v>0</v>
      </c>
      <c r="FO255" s="65">
        <f t="shared" ref="FO255" si="4104">FN258</f>
        <v>0</v>
      </c>
      <c r="FP255" s="65">
        <f t="shared" ref="FP255" si="4105">FO258</f>
        <v>0</v>
      </c>
      <c r="FQ255" s="65">
        <f t="shared" ref="FQ255" si="4106">FP258</f>
        <v>0</v>
      </c>
      <c r="FR255" s="65">
        <f t="shared" ref="FR255" si="4107">FQ258</f>
        <v>0</v>
      </c>
      <c r="FS255" s="65">
        <f t="shared" ref="FS255" si="4108">FR258</f>
        <v>0</v>
      </c>
      <c r="FT255" s="65">
        <f t="shared" ref="FT255" si="4109">FS258</f>
        <v>0</v>
      </c>
      <c r="FU255" s="65">
        <f t="shared" ref="FU255" si="4110">FT258</f>
        <v>0</v>
      </c>
      <c r="FV255" s="65">
        <f t="shared" ref="FV255" si="4111">FU258</f>
        <v>0</v>
      </c>
      <c r="FW255" s="65">
        <f t="shared" ref="FW255" si="4112">FV258</f>
        <v>0</v>
      </c>
      <c r="FX255" s="65">
        <f t="shared" ref="FX255" si="4113">FW258</f>
        <v>0</v>
      </c>
      <c r="FY255" s="65">
        <f t="shared" ref="FY255" si="4114">FX258</f>
        <v>0</v>
      </c>
      <c r="FZ255" s="59"/>
    </row>
    <row r="256" spans="1:182" ht="15.75" customHeight="1" x14ac:dyDescent="0.2">
      <c r="A256" s="94" t="s">
        <v>220</v>
      </c>
      <c r="B256" s="65">
        <f>B255*B139</f>
        <v>12.447860664994499</v>
      </c>
      <c r="C256" s="65">
        <f>C255*C139</f>
        <v>11.878278304463816</v>
      </c>
      <c r="D256" s="65">
        <f t="shared" ref="D256:BH256" si="4115">D255*D139</f>
        <v>11.316912464165181</v>
      </c>
      <c r="E256" s="65">
        <f t="shared" si="4115"/>
        <v>10.764093826638623</v>
      </c>
      <c r="F256" s="65">
        <f t="shared" si="4115"/>
        <v>10.220160760608126</v>
      </c>
      <c r="G256" s="65">
        <f t="shared" si="4115"/>
        <v>9.6854594574928434</v>
      </c>
      <c r="H256" s="65">
        <f t="shared" si="4115"/>
        <v>9.1603446641771349</v>
      </c>
      <c r="I256" s="65">
        <f t="shared" si="4115"/>
        <v>8.6451786894549123</v>
      </c>
      <c r="J256" s="65">
        <f t="shared" si="4115"/>
        <v>8.140332163425418</v>
      </c>
      <c r="K256" s="65">
        <f t="shared" si="4115"/>
        <v>7.6461842108741358</v>
      </c>
      <c r="L256" s="65">
        <f t="shared" si="4115"/>
        <v>7.1631226281863851</v>
      </c>
      <c r="M256" s="65">
        <f t="shared" si="4115"/>
        <v>6.6915440638589585</v>
      </c>
      <c r="N256" s="65">
        <f t="shared" si="4115"/>
        <v>6.2318542026890817</v>
      </c>
      <c r="O256" s="65">
        <f t="shared" si="4115"/>
        <v>5.7844684331887919</v>
      </c>
      <c r="P256" s="65">
        <f t="shared" si="4115"/>
        <v>5.3498156572235933</v>
      </c>
      <c r="Q256" s="65">
        <f t="shared" si="4115"/>
        <v>4.9283295518473622</v>
      </c>
      <c r="R256" s="65">
        <f t="shared" si="4115"/>
        <v>4.5204535462455535</v>
      </c>
      <c r="S256" s="65">
        <f t="shared" si="4115"/>
        <v>4.1266410689991977</v>
      </c>
      <c r="T256" s="65">
        <f t="shared" si="4115"/>
        <v>3.7473557554508314</v>
      </c>
      <c r="U256" s="65">
        <f t="shared" si="4115"/>
        <v>3.3830716592880985</v>
      </c>
      <c r="V256" s="65">
        <f t="shared" si="4115"/>
        <v>3.0342734684314334</v>
      </c>
      <c r="W256" s="65">
        <f t="shared" si="4115"/>
        <v>2.701457077550709</v>
      </c>
      <c r="X256" s="65">
        <f t="shared" si="4115"/>
        <v>2.3851290739612523</v>
      </c>
      <c r="Y256" s="65">
        <f t="shared" si="4115"/>
        <v>2.0858073519352822</v>
      </c>
      <c r="Z256" s="65">
        <f t="shared" si="4115"/>
        <v>1.8040213466221848</v>
      </c>
      <c r="AA256" s="65">
        <f t="shared" si="4115"/>
        <v>1.5403122727380671</v>
      </c>
      <c r="AB256" s="65">
        <f t="shared" si="4115"/>
        <v>1.295235888531157</v>
      </c>
      <c r="AC256" s="65">
        <f t="shared" si="4115"/>
        <v>1.0693573611164124</v>
      </c>
      <c r="AD256" s="65">
        <f t="shared" si="4115"/>
        <v>0.86325430858422081</v>
      </c>
      <c r="AE256" s="65">
        <f t="shared" si="4115"/>
        <v>0.67751711416472848</v>
      </c>
      <c r="AF256" s="65">
        <f t="shared" si="4115"/>
        <v>0.51274936176218744</v>
      </c>
      <c r="AG256" s="65">
        <f t="shared" si="4115"/>
        <v>0.36956771554341711</v>
      </c>
      <c r="AH256" s="65">
        <f t="shared" si="4115"/>
        <v>0.24860240905276931</v>
      </c>
      <c r="AI256" s="65">
        <f t="shared" si="4115"/>
        <v>0.15049752486592843</v>
      </c>
      <c r="AJ256" s="65">
        <f t="shared" si="4115"/>
        <v>7.5911279924309849E-2</v>
      </c>
      <c r="AK256" s="65">
        <f t="shared" si="4115"/>
        <v>2.5516316655301768E-2</v>
      </c>
      <c r="AL256" s="65">
        <f t="shared" si="4115"/>
        <v>0</v>
      </c>
      <c r="AM256" s="65">
        <f t="shared" si="4115"/>
        <v>0</v>
      </c>
      <c r="AN256" s="65">
        <f t="shared" si="4115"/>
        <v>0</v>
      </c>
      <c r="AO256" s="65">
        <f t="shared" si="4115"/>
        <v>0</v>
      </c>
      <c r="AP256" s="65">
        <f t="shared" si="4115"/>
        <v>0</v>
      </c>
      <c r="AQ256" s="65">
        <f t="shared" si="4115"/>
        <v>0</v>
      </c>
      <c r="AR256" s="65">
        <f t="shared" si="4115"/>
        <v>0</v>
      </c>
      <c r="AS256" s="65">
        <f t="shared" si="4115"/>
        <v>0</v>
      </c>
      <c r="AT256" s="65">
        <f t="shared" si="4115"/>
        <v>0</v>
      </c>
      <c r="AU256" s="65">
        <f t="shared" si="4115"/>
        <v>0</v>
      </c>
      <c r="AV256" s="65">
        <f t="shared" si="4115"/>
        <v>0</v>
      </c>
      <c r="AW256" s="65">
        <f t="shared" si="4115"/>
        <v>0</v>
      </c>
      <c r="AX256" s="65">
        <f t="shared" si="4115"/>
        <v>0</v>
      </c>
      <c r="AY256" s="65">
        <f t="shared" si="4115"/>
        <v>0</v>
      </c>
      <c r="AZ256" s="65">
        <f t="shared" si="4115"/>
        <v>0</v>
      </c>
      <c r="BA256" s="65">
        <f t="shared" si="4115"/>
        <v>0</v>
      </c>
      <c r="BB256" s="65">
        <f t="shared" si="4115"/>
        <v>0</v>
      </c>
      <c r="BC256" s="65">
        <f t="shared" si="4115"/>
        <v>0</v>
      </c>
      <c r="BD256" s="65">
        <f t="shared" si="4115"/>
        <v>0</v>
      </c>
      <c r="BE256" s="65">
        <f t="shared" si="4115"/>
        <v>0</v>
      </c>
      <c r="BF256" s="65">
        <f t="shared" si="4115"/>
        <v>0</v>
      </c>
      <c r="BG256" s="65">
        <f t="shared" si="4115"/>
        <v>0</v>
      </c>
      <c r="BH256" s="65">
        <f t="shared" si="4115"/>
        <v>0</v>
      </c>
      <c r="BI256" s="65">
        <f t="shared" ref="BI256" si="4116">BI255*BI139</f>
        <v>0</v>
      </c>
      <c r="BJ256" s="65">
        <f t="shared" ref="BJ256" si="4117">BJ255*BJ139</f>
        <v>0</v>
      </c>
      <c r="BK256" s="65">
        <f t="shared" ref="BK256" si="4118">BK255*BK139</f>
        <v>0</v>
      </c>
      <c r="BL256" s="65">
        <f t="shared" ref="BL256" si="4119">BL255*BL139</f>
        <v>0</v>
      </c>
      <c r="BM256" s="65">
        <f t="shared" ref="BM256" si="4120">BM255*BM139</f>
        <v>0</v>
      </c>
      <c r="BN256" s="65">
        <f t="shared" ref="BN256" si="4121">BN255*BN139</f>
        <v>0</v>
      </c>
      <c r="BO256" s="65">
        <f t="shared" ref="BO256" si="4122">BO255*BO139</f>
        <v>0</v>
      </c>
      <c r="BP256" s="65">
        <f t="shared" ref="BP256" si="4123">BP255*BP139</f>
        <v>0</v>
      </c>
      <c r="BQ256" s="65">
        <f t="shared" ref="BQ256" si="4124">BQ255*BQ139</f>
        <v>0</v>
      </c>
      <c r="BR256" s="65">
        <f t="shared" ref="BR256" si="4125">BR255*BR139</f>
        <v>0</v>
      </c>
      <c r="BS256" s="65">
        <f t="shared" ref="BS256" si="4126">BS255*BS139</f>
        <v>0</v>
      </c>
      <c r="BT256" s="65">
        <f t="shared" ref="BT256" si="4127">BT255*BT139</f>
        <v>0</v>
      </c>
      <c r="BU256" s="65">
        <f t="shared" ref="BU256" si="4128">BU255*BU139</f>
        <v>0</v>
      </c>
      <c r="BV256" s="65">
        <f t="shared" ref="BV256" si="4129">BV255*BV139</f>
        <v>0</v>
      </c>
      <c r="BW256" s="65">
        <f t="shared" ref="BW256" si="4130">BW255*BW139</f>
        <v>0</v>
      </c>
      <c r="BX256" s="65">
        <f t="shared" ref="BX256" si="4131">BX255*BX139</f>
        <v>0</v>
      </c>
      <c r="BY256" s="65">
        <f t="shared" ref="BY256" si="4132">BY255*BY139</f>
        <v>0</v>
      </c>
      <c r="BZ256" s="65">
        <f t="shared" ref="BZ256" si="4133">BZ255*BZ139</f>
        <v>0</v>
      </c>
      <c r="CA256" s="65">
        <f t="shared" ref="CA256" si="4134">CA255*CA139</f>
        <v>0</v>
      </c>
      <c r="CB256" s="65">
        <f t="shared" ref="CB256" si="4135">CB255*CB139</f>
        <v>0</v>
      </c>
      <c r="CC256" s="65">
        <f t="shared" ref="CC256" si="4136">CC255*CC139</f>
        <v>0</v>
      </c>
      <c r="CD256" s="65">
        <f t="shared" ref="CD256" si="4137">CD255*CD139</f>
        <v>0</v>
      </c>
      <c r="CE256" s="65">
        <f t="shared" ref="CE256" si="4138">CE255*CE139</f>
        <v>0</v>
      </c>
      <c r="CF256" s="65">
        <f t="shared" ref="CF256" si="4139">CF255*CF139</f>
        <v>0</v>
      </c>
      <c r="CG256" s="65">
        <f t="shared" ref="CG256" si="4140">CG255*CG139</f>
        <v>0</v>
      </c>
      <c r="CH256" s="65">
        <f t="shared" ref="CH256" si="4141">CH255*CH139</f>
        <v>0</v>
      </c>
      <c r="CI256" s="65">
        <f t="shared" ref="CI256" si="4142">CI255*CI139</f>
        <v>0</v>
      </c>
      <c r="CJ256" s="65">
        <f t="shared" ref="CJ256" si="4143">CJ255*CJ139</f>
        <v>0</v>
      </c>
      <c r="CK256" s="65">
        <f t="shared" ref="CK256" si="4144">CK255*CK139</f>
        <v>0</v>
      </c>
      <c r="CL256" s="65">
        <f t="shared" ref="CL256" si="4145">CL255*CL139</f>
        <v>0</v>
      </c>
      <c r="CM256" s="65">
        <f t="shared" ref="CM256" si="4146">CM255*CM139</f>
        <v>0</v>
      </c>
      <c r="CN256" s="65">
        <f t="shared" ref="CN256" si="4147">CN255*CN139</f>
        <v>0</v>
      </c>
      <c r="CO256" s="65">
        <f t="shared" ref="CO256" si="4148">CO255*CO139</f>
        <v>0</v>
      </c>
      <c r="CP256" s="65">
        <f t="shared" ref="CP256" si="4149">CP255*CP139</f>
        <v>0</v>
      </c>
      <c r="CQ256" s="65">
        <f t="shared" ref="CQ256" si="4150">CQ255*CQ139</f>
        <v>0</v>
      </c>
      <c r="CR256" s="65">
        <f t="shared" ref="CR256" si="4151">CR255*CR139</f>
        <v>0</v>
      </c>
      <c r="CS256" s="65">
        <f t="shared" ref="CS256" si="4152">CS255*CS139</f>
        <v>0</v>
      </c>
      <c r="CT256" s="65">
        <f t="shared" ref="CT256" si="4153">CT255*CT139</f>
        <v>0</v>
      </c>
      <c r="CU256" s="65">
        <f t="shared" ref="CU256" si="4154">CU255*CU139</f>
        <v>0</v>
      </c>
      <c r="CV256" s="65">
        <f t="shared" ref="CV256" si="4155">CV255*CV139</f>
        <v>0</v>
      </c>
      <c r="CW256" s="65">
        <f t="shared" ref="CW256" si="4156">CW255*CW139</f>
        <v>0</v>
      </c>
      <c r="CX256" s="65">
        <f t="shared" ref="CX256" si="4157">CX255*CX139</f>
        <v>0</v>
      </c>
      <c r="CY256" s="65">
        <f t="shared" ref="CY256" si="4158">CY255*CY139</f>
        <v>0</v>
      </c>
      <c r="CZ256" s="65">
        <f t="shared" ref="CZ256" si="4159">CZ255*CZ139</f>
        <v>0</v>
      </c>
      <c r="DA256" s="65">
        <f t="shared" ref="DA256" si="4160">DA255*DA139</f>
        <v>0</v>
      </c>
      <c r="DB256" s="65">
        <f t="shared" ref="DB256" si="4161">DB255*DB139</f>
        <v>0</v>
      </c>
      <c r="DC256" s="65">
        <f t="shared" ref="DC256" si="4162">DC255*DC139</f>
        <v>0</v>
      </c>
      <c r="DD256" s="65">
        <f t="shared" ref="DD256" si="4163">DD255*DD139</f>
        <v>0</v>
      </c>
      <c r="DE256" s="65">
        <f t="shared" ref="DE256" si="4164">DE255*DE139</f>
        <v>0</v>
      </c>
      <c r="DF256" s="65">
        <f t="shared" ref="DF256" si="4165">DF255*DF139</f>
        <v>0</v>
      </c>
      <c r="DG256" s="65">
        <f t="shared" ref="DG256" si="4166">DG255*DG139</f>
        <v>0</v>
      </c>
      <c r="DH256" s="65">
        <f t="shared" ref="DH256" si="4167">DH255*DH139</f>
        <v>0</v>
      </c>
      <c r="DI256" s="65">
        <f t="shared" ref="DI256" si="4168">DI255*DI139</f>
        <v>0</v>
      </c>
      <c r="DJ256" s="65">
        <f t="shared" ref="DJ256" si="4169">DJ255*DJ139</f>
        <v>0</v>
      </c>
      <c r="DK256" s="65">
        <f t="shared" ref="DK256" si="4170">DK255*DK139</f>
        <v>0</v>
      </c>
      <c r="DL256" s="65">
        <f t="shared" ref="DL256" si="4171">DL255*DL139</f>
        <v>0</v>
      </c>
      <c r="DM256" s="65">
        <f t="shared" ref="DM256" si="4172">DM255*DM139</f>
        <v>0</v>
      </c>
      <c r="DN256" s="65">
        <f t="shared" ref="DN256" si="4173">DN255*DN139</f>
        <v>0</v>
      </c>
      <c r="DO256" s="65">
        <f t="shared" ref="DO256" si="4174">DO255*DO139</f>
        <v>0</v>
      </c>
      <c r="DP256" s="65">
        <f t="shared" ref="DP256:FY256" si="4175">DP255*DP139</f>
        <v>0</v>
      </c>
      <c r="DQ256" s="65">
        <f t="shared" si="4175"/>
        <v>0</v>
      </c>
      <c r="DR256" s="65">
        <f t="shared" si="4175"/>
        <v>0</v>
      </c>
      <c r="DS256" s="65">
        <f t="shared" si="4175"/>
        <v>0</v>
      </c>
      <c r="DT256" s="65">
        <f t="shared" si="4175"/>
        <v>0</v>
      </c>
      <c r="DU256" s="65">
        <f t="shared" si="4175"/>
        <v>0</v>
      </c>
      <c r="DV256" s="65">
        <f t="shared" si="4175"/>
        <v>0</v>
      </c>
      <c r="DW256" s="65">
        <f t="shared" si="4175"/>
        <v>0</v>
      </c>
      <c r="DX256" s="65">
        <f t="shared" si="4175"/>
        <v>0</v>
      </c>
      <c r="DY256" s="65">
        <f t="shared" si="4175"/>
        <v>0</v>
      </c>
      <c r="DZ256" s="65">
        <f t="shared" si="4175"/>
        <v>0</v>
      </c>
      <c r="EA256" s="65">
        <f t="shared" si="4175"/>
        <v>0</v>
      </c>
      <c r="EB256" s="65">
        <f t="shared" si="4175"/>
        <v>0</v>
      </c>
      <c r="EC256" s="65">
        <f t="shared" si="4175"/>
        <v>0</v>
      </c>
      <c r="ED256" s="65">
        <f t="shared" si="4175"/>
        <v>0</v>
      </c>
      <c r="EE256" s="65">
        <f t="shared" si="4175"/>
        <v>0</v>
      </c>
      <c r="EF256" s="65">
        <f t="shared" si="4175"/>
        <v>0</v>
      </c>
      <c r="EG256" s="65">
        <f t="shared" si="4175"/>
        <v>0</v>
      </c>
      <c r="EH256" s="65">
        <f t="shared" si="4175"/>
        <v>0</v>
      </c>
      <c r="EI256" s="65">
        <f t="shared" si="4175"/>
        <v>0</v>
      </c>
      <c r="EJ256" s="65">
        <f t="shared" si="4175"/>
        <v>0</v>
      </c>
      <c r="EK256" s="65">
        <f t="shared" si="4175"/>
        <v>0</v>
      </c>
      <c r="EL256" s="65">
        <f t="shared" si="4175"/>
        <v>0</v>
      </c>
      <c r="EM256" s="65">
        <f t="shared" si="4175"/>
        <v>0</v>
      </c>
      <c r="EN256" s="65">
        <f t="shared" si="4175"/>
        <v>0</v>
      </c>
      <c r="EO256" s="65">
        <f t="shared" si="4175"/>
        <v>0</v>
      </c>
      <c r="EP256" s="65">
        <f t="shared" si="4175"/>
        <v>0</v>
      </c>
      <c r="EQ256" s="65">
        <f t="shared" si="4175"/>
        <v>0</v>
      </c>
      <c r="ER256" s="65">
        <f t="shared" si="4175"/>
        <v>0</v>
      </c>
      <c r="ES256" s="65">
        <f t="shared" si="4175"/>
        <v>0</v>
      </c>
      <c r="ET256" s="65">
        <f t="shared" si="4175"/>
        <v>0</v>
      </c>
      <c r="EU256" s="65">
        <f t="shared" si="4175"/>
        <v>0</v>
      </c>
      <c r="EV256" s="65">
        <f t="shared" si="4175"/>
        <v>0</v>
      </c>
      <c r="EW256" s="65">
        <f t="shared" si="4175"/>
        <v>0</v>
      </c>
      <c r="EX256" s="65">
        <f t="shared" si="4175"/>
        <v>0</v>
      </c>
      <c r="EY256" s="65">
        <f t="shared" si="4175"/>
        <v>0</v>
      </c>
      <c r="EZ256" s="65">
        <f t="shared" si="4175"/>
        <v>0</v>
      </c>
      <c r="FA256" s="65">
        <f t="shared" si="4175"/>
        <v>0</v>
      </c>
      <c r="FB256" s="65">
        <f t="shared" si="4175"/>
        <v>0</v>
      </c>
      <c r="FC256" s="65">
        <f t="shared" si="4175"/>
        <v>0</v>
      </c>
      <c r="FD256" s="65">
        <f t="shared" si="4175"/>
        <v>0</v>
      </c>
      <c r="FE256" s="65">
        <f t="shared" si="4175"/>
        <v>0</v>
      </c>
      <c r="FF256" s="65">
        <f t="shared" si="4175"/>
        <v>0</v>
      </c>
      <c r="FG256" s="65">
        <f t="shared" si="4175"/>
        <v>0</v>
      </c>
      <c r="FH256" s="65">
        <f t="shared" si="4175"/>
        <v>0</v>
      </c>
      <c r="FI256" s="65">
        <f t="shared" si="4175"/>
        <v>0</v>
      </c>
      <c r="FJ256" s="65">
        <f t="shared" si="4175"/>
        <v>0</v>
      </c>
      <c r="FK256" s="65">
        <f t="shared" si="4175"/>
        <v>0</v>
      </c>
      <c r="FL256" s="65">
        <f t="shared" si="4175"/>
        <v>0</v>
      </c>
      <c r="FM256" s="65">
        <f t="shared" si="4175"/>
        <v>0</v>
      </c>
      <c r="FN256" s="65">
        <f t="shared" si="4175"/>
        <v>0</v>
      </c>
      <c r="FO256" s="65">
        <f t="shared" si="4175"/>
        <v>0</v>
      </c>
      <c r="FP256" s="65">
        <f t="shared" si="4175"/>
        <v>0</v>
      </c>
      <c r="FQ256" s="65">
        <f t="shared" si="4175"/>
        <v>0</v>
      </c>
      <c r="FR256" s="65">
        <f t="shared" si="4175"/>
        <v>0</v>
      </c>
      <c r="FS256" s="65">
        <f t="shared" si="4175"/>
        <v>0</v>
      </c>
      <c r="FT256" s="65">
        <f t="shared" si="4175"/>
        <v>0</v>
      </c>
      <c r="FU256" s="65">
        <f t="shared" si="4175"/>
        <v>0</v>
      </c>
      <c r="FV256" s="65">
        <f t="shared" si="4175"/>
        <v>0</v>
      </c>
      <c r="FW256" s="65">
        <f t="shared" si="4175"/>
        <v>0</v>
      </c>
      <c r="FX256" s="65">
        <f t="shared" si="4175"/>
        <v>0</v>
      </c>
      <c r="FY256" s="65">
        <f t="shared" si="4175"/>
        <v>0</v>
      </c>
      <c r="FZ256" s="59"/>
    </row>
    <row r="257" spans="1:185" ht="15.75" customHeight="1" x14ac:dyDescent="0.2">
      <c r="A257" s="94" t="s">
        <v>317</v>
      </c>
      <c r="B257" s="65">
        <f>-(B255+B256)*B308</f>
        <v>-142.83195273799399</v>
      </c>
      <c r="C257" s="65">
        <f>-(C255+C256)*C308</f>
        <v>-140.38151239327809</v>
      </c>
      <c r="D257" s="65">
        <f t="shared" ref="D257:BH257" si="4176">-(D255+D256)*D308</f>
        <v>-137.86359145151457</v>
      </c>
      <c r="E257" s="65">
        <f t="shared" si="4176"/>
        <v>-135.27676113745954</v>
      </c>
      <c r="F257" s="65">
        <f t="shared" si="4176"/>
        <v>-132.61956911303733</v>
      </c>
      <c r="G257" s="65">
        <f t="shared" si="4176"/>
        <v>-129.89040312319679</v>
      </c>
      <c r="H257" s="65">
        <f t="shared" si="4176"/>
        <v>-127.0878869049105</v>
      </c>
      <c r="I257" s="65">
        <f t="shared" si="4176"/>
        <v>-124.21047792244865</v>
      </c>
      <c r="J257" s="65">
        <f t="shared" si="4176"/>
        <v>-121.25660227246034</v>
      </c>
      <c r="K257" s="65">
        <f t="shared" si="4176"/>
        <v>-118.22465404868001</v>
      </c>
      <c r="L257" s="65">
        <f t="shared" si="4176"/>
        <v>-115.11299469520887</v>
      </c>
      <c r="M257" s="65">
        <f t="shared" si="4176"/>
        <v>-111.91995234524337</v>
      </c>
      <c r="N257" s="65">
        <f t="shared" si="4176"/>
        <v>-108.6437113892903</v>
      </c>
      <c r="O257" s="65">
        <f t="shared" si="4176"/>
        <v>-105.28159385053806</v>
      </c>
      <c r="P257" s="65">
        <f t="shared" si="4176"/>
        <v>-101.83293553414968</v>
      </c>
      <c r="Q257" s="65">
        <f t="shared" si="4176"/>
        <v>-98.295937739721694</v>
      </c>
      <c r="R257" s="65">
        <f t="shared" si="4176"/>
        <v>-94.668754917349631</v>
      </c>
      <c r="S257" s="65">
        <f t="shared" si="4176"/>
        <v>-90.949504048026867</v>
      </c>
      <c r="T257" s="65">
        <f t="shared" si="4176"/>
        <v>-87.136263885537559</v>
      </c>
      <c r="U257" s="65">
        <f t="shared" si="4176"/>
        <v>-83.227074182784833</v>
      </c>
      <c r="V257" s="65">
        <f t="shared" si="4176"/>
        <v>-79.219854271118692</v>
      </c>
      <c r="W257" s="65">
        <f t="shared" si="4176"/>
        <v>-75.112652373079882</v>
      </c>
      <c r="X257" s="65">
        <f t="shared" si="4176"/>
        <v>-70.903386780750708</v>
      </c>
      <c r="Y257" s="65">
        <f t="shared" si="4176"/>
        <v>-66.589933546072118</v>
      </c>
      <c r="Z257" s="65">
        <f t="shared" si="4176"/>
        <v>-62.170125623020283</v>
      </c>
      <c r="AA257" s="65">
        <f t="shared" si="4176"/>
        <v>-57.641175040994682</v>
      </c>
      <c r="AB257" s="65">
        <f t="shared" si="4176"/>
        <v>-53.001483758142079</v>
      </c>
      <c r="AC257" s="65">
        <f t="shared" si="4176"/>
        <v>-48.248766767064581</v>
      </c>
      <c r="AD257" s="65">
        <f t="shared" si="4176"/>
        <v>-43.38067959543546</v>
      </c>
      <c r="AE257" s="65">
        <f t="shared" si="4176"/>
        <v>-38.394790837139809</v>
      </c>
      <c r="AF257" s="65">
        <f t="shared" si="4176"/>
        <v>-33.288709850352674</v>
      </c>
      <c r="AG257" s="65">
        <f t="shared" si="4176"/>
        <v>-28.059947109351171</v>
      </c>
      <c r="AH257" s="65">
        <f t="shared" si="4176"/>
        <v>-22.705962641750737</v>
      </c>
      <c r="AI257" s="65">
        <f t="shared" si="4176"/>
        <v>-17.224165007803023</v>
      </c>
      <c r="AJ257" s="65">
        <f t="shared" si="4176"/>
        <v>-11.611910261282876</v>
      </c>
      <c r="AK257" s="65">
        <f t="shared" si="4176"/>
        <v>-5.8665008883140173</v>
      </c>
      <c r="AL257" s="65">
        <f t="shared" si="4176"/>
        <v>0</v>
      </c>
      <c r="AM257" s="65">
        <f t="shared" si="4176"/>
        <v>0</v>
      </c>
      <c r="AN257" s="65">
        <f t="shared" si="4176"/>
        <v>0</v>
      </c>
      <c r="AO257" s="65">
        <f t="shared" si="4176"/>
        <v>0</v>
      </c>
      <c r="AP257" s="65">
        <f t="shared" si="4176"/>
        <v>0</v>
      </c>
      <c r="AQ257" s="65">
        <f t="shared" si="4176"/>
        <v>0</v>
      </c>
      <c r="AR257" s="65">
        <f t="shared" si="4176"/>
        <v>0</v>
      </c>
      <c r="AS257" s="65">
        <f t="shared" si="4176"/>
        <v>0</v>
      </c>
      <c r="AT257" s="65">
        <f t="shared" si="4176"/>
        <v>0</v>
      </c>
      <c r="AU257" s="65">
        <f t="shared" si="4176"/>
        <v>0</v>
      </c>
      <c r="AV257" s="65">
        <f t="shared" si="4176"/>
        <v>0</v>
      </c>
      <c r="AW257" s="65">
        <f t="shared" si="4176"/>
        <v>0</v>
      </c>
      <c r="AX257" s="65">
        <f t="shared" si="4176"/>
        <v>0</v>
      </c>
      <c r="AY257" s="65">
        <f t="shared" si="4176"/>
        <v>0</v>
      </c>
      <c r="AZ257" s="65">
        <f t="shared" si="4176"/>
        <v>0</v>
      </c>
      <c r="BA257" s="65">
        <f t="shared" si="4176"/>
        <v>0</v>
      </c>
      <c r="BB257" s="65">
        <f t="shared" si="4176"/>
        <v>0</v>
      </c>
      <c r="BC257" s="65">
        <f t="shared" si="4176"/>
        <v>0</v>
      </c>
      <c r="BD257" s="65">
        <f t="shared" si="4176"/>
        <v>0</v>
      </c>
      <c r="BE257" s="65">
        <f t="shared" si="4176"/>
        <v>0</v>
      </c>
      <c r="BF257" s="65">
        <f t="shared" si="4176"/>
        <v>0</v>
      </c>
      <c r="BG257" s="65">
        <f t="shared" si="4176"/>
        <v>0</v>
      </c>
      <c r="BH257" s="65">
        <f t="shared" si="4176"/>
        <v>0</v>
      </c>
      <c r="BI257" s="65">
        <f t="shared" ref="BI257" si="4177">-(BI255+BI256)*BI308</f>
        <v>0</v>
      </c>
      <c r="BJ257" s="65">
        <f t="shared" ref="BJ257" si="4178">-(BJ255+BJ256)*BJ308</f>
        <v>0</v>
      </c>
      <c r="BK257" s="65">
        <f t="shared" ref="BK257" si="4179">-(BK255+BK256)*BK308</f>
        <v>0</v>
      </c>
      <c r="BL257" s="65">
        <f t="shared" ref="BL257" si="4180">-(BL255+BL256)*BL308</f>
        <v>0</v>
      </c>
      <c r="BM257" s="65">
        <f t="shared" ref="BM257" si="4181">-(BM255+BM256)*BM308</f>
        <v>0</v>
      </c>
      <c r="BN257" s="65">
        <f t="shared" ref="BN257" si="4182">-(BN255+BN256)*BN308</f>
        <v>0</v>
      </c>
      <c r="BO257" s="65">
        <f t="shared" ref="BO257" si="4183">-(BO255+BO256)*BO308</f>
        <v>0</v>
      </c>
      <c r="BP257" s="65">
        <f t="shared" ref="BP257" si="4184">-(BP255+BP256)*BP308</f>
        <v>0</v>
      </c>
      <c r="BQ257" s="65">
        <f t="shared" ref="BQ257" si="4185">-(BQ255+BQ256)*BQ308</f>
        <v>0</v>
      </c>
      <c r="BR257" s="65">
        <f t="shared" ref="BR257" si="4186">-(BR255+BR256)*BR308</f>
        <v>0</v>
      </c>
      <c r="BS257" s="65">
        <f t="shared" ref="BS257" si="4187">-(BS255+BS256)*BS308</f>
        <v>0</v>
      </c>
      <c r="BT257" s="65">
        <f t="shared" ref="BT257" si="4188">-(BT255+BT256)*BT308</f>
        <v>0</v>
      </c>
      <c r="BU257" s="65">
        <f t="shared" ref="BU257" si="4189">-(BU255+BU256)*BU308</f>
        <v>0</v>
      </c>
      <c r="BV257" s="65">
        <f t="shared" ref="BV257" si="4190">-(BV255+BV256)*BV308</f>
        <v>0</v>
      </c>
      <c r="BW257" s="65">
        <f t="shared" ref="BW257" si="4191">-(BW255+BW256)*BW308</f>
        <v>0</v>
      </c>
      <c r="BX257" s="65">
        <f t="shared" ref="BX257" si="4192">-(BX255+BX256)*BX308</f>
        <v>0</v>
      </c>
      <c r="BY257" s="65">
        <f t="shared" ref="BY257" si="4193">-(BY255+BY256)*BY308</f>
        <v>0</v>
      </c>
      <c r="BZ257" s="65">
        <f t="shared" ref="BZ257" si="4194">-(BZ255+BZ256)*BZ308</f>
        <v>0</v>
      </c>
      <c r="CA257" s="65">
        <f t="shared" ref="CA257" si="4195">-(CA255+CA256)*CA308</f>
        <v>0</v>
      </c>
      <c r="CB257" s="65">
        <f t="shared" ref="CB257" si="4196">-(CB255+CB256)*CB308</f>
        <v>0</v>
      </c>
      <c r="CC257" s="65">
        <f t="shared" ref="CC257" si="4197">-(CC255+CC256)*CC308</f>
        <v>0</v>
      </c>
      <c r="CD257" s="65">
        <f t="shared" ref="CD257" si="4198">-(CD255+CD256)*CD308</f>
        <v>0</v>
      </c>
      <c r="CE257" s="65">
        <f t="shared" ref="CE257" si="4199">-(CE255+CE256)*CE308</f>
        <v>0</v>
      </c>
      <c r="CF257" s="65">
        <f t="shared" ref="CF257" si="4200">-(CF255+CF256)*CF308</f>
        <v>0</v>
      </c>
      <c r="CG257" s="65">
        <f t="shared" ref="CG257" si="4201">-(CG255+CG256)*CG308</f>
        <v>0</v>
      </c>
      <c r="CH257" s="65">
        <f t="shared" ref="CH257" si="4202">-(CH255+CH256)*CH308</f>
        <v>0</v>
      </c>
      <c r="CI257" s="65">
        <f t="shared" ref="CI257" si="4203">-(CI255+CI256)*CI308</f>
        <v>0</v>
      </c>
      <c r="CJ257" s="65">
        <f t="shared" ref="CJ257" si="4204">-(CJ255+CJ256)*CJ308</f>
        <v>0</v>
      </c>
      <c r="CK257" s="65">
        <f t="shared" ref="CK257" si="4205">-(CK255+CK256)*CK308</f>
        <v>0</v>
      </c>
      <c r="CL257" s="65">
        <f t="shared" ref="CL257" si="4206">-(CL255+CL256)*CL308</f>
        <v>0</v>
      </c>
      <c r="CM257" s="65">
        <f t="shared" ref="CM257" si="4207">-(CM255+CM256)*CM308</f>
        <v>0</v>
      </c>
      <c r="CN257" s="65">
        <f t="shared" ref="CN257" si="4208">-(CN255+CN256)*CN308</f>
        <v>0</v>
      </c>
      <c r="CO257" s="65">
        <f t="shared" ref="CO257" si="4209">-(CO255+CO256)*CO308</f>
        <v>0</v>
      </c>
      <c r="CP257" s="65">
        <f t="shared" ref="CP257" si="4210">-(CP255+CP256)*CP308</f>
        <v>0</v>
      </c>
      <c r="CQ257" s="65">
        <f t="shared" ref="CQ257" si="4211">-(CQ255+CQ256)*CQ308</f>
        <v>0</v>
      </c>
      <c r="CR257" s="65">
        <f t="shared" ref="CR257" si="4212">-(CR255+CR256)*CR308</f>
        <v>0</v>
      </c>
      <c r="CS257" s="65">
        <f t="shared" ref="CS257" si="4213">-(CS255+CS256)*CS308</f>
        <v>0</v>
      </c>
      <c r="CT257" s="65">
        <f t="shared" ref="CT257" si="4214">-(CT255+CT256)*CT308</f>
        <v>0</v>
      </c>
      <c r="CU257" s="65">
        <f t="shared" ref="CU257" si="4215">-(CU255+CU256)*CU308</f>
        <v>0</v>
      </c>
      <c r="CV257" s="65">
        <f t="shared" ref="CV257" si="4216">-(CV255+CV256)*CV308</f>
        <v>0</v>
      </c>
      <c r="CW257" s="65">
        <f t="shared" ref="CW257" si="4217">-(CW255+CW256)*CW308</f>
        <v>0</v>
      </c>
      <c r="CX257" s="65">
        <f t="shared" ref="CX257" si="4218">-(CX255+CX256)*CX308</f>
        <v>0</v>
      </c>
      <c r="CY257" s="65">
        <f t="shared" ref="CY257" si="4219">-(CY255+CY256)*CY308</f>
        <v>0</v>
      </c>
      <c r="CZ257" s="65">
        <f t="shared" ref="CZ257" si="4220">-(CZ255+CZ256)*CZ308</f>
        <v>0</v>
      </c>
      <c r="DA257" s="65">
        <f t="shared" ref="DA257" si="4221">-(DA255+DA256)*DA308</f>
        <v>0</v>
      </c>
      <c r="DB257" s="65">
        <f t="shared" ref="DB257" si="4222">-(DB255+DB256)*DB308</f>
        <v>0</v>
      </c>
      <c r="DC257" s="65">
        <f t="shared" ref="DC257" si="4223">-(DC255+DC256)*DC308</f>
        <v>0</v>
      </c>
      <c r="DD257" s="65">
        <f t="shared" ref="DD257" si="4224">-(DD255+DD256)*DD308</f>
        <v>0</v>
      </c>
      <c r="DE257" s="65">
        <f t="shared" ref="DE257" si="4225">-(DE255+DE256)*DE308</f>
        <v>0</v>
      </c>
      <c r="DF257" s="65">
        <f t="shared" ref="DF257" si="4226">-(DF255+DF256)*DF308</f>
        <v>0</v>
      </c>
      <c r="DG257" s="65">
        <f t="shared" ref="DG257" si="4227">-(DG255+DG256)*DG308</f>
        <v>0</v>
      </c>
      <c r="DH257" s="65">
        <f t="shared" ref="DH257" si="4228">-(DH255+DH256)*DH308</f>
        <v>0</v>
      </c>
      <c r="DI257" s="65">
        <f t="shared" ref="DI257" si="4229">-(DI255+DI256)*DI308</f>
        <v>0</v>
      </c>
      <c r="DJ257" s="65">
        <f t="shared" ref="DJ257" si="4230">-(DJ255+DJ256)*DJ308</f>
        <v>0</v>
      </c>
      <c r="DK257" s="65">
        <f t="shared" ref="DK257" si="4231">-(DK255+DK256)*DK308</f>
        <v>0</v>
      </c>
      <c r="DL257" s="65">
        <f t="shared" ref="DL257" si="4232">-(DL255+DL256)*DL308</f>
        <v>0</v>
      </c>
      <c r="DM257" s="65">
        <f t="shared" ref="DM257" si="4233">-(DM255+DM256)*DM308</f>
        <v>0</v>
      </c>
      <c r="DN257" s="65">
        <f t="shared" ref="DN257" si="4234">-(DN255+DN256)*DN308</f>
        <v>0</v>
      </c>
      <c r="DO257" s="65">
        <f t="shared" ref="DO257" si="4235">-(DO255+DO256)*DO308</f>
        <v>0</v>
      </c>
      <c r="DP257" s="65">
        <f t="shared" ref="DP257:FY257" si="4236">-(DP255+DP256)*DP308</f>
        <v>0</v>
      </c>
      <c r="DQ257" s="65">
        <f t="shared" si="4236"/>
        <v>0</v>
      </c>
      <c r="DR257" s="65">
        <f t="shared" si="4236"/>
        <v>0</v>
      </c>
      <c r="DS257" s="65">
        <f t="shared" si="4236"/>
        <v>0</v>
      </c>
      <c r="DT257" s="65">
        <f t="shared" si="4236"/>
        <v>0</v>
      </c>
      <c r="DU257" s="65">
        <f t="shared" si="4236"/>
        <v>0</v>
      </c>
      <c r="DV257" s="65">
        <f t="shared" si="4236"/>
        <v>0</v>
      </c>
      <c r="DW257" s="65">
        <f t="shared" si="4236"/>
        <v>0</v>
      </c>
      <c r="DX257" s="65">
        <f t="shared" si="4236"/>
        <v>0</v>
      </c>
      <c r="DY257" s="65">
        <f t="shared" si="4236"/>
        <v>0</v>
      </c>
      <c r="DZ257" s="65">
        <f t="shared" si="4236"/>
        <v>0</v>
      </c>
      <c r="EA257" s="65">
        <f t="shared" si="4236"/>
        <v>0</v>
      </c>
      <c r="EB257" s="65">
        <f t="shared" si="4236"/>
        <v>0</v>
      </c>
      <c r="EC257" s="65">
        <f t="shared" si="4236"/>
        <v>0</v>
      </c>
      <c r="ED257" s="65">
        <f t="shared" si="4236"/>
        <v>0</v>
      </c>
      <c r="EE257" s="65">
        <f t="shared" si="4236"/>
        <v>0</v>
      </c>
      <c r="EF257" s="65">
        <f t="shared" si="4236"/>
        <v>0</v>
      </c>
      <c r="EG257" s="65">
        <f t="shared" si="4236"/>
        <v>0</v>
      </c>
      <c r="EH257" s="65">
        <f t="shared" si="4236"/>
        <v>0</v>
      </c>
      <c r="EI257" s="65">
        <f t="shared" si="4236"/>
        <v>0</v>
      </c>
      <c r="EJ257" s="65">
        <f t="shared" si="4236"/>
        <v>0</v>
      </c>
      <c r="EK257" s="65">
        <f t="shared" si="4236"/>
        <v>0</v>
      </c>
      <c r="EL257" s="65">
        <f t="shared" si="4236"/>
        <v>0</v>
      </c>
      <c r="EM257" s="65">
        <f t="shared" si="4236"/>
        <v>0</v>
      </c>
      <c r="EN257" s="65">
        <f t="shared" si="4236"/>
        <v>0</v>
      </c>
      <c r="EO257" s="65">
        <f t="shared" si="4236"/>
        <v>0</v>
      </c>
      <c r="EP257" s="65">
        <f t="shared" si="4236"/>
        <v>0</v>
      </c>
      <c r="EQ257" s="65">
        <f t="shared" si="4236"/>
        <v>0</v>
      </c>
      <c r="ER257" s="65">
        <f t="shared" si="4236"/>
        <v>0</v>
      </c>
      <c r="ES257" s="65">
        <f t="shared" si="4236"/>
        <v>0</v>
      </c>
      <c r="ET257" s="65">
        <f t="shared" si="4236"/>
        <v>0</v>
      </c>
      <c r="EU257" s="65">
        <f t="shared" si="4236"/>
        <v>0</v>
      </c>
      <c r="EV257" s="65">
        <f t="shared" si="4236"/>
        <v>0</v>
      </c>
      <c r="EW257" s="65">
        <f t="shared" si="4236"/>
        <v>0</v>
      </c>
      <c r="EX257" s="65">
        <f t="shared" si="4236"/>
        <v>0</v>
      </c>
      <c r="EY257" s="65">
        <f t="shared" si="4236"/>
        <v>0</v>
      </c>
      <c r="EZ257" s="65">
        <f t="shared" si="4236"/>
        <v>0</v>
      </c>
      <c r="FA257" s="65">
        <f t="shared" si="4236"/>
        <v>0</v>
      </c>
      <c r="FB257" s="65">
        <f t="shared" si="4236"/>
        <v>0</v>
      </c>
      <c r="FC257" s="65">
        <f t="shared" si="4236"/>
        <v>0</v>
      </c>
      <c r="FD257" s="65">
        <f t="shared" si="4236"/>
        <v>0</v>
      </c>
      <c r="FE257" s="65">
        <f t="shared" si="4236"/>
        <v>0</v>
      </c>
      <c r="FF257" s="65">
        <f t="shared" si="4236"/>
        <v>0</v>
      </c>
      <c r="FG257" s="65">
        <f t="shared" si="4236"/>
        <v>0</v>
      </c>
      <c r="FH257" s="65">
        <f t="shared" si="4236"/>
        <v>0</v>
      </c>
      <c r="FI257" s="65">
        <f t="shared" si="4236"/>
        <v>0</v>
      </c>
      <c r="FJ257" s="65">
        <f t="shared" si="4236"/>
        <v>0</v>
      </c>
      <c r="FK257" s="65">
        <f t="shared" si="4236"/>
        <v>0</v>
      </c>
      <c r="FL257" s="65">
        <f t="shared" si="4236"/>
        <v>0</v>
      </c>
      <c r="FM257" s="65">
        <f t="shared" si="4236"/>
        <v>0</v>
      </c>
      <c r="FN257" s="65">
        <f t="shared" si="4236"/>
        <v>0</v>
      </c>
      <c r="FO257" s="65">
        <f t="shared" si="4236"/>
        <v>0</v>
      </c>
      <c r="FP257" s="65">
        <f t="shared" si="4236"/>
        <v>0</v>
      </c>
      <c r="FQ257" s="65">
        <f t="shared" si="4236"/>
        <v>0</v>
      </c>
      <c r="FR257" s="65">
        <f t="shared" si="4236"/>
        <v>0</v>
      </c>
      <c r="FS257" s="65">
        <f t="shared" si="4236"/>
        <v>0</v>
      </c>
      <c r="FT257" s="65">
        <f t="shared" si="4236"/>
        <v>0</v>
      </c>
      <c r="FU257" s="65">
        <f t="shared" si="4236"/>
        <v>0</v>
      </c>
      <c r="FV257" s="65">
        <f t="shared" si="4236"/>
        <v>0</v>
      </c>
      <c r="FW257" s="65">
        <f t="shared" si="4236"/>
        <v>0</v>
      </c>
      <c r="FX257" s="65">
        <f t="shared" si="4236"/>
        <v>0</v>
      </c>
      <c r="FY257" s="65">
        <f t="shared" si="4236"/>
        <v>0</v>
      </c>
      <c r="FZ257" s="59"/>
    </row>
    <row r="258" spans="1:185" ht="15.75" customHeight="1" x14ac:dyDescent="0.2">
      <c r="A258" s="94" t="s">
        <v>329</v>
      </c>
      <c r="B258" s="65">
        <f>SUM(B255:B257)</f>
        <v>2719.0774143267922</v>
      </c>
      <c r="C258" s="65">
        <f>SUM(C255:C257)</f>
        <v>2590.574180237978</v>
      </c>
      <c r="D258" s="65">
        <f t="shared" ref="D258:BH258" si="4237">SUM(D255:D257)</f>
        <v>2464.027501250629</v>
      </c>
      <c r="E258" s="65">
        <f t="shared" si="4237"/>
        <v>2339.5148339398079</v>
      </c>
      <c r="F258" s="65">
        <f t="shared" si="4237"/>
        <v>2217.1154255873785</v>
      </c>
      <c r="G258" s="65">
        <f t="shared" si="4237"/>
        <v>2096.9104819216745</v>
      </c>
      <c r="H258" s="65">
        <f t="shared" si="4237"/>
        <v>1978.9829396809412</v>
      </c>
      <c r="I258" s="65">
        <f t="shared" si="4237"/>
        <v>1863.4176404479474</v>
      </c>
      <c r="J258" s="65">
        <f t="shared" si="4237"/>
        <v>1750.3013703389124</v>
      </c>
      <c r="K258" s="65">
        <f t="shared" si="4237"/>
        <v>1639.7229005011063</v>
      </c>
      <c r="L258" s="65">
        <f t="shared" si="4237"/>
        <v>1531.7730284340837</v>
      </c>
      <c r="M258" s="65">
        <f t="shared" si="4237"/>
        <v>1426.5446201526993</v>
      </c>
      <c r="N258" s="65">
        <f t="shared" si="4237"/>
        <v>1324.1327629660982</v>
      </c>
      <c r="O258" s="65">
        <f t="shared" si="4237"/>
        <v>1224.6356375487489</v>
      </c>
      <c r="P258" s="65">
        <f t="shared" si="4237"/>
        <v>1128.1525176718228</v>
      </c>
      <c r="Q258" s="65">
        <f t="shared" si="4237"/>
        <v>1034.7849094839485</v>
      </c>
      <c r="R258" s="65">
        <f t="shared" si="4237"/>
        <v>944.63660811284444</v>
      </c>
      <c r="S258" s="65">
        <f t="shared" si="4237"/>
        <v>857.81374513381684</v>
      </c>
      <c r="T258" s="65">
        <f t="shared" si="4237"/>
        <v>774.42483700373009</v>
      </c>
      <c r="U258" s="65">
        <f t="shared" si="4237"/>
        <v>694.58083448023342</v>
      </c>
      <c r="V258" s="65">
        <f t="shared" si="4237"/>
        <v>618.39525367754618</v>
      </c>
      <c r="W258" s="65">
        <f t="shared" si="4237"/>
        <v>545.984058382017</v>
      </c>
      <c r="X258" s="65">
        <f t="shared" si="4237"/>
        <v>477.46580067522757</v>
      </c>
      <c r="Y258" s="65">
        <f t="shared" si="4237"/>
        <v>412.96167448109071</v>
      </c>
      <c r="Z258" s="65">
        <f t="shared" si="4237"/>
        <v>352.59557020469259</v>
      </c>
      <c r="AA258" s="65">
        <f t="shared" si="4237"/>
        <v>296.49470743643599</v>
      </c>
      <c r="AB258" s="65">
        <f t="shared" si="4237"/>
        <v>244.78845956682508</v>
      </c>
      <c r="AC258" s="65">
        <f t="shared" si="4237"/>
        <v>197.6090501608769</v>
      </c>
      <c r="AD258" s="65">
        <f t="shared" si="4237"/>
        <v>155.09162487402568</v>
      </c>
      <c r="AE258" s="65">
        <f t="shared" si="4237"/>
        <v>117.37435115105059</v>
      </c>
      <c r="AF258" s="65">
        <f t="shared" si="4237"/>
        <v>84.598390662460105</v>
      </c>
      <c r="AG258" s="65">
        <f t="shared" si="4237"/>
        <v>56.908011268652345</v>
      </c>
      <c r="AH258" s="65">
        <f t="shared" si="4237"/>
        <v>34.45065103595438</v>
      </c>
      <c r="AI258" s="65">
        <f t="shared" si="4237"/>
        <v>17.376983553017283</v>
      </c>
      <c r="AJ258" s="65">
        <f t="shared" si="4237"/>
        <v>5.8409845716587157</v>
      </c>
      <c r="AK258" s="65">
        <f t="shared" si="4237"/>
        <v>0</v>
      </c>
      <c r="AL258" s="65">
        <f t="shared" si="4237"/>
        <v>0</v>
      </c>
      <c r="AM258" s="65">
        <f t="shared" si="4237"/>
        <v>0</v>
      </c>
      <c r="AN258" s="65">
        <f t="shared" si="4237"/>
        <v>0</v>
      </c>
      <c r="AO258" s="65">
        <f t="shared" si="4237"/>
        <v>0</v>
      </c>
      <c r="AP258" s="65">
        <f t="shared" si="4237"/>
        <v>0</v>
      </c>
      <c r="AQ258" s="65">
        <f t="shared" si="4237"/>
        <v>0</v>
      </c>
      <c r="AR258" s="65">
        <f t="shared" si="4237"/>
        <v>0</v>
      </c>
      <c r="AS258" s="65">
        <f t="shared" si="4237"/>
        <v>0</v>
      </c>
      <c r="AT258" s="65">
        <f t="shared" si="4237"/>
        <v>0</v>
      </c>
      <c r="AU258" s="65">
        <f t="shared" si="4237"/>
        <v>0</v>
      </c>
      <c r="AV258" s="65">
        <f t="shared" si="4237"/>
        <v>0</v>
      </c>
      <c r="AW258" s="65">
        <f t="shared" si="4237"/>
        <v>0</v>
      </c>
      <c r="AX258" s="65">
        <f t="shared" si="4237"/>
        <v>0</v>
      </c>
      <c r="AY258" s="65">
        <f t="shared" si="4237"/>
        <v>0</v>
      </c>
      <c r="AZ258" s="65">
        <f t="shared" si="4237"/>
        <v>0</v>
      </c>
      <c r="BA258" s="65">
        <f t="shared" si="4237"/>
        <v>0</v>
      </c>
      <c r="BB258" s="65">
        <f t="shared" si="4237"/>
        <v>0</v>
      </c>
      <c r="BC258" s="65">
        <f t="shared" si="4237"/>
        <v>0</v>
      </c>
      <c r="BD258" s="65">
        <f t="shared" si="4237"/>
        <v>0</v>
      </c>
      <c r="BE258" s="65">
        <f t="shared" si="4237"/>
        <v>0</v>
      </c>
      <c r="BF258" s="65">
        <f t="shared" si="4237"/>
        <v>0</v>
      </c>
      <c r="BG258" s="65">
        <f t="shared" si="4237"/>
        <v>0</v>
      </c>
      <c r="BH258" s="65">
        <f t="shared" si="4237"/>
        <v>0</v>
      </c>
      <c r="BI258" s="65">
        <f t="shared" ref="BI258" si="4238">SUM(BI255:BI257)</f>
        <v>0</v>
      </c>
      <c r="BJ258" s="65">
        <f t="shared" ref="BJ258" si="4239">SUM(BJ255:BJ257)</f>
        <v>0</v>
      </c>
      <c r="BK258" s="65">
        <f t="shared" ref="BK258" si="4240">SUM(BK255:BK257)</f>
        <v>0</v>
      </c>
      <c r="BL258" s="65">
        <f t="shared" ref="BL258" si="4241">SUM(BL255:BL257)</f>
        <v>0</v>
      </c>
      <c r="BM258" s="65">
        <f t="shared" ref="BM258" si="4242">SUM(BM255:BM257)</f>
        <v>0</v>
      </c>
      <c r="BN258" s="65">
        <f t="shared" ref="BN258" si="4243">SUM(BN255:BN257)</f>
        <v>0</v>
      </c>
      <c r="BO258" s="65">
        <f t="shared" ref="BO258" si="4244">SUM(BO255:BO257)</f>
        <v>0</v>
      </c>
      <c r="BP258" s="65">
        <f t="shared" ref="BP258" si="4245">SUM(BP255:BP257)</f>
        <v>0</v>
      </c>
      <c r="BQ258" s="65">
        <f t="shared" ref="BQ258" si="4246">SUM(BQ255:BQ257)</f>
        <v>0</v>
      </c>
      <c r="BR258" s="65">
        <f t="shared" ref="BR258" si="4247">SUM(BR255:BR257)</f>
        <v>0</v>
      </c>
      <c r="BS258" s="65">
        <f t="shared" ref="BS258" si="4248">SUM(BS255:BS257)</f>
        <v>0</v>
      </c>
      <c r="BT258" s="65">
        <f t="shared" ref="BT258" si="4249">SUM(BT255:BT257)</f>
        <v>0</v>
      </c>
      <c r="BU258" s="65">
        <f t="shared" ref="BU258" si="4250">SUM(BU255:BU257)</f>
        <v>0</v>
      </c>
      <c r="BV258" s="65">
        <f t="shared" ref="BV258" si="4251">SUM(BV255:BV257)</f>
        <v>0</v>
      </c>
      <c r="BW258" s="65">
        <f t="shared" ref="BW258" si="4252">SUM(BW255:BW257)</f>
        <v>0</v>
      </c>
      <c r="BX258" s="65">
        <f t="shared" ref="BX258" si="4253">SUM(BX255:BX257)</f>
        <v>0</v>
      </c>
      <c r="BY258" s="65">
        <f t="shared" ref="BY258" si="4254">SUM(BY255:BY257)</f>
        <v>0</v>
      </c>
      <c r="BZ258" s="65">
        <f t="shared" ref="BZ258" si="4255">SUM(BZ255:BZ257)</f>
        <v>0</v>
      </c>
      <c r="CA258" s="65">
        <f t="shared" ref="CA258" si="4256">SUM(CA255:CA257)</f>
        <v>0</v>
      </c>
      <c r="CB258" s="65">
        <f t="shared" ref="CB258" si="4257">SUM(CB255:CB257)</f>
        <v>0</v>
      </c>
      <c r="CC258" s="65">
        <f t="shared" ref="CC258" si="4258">SUM(CC255:CC257)</f>
        <v>0</v>
      </c>
      <c r="CD258" s="65">
        <f t="shared" ref="CD258" si="4259">SUM(CD255:CD257)</f>
        <v>0</v>
      </c>
      <c r="CE258" s="65">
        <f t="shared" ref="CE258" si="4260">SUM(CE255:CE257)</f>
        <v>0</v>
      </c>
      <c r="CF258" s="65">
        <f t="shared" ref="CF258" si="4261">SUM(CF255:CF257)</f>
        <v>0</v>
      </c>
      <c r="CG258" s="65">
        <f t="shared" ref="CG258" si="4262">SUM(CG255:CG257)</f>
        <v>0</v>
      </c>
      <c r="CH258" s="65">
        <f t="shared" ref="CH258" si="4263">SUM(CH255:CH257)</f>
        <v>0</v>
      </c>
      <c r="CI258" s="65">
        <f t="shared" ref="CI258" si="4264">SUM(CI255:CI257)</f>
        <v>0</v>
      </c>
      <c r="CJ258" s="65">
        <f t="shared" ref="CJ258" si="4265">SUM(CJ255:CJ257)</f>
        <v>0</v>
      </c>
      <c r="CK258" s="65">
        <f t="shared" ref="CK258" si="4266">SUM(CK255:CK257)</f>
        <v>0</v>
      </c>
      <c r="CL258" s="65">
        <f t="shared" ref="CL258" si="4267">SUM(CL255:CL257)</f>
        <v>0</v>
      </c>
      <c r="CM258" s="65">
        <f t="shared" ref="CM258" si="4268">SUM(CM255:CM257)</f>
        <v>0</v>
      </c>
      <c r="CN258" s="65">
        <f t="shared" ref="CN258" si="4269">SUM(CN255:CN257)</f>
        <v>0</v>
      </c>
      <c r="CO258" s="65">
        <f t="shared" ref="CO258" si="4270">SUM(CO255:CO257)</f>
        <v>0</v>
      </c>
      <c r="CP258" s="65">
        <f t="shared" ref="CP258" si="4271">SUM(CP255:CP257)</f>
        <v>0</v>
      </c>
      <c r="CQ258" s="65">
        <f t="shared" ref="CQ258" si="4272">SUM(CQ255:CQ257)</f>
        <v>0</v>
      </c>
      <c r="CR258" s="65">
        <f t="shared" ref="CR258" si="4273">SUM(CR255:CR257)</f>
        <v>0</v>
      </c>
      <c r="CS258" s="65">
        <f t="shared" ref="CS258" si="4274">SUM(CS255:CS257)</f>
        <v>0</v>
      </c>
      <c r="CT258" s="65">
        <f t="shared" ref="CT258" si="4275">SUM(CT255:CT257)</f>
        <v>0</v>
      </c>
      <c r="CU258" s="65">
        <f t="shared" ref="CU258" si="4276">SUM(CU255:CU257)</f>
        <v>0</v>
      </c>
      <c r="CV258" s="65">
        <f t="shared" ref="CV258" si="4277">SUM(CV255:CV257)</f>
        <v>0</v>
      </c>
      <c r="CW258" s="65">
        <f t="shared" ref="CW258" si="4278">SUM(CW255:CW257)</f>
        <v>0</v>
      </c>
      <c r="CX258" s="65">
        <f t="shared" ref="CX258" si="4279">SUM(CX255:CX257)</f>
        <v>0</v>
      </c>
      <c r="CY258" s="65">
        <f t="shared" ref="CY258" si="4280">SUM(CY255:CY257)</f>
        <v>0</v>
      </c>
      <c r="CZ258" s="65">
        <f t="shared" ref="CZ258" si="4281">SUM(CZ255:CZ257)</f>
        <v>0</v>
      </c>
      <c r="DA258" s="65">
        <f t="shared" ref="DA258" si="4282">SUM(DA255:DA257)</f>
        <v>0</v>
      </c>
      <c r="DB258" s="65">
        <f t="shared" ref="DB258" si="4283">SUM(DB255:DB257)</f>
        <v>0</v>
      </c>
      <c r="DC258" s="65">
        <f t="shared" ref="DC258" si="4284">SUM(DC255:DC257)</f>
        <v>0</v>
      </c>
      <c r="DD258" s="65">
        <f t="shared" ref="DD258" si="4285">SUM(DD255:DD257)</f>
        <v>0</v>
      </c>
      <c r="DE258" s="65">
        <f t="shared" ref="DE258" si="4286">SUM(DE255:DE257)</f>
        <v>0</v>
      </c>
      <c r="DF258" s="65">
        <f t="shared" ref="DF258" si="4287">SUM(DF255:DF257)</f>
        <v>0</v>
      </c>
      <c r="DG258" s="65">
        <f t="shared" ref="DG258" si="4288">SUM(DG255:DG257)</f>
        <v>0</v>
      </c>
      <c r="DH258" s="65">
        <f t="shared" ref="DH258" si="4289">SUM(DH255:DH257)</f>
        <v>0</v>
      </c>
      <c r="DI258" s="65">
        <f t="shared" ref="DI258" si="4290">SUM(DI255:DI257)</f>
        <v>0</v>
      </c>
      <c r="DJ258" s="65">
        <f t="shared" ref="DJ258" si="4291">SUM(DJ255:DJ257)</f>
        <v>0</v>
      </c>
      <c r="DK258" s="65">
        <f t="shared" ref="DK258" si="4292">SUM(DK255:DK257)</f>
        <v>0</v>
      </c>
      <c r="DL258" s="65">
        <f t="shared" ref="DL258" si="4293">SUM(DL255:DL257)</f>
        <v>0</v>
      </c>
      <c r="DM258" s="65">
        <f t="shared" ref="DM258" si="4294">SUM(DM255:DM257)</f>
        <v>0</v>
      </c>
      <c r="DN258" s="65">
        <f t="shared" ref="DN258" si="4295">SUM(DN255:DN257)</f>
        <v>0</v>
      </c>
      <c r="DO258" s="65">
        <f t="shared" ref="DO258" si="4296">SUM(DO255:DO257)</f>
        <v>0</v>
      </c>
      <c r="DP258" s="65">
        <f t="shared" ref="DP258:FY258" si="4297">SUM(DP255:DP257)</f>
        <v>0</v>
      </c>
      <c r="DQ258" s="65">
        <f t="shared" si="4297"/>
        <v>0</v>
      </c>
      <c r="DR258" s="65">
        <f t="shared" si="4297"/>
        <v>0</v>
      </c>
      <c r="DS258" s="65">
        <f t="shared" si="4297"/>
        <v>0</v>
      </c>
      <c r="DT258" s="65">
        <f t="shared" si="4297"/>
        <v>0</v>
      </c>
      <c r="DU258" s="65">
        <f t="shared" si="4297"/>
        <v>0</v>
      </c>
      <c r="DV258" s="65">
        <f t="shared" si="4297"/>
        <v>0</v>
      </c>
      <c r="DW258" s="65">
        <f t="shared" si="4297"/>
        <v>0</v>
      </c>
      <c r="DX258" s="65">
        <f t="shared" si="4297"/>
        <v>0</v>
      </c>
      <c r="DY258" s="65">
        <f t="shared" si="4297"/>
        <v>0</v>
      </c>
      <c r="DZ258" s="65">
        <f t="shared" si="4297"/>
        <v>0</v>
      </c>
      <c r="EA258" s="65">
        <f t="shared" si="4297"/>
        <v>0</v>
      </c>
      <c r="EB258" s="65">
        <f t="shared" si="4297"/>
        <v>0</v>
      </c>
      <c r="EC258" s="65">
        <f t="shared" si="4297"/>
        <v>0</v>
      </c>
      <c r="ED258" s="65">
        <f t="shared" si="4297"/>
        <v>0</v>
      </c>
      <c r="EE258" s="65">
        <f t="shared" si="4297"/>
        <v>0</v>
      </c>
      <c r="EF258" s="65">
        <f t="shared" si="4297"/>
        <v>0</v>
      </c>
      <c r="EG258" s="65">
        <f t="shared" si="4297"/>
        <v>0</v>
      </c>
      <c r="EH258" s="65">
        <f t="shared" si="4297"/>
        <v>0</v>
      </c>
      <c r="EI258" s="65">
        <f t="shared" si="4297"/>
        <v>0</v>
      </c>
      <c r="EJ258" s="65">
        <f t="shared" si="4297"/>
        <v>0</v>
      </c>
      <c r="EK258" s="65">
        <f t="shared" si="4297"/>
        <v>0</v>
      </c>
      <c r="EL258" s="65">
        <f t="shared" si="4297"/>
        <v>0</v>
      </c>
      <c r="EM258" s="65">
        <f t="shared" si="4297"/>
        <v>0</v>
      </c>
      <c r="EN258" s="65">
        <f t="shared" si="4297"/>
        <v>0</v>
      </c>
      <c r="EO258" s="65">
        <f t="shared" si="4297"/>
        <v>0</v>
      </c>
      <c r="EP258" s="65">
        <f t="shared" si="4297"/>
        <v>0</v>
      </c>
      <c r="EQ258" s="65">
        <f t="shared" si="4297"/>
        <v>0</v>
      </c>
      <c r="ER258" s="65">
        <f t="shared" si="4297"/>
        <v>0</v>
      </c>
      <c r="ES258" s="65">
        <f t="shared" si="4297"/>
        <v>0</v>
      </c>
      <c r="ET258" s="65">
        <f t="shared" si="4297"/>
        <v>0</v>
      </c>
      <c r="EU258" s="65">
        <f t="shared" si="4297"/>
        <v>0</v>
      </c>
      <c r="EV258" s="65">
        <f t="shared" si="4297"/>
        <v>0</v>
      </c>
      <c r="EW258" s="65">
        <f t="shared" si="4297"/>
        <v>0</v>
      </c>
      <c r="EX258" s="65">
        <f t="shared" si="4297"/>
        <v>0</v>
      </c>
      <c r="EY258" s="65">
        <f t="shared" si="4297"/>
        <v>0</v>
      </c>
      <c r="EZ258" s="65">
        <f t="shared" si="4297"/>
        <v>0</v>
      </c>
      <c r="FA258" s="65">
        <f t="shared" si="4297"/>
        <v>0</v>
      </c>
      <c r="FB258" s="65">
        <f t="shared" si="4297"/>
        <v>0</v>
      </c>
      <c r="FC258" s="65">
        <f t="shared" si="4297"/>
        <v>0</v>
      </c>
      <c r="FD258" s="65">
        <f t="shared" si="4297"/>
        <v>0</v>
      </c>
      <c r="FE258" s="65">
        <f t="shared" si="4297"/>
        <v>0</v>
      </c>
      <c r="FF258" s="65">
        <f t="shared" si="4297"/>
        <v>0</v>
      </c>
      <c r="FG258" s="65">
        <f t="shared" si="4297"/>
        <v>0</v>
      </c>
      <c r="FH258" s="65">
        <f t="shared" si="4297"/>
        <v>0</v>
      </c>
      <c r="FI258" s="65">
        <f t="shared" si="4297"/>
        <v>0</v>
      </c>
      <c r="FJ258" s="65">
        <f t="shared" si="4297"/>
        <v>0</v>
      </c>
      <c r="FK258" s="65">
        <f t="shared" si="4297"/>
        <v>0</v>
      </c>
      <c r="FL258" s="65">
        <f t="shared" si="4297"/>
        <v>0</v>
      </c>
      <c r="FM258" s="65">
        <f t="shared" si="4297"/>
        <v>0</v>
      </c>
      <c r="FN258" s="65">
        <f t="shared" si="4297"/>
        <v>0</v>
      </c>
      <c r="FO258" s="65">
        <f t="shared" si="4297"/>
        <v>0</v>
      </c>
      <c r="FP258" s="65">
        <f t="shared" si="4297"/>
        <v>0</v>
      </c>
      <c r="FQ258" s="65">
        <f t="shared" si="4297"/>
        <v>0</v>
      </c>
      <c r="FR258" s="65">
        <f t="shared" si="4297"/>
        <v>0</v>
      </c>
      <c r="FS258" s="65">
        <f t="shared" si="4297"/>
        <v>0</v>
      </c>
      <c r="FT258" s="65">
        <f t="shared" si="4297"/>
        <v>0</v>
      </c>
      <c r="FU258" s="65">
        <f t="shared" si="4297"/>
        <v>0</v>
      </c>
      <c r="FV258" s="65">
        <f t="shared" si="4297"/>
        <v>0</v>
      </c>
      <c r="FW258" s="65">
        <f t="shared" si="4297"/>
        <v>0</v>
      </c>
      <c r="FX258" s="65">
        <f t="shared" si="4297"/>
        <v>0</v>
      </c>
      <c r="FY258" s="65">
        <f t="shared" si="4297"/>
        <v>0</v>
      </c>
      <c r="FZ258" s="59"/>
    </row>
    <row r="259" spans="1:185" x14ac:dyDescent="0.2">
      <c r="Z259" s="57"/>
      <c r="AA259" s="58"/>
      <c r="AB259" s="58"/>
      <c r="AC259" s="58"/>
    </row>
    <row r="260" spans="1:185" x14ac:dyDescent="0.2"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  <c r="FB260" s="57"/>
      <c r="FC260" s="57"/>
      <c r="FD260" s="57"/>
      <c r="FE260" s="57"/>
      <c r="FF260" s="57"/>
      <c r="FG260" s="57"/>
      <c r="FH260" s="57"/>
      <c r="FI260" s="57"/>
      <c r="FJ260" s="57"/>
      <c r="FK260" s="57"/>
      <c r="FL260" s="57"/>
      <c r="FM260" s="57"/>
      <c r="FN260" s="57"/>
      <c r="FO260" s="57"/>
      <c r="FP260" s="57"/>
      <c r="FQ260" s="57"/>
      <c r="FR260" s="57"/>
      <c r="FS260" s="57"/>
      <c r="FT260" s="57"/>
      <c r="FU260" s="57"/>
      <c r="FV260" s="57"/>
      <c r="FW260" s="57"/>
      <c r="FX260" s="57"/>
      <c r="FY260" s="57">
        <f t="shared" ref="FY260" si="4298">FY262-FY261</f>
        <v>-1502.1989643296235</v>
      </c>
    </row>
    <row r="261" spans="1:185" x14ac:dyDescent="0.2">
      <c r="A261" s="91" t="s">
        <v>204</v>
      </c>
      <c r="B261" s="65"/>
      <c r="FY261" s="2">
        <v>1502.1989643296235</v>
      </c>
    </row>
    <row r="262" spans="1:185" x14ac:dyDescent="0.2">
      <c r="A262" s="92" t="s">
        <v>205</v>
      </c>
      <c r="B262" s="93">
        <f>B214</f>
        <v>-109988.3434935283</v>
      </c>
      <c r="C262" s="93">
        <f t="shared" ref="C262" si="4299">C214</f>
        <v>116448.09296759122</v>
      </c>
      <c r="D262" s="93">
        <f t="shared" ref="D262:BO262" si="4300">D214</f>
        <v>111551.4326372651</v>
      </c>
      <c r="E262" s="93">
        <f t="shared" si="4300"/>
        <v>106723.55066459547</v>
      </c>
      <c r="F262" s="93">
        <f t="shared" si="4300"/>
        <v>101966.35754663304</v>
      </c>
      <c r="G262" s="93">
        <f t="shared" si="4300"/>
        <v>97281.799739326219</v>
      </c>
      <c r="H262" s="93">
        <f t="shared" si="4300"/>
        <v>92671.860278824664</v>
      </c>
      <c r="I262" s="93">
        <f t="shared" si="4300"/>
        <v>88138.559413219278</v>
      </c>
      <c r="J262" s="93">
        <f t="shared" si="4300"/>
        <v>83683.955244934099</v>
      </c>
      <c r="K262" s="93">
        <f t="shared" si="4300"/>
        <v>79310.144383960927</v>
      </c>
      <c r="L262" s="93">
        <f t="shared" si="4300"/>
        <v>75019.262612092527</v>
      </c>
      <c r="M262" s="93">
        <f t="shared" si="4300"/>
        <v>70813.485558310145</v>
      </c>
      <c r="N262" s="93">
        <f t="shared" si="4300"/>
        <v>66695.029385617556</v>
      </c>
      <c r="O262" s="93">
        <f t="shared" si="4300"/>
        <v>62629.640214358609</v>
      </c>
      <c r="P262" s="93">
        <f t="shared" si="4300"/>
        <v>58656.465291675406</v>
      </c>
      <c r="Q262" s="93">
        <f t="shared" si="4300"/>
        <v>54777.928444100304</v>
      </c>
      <c r="R262" s="93">
        <f t="shared" si="4300"/>
        <v>50996.499419412612</v>
      </c>
      <c r="S262" s="93">
        <f t="shared" si="4300"/>
        <v>47314.694686100571</v>
      </c>
      <c r="T262" s="93">
        <f t="shared" si="4300"/>
        <v>43735.07824640032</v>
      </c>
      <c r="U262" s="93">
        <f t="shared" si="4300"/>
        <v>40260.262463040206</v>
      </c>
      <c r="V262" s="93">
        <f t="shared" si="4300"/>
        <v>36892.908900033704</v>
      </c>
      <c r="W262" s="93">
        <f t="shared" si="4300"/>
        <v>33635.729177670124</v>
      </c>
      <c r="X262" s="93">
        <f t="shared" si="4300"/>
        <v>30491.485841960151</v>
      </c>
      <c r="Y262" s="93">
        <f t="shared" si="4300"/>
        <v>27462.993248812742</v>
      </c>
      <c r="Z262" s="93">
        <f t="shared" si="4300"/>
        <v>24553.118463177023</v>
      </c>
      <c r="AA262" s="93">
        <f t="shared" si="4300"/>
        <v>21740.123731142339</v>
      </c>
      <c r="AB262" s="93">
        <f t="shared" si="4300"/>
        <v>19053.125574708054</v>
      </c>
      <c r="AC262" s="93">
        <f t="shared" si="4300"/>
        <v>16495.274200045129</v>
      </c>
      <c r="AD262" s="93">
        <f t="shared" si="4300"/>
        <v>14069.779751044876</v>
      </c>
      <c r="AE262" s="93">
        <f t="shared" si="4300"/>
        <v>11779.913360591567</v>
      </c>
      <c r="AF262" s="93">
        <f t="shared" si="4300"/>
        <v>9629.008219670739</v>
      </c>
      <c r="AG262" s="93">
        <f t="shared" si="4300"/>
        <v>7620.4606646886887</v>
      </c>
      <c r="AH262" s="93">
        <f t="shared" si="4300"/>
        <v>5757.7312832676189</v>
      </c>
      <c r="AI262" s="93">
        <f t="shared" si="4300"/>
        <v>4044.3460388696544</v>
      </c>
      <c r="AJ262" s="93">
        <f t="shared" si="4300"/>
        <v>2483.8974145239345</v>
      </c>
      <c r="AK262" s="93">
        <f t="shared" si="4300"/>
        <v>1080.045576000005</v>
      </c>
      <c r="AL262" s="93">
        <f t="shared" si="4300"/>
        <v>0</v>
      </c>
      <c r="AM262" s="93">
        <f t="shared" si="4300"/>
        <v>0</v>
      </c>
      <c r="AN262" s="93">
        <f t="shared" si="4300"/>
        <v>0</v>
      </c>
      <c r="AO262" s="93">
        <f t="shared" si="4300"/>
        <v>0</v>
      </c>
      <c r="AP262" s="93">
        <f t="shared" si="4300"/>
        <v>0</v>
      </c>
      <c r="AQ262" s="93">
        <f t="shared" si="4300"/>
        <v>0</v>
      </c>
      <c r="AR262" s="93">
        <f t="shared" si="4300"/>
        <v>0</v>
      </c>
      <c r="AS262" s="93">
        <f t="shared" si="4300"/>
        <v>0</v>
      </c>
      <c r="AT262" s="93">
        <f t="shared" si="4300"/>
        <v>0</v>
      </c>
      <c r="AU262" s="93">
        <f t="shared" si="4300"/>
        <v>0</v>
      </c>
      <c r="AV262" s="93">
        <f t="shared" si="4300"/>
        <v>0</v>
      </c>
      <c r="AW262" s="93">
        <f t="shared" si="4300"/>
        <v>0</v>
      </c>
      <c r="AX262" s="93">
        <f t="shared" si="4300"/>
        <v>0</v>
      </c>
      <c r="AY262" s="93">
        <f t="shared" si="4300"/>
        <v>0</v>
      </c>
      <c r="AZ262" s="93">
        <f t="shared" si="4300"/>
        <v>0</v>
      </c>
      <c r="BA262" s="93">
        <f t="shared" si="4300"/>
        <v>0</v>
      </c>
      <c r="BB262" s="93">
        <f t="shared" si="4300"/>
        <v>0</v>
      </c>
      <c r="BC262" s="93">
        <f t="shared" si="4300"/>
        <v>0</v>
      </c>
      <c r="BD262" s="93">
        <f t="shared" si="4300"/>
        <v>0</v>
      </c>
      <c r="BE262" s="93">
        <f t="shared" si="4300"/>
        <v>0</v>
      </c>
      <c r="BF262" s="93">
        <f t="shared" si="4300"/>
        <v>0</v>
      </c>
      <c r="BG262" s="93">
        <f t="shared" si="4300"/>
        <v>0</v>
      </c>
      <c r="BH262" s="93">
        <f t="shared" si="4300"/>
        <v>0</v>
      </c>
      <c r="BI262" s="93">
        <f t="shared" si="4300"/>
        <v>0</v>
      </c>
      <c r="BJ262" s="93">
        <f t="shared" si="4300"/>
        <v>0</v>
      </c>
      <c r="BK262" s="93">
        <f t="shared" si="4300"/>
        <v>0</v>
      </c>
      <c r="BL262" s="93">
        <f t="shared" si="4300"/>
        <v>0</v>
      </c>
      <c r="BM262" s="93">
        <f t="shared" si="4300"/>
        <v>0</v>
      </c>
      <c r="BN262" s="93">
        <f t="shared" si="4300"/>
        <v>0</v>
      </c>
      <c r="BO262" s="93">
        <f t="shared" si="4300"/>
        <v>0</v>
      </c>
      <c r="BP262" s="93">
        <f t="shared" ref="BP262:EA262" si="4301">BP214</f>
        <v>0</v>
      </c>
      <c r="BQ262" s="93">
        <f t="shared" si="4301"/>
        <v>0</v>
      </c>
      <c r="BR262" s="93">
        <f t="shared" si="4301"/>
        <v>0</v>
      </c>
      <c r="BS262" s="93">
        <f t="shared" si="4301"/>
        <v>0</v>
      </c>
      <c r="BT262" s="93">
        <f t="shared" si="4301"/>
        <v>0</v>
      </c>
      <c r="BU262" s="93">
        <f t="shared" si="4301"/>
        <v>0</v>
      </c>
      <c r="BV262" s="93">
        <f t="shared" si="4301"/>
        <v>0</v>
      </c>
      <c r="BW262" s="93">
        <f t="shared" si="4301"/>
        <v>0</v>
      </c>
      <c r="BX262" s="93">
        <f t="shared" si="4301"/>
        <v>0</v>
      </c>
      <c r="BY262" s="93">
        <f t="shared" si="4301"/>
        <v>0</v>
      </c>
      <c r="BZ262" s="93">
        <f t="shared" si="4301"/>
        <v>0</v>
      </c>
      <c r="CA262" s="93">
        <f t="shared" si="4301"/>
        <v>0</v>
      </c>
      <c r="CB262" s="93">
        <f t="shared" si="4301"/>
        <v>0</v>
      </c>
      <c r="CC262" s="93">
        <f t="shared" si="4301"/>
        <v>0</v>
      </c>
      <c r="CD262" s="93">
        <f t="shared" si="4301"/>
        <v>0</v>
      </c>
      <c r="CE262" s="93">
        <f t="shared" si="4301"/>
        <v>0</v>
      </c>
      <c r="CF262" s="93">
        <f t="shared" si="4301"/>
        <v>0</v>
      </c>
      <c r="CG262" s="93">
        <f t="shared" si="4301"/>
        <v>0</v>
      </c>
      <c r="CH262" s="93">
        <f t="shared" si="4301"/>
        <v>0</v>
      </c>
      <c r="CI262" s="93">
        <f t="shared" si="4301"/>
        <v>0</v>
      </c>
      <c r="CJ262" s="93">
        <f t="shared" si="4301"/>
        <v>0</v>
      </c>
      <c r="CK262" s="93">
        <f t="shared" si="4301"/>
        <v>0</v>
      </c>
      <c r="CL262" s="93">
        <f t="shared" si="4301"/>
        <v>0</v>
      </c>
      <c r="CM262" s="93">
        <f t="shared" si="4301"/>
        <v>0</v>
      </c>
      <c r="CN262" s="93">
        <f t="shared" si="4301"/>
        <v>0</v>
      </c>
      <c r="CO262" s="93">
        <f t="shared" si="4301"/>
        <v>0</v>
      </c>
      <c r="CP262" s="93">
        <f t="shared" si="4301"/>
        <v>0</v>
      </c>
      <c r="CQ262" s="93">
        <f t="shared" si="4301"/>
        <v>0</v>
      </c>
      <c r="CR262" s="93">
        <f t="shared" si="4301"/>
        <v>0</v>
      </c>
      <c r="CS262" s="93">
        <f t="shared" si="4301"/>
        <v>0</v>
      </c>
      <c r="CT262" s="93">
        <f t="shared" si="4301"/>
        <v>0</v>
      </c>
      <c r="CU262" s="93">
        <f t="shared" si="4301"/>
        <v>0</v>
      </c>
      <c r="CV262" s="93">
        <f t="shared" si="4301"/>
        <v>0</v>
      </c>
      <c r="CW262" s="93">
        <f t="shared" si="4301"/>
        <v>0</v>
      </c>
      <c r="CX262" s="93">
        <f t="shared" si="4301"/>
        <v>0</v>
      </c>
      <c r="CY262" s="93">
        <f t="shared" si="4301"/>
        <v>0</v>
      </c>
      <c r="CZ262" s="93">
        <f t="shared" si="4301"/>
        <v>0</v>
      </c>
      <c r="DA262" s="93">
        <f t="shared" si="4301"/>
        <v>0</v>
      </c>
      <c r="DB262" s="93">
        <f t="shared" si="4301"/>
        <v>0</v>
      </c>
      <c r="DC262" s="93">
        <f t="shared" si="4301"/>
        <v>0</v>
      </c>
      <c r="DD262" s="93">
        <f t="shared" si="4301"/>
        <v>0</v>
      </c>
      <c r="DE262" s="93">
        <f t="shared" si="4301"/>
        <v>0</v>
      </c>
      <c r="DF262" s="93">
        <f t="shared" si="4301"/>
        <v>0</v>
      </c>
      <c r="DG262" s="93">
        <f t="shared" si="4301"/>
        <v>0</v>
      </c>
      <c r="DH262" s="93">
        <f t="shared" si="4301"/>
        <v>0</v>
      </c>
      <c r="DI262" s="93">
        <f t="shared" si="4301"/>
        <v>0</v>
      </c>
      <c r="DJ262" s="93">
        <f t="shared" si="4301"/>
        <v>0</v>
      </c>
      <c r="DK262" s="93">
        <f t="shared" si="4301"/>
        <v>0</v>
      </c>
      <c r="DL262" s="93">
        <f t="shared" si="4301"/>
        <v>0</v>
      </c>
      <c r="DM262" s="93">
        <f t="shared" si="4301"/>
        <v>0</v>
      </c>
      <c r="DN262" s="93">
        <f t="shared" si="4301"/>
        <v>0</v>
      </c>
      <c r="DO262" s="93">
        <f t="shared" si="4301"/>
        <v>0</v>
      </c>
      <c r="DP262" s="93">
        <f t="shared" si="4301"/>
        <v>0</v>
      </c>
      <c r="DQ262" s="93">
        <f t="shared" si="4301"/>
        <v>0</v>
      </c>
      <c r="DR262" s="93">
        <f t="shared" si="4301"/>
        <v>0</v>
      </c>
      <c r="DS262" s="93">
        <f t="shared" si="4301"/>
        <v>0</v>
      </c>
      <c r="DT262" s="93">
        <f t="shared" si="4301"/>
        <v>0</v>
      </c>
      <c r="DU262" s="93">
        <f t="shared" si="4301"/>
        <v>0</v>
      </c>
      <c r="DV262" s="93">
        <f t="shared" si="4301"/>
        <v>0</v>
      </c>
      <c r="DW262" s="93">
        <f t="shared" si="4301"/>
        <v>0</v>
      </c>
      <c r="DX262" s="93">
        <f t="shared" si="4301"/>
        <v>0</v>
      </c>
      <c r="DY262" s="93">
        <f t="shared" si="4301"/>
        <v>0</v>
      </c>
      <c r="DZ262" s="93">
        <f t="shared" si="4301"/>
        <v>0</v>
      </c>
      <c r="EA262" s="93">
        <f t="shared" si="4301"/>
        <v>0</v>
      </c>
      <c r="EB262" s="93">
        <f t="shared" ref="EB262:FY262" si="4302">EB214</f>
        <v>0</v>
      </c>
      <c r="EC262" s="93">
        <f t="shared" si="4302"/>
        <v>0</v>
      </c>
      <c r="ED262" s="93">
        <f t="shared" si="4302"/>
        <v>0</v>
      </c>
      <c r="EE262" s="93">
        <f t="shared" si="4302"/>
        <v>0</v>
      </c>
      <c r="EF262" s="93">
        <f t="shared" si="4302"/>
        <v>0</v>
      </c>
      <c r="EG262" s="93">
        <f t="shared" si="4302"/>
        <v>0</v>
      </c>
      <c r="EH262" s="93">
        <f t="shared" si="4302"/>
        <v>0</v>
      </c>
      <c r="EI262" s="93">
        <f t="shared" si="4302"/>
        <v>0</v>
      </c>
      <c r="EJ262" s="93">
        <f t="shared" si="4302"/>
        <v>0</v>
      </c>
      <c r="EK262" s="93">
        <f t="shared" si="4302"/>
        <v>0</v>
      </c>
      <c r="EL262" s="93">
        <f t="shared" si="4302"/>
        <v>0</v>
      </c>
      <c r="EM262" s="93">
        <f t="shared" si="4302"/>
        <v>0</v>
      </c>
      <c r="EN262" s="93">
        <f t="shared" si="4302"/>
        <v>0</v>
      </c>
      <c r="EO262" s="93">
        <f t="shared" si="4302"/>
        <v>0</v>
      </c>
      <c r="EP262" s="93">
        <f t="shared" si="4302"/>
        <v>0</v>
      </c>
      <c r="EQ262" s="93">
        <f t="shared" si="4302"/>
        <v>0</v>
      </c>
      <c r="ER262" s="93">
        <f t="shared" si="4302"/>
        <v>0</v>
      </c>
      <c r="ES262" s="93">
        <f t="shared" si="4302"/>
        <v>0</v>
      </c>
      <c r="ET262" s="93">
        <f t="shared" si="4302"/>
        <v>0</v>
      </c>
      <c r="EU262" s="93">
        <f t="shared" si="4302"/>
        <v>0</v>
      </c>
      <c r="EV262" s="93">
        <f t="shared" si="4302"/>
        <v>0</v>
      </c>
      <c r="EW262" s="93">
        <f t="shared" si="4302"/>
        <v>0</v>
      </c>
      <c r="EX262" s="93">
        <f t="shared" si="4302"/>
        <v>0</v>
      </c>
      <c r="EY262" s="93">
        <f t="shared" si="4302"/>
        <v>0</v>
      </c>
      <c r="EZ262" s="93">
        <f t="shared" si="4302"/>
        <v>0</v>
      </c>
      <c r="FA262" s="93">
        <f t="shared" si="4302"/>
        <v>0</v>
      </c>
      <c r="FB262" s="93">
        <f t="shared" si="4302"/>
        <v>0</v>
      </c>
      <c r="FC262" s="93">
        <f t="shared" si="4302"/>
        <v>0</v>
      </c>
      <c r="FD262" s="93">
        <f t="shared" si="4302"/>
        <v>0</v>
      </c>
      <c r="FE262" s="93">
        <f t="shared" si="4302"/>
        <v>0</v>
      </c>
      <c r="FF262" s="93">
        <f t="shared" si="4302"/>
        <v>0</v>
      </c>
      <c r="FG262" s="93">
        <f t="shared" si="4302"/>
        <v>0</v>
      </c>
      <c r="FH262" s="93">
        <f t="shared" si="4302"/>
        <v>0</v>
      </c>
      <c r="FI262" s="93">
        <f t="shared" si="4302"/>
        <v>0</v>
      </c>
      <c r="FJ262" s="93">
        <f t="shared" si="4302"/>
        <v>0</v>
      </c>
      <c r="FK262" s="93">
        <f t="shared" si="4302"/>
        <v>0</v>
      </c>
      <c r="FL262" s="93">
        <f t="shared" si="4302"/>
        <v>0</v>
      </c>
      <c r="FM262" s="93">
        <f t="shared" si="4302"/>
        <v>0</v>
      </c>
      <c r="FN262" s="93">
        <f t="shared" si="4302"/>
        <v>0</v>
      </c>
      <c r="FO262" s="93">
        <f t="shared" si="4302"/>
        <v>0</v>
      </c>
      <c r="FP262" s="93">
        <f t="shared" si="4302"/>
        <v>0</v>
      </c>
      <c r="FQ262" s="93">
        <f t="shared" si="4302"/>
        <v>0</v>
      </c>
      <c r="FR262" s="93">
        <f t="shared" si="4302"/>
        <v>0</v>
      </c>
      <c r="FS262" s="93">
        <f t="shared" si="4302"/>
        <v>0</v>
      </c>
      <c r="FT262" s="93">
        <f t="shared" si="4302"/>
        <v>0</v>
      </c>
      <c r="FU262" s="93">
        <f t="shared" si="4302"/>
        <v>0</v>
      </c>
      <c r="FV262" s="93">
        <f t="shared" si="4302"/>
        <v>0</v>
      </c>
      <c r="FW262" s="93">
        <f t="shared" si="4302"/>
        <v>0</v>
      </c>
      <c r="FX262" s="93">
        <f t="shared" si="4302"/>
        <v>0</v>
      </c>
      <c r="FY262" s="93">
        <f t="shared" si="4302"/>
        <v>0</v>
      </c>
      <c r="FZ262" s="59"/>
    </row>
    <row r="263" spans="1:185" x14ac:dyDescent="0.2">
      <c r="A263" s="92" t="s">
        <v>206</v>
      </c>
      <c r="B263" s="93">
        <f>IFERROR(B30/B209,0)</f>
        <v>368000</v>
      </c>
      <c r="C263" s="93">
        <f t="shared" ref="C263:BN263" si="4303">IFERROR(C30/C209,0)</f>
        <v>0</v>
      </c>
      <c r="D263" s="93">
        <f t="shared" si="4303"/>
        <v>0</v>
      </c>
      <c r="E263" s="93">
        <f t="shared" si="4303"/>
        <v>0</v>
      </c>
      <c r="F263" s="93">
        <f t="shared" si="4303"/>
        <v>0</v>
      </c>
      <c r="G263" s="93">
        <f t="shared" si="4303"/>
        <v>0</v>
      </c>
      <c r="H263" s="93">
        <f t="shared" si="4303"/>
        <v>0</v>
      </c>
      <c r="I263" s="93">
        <f t="shared" si="4303"/>
        <v>0</v>
      </c>
      <c r="J263" s="93">
        <f t="shared" si="4303"/>
        <v>0</v>
      </c>
      <c r="K263" s="93">
        <f t="shared" si="4303"/>
        <v>0</v>
      </c>
      <c r="L263" s="93">
        <f t="shared" si="4303"/>
        <v>0</v>
      </c>
      <c r="M263" s="93">
        <f t="shared" si="4303"/>
        <v>0</v>
      </c>
      <c r="N263" s="93">
        <f t="shared" si="4303"/>
        <v>0</v>
      </c>
      <c r="O263" s="93">
        <f t="shared" si="4303"/>
        <v>0</v>
      </c>
      <c r="P263" s="93">
        <f t="shared" si="4303"/>
        <v>0</v>
      </c>
      <c r="Q263" s="93">
        <f t="shared" si="4303"/>
        <v>0</v>
      </c>
      <c r="R263" s="93">
        <f t="shared" si="4303"/>
        <v>0</v>
      </c>
      <c r="S263" s="93">
        <f t="shared" si="4303"/>
        <v>0</v>
      </c>
      <c r="T263" s="93">
        <f t="shared" si="4303"/>
        <v>0</v>
      </c>
      <c r="U263" s="93">
        <f t="shared" si="4303"/>
        <v>0</v>
      </c>
      <c r="V263" s="93">
        <f t="shared" si="4303"/>
        <v>0</v>
      </c>
      <c r="W263" s="93">
        <f t="shared" si="4303"/>
        <v>0</v>
      </c>
      <c r="X263" s="93">
        <f t="shared" si="4303"/>
        <v>0</v>
      </c>
      <c r="Y263" s="93">
        <f t="shared" si="4303"/>
        <v>0</v>
      </c>
      <c r="Z263" s="93">
        <f t="shared" si="4303"/>
        <v>0</v>
      </c>
      <c r="AA263" s="93">
        <f t="shared" si="4303"/>
        <v>0</v>
      </c>
      <c r="AB263" s="93">
        <f t="shared" si="4303"/>
        <v>0</v>
      </c>
      <c r="AC263" s="93">
        <f t="shared" si="4303"/>
        <v>0</v>
      </c>
      <c r="AD263" s="93">
        <f t="shared" si="4303"/>
        <v>0</v>
      </c>
      <c r="AE263" s="93">
        <f t="shared" si="4303"/>
        <v>0</v>
      </c>
      <c r="AF263" s="93">
        <f t="shared" si="4303"/>
        <v>0</v>
      </c>
      <c r="AG263" s="93">
        <f t="shared" si="4303"/>
        <v>0</v>
      </c>
      <c r="AH263" s="93">
        <f t="shared" si="4303"/>
        <v>0</v>
      </c>
      <c r="AI263" s="93">
        <f t="shared" si="4303"/>
        <v>0</v>
      </c>
      <c r="AJ263" s="93">
        <f t="shared" si="4303"/>
        <v>0</v>
      </c>
      <c r="AK263" s="93">
        <f t="shared" si="4303"/>
        <v>0</v>
      </c>
      <c r="AL263" s="93">
        <f t="shared" si="4303"/>
        <v>0</v>
      </c>
      <c r="AM263" s="93">
        <f t="shared" si="4303"/>
        <v>0</v>
      </c>
      <c r="AN263" s="93">
        <f t="shared" si="4303"/>
        <v>0</v>
      </c>
      <c r="AO263" s="93">
        <f t="shared" si="4303"/>
        <v>0</v>
      </c>
      <c r="AP263" s="93">
        <f t="shared" si="4303"/>
        <v>0</v>
      </c>
      <c r="AQ263" s="93">
        <f t="shared" si="4303"/>
        <v>0</v>
      </c>
      <c r="AR263" s="93">
        <f t="shared" si="4303"/>
        <v>0</v>
      </c>
      <c r="AS263" s="93">
        <f t="shared" si="4303"/>
        <v>0</v>
      </c>
      <c r="AT263" s="93">
        <f t="shared" si="4303"/>
        <v>0</v>
      </c>
      <c r="AU263" s="93">
        <f t="shared" si="4303"/>
        <v>0</v>
      </c>
      <c r="AV263" s="93">
        <f t="shared" si="4303"/>
        <v>0</v>
      </c>
      <c r="AW263" s="93">
        <f t="shared" si="4303"/>
        <v>0</v>
      </c>
      <c r="AX263" s="93">
        <f t="shared" si="4303"/>
        <v>0</v>
      </c>
      <c r="AY263" s="93">
        <f t="shared" si="4303"/>
        <v>0</v>
      </c>
      <c r="AZ263" s="93">
        <f t="shared" si="4303"/>
        <v>0</v>
      </c>
      <c r="BA263" s="93">
        <f t="shared" si="4303"/>
        <v>0</v>
      </c>
      <c r="BB263" s="93">
        <f t="shared" si="4303"/>
        <v>0</v>
      </c>
      <c r="BC263" s="93">
        <f t="shared" si="4303"/>
        <v>0</v>
      </c>
      <c r="BD263" s="93">
        <f t="shared" si="4303"/>
        <v>0</v>
      </c>
      <c r="BE263" s="93">
        <f t="shared" si="4303"/>
        <v>0</v>
      </c>
      <c r="BF263" s="93">
        <f t="shared" si="4303"/>
        <v>0</v>
      </c>
      <c r="BG263" s="93">
        <f t="shared" si="4303"/>
        <v>0</v>
      </c>
      <c r="BH263" s="93">
        <f t="shared" si="4303"/>
        <v>0</v>
      </c>
      <c r="BI263" s="93">
        <f t="shared" si="4303"/>
        <v>0</v>
      </c>
      <c r="BJ263" s="93">
        <f t="shared" si="4303"/>
        <v>0</v>
      </c>
      <c r="BK263" s="93">
        <f t="shared" si="4303"/>
        <v>0</v>
      </c>
      <c r="BL263" s="93">
        <f t="shared" si="4303"/>
        <v>0</v>
      </c>
      <c r="BM263" s="93">
        <f t="shared" si="4303"/>
        <v>0</v>
      </c>
      <c r="BN263" s="93">
        <f t="shared" si="4303"/>
        <v>0</v>
      </c>
      <c r="BO263" s="93">
        <f t="shared" ref="BO263:DZ263" si="4304">IFERROR(BO30/BO209,0)</f>
        <v>0</v>
      </c>
      <c r="BP263" s="93">
        <f t="shared" si="4304"/>
        <v>0</v>
      </c>
      <c r="BQ263" s="93">
        <f t="shared" si="4304"/>
        <v>0</v>
      </c>
      <c r="BR263" s="93">
        <f t="shared" si="4304"/>
        <v>0</v>
      </c>
      <c r="BS263" s="93">
        <f t="shared" si="4304"/>
        <v>0</v>
      </c>
      <c r="BT263" s="93">
        <f t="shared" si="4304"/>
        <v>0</v>
      </c>
      <c r="BU263" s="93">
        <f t="shared" si="4304"/>
        <v>0</v>
      </c>
      <c r="BV263" s="93">
        <f t="shared" si="4304"/>
        <v>0</v>
      </c>
      <c r="BW263" s="93">
        <f t="shared" si="4304"/>
        <v>0</v>
      </c>
      <c r="BX263" s="93">
        <f t="shared" si="4304"/>
        <v>0</v>
      </c>
      <c r="BY263" s="93">
        <f t="shared" si="4304"/>
        <v>0</v>
      </c>
      <c r="BZ263" s="93">
        <f t="shared" si="4304"/>
        <v>0</v>
      </c>
      <c r="CA263" s="93">
        <f t="shared" si="4304"/>
        <v>0</v>
      </c>
      <c r="CB263" s="93">
        <f t="shared" si="4304"/>
        <v>0</v>
      </c>
      <c r="CC263" s="93">
        <f t="shared" si="4304"/>
        <v>0</v>
      </c>
      <c r="CD263" s="93">
        <f t="shared" si="4304"/>
        <v>0</v>
      </c>
      <c r="CE263" s="93">
        <f t="shared" si="4304"/>
        <v>0</v>
      </c>
      <c r="CF263" s="93">
        <f t="shared" si="4304"/>
        <v>0</v>
      </c>
      <c r="CG263" s="93">
        <f t="shared" si="4304"/>
        <v>0</v>
      </c>
      <c r="CH263" s="93">
        <f t="shared" si="4304"/>
        <v>0</v>
      </c>
      <c r="CI263" s="93">
        <f t="shared" si="4304"/>
        <v>0</v>
      </c>
      <c r="CJ263" s="93">
        <f t="shared" si="4304"/>
        <v>0</v>
      </c>
      <c r="CK263" s="93">
        <f t="shared" si="4304"/>
        <v>0</v>
      </c>
      <c r="CL263" s="93">
        <f t="shared" si="4304"/>
        <v>0</v>
      </c>
      <c r="CM263" s="93">
        <f t="shared" si="4304"/>
        <v>0</v>
      </c>
      <c r="CN263" s="93">
        <f t="shared" si="4304"/>
        <v>0</v>
      </c>
      <c r="CO263" s="93">
        <f t="shared" si="4304"/>
        <v>0</v>
      </c>
      <c r="CP263" s="93">
        <f t="shared" si="4304"/>
        <v>0</v>
      </c>
      <c r="CQ263" s="93">
        <f t="shared" si="4304"/>
        <v>0</v>
      </c>
      <c r="CR263" s="93">
        <f t="shared" si="4304"/>
        <v>0</v>
      </c>
      <c r="CS263" s="93">
        <f t="shared" si="4304"/>
        <v>0</v>
      </c>
      <c r="CT263" s="93">
        <f t="shared" si="4304"/>
        <v>0</v>
      </c>
      <c r="CU263" s="93">
        <f t="shared" si="4304"/>
        <v>0</v>
      </c>
      <c r="CV263" s="93">
        <f t="shared" si="4304"/>
        <v>0</v>
      </c>
      <c r="CW263" s="93">
        <f t="shared" si="4304"/>
        <v>0</v>
      </c>
      <c r="CX263" s="93">
        <f t="shared" si="4304"/>
        <v>0</v>
      </c>
      <c r="CY263" s="93">
        <f t="shared" si="4304"/>
        <v>0</v>
      </c>
      <c r="CZ263" s="93">
        <f t="shared" si="4304"/>
        <v>0</v>
      </c>
      <c r="DA263" s="93">
        <f t="shared" si="4304"/>
        <v>0</v>
      </c>
      <c r="DB263" s="93">
        <f t="shared" si="4304"/>
        <v>0</v>
      </c>
      <c r="DC263" s="93">
        <f t="shared" si="4304"/>
        <v>0</v>
      </c>
      <c r="DD263" s="93">
        <f t="shared" si="4304"/>
        <v>0</v>
      </c>
      <c r="DE263" s="93">
        <f t="shared" si="4304"/>
        <v>0</v>
      </c>
      <c r="DF263" s="93">
        <f t="shared" si="4304"/>
        <v>0</v>
      </c>
      <c r="DG263" s="93">
        <f t="shared" si="4304"/>
        <v>0</v>
      </c>
      <c r="DH263" s="93">
        <f t="shared" si="4304"/>
        <v>0</v>
      </c>
      <c r="DI263" s="93">
        <f t="shared" si="4304"/>
        <v>0</v>
      </c>
      <c r="DJ263" s="93">
        <f t="shared" si="4304"/>
        <v>0</v>
      </c>
      <c r="DK263" s="93">
        <f t="shared" si="4304"/>
        <v>0</v>
      </c>
      <c r="DL263" s="93">
        <f t="shared" si="4304"/>
        <v>0</v>
      </c>
      <c r="DM263" s="93">
        <f t="shared" si="4304"/>
        <v>0</v>
      </c>
      <c r="DN263" s="93">
        <f t="shared" si="4304"/>
        <v>0</v>
      </c>
      <c r="DO263" s="93">
        <f t="shared" si="4304"/>
        <v>0</v>
      </c>
      <c r="DP263" s="93">
        <f t="shared" si="4304"/>
        <v>0</v>
      </c>
      <c r="DQ263" s="93">
        <f t="shared" si="4304"/>
        <v>0</v>
      </c>
      <c r="DR263" s="93">
        <f t="shared" si="4304"/>
        <v>0</v>
      </c>
      <c r="DS263" s="93">
        <f t="shared" si="4304"/>
        <v>0</v>
      </c>
      <c r="DT263" s="93">
        <f t="shared" si="4304"/>
        <v>0</v>
      </c>
      <c r="DU263" s="93">
        <f t="shared" si="4304"/>
        <v>0</v>
      </c>
      <c r="DV263" s="93">
        <f t="shared" si="4304"/>
        <v>0</v>
      </c>
      <c r="DW263" s="93">
        <f t="shared" si="4304"/>
        <v>0</v>
      </c>
      <c r="DX263" s="93">
        <f t="shared" si="4304"/>
        <v>0</v>
      </c>
      <c r="DY263" s="93">
        <f t="shared" si="4304"/>
        <v>0</v>
      </c>
      <c r="DZ263" s="93">
        <f t="shared" si="4304"/>
        <v>0</v>
      </c>
      <c r="EA263" s="93">
        <f t="shared" ref="EA263:FY263" si="4305">IFERROR(EA30/EA209,0)</f>
        <v>0</v>
      </c>
      <c r="EB263" s="93">
        <f t="shared" si="4305"/>
        <v>0</v>
      </c>
      <c r="EC263" s="93">
        <f t="shared" si="4305"/>
        <v>0</v>
      </c>
      <c r="ED263" s="93">
        <f t="shared" si="4305"/>
        <v>0</v>
      </c>
      <c r="EE263" s="93">
        <f t="shared" si="4305"/>
        <v>0</v>
      </c>
      <c r="EF263" s="93">
        <f t="shared" si="4305"/>
        <v>0</v>
      </c>
      <c r="EG263" s="93">
        <f t="shared" si="4305"/>
        <v>0</v>
      </c>
      <c r="EH263" s="93">
        <f t="shared" si="4305"/>
        <v>0</v>
      </c>
      <c r="EI263" s="93">
        <f t="shared" si="4305"/>
        <v>0</v>
      </c>
      <c r="EJ263" s="93">
        <f t="shared" si="4305"/>
        <v>0</v>
      </c>
      <c r="EK263" s="93">
        <f t="shared" si="4305"/>
        <v>0</v>
      </c>
      <c r="EL263" s="93">
        <f t="shared" si="4305"/>
        <v>0</v>
      </c>
      <c r="EM263" s="93">
        <f t="shared" si="4305"/>
        <v>0</v>
      </c>
      <c r="EN263" s="93">
        <f t="shared" si="4305"/>
        <v>0</v>
      </c>
      <c r="EO263" s="93">
        <f t="shared" si="4305"/>
        <v>0</v>
      </c>
      <c r="EP263" s="93">
        <f t="shared" si="4305"/>
        <v>0</v>
      </c>
      <c r="EQ263" s="93">
        <f t="shared" si="4305"/>
        <v>0</v>
      </c>
      <c r="ER263" s="93">
        <f t="shared" si="4305"/>
        <v>0</v>
      </c>
      <c r="ES263" s="93">
        <f t="shared" si="4305"/>
        <v>0</v>
      </c>
      <c r="ET263" s="93">
        <f t="shared" si="4305"/>
        <v>0</v>
      </c>
      <c r="EU263" s="93">
        <f t="shared" si="4305"/>
        <v>0</v>
      </c>
      <c r="EV263" s="93">
        <f t="shared" si="4305"/>
        <v>0</v>
      </c>
      <c r="EW263" s="93">
        <f t="shared" si="4305"/>
        <v>0</v>
      </c>
      <c r="EX263" s="93">
        <f t="shared" si="4305"/>
        <v>0</v>
      </c>
      <c r="EY263" s="93">
        <f t="shared" si="4305"/>
        <v>0</v>
      </c>
      <c r="EZ263" s="93">
        <f t="shared" si="4305"/>
        <v>0</v>
      </c>
      <c r="FA263" s="93">
        <f t="shared" si="4305"/>
        <v>0</v>
      </c>
      <c r="FB263" s="93">
        <f t="shared" si="4305"/>
        <v>0</v>
      </c>
      <c r="FC263" s="93">
        <f t="shared" si="4305"/>
        <v>0</v>
      </c>
      <c r="FD263" s="93">
        <f t="shared" si="4305"/>
        <v>0</v>
      </c>
      <c r="FE263" s="93">
        <f t="shared" si="4305"/>
        <v>0</v>
      </c>
      <c r="FF263" s="93">
        <f t="shared" si="4305"/>
        <v>0</v>
      </c>
      <c r="FG263" s="93">
        <f t="shared" si="4305"/>
        <v>0</v>
      </c>
      <c r="FH263" s="93">
        <f t="shared" si="4305"/>
        <v>0</v>
      </c>
      <c r="FI263" s="93">
        <f t="shared" si="4305"/>
        <v>0</v>
      </c>
      <c r="FJ263" s="93">
        <f t="shared" si="4305"/>
        <v>0</v>
      </c>
      <c r="FK263" s="93">
        <f t="shared" si="4305"/>
        <v>0</v>
      </c>
      <c r="FL263" s="93">
        <f t="shared" si="4305"/>
        <v>0</v>
      </c>
      <c r="FM263" s="93">
        <f t="shared" si="4305"/>
        <v>0</v>
      </c>
      <c r="FN263" s="93">
        <f t="shared" si="4305"/>
        <v>0</v>
      </c>
      <c r="FO263" s="93">
        <f t="shared" si="4305"/>
        <v>0</v>
      </c>
      <c r="FP263" s="93">
        <f t="shared" si="4305"/>
        <v>0</v>
      </c>
      <c r="FQ263" s="93">
        <f t="shared" si="4305"/>
        <v>0</v>
      </c>
      <c r="FR263" s="93">
        <f t="shared" si="4305"/>
        <v>0</v>
      </c>
      <c r="FS263" s="93">
        <f t="shared" si="4305"/>
        <v>0</v>
      </c>
      <c r="FT263" s="93">
        <f t="shared" si="4305"/>
        <v>0</v>
      </c>
      <c r="FU263" s="93">
        <f t="shared" si="4305"/>
        <v>0</v>
      </c>
      <c r="FV263" s="93">
        <f t="shared" si="4305"/>
        <v>0</v>
      </c>
      <c r="FW263" s="93">
        <f t="shared" si="4305"/>
        <v>0</v>
      </c>
      <c r="FX263" s="93">
        <f t="shared" si="4305"/>
        <v>0</v>
      </c>
      <c r="FY263" s="93">
        <f t="shared" si="4305"/>
        <v>0</v>
      </c>
      <c r="FZ263" s="59"/>
      <c r="GA263" s="1" t="s">
        <v>273</v>
      </c>
    </row>
    <row r="264" spans="1:185" x14ac:dyDescent="0.2">
      <c r="A264" s="92" t="s">
        <v>207</v>
      </c>
      <c r="B264" s="93">
        <f>IFERROR(B31/B209,0)</f>
        <v>-92000</v>
      </c>
      <c r="C264" s="93">
        <f t="shared" ref="C264:BN264" si="4306">IFERROR(C31/C209,0)</f>
        <v>0</v>
      </c>
      <c r="D264" s="93">
        <f t="shared" si="4306"/>
        <v>0</v>
      </c>
      <c r="E264" s="93">
        <f t="shared" si="4306"/>
        <v>0</v>
      </c>
      <c r="F264" s="93">
        <f t="shared" si="4306"/>
        <v>0</v>
      </c>
      <c r="G264" s="93">
        <f t="shared" si="4306"/>
        <v>0</v>
      </c>
      <c r="H264" s="93">
        <f t="shared" si="4306"/>
        <v>0</v>
      </c>
      <c r="I264" s="93">
        <f t="shared" si="4306"/>
        <v>0</v>
      </c>
      <c r="J264" s="93">
        <f t="shared" si="4306"/>
        <v>0</v>
      </c>
      <c r="K264" s="93">
        <f t="shared" si="4306"/>
        <v>0</v>
      </c>
      <c r="L264" s="93">
        <f t="shared" si="4306"/>
        <v>0</v>
      </c>
      <c r="M264" s="93">
        <f t="shared" si="4306"/>
        <v>0</v>
      </c>
      <c r="N264" s="93">
        <f t="shared" si="4306"/>
        <v>0</v>
      </c>
      <c r="O264" s="93">
        <f t="shared" si="4306"/>
        <v>0</v>
      </c>
      <c r="P264" s="93">
        <f t="shared" si="4306"/>
        <v>0</v>
      </c>
      <c r="Q264" s="93">
        <f t="shared" si="4306"/>
        <v>0</v>
      </c>
      <c r="R264" s="93">
        <f t="shared" si="4306"/>
        <v>0</v>
      </c>
      <c r="S264" s="93">
        <f t="shared" si="4306"/>
        <v>0</v>
      </c>
      <c r="T264" s="93">
        <f t="shared" si="4306"/>
        <v>0</v>
      </c>
      <c r="U264" s="93">
        <f t="shared" si="4306"/>
        <v>0</v>
      </c>
      <c r="V264" s="93">
        <f t="shared" si="4306"/>
        <v>0</v>
      </c>
      <c r="W264" s="93">
        <f t="shared" si="4306"/>
        <v>0</v>
      </c>
      <c r="X264" s="93">
        <f t="shared" si="4306"/>
        <v>0</v>
      </c>
      <c r="Y264" s="93">
        <f t="shared" si="4306"/>
        <v>0</v>
      </c>
      <c r="Z264" s="93">
        <f t="shared" si="4306"/>
        <v>0</v>
      </c>
      <c r="AA264" s="93">
        <f t="shared" si="4306"/>
        <v>0</v>
      </c>
      <c r="AB264" s="93">
        <f t="shared" si="4306"/>
        <v>0</v>
      </c>
      <c r="AC264" s="93">
        <f t="shared" si="4306"/>
        <v>0</v>
      </c>
      <c r="AD264" s="93">
        <f t="shared" si="4306"/>
        <v>0</v>
      </c>
      <c r="AE264" s="93">
        <f t="shared" si="4306"/>
        <v>0</v>
      </c>
      <c r="AF264" s="93">
        <f t="shared" si="4306"/>
        <v>0</v>
      </c>
      <c r="AG264" s="93">
        <f t="shared" si="4306"/>
        <v>0</v>
      </c>
      <c r="AH264" s="93">
        <f t="shared" si="4306"/>
        <v>0</v>
      </c>
      <c r="AI264" s="93">
        <f t="shared" si="4306"/>
        <v>0</v>
      </c>
      <c r="AJ264" s="93">
        <f t="shared" si="4306"/>
        <v>0</v>
      </c>
      <c r="AK264" s="93">
        <f t="shared" si="4306"/>
        <v>0</v>
      </c>
      <c r="AL264" s="93">
        <f t="shared" si="4306"/>
        <v>0</v>
      </c>
      <c r="AM264" s="93">
        <f t="shared" si="4306"/>
        <v>0</v>
      </c>
      <c r="AN264" s="93">
        <f t="shared" si="4306"/>
        <v>0</v>
      </c>
      <c r="AO264" s="93">
        <f t="shared" si="4306"/>
        <v>0</v>
      </c>
      <c r="AP264" s="93">
        <f t="shared" si="4306"/>
        <v>0</v>
      </c>
      <c r="AQ264" s="93">
        <f t="shared" si="4306"/>
        <v>0</v>
      </c>
      <c r="AR264" s="93">
        <f t="shared" si="4306"/>
        <v>0</v>
      </c>
      <c r="AS264" s="93">
        <f t="shared" si="4306"/>
        <v>0</v>
      </c>
      <c r="AT264" s="93">
        <f t="shared" si="4306"/>
        <v>0</v>
      </c>
      <c r="AU264" s="93">
        <f t="shared" si="4306"/>
        <v>0</v>
      </c>
      <c r="AV264" s="93">
        <f t="shared" si="4306"/>
        <v>0</v>
      </c>
      <c r="AW264" s="93">
        <f t="shared" si="4306"/>
        <v>0</v>
      </c>
      <c r="AX264" s="93">
        <f t="shared" si="4306"/>
        <v>0</v>
      </c>
      <c r="AY264" s="93">
        <f t="shared" si="4306"/>
        <v>0</v>
      </c>
      <c r="AZ264" s="93">
        <f t="shared" si="4306"/>
        <v>0</v>
      </c>
      <c r="BA264" s="93">
        <f t="shared" si="4306"/>
        <v>0</v>
      </c>
      <c r="BB264" s="93">
        <f t="shared" si="4306"/>
        <v>0</v>
      </c>
      <c r="BC264" s="93">
        <f t="shared" si="4306"/>
        <v>0</v>
      </c>
      <c r="BD264" s="93">
        <f t="shared" si="4306"/>
        <v>0</v>
      </c>
      <c r="BE264" s="93">
        <f t="shared" si="4306"/>
        <v>0</v>
      </c>
      <c r="BF264" s="93">
        <f t="shared" si="4306"/>
        <v>0</v>
      </c>
      <c r="BG264" s="93">
        <f t="shared" si="4306"/>
        <v>0</v>
      </c>
      <c r="BH264" s="93">
        <f t="shared" si="4306"/>
        <v>0</v>
      </c>
      <c r="BI264" s="93">
        <f t="shared" si="4306"/>
        <v>0</v>
      </c>
      <c r="BJ264" s="93">
        <f t="shared" si="4306"/>
        <v>0</v>
      </c>
      <c r="BK264" s="93">
        <f t="shared" si="4306"/>
        <v>0</v>
      </c>
      <c r="BL264" s="93">
        <f t="shared" si="4306"/>
        <v>0</v>
      </c>
      <c r="BM264" s="93">
        <f t="shared" si="4306"/>
        <v>0</v>
      </c>
      <c r="BN264" s="93">
        <f t="shared" si="4306"/>
        <v>0</v>
      </c>
      <c r="BO264" s="93">
        <f t="shared" ref="BO264:DZ264" si="4307">IFERROR(BO31/BO209,0)</f>
        <v>0</v>
      </c>
      <c r="BP264" s="93">
        <f t="shared" si="4307"/>
        <v>0</v>
      </c>
      <c r="BQ264" s="93">
        <f t="shared" si="4307"/>
        <v>0</v>
      </c>
      <c r="BR264" s="93">
        <f t="shared" si="4307"/>
        <v>0</v>
      </c>
      <c r="BS264" s="93">
        <f t="shared" si="4307"/>
        <v>0</v>
      </c>
      <c r="BT264" s="93">
        <f t="shared" si="4307"/>
        <v>0</v>
      </c>
      <c r="BU264" s="93">
        <f t="shared" si="4307"/>
        <v>0</v>
      </c>
      <c r="BV264" s="93">
        <f t="shared" si="4307"/>
        <v>0</v>
      </c>
      <c r="BW264" s="93">
        <f t="shared" si="4307"/>
        <v>0</v>
      </c>
      <c r="BX264" s="93">
        <f t="shared" si="4307"/>
        <v>0</v>
      </c>
      <c r="BY264" s="93">
        <f t="shared" si="4307"/>
        <v>0</v>
      </c>
      <c r="BZ264" s="93">
        <f t="shared" si="4307"/>
        <v>0</v>
      </c>
      <c r="CA264" s="93">
        <f t="shared" si="4307"/>
        <v>0</v>
      </c>
      <c r="CB264" s="93">
        <f t="shared" si="4307"/>
        <v>0</v>
      </c>
      <c r="CC264" s="93">
        <f t="shared" si="4307"/>
        <v>0</v>
      </c>
      <c r="CD264" s="93">
        <f t="shared" si="4307"/>
        <v>0</v>
      </c>
      <c r="CE264" s="93">
        <f t="shared" si="4307"/>
        <v>0</v>
      </c>
      <c r="CF264" s="93">
        <f t="shared" si="4307"/>
        <v>0</v>
      </c>
      <c r="CG264" s="93">
        <f t="shared" si="4307"/>
        <v>0</v>
      </c>
      <c r="CH264" s="93">
        <f t="shared" si="4307"/>
        <v>0</v>
      </c>
      <c r="CI264" s="93">
        <f t="shared" si="4307"/>
        <v>0</v>
      </c>
      <c r="CJ264" s="93">
        <f t="shared" si="4307"/>
        <v>0</v>
      </c>
      <c r="CK264" s="93">
        <f t="shared" si="4307"/>
        <v>0</v>
      </c>
      <c r="CL264" s="93">
        <f t="shared" si="4307"/>
        <v>0</v>
      </c>
      <c r="CM264" s="93">
        <f t="shared" si="4307"/>
        <v>0</v>
      </c>
      <c r="CN264" s="93">
        <f t="shared" si="4307"/>
        <v>0</v>
      </c>
      <c r="CO264" s="93">
        <f t="shared" si="4307"/>
        <v>0</v>
      </c>
      <c r="CP264" s="93">
        <f t="shared" si="4307"/>
        <v>0</v>
      </c>
      <c r="CQ264" s="93">
        <f t="shared" si="4307"/>
        <v>0</v>
      </c>
      <c r="CR264" s="93">
        <f t="shared" si="4307"/>
        <v>0</v>
      </c>
      <c r="CS264" s="93">
        <f t="shared" si="4307"/>
        <v>0</v>
      </c>
      <c r="CT264" s="93">
        <f t="shared" si="4307"/>
        <v>0</v>
      </c>
      <c r="CU264" s="93">
        <f t="shared" si="4307"/>
        <v>0</v>
      </c>
      <c r="CV264" s="93">
        <f t="shared" si="4307"/>
        <v>0</v>
      </c>
      <c r="CW264" s="93">
        <f t="shared" si="4307"/>
        <v>0</v>
      </c>
      <c r="CX264" s="93">
        <f t="shared" si="4307"/>
        <v>0</v>
      </c>
      <c r="CY264" s="93">
        <f t="shared" si="4307"/>
        <v>0</v>
      </c>
      <c r="CZ264" s="93">
        <f t="shared" si="4307"/>
        <v>0</v>
      </c>
      <c r="DA264" s="93">
        <f t="shared" si="4307"/>
        <v>0</v>
      </c>
      <c r="DB264" s="93">
        <f t="shared" si="4307"/>
        <v>0</v>
      </c>
      <c r="DC264" s="93">
        <f t="shared" si="4307"/>
        <v>0</v>
      </c>
      <c r="DD264" s="93">
        <f t="shared" si="4307"/>
        <v>0</v>
      </c>
      <c r="DE264" s="93">
        <f t="shared" si="4307"/>
        <v>0</v>
      </c>
      <c r="DF264" s="93">
        <f t="shared" si="4307"/>
        <v>0</v>
      </c>
      <c r="DG264" s="93">
        <f t="shared" si="4307"/>
        <v>0</v>
      </c>
      <c r="DH264" s="93">
        <f t="shared" si="4307"/>
        <v>0</v>
      </c>
      <c r="DI264" s="93">
        <f t="shared" si="4307"/>
        <v>0</v>
      </c>
      <c r="DJ264" s="93">
        <f t="shared" si="4307"/>
        <v>0</v>
      </c>
      <c r="DK264" s="93">
        <f t="shared" si="4307"/>
        <v>0</v>
      </c>
      <c r="DL264" s="93">
        <f t="shared" si="4307"/>
        <v>0</v>
      </c>
      <c r="DM264" s="93">
        <f t="shared" si="4307"/>
        <v>0</v>
      </c>
      <c r="DN264" s="93">
        <f t="shared" si="4307"/>
        <v>0</v>
      </c>
      <c r="DO264" s="93">
        <f t="shared" si="4307"/>
        <v>0</v>
      </c>
      <c r="DP264" s="93">
        <f t="shared" si="4307"/>
        <v>0</v>
      </c>
      <c r="DQ264" s="93">
        <f t="shared" si="4307"/>
        <v>0</v>
      </c>
      <c r="DR264" s="93">
        <f t="shared" si="4307"/>
        <v>0</v>
      </c>
      <c r="DS264" s="93">
        <f t="shared" si="4307"/>
        <v>0</v>
      </c>
      <c r="DT264" s="93">
        <f t="shared" si="4307"/>
        <v>0</v>
      </c>
      <c r="DU264" s="93">
        <f t="shared" si="4307"/>
        <v>0</v>
      </c>
      <c r="DV264" s="93">
        <f t="shared" si="4307"/>
        <v>0</v>
      </c>
      <c r="DW264" s="93">
        <f t="shared" si="4307"/>
        <v>0</v>
      </c>
      <c r="DX264" s="93">
        <f t="shared" si="4307"/>
        <v>0</v>
      </c>
      <c r="DY264" s="93">
        <f t="shared" si="4307"/>
        <v>0</v>
      </c>
      <c r="DZ264" s="93">
        <f t="shared" si="4307"/>
        <v>0</v>
      </c>
      <c r="EA264" s="93">
        <f t="shared" ref="EA264:FY264" si="4308">IFERROR(EA31/EA209,0)</f>
        <v>0</v>
      </c>
      <c r="EB264" s="93">
        <f t="shared" si="4308"/>
        <v>0</v>
      </c>
      <c r="EC264" s="93">
        <f t="shared" si="4308"/>
        <v>0</v>
      </c>
      <c r="ED264" s="93">
        <f t="shared" si="4308"/>
        <v>0</v>
      </c>
      <c r="EE264" s="93">
        <f t="shared" si="4308"/>
        <v>0</v>
      </c>
      <c r="EF264" s="93">
        <f t="shared" si="4308"/>
        <v>0</v>
      </c>
      <c r="EG264" s="93">
        <f t="shared" si="4308"/>
        <v>0</v>
      </c>
      <c r="EH264" s="93">
        <f t="shared" si="4308"/>
        <v>0</v>
      </c>
      <c r="EI264" s="93">
        <f t="shared" si="4308"/>
        <v>0</v>
      </c>
      <c r="EJ264" s="93">
        <f t="shared" si="4308"/>
        <v>0</v>
      </c>
      <c r="EK264" s="93">
        <f t="shared" si="4308"/>
        <v>0</v>
      </c>
      <c r="EL264" s="93">
        <f t="shared" si="4308"/>
        <v>0</v>
      </c>
      <c r="EM264" s="93">
        <f t="shared" si="4308"/>
        <v>0</v>
      </c>
      <c r="EN264" s="93">
        <f t="shared" si="4308"/>
        <v>0</v>
      </c>
      <c r="EO264" s="93">
        <f t="shared" si="4308"/>
        <v>0</v>
      </c>
      <c r="EP264" s="93">
        <f t="shared" si="4308"/>
        <v>0</v>
      </c>
      <c r="EQ264" s="93">
        <f t="shared" si="4308"/>
        <v>0</v>
      </c>
      <c r="ER264" s="93">
        <f t="shared" si="4308"/>
        <v>0</v>
      </c>
      <c r="ES264" s="93">
        <f t="shared" si="4308"/>
        <v>0</v>
      </c>
      <c r="ET264" s="93">
        <f t="shared" si="4308"/>
        <v>0</v>
      </c>
      <c r="EU264" s="93">
        <f t="shared" si="4308"/>
        <v>0</v>
      </c>
      <c r="EV264" s="93">
        <f t="shared" si="4308"/>
        <v>0</v>
      </c>
      <c r="EW264" s="93">
        <f t="shared" si="4308"/>
        <v>0</v>
      </c>
      <c r="EX264" s="93">
        <f t="shared" si="4308"/>
        <v>0</v>
      </c>
      <c r="EY264" s="93">
        <f t="shared" si="4308"/>
        <v>0</v>
      </c>
      <c r="EZ264" s="93">
        <f t="shared" si="4308"/>
        <v>0</v>
      </c>
      <c r="FA264" s="93">
        <f t="shared" si="4308"/>
        <v>0</v>
      </c>
      <c r="FB264" s="93">
        <f t="shared" si="4308"/>
        <v>0</v>
      </c>
      <c r="FC264" s="93">
        <f t="shared" si="4308"/>
        <v>0</v>
      </c>
      <c r="FD264" s="93">
        <f t="shared" si="4308"/>
        <v>0</v>
      </c>
      <c r="FE264" s="93">
        <f t="shared" si="4308"/>
        <v>0</v>
      </c>
      <c r="FF264" s="93">
        <f t="shared" si="4308"/>
        <v>0</v>
      </c>
      <c r="FG264" s="93">
        <f t="shared" si="4308"/>
        <v>0</v>
      </c>
      <c r="FH264" s="93">
        <f t="shared" si="4308"/>
        <v>0</v>
      </c>
      <c r="FI264" s="93">
        <f t="shared" si="4308"/>
        <v>0</v>
      </c>
      <c r="FJ264" s="93">
        <f t="shared" si="4308"/>
        <v>0</v>
      </c>
      <c r="FK264" s="93">
        <f t="shared" si="4308"/>
        <v>0</v>
      </c>
      <c r="FL264" s="93">
        <f t="shared" si="4308"/>
        <v>0</v>
      </c>
      <c r="FM264" s="93">
        <f t="shared" si="4308"/>
        <v>0</v>
      </c>
      <c r="FN264" s="93">
        <f t="shared" si="4308"/>
        <v>0</v>
      </c>
      <c r="FO264" s="93">
        <f t="shared" si="4308"/>
        <v>0</v>
      </c>
      <c r="FP264" s="93">
        <f t="shared" si="4308"/>
        <v>0</v>
      </c>
      <c r="FQ264" s="93">
        <f t="shared" si="4308"/>
        <v>0</v>
      </c>
      <c r="FR264" s="93">
        <f t="shared" si="4308"/>
        <v>0</v>
      </c>
      <c r="FS264" s="93">
        <f t="shared" si="4308"/>
        <v>0</v>
      </c>
      <c r="FT264" s="93">
        <f t="shared" si="4308"/>
        <v>0</v>
      </c>
      <c r="FU264" s="93">
        <f t="shared" si="4308"/>
        <v>0</v>
      </c>
      <c r="FV264" s="93">
        <f t="shared" si="4308"/>
        <v>0</v>
      </c>
      <c r="FW264" s="93">
        <f t="shared" si="4308"/>
        <v>0</v>
      </c>
      <c r="FX264" s="93">
        <f t="shared" si="4308"/>
        <v>0</v>
      </c>
      <c r="FY264" s="93">
        <f t="shared" si="4308"/>
        <v>0</v>
      </c>
      <c r="FZ264" s="59"/>
      <c r="GA264" s="1" t="s">
        <v>273</v>
      </c>
    </row>
    <row r="265" spans="1:185" x14ac:dyDescent="0.2">
      <c r="A265" s="92" t="s">
        <v>208</v>
      </c>
      <c r="B265" s="93">
        <f>IFERROR(SUM(B262:B264)*B99+SUM(B267:B268)*B99,0)</f>
        <v>526.00846337453675</v>
      </c>
      <c r="C265" s="93">
        <f t="shared" ref="C265:BN265" si="4309">IFERROR(SUM(C262:C264)*C99+SUM(C267:C268)*C99,0)</f>
        <v>504.31578267809709</v>
      </c>
      <c r="D265" s="93">
        <f t="shared" si="4309"/>
        <v>482.91534829565023</v>
      </c>
      <c r="E265" s="93">
        <f t="shared" si="4309"/>
        <v>461.81535176522021</v>
      </c>
      <c r="F265" s="93">
        <f t="shared" si="4309"/>
        <v>441.02413904210431</v>
      </c>
      <c r="G265" s="93">
        <f t="shared" si="4309"/>
        <v>420.55021316780181</v>
      </c>
      <c r="H265" s="93">
        <f t="shared" si="4309"/>
        <v>400.40223698417549</v>
      </c>
      <c r="I265" s="93">
        <f t="shared" si="4309"/>
        <v>380.58903589320522</v>
      </c>
      <c r="J265" s="93">
        <f t="shared" si="4309"/>
        <v>361.11960066327379</v>
      </c>
      <c r="K265" s="93">
        <f t="shared" si="4309"/>
        <v>342.00309028281947</v>
      </c>
      <c r="L265" s="93">
        <f t="shared" si="4309"/>
        <v>323.24883486203629</v>
      </c>
      <c r="M265" s="93">
        <f t="shared" si="4309"/>
        <v>304.86633858330055</v>
      </c>
      <c r="N265" s="93">
        <f t="shared" si="4309"/>
        <v>286.86528270160284</v>
      </c>
      <c r="O265" s="93">
        <f t="shared" si="4309"/>
        <v>269.0960292431165</v>
      </c>
      <c r="P265" s="93">
        <f t="shared" si="4309"/>
        <v>251.72959274913651</v>
      </c>
      <c r="Q265" s="93">
        <f t="shared" si="4309"/>
        <v>234.77656165162705</v>
      </c>
      <c r="R265" s="93">
        <f t="shared" si="4309"/>
        <v>218.24772498923278</v>
      </c>
      <c r="S265" s="93">
        <f t="shared" si="4309"/>
        <v>202.15407589972514</v>
      </c>
      <c r="T265" s="93">
        <f t="shared" si="4309"/>
        <v>186.50681517175968</v>
      </c>
      <c r="U265" s="93">
        <f t="shared" si="4309"/>
        <v>171.31735485650461</v>
      </c>
      <c r="V265" s="93">
        <f t="shared" si="4309"/>
        <v>156.597321940641</v>
      </c>
      <c r="W265" s="93">
        <f t="shared" si="4309"/>
        <v>142.35856208138605</v>
      </c>
      <c r="X265" s="93">
        <f t="shared" si="4309"/>
        <v>128.61314340466205</v>
      </c>
      <c r="Y265" s="93">
        <f t="shared" si="4309"/>
        <v>115.37336036761906</v>
      </c>
      <c r="Z265" s="93">
        <f t="shared" si="4309"/>
        <v>102.6517376865326</v>
      </c>
      <c r="AA265" s="93">
        <f t="shared" si="4309"/>
        <v>90.353314029370267</v>
      </c>
      <c r="AB265" s="93">
        <f t="shared" si="4309"/>
        <v>78.605284755478152</v>
      </c>
      <c r="AC265" s="93">
        <f t="shared" si="4309"/>
        <v>67.421411482084906</v>
      </c>
      <c r="AD265" s="93">
        <f t="shared" si="4309"/>
        <v>56.815717664002783</v>
      </c>
      <c r="AE265" s="93">
        <f t="shared" si="4309"/>
        <v>46.802493186107405</v>
      </c>
      <c r="AF265" s="93">
        <f t="shared" si="4309"/>
        <v>37.396299033732802</v>
      </c>
      <c r="AG265" s="93">
        <f t="shared" si="4309"/>
        <v>28.611972042621765</v>
      </c>
      <c r="AH265" s="93">
        <f t="shared" si="4309"/>
        <v>20.464629729587159</v>
      </c>
      <c r="AI265" s="93">
        <f t="shared" si="4309"/>
        <v>12.969675205427023</v>
      </c>
      <c r="AJ265" s="93">
        <f t="shared" si="4309"/>
        <v>6.1428021712913505</v>
      </c>
      <c r="AK265" s="93">
        <f t="shared" si="4309"/>
        <v>0</v>
      </c>
      <c r="AL265" s="93">
        <f t="shared" si="4309"/>
        <v>0</v>
      </c>
      <c r="AM265" s="93">
        <f t="shared" si="4309"/>
        <v>0</v>
      </c>
      <c r="AN265" s="93">
        <f t="shared" si="4309"/>
        <v>0</v>
      </c>
      <c r="AO265" s="93">
        <f t="shared" si="4309"/>
        <v>0</v>
      </c>
      <c r="AP265" s="93">
        <f t="shared" si="4309"/>
        <v>0</v>
      </c>
      <c r="AQ265" s="93">
        <f t="shared" si="4309"/>
        <v>0</v>
      </c>
      <c r="AR265" s="93">
        <f t="shared" si="4309"/>
        <v>0</v>
      </c>
      <c r="AS265" s="93">
        <f t="shared" si="4309"/>
        <v>0</v>
      </c>
      <c r="AT265" s="93">
        <f t="shared" si="4309"/>
        <v>0</v>
      </c>
      <c r="AU265" s="93">
        <f t="shared" si="4309"/>
        <v>0</v>
      </c>
      <c r="AV265" s="93">
        <f t="shared" si="4309"/>
        <v>0</v>
      </c>
      <c r="AW265" s="93">
        <f t="shared" si="4309"/>
        <v>0</v>
      </c>
      <c r="AX265" s="93">
        <f t="shared" si="4309"/>
        <v>0</v>
      </c>
      <c r="AY265" s="93">
        <f t="shared" si="4309"/>
        <v>0</v>
      </c>
      <c r="AZ265" s="93">
        <f t="shared" si="4309"/>
        <v>0</v>
      </c>
      <c r="BA265" s="93">
        <f t="shared" si="4309"/>
        <v>0</v>
      </c>
      <c r="BB265" s="93">
        <f t="shared" si="4309"/>
        <v>0</v>
      </c>
      <c r="BC265" s="93">
        <f t="shared" si="4309"/>
        <v>0</v>
      </c>
      <c r="BD265" s="93">
        <f t="shared" si="4309"/>
        <v>0</v>
      </c>
      <c r="BE265" s="93">
        <f t="shared" si="4309"/>
        <v>0</v>
      </c>
      <c r="BF265" s="93">
        <f t="shared" si="4309"/>
        <v>0</v>
      </c>
      <c r="BG265" s="93">
        <f t="shared" si="4309"/>
        <v>0</v>
      </c>
      <c r="BH265" s="93">
        <f t="shared" si="4309"/>
        <v>0</v>
      </c>
      <c r="BI265" s="93">
        <f t="shared" si="4309"/>
        <v>0</v>
      </c>
      <c r="BJ265" s="93">
        <f t="shared" si="4309"/>
        <v>0</v>
      </c>
      <c r="BK265" s="93">
        <f t="shared" si="4309"/>
        <v>0</v>
      </c>
      <c r="BL265" s="93">
        <f t="shared" si="4309"/>
        <v>0</v>
      </c>
      <c r="BM265" s="93">
        <f t="shared" si="4309"/>
        <v>0</v>
      </c>
      <c r="BN265" s="93">
        <f t="shared" si="4309"/>
        <v>0</v>
      </c>
      <c r="BO265" s="93">
        <f t="shared" ref="BO265:DZ265" si="4310">IFERROR(SUM(BO262:BO264)*BO99+SUM(BO267:BO268)*BO99,0)</f>
        <v>0</v>
      </c>
      <c r="BP265" s="93">
        <f t="shared" si="4310"/>
        <v>0</v>
      </c>
      <c r="BQ265" s="93">
        <f t="shared" si="4310"/>
        <v>0</v>
      </c>
      <c r="BR265" s="93">
        <f t="shared" si="4310"/>
        <v>0</v>
      </c>
      <c r="BS265" s="93">
        <f t="shared" si="4310"/>
        <v>0</v>
      </c>
      <c r="BT265" s="93">
        <f t="shared" si="4310"/>
        <v>0</v>
      </c>
      <c r="BU265" s="93">
        <f t="shared" si="4310"/>
        <v>0</v>
      </c>
      <c r="BV265" s="93">
        <f t="shared" si="4310"/>
        <v>0</v>
      </c>
      <c r="BW265" s="93">
        <f t="shared" si="4310"/>
        <v>0</v>
      </c>
      <c r="BX265" s="93">
        <f t="shared" si="4310"/>
        <v>0</v>
      </c>
      <c r="BY265" s="93">
        <f t="shared" si="4310"/>
        <v>0</v>
      </c>
      <c r="BZ265" s="93">
        <f t="shared" si="4310"/>
        <v>0</v>
      </c>
      <c r="CA265" s="93">
        <f t="shared" si="4310"/>
        <v>0</v>
      </c>
      <c r="CB265" s="93">
        <f t="shared" si="4310"/>
        <v>0</v>
      </c>
      <c r="CC265" s="93">
        <f t="shared" si="4310"/>
        <v>0</v>
      </c>
      <c r="CD265" s="93">
        <f t="shared" si="4310"/>
        <v>0</v>
      </c>
      <c r="CE265" s="93">
        <f t="shared" si="4310"/>
        <v>0</v>
      </c>
      <c r="CF265" s="93">
        <f t="shared" si="4310"/>
        <v>0</v>
      </c>
      <c r="CG265" s="93">
        <f t="shared" si="4310"/>
        <v>0</v>
      </c>
      <c r="CH265" s="93">
        <f t="shared" si="4310"/>
        <v>0</v>
      </c>
      <c r="CI265" s="93">
        <f t="shared" si="4310"/>
        <v>0</v>
      </c>
      <c r="CJ265" s="93">
        <f t="shared" si="4310"/>
        <v>0</v>
      </c>
      <c r="CK265" s="93">
        <f t="shared" si="4310"/>
        <v>0</v>
      </c>
      <c r="CL265" s="93">
        <f t="shared" si="4310"/>
        <v>0</v>
      </c>
      <c r="CM265" s="93">
        <f t="shared" si="4310"/>
        <v>0</v>
      </c>
      <c r="CN265" s="93">
        <f t="shared" si="4310"/>
        <v>0</v>
      </c>
      <c r="CO265" s="93">
        <f t="shared" si="4310"/>
        <v>0</v>
      </c>
      <c r="CP265" s="93">
        <f t="shared" si="4310"/>
        <v>0</v>
      </c>
      <c r="CQ265" s="93">
        <f t="shared" si="4310"/>
        <v>0</v>
      </c>
      <c r="CR265" s="93">
        <f t="shared" si="4310"/>
        <v>0</v>
      </c>
      <c r="CS265" s="93">
        <f t="shared" si="4310"/>
        <v>0</v>
      </c>
      <c r="CT265" s="93">
        <f t="shared" si="4310"/>
        <v>0</v>
      </c>
      <c r="CU265" s="93">
        <f t="shared" si="4310"/>
        <v>0</v>
      </c>
      <c r="CV265" s="93">
        <f t="shared" si="4310"/>
        <v>0</v>
      </c>
      <c r="CW265" s="93">
        <f t="shared" si="4310"/>
        <v>0</v>
      </c>
      <c r="CX265" s="93">
        <f t="shared" si="4310"/>
        <v>0</v>
      </c>
      <c r="CY265" s="93">
        <f t="shared" si="4310"/>
        <v>0</v>
      </c>
      <c r="CZ265" s="93">
        <f t="shared" si="4310"/>
        <v>0</v>
      </c>
      <c r="DA265" s="93">
        <f t="shared" si="4310"/>
        <v>0</v>
      </c>
      <c r="DB265" s="93">
        <f t="shared" si="4310"/>
        <v>0</v>
      </c>
      <c r="DC265" s="93">
        <f t="shared" si="4310"/>
        <v>0</v>
      </c>
      <c r="DD265" s="93">
        <f t="shared" si="4310"/>
        <v>0</v>
      </c>
      <c r="DE265" s="93">
        <f t="shared" si="4310"/>
        <v>0</v>
      </c>
      <c r="DF265" s="93">
        <f t="shared" si="4310"/>
        <v>0</v>
      </c>
      <c r="DG265" s="93">
        <f t="shared" si="4310"/>
        <v>0</v>
      </c>
      <c r="DH265" s="93">
        <f t="shared" si="4310"/>
        <v>0</v>
      </c>
      <c r="DI265" s="93">
        <f t="shared" si="4310"/>
        <v>0</v>
      </c>
      <c r="DJ265" s="93">
        <f t="shared" si="4310"/>
        <v>0</v>
      </c>
      <c r="DK265" s="93">
        <f t="shared" si="4310"/>
        <v>0</v>
      </c>
      <c r="DL265" s="93">
        <f t="shared" si="4310"/>
        <v>0</v>
      </c>
      <c r="DM265" s="93">
        <f t="shared" si="4310"/>
        <v>0</v>
      </c>
      <c r="DN265" s="93">
        <f t="shared" si="4310"/>
        <v>0</v>
      </c>
      <c r="DO265" s="93">
        <f t="shared" si="4310"/>
        <v>0</v>
      </c>
      <c r="DP265" s="93">
        <f t="shared" si="4310"/>
        <v>0</v>
      </c>
      <c r="DQ265" s="93">
        <f t="shared" si="4310"/>
        <v>0</v>
      </c>
      <c r="DR265" s="93">
        <f t="shared" si="4310"/>
        <v>0</v>
      </c>
      <c r="DS265" s="93">
        <f t="shared" si="4310"/>
        <v>0</v>
      </c>
      <c r="DT265" s="93">
        <f t="shared" si="4310"/>
        <v>0</v>
      </c>
      <c r="DU265" s="93">
        <f t="shared" si="4310"/>
        <v>0</v>
      </c>
      <c r="DV265" s="93">
        <f t="shared" si="4310"/>
        <v>0</v>
      </c>
      <c r="DW265" s="93">
        <f t="shared" si="4310"/>
        <v>0</v>
      </c>
      <c r="DX265" s="93">
        <f t="shared" si="4310"/>
        <v>0</v>
      </c>
      <c r="DY265" s="93">
        <f t="shared" si="4310"/>
        <v>0</v>
      </c>
      <c r="DZ265" s="93">
        <f t="shared" si="4310"/>
        <v>0</v>
      </c>
      <c r="EA265" s="93">
        <f t="shared" ref="EA265:FY265" si="4311">IFERROR(SUM(EA262:EA264)*EA99+SUM(EA267:EA268)*EA99,0)</f>
        <v>0</v>
      </c>
      <c r="EB265" s="93">
        <f t="shared" si="4311"/>
        <v>0</v>
      </c>
      <c r="EC265" s="93">
        <f t="shared" si="4311"/>
        <v>0</v>
      </c>
      <c r="ED265" s="93">
        <f t="shared" si="4311"/>
        <v>0</v>
      </c>
      <c r="EE265" s="93">
        <f t="shared" si="4311"/>
        <v>0</v>
      </c>
      <c r="EF265" s="93">
        <f t="shared" si="4311"/>
        <v>0</v>
      </c>
      <c r="EG265" s="93">
        <f t="shared" si="4311"/>
        <v>0</v>
      </c>
      <c r="EH265" s="93">
        <f t="shared" si="4311"/>
        <v>0</v>
      </c>
      <c r="EI265" s="93">
        <f t="shared" si="4311"/>
        <v>0</v>
      </c>
      <c r="EJ265" s="93">
        <f t="shared" si="4311"/>
        <v>0</v>
      </c>
      <c r="EK265" s="93">
        <f t="shared" si="4311"/>
        <v>0</v>
      </c>
      <c r="EL265" s="93">
        <f t="shared" si="4311"/>
        <v>0</v>
      </c>
      <c r="EM265" s="93">
        <f t="shared" si="4311"/>
        <v>0</v>
      </c>
      <c r="EN265" s="93">
        <f t="shared" si="4311"/>
        <v>0</v>
      </c>
      <c r="EO265" s="93">
        <f t="shared" si="4311"/>
        <v>0</v>
      </c>
      <c r="EP265" s="93">
        <f t="shared" si="4311"/>
        <v>0</v>
      </c>
      <c r="EQ265" s="93">
        <f t="shared" si="4311"/>
        <v>0</v>
      </c>
      <c r="ER265" s="93">
        <f t="shared" si="4311"/>
        <v>0</v>
      </c>
      <c r="ES265" s="93">
        <f t="shared" si="4311"/>
        <v>0</v>
      </c>
      <c r="ET265" s="93">
        <f t="shared" si="4311"/>
        <v>0</v>
      </c>
      <c r="EU265" s="93">
        <f t="shared" si="4311"/>
        <v>0</v>
      </c>
      <c r="EV265" s="93">
        <f t="shared" si="4311"/>
        <v>0</v>
      </c>
      <c r="EW265" s="93">
        <f t="shared" si="4311"/>
        <v>0</v>
      </c>
      <c r="EX265" s="93">
        <f t="shared" si="4311"/>
        <v>0</v>
      </c>
      <c r="EY265" s="93">
        <f t="shared" si="4311"/>
        <v>0</v>
      </c>
      <c r="EZ265" s="93">
        <f t="shared" si="4311"/>
        <v>0</v>
      </c>
      <c r="FA265" s="93">
        <f t="shared" si="4311"/>
        <v>0</v>
      </c>
      <c r="FB265" s="93">
        <f t="shared" si="4311"/>
        <v>0</v>
      </c>
      <c r="FC265" s="93">
        <f t="shared" si="4311"/>
        <v>0</v>
      </c>
      <c r="FD265" s="93">
        <f t="shared" si="4311"/>
        <v>0</v>
      </c>
      <c r="FE265" s="93">
        <f t="shared" si="4311"/>
        <v>0</v>
      </c>
      <c r="FF265" s="93">
        <f t="shared" si="4311"/>
        <v>0</v>
      </c>
      <c r="FG265" s="93">
        <f t="shared" si="4311"/>
        <v>0</v>
      </c>
      <c r="FH265" s="93">
        <f t="shared" si="4311"/>
        <v>0</v>
      </c>
      <c r="FI265" s="93">
        <f t="shared" si="4311"/>
        <v>0</v>
      </c>
      <c r="FJ265" s="93">
        <f t="shared" si="4311"/>
        <v>0</v>
      </c>
      <c r="FK265" s="93">
        <f t="shared" si="4311"/>
        <v>0</v>
      </c>
      <c r="FL265" s="93">
        <f t="shared" si="4311"/>
        <v>0</v>
      </c>
      <c r="FM265" s="93">
        <f t="shared" si="4311"/>
        <v>0</v>
      </c>
      <c r="FN265" s="93">
        <f t="shared" si="4311"/>
        <v>0</v>
      </c>
      <c r="FO265" s="93">
        <f t="shared" si="4311"/>
        <v>0</v>
      </c>
      <c r="FP265" s="93">
        <f t="shared" si="4311"/>
        <v>0</v>
      </c>
      <c r="FQ265" s="93">
        <f t="shared" si="4311"/>
        <v>0</v>
      </c>
      <c r="FR265" s="93">
        <f t="shared" si="4311"/>
        <v>0</v>
      </c>
      <c r="FS265" s="93">
        <f t="shared" si="4311"/>
        <v>0</v>
      </c>
      <c r="FT265" s="93">
        <f t="shared" si="4311"/>
        <v>0</v>
      </c>
      <c r="FU265" s="93">
        <f t="shared" si="4311"/>
        <v>0</v>
      </c>
      <c r="FV265" s="93">
        <f t="shared" si="4311"/>
        <v>0</v>
      </c>
      <c r="FW265" s="93">
        <f t="shared" si="4311"/>
        <v>0</v>
      </c>
      <c r="FX265" s="93">
        <f t="shared" si="4311"/>
        <v>0</v>
      </c>
      <c r="FY265" s="93">
        <f t="shared" si="4311"/>
        <v>0</v>
      </c>
      <c r="FZ265" s="59"/>
      <c r="GA265" s="1" t="s">
        <v>272</v>
      </c>
      <c r="GB265" s="2" t="s">
        <v>274</v>
      </c>
      <c r="GC265" s="294">
        <f>SUM(B265:FY265)</f>
        <v>7860.7295976354708</v>
      </c>
    </row>
    <row r="266" spans="1:185" x14ac:dyDescent="0.2">
      <c r="A266" s="92" t="s">
        <v>209</v>
      </c>
      <c r="B266" s="93">
        <f>IFERROR(B32/B209,0)</f>
        <v>-4460.5212701498422</v>
      </c>
      <c r="C266" s="93">
        <f t="shared" ref="C266:BN266" si="4312">IFERROR(C32/C209,0)</f>
        <v>-4369.0943372637657</v>
      </c>
      <c r="D266" s="93">
        <f t="shared" si="4312"/>
        <v>-4276.1436221728827</v>
      </c>
      <c r="E266" s="93">
        <f t="shared" si="4312"/>
        <v>-4181.6437284889744</v>
      </c>
      <c r="F266" s="93">
        <f t="shared" si="4312"/>
        <v>-4085.5688365828005</v>
      </c>
      <c r="G266" s="93">
        <f t="shared" si="4312"/>
        <v>-3987.8926964740267</v>
      </c>
      <c r="H266" s="93">
        <f t="shared" si="4312"/>
        <v>-3888.5886206943942</v>
      </c>
      <c r="I266" s="93">
        <f t="shared" si="4312"/>
        <v>-3787.6294769903047</v>
      </c>
      <c r="J266" s="93">
        <f t="shared" si="4312"/>
        <v>-3684.9876808915933</v>
      </c>
      <c r="K266" s="93">
        <f t="shared" si="4312"/>
        <v>-3580.635188182167</v>
      </c>
      <c r="L266" s="93">
        <f t="shared" si="4312"/>
        <v>-3474.543487272515</v>
      </c>
      <c r="M266" s="93">
        <f t="shared" si="4312"/>
        <v>-3366.6835913402679</v>
      </c>
      <c r="N266" s="93">
        <f t="shared" si="4312"/>
        <v>-3257.0260304796811</v>
      </c>
      <c r="O266" s="93">
        <f t="shared" si="4312"/>
        <v>-3145.5408436013322</v>
      </c>
      <c r="P266" s="93">
        <f t="shared" si="4312"/>
        <v>-3032.197570278282</v>
      </c>
      <c r="Q266" s="93">
        <f t="shared" si="4312"/>
        <v>-2916.9652423959819</v>
      </c>
      <c r="R266" s="93">
        <f t="shared" si="4312"/>
        <v>-2799.8123757218877</v>
      </c>
      <c r="S266" s="93">
        <f t="shared" si="4312"/>
        <v>-2680.7069612609721</v>
      </c>
      <c r="T266" s="93">
        <f t="shared" si="4312"/>
        <v>-2559.6164565666227</v>
      </c>
      <c r="U266" s="93">
        <f t="shared" si="4312"/>
        <v>-2436.507776792846</v>
      </c>
      <c r="V266" s="93">
        <f t="shared" si="4312"/>
        <v>-2311.347285684004</v>
      </c>
      <c r="W266" s="93">
        <f t="shared" si="4312"/>
        <v>-2184.1007863950704</v>
      </c>
      <c r="X266" s="93">
        <f t="shared" si="4312"/>
        <v>-2054.7335121245296</v>
      </c>
      <c r="Y266" s="93">
        <f t="shared" si="4312"/>
        <v>-1923.2101166045495</v>
      </c>
      <c r="Z266" s="93">
        <f t="shared" si="4312"/>
        <v>-1789.4946644930155</v>
      </c>
      <c r="AA266" s="93">
        <f t="shared" si="4312"/>
        <v>-1653.5506215247021</v>
      </c>
      <c r="AB266" s="93">
        <f t="shared" si="4312"/>
        <v>-1515.3408444929403</v>
      </c>
      <c r="AC266" s="93">
        <f t="shared" si="4312"/>
        <v>-1374.8275711866831</v>
      </c>
      <c r="AD266" s="93">
        <f t="shared" si="4312"/>
        <v>-1231.9724099885686</v>
      </c>
      <c r="AE266" s="93">
        <f t="shared" si="4312"/>
        <v>-1086.736329437301</v>
      </c>
      <c r="AF266" s="93">
        <f t="shared" si="4312"/>
        <v>-939.07964754024101</v>
      </c>
      <c r="AG266" s="93">
        <f t="shared" si="4312"/>
        <v>-788.96202094950593</v>
      </c>
      <c r="AH266" s="93">
        <f t="shared" si="4312"/>
        <v>-636.34243391504174</v>
      </c>
      <c r="AI266" s="93">
        <f t="shared" si="4312"/>
        <v>-481.17918709585211</v>
      </c>
      <c r="AJ266" s="93">
        <f t="shared" si="4312"/>
        <v>-323.42988616247402</v>
      </c>
      <c r="AK266" s="93">
        <f t="shared" si="4312"/>
        <v>0</v>
      </c>
      <c r="AL266" s="93">
        <f t="shared" si="4312"/>
        <v>0</v>
      </c>
      <c r="AM266" s="93">
        <f t="shared" si="4312"/>
        <v>0</v>
      </c>
      <c r="AN266" s="93">
        <f t="shared" si="4312"/>
        <v>0</v>
      </c>
      <c r="AO266" s="93">
        <f t="shared" si="4312"/>
        <v>0</v>
      </c>
      <c r="AP266" s="93">
        <f t="shared" si="4312"/>
        <v>0</v>
      </c>
      <c r="AQ266" s="93">
        <f t="shared" si="4312"/>
        <v>0</v>
      </c>
      <c r="AR266" s="93">
        <f t="shared" si="4312"/>
        <v>0</v>
      </c>
      <c r="AS266" s="93">
        <f t="shared" si="4312"/>
        <v>0</v>
      </c>
      <c r="AT266" s="93">
        <f t="shared" si="4312"/>
        <v>0</v>
      </c>
      <c r="AU266" s="93">
        <f t="shared" si="4312"/>
        <v>0</v>
      </c>
      <c r="AV266" s="93">
        <f t="shared" si="4312"/>
        <v>0</v>
      </c>
      <c r="AW266" s="93">
        <f t="shared" si="4312"/>
        <v>0</v>
      </c>
      <c r="AX266" s="93">
        <f t="shared" si="4312"/>
        <v>0</v>
      </c>
      <c r="AY266" s="93">
        <f t="shared" si="4312"/>
        <v>0</v>
      </c>
      <c r="AZ266" s="93">
        <f t="shared" si="4312"/>
        <v>0</v>
      </c>
      <c r="BA266" s="93">
        <f t="shared" si="4312"/>
        <v>0</v>
      </c>
      <c r="BB266" s="93">
        <f t="shared" si="4312"/>
        <v>0</v>
      </c>
      <c r="BC266" s="93">
        <f t="shared" si="4312"/>
        <v>0</v>
      </c>
      <c r="BD266" s="93">
        <f t="shared" si="4312"/>
        <v>0</v>
      </c>
      <c r="BE266" s="93">
        <f t="shared" si="4312"/>
        <v>0</v>
      </c>
      <c r="BF266" s="93">
        <f t="shared" si="4312"/>
        <v>0</v>
      </c>
      <c r="BG266" s="93">
        <f t="shared" si="4312"/>
        <v>0</v>
      </c>
      <c r="BH266" s="93">
        <f t="shared" si="4312"/>
        <v>0</v>
      </c>
      <c r="BI266" s="93">
        <f t="shared" si="4312"/>
        <v>0</v>
      </c>
      <c r="BJ266" s="93">
        <f t="shared" si="4312"/>
        <v>0</v>
      </c>
      <c r="BK266" s="93">
        <f t="shared" si="4312"/>
        <v>0</v>
      </c>
      <c r="BL266" s="93">
        <f t="shared" si="4312"/>
        <v>0</v>
      </c>
      <c r="BM266" s="93">
        <f t="shared" si="4312"/>
        <v>0</v>
      </c>
      <c r="BN266" s="93">
        <f t="shared" si="4312"/>
        <v>0</v>
      </c>
      <c r="BO266" s="93">
        <f t="shared" ref="BO266:DZ266" si="4313">IFERROR(BO32/BO209,0)</f>
        <v>0</v>
      </c>
      <c r="BP266" s="93">
        <f t="shared" si="4313"/>
        <v>0</v>
      </c>
      <c r="BQ266" s="93">
        <f t="shared" si="4313"/>
        <v>0</v>
      </c>
      <c r="BR266" s="93">
        <f t="shared" si="4313"/>
        <v>0</v>
      </c>
      <c r="BS266" s="93">
        <f t="shared" si="4313"/>
        <v>0</v>
      </c>
      <c r="BT266" s="93">
        <f t="shared" si="4313"/>
        <v>0</v>
      </c>
      <c r="BU266" s="93">
        <f t="shared" si="4313"/>
        <v>0</v>
      </c>
      <c r="BV266" s="93">
        <f t="shared" si="4313"/>
        <v>0</v>
      </c>
      <c r="BW266" s="93">
        <f t="shared" si="4313"/>
        <v>0</v>
      </c>
      <c r="BX266" s="93">
        <f t="shared" si="4313"/>
        <v>0</v>
      </c>
      <c r="BY266" s="93">
        <f t="shared" si="4313"/>
        <v>0</v>
      </c>
      <c r="BZ266" s="93">
        <f t="shared" si="4313"/>
        <v>0</v>
      </c>
      <c r="CA266" s="93">
        <f t="shared" si="4313"/>
        <v>0</v>
      </c>
      <c r="CB266" s="93">
        <f t="shared" si="4313"/>
        <v>0</v>
      </c>
      <c r="CC266" s="93">
        <f t="shared" si="4313"/>
        <v>0</v>
      </c>
      <c r="CD266" s="93">
        <f t="shared" si="4313"/>
        <v>0</v>
      </c>
      <c r="CE266" s="93">
        <f t="shared" si="4313"/>
        <v>0</v>
      </c>
      <c r="CF266" s="93">
        <f t="shared" si="4313"/>
        <v>0</v>
      </c>
      <c r="CG266" s="93">
        <f t="shared" si="4313"/>
        <v>0</v>
      </c>
      <c r="CH266" s="93">
        <f t="shared" si="4313"/>
        <v>0</v>
      </c>
      <c r="CI266" s="93">
        <f t="shared" si="4313"/>
        <v>0</v>
      </c>
      <c r="CJ266" s="93">
        <f t="shared" si="4313"/>
        <v>0</v>
      </c>
      <c r="CK266" s="93">
        <f t="shared" si="4313"/>
        <v>0</v>
      </c>
      <c r="CL266" s="93">
        <f t="shared" si="4313"/>
        <v>0</v>
      </c>
      <c r="CM266" s="93">
        <f t="shared" si="4313"/>
        <v>0</v>
      </c>
      <c r="CN266" s="93">
        <f t="shared" si="4313"/>
        <v>0</v>
      </c>
      <c r="CO266" s="93">
        <f t="shared" si="4313"/>
        <v>0</v>
      </c>
      <c r="CP266" s="93">
        <f t="shared" si="4313"/>
        <v>0</v>
      </c>
      <c r="CQ266" s="93">
        <f t="shared" si="4313"/>
        <v>0</v>
      </c>
      <c r="CR266" s="93">
        <f t="shared" si="4313"/>
        <v>0</v>
      </c>
      <c r="CS266" s="93">
        <f t="shared" si="4313"/>
        <v>0</v>
      </c>
      <c r="CT266" s="93">
        <f t="shared" si="4313"/>
        <v>0</v>
      </c>
      <c r="CU266" s="93">
        <f t="shared" si="4313"/>
        <v>0</v>
      </c>
      <c r="CV266" s="93">
        <f t="shared" si="4313"/>
        <v>0</v>
      </c>
      <c r="CW266" s="93">
        <f t="shared" si="4313"/>
        <v>0</v>
      </c>
      <c r="CX266" s="93">
        <f t="shared" si="4313"/>
        <v>0</v>
      </c>
      <c r="CY266" s="93">
        <f t="shared" si="4313"/>
        <v>0</v>
      </c>
      <c r="CZ266" s="93">
        <f t="shared" si="4313"/>
        <v>0</v>
      </c>
      <c r="DA266" s="93">
        <f t="shared" si="4313"/>
        <v>0</v>
      </c>
      <c r="DB266" s="93">
        <f t="shared" si="4313"/>
        <v>0</v>
      </c>
      <c r="DC266" s="93">
        <f t="shared" si="4313"/>
        <v>0</v>
      </c>
      <c r="DD266" s="93">
        <f t="shared" si="4313"/>
        <v>0</v>
      </c>
      <c r="DE266" s="93">
        <f t="shared" si="4313"/>
        <v>0</v>
      </c>
      <c r="DF266" s="93">
        <f t="shared" si="4313"/>
        <v>0</v>
      </c>
      <c r="DG266" s="93">
        <f t="shared" si="4313"/>
        <v>0</v>
      </c>
      <c r="DH266" s="93">
        <f t="shared" si="4313"/>
        <v>0</v>
      </c>
      <c r="DI266" s="93">
        <f t="shared" si="4313"/>
        <v>0</v>
      </c>
      <c r="DJ266" s="93">
        <f t="shared" si="4313"/>
        <v>0</v>
      </c>
      <c r="DK266" s="93">
        <f t="shared" si="4313"/>
        <v>0</v>
      </c>
      <c r="DL266" s="93">
        <f t="shared" si="4313"/>
        <v>0</v>
      </c>
      <c r="DM266" s="93">
        <f t="shared" si="4313"/>
        <v>0</v>
      </c>
      <c r="DN266" s="93">
        <f t="shared" si="4313"/>
        <v>0</v>
      </c>
      <c r="DO266" s="93">
        <f t="shared" si="4313"/>
        <v>0</v>
      </c>
      <c r="DP266" s="93">
        <f t="shared" si="4313"/>
        <v>0</v>
      </c>
      <c r="DQ266" s="93">
        <f t="shared" si="4313"/>
        <v>0</v>
      </c>
      <c r="DR266" s="93">
        <f t="shared" si="4313"/>
        <v>0</v>
      </c>
      <c r="DS266" s="93">
        <f t="shared" si="4313"/>
        <v>0</v>
      </c>
      <c r="DT266" s="93">
        <f t="shared" si="4313"/>
        <v>0</v>
      </c>
      <c r="DU266" s="93">
        <f t="shared" si="4313"/>
        <v>0</v>
      </c>
      <c r="DV266" s="93">
        <f t="shared" si="4313"/>
        <v>0</v>
      </c>
      <c r="DW266" s="93">
        <f t="shared" si="4313"/>
        <v>0</v>
      </c>
      <c r="DX266" s="93">
        <f t="shared" si="4313"/>
        <v>0</v>
      </c>
      <c r="DY266" s="93">
        <f t="shared" si="4313"/>
        <v>0</v>
      </c>
      <c r="DZ266" s="93">
        <f t="shared" si="4313"/>
        <v>0</v>
      </c>
      <c r="EA266" s="93">
        <f t="shared" ref="EA266:FY266" si="4314">IFERROR(EA32/EA209,0)</f>
        <v>0</v>
      </c>
      <c r="EB266" s="93">
        <f t="shared" si="4314"/>
        <v>0</v>
      </c>
      <c r="EC266" s="93">
        <f t="shared" si="4314"/>
        <v>0</v>
      </c>
      <c r="ED266" s="93">
        <f t="shared" si="4314"/>
        <v>0</v>
      </c>
      <c r="EE266" s="93">
        <f t="shared" si="4314"/>
        <v>0</v>
      </c>
      <c r="EF266" s="93">
        <f t="shared" si="4314"/>
        <v>0</v>
      </c>
      <c r="EG266" s="93">
        <f t="shared" si="4314"/>
        <v>0</v>
      </c>
      <c r="EH266" s="93">
        <f t="shared" si="4314"/>
        <v>0</v>
      </c>
      <c r="EI266" s="93">
        <f t="shared" si="4314"/>
        <v>0</v>
      </c>
      <c r="EJ266" s="93">
        <f t="shared" si="4314"/>
        <v>0</v>
      </c>
      <c r="EK266" s="93">
        <f t="shared" si="4314"/>
        <v>0</v>
      </c>
      <c r="EL266" s="93">
        <f t="shared" si="4314"/>
        <v>0</v>
      </c>
      <c r="EM266" s="93">
        <f t="shared" si="4314"/>
        <v>0</v>
      </c>
      <c r="EN266" s="93">
        <f t="shared" si="4314"/>
        <v>0</v>
      </c>
      <c r="EO266" s="93">
        <f t="shared" si="4314"/>
        <v>0</v>
      </c>
      <c r="EP266" s="93">
        <f t="shared" si="4314"/>
        <v>0</v>
      </c>
      <c r="EQ266" s="93">
        <f t="shared" si="4314"/>
        <v>0</v>
      </c>
      <c r="ER266" s="93">
        <f t="shared" si="4314"/>
        <v>0</v>
      </c>
      <c r="ES266" s="93">
        <f t="shared" si="4314"/>
        <v>0</v>
      </c>
      <c r="ET266" s="93">
        <f t="shared" si="4314"/>
        <v>0</v>
      </c>
      <c r="EU266" s="93">
        <f t="shared" si="4314"/>
        <v>0</v>
      </c>
      <c r="EV266" s="93">
        <f t="shared" si="4314"/>
        <v>0</v>
      </c>
      <c r="EW266" s="93">
        <f t="shared" si="4314"/>
        <v>0</v>
      </c>
      <c r="EX266" s="93">
        <f t="shared" si="4314"/>
        <v>0</v>
      </c>
      <c r="EY266" s="93">
        <f t="shared" si="4314"/>
        <v>0</v>
      </c>
      <c r="EZ266" s="93">
        <f t="shared" si="4314"/>
        <v>0</v>
      </c>
      <c r="FA266" s="93">
        <f t="shared" si="4314"/>
        <v>0</v>
      </c>
      <c r="FB266" s="93">
        <f t="shared" si="4314"/>
        <v>0</v>
      </c>
      <c r="FC266" s="93">
        <f t="shared" si="4314"/>
        <v>0</v>
      </c>
      <c r="FD266" s="93">
        <f t="shared" si="4314"/>
        <v>0</v>
      </c>
      <c r="FE266" s="93">
        <f t="shared" si="4314"/>
        <v>0</v>
      </c>
      <c r="FF266" s="93">
        <f t="shared" si="4314"/>
        <v>0</v>
      </c>
      <c r="FG266" s="93">
        <f t="shared" si="4314"/>
        <v>0</v>
      </c>
      <c r="FH266" s="93">
        <f t="shared" si="4314"/>
        <v>0</v>
      </c>
      <c r="FI266" s="93">
        <f t="shared" si="4314"/>
        <v>0</v>
      </c>
      <c r="FJ266" s="93">
        <f t="shared" si="4314"/>
        <v>0</v>
      </c>
      <c r="FK266" s="93">
        <f t="shared" si="4314"/>
        <v>0</v>
      </c>
      <c r="FL266" s="93">
        <f t="shared" si="4314"/>
        <v>0</v>
      </c>
      <c r="FM266" s="93">
        <f t="shared" si="4314"/>
        <v>0</v>
      </c>
      <c r="FN266" s="93">
        <f t="shared" si="4314"/>
        <v>0</v>
      </c>
      <c r="FO266" s="93">
        <f t="shared" si="4314"/>
        <v>0</v>
      </c>
      <c r="FP266" s="93">
        <f t="shared" si="4314"/>
        <v>0</v>
      </c>
      <c r="FQ266" s="93">
        <f t="shared" si="4314"/>
        <v>0</v>
      </c>
      <c r="FR266" s="93">
        <f t="shared" si="4314"/>
        <v>0</v>
      </c>
      <c r="FS266" s="93">
        <f t="shared" si="4314"/>
        <v>0</v>
      </c>
      <c r="FT266" s="93">
        <f t="shared" si="4314"/>
        <v>0</v>
      </c>
      <c r="FU266" s="93">
        <f t="shared" si="4314"/>
        <v>0</v>
      </c>
      <c r="FV266" s="93">
        <f t="shared" si="4314"/>
        <v>0</v>
      </c>
      <c r="FW266" s="93">
        <f t="shared" si="4314"/>
        <v>0</v>
      </c>
      <c r="FX266" s="93">
        <f t="shared" si="4314"/>
        <v>0</v>
      </c>
      <c r="FY266" s="93">
        <f t="shared" si="4314"/>
        <v>0</v>
      </c>
      <c r="FZ266" s="59"/>
      <c r="GB266" s="2" t="s">
        <v>275</v>
      </c>
      <c r="GC266" s="295">
        <f>SUM(B282:FY282)</f>
        <v>170.67067164471189</v>
      </c>
    </row>
    <row r="267" spans="1:185" x14ac:dyDescent="0.2">
      <c r="A267" s="92" t="s">
        <v>210</v>
      </c>
      <c r="B267" s="93">
        <f>IFERROR(B35/B209,0)</f>
        <v>-28602.141268143001</v>
      </c>
      <c r="C267" s="93">
        <f t="shared" ref="C267:BN267" si="4315">IFERROR(C35/C209,0)</f>
        <v>-1004.2871213152589</v>
      </c>
      <c r="D267" s="93">
        <f t="shared" si="4315"/>
        <v>-1006.4375693345557</v>
      </c>
      <c r="E267" s="93">
        <f t="shared" si="4315"/>
        <v>-1008.5926220396894</v>
      </c>
      <c r="F267" s="93">
        <f t="shared" si="4315"/>
        <v>-1010.7522892905272</v>
      </c>
      <c r="G267" s="93">
        <f t="shared" si="4315"/>
        <v>-1012.9165809680487</v>
      </c>
      <c r="H267" s="93">
        <f t="shared" si="4315"/>
        <v>-1015.0855069743914</v>
      </c>
      <c r="I267" s="93">
        <f t="shared" si="4315"/>
        <v>-1017.2590772328959</v>
      </c>
      <c r="J267" s="93">
        <f t="shared" si="4315"/>
        <v>-1019.4373016881517</v>
      </c>
      <c r="K267" s="93">
        <f t="shared" si="4315"/>
        <v>-1021.6201903060418</v>
      </c>
      <c r="L267" s="93">
        <f t="shared" si="4315"/>
        <v>-1023.8077530737891</v>
      </c>
      <c r="M267" s="93">
        <f t="shared" si="4315"/>
        <v>-1026.0000000000016</v>
      </c>
      <c r="N267" s="93">
        <f t="shared" si="4315"/>
        <v>-1028.196941114719</v>
      </c>
      <c r="O267" s="93">
        <f t="shared" si="4315"/>
        <v>-1030.3985864694571</v>
      </c>
      <c r="P267" s="93">
        <f t="shared" si="4315"/>
        <v>-1032.6049461372556</v>
      </c>
      <c r="Q267" s="93">
        <f t="shared" si="4315"/>
        <v>-1034.816030212723</v>
      </c>
      <c r="R267" s="93">
        <f t="shared" si="4315"/>
        <v>-1037.0318488120824</v>
      </c>
      <c r="S267" s="93">
        <f t="shared" si="4315"/>
        <v>-1039.2524120732194</v>
      </c>
      <c r="T267" s="93">
        <f t="shared" si="4315"/>
        <v>-1041.4777301557269</v>
      </c>
      <c r="U267" s="93">
        <f t="shared" si="4315"/>
        <v>-1043.7078132409526</v>
      </c>
      <c r="V267" s="93">
        <f t="shared" si="4315"/>
        <v>-1045.9426715320451</v>
      </c>
      <c r="W267" s="93">
        <f t="shared" si="4315"/>
        <v>-1048.1823152540005</v>
      </c>
      <c r="X267" s="93">
        <f t="shared" si="4315"/>
        <v>-1050.4267546537089</v>
      </c>
      <c r="Y267" s="93">
        <f t="shared" si="4315"/>
        <v>-1052.6760000000033</v>
      </c>
      <c r="Z267" s="93">
        <f t="shared" si="4315"/>
        <v>-1054.9300615837033</v>
      </c>
      <c r="AA267" s="93">
        <f t="shared" si="4315"/>
        <v>-1057.1889497176649</v>
      </c>
      <c r="AB267" s="93">
        <f t="shared" si="4315"/>
        <v>-1059.4526747368261</v>
      </c>
      <c r="AC267" s="93">
        <f t="shared" si="4315"/>
        <v>-1061.7212469982553</v>
      </c>
      <c r="AD267" s="93">
        <f t="shared" si="4315"/>
        <v>-1063.9946768811983</v>
      </c>
      <c r="AE267" s="93">
        <f t="shared" si="4315"/>
        <v>-1066.2729747871247</v>
      </c>
      <c r="AF267" s="93">
        <f t="shared" si="4315"/>
        <v>-1068.5561511397777</v>
      </c>
      <c r="AG267" s="93">
        <f t="shared" si="4315"/>
        <v>-1070.8442163852192</v>
      </c>
      <c r="AH267" s="93">
        <f t="shared" si="4315"/>
        <v>-1073.1371809918799</v>
      </c>
      <c r="AI267" s="93">
        <f t="shared" si="4315"/>
        <v>-1075.4350554506061</v>
      </c>
      <c r="AJ267" s="93">
        <f t="shared" si="4315"/>
        <v>-1077.7378502747069</v>
      </c>
      <c r="AK267" s="93">
        <f t="shared" si="4315"/>
        <v>-1080.045576000005</v>
      </c>
      <c r="AL267" s="93">
        <f t="shared" si="4315"/>
        <v>0</v>
      </c>
      <c r="AM267" s="93">
        <f t="shared" si="4315"/>
        <v>0</v>
      </c>
      <c r="AN267" s="93">
        <f t="shared" si="4315"/>
        <v>0</v>
      </c>
      <c r="AO267" s="93">
        <f t="shared" si="4315"/>
        <v>0</v>
      </c>
      <c r="AP267" s="93">
        <f t="shared" si="4315"/>
        <v>0</v>
      </c>
      <c r="AQ267" s="93">
        <f t="shared" si="4315"/>
        <v>0</v>
      </c>
      <c r="AR267" s="93">
        <f t="shared" si="4315"/>
        <v>0</v>
      </c>
      <c r="AS267" s="93">
        <f t="shared" si="4315"/>
        <v>0</v>
      </c>
      <c r="AT267" s="93">
        <f t="shared" si="4315"/>
        <v>0</v>
      </c>
      <c r="AU267" s="93">
        <f t="shared" si="4315"/>
        <v>0</v>
      </c>
      <c r="AV267" s="93">
        <f t="shared" si="4315"/>
        <v>0</v>
      </c>
      <c r="AW267" s="93">
        <f t="shared" si="4315"/>
        <v>0</v>
      </c>
      <c r="AX267" s="93">
        <f t="shared" si="4315"/>
        <v>0</v>
      </c>
      <c r="AY267" s="93">
        <f t="shared" si="4315"/>
        <v>0</v>
      </c>
      <c r="AZ267" s="93">
        <f t="shared" si="4315"/>
        <v>0</v>
      </c>
      <c r="BA267" s="93">
        <f t="shared" si="4315"/>
        <v>0</v>
      </c>
      <c r="BB267" s="93">
        <f t="shared" si="4315"/>
        <v>0</v>
      </c>
      <c r="BC267" s="93">
        <f t="shared" si="4315"/>
        <v>0</v>
      </c>
      <c r="BD267" s="93">
        <f t="shared" si="4315"/>
        <v>0</v>
      </c>
      <c r="BE267" s="93">
        <f t="shared" si="4315"/>
        <v>0</v>
      </c>
      <c r="BF267" s="93">
        <f t="shared" si="4315"/>
        <v>0</v>
      </c>
      <c r="BG267" s="93">
        <f t="shared" si="4315"/>
        <v>0</v>
      </c>
      <c r="BH267" s="93">
        <f t="shared" si="4315"/>
        <v>0</v>
      </c>
      <c r="BI267" s="93">
        <f t="shared" si="4315"/>
        <v>0</v>
      </c>
      <c r="BJ267" s="93">
        <f t="shared" si="4315"/>
        <v>0</v>
      </c>
      <c r="BK267" s="93">
        <f t="shared" si="4315"/>
        <v>0</v>
      </c>
      <c r="BL267" s="93">
        <f t="shared" si="4315"/>
        <v>0</v>
      </c>
      <c r="BM267" s="93">
        <f t="shared" si="4315"/>
        <v>0</v>
      </c>
      <c r="BN267" s="93">
        <f t="shared" si="4315"/>
        <v>0</v>
      </c>
      <c r="BO267" s="93">
        <f t="shared" ref="BO267:DZ267" si="4316">IFERROR(BO35/BO209,0)</f>
        <v>0</v>
      </c>
      <c r="BP267" s="93">
        <f t="shared" si="4316"/>
        <v>0</v>
      </c>
      <c r="BQ267" s="93">
        <f t="shared" si="4316"/>
        <v>0</v>
      </c>
      <c r="BR267" s="93">
        <f t="shared" si="4316"/>
        <v>0</v>
      </c>
      <c r="BS267" s="93">
        <f t="shared" si="4316"/>
        <v>0</v>
      </c>
      <c r="BT267" s="93">
        <f t="shared" si="4316"/>
        <v>0</v>
      </c>
      <c r="BU267" s="93">
        <f t="shared" si="4316"/>
        <v>0</v>
      </c>
      <c r="BV267" s="93">
        <f t="shared" si="4316"/>
        <v>0</v>
      </c>
      <c r="BW267" s="93">
        <f t="shared" si="4316"/>
        <v>0</v>
      </c>
      <c r="BX267" s="93">
        <f t="shared" si="4316"/>
        <v>0</v>
      </c>
      <c r="BY267" s="93">
        <f t="shared" si="4316"/>
        <v>0</v>
      </c>
      <c r="BZ267" s="93">
        <f t="shared" si="4316"/>
        <v>0</v>
      </c>
      <c r="CA267" s="93">
        <f t="shared" si="4316"/>
        <v>0</v>
      </c>
      <c r="CB267" s="93">
        <f t="shared" si="4316"/>
        <v>0</v>
      </c>
      <c r="CC267" s="93">
        <f t="shared" si="4316"/>
        <v>0</v>
      </c>
      <c r="CD267" s="93">
        <f t="shared" si="4316"/>
        <v>0</v>
      </c>
      <c r="CE267" s="93">
        <f t="shared" si="4316"/>
        <v>0</v>
      </c>
      <c r="CF267" s="93">
        <f t="shared" si="4316"/>
        <v>0</v>
      </c>
      <c r="CG267" s="93">
        <f t="shared" si="4316"/>
        <v>0</v>
      </c>
      <c r="CH267" s="93">
        <f t="shared" si="4316"/>
        <v>0</v>
      </c>
      <c r="CI267" s="93">
        <f t="shared" si="4316"/>
        <v>0</v>
      </c>
      <c r="CJ267" s="93">
        <f t="shared" si="4316"/>
        <v>0</v>
      </c>
      <c r="CK267" s="93">
        <f t="shared" si="4316"/>
        <v>0</v>
      </c>
      <c r="CL267" s="93">
        <f t="shared" si="4316"/>
        <v>0</v>
      </c>
      <c r="CM267" s="93">
        <f t="shared" si="4316"/>
        <v>0</v>
      </c>
      <c r="CN267" s="93">
        <f t="shared" si="4316"/>
        <v>0</v>
      </c>
      <c r="CO267" s="93">
        <f t="shared" si="4316"/>
        <v>0</v>
      </c>
      <c r="CP267" s="93">
        <f t="shared" si="4316"/>
        <v>0</v>
      </c>
      <c r="CQ267" s="93">
        <f t="shared" si="4316"/>
        <v>0</v>
      </c>
      <c r="CR267" s="93">
        <f t="shared" si="4316"/>
        <v>0</v>
      </c>
      <c r="CS267" s="93">
        <f t="shared" si="4316"/>
        <v>0</v>
      </c>
      <c r="CT267" s="93">
        <f t="shared" si="4316"/>
        <v>0</v>
      </c>
      <c r="CU267" s="93">
        <f t="shared" si="4316"/>
        <v>0</v>
      </c>
      <c r="CV267" s="93">
        <f t="shared" si="4316"/>
        <v>0</v>
      </c>
      <c r="CW267" s="93">
        <f t="shared" si="4316"/>
        <v>0</v>
      </c>
      <c r="CX267" s="93">
        <f t="shared" si="4316"/>
        <v>0</v>
      </c>
      <c r="CY267" s="93">
        <f t="shared" si="4316"/>
        <v>0</v>
      </c>
      <c r="CZ267" s="93">
        <f t="shared" si="4316"/>
        <v>0</v>
      </c>
      <c r="DA267" s="93">
        <f t="shared" si="4316"/>
        <v>0</v>
      </c>
      <c r="DB267" s="93">
        <f t="shared" si="4316"/>
        <v>0</v>
      </c>
      <c r="DC267" s="93">
        <f t="shared" si="4316"/>
        <v>0</v>
      </c>
      <c r="DD267" s="93">
        <f t="shared" si="4316"/>
        <v>0</v>
      </c>
      <c r="DE267" s="93">
        <f t="shared" si="4316"/>
        <v>0</v>
      </c>
      <c r="DF267" s="93">
        <f t="shared" si="4316"/>
        <v>0</v>
      </c>
      <c r="DG267" s="93">
        <f t="shared" si="4316"/>
        <v>0</v>
      </c>
      <c r="DH267" s="93">
        <f t="shared" si="4316"/>
        <v>0</v>
      </c>
      <c r="DI267" s="93">
        <f t="shared" si="4316"/>
        <v>0</v>
      </c>
      <c r="DJ267" s="93">
        <f t="shared" si="4316"/>
        <v>0</v>
      </c>
      <c r="DK267" s="93">
        <f t="shared" si="4316"/>
        <v>0</v>
      </c>
      <c r="DL267" s="93">
        <f t="shared" si="4316"/>
        <v>0</v>
      </c>
      <c r="DM267" s="93">
        <f t="shared" si="4316"/>
        <v>0</v>
      </c>
      <c r="DN267" s="93">
        <f t="shared" si="4316"/>
        <v>0</v>
      </c>
      <c r="DO267" s="93">
        <f t="shared" si="4316"/>
        <v>0</v>
      </c>
      <c r="DP267" s="93">
        <f t="shared" si="4316"/>
        <v>0</v>
      </c>
      <c r="DQ267" s="93">
        <f t="shared" si="4316"/>
        <v>0</v>
      </c>
      <c r="DR267" s="93">
        <f t="shared" si="4316"/>
        <v>0</v>
      </c>
      <c r="DS267" s="93">
        <f t="shared" si="4316"/>
        <v>0</v>
      </c>
      <c r="DT267" s="93">
        <f t="shared" si="4316"/>
        <v>0</v>
      </c>
      <c r="DU267" s="93">
        <f t="shared" si="4316"/>
        <v>0</v>
      </c>
      <c r="DV267" s="93">
        <f t="shared" si="4316"/>
        <v>0</v>
      </c>
      <c r="DW267" s="93">
        <f t="shared" si="4316"/>
        <v>0</v>
      </c>
      <c r="DX267" s="93">
        <f t="shared" si="4316"/>
        <v>0</v>
      </c>
      <c r="DY267" s="93">
        <f t="shared" si="4316"/>
        <v>0</v>
      </c>
      <c r="DZ267" s="93">
        <f t="shared" si="4316"/>
        <v>0</v>
      </c>
      <c r="EA267" s="93">
        <f t="shared" ref="EA267:FY267" si="4317">IFERROR(EA35/EA209,0)</f>
        <v>0</v>
      </c>
      <c r="EB267" s="93">
        <f t="shared" si="4317"/>
        <v>0</v>
      </c>
      <c r="EC267" s="93">
        <f t="shared" si="4317"/>
        <v>0</v>
      </c>
      <c r="ED267" s="93">
        <f t="shared" si="4317"/>
        <v>0</v>
      </c>
      <c r="EE267" s="93">
        <f t="shared" si="4317"/>
        <v>0</v>
      </c>
      <c r="EF267" s="93">
        <f t="shared" si="4317"/>
        <v>0</v>
      </c>
      <c r="EG267" s="93">
        <f t="shared" si="4317"/>
        <v>0</v>
      </c>
      <c r="EH267" s="93">
        <f t="shared" si="4317"/>
        <v>0</v>
      </c>
      <c r="EI267" s="93">
        <f t="shared" si="4317"/>
        <v>0</v>
      </c>
      <c r="EJ267" s="93">
        <f t="shared" si="4317"/>
        <v>0</v>
      </c>
      <c r="EK267" s="93">
        <f t="shared" si="4317"/>
        <v>0</v>
      </c>
      <c r="EL267" s="93">
        <f t="shared" si="4317"/>
        <v>0</v>
      </c>
      <c r="EM267" s="93">
        <f t="shared" si="4317"/>
        <v>0</v>
      </c>
      <c r="EN267" s="93">
        <f t="shared" si="4317"/>
        <v>0</v>
      </c>
      <c r="EO267" s="93">
        <f t="shared" si="4317"/>
        <v>0</v>
      </c>
      <c r="EP267" s="93">
        <f t="shared" si="4317"/>
        <v>0</v>
      </c>
      <c r="EQ267" s="93">
        <f t="shared" si="4317"/>
        <v>0</v>
      </c>
      <c r="ER267" s="93">
        <f t="shared" si="4317"/>
        <v>0</v>
      </c>
      <c r="ES267" s="93">
        <f t="shared" si="4317"/>
        <v>0</v>
      </c>
      <c r="ET267" s="93">
        <f t="shared" si="4317"/>
        <v>0</v>
      </c>
      <c r="EU267" s="93">
        <f t="shared" si="4317"/>
        <v>0</v>
      </c>
      <c r="EV267" s="93">
        <f t="shared" si="4317"/>
        <v>0</v>
      </c>
      <c r="EW267" s="93">
        <f t="shared" si="4317"/>
        <v>0</v>
      </c>
      <c r="EX267" s="93">
        <f t="shared" si="4317"/>
        <v>0</v>
      </c>
      <c r="EY267" s="93">
        <f t="shared" si="4317"/>
        <v>0</v>
      </c>
      <c r="EZ267" s="93">
        <f t="shared" si="4317"/>
        <v>0</v>
      </c>
      <c r="FA267" s="93">
        <f t="shared" si="4317"/>
        <v>0</v>
      </c>
      <c r="FB267" s="93">
        <f t="shared" si="4317"/>
        <v>0</v>
      </c>
      <c r="FC267" s="93">
        <f t="shared" si="4317"/>
        <v>0</v>
      </c>
      <c r="FD267" s="93">
        <f t="shared" si="4317"/>
        <v>0</v>
      </c>
      <c r="FE267" s="93">
        <f t="shared" si="4317"/>
        <v>0</v>
      </c>
      <c r="FF267" s="93">
        <f t="shared" si="4317"/>
        <v>0</v>
      </c>
      <c r="FG267" s="93">
        <f t="shared" si="4317"/>
        <v>0</v>
      </c>
      <c r="FH267" s="93">
        <f t="shared" si="4317"/>
        <v>0</v>
      </c>
      <c r="FI267" s="93">
        <f t="shared" si="4317"/>
        <v>0</v>
      </c>
      <c r="FJ267" s="93">
        <f t="shared" si="4317"/>
        <v>0</v>
      </c>
      <c r="FK267" s="93">
        <f t="shared" si="4317"/>
        <v>0</v>
      </c>
      <c r="FL267" s="93">
        <f t="shared" si="4317"/>
        <v>0</v>
      </c>
      <c r="FM267" s="93">
        <f t="shared" si="4317"/>
        <v>0</v>
      </c>
      <c r="FN267" s="93">
        <f t="shared" si="4317"/>
        <v>0</v>
      </c>
      <c r="FO267" s="93">
        <f t="shared" si="4317"/>
        <v>0</v>
      </c>
      <c r="FP267" s="93">
        <f t="shared" si="4317"/>
        <v>0</v>
      </c>
      <c r="FQ267" s="93">
        <f t="shared" si="4317"/>
        <v>0</v>
      </c>
      <c r="FR267" s="93">
        <f t="shared" si="4317"/>
        <v>0</v>
      </c>
      <c r="FS267" s="93">
        <f t="shared" si="4317"/>
        <v>0</v>
      </c>
      <c r="FT267" s="93">
        <f t="shared" si="4317"/>
        <v>0</v>
      </c>
      <c r="FU267" s="93">
        <f t="shared" si="4317"/>
        <v>0</v>
      </c>
      <c r="FV267" s="93">
        <f t="shared" si="4317"/>
        <v>0</v>
      </c>
      <c r="FW267" s="93">
        <f t="shared" si="4317"/>
        <v>0</v>
      </c>
      <c r="FX267" s="93">
        <f t="shared" si="4317"/>
        <v>0</v>
      </c>
      <c r="FY267" s="93">
        <f t="shared" si="4317"/>
        <v>0</v>
      </c>
      <c r="FZ267" s="59"/>
      <c r="GB267" s="2" t="s">
        <v>276</v>
      </c>
      <c r="GC267" s="295">
        <f>SUM(GC265:GC266)</f>
        <v>8031.4002692801823</v>
      </c>
    </row>
    <row r="268" spans="1:185" x14ac:dyDescent="0.2">
      <c r="A268" s="92" t="s">
        <v>211</v>
      </c>
      <c r="B268" s="93">
        <f>IFERROR(B36/B209,0)</f>
        <v>-17000</v>
      </c>
      <c r="C268" s="93">
        <f t="shared" ref="C268:BN268" si="4318">IFERROR(C36/C209,0)</f>
        <v>0</v>
      </c>
      <c r="D268" s="93">
        <f t="shared" si="4318"/>
        <v>0</v>
      </c>
      <c r="E268" s="93">
        <f t="shared" si="4318"/>
        <v>0</v>
      </c>
      <c r="F268" s="93">
        <f t="shared" si="4318"/>
        <v>0</v>
      </c>
      <c r="G268" s="93">
        <f t="shared" si="4318"/>
        <v>0</v>
      </c>
      <c r="H268" s="93">
        <f t="shared" si="4318"/>
        <v>0</v>
      </c>
      <c r="I268" s="93">
        <f t="shared" si="4318"/>
        <v>0</v>
      </c>
      <c r="J268" s="93">
        <f t="shared" si="4318"/>
        <v>0</v>
      </c>
      <c r="K268" s="93">
        <f t="shared" si="4318"/>
        <v>0</v>
      </c>
      <c r="L268" s="93">
        <f t="shared" si="4318"/>
        <v>0</v>
      </c>
      <c r="M268" s="93">
        <f t="shared" si="4318"/>
        <v>0</v>
      </c>
      <c r="N268" s="93">
        <f t="shared" si="4318"/>
        <v>0</v>
      </c>
      <c r="O268" s="93">
        <f t="shared" si="4318"/>
        <v>0</v>
      </c>
      <c r="P268" s="93">
        <f t="shared" si="4318"/>
        <v>0</v>
      </c>
      <c r="Q268" s="93">
        <f t="shared" si="4318"/>
        <v>0</v>
      </c>
      <c r="R268" s="93">
        <f t="shared" si="4318"/>
        <v>0</v>
      </c>
      <c r="S268" s="93">
        <f t="shared" si="4318"/>
        <v>0</v>
      </c>
      <c r="T268" s="93">
        <f t="shared" si="4318"/>
        <v>0</v>
      </c>
      <c r="U268" s="93">
        <f t="shared" si="4318"/>
        <v>0</v>
      </c>
      <c r="V268" s="93">
        <f t="shared" si="4318"/>
        <v>0</v>
      </c>
      <c r="W268" s="93">
        <f t="shared" si="4318"/>
        <v>0</v>
      </c>
      <c r="X268" s="93">
        <f t="shared" si="4318"/>
        <v>0</v>
      </c>
      <c r="Y268" s="93">
        <f t="shared" si="4318"/>
        <v>0</v>
      </c>
      <c r="Z268" s="93">
        <f t="shared" si="4318"/>
        <v>0</v>
      </c>
      <c r="AA268" s="93">
        <f t="shared" si="4318"/>
        <v>0</v>
      </c>
      <c r="AB268" s="93">
        <f t="shared" si="4318"/>
        <v>0</v>
      </c>
      <c r="AC268" s="93">
        <f t="shared" si="4318"/>
        <v>0</v>
      </c>
      <c r="AD268" s="93">
        <f t="shared" si="4318"/>
        <v>0</v>
      </c>
      <c r="AE268" s="93">
        <f t="shared" si="4318"/>
        <v>0</v>
      </c>
      <c r="AF268" s="93">
        <f t="shared" si="4318"/>
        <v>0</v>
      </c>
      <c r="AG268" s="93">
        <f t="shared" si="4318"/>
        <v>0</v>
      </c>
      <c r="AH268" s="93">
        <f t="shared" si="4318"/>
        <v>0</v>
      </c>
      <c r="AI268" s="93">
        <f t="shared" si="4318"/>
        <v>0</v>
      </c>
      <c r="AJ268" s="93">
        <f t="shared" si="4318"/>
        <v>0</v>
      </c>
      <c r="AK268" s="93">
        <f t="shared" si="4318"/>
        <v>0</v>
      </c>
      <c r="AL268" s="93">
        <f t="shared" si="4318"/>
        <v>0</v>
      </c>
      <c r="AM268" s="93">
        <f t="shared" si="4318"/>
        <v>0</v>
      </c>
      <c r="AN268" s="93">
        <f t="shared" si="4318"/>
        <v>0</v>
      </c>
      <c r="AO268" s="93">
        <f t="shared" si="4318"/>
        <v>0</v>
      </c>
      <c r="AP268" s="93">
        <f t="shared" si="4318"/>
        <v>0</v>
      </c>
      <c r="AQ268" s="93">
        <f t="shared" si="4318"/>
        <v>0</v>
      </c>
      <c r="AR268" s="93">
        <f t="shared" si="4318"/>
        <v>0</v>
      </c>
      <c r="AS268" s="93">
        <f t="shared" si="4318"/>
        <v>0</v>
      </c>
      <c r="AT268" s="93">
        <f t="shared" si="4318"/>
        <v>0</v>
      </c>
      <c r="AU268" s="93">
        <f t="shared" si="4318"/>
        <v>0</v>
      </c>
      <c r="AV268" s="93">
        <f t="shared" si="4318"/>
        <v>0</v>
      </c>
      <c r="AW268" s="93">
        <f t="shared" si="4318"/>
        <v>0</v>
      </c>
      <c r="AX268" s="93">
        <f t="shared" si="4318"/>
        <v>0</v>
      </c>
      <c r="AY268" s="93">
        <f t="shared" si="4318"/>
        <v>0</v>
      </c>
      <c r="AZ268" s="93">
        <f t="shared" si="4318"/>
        <v>0</v>
      </c>
      <c r="BA268" s="93">
        <f t="shared" si="4318"/>
        <v>0</v>
      </c>
      <c r="BB268" s="93">
        <f t="shared" si="4318"/>
        <v>0</v>
      </c>
      <c r="BC268" s="93">
        <f t="shared" si="4318"/>
        <v>0</v>
      </c>
      <c r="BD268" s="93">
        <f t="shared" si="4318"/>
        <v>0</v>
      </c>
      <c r="BE268" s="93">
        <f t="shared" si="4318"/>
        <v>0</v>
      </c>
      <c r="BF268" s="93">
        <f t="shared" si="4318"/>
        <v>0</v>
      </c>
      <c r="BG268" s="93">
        <f t="shared" si="4318"/>
        <v>0</v>
      </c>
      <c r="BH268" s="93">
        <f t="shared" si="4318"/>
        <v>0</v>
      </c>
      <c r="BI268" s="93">
        <f t="shared" si="4318"/>
        <v>0</v>
      </c>
      <c r="BJ268" s="93">
        <f t="shared" si="4318"/>
        <v>0</v>
      </c>
      <c r="BK268" s="93">
        <f t="shared" si="4318"/>
        <v>0</v>
      </c>
      <c r="BL268" s="93">
        <f t="shared" si="4318"/>
        <v>0</v>
      </c>
      <c r="BM268" s="93">
        <f t="shared" si="4318"/>
        <v>0</v>
      </c>
      <c r="BN268" s="93">
        <f t="shared" si="4318"/>
        <v>0</v>
      </c>
      <c r="BO268" s="93">
        <f t="shared" ref="BO268:DZ268" si="4319">IFERROR(BO36/BO209,0)</f>
        <v>0</v>
      </c>
      <c r="BP268" s="93">
        <f t="shared" si="4319"/>
        <v>0</v>
      </c>
      <c r="BQ268" s="93">
        <f t="shared" si="4319"/>
        <v>0</v>
      </c>
      <c r="BR268" s="93">
        <f t="shared" si="4319"/>
        <v>0</v>
      </c>
      <c r="BS268" s="93">
        <f t="shared" si="4319"/>
        <v>0</v>
      </c>
      <c r="BT268" s="93">
        <f t="shared" si="4319"/>
        <v>0</v>
      </c>
      <c r="BU268" s="93">
        <f t="shared" si="4319"/>
        <v>0</v>
      </c>
      <c r="BV268" s="93">
        <f t="shared" si="4319"/>
        <v>0</v>
      </c>
      <c r="BW268" s="93">
        <f t="shared" si="4319"/>
        <v>0</v>
      </c>
      <c r="BX268" s="93">
        <f t="shared" si="4319"/>
        <v>0</v>
      </c>
      <c r="BY268" s="93">
        <f t="shared" si="4319"/>
        <v>0</v>
      </c>
      <c r="BZ268" s="93">
        <f t="shared" si="4319"/>
        <v>0</v>
      </c>
      <c r="CA268" s="93">
        <f t="shared" si="4319"/>
        <v>0</v>
      </c>
      <c r="CB268" s="93">
        <f t="shared" si="4319"/>
        <v>0</v>
      </c>
      <c r="CC268" s="93">
        <f t="shared" si="4319"/>
        <v>0</v>
      </c>
      <c r="CD268" s="93">
        <f t="shared" si="4319"/>
        <v>0</v>
      </c>
      <c r="CE268" s="93">
        <f t="shared" si="4319"/>
        <v>0</v>
      </c>
      <c r="CF268" s="93">
        <f t="shared" si="4319"/>
        <v>0</v>
      </c>
      <c r="CG268" s="93">
        <f t="shared" si="4319"/>
        <v>0</v>
      </c>
      <c r="CH268" s="93">
        <f t="shared" si="4319"/>
        <v>0</v>
      </c>
      <c r="CI268" s="93">
        <f t="shared" si="4319"/>
        <v>0</v>
      </c>
      <c r="CJ268" s="93">
        <f t="shared" si="4319"/>
        <v>0</v>
      </c>
      <c r="CK268" s="93">
        <f t="shared" si="4319"/>
        <v>0</v>
      </c>
      <c r="CL268" s="93">
        <f t="shared" si="4319"/>
        <v>0</v>
      </c>
      <c r="CM268" s="93">
        <f t="shared" si="4319"/>
        <v>0</v>
      </c>
      <c r="CN268" s="93">
        <f t="shared" si="4319"/>
        <v>0</v>
      </c>
      <c r="CO268" s="93">
        <f t="shared" si="4319"/>
        <v>0</v>
      </c>
      <c r="CP268" s="93">
        <f t="shared" si="4319"/>
        <v>0</v>
      </c>
      <c r="CQ268" s="93">
        <f t="shared" si="4319"/>
        <v>0</v>
      </c>
      <c r="CR268" s="93">
        <f t="shared" si="4319"/>
        <v>0</v>
      </c>
      <c r="CS268" s="93">
        <f t="shared" si="4319"/>
        <v>0</v>
      </c>
      <c r="CT268" s="93">
        <f t="shared" si="4319"/>
        <v>0</v>
      </c>
      <c r="CU268" s="93">
        <f t="shared" si="4319"/>
        <v>0</v>
      </c>
      <c r="CV268" s="93">
        <f t="shared" si="4319"/>
        <v>0</v>
      </c>
      <c r="CW268" s="93">
        <f t="shared" si="4319"/>
        <v>0</v>
      </c>
      <c r="CX268" s="93">
        <f t="shared" si="4319"/>
        <v>0</v>
      </c>
      <c r="CY268" s="93">
        <f t="shared" si="4319"/>
        <v>0</v>
      </c>
      <c r="CZ268" s="93">
        <f t="shared" si="4319"/>
        <v>0</v>
      </c>
      <c r="DA268" s="93">
        <f t="shared" si="4319"/>
        <v>0</v>
      </c>
      <c r="DB268" s="93">
        <f t="shared" si="4319"/>
        <v>0</v>
      </c>
      <c r="DC268" s="93">
        <f t="shared" si="4319"/>
        <v>0</v>
      </c>
      <c r="DD268" s="93">
        <f t="shared" si="4319"/>
        <v>0</v>
      </c>
      <c r="DE268" s="93">
        <f t="shared" si="4319"/>
        <v>0</v>
      </c>
      <c r="DF268" s="93">
        <f t="shared" si="4319"/>
        <v>0</v>
      </c>
      <c r="DG268" s="93">
        <f t="shared" si="4319"/>
        <v>0</v>
      </c>
      <c r="DH268" s="93">
        <f t="shared" si="4319"/>
        <v>0</v>
      </c>
      <c r="DI268" s="93">
        <f t="shared" si="4319"/>
        <v>0</v>
      </c>
      <c r="DJ268" s="93">
        <f t="shared" si="4319"/>
        <v>0</v>
      </c>
      <c r="DK268" s="93">
        <f t="shared" si="4319"/>
        <v>0</v>
      </c>
      <c r="DL268" s="93">
        <f t="shared" si="4319"/>
        <v>0</v>
      </c>
      <c r="DM268" s="93">
        <f t="shared" si="4319"/>
        <v>0</v>
      </c>
      <c r="DN268" s="93">
        <f t="shared" si="4319"/>
        <v>0</v>
      </c>
      <c r="DO268" s="93">
        <f t="shared" si="4319"/>
        <v>0</v>
      </c>
      <c r="DP268" s="93">
        <f t="shared" si="4319"/>
        <v>0</v>
      </c>
      <c r="DQ268" s="93">
        <f t="shared" si="4319"/>
        <v>0</v>
      </c>
      <c r="DR268" s="93">
        <f t="shared" si="4319"/>
        <v>0</v>
      </c>
      <c r="DS268" s="93">
        <f t="shared" si="4319"/>
        <v>0</v>
      </c>
      <c r="DT268" s="93">
        <f t="shared" si="4319"/>
        <v>0</v>
      </c>
      <c r="DU268" s="93">
        <f t="shared" si="4319"/>
        <v>0</v>
      </c>
      <c r="DV268" s="93">
        <f t="shared" si="4319"/>
        <v>0</v>
      </c>
      <c r="DW268" s="93">
        <f t="shared" si="4319"/>
        <v>0</v>
      </c>
      <c r="DX268" s="93">
        <f t="shared" si="4319"/>
        <v>0</v>
      </c>
      <c r="DY268" s="93">
        <f t="shared" si="4319"/>
        <v>0</v>
      </c>
      <c r="DZ268" s="93">
        <f t="shared" si="4319"/>
        <v>0</v>
      </c>
      <c r="EA268" s="93">
        <f t="shared" ref="EA268:FY268" si="4320">IFERROR(EA36/EA209,0)</f>
        <v>0</v>
      </c>
      <c r="EB268" s="93">
        <f t="shared" si="4320"/>
        <v>0</v>
      </c>
      <c r="EC268" s="93">
        <f t="shared" si="4320"/>
        <v>0</v>
      </c>
      <c r="ED268" s="93">
        <f t="shared" si="4320"/>
        <v>0</v>
      </c>
      <c r="EE268" s="93">
        <f t="shared" si="4320"/>
        <v>0</v>
      </c>
      <c r="EF268" s="93">
        <f t="shared" si="4320"/>
        <v>0</v>
      </c>
      <c r="EG268" s="93">
        <f t="shared" si="4320"/>
        <v>0</v>
      </c>
      <c r="EH268" s="93">
        <f t="shared" si="4320"/>
        <v>0</v>
      </c>
      <c r="EI268" s="93">
        <f t="shared" si="4320"/>
        <v>0</v>
      </c>
      <c r="EJ268" s="93">
        <f t="shared" si="4320"/>
        <v>0</v>
      </c>
      <c r="EK268" s="93">
        <f t="shared" si="4320"/>
        <v>0</v>
      </c>
      <c r="EL268" s="93">
        <f t="shared" si="4320"/>
        <v>0</v>
      </c>
      <c r="EM268" s="93">
        <f t="shared" si="4320"/>
        <v>0</v>
      </c>
      <c r="EN268" s="93">
        <f t="shared" si="4320"/>
        <v>0</v>
      </c>
      <c r="EO268" s="93">
        <f t="shared" si="4320"/>
        <v>0</v>
      </c>
      <c r="EP268" s="93">
        <f t="shared" si="4320"/>
        <v>0</v>
      </c>
      <c r="EQ268" s="93">
        <f t="shared" si="4320"/>
        <v>0</v>
      </c>
      <c r="ER268" s="93">
        <f t="shared" si="4320"/>
        <v>0</v>
      </c>
      <c r="ES268" s="93">
        <f t="shared" si="4320"/>
        <v>0</v>
      </c>
      <c r="ET268" s="93">
        <f t="shared" si="4320"/>
        <v>0</v>
      </c>
      <c r="EU268" s="93">
        <f t="shared" si="4320"/>
        <v>0</v>
      </c>
      <c r="EV268" s="93">
        <f t="shared" si="4320"/>
        <v>0</v>
      </c>
      <c r="EW268" s="93">
        <f t="shared" si="4320"/>
        <v>0</v>
      </c>
      <c r="EX268" s="93">
        <f t="shared" si="4320"/>
        <v>0</v>
      </c>
      <c r="EY268" s="93">
        <f t="shared" si="4320"/>
        <v>0</v>
      </c>
      <c r="EZ268" s="93">
        <f t="shared" si="4320"/>
        <v>0</v>
      </c>
      <c r="FA268" s="93">
        <f t="shared" si="4320"/>
        <v>0</v>
      </c>
      <c r="FB268" s="93">
        <f t="shared" si="4320"/>
        <v>0</v>
      </c>
      <c r="FC268" s="93">
        <f t="shared" si="4320"/>
        <v>0</v>
      </c>
      <c r="FD268" s="93">
        <f t="shared" si="4320"/>
        <v>0</v>
      </c>
      <c r="FE268" s="93">
        <f t="shared" si="4320"/>
        <v>0</v>
      </c>
      <c r="FF268" s="93">
        <f t="shared" si="4320"/>
        <v>0</v>
      </c>
      <c r="FG268" s="93">
        <f t="shared" si="4320"/>
        <v>0</v>
      </c>
      <c r="FH268" s="93">
        <f t="shared" si="4320"/>
        <v>0</v>
      </c>
      <c r="FI268" s="93">
        <f t="shared" si="4320"/>
        <v>0</v>
      </c>
      <c r="FJ268" s="93">
        <f t="shared" si="4320"/>
        <v>0</v>
      </c>
      <c r="FK268" s="93">
        <f t="shared" si="4320"/>
        <v>0</v>
      </c>
      <c r="FL268" s="93">
        <f t="shared" si="4320"/>
        <v>0</v>
      </c>
      <c r="FM268" s="93">
        <f t="shared" si="4320"/>
        <v>0</v>
      </c>
      <c r="FN268" s="93">
        <f t="shared" si="4320"/>
        <v>0</v>
      </c>
      <c r="FO268" s="93">
        <f t="shared" si="4320"/>
        <v>0</v>
      </c>
      <c r="FP268" s="93">
        <f t="shared" si="4320"/>
        <v>0</v>
      </c>
      <c r="FQ268" s="93">
        <f t="shared" si="4320"/>
        <v>0</v>
      </c>
      <c r="FR268" s="93">
        <f t="shared" si="4320"/>
        <v>0</v>
      </c>
      <c r="FS268" s="93">
        <f t="shared" si="4320"/>
        <v>0</v>
      </c>
      <c r="FT268" s="93">
        <f t="shared" si="4320"/>
        <v>0</v>
      </c>
      <c r="FU268" s="93">
        <f t="shared" si="4320"/>
        <v>0</v>
      </c>
      <c r="FV268" s="93">
        <f t="shared" si="4320"/>
        <v>0</v>
      </c>
      <c r="FW268" s="93">
        <f t="shared" si="4320"/>
        <v>0</v>
      </c>
      <c r="FX268" s="93">
        <f t="shared" si="4320"/>
        <v>0</v>
      </c>
      <c r="FY268" s="93">
        <f t="shared" si="4320"/>
        <v>0</v>
      </c>
      <c r="FZ268" s="59"/>
    </row>
    <row r="269" spans="1:185" x14ac:dyDescent="0.2">
      <c r="A269" s="66" t="s">
        <v>212</v>
      </c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  <c r="BI269" s="67"/>
      <c r="BJ269" s="67"/>
      <c r="BK269" s="67"/>
      <c r="BL269" s="67"/>
      <c r="BM269" s="67"/>
      <c r="BN269" s="67"/>
      <c r="BO269" s="67"/>
      <c r="BP269" s="67"/>
      <c r="BQ269" s="67"/>
      <c r="BR269" s="67"/>
      <c r="BS269" s="67"/>
      <c r="BT269" s="67"/>
      <c r="BU269" s="67"/>
      <c r="BV269" s="67"/>
      <c r="BW269" s="67"/>
      <c r="BX269" s="67"/>
      <c r="BY269" s="67"/>
      <c r="BZ269" s="67"/>
      <c r="CA269" s="67"/>
      <c r="CB269" s="67"/>
      <c r="CC269" s="67"/>
      <c r="CD269" s="67"/>
      <c r="CE269" s="67"/>
      <c r="CF269" s="67"/>
      <c r="CG269" s="67"/>
      <c r="CH269" s="67"/>
      <c r="CI269" s="67"/>
      <c r="CJ269" s="67"/>
      <c r="CK269" s="67"/>
      <c r="CL269" s="67"/>
      <c r="CM269" s="67"/>
      <c r="CN269" s="67"/>
      <c r="CO269" s="67"/>
      <c r="CP269" s="67"/>
      <c r="CQ269" s="67"/>
      <c r="CR269" s="67"/>
      <c r="CS269" s="67"/>
      <c r="CT269" s="67"/>
      <c r="CU269" s="67"/>
      <c r="CV269" s="67"/>
      <c r="CW269" s="67"/>
      <c r="CX269" s="67"/>
      <c r="CY269" s="67"/>
      <c r="CZ269" s="67"/>
      <c r="DA269" s="67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/>
      <c r="DS269" s="67"/>
      <c r="DT269" s="67"/>
      <c r="DU269" s="67"/>
      <c r="DV269" s="67"/>
      <c r="DW269" s="67"/>
      <c r="DX269" s="67"/>
      <c r="DY269" s="67"/>
      <c r="DZ269" s="67"/>
      <c r="EA269" s="67"/>
      <c r="EB269" s="67"/>
      <c r="EC269" s="67"/>
      <c r="ED269" s="67"/>
      <c r="EE269" s="67"/>
      <c r="EF269" s="67"/>
      <c r="EG269" s="67"/>
      <c r="EH269" s="67"/>
      <c r="EI269" s="67"/>
      <c r="EJ269" s="67"/>
      <c r="EK269" s="67"/>
      <c r="EL269" s="67"/>
      <c r="EM269" s="67"/>
      <c r="EN269" s="67"/>
      <c r="EO269" s="67"/>
      <c r="EP269" s="67"/>
      <c r="EQ269" s="67"/>
      <c r="ER269" s="67"/>
      <c r="ES269" s="67"/>
      <c r="ET269" s="67"/>
      <c r="EU269" s="67"/>
      <c r="EV269" s="67"/>
      <c r="EW269" s="67"/>
      <c r="EX269" s="67"/>
      <c r="EY269" s="67"/>
      <c r="EZ269" s="67"/>
      <c r="FA269" s="67"/>
      <c r="FB269" s="67"/>
      <c r="FC269" s="67"/>
      <c r="FD269" s="67"/>
      <c r="FE269" s="67"/>
      <c r="FF269" s="67"/>
      <c r="FG269" s="67"/>
      <c r="FH269" s="67"/>
      <c r="FI269" s="67"/>
      <c r="FJ269" s="67"/>
      <c r="FK269" s="67"/>
      <c r="FL269" s="67"/>
      <c r="FM269" s="67"/>
      <c r="FN269" s="67"/>
      <c r="FO269" s="67"/>
      <c r="FP269" s="67"/>
      <c r="FQ269" s="67"/>
      <c r="FR269" s="67"/>
      <c r="FS269" s="67"/>
      <c r="FT269" s="67"/>
      <c r="FU269" s="67"/>
      <c r="FV269" s="67"/>
      <c r="FW269" s="67"/>
      <c r="FX269" s="67"/>
      <c r="FY269" s="67"/>
      <c r="FZ269" s="59"/>
    </row>
    <row r="270" spans="1:185" x14ac:dyDescent="0.2">
      <c r="A270" s="66" t="s">
        <v>213</v>
      </c>
      <c r="B270" s="93">
        <f>IFERROR(B40/B209,0)</f>
        <v>-134.78555481841482</v>
      </c>
      <c r="C270" s="93">
        <f t="shared" ref="C270:BN270" si="4321">IFERROR(C40/C209,0)</f>
        <v>-130.93453896646011</v>
      </c>
      <c r="D270" s="93">
        <f t="shared" si="4321"/>
        <v>-127.0835231145054</v>
      </c>
      <c r="E270" s="93">
        <f t="shared" si="4321"/>
        <v>-123.23250726255067</v>
      </c>
      <c r="F270" s="93">
        <f t="shared" si="4321"/>
        <v>-119.38149141059597</v>
      </c>
      <c r="G270" s="93">
        <f t="shared" si="4321"/>
        <v>-115.53047555864127</v>
      </c>
      <c r="H270" s="93">
        <f t="shared" si="4321"/>
        <v>-111.67945970668656</v>
      </c>
      <c r="I270" s="93">
        <f t="shared" si="4321"/>
        <v>-107.82844385473184</v>
      </c>
      <c r="J270" s="93">
        <f t="shared" si="4321"/>
        <v>-103.97742800277713</v>
      </c>
      <c r="K270" s="93">
        <f t="shared" si="4321"/>
        <v>-100.12641215082243</v>
      </c>
      <c r="L270" s="93">
        <f t="shared" si="4321"/>
        <v>-96.275396298867719</v>
      </c>
      <c r="M270" s="93">
        <f t="shared" si="4321"/>
        <v>-92.424380446913005</v>
      </c>
      <c r="N270" s="93">
        <f t="shared" si="4321"/>
        <v>-177.97068207984694</v>
      </c>
      <c r="O270" s="93">
        <f t="shared" si="4321"/>
        <v>-170.23282633724489</v>
      </c>
      <c r="P270" s="93">
        <f t="shared" si="4321"/>
        <v>-162.49497059464284</v>
      </c>
      <c r="Q270" s="93">
        <f t="shared" si="4321"/>
        <v>-154.75711485204079</v>
      </c>
      <c r="R270" s="93">
        <f t="shared" si="4321"/>
        <v>-147.01925910943876</v>
      </c>
      <c r="S270" s="93">
        <f t="shared" si="4321"/>
        <v>-139.28140336683671</v>
      </c>
      <c r="T270" s="93">
        <f t="shared" si="4321"/>
        <v>-131.54354762423466</v>
      </c>
      <c r="U270" s="93">
        <f t="shared" si="4321"/>
        <v>-123.80569188163263</v>
      </c>
      <c r="V270" s="93">
        <f t="shared" si="4321"/>
        <v>-116.0678361390306</v>
      </c>
      <c r="W270" s="93">
        <f t="shared" si="4321"/>
        <v>-108.32998039642855</v>
      </c>
      <c r="X270" s="93">
        <f t="shared" si="4321"/>
        <v>-100.59212465382652</v>
      </c>
      <c r="Y270" s="93">
        <f t="shared" si="4321"/>
        <v>-92.85426891122448</v>
      </c>
      <c r="Z270" s="93">
        <f t="shared" si="4321"/>
        <v>-128.2734598601364</v>
      </c>
      <c r="AA270" s="93">
        <f t="shared" si="4321"/>
        <v>-116.61223623648765</v>
      </c>
      <c r="AB270" s="93">
        <f t="shared" si="4321"/>
        <v>-104.95101261283887</v>
      </c>
      <c r="AC270" s="93">
        <f t="shared" si="4321"/>
        <v>-93.289788989190114</v>
      </c>
      <c r="AD270" s="93">
        <f t="shared" si="4321"/>
        <v>-81.628565365541348</v>
      </c>
      <c r="AE270" s="93">
        <f t="shared" si="4321"/>
        <v>-69.967341741892582</v>
      </c>
      <c r="AF270" s="93">
        <f t="shared" si="4321"/>
        <v>-58.306118118243823</v>
      </c>
      <c r="AG270" s="93">
        <f t="shared" si="4321"/>
        <v>-46.644894494595057</v>
      </c>
      <c r="AH270" s="93">
        <f t="shared" si="4321"/>
        <v>-34.983670870946298</v>
      </c>
      <c r="AI270" s="93">
        <f t="shared" si="4321"/>
        <v>-23.322447247297525</v>
      </c>
      <c r="AJ270" s="93">
        <f t="shared" si="4321"/>
        <v>-11.661223623648764</v>
      </c>
      <c r="AK270" s="93">
        <f t="shared" si="4321"/>
        <v>0</v>
      </c>
      <c r="AL270" s="93">
        <f t="shared" si="4321"/>
        <v>0</v>
      </c>
      <c r="AM270" s="93">
        <f t="shared" si="4321"/>
        <v>0</v>
      </c>
      <c r="AN270" s="93">
        <f t="shared" si="4321"/>
        <v>0</v>
      </c>
      <c r="AO270" s="93">
        <f t="shared" si="4321"/>
        <v>0</v>
      </c>
      <c r="AP270" s="93">
        <f t="shared" si="4321"/>
        <v>0</v>
      </c>
      <c r="AQ270" s="93">
        <f t="shared" si="4321"/>
        <v>0</v>
      </c>
      <c r="AR270" s="93">
        <f t="shared" si="4321"/>
        <v>0</v>
      </c>
      <c r="AS270" s="93">
        <f t="shared" si="4321"/>
        <v>0</v>
      </c>
      <c r="AT270" s="93">
        <f t="shared" si="4321"/>
        <v>0</v>
      </c>
      <c r="AU270" s="93">
        <f t="shared" si="4321"/>
        <v>0</v>
      </c>
      <c r="AV270" s="93">
        <f t="shared" si="4321"/>
        <v>0</v>
      </c>
      <c r="AW270" s="93">
        <f t="shared" si="4321"/>
        <v>0</v>
      </c>
      <c r="AX270" s="93">
        <f t="shared" si="4321"/>
        <v>0</v>
      </c>
      <c r="AY270" s="93">
        <f t="shared" si="4321"/>
        <v>0</v>
      </c>
      <c r="AZ270" s="93">
        <f t="shared" si="4321"/>
        <v>0</v>
      </c>
      <c r="BA270" s="93">
        <f t="shared" si="4321"/>
        <v>0</v>
      </c>
      <c r="BB270" s="93">
        <f t="shared" si="4321"/>
        <v>0</v>
      </c>
      <c r="BC270" s="93">
        <f t="shared" si="4321"/>
        <v>0</v>
      </c>
      <c r="BD270" s="93">
        <f t="shared" si="4321"/>
        <v>0</v>
      </c>
      <c r="BE270" s="93">
        <f t="shared" si="4321"/>
        <v>0</v>
      </c>
      <c r="BF270" s="93">
        <f t="shared" si="4321"/>
        <v>0</v>
      </c>
      <c r="BG270" s="93">
        <f t="shared" si="4321"/>
        <v>0</v>
      </c>
      <c r="BH270" s="93">
        <f t="shared" si="4321"/>
        <v>0</v>
      </c>
      <c r="BI270" s="93">
        <f t="shared" si="4321"/>
        <v>0</v>
      </c>
      <c r="BJ270" s="93">
        <f t="shared" si="4321"/>
        <v>0</v>
      </c>
      <c r="BK270" s="93">
        <f t="shared" si="4321"/>
        <v>0</v>
      </c>
      <c r="BL270" s="93">
        <f t="shared" si="4321"/>
        <v>0</v>
      </c>
      <c r="BM270" s="93">
        <f t="shared" si="4321"/>
        <v>0</v>
      </c>
      <c r="BN270" s="93">
        <f t="shared" si="4321"/>
        <v>0</v>
      </c>
      <c r="BO270" s="93">
        <f t="shared" ref="BO270:DZ270" si="4322">IFERROR(BO40/BO209,0)</f>
        <v>0</v>
      </c>
      <c r="BP270" s="93">
        <f t="shared" si="4322"/>
        <v>0</v>
      </c>
      <c r="BQ270" s="93">
        <f t="shared" si="4322"/>
        <v>0</v>
      </c>
      <c r="BR270" s="93">
        <f t="shared" si="4322"/>
        <v>0</v>
      </c>
      <c r="BS270" s="93">
        <f t="shared" si="4322"/>
        <v>0</v>
      </c>
      <c r="BT270" s="93">
        <f t="shared" si="4322"/>
        <v>0</v>
      </c>
      <c r="BU270" s="93">
        <f t="shared" si="4322"/>
        <v>0</v>
      </c>
      <c r="BV270" s="93">
        <f t="shared" si="4322"/>
        <v>0</v>
      </c>
      <c r="BW270" s="93">
        <f t="shared" si="4322"/>
        <v>0</v>
      </c>
      <c r="BX270" s="93">
        <f t="shared" si="4322"/>
        <v>0</v>
      </c>
      <c r="BY270" s="93">
        <f t="shared" si="4322"/>
        <v>0</v>
      </c>
      <c r="BZ270" s="93">
        <f t="shared" si="4322"/>
        <v>0</v>
      </c>
      <c r="CA270" s="93">
        <f t="shared" si="4322"/>
        <v>0</v>
      </c>
      <c r="CB270" s="93">
        <f t="shared" si="4322"/>
        <v>0</v>
      </c>
      <c r="CC270" s="93">
        <f t="shared" si="4322"/>
        <v>0</v>
      </c>
      <c r="CD270" s="93">
        <f t="shared" si="4322"/>
        <v>0</v>
      </c>
      <c r="CE270" s="93">
        <f t="shared" si="4322"/>
        <v>0</v>
      </c>
      <c r="CF270" s="93">
        <f t="shared" si="4322"/>
        <v>0</v>
      </c>
      <c r="CG270" s="93">
        <f t="shared" si="4322"/>
        <v>0</v>
      </c>
      <c r="CH270" s="93">
        <f t="shared" si="4322"/>
        <v>0</v>
      </c>
      <c r="CI270" s="93">
        <f t="shared" si="4322"/>
        <v>0</v>
      </c>
      <c r="CJ270" s="93">
        <f t="shared" si="4322"/>
        <v>0</v>
      </c>
      <c r="CK270" s="93">
        <f t="shared" si="4322"/>
        <v>0</v>
      </c>
      <c r="CL270" s="93">
        <f t="shared" si="4322"/>
        <v>0</v>
      </c>
      <c r="CM270" s="93">
        <f t="shared" si="4322"/>
        <v>0</v>
      </c>
      <c r="CN270" s="93">
        <f t="shared" si="4322"/>
        <v>0</v>
      </c>
      <c r="CO270" s="93">
        <f t="shared" si="4322"/>
        <v>0</v>
      </c>
      <c r="CP270" s="93">
        <f t="shared" si="4322"/>
        <v>0</v>
      </c>
      <c r="CQ270" s="93">
        <f t="shared" si="4322"/>
        <v>0</v>
      </c>
      <c r="CR270" s="93">
        <f t="shared" si="4322"/>
        <v>0</v>
      </c>
      <c r="CS270" s="93">
        <f t="shared" si="4322"/>
        <v>0</v>
      </c>
      <c r="CT270" s="93">
        <f t="shared" si="4322"/>
        <v>0</v>
      </c>
      <c r="CU270" s="93">
        <f t="shared" si="4322"/>
        <v>0</v>
      </c>
      <c r="CV270" s="93">
        <f t="shared" si="4322"/>
        <v>0</v>
      </c>
      <c r="CW270" s="93">
        <f t="shared" si="4322"/>
        <v>0</v>
      </c>
      <c r="CX270" s="93">
        <f t="shared" si="4322"/>
        <v>0</v>
      </c>
      <c r="CY270" s="93">
        <f t="shared" si="4322"/>
        <v>0</v>
      </c>
      <c r="CZ270" s="93">
        <f t="shared" si="4322"/>
        <v>0</v>
      </c>
      <c r="DA270" s="93">
        <f t="shared" si="4322"/>
        <v>0</v>
      </c>
      <c r="DB270" s="93">
        <f t="shared" si="4322"/>
        <v>0</v>
      </c>
      <c r="DC270" s="93">
        <f t="shared" si="4322"/>
        <v>0</v>
      </c>
      <c r="DD270" s="93">
        <f t="shared" si="4322"/>
        <v>0</v>
      </c>
      <c r="DE270" s="93">
        <f t="shared" si="4322"/>
        <v>0</v>
      </c>
      <c r="DF270" s="93">
        <f t="shared" si="4322"/>
        <v>0</v>
      </c>
      <c r="DG270" s="93">
        <f t="shared" si="4322"/>
        <v>0</v>
      </c>
      <c r="DH270" s="93">
        <f t="shared" si="4322"/>
        <v>0</v>
      </c>
      <c r="DI270" s="93">
        <f t="shared" si="4322"/>
        <v>0</v>
      </c>
      <c r="DJ270" s="93">
        <f t="shared" si="4322"/>
        <v>0</v>
      </c>
      <c r="DK270" s="93">
        <f t="shared" si="4322"/>
        <v>0</v>
      </c>
      <c r="DL270" s="93">
        <f t="shared" si="4322"/>
        <v>0</v>
      </c>
      <c r="DM270" s="93">
        <f t="shared" si="4322"/>
        <v>0</v>
      </c>
      <c r="DN270" s="93">
        <f t="shared" si="4322"/>
        <v>0</v>
      </c>
      <c r="DO270" s="93">
        <f t="shared" si="4322"/>
        <v>0</v>
      </c>
      <c r="DP270" s="93">
        <f t="shared" si="4322"/>
        <v>0</v>
      </c>
      <c r="DQ270" s="93">
        <f t="shared" si="4322"/>
        <v>0</v>
      </c>
      <c r="DR270" s="93">
        <f t="shared" si="4322"/>
        <v>0</v>
      </c>
      <c r="DS270" s="93">
        <f t="shared" si="4322"/>
        <v>0</v>
      </c>
      <c r="DT270" s="93">
        <f t="shared" si="4322"/>
        <v>0</v>
      </c>
      <c r="DU270" s="93">
        <f t="shared" si="4322"/>
        <v>0</v>
      </c>
      <c r="DV270" s="93">
        <f t="shared" si="4322"/>
        <v>0</v>
      </c>
      <c r="DW270" s="93">
        <f t="shared" si="4322"/>
        <v>0</v>
      </c>
      <c r="DX270" s="93">
        <f t="shared" si="4322"/>
        <v>0</v>
      </c>
      <c r="DY270" s="93">
        <f t="shared" si="4322"/>
        <v>0</v>
      </c>
      <c r="DZ270" s="93">
        <f t="shared" si="4322"/>
        <v>0</v>
      </c>
      <c r="EA270" s="93">
        <f t="shared" ref="EA270:FY270" si="4323">IFERROR(EA40/EA209,0)</f>
        <v>0</v>
      </c>
      <c r="EB270" s="93">
        <f t="shared" si="4323"/>
        <v>0</v>
      </c>
      <c r="EC270" s="93">
        <f t="shared" si="4323"/>
        <v>0</v>
      </c>
      <c r="ED270" s="93">
        <f t="shared" si="4323"/>
        <v>0</v>
      </c>
      <c r="EE270" s="93">
        <f t="shared" si="4323"/>
        <v>0</v>
      </c>
      <c r="EF270" s="93">
        <f t="shared" si="4323"/>
        <v>0</v>
      </c>
      <c r="EG270" s="93">
        <f t="shared" si="4323"/>
        <v>0</v>
      </c>
      <c r="EH270" s="93">
        <f t="shared" si="4323"/>
        <v>0</v>
      </c>
      <c r="EI270" s="93">
        <f t="shared" si="4323"/>
        <v>0</v>
      </c>
      <c r="EJ270" s="93">
        <f t="shared" si="4323"/>
        <v>0</v>
      </c>
      <c r="EK270" s="93">
        <f t="shared" si="4323"/>
        <v>0</v>
      </c>
      <c r="EL270" s="93">
        <f t="shared" si="4323"/>
        <v>0</v>
      </c>
      <c r="EM270" s="93">
        <f t="shared" si="4323"/>
        <v>0</v>
      </c>
      <c r="EN270" s="93">
        <f t="shared" si="4323"/>
        <v>0</v>
      </c>
      <c r="EO270" s="93">
        <f t="shared" si="4323"/>
        <v>0</v>
      </c>
      <c r="EP270" s="93">
        <f t="shared" si="4323"/>
        <v>0</v>
      </c>
      <c r="EQ270" s="93">
        <f t="shared" si="4323"/>
        <v>0</v>
      </c>
      <c r="ER270" s="93">
        <f t="shared" si="4323"/>
        <v>0</v>
      </c>
      <c r="ES270" s="93">
        <f t="shared" si="4323"/>
        <v>0</v>
      </c>
      <c r="ET270" s="93">
        <f t="shared" si="4323"/>
        <v>0</v>
      </c>
      <c r="EU270" s="93">
        <f t="shared" si="4323"/>
        <v>0</v>
      </c>
      <c r="EV270" s="93">
        <f t="shared" si="4323"/>
        <v>0</v>
      </c>
      <c r="EW270" s="93">
        <f t="shared" si="4323"/>
        <v>0</v>
      </c>
      <c r="EX270" s="93">
        <f t="shared" si="4323"/>
        <v>0</v>
      </c>
      <c r="EY270" s="93">
        <f t="shared" si="4323"/>
        <v>0</v>
      </c>
      <c r="EZ270" s="93">
        <f t="shared" si="4323"/>
        <v>0</v>
      </c>
      <c r="FA270" s="93">
        <f t="shared" si="4323"/>
        <v>0</v>
      </c>
      <c r="FB270" s="93">
        <f t="shared" si="4323"/>
        <v>0</v>
      </c>
      <c r="FC270" s="93">
        <f t="shared" si="4323"/>
        <v>0</v>
      </c>
      <c r="FD270" s="93">
        <f t="shared" si="4323"/>
        <v>0</v>
      </c>
      <c r="FE270" s="93">
        <f t="shared" si="4323"/>
        <v>0</v>
      </c>
      <c r="FF270" s="93">
        <f t="shared" si="4323"/>
        <v>0</v>
      </c>
      <c r="FG270" s="93">
        <f t="shared" si="4323"/>
        <v>0</v>
      </c>
      <c r="FH270" s="93">
        <f t="shared" si="4323"/>
        <v>0</v>
      </c>
      <c r="FI270" s="93">
        <f t="shared" si="4323"/>
        <v>0</v>
      </c>
      <c r="FJ270" s="93">
        <f t="shared" si="4323"/>
        <v>0</v>
      </c>
      <c r="FK270" s="93">
        <f t="shared" si="4323"/>
        <v>0</v>
      </c>
      <c r="FL270" s="93">
        <f t="shared" si="4323"/>
        <v>0</v>
      </c>
      <c r="FM270" s="93">
        <f t="shared" si="4323"/>
        <v>0</v>
      </c>
      <c r="FN270" s="93">
        <f t="shared" si="4323"/>
        <v>0</v>
      </c>
      <c r="FO270" s="93">
        <f t="shared" si="4323"/>
        <v>0</v>
      </c>
      <c r="FP270" s="93">
        <f t="shared" si="4323"/>
        <v>0</v>
      </c>
      <c r="FQ270" s="93">
        <f t="shared" si="4323"/>
        <v>0</v>
      </c>
      <c r="FR270" s="93">
        <f t="shared" si="4323"/>
        <v>0</v>
      </c>
      <c r="FS270" s="93">
        <f t="shared" si="4323"/>
        <v>0</v>
      </c>
      <c r="FT270" s="93">
        <f t="shared" si="4323"/>
        <v>0</v>
      </c>
      <c r="FU270" s="93">
        <f t="shared" si="4323"/>
        <v>0</v>
      </c>
      <c r="FV270" s="93">
        <f t="shared" si="4323"/>
        <v>0</v>
      </c>
      <c r="FW270" s="93">
        <f t="shared" si="4323"/>
        <v>0</v>
      </c>
      <c r="FX270" s="93">
        <f t="shared" si="4323"/>
        <v>0</v>
      </c>
      <c r="FY270" s="93">
        <f t="shared" si="4323"/>
        <v>0</v>
      </c>
      <c r="FZ270" s="59"/>
    </row>
    <row r="271" spans="1:185" x14ac:dyDescent="0.2"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  <c r="FB271" s="57"/>
      <c r="FC271" s="57"/>
      <c r="FD271" s="57"/>
      <c r="FE271" s="57"/>
      <c r="FF271" s="57"/>
      <c r="FG271" s="57"/>
      <c r="FH271" s="57"/>
      <c r="FI271" s="57"/>
      <c r="FJ271" s="57"/>
      <c r="FK271" s="57"/>
      <c r="FL271" s="57"/>
      <c r="FM271" s="57"/>
      <c r="FN271" s="57"/>
      <c r="FO271" s="57"/>
      <c r="FP271" s="57"/>
      <c r="FQ271" s="57"/>
      <c r="FR271" s="57"/>
      <c r="FS271" s="57"/>
      <c r="FT271" s="57"/>
      <c r="FU271" s="57"/>
      <c r="FV271" s="57"/>
      <c r="FW271" s="57"/>
      <c r="FX271" s="57"/>
      <c r="FY271" s="57"/>
    </row>
    <row r="272" spans="1:185" x14ac:dyDescent="0.2">
      <c r="A272" s="66" t="s">
        <v>214</v>
      </c>
      <c r="B272" s="67">
        <f>SUM(B262:B270)</f>
        <v>116340.21687673496</v>
      </c>
      <c r="C272" s="67">
        <f t="shared" ref="C272" si="4324">SUM(C262:C270)</f>
        <v>111448.09275272382</v>
      </c>
      <c r="D272" s="67">
        <f t="shared" ref="D272:BO272" si="4325">SUM(D262:D270)</f>
        <v>106624.68327093881</v>
      </c>
      <c r="E272" s="67">
        <f t="shared" si="4325"/>
        <v>101871.89715856948</v>
      </c>
      <c r="F272" s="67">
        <f t="shared" si="4325"/>
        <v>97191.679068391226</v>
      </c>
      <c r="G272" s="67">
        <f t="shared" si="4325"/>
        <v>92586.010199493321</v>
      </c>
      <c r="H272" s="67">
        <f t="shared" si="4325"/>
        <v>88056.90892843336</v>
      </c>
      <c r="I272" s="67">
        <f t="shared" si="4325"/>
        <v>83606.431451034558</v>
      </c>
      <c r="J272" s="67">
        <f t="shared" si="4325"/>
        <v>79236.672435014843</v>
      </c>
      <c r="K272" s="67">
        <f t="shared" si="4325"/>
        <v>74949.76568360471</v>
      </c>
      <c r="L272" s="67">
        <f t="shared" si="4325"/>
        <v>70747.884810309391</v>
      </c>
      <c r="M272" s="67">
        <f t="shared" si="4325"/>
        <v>66633.243925106275</v>
      </c>
      <c r="N272" s="67">
        <f t="shared" si="4325"/>
        <v>62518.70101464491</v>
      </c>
      <c r="O272" s="67">
        <f t="shared" si="4325"/>
        <v>58552.563987193695</v>
      </c>
      <c r="P272" s="67">
        <f t="shared" si="4325"/>
        <v>54680.897397414366</v>
      </c>
      <c r="Q272" s="67">
        <f t="shared" si="4325"/>
        <v>50906.166618291179</v>
      </c>
      <c r="R272" s="67">
        <f t="shared" si="4325"/>
        <v>47230.883660758438</v>
      </c>
      <c r="S272" s="67">
        <f t="shared" si="4325"/>
        <v>43657.607985299263</v>
      </c>
      <c r="T272" s="67">
        <f t="shared" si="4325"/>
        <v>40188.947327225491</v>
      </c>
      <c r="U272" s="67">
        <f t="shared" si="4325"/>
        <v>36827.558535981283</v>
      </c>
      <c r="V272" s="67">
        <f t="shared" si="4325"/>
        <v>33576.148428619272</v>
      </c>
      <c r="W272" s="67">
        <f t="shared" si="4325"/>
        <v>30437.474657706007</v>
      </c>
      <c r="X272" s="67">
        <f t="shared" si="4325"/>
        <v>27414.346593932747</v>
      </c>
      <c r="Y272" s="67">
        <f t="shared" si="4325"/>
        <v>24509.626223664582</v>
      </c>
      <c r="Z272" s="67">
        <f t="shared" si="4325"/>
        <v>21683.072014926704</v>
      </c>
      <c r="AA272" s="67">
        <f t="shared" si="4325"/>
        <v>19003.125237692857</v>
      </c>
      <c r="AB272" s="67">
        <f t="shared" si="4325"/>
        <v>16451.986327620929</v>
      </c>
      <c r="AC272" s="67">
        <f t="shared" si="4325"/>
        <v>14032.857004353087</v>
      </c>
      <c r="AD272" s="67">
        <f t="shared" si="4325"/>
        <v>11748.999816473572</v>
      </c>
      <c r="AE272" s="67">
        <f t="shared" si="4325"/>
        <v>9603.7392078113553</v>
      </c>
      <c r="AF272" s="67">
        <f t="shared" si="4325"/>
        <v>7600.4626019062107</v>
      </c>
      <c r="AG272" s="67">
        <f t="shared" si="4325"/>
        <v>5742.6215049019902</v>
      </c>
      <c r="AH272" s="67">
        <f t="shared" si="4325"/>
        <v>4033.7326272193377</v>
      </c>
      <c r="AI272" s="67">
        <f t="shared" si="4325"/>
        <v>2477.3790242813257</v>
      </c>
      <c r="AJ272" s="67">
        <f t="shared" si="4325"/>
        <v>1077.2112566343962</v>
      </c>
      <c r="AK272" s="67">
        <f t="shared" si="4325"/>
        <v>0</v>
      </c>
      <c r="AL272" s="67">
        <f t="shared" si="4325"/>
        <v>0</v>
      </c>
      <c r="AM272" s="67">
        <f t="shared" si="4325"/>
        <v>0</v>
      </c>
      <c r="AN272" s="67">
        <f t="shared" si="4325"/>
        <v>0</v>
      </c>
      <c r="AO272" s="67">
        <f t="shared" si="4325"/>
        <v>0</v>
      </c>
      <c r="AP272" s="67">
        <f t="shared" si="4325"/>
        <v>0</v>
      </c>
      <c r="AQ272" s="67">
        <f t="shared" si="4325"/>
        <v>0</v>
      </c>
      <c r="AR272" s="67">
        <f t="shared" si="4325"/>
        <v>0</v>
      </c>
      <c r="AS272" s="67">
        <f t="shared" si="4325"/>
        <v>0</v>
      </c>
      <c r="AT272" s="67">
        <f t="shared" si="4325"/>
        <v>0</v>
      </c>
      <c r="AU272" s="67">
        <f t="shared" si="4325"/>
        <v>0</v>
      </c>
      <c r="AV272" s="67">
        <f t="shared" si="4325"/>
        <v>0</v>
      </c>
      <c r="AW272" s="67">
        <f t="shared" si="4325"/>
        <v>0</v>
      </c>
      <c r="AX272" s="67">
        <f t="shared" si="4325"/>
        <v>0</v>
      </c>
      <c r="AY272" s="67">
        <f t="shared" si="4325"/>
        <v>0</v>
      </c>
      <c r="AZ272" s="67">
        <f t="shared" si="4325"/>
        <v>0</v>
      </c>
      <c r="BA272" s="67">
        <f t="shared" si="4325"/>
        <v>0</v>
      </c>
      <c r="BB272" s="67">
        <f t="shared" si="4325"/>
        <v>0</v>
      </c>
      <c r="BC272" s="67">
        <f t="shared" si="4325"/>
        <v>0</v>
      </c>
      <c r="BD272" s="67">
        <f t="shared" si="4325"/>
        <v>0</v>
      </c>
      <c r="BE272" s="67">
        <f t="shared" si="4325"/>
        <v>0</v>
      </c>
      <c r="BF272" s="67">
        <f t="shared" si="4325"/>
        <v>0</v>
      </c>
      <c r="BG272" s="67">
        <f t="shared" si="4325"/>
        <v>0</v>
      </c>
      <c r="BH272" s="67">
        <f t="shared" si="4325"/>
        <v>0</v>
      </c>
      <c r="BI272" s="67">
        <f t="shared" si="4325"/>
        <v>0</v>
      </c>
      <c r="BJ272" s="67">
        <f t="shared" si="4325"/>
        <v>0</v>
      </c>
      <c r="BK272" s="67">
        <f t="shared" si="4325"/>
        <v>0</v>
      </c>
      <c r="BL272" s="67">
        <f t="shared" si="4325"/>
        <v>0</v>
      </c>
      <c r="BM272" s="67">
        <f t="shared" si="4325"/>
        <v>0</v>
      </c>
      <c r="BN272" s="67">
        <f t="shared" si="4325"/>
        <v>0</v>
      </c>
      <c r="BO272" s="67">
        <f t="shared" si="4325"/>
        <v>0</v>
      </c>
      <c r="BP272" s="67">
        <f t="shared" ref="BP272:EA272" si="4326">SUM(BP262:BP270)</f>
        <v>0</v>
      </c>
      <c r="BQ272" s="67">
        <f t="shared" si="4326"/>
        <v>0</v>
      </c>
      <c r="BR272" s="67">
        <f t="shared" si="4326"/>
        <v>0</v>
      </c>
      <c r="BS272" s="67">
        <f t="shared" si="4326"/>
        <v>0</v>
      </c>
      <c r="BT272" s="67">
        <f t="shared" si="4326"/>
        <v>0</v>
      </c>
      <c r="BU272" s="67">
        <f t="shared" si="4326"/>
        <v>0</v>
      </c>
      <c r="BV272" s="67">
        <f t="shared" si="4326"/>
        <v>0</v>
      </c>
      <c r="BW272" s="67">
        <f t="shared" si="4326"/>
        <v>0</v>
      </c>
      <c r="BX272" s="67">
        <f t="shared" si="4326"/>
        <v>0</v>
      </c>
      <c r="BY272" s="67">
        <f t="shared" si="4326"/>
        <v>0</v>
      </c>
      <c r="BZ272" s="67">
        <f t="shared" si="4326"/>
        <v>0</v>
      </c>
      <c r="CA272" s="67">
        <f t="shared" si="4326"/>
        <v>0</v>
      </c>
      <c r="CB272" s="67">
        <f t="shared" si="4326"/>
        <v>0</v>
      </c>
      <c r="CC272" s="67">
        <f t="shared" si="4326"/>
        <v>0</v>
      </c>
      <c r="CD272" s="67">
        <f t="shared" si="4326"/>
        <v>0</v>
      </c>
      <c r="CE272" s="67">
        <f t="shared" si="4326"/>
        <v>0</v>
      </c>
      <c r="CF272" s="67">
        <f t="shared" si="4326"/>
        <v>0</v>
      </c>
      <c r="CG272" s="67">
        <f t="shared" si="4326"/>
        <v>0</v>
      </c>
      <c r="CH272" s="67">
        <f t="shared" si="4326"/>
        <v>0</v>
      </c>
      <c r="CI272" s="67">
        <f t="shared" si="4326"/>
        <v>0</v>
      </c>
      <c r="CJ272" s="67">
        <f t="shared" si="4326"/>
        <v>0</v>
      </c>
      <c r="CK272" s="67">
        <f t="shared" si="4326"/>
        <v>0</v>
      </c>
      <c r="CL272" s="67">
        <f t="shared" si="4326"/>
        <v>0</v>
      </c>
      <c r="CM272" s="67">
        <f t="shared" si="4326"/>
        <v>0</v>
      </c>
      <c r="CN272" s="67">
        <f t="shared" si="4326"/>
        <v>0</v>
      </c>
      <c r="CO272" s="67">
        <f t="shared" si="4326"/>
        <v>0</v>
      </c>
      <c r="CP272" s="67">
        <f t="shared" si="4326"/>
        <v>0</v>
      </c>
      <c r="CQ272" s="67">
        <f t="shared" si="4326"/>
        <v>0</v>
      </c>
      <c r="CR272" s="67">
        <f t="shared" si="4326"/>
        <v>0</v>
      </c>
      <c r="CS272" s="67">
        <f t="shared" si="4326"/>
        <v>0</v>
      </c>
      <c r="CT272" s="67">
        <f t="shared" si="4326"/>
        <v>0</v>
      </c>
      <c r="CU272" s="67">
        <f t="shared" si="4326"/>
        <v>0</v>
      </c>
      <c r="CV272" s="67">
        <f t="shared" si="4326"/>
        <v>0</v>
      </c>
      <c r="CW272" s="67">
        <f t="shared" si="4326"/>
        <v>0</v>
      </c>
      <c r="CX272" s="67">
        <f t="shared" si="4326"/>
        <v>0</v>
      </c>
      <c r="CY272" s="67">
        <f t="shared" si="4326"/>
        <v>0</v>
      </c>
      <c r="CZ272" s="67">
        <f t="shared" si="4326"/>
        <v>0</v>
      </c>
      <c r="DA272" s="67">
        <f t="shared" si="4326"/>
        <v>0</v>
      </c>
      <c r="DB272" s="67">
        <f t="shared" si="4326"/>
        <v>0</v>
      </c>
      <c r="DC272" s="67">
        <f t="shared" si="4326"/>
        <v>0</v>
      </c>
      <c r="DD272" s="67">
        <f t="shared" si="4326"/>
        <v>0</v>
      </c>
      <c r="DE272" s="67">
        <f t="shared" si="4326"/>
        <v>0</v>
      </c>
      <c r="DF272" s="67">
        <f t="shared" si="4326"/>
        <v>0</v>
      </c>
      <c r="DG272" s="67">
        <f t="shared" si="4326"/>
        <v>0</v>
      </c>
      <c r="DH272" s="67">
        <f t="shared" si="4326"/>
        <v>0</v>
      </c>
      <c r="DI272" s="67">
        <f t="shared" si="4326"/>
        <v>0</v>
      </c>
      <c r="DJ272" s="67">
        <f t="shared" si="4326"/>
        <v>0</v>
      </c>
      <c r="DK272" s="67">
        <f t="shared" si="4326"/>
        <v>0</v>
      </c>
      <c r="DL272" s="67">
        <f t="shared" si="4326"/>
        <v>0</v>
      </c>
      <c r="DM272" s="67">
        <f t="shared" si="4326"/>
        <v>0</v>
      </c>
      <c r="DN272" s="67">
        <f t="shared" si="4326"/>
        <v>0</v>
      </c>
      <c r="DO272" s="67">
        <f t="shared" si="4326"/>
        <v>0</v>
      </c>
      <c r="DP272" s="67">
        <f t="shared" si="4326"/>
        <v>0</v>
      </c>
      <c r="DQ272" s="67">
        <f t="shared" si="4326"/>
        <v>0</v>
      </c>
      <c r="DR272" s="67">
        <f t="shared" si="4326"/>
        <v>0</v>
      </c>
      <c r="DS272" s="67">
        <f t="shared" si="4326"/>
        <v>0</v>
      </c>
      <c r="DT272" s="67">
        <f t="shared" si="4326"/>
        <v>0</v>
      </c>
      <c r="DU272" s="67">
        <f t="shared" si="4326"/>
        <v>0</v>
      </c>
      <c r="DV272" s="67">
        <f t="shared" si="4326"/>
        <v>0</v>
      </c>
      <c r="DW272" s="67">
        <f t="shared" si="4326"/>
        <v>0</v>
      </c>
      <c r="DX272" s="67">
        <f t="shared" si="4326"/>
        <v>0</v>
      </c>
      <c r="DY272" s="67">
        <f t="shared" si="4326"/>
        <v>0</v>
      </c>
      <c r="DZ272" s="67">
        <f t="shared" si="4326"/>
        <v>0</v>
      </c>
      <c r="EA272" s="67">
        <f t="shared" si="4326"/>
        <v>0</v>
      </c>
      <c r="EB272" s="67">
        <f t="shared" ref="EB272:FY272" si="4327">SUM(EB262:EB270)</f>
        <v>0</v>
      </c>
      <c r="EC272" s="67">
        <f t="shared" si="4327"/>
        <v>0</v>
      </c>
      <c r="ED272" s="67">
        <f t="shared" si="4327"/>
        <v>0</v>
      </c>
      <c r="EE272" s="67">
        <f t="shared" si="4327"/>
        <v>0</v>
      </c>
      <c r="EF272" s="67">
        <f t="shared" si="4327"/>
        <v>0</v>
      </c>
      <c r="EG272" s="67">
        <f t="shared" si="4327"/>
        <v>0</v>
      </c>
      <c r="EH272" s="67">
        <f t="shared" si="4327"/>
        <v>0</v>
      </c>
      <c r="EI272" s="67">
        <f t="shared" si="4327"/>
        <v>0</v>
      </c>
      <c r="EJ272" s="67">
        <f t="shared" si="4327"/>
        <v>0</v>
      </c>
      <c r="EK272" s="67">
        <f t="shared" si="4327"/>
        <v>0</v>
      </c>
      <c r="EL272" s="67">
        <f t="shared" si="4327"/>
        <v>0</v>
      </c>
      <c r="EM272" s="67">
        <f t="shared" si="4327"/>
        <v>0</v>
      </c>
      <c r="EN272" s="67">
        <f t="shared" si="4327"/>
        <v>0</v>
      </c>
      <c r="EO272" s="67">
        <f t="shared" si="4327"/>
        <v>0</v>
      </c>
      <c r="EP272" s="67">
        <f t="shared" si="4327"/>
        <v>0</v>
      </c>
      <c r="EQ272" s="67">
        <f t="shared" si="4327"/>
        <v>0</v>
      </c>
      <c r="ER272" s="67">
        <f t="shared" si="4327"/>
        <v>0</v>
      </c>
      <c r="ES272" s="67">
        <f t="shared" si="4327"/>
        <v>0</v>
      </c>
      <c r="ET272" s="67">
        <f t="shared" si="4327"/>
        <v>0</v>
      </c>
      <c r="EU272" s="67">
        <f t="shared" si="4327"/>
        <v>0</v>
      </c>
      <c r="EV272" s="67">
        <f t="shared" si="4327"/>
        <v>0</v>
      </c>
      <c r="EW272" s="67">
        <f t="shared" si="4327"/>
        <v>0</v>
      </c>
      <c r="EX272" s="67">
        <f t="shared" si="4327"/>
        <v>0</v>
      </c>
      <c r="EY272" s="67">
        <f t="shared" si="4327"/>
        <v>0</v>
      </c>
      <c r="EZ272" s="67">
        <f t="shared" si="4327"/>
        <v>0</v>
      </c>
      <c r="FA272" s="67">
        <f t="shared" si="4327"/>
        <v>0</v>
      </c>
      <c r="FB272" s="67">
        <f t="shared" si="4327"/>
        <v>0</v>
      </c>
      <c r="FC272" s="67">
        <f t="shared" si="4327"/>
        <v>0</v>
      </c>
      <c r="FD272" s="67">
        <f t="shared" si="4327"/>
        <v>0</v>
      </c>
      <c r="FE272" s="67">
        <f t="shared" si="4327"/>
        <v>0</v>
      </c>
      <c r="FF272" s="67">
        <f t="shared" si="4327"/>
        <v>0</v>
      </c>
      <c r="FG272" s="67">
        <f t="shared" si="4327"/>
        <v>0</v>
      </c>
      <c r="FH272" s="67">
        <f t="shared" si="4327"/>
        <v>0</v>
      </c>
      <c r="FI272" s="67">
        <f t="shared" si="4327"/>
        <v>0</v>
      </c>
      <c r="FJ272" s="67">
        <f t="shared" si="4327"/>
        <v>0</v>
      </c>
      <c r="FK272" s="67">
        <f t="shared" si="4327"/>
        <v>0</v>
      </c>
      <c r="FL272" s="67">
        <f t="shared" si="4327"/>
        <v>0</v>
      </c>
      <c r="FM272" s="67">
        <f t="shared" si="4327"/>
        <v>0</v>
      </c>
      <c r="FN272" s="67">
        <f t="shared" si="4327"/>
        <v>0</v>
      </c>
      <c r="FO272" s="67">
        <f t="shared" si="4327"/>
        <v>0</v>
      </c>
      <c r="FP272" s="67">
        <f t="shared" si="4327"/>
        <v>0</v>
      </c>
      <c r="FQ272" s="67">
        <f t="shared" si="4327"/>
        <v>0</v>
      </c>
      <c r="FR272" s="67">
        <f t="shared" si="4327"/>
        <v>0</v>
      </c>
      <c r="FS272" s="67">
        <f t="shared" si="4327"/>
        <v>0</v>
      </c>
      <c r="FT272" s="67">
        <f t="shared" si="4327"/>
        <v>0</v>
      </c>
      <c r="FU272" s="67">
        <f t="shared" si="4327"/>
        <v>0</v>
      </c>
      <c r="FV272" s="67">
        <f t="shared" si="4327"/>
        <v>0</v>
      </c>
      <c r="FW272" s="67">
        <f t="shared" si="4327"/>
        <v>0</v>
      </c>
      <c r="FX272" s="67">
        <f t="shared" si="4327"/>
        <v>0</v>
      </c>
      <c r="FY272" s="67">
        <f t="shared" si="4327"/>
        <v>0</v>
      </c>
      <c r="FZ272" s="59"/>
    </row>
    <row r="273" spans="1:184" hidden="1" x14ac:dyDescent="0.2">
      <c r="A273" s="94" t="s">
        <v>285</v>
      </c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5"/>
      <c r="FE273" s="65"/>
      <c r="FF273" s="65"/>
      <c r="FG273" s="65"/>
      <c r="FH273" s="65"/>
      <c r="FI273" s="65"/>
      <c r="FJ273" s="65"/>
      <c r="FK273" s="65"/>
      <c r="FL273" s="65"/>
      <c r="FM273" s="65"/>
      <c r="FN273" s="65"/>
      <c r="FO273" s="65"/>
      <c r="FP273" s="65"/>
      <c r="FQ273" s="65"/>
      <c r="FR273" s="65"/>
      <c r="FS273" s="65"/>
      <c r="FT273" s="65"/>
      <c r="FU273" s="65"/>
      <c r="FV273" s="65"/>
      <c r="FW273" s="65"/>
      <c r="FX273" s="65"/>
      <c r="FY273" s="65"/>
      <c r="FZ273" s="59"/>
    </row>
    <row r="274" spans="1:184" x14ac:dyDescent="0.2">
      <c r="A274" s="95" t="s">
        <v>367</v>
      </c>
      <c r="B274" s="96">
        <f>IF(C207=0,0,C207*(1/B210-1/B209))</f>
        <v>107.87609085624891</v>
      </c>
      <c r="C274" s="96">
        <f t="shared" ref="C274" si="4328">IF(D207=0,0,D207*(1/C210-1/C209))</f>
        <v>103.33988454127551</v>
      </c>
      <c r="D274" s="96">
        <f t="shared" ref="D274" si="4329">IF(E207=0,0,E207*(1/D210-1/D209))</f>
        <v>98.867393656644978</v>
      </c>
      <c r="E274" s="96">
        <f t="shared" ref="E274" si="4330">IF(F207=0,0,F207*(1/E210-1/E209))</f>
        <v>94.460388063576957</v>
      </c>
      <c r="F274" s="96">
        <f t="shared" ref="F274" si="4331">IF(G207=0,0,G207*(1/F210-1/F209))</f>
        <v>90.120670934984688</v>
      </c>
      <c r="G274" s="96">
        <f t="shared" ref="G274" si="4332">IF(H207=0,0,H207*(1/G210-1/G209))</f>
        <v>85.850079331372058</v>
      </c>
      <c r="H274" s="96">
        <f t="shared" ref="H274" si="4333">IF(I207=0,0,I207*(1/H210-1/H209))</f>
        <v>81.65048478592216</v>
      </c>
      <c r="I274" s="96">
        <f t="shared" ref="I274" si="4334">IF(J207=0,0,J207*(1/I210-1/I209))</f>
        <v>77.523793899528286</v>
      </c>
      <c r="J274" s="96">
        <f t="shared" ref="J274" si="4335">IF(K207=0,0,K207*(1/J210-1/J209))</f>
        <v>73.471948946102472</v>
      </c>
      <c r="K274" s="96">
        <f t="shared" ref="K274" si="4336">IF(L207=0,0,L207*(1/K210-1/K209))</f>
        <v>69.496928487811289</v>
      </c>
      <c r="L274" s="96">
        <f t="shared" ref="L274" si="4337">IF(M207=0,0,M207*(1/L210-1/L209))</f>
        <v>65.600748000751906</v>
      </c>
      <c r="M274" s="96">
        <f t="shared" ref="M274" si="4338">IF(N207=0,0,N207*(1/M210-1/M209))</f>
        <v>61.785460511275858</v>
      </c>
      <c r="N274" s="96">
        <f t="shared" ref="N274" si="4339">IF(O207=0,0,O207*(1/N210-1/N209))</f>
        <v>110.93919971371038</v>
      </c>
      <c r="O274" s="96">
        <f t="shared" ref="O274" si="4340">IF(P207=0,0,P207*(1/O210-1/O209))</f>
        <v>103.90130448171797</v>
      </c>
      <c r="P274" s="96">
        <f t="shared" ref="P274" si="4341">IF(Q207=0,0,Q207*(1/P210-1/P209))</f>
        <v>97.031046685934271</v>
      </c>
      <c r="Q274" s="96">
        <f t="shared" ref="Q274" si="4342">IF(R207=0,0,R207*(1/Q210-1/Q209))</f>
        <v>90.332801121424168</v>
      </c>
      <c r="R274" s="96">
        <f t="shared" ref="R274" si="4343">IF(S207=0,0,S207*(1/R210-1/R209))</f>
        <v>83.811025342133192</v>
      </c>
      <c r="S274" s="96">
        <f t="shared" ref="S274" si="4344">IF(T207=0,0,T207*(1/S210-1/S209))</f>
        <v>77.470261101061425</v>
      </c>
      <c r="T274" s="96">
        <f t="shared" ref="T274" si="4345">IF(U207=0,0,U207*(1/T210-1/T209))</f>
        <v>71.315135814706423</v>
      </c>
      <c r="U274" s="96">
        <f t="shared" ref="U274" si="4346">IF(V207=0,0,V207*(1/U210-1/U209))</f>
        <v>65.350364052420829</v>
      </c>
      <c r="V274" s="96">
        <f t="shared" ref="V274" si="4347">IF(W207=0,0,W207*(1/V210-1/V209))</f>
        <v>59.580749050859971</v>
      </c>
      <c r="W274" s="96">
        <f t="shared" ref="W274" si="4348">IF(X207=0,0,X207*(1/W210-1/W209))</f>
        <v>54.011184254148219</v>
      </c>
      <c r="X274" s="96">
        <f t="shared" ref="X274" si="4349">IF(Y207=0,0,Y207*(1/X210-1/X209))</f>
        <v>48.646654879990578</v>
      </c>
      <c r="Y274" s="96">
        <f t="shared" ref="Y274" si="4350">IF(Z207=0,0,Z207*(1/Y210-1/Y209))</f>
        <v>43.492239512433699</v>
      </c>
      <c r="Z274" s="96">
        <f t="shared" ref="Z274" si="4351">IF(AA207=0,0,AA207*(1/Z210-1/Z209))</f>
        <v>57.05171621564002</v>
      </c>
      <c r="AA274" s="96">
        <f t="shared" ref="AA274" si="4352">IF(AB207=0,0,AB207*(1/AA210-1/AA209))</f>
        <v>50.000337015199946</v>
      </c>
      <c r="AB274" s="96">
        <f t="shared" ref="AB274" si="4353">IF(AC207=0,0,AC207*(1/AB210-1/AB209))</f>
        <v>43.287872424204608</v>
      </c>
      <c r="AC274" s="96">
        <f t="shared" ref="AC274" si="4354">IF(AD207=0,0,AD207*(1/AC210-1/AC209))</f>
        <v>36.922746691792959</v>
      </c>
      <c r="AD274" s="96">
        <f t="shared" ref="AD274" si="4355">IF(AE207=0,0,AE207*(1/AD210-1/AD209))</f>
        <v>30.913544117992746</v>
      </c>
      <c r="AE274" s="96">
        <f t="shared" ref="AE274" si="4356">IF(AF207=0,0,AF207*(1/AE210-1/AE209))</f>
        <v>25.269011859383976</v>
      </c>
      <c r="AF274" s="96">
        <f t="shared" ref="AF274" si="4357">IF(AG207=0,0,AG207*(1/AF210-1/AF209))</f>
        <v>19.998062782479447</v>
      </c>
      <c r="AG274" s="96">
        <f t="shared" ref="AG274" si="4358">IF(AH207=0,0,AH207*(1/AG210-1/AG209))</f>
        <v>15.109778365627985</v>
      </c>
      <c r="AH274" s="96">
        <f t="shared" ref="AH274" si="4359">IF(AI207=0,0,AI207*(1/AH210-1/AH209))</f>
        <v>10.613411650317202</v>
      </c>
      <c r="AI274" s="96">
        <f t="shared" ref="AI274" si="4360">IF(AJ207=0,0,AJ207*(1/AI210-1/AI209))</f>
        <v>6.5183902426086293</v>
      </c>
      <c r="AJ274" s="96">
        <f t="shared" ref="AJ274" si="4361">IF(AK207=0,0,AK207*(1/AJ210-1/AJ209))</f>
        <v>2.8343193656087116</v>
      </c>
      <c r="AK274" s="96">
        <f t="shared" ref="AK274" si="4362">IF(AL207=0,0,AL207*(1/AK210-1/AK209))</f>
        <v>0</v>
      </c>
      <c r="AL274" s="96">
        <f t="shared" ref="AL274" si="4363">IF(AM207=0,0,AM207*(1/AL210-1/AL209))</f>
        <v>0</v>
      </c>
      <c r="AM274" s="96">
        <f t="shared" ref="AM274" si="4364">IF(AN207=0,0,AN207*(1/AM210-1/AM209))</f>
        <v>0</v>
      </c>
      <c r="AN274" s="96">
        <f t="shared" ref="AN274" si="4365">IF(AO207=0,0,AO207*(1/AN210-1/AN209))</f>
        <v>0</v>
      </c>
      <c r="AO274" s="96">
        <f t="shared" ref="AO274" si="4366">IF(AP207=0,0,AP207*(1/AO210-1/AO209))</f>
        <v>0</v>
      </c>
      <c r="AP274" s="96">
        <f t="shared" ref="AP274" si="4367">IF(AQ207=0,0,AQ207*(1/AP210-1/AP209))</f>
        <v>0</v>
      </c>
      <c r="AQ274" s="96">
        <f t="shared" ref="AQ274" si="4368">IF(AR207=0,0,AR207*(1/AQ210-1/AQ209))</f>
        <v>0</v>
      </c>
      <c r="AR274" s="96">
        <f t="shared" ref="AR274" si="4369">IF(AS207=0,0,AS207*(1/AR210-1/AR209))</f>
        <v>0</v>
      </c>
      <c r="AS274" s="96">
        <f t="shared" ref="AS274" si="4370">IF(AT207=0,0,AT207*(1/AS210-1/AS209))</f>
        <v>0</v>
      </c>
      <c r="AT274" s="96">
        <f t="shared" ref="AT274" si="4371">IF(AU207=0,0,AU207*(1/AT210-1/AT209))</f>
        <v>0</v>
      </c>
      <c r="AU274" s="96">
        <f t="shared" ref="AU274" si="4372">IF(AV207=0,0,AV207*(1/AU210-1/AU209))</f>
        <v>0</v>
      </c>
      <c r="AV274" s="96">
        <f t="shared" ref="AV274" si="4373">IF(AW207=0,0,AW207*(1/AV210-1/AV209))</f>
        <v>0</v>
      </c>
      <c r="AW274" s="96">
        <f t="shared" ref="AW274" si="4374">IF(AX207=0,0,AX207*(1/AW210-1/AW209))</f>
        <v>0</v>
      </c>
      <c r="AX274" s="96">
        <f t="shared" ref="AX274" si="4375">IF(AY207=0,0,AY207*(1/AX210-1/AX209))</f>
        <v>0</v>
      </c>
      <c r="AY274" s="96">
        <f t="shared" ref="AY274" si="4376">IF(AZ207=0,0,AZ207*(1/AY210-1/AY209))</f>
        <v>0</v>
      </c>
      <c r="AZ274" s="96">
        <f t="shared" ref="AZ274" si="4377">IF(BA207=0,0,BA207*(1/AZ210-1/AZ209))</f>
        <v>0</v>
      </c>
      <c r="BA274" s="96">
        <f t="shared" ref="BA274" si="4378">IF(BB207=0,0,BB207*(1/BA210-1/BA209))</f>
        <v>0</v>
      </c>
      <c r="BB274" s="96">
        <f t="shared" ref="BB274" si="4379">IF(BC207=0,0,BC207*(1/BB210-1/BB209))</f>
        <v>0</v>
      </c>
      <c r="BC274" s="96">
        <f t="shared" ref="BC274" si="4380">IF(BD207=0,0,BD207*(1/BC210-1/BC209))</f>
        <v>0</v>
      </c>
      <c r="BD274" s="96">
        <f t="shared" ref="BD274" si="4381">IF(BE207=0,0,BE207*(1/BD210-1/BD209))</f>
        <v>0</v>
      </c>
      <c r="BE274" s="96">
        <f t="shared" ref="BE274" si="4382">IF(BF207=0,0,BF207*(1/BE210-1/BE209))</f>
        <v>0</v>
      </c>
      <c r="BF274" s="96">
        <f t="shared" ref="BF274" si="4383">IF(BG207=0,0,BG207*(1/BF210-1/BF209))</f>
        <v>0</v>
      </c>
      <c r="BG274" s="96">
        <f t="shared" ref="BG274" si="4384">IF(BH207=0,0,BH207*(1/BG210-1/BG209))</f>
        <v>0</v>
      </c>
      <c r="BH274" s="96">
        <f t="shared" ref="BH274" si="4385">IF(BI207=0,0,BI207*(1/BH210-1/BH209))</f>
        <v>0</v>
      </c>
      <c r="BI274" s="96">
        <f t="shared" ref="BI274" si="4386">IF(BJ207=0,0,BJ207*(1/BI210-1/BI209))</f>
        <v>0</v>
      </c>
      <c r="BJ274" s="96">
        <f t="shared" ref="BJ274" si="4387">IF(BK207=0,0,BK207*(1/BJ210-1/BJ209))</f>
        <v>0</v>
      </c>
      <c r="BK274" s="96">
        <f t="shared" ref="BK274" si="4388">IF(BL207=0,0,BL207*(1/BK210-1/BK209))</f>
        <v>0</v>
      </c>
      <c r="BL274" s="96">
        <f t="shared" ref="BL274" si="4389">IF(BM207=0,0,BM207*(1/BL210-1/BL209))</f>
        <v>0</v>
      </c>
      <c r="BM274" s="96">
        <f t="shared" ref="BM274" si="4390">IF(BN207=0,0,BN207*(1/BM210-1/BM209))</f>
        <v>0</v>
      </c>
      <c r="BN274" s="96">
        <f t="shared" ref="BN274" si="4391">IF(BO207=0,0,BO207*(1/BN210-1/BN209))</f>
        <v>0</v>
      </c>
      <c r="BO274" s="96">
        <f t="shared" ref="BO274" si="4392">IF(BP207=0,0,BP207*(1/BO210-1/BO209))</f>
        <v>0</v>
      </c>
      <c r="BP274" s="96">
        <f t="shared" ref="BP274" si="4393">IF(BQ207=0,0,BQ207*(1/BP210-1/BP209))</f>
        <v>0</v>
      </c>
      <c r="BQ274" s="96">
        <f t="shared" ref="BQ274" si="4394">IF(BR207=0,0,BR207*(1/BQ210-1/BQ209))</f>
        <v>0</v>
      </c>
      <c r="BR274" s="96">
        <f t="shared" ref="BR274" si="4395">IF(BS207=0,0,BS207*(1/BR210-1/BR209))</f>
        <v>0</v>
      </c>
      <c r="BS274" s="96">
        <f t="shared" ref="BS274" si="4396">IF(BT207=0,0,BT207*(1/BS210-1/BS209))</f>
        <v>0</v>
      </c>
      <c r="BT274" s="96">
        <f t="shared" ref="BT274" si="4397">IF(BU207=0,0,BU207*(1/BT210-1/BT209))</f>
        <v>0</v>
      </c>
      <c r="BU274" s="96">
        <f t="shared" ref="BU274" si="4398">IF(BV207=0,0,BV207*(1/BU210-1/BU209))</f>
        <v>0</v>
      </c>
      <c r="BV274" s="96">
        <f t="shared" ref="BV274" si="4399">IF(BW207=0,0,BW207*(1/BV210-1/BV209))</f>
        <v>0</v>
      </c>
      <c r="BW274" s="96">
        <f t="shared" ref="BW274" si="4400">IF(BX207=0,0,BX207*(1/BW210-1/BW209))</f>
        <v>0</v>
      </c>
      <c r="BX274" s="96">
        <f t="shared" ref="BX274" si="4401">IF(BY207=0,0,BY207*(1/BX210-1/BX209))</f>
        <v>0</v>
      </c>
      <c r="BY274" s="96">
        <f t="shared" ref="BY274" si="4402">IF(BZ207=0,0,BZ207*(1/BY210-1/BY209))</f>
        <v>0</v>
      </c>
      <c r="BZ274" s="96">
        <f t="shared" ref="BZ274" si="4403">IF(CA207=0,0,CA207*(1/BZ210-1/BZ209))</f>
        <v>0</v>
      </c>
      <c r="CA274" s="96">
        <f t="shared" ref="CA274" si="4404">IF(CB207=0,0,CB207*(1/CA210-1/CA209))</f>
        <v>0</v>
      </c>
      <c r="CB274" s="96">
        <f t="shared" ref="CB274" si="4405">IF(CC207=0,0,CC207*(1/CB210-1/CB209))</f>
        <v>0</v>
      </c>
      <c r="CC274" s="96">
        <f t="shared" ref="CC274" si="4406">IF(CD207=0,0,CD207*(1/CC210-1/CC209))</f>
        <v>0</v>
      </c>
      <c r="CD274" s="96">
        <f t="shared" ref="CD274" si="4407">IF(CE207=0,0,CE207*(1/CD210-1/CD209))</f>
        <v>0</v>
      </c>
      <c r="CE274" s="96">
        <f t="shared" ref="CE274" si="4408">IF(CF207=0,0,CF207*(1/CE210-1/CE209))</f>
        <v>0</v>
      </c>
      <c r="CF274" s="96">
        <f t="shared" ref="CF274" si="4409">IF(CG207=0,0,CG207*(1/CF210-1/CF209))</f>
        <v>0</v>
      </c>
      <c r="CG274" s="96">
        <f t="shared" ref="CG274" si="4410">IF(CH207=0,0,CH207*(1/CG210-1/CG209))</f>
        <v>0</v>
      </c>
      <c r="CH274" s="96">
        <f t="shared" ref="CH274" si="4411">IF(CI207=0,0,CI207*(1/CH210-1/CH209))</f>
        <v>0</v>
      </c>
      <c r="CI274" s="96">
        <f t="shared" ref="CI274" si="4412">IF(CJ207=0,0,CJ207*(1/CI210-1/CI209))</f>
        <v>0</v>
      </c>
      <c r="CJ274" s="96">
        <f t="shared" ref="CJ274" si="4413">IF(CK207=0,0,CK207*(1/CJ210-1/CJ209))</f>
        <v>0</v>
      </c>
      <c r="CK274" s="96">
        <f t="shared" ref="CK274" si="4414">IF(CL207=0,0,CL207*(1/CK210-1/CK209))</f>
        <v>0</v>
      </c>
      <c r="CL274" s="96">
        <f t="shared" ref="CL274" si="4415">IF(CM207=0,0,CM207*(1/CL210-1/CL209))</f>
        <v>0</v>
      </c>
      <c r="CM274" s="96">
        <f t="shared" ref="CM274" si="4416">IF(CN207=0,0,CN207*(1/CM210-1/CM209))</f>
        <v>0</v>
      </c>
      <c r="CN274" s="96">
        <f t="shared" ref="CN274" si="4417">IF(CO207=0,0,CO207*(1/CN210-1/CN209))</f>
        <v>0</v>
      </c>
      <c r="CO274" s="96">
        <f t="shared" ref="CO274" si="4418">IF(CP207=0,0,CP207*(1/CO210-1/CO209))</f>
        <v>0</v>
      </c>
      <c r="CP274" s="96">
        <f t="shared" ref="CP274" si="4419">IF(CQ207=0,0,CQ207*(1/CP210-1/CP209))</f>
        <v>0</v>
      </c>
      <c r="CQ274" s="96">
        <f t="shared" ref="CQ274" si="4420">IF(CR207=0,0,CR207*(1/CQ210-1/CQ209))</f>
        <v>0</v>
      </c>
      <c r="CR274" s="96">
        <f t="shared" ref="CR274" si="4421">IF(CS207=0,0,CS207*(1/CR210-1/CR209))</f>
        <v>0</v>
      </c>
      <c r="CS274" s="96">
        <f t="shared" ref="CS274" si="4422">IF(CT207=0,0,CT207*(1/CS210-1/CS209))</f>
        <v>0</v>
      </c>
      <c r="CT274" s="96">
        <f t="shared" ref="CT274" si="4423">IF(CU207=0,0,CU207*(1/CT210-1/CT209))</f>
        <v>0</v>
      </c>
      <c r="CU274" s="96">
        <f t="shared" ref="CU274" si="4424">IF(CV207=0,0,CV207*(1/CU210-1/CU209))</f>
        <v>0</v>
      </c>
      <c r="CV274" s="96">
        <f t="shared" ref="CV274" si="4425">IF(CW207=0,0,CW207*(1/CV210-1/CV209))</f>
        <v>0</v>
      </c>
      <c r="CW274" s="96">
        <f t="shared" ref="CW274" si="4426">IF(CX207=0,0,CX207*(1/CW210-1/CW209))</f>
        <v>0</v>
      </c>
      <c r="CX274" s="96">
        <f t="shared" ref="CX274" si="4427">IF(CY207=0,0,CY207*(1/CX210-1/CX209))</f>
        <v>0</v>
      </c>
      <c r="CY274" s="96">
        <f t="shared" ref="CY274" si="4428">IF(CZ207=0,0,CZ207*(1/CY210-1/CY209))</f>
        <v>0</v>
      </c>
      <c r="CZ274" s="96">
        <f t="shared" ref="CZ274" si="4429">IF(DA207=0,0,DA207*(1/CZ210-1/CZ209))</f>
        <v>0</v>
      </c>
      <c r="DA274" s="96">
        <f t="shared" ref="DA274" si="4430">IF(DB207=0,0,DB207*(1/DA210-1/DA209))</f>
        <v>0</v>
      </c>
      <c r="DB274" s="96">
        <f t="shared" ref="DB274" si="4431">IF(DC207=0,0,DC207*(1/DB210-1/DB209))</f>
        <v>0</v>
      </c>
      <c r="DC274" s="96">
        <f t="shared" ref="DC274" si="4432">IF(DD207=0,0,DD207*(1/DC210-1/DC209))</f>
        <v>0</v>
      </c>
      <c r="DD274" s="96">
        <f t="shared" ref="DD274" si="4433">IF(DE207=0,0,DE207*(1/DD210-1/DD209))</f>
        <v>0</v>
      </c>
      <c r="DE274" s="96">
        <f t="shared" ref="DE274" si="4434">IF(DF207=0,0,DF207*(1/DE210-1/DE209))</f>
        <v>0</v>
      </c>
      <c r="DF274" s="96">
        <f t="shared" ref="DF274" si="4435">IF(DG207=0,0,DG207*(1/DF210-1/DF209))</f>
        <v>0</v>
      </c>
      <c r="DG274" s="96">
        <f t="shared" ref="DG274" si="4436">IF(DH207=0,0,DH207*(1/DG210-1/DG209))</f>
        <v>0</v>
      </c>
      <c r="DH274" s="96">
        <f t="shared" ref="DH274" si="4437">IF(DI207=0,0,DI207*(1/DH210-1/DH209))</f>
        <v>0</v>
      </c>
      <c r="DI274" s="96">
        <f t="shared" ref="DI274" si="4438">IF(DJ207=0,0,DJ207*(1/DI210-1/DI209))</f>
        <v>0</v>
      </c>
      <c r="DJ274" s="96">
        <f t="shared" ref="DJ274" si="4439">IF(DK207=0,0,DK207*(1/DJ210-1/DJ209))</f>
        <v>0</v>
      </c>
      <c r="DK274" s="96">
        <f t="shared" ref="DK274" si="4440">IF(DL207=0,0,DL207*(1/DK210-1/DK209))</f>
        <v>0</v>
      </c>
      <c r="DL274" s="96">
        <f t="shared" ref="DL274" si="4441">IF(DM207=0,0,DM207*(1/DL210-1/DL209))</f>
        <v>0</v>
      </c>
      <c r="DM274" s="96">
        <f t="shared" ref="DM274" si="4442">IF(DN207=0,0,DN207*(1/DM210-1/DM209))</f>
        <v>0</v>
      </c>
      <c r="DN274" s="96">
        <f t="shared" ref="DN274" si="4443">IF(DO207=0,0,DO207*(1/DN210-1/DN209))</f>
        <v>0</v>
      </c>
      <c r="DO274" s="96">
        <f t="shared" ref="DO274" si="4444">IF(DP207=0,0,DP207*(1/DO210-1/DO209))</f>
        <v>0</v>
      </c>
      <c r="DP274" s="96">
        <f t="shared" ref="DP274" si="4445">IF(DQ207=0,0,DQ207*(1/DP210-1/DP209))</f>
        <v>0</v>
      </c>
      <c r="DQ274" s="96">
        <f t="shared" ref="DQ274" si="4446">IF(DR207=0,0,DR207*(1/DQ210-1/DQ209))</f>
        <v>0</v>
      </c>
      <c r="DR274" s="96">
        <f t="shared" ref="DR274" si="4447">IF(DS207=0,0,DS207*(1/DR210-1/DR209))</f>
        <v>0</v>
      </c>
      <c r="DS274" s="96">
        <f t="shared" ref="DS274" si="4448">IF(DT207=0,0,DT207*(1/DS210-1/DS209))</f>
        <v>0</v>
      </c>
      <c r="DT274" s="96">
        <f t="shared" ref="DT274" si="4449">IF(DU207=0,0,DU207*(1/DT210-1/DT209))</f>
        <v>0</v>
      </c>
      <c r="DU274" s="96">
        <f t="shared" ref="DU274" si="4450">IF(DV207=0,0,DV207*(1/DU210-1/DU209))</f>
        <v>0</v>
      </c>
      <c r="DV274" s="96">
        <f t="shared" ref="DV274" si="4451">IF(DW207=0,0,DW207*(1/DV210-1/DV209))</f>
        <v>0</v>
      </c>
      <c r="DW274" s="96">
        <f t="shared" ref="DW274" si="4452">IF(DX207=0,0,DX207*(1/DW210-1/DW209))</f>
        <v>0</v>
      </c>
      <c r="DX274" s="96">
        <f t="shared" ref="DX274" si="4453">IF(DY207=0,0,DY207*(1/DX210-1/DX209))</f>
        <v>0</v>
      </c>
      <c r="DY274" s="96">
        <f t="shared" ref="DY274" si="4454">IF(DZ207=0,0,DZ207*(1/DY210-1/DY209))</f>
        <v>0</v>
      </c>
      <c r="DZ274" s="96">
        <f t="shared" ref="DZ274" si="4455">IF(EA207=0,0,EA207*(1/DZ210-1/DZ209))</f>
        <v>0</v>
      </c>
      <c r="EA274" s="96">
        <f t="shared" ref="EA274" si="4456">IF(EB207=0,0,EB207*(1/EA210-1/EA209))</f>
        <v>0</v>
      </c>
      <c r="EB274" s="96">
        <f t="shared" ref="EB274" si="4457">IF(EC207=0,0,EC207*(1/EB210-1/EB209))</f>
        <v>0</v>
      </c>
      <c r="EC274" s="96">
        <f t="shared" ref="EC274" si="4458">IF(ED207=0,0,ED207*(1/EC210-1/EC209))</f>
        <v>0</v>
      </c>
      <c r="ED274" s="96">
        <f t="shared" ref="ED274" si="4459">IF(EE207=0,0,EE207*(1/ED210-1/ED209))</f>
        <v>0</v>
      </c>
      <c r="EE274" s="96">
        <f t="shared" ref="EE274" si="4460">IF(EF207=0,0,EF207*(1/EE210-1/EE209))</f>
        <v>0</v>
      </c>
      <c r="EF274" s="96">
        <f t="shared" ref="EF274" si="4461">IF(EG207=0,0,EG207*(1/EF210-1/EF209))</f>
        <v>0</v>
      </c>
      <c r="EG274" s="96">
        <f t="shared" ref="EG274" si="4462">IF(EH207=0,0,EH207*(1/EG210-1/EG209))</f>
        <v>0</v>
      </c>
      <c r="EH274" s="96">
        <f t="shared" ref="EH274" si="4463">IF(EI207=0,0,EI207*(1/EH210-1/EH209))</f>
        <v>0</v>
      </c>
      <c r="EI274" s="96">
        <f t="shared" ref="EI274" si="4464">IF(EJ207=0,0,EJ207*(1/EI210-1/EI209))</f>
        <v>0</v>
      </c>
      <c r="EJ274" s="96">
        <f t="shared" ref="EJ274" si="4465">IF(EK207=0,0,EK207*(1/EJ210-1/EJ209))</f>
        <v>0</v>
      </c>
      <c r="EK274" s="96">
        <f t="shared" ref="EK274" si="4466">IF(EL207=0,0,EL207*(1/EK210-1/EK209))</f>
        <v>0</v>
      </c>
      <c r="EL274" s="96">
        <f t="shared" ref="EL274" si="4467">IF(EM207=0,0,EM207*(1/EL210-1/EL209))</f>
        <v>0</v>
      </c>
      <c r="EM274" s="96">
        <f t="shared" ref="EM274" si="4468">IF(EN207=0,0,EN207*(1/EM210-1/EM209))</f>
        <v>0</v>
      </c>
      <c r="EN274" s="96">
        <f t="shared" ref="EN274" si="4469">IF(EO207=0,0,EO207*(1/EN210-1/EN209))</f>
        <v>0</v>
      </c>
      <c r="EO274" s="96">
        <f t="shared" ref="EO274" si="4470">IF(EP207=0,0,EP207*(1/EO210-1/EO209))</f>
        <v>0</v>
      </c>
      <c r="EP274" s="96">
        <f t="shared" ref="EP274" si="4471">IF(EQ207=0,0,EQ207*(1/EP210-1/EP209))</f>
        <v>0</v>
      </c>
      <c r="EQ274" s="96">
        <f t="shared" ref="EQ274" si="4472">IF(ER207=0,0,ER207*(1/EQ210-1/EQ209))</f>
        <v>0</v>
      </c>
      <c r="ER274" s="96">
        <f t="shared" ref="ER274" si="4473">IF(ES207=0,0,ES207*(1/ER210-1/ER209))</f>
        <v>0</v>
      </c>
      <c r="ES274" s="96">
        <f t="shared" ref="ES274" si="4474">IF(ET207=0,0,ET207*(1/ES210-1/ES209))</f>
        <v>0</v>
      </c>
      <c r="ET274" s="96">
        <f t="shared" ref="ET274" si="4475">IF(EU207=0,0,EU207*(1/ET210-1/ET209))</f>
        <v>0</v>
      </c>
      <c r="EU274" s="96">
        <f t="shared" ref="EU274" si="4476">IF(EV207=0,0,EV207*(1/EU210-1/EU209))</f>
        <v>0</v>
      </c>
      <c r="EV274" s="96">
        <f t="shared" ref="EV274" si="4477">IF(EW207=0,0,EW207*(1/EV210-1/EV209))</f>
        <v>0</v>
      </c>
      <c r="EW274" s="96">
        <f t="shared" ref="EW274" si="4478">IF(EX207=0,0,EX207*(1/EW210-1/EW209))</f>
        <v>0</v>
      </c>
      <c r="EX274" s="96">
        <f t="shared" ref="EX274" si="4479">IF(EY207=0,0,EY207*(1/EX210-1/EX209))</f>
        <v>0</v>
      </c>
      <c r="EY274" s="96">
        <f t="shared" ref="EY274" si="4480">IF(EZ207=0,0,EZ207*(1/EY210-1/EY209))</f>
        <v>0</v>
      </c>
      <c r="EZ274" s="96">
        <f t="shared" ref="EZ274" si="4481">IF(FA207=0,0,FA207*(1/EZ210-1/EZ209))</f>
        <v>0</v>
      </c>
      <c r="FA274" s="96">
        <f t="shared" ref="FA274" si="4482">IF(FB207=0,0,FB207*(1/FA210-1/FA209))</f>
        <v>0</v>
      </c>
      <c r="FB274" s="96">
        <f t="shared" ref="FB274" si="4483">IF(FC207=0,0,FC207*(1/FB210-1/FB209))</f>
        <v>0</v>
      </c>
      <c r="FC274" s="96">
        <f t="shared" ref="FC274" si="4484">IF(FD207=0,0,FD207*(1/FC210-1/FC209))</f>
        <v>0</v>
      </c>
      <c r="FD274" s="96">
        <f t="shared" ref="FD274" si="4485">IF(FE207=0,0,FE207*(1/FD210-1/FD209))</f>
        <v>0</v>
      </c>
      <c r="FE274" s="96">
        <f t="shared" ref="FE274" si="4486">IF(FF207=0,0,FF207*(1/FE210-1/FE209))</f>
        <v>0</v>
      </c>
      <c r="FF274" s="96">
        <f t="shared" ref="FF274" si="4487">IF(FG207=0,0,FG207*(1/FF210-1/FF209))</f>
        <v>0</v>
      </c>
      <c r="FG274" s="96">
        <f t="shared" ref="FG274" si="4488">IF(FH207=0,0,FH207*(1/FG210-1/FG209))</f>
        <v>0</v>
      </c>
      <c r="FH274" s="96">
        <f t="shared" ref="FH274" si="4489">IF(FI207=0,0,FI207*(1/FH210-1/FH209))</f>
        <v>0</v>
      </c>
      <c r="FI274" s="96">
        <f t="shared" ref="FI274" si="4490">IF(FJ207=0,0,FJ207*(1/FI210-1/FI209))</f>
        <v>0</v>
      </c>
      <c r="FJ274" s="96">
        <f t="shared" ref="FJ274" si="4491">IF(FK207=0,0,FK207*(1/FJ210-1/FJ209))</f>
        <v>0</v>
      </c>
      <c r="FK274" s="96">
        <f t="shared" ref="FK274" si="4492">IF(FL207=0,0,FL207*(1/FK210-1/FK209))</f>
        <v>0</v>
      </c>
      <c r="FL274" s="96">
        <f t="shared" ref="FL274" si="4493">IF(FM207=0,0,FM207*(1/FL210-1/FL209))</f>
        <v>0</v>
      </c>
      <c r="FM274" s="96">
        <f t="shared" ref="FM274" si="4494">IF(FN207=0,0,FN207*(1/FM210-1/FM209))</f>
        <v>0</v>
      </c>
      <c r="FN274" s="96">
        <f t="shared" ref="FN274" si="4495">IF(FO207=0,0,FO207*(1/FN210-1/FN209))</f>
        <v>0</v>
      </c>
      <c r="FO274" s="96">
        <f t="shared" ref="FO274" si="4496">IF(FP207=0,0,FP207*(1/FO210-1/FO209))</f>
        <v>0</v>
      </c>
      <c r="FP274" s="96">
        <f t="shared" ref="FP274" si="4497">IF(FQ207=0,0,FQ207*(1/FP210-1/FP209))</f>
        <v>0</v>
      </c>
      <c r="FQ274" s="96">
        <f t="shared" ref="FQ274" si="4498">IF(FR207=0,0,FR207*(1/FQ210-1/FQ209))</f>
        <v>0</v>
      </c>
      <c r="FR274" s="96">
        <f t="shared" ref="FR274" si="4499">IF(FS207=0,0,FS207*(1/FR210-1/FR209))</f>
        <v>0</v>
      </c>
      <c r="FS274" s="96">
        <f t="shared" ref="FS274" si="4500">IF(FT207=0,0,FT207*(1/FS210-1/FS209))</f>
        <v>0</v>
      </c>
      <c r="FT274" s="96">
        <f t="shared" ref="FT274" si="4501">IF(FU207=0,0,FU207*(1/FT210-1/FT209))</f>
        <v>0</v>
      </c>
      <c r="FU274" s="96">
        <f t="shared" ref="FU274" si="4502">IF(FV207=0,0,FV207*(1/FU210-1/FU209))</f>
        <v>0</v>
      </c>
      <c r="FV274" s="96">
        <f t="shared" ref="FV274" si="4503">IF(FW207=0,0,FW207*(1/FV210-1/FV209))</f>
        <v>0</v>
      </c>
      <c r="FW274" s="96">
        <f t="shared" ref="FW274" si="4504">IF(FX207=0,0,FX207*(1/FW210-1/FW209))</f>
        <v>0</v>
      </c>
      <c r="FX274" s="96">
        <f t="shared" ref="FX274" si="4505">IF(FY207=0,0,FY207*(1/FX210-1/FX209))</f>
        <v>0</v>
      </c>
      <c r="FY274" s="96">
        <f t="shared" ref="FY274" si="4506">IF(FZ207=0,0,FZ207*(1/FY210-1/FY209))</f>
        <v>0</v>
      </c>
      <c r="FZ274" s="59"/>
      <c r="GB274" s="296"/>
    </row>
    <row r="275" spans="1:184" x14ac:dyDescent="0.2">
      <c r="A275" s="95" t="s">
        <v>373</v>
      </c>
      <c r="B275" s="96">
        <f>B276-(B272+B274)</f>
        <v>0</v>
      </c>
      <c r="C275" s="96">
        <f t="shared" ref="C275" si="4507">C276-(C272+C274)</f>
        <v>0</v>
      </c>
      <c r="D275" s="96">
        <f t="shared" ref="D275:BO275" si="4508">D276-(D272+D274)</f>
        <v>0</v>
      </c>
      <c r="E275" s="96">
        <f t="shared" si="4508"/>
        <v>0</v>
      </c>
      <c r="F275" s="96">
        <f t="shared" si="4508"/>
        <v>0</v>
      </c>
      <c r="G275" s="96">
        <f t="shared" si="4508"/>
        <v>0</v>
      </c>
      <c r="H275" s="96">
        <f t="shared" si="4508"/>
        <v>0</v>
      </c>
      <c r="I275" s="96">
        <f t="shared" si="4508"/>
        <v>0</v>
      </c>
      <c r="J275" s="96">
        <f t="shared" si="4508"/>
        <v>0</v>
      </c>
      <c r="K275" s="96">
        <f t="shared" si="4508"/>
        <v>0</v>
      </c>
      <c r="L275" s="96">
        <f t="shared" si="4508"/>
        <v>0</v>
      </c>
      <c r="M275" s="96">
        <f t="shared" si="4508"/>
        <v>0</v>
      </c>
      <c r="N275" s="96">
        <f t="shared" si="4508"/>
        <v>0</v>
      </c>
      <c r="O275" s="96">
        <f t="shared" si="4508"/>
        <v>0</v>
      </c>
      <c r="P275" s="96">
        <f t="shared" si="4508"/>
        <v>0</v>
      </c>
      <c r="Q275" s="96">
        <f t="shared" si="4508"/>
        <v>0</v>
      </c>
      <c r="R275" s="96">
        <f t="shared" si="4508"/>
        <v>0</v>
      </c>
      <c r="S275" s="96">
        <f t="shared" si="4508"/>
        <v>0</v>
      </c>
      <c r="T275" s="96">
        <f t="shared" si="4508"/>
        <v>0</v>
      </c>
      <c r="U275" s="96">
        <f t="shared" si="4508"/>
        <v>0</v>
      </c>
      <c r="V275" s="96">
        <f t="shared" si="4508"/>
        <v>0</v>
      </c>
      <c r="W275" s="96">
        <f t="shared" si="4508"/>
        <v>0</v>
      </c>
      <c r="X275" s="96">
        <f t="shared" si="4508"/>
        <v>0</v>
      </c>
      <c r="Y275" s="96">
        <f t="shared" si="4508"/>
        <v>0</v>
      </c>
      <c r="Z275" s="96">
        <f t="shared" si="4508"/>
        <v>0</v>
      </c>
      <c r="AA275" s="96">
        <f t="shared" si="4508"/>
        <v>0</v>
      </c>
      <c r="AB275" s="96">
        <f t="shared" si="4508"/>
        <v>0</v>
      </c>
      <c r="AC275" s="96">
        <f t="shared" si="4508"/>
        <v>0</v>
      </c>
      <c r="AD275" s="96">
        <f t="shared" si="4508"/>
        <v>0</v>
      </c>
      <c r="AE275" s="96">
        <f t="shared" si="4508"/>
        <v>0</v>
      </c>
      <c r="AF275" s="96">
        <f t="shared" si="4508"/>
        <v>0</v>
      </c>
      <c r="AG275" s="96">
        <f t="shared" si="4508"/>
        <v>0</v>
      </c>
      <c r="AH275" s="96">
        <f t="shared" si="4508"/>
        <v>0</v>
      </c>
      <c r="AI275" s="96">
        <f t="shared" si="4508"/>
        <v>0</v>
      </c>
      <c r="AJ275" s="96">
        <f t="shared" si="4508"/>
        <v>0</v>
      </c>
      <c r="AK275" s="96">
        <f t="shared" si="4508"/>
        <v>0</v>
      </c>
      <c r="AL275" s="96">
        <f t="shared" si="4508"/>
        <v>0</v>
      </c>
      <c r="AM275" s="96">
        <f t="shared" si="4508"/>
        <v>0</v>
      </c>
      <c r="AN275" s="96">
        <f t="shared" si="4508"/>
        <v>0</v>
      </c>
      <c r="AO275" s="96">
        <f t="shared" si="4508"/>
        <v>0</v>
      </c>
      <c r="AP275" s="96">
        <f t="shared" si="4508"/>
        <v>0</v>
      </c>
      <c r="AQ275" s="96">
        <f t="shared" si="4508"/>
        <v>0</v>
      </c>
      <c r="AR275" s="96">
        <f t="shared" si="4508"/>
        <v>0</v>
      </c>
      <c r="AS275" s="96">
        <f t="shared" si="4508"/>
        <v>0</v>
      </c>
      <c r="AT275" s="96">
        <f t="shared" si="4508"/>
        <v>0</v>
      </c>
      <c r="AU275" s="96">
        <f t="shared" si="4508"/>
        <v>0</v>
      </c>
      <c r="AV275" s="96">
        <f t="shared" si="4508"/>
        <v>0</v>
      </c>
      <c r="AW275" s="96">
        <f t="shared" si="4508"/>
        <v>0</v>
      </c>
      <c r="AX275" s="96">
        <f t="shared" si="4508"/>
        <v>0</v>
      </c>
      <c r="AY275" s="96">
        <f t="shared" si="4508"/>
        <v>0</v>
      </c>
      <c r="AZ275" s="96">
        <f t="shared" si="4508"/>
        <v>0</v>
      </c>
      <c r="BA275" s="96">
        <f t="shared" si="4508"/>
        <v>0</v>
      </c>
      <c r="BB275" s="96">
        <f t="shared" si="4508"/>
        <v>0</v>
      </c>
      <c r="BC275" s="96">
        <f t="shared" si="4508"/>
        <v>0</v>
      </c>
      <c r="BD275" s="96">
        <f t="shared" si="4508"/>
        <v>0</v>
      </c>
      <c r="BE275" s="96">
        <f t="shared" si="4508"/>
        <v>0</v>
      </c>
      <c r="BF275" s="96">
        <f t="shared" si="4508"/>
        <v>0</v>
      </c>
      <c r="BG275" s="96">
        <f t="shared" si="4508"/>
        <v>0</v>
      </c>
      <c r="BH275" s="96">
        <f t="shared" si="4508"/>
        <v>0</v>
      </c>
      <c r="BI275" s="96">
        <f t="shared" si="4508"/>
        <v>0</v>
      </c>
      <c r="BJ275" s="96">
        <f t="shared" si="4508"/>
        <v>0</v>
      </c>
      <c r="BK275" s="96">
        <f t="shared" si="4508"/>
        <v>0</v>
      </c>
      <c r="BL275" s="96">
        <f t="shared" si="4508"/>
        <v>0</v>
      </c>
      <c r="BM275" s="96">
        <f t="shared" si="4508"/>
        <v>0</v>
      </c>
      <c r="BN275" s="96">
        <f t="shared" si="4508"/>
        <v>0</v>
      </c>
      <c r="BO275" s="96">
        <f t="shared" si="4508"/>
        <v>0</v>
      </c>
      <c r="BP275" s="96">
        <f t="shared" ref="BP275:EA275" si="4509">BP276-(BP272+BP274)</f>
        <v>0</v>
      </c>
      <c r="BQ275" s="96">
        <f t="shared" si="4509"/>
        <v>0</v>
      </c>
      <c r="BR275" s="96">
        <f t="shared" si="4509"/>
        <v>0</v>
      </c>
      <c r="BS275" s="96">
        <f t="shared" si="4509"/>
        <v>0</v>
      </c>
      <c r="BT275" s="96">
        <f t="shared" si="4509"/>
        <v>0</v>
      </c>
      <c r="BU275" s="96">
        <f t="shared" si="4509"/>
        <v>0</v>
      </c>
      <c r="BV275" s="96">
        <f t="shared" si="4509"/>
        <v>0</v>
      </c>
      <c r="BW275" s="96">
        <f t="shared" si="4509"/>
        <v>0</v>
      </c>
      <c r="BX275" s="96">
        <f t="shared" si="4509"/>
        <v>0</v>
      </c>
      <c r="BY275" s="96">
        <f t="shared" si="4509"/>
        <v>0</v>
      </c>
      <c r="BZ275" s="96">
        <f t="shared" si="4509"/>
        <v>0</v>
      </c>
      <c r="CA275" s="96">
        <f t="shared" si="4509"/>
        <v>0</v>
      </c>
      <c r="CB275" s="96">
        <f t="shared" si="4509"/>
        <v>0</v>
      </c>
      <c r="CC275" s="96">
        <f t="shared" si="4509"/>
        <v>0</v>
      </c>
      <c r="CD275" s="96">
        <f t="shared" si="4509"/>
        <v>0</v>
      </c>
      <c r="CE275" s="96">
        <f t="shared" si="4509"/>
        <v>0</v>
      </c>
      <c r="CF275" s="96">
        <f t="shared" si="4509"/>
        <v>0</v>
      </c>
      <c r="CG275" s="96">
        <f t="shared" si="4509"/>
        <v>0</v>
      </c>
      <c r="CH275" s="96">
        <f t="shared" si="4509"/>
        <v>0</v>
      </c>
      <c r="CI275" s="96">
        <f t="shared" si="4509"/>
        <v>0</v>
      </c>
      <c r="CJ275" s="96">
        <f t="shared" si="4509"/>
        <v>0</v>
      </c>
      <c r="CK275" s="96">
        <f t="shared" si="4509"/>
        <v>0</v>
      </c>
      <c r="CL275" s="96">
        <f t="shared" si="4509"/>
        <v>0</v>
      </c>
      <c r="CM275" s="96">
        <f t="shared" si="4509"/>
        <v>0</v>
      </c>
      <c r="CN275" s="96">
        <f t="shared" si="4509"/>
        <v>0</v>
      </c>
      <c r="CO275" s="96">
        <f t="shared" si="4509"/>
        <v>0</v>
      </c>
      <c r="CP275" s="96">
        <f t="shared" si="4509"/>
        <v>0</v>
      </c>
      <c r="CQ275" s="96">
        <f t="shared" si="4509"/>
        <v>0</v>
      </c>
      <c r="CR275" s="96">
        <f t="shared" si="4509"/>
        <v>0</v>
      </c>
      <c r="CS275" s="96">
        <f t="shared" si="4509"/>
        <v>0</v>
      </c>
      <c r="CT275" s="96">
        <f t="shared" si="4509"/>
        <v>0</v>
      </c>
      <c r="CU275" s="96">
        <f t="shared" si="4509"/>
        <v>0</v>
      </c>
      <c r="CV275" s="96">
        <f t="shared" si="4509"/>
        <v>0</v>
      </c>
      <c r="CW275" s="96">
        <f t="shared" si="4509"/>
        <v>0</v>
      </c>
      <c r="CX275" s="96">
        <f t="shared" si="4509"/>
        <v>0</v>
      </c>
      <c r="CY275" s="96">
        <f t="shared" si="4509"/>
        <v>0</v>
      </c>
      <c r="CZ275" s="96">
        <f t="shared" si="4509"/>
        <v>0</v>
      </c>
      <c r="DA275" s="96">
        <f t="shared" si="4509"/>
        <v>0</v>
      </c>
      <c r="DB275" s="96">
        <f t="shared" si="4509"/>
        <v>0</v>
      </c>
      <c r="DC275" s="96">
        <f t="shared" si="4509"/>
        <v>0</v>
      </c>
      <c r="DD275" s="96">
        <f t="shared" si="4509"/>
        <v>0</v>
      </c>
      <c r="DE275" s="96">
        <f t="shared" si="4509"/>
        <v>0</v>
      </c>
      <c r="DF275" s="96">
        <f t="shared" si="4509"/>
        <v>0</v>
      </c>
      <c r="DG275" s="96">
        <f t="shared" si="4509"/>
        <v>0</v>
      </c>
      <c r="DH275" s="96">
        <f t="shared" si="4509"/>
        <v>0</v>
      </c>
      <c r="DI275" s="96">
        <f t="shared" si="4509"/>
        <v>0</v>
      </c>
      <c r="DJ275" s="96">
        <f t="shared" si="4509"/>
        <v>0</v>
      </c>
      <c r="DK275" s="96">
        <f t="shared" si="4509"/>
        <v>0</v>
      </c>
      <c r="DL275" s="96">
        <f t="shared" si="4509"/>
        <v>0</v>
      </c>
      <c r="DM275" s="96">
        <f t="shared" si="4509"/>
        <v>0</v>
      </c>
      <c r="DN275" s="96">
        <f t="shared" si="4509"/>
        <v>0</v>
      </c>
      <c r="DO275" s="96">
        <f t="shared" si="4509"/>
        <v>0</v>
      </c>
      <c r="DP275" s="96">
        <f t="shared" si="4509"/>
        <v>0</v>
      </c>
      <c r="DQ275" s="96">
        <f t="shared" si="4509"/>
        <v>0</v>
      </c>
      <c r="DR275" s="96">
        <f t="shared" si="4509"/>
        <v>0</v>
      </c>
      <c r="DS275" s="96">
        <f t="shared" si="4509"/>
        <v>0</v>
      </c>
      <c r="DT275" s="96">
        <f t="shared" si="4509"/>
        <v>0</v>
      </c>
      <c r="DU275" s="96">
        <f t="shared" si="4509"/>
        <v>0</v>
      </c>
      <c r="DV275" s="96">
        <f t="shared" si="4509"/>
        <v>0</v>
      </c>
      <c r="DW275" s="96">
        <f t="shared" si="4509"/>
        <v>0</v>
      </c>
      <c r="DX275" s="96">
        <f t="shared" si="4509"/>
        <v>0</v>
      </c>
      <c r="DY275" s="96">
        <f t="shared" si="4509"/>
        <v>0</v>
      </c>
      <c r="DZ275" s="96">
        <f t="shared" si="4509"/>
        <v>0</v>
      </c>
      <c r="EA275" s="96">
        <f t="shared" si="4509"/>
        <v>0</v>
      </c>
      <c r="EB275" s="96">
        <f t="shared" ref="EB275:FY275" si="4510">EB276-(EB272+EB274)</f>
        <v>0</v>
      </c>
      <c r="EC275" s="96">
        <f t="shared" si="4510"/>
        <v>0</v>
      </c>
      <c r="ED275" s="96">
        <f t="shared" si="4510"/>
        <v>0</v>
      </c>
      <c r="EE275" s="96">
        <f t="shared" si="4510"/>
        <v>0</v>
      </c>
      <c r="EF275" s="96">
        <f t="shared" si="4510"/>
        <v>0</v>
      </c>
      <c r="EG275" s="96">
        <f t="shared" si="4510"/>
        <v>0</v>
      </c>
      <c r="EH275" s="96">
        <f t="shared" si="4510"/>
        <v>0</v>
      </c>
      <c r="EI275" s="96">
        <f t="shared" si="4510"/>
        <v>0</v>
      </c>
      <c r="EJ275" s="96">
        <f t="shared" si="4510"/>
        <v>0</v>
      </c>
      <c r="EK275" s="96">
        <f t="shared" si="4510"/>
        <v>0</v>
      </c>
      <c r="EL275" s="96">
        <f t="shared" si="4510"/>
        <v>0</v>
      </c>
      <c r="EM275" s="96">
        <f t="shared" si="4510"/>
        <v>0</v>
      </c>
      <c r="EN275" s="96">
        <f t="shared" si="4510"/>
        <v>0</v>
      </c>
      <c r="EO275" s="96">
        <f t="shared" si="4510"/>
        <v>0</v>
      </c>
      <c r="EP275" s="96">
        <f t="shared" si="4510"/>
        <v>0</v>
      </c>
      <c r="EQ275" s="96">
        <f t="shared" si="4510"/>
        <v>0</v>
      </c>
      <c r="ER275" s="96">
        <f t="shared" si="4510"/>
        <v>0</v>
      </c>
      <c r="ES275" s="96">
        <f t="shared" si="4510"/>
        <v>0</v>
      </c>
      <c r="ET275" s="96">
        <f t="shared" si="4510"/>
        <v>0</v>
      </c>
      <c r="EU275" s="96">
        <f t="shared" si="4510"/>
        <v>0</v>
      </c>
      <c r="EV275" s="96">
        <f t="shared" si="4510"/>
        <v>0</v>
      </c>
      <c r="EW275" s="96">
        <f t="shared" si="4510"/>
        <v>0</v>
      </c>
      <c r="EX275" s="96">
        <f t="shared" si="4510"/>
        <v>0</v>
      </c>
      <c r="EY275" s="96">
        <f t="shared" si="4510"/>
        <v>0</v>
      </c>
      <c r="EZ275" s="96">
        <f t="shared" si="4510"/>
        <v>0</v>
      </c>
      <c r="FA275" s="96">
        <f t="shared" si="4510"/>
        <v>0</v>
      </c>
      <c r="FB275" s="96">
        <f t="shared" si="4510"/>
        <v>0</v>
      </c>
      <c r="FC275" s="96">
        <f t="shared" si="4510"/>
        <v>0</v>
      </c>
      <c r="FD275" s="96">
        <f t="shared" si="4510"/>
        <v>0</v>
      </c>
      <c r="FE275" s="96">
        <f t="shared" si="4510"/>
        <v>0</v>
      </c>
      <c r="FF275" s="96">
        <f t="shared" si="4510"/>
        <v>0</v>
      </c>
      <c r="FG275" s="96">
        <f t="shared" si="4510"/>
        <v>0</v>
      </c>
      <c r="FH275" s="96">
        <f t="shared" si="4510"/>
        <v>0</v>
      </c>
      <c r="FI275" s="96">
        <f t="shared" si="4510"/>
        <v>0</v>
      </c>
      <c r="FJ275" s="96">
        <f t="shared" si="4510"/>
        <v>0</v>
      </c>
      <c r="FK275" s="96">
        <f t="shared" si="4510"/>
        <v>0</v>
      </c>
      <c r="FL275" s="96">
        <f t="shared" si="4510"/>
        <v>0</v>
      </c>
      <c r="FM275" s="96">
        <f t="shared" si="4510"/>
        <v>0</v>
      </c>
      <c r="FN275" s="96">
        <f t="shared" si="4510"/>
        <v>0</v>
      </c>
      <c r="FO275" s="96">
        <f t="shared" si="4510"/>
        <v>0</v>
      </c>
      <c r="FP275" s="96">
        <f t="shared" si="4510"/>
        <v>0</v>
      </c>
      <c r="FQ275" s="96">
        <f t="shared" si="4510"/>
        <v>0</v>
      </c>
      <c r="FR275" s="96">
        <f t="shared" si="4510"/>
        <v>0</v>
      </c>
      <c r="FS275" s="96">
        <f t="shared" si="4510"/>
        <v>0</v>
      </c>
      <c r="FT275" s="96">
        <f t="shared" si="4510"/>
        <v>0</v>
      </c>
      <c r="FU275" s="96">
        <f t="shared" si="4510"/>
        <v>0</v>
      </c>
      <c r="FV275" s="96">
        <f t="shared" si="4510"/>
        <v>0</v>
      </c>
      <c r="FW275" s="96">
        <f t="shared" si="4510"/>
        <v>0</v>
      </c>
      <c r="FX275" s="96">
        <f t="shared" si="4510"/>
        <v>0</v>
      </c>
      <c r="FY275" s="96">
        <f t="shared" si="4510"/>
        <v>0</v>
      </c>
      <c r="FZ275" s="59"/>
      <c r="GB275" s="296"/>
    </row>
    <row r="276" spans="1:184" x14ac:dyDescent="0.2">
      <c r="A276" s="66" t="s">
        <v>215</v>
      </c>
      <c r="B276" s="97">
        <f>C214</f>
        <v>116448.09296759122</v>
      </c>
      <c r="C276" s="97">
        <f t="shared" ref="C276" si="4511">D214</f>
        <v>111551.4326372651</v>
      </c>
      <c r="D276" s="97">
        <f t="shared" ref="D276" si="4512">E214</f>
        <v>106723.55066459547</v>
      </c>
      <c r="E276" s="97">
        <f t="shared" ref="E276" si="4513">F214</f>
        <v>101966.35754663304</v>
      </c>
      <c r="F276" s="97">
        <f t="shared" ref="F276" si="4514">G214</f>
        <v>97281.799739326219</v>
      </c>
      <c r="G276" s="97">
        <f t="shared" ref="G276" si="4515">H214</f>
        <v>92671.860278824664</v>
      </c>
      <c r="H276" s="97">
        <f t="shared" ref="H276" si="4516">I214</f>
        <v>88138.559413219278</v>
      </c>
      <c r="I276" s="97">
        <f t="shared" ref="I276" si="4517">J214</f>
        <v>83683.955244934099</v>
      </c>
      <c r="J276" s="97">
        <f t="shared" ref="J276" si="4518">K214</f>
        <v>79310.144383960927</v>
      </c>
      <c r="K276" s="97">
        <f t="shared" ref="K276" si="4519">L214</f>
        <v>75019.262612092527</v>
      </c>
      <c r="L276" s="97">
        <f t="shared" ref="L276" si="4520">M214</f>
        <v>70813.485558310145</v>
      </c>
      <c r="M276" s="97">
        <f t="shared" ref="M276" si="4521">N214</f>
        <v>66695.029385617556</v>
      </c>
      <c r="N276" s="97">
        <f t="shared" ref="N276" si="4522">O214</f>
        <v>62629.640214358609</v>
      </c>
      <c r="O276" s="97">
        <f t="shared" ref="O276" si="4523">P214</f>
        <v>58656.465291675406</v>
      </c>
      <c r="P276" s="97">
        <f t="shared" ref="P276" si="4524">Q214</f>
        <v>54777.928444100304</v>
      </c>
      <c r="Q276" s="97">
        <f t="shared" ref="Q276" si="4525">R214</f>
        <v>50996.499419412612</v>
      </c>
      <c r="R276" s="97">
        <f t="shared" ref="R276" si="4526">S214</f>
        <v>47314.694686100571</v>
      </c>
      <c r="S276" s="97">
        <f t="shared" ref="S276" si="4527">T214</f>
        <v>43735.07824640032</v>
      </c>
      <c r="T276" s="97">
        <f t="shared" ref="T276" si="4528">U214</f>
        <v>40260.262463040206</v>
      </c>
      <c r="U276" s="97">
        <f t="shared" ref="U276" si="4529">V214</f>
        <v>36892.908900033704</v>
      </c>
      <c r="V276" s="97">
        <f t="shared" ref="V276" si="4530">W214</f>
        <v>33635.729177670124</v>
      </c>
      <c r="W276" s="97">
        <f t="shared" ref="W276" si="4531">X214</f>
        <v>30491.485841960151</v>
      </c>
      <c r="X276" s="97">
        <f t="shared" ref="X276" si="4532">Y214</f>
        <v>27462.993248812742</v>
      </c>
      <c r="Y276" s="97">
        <f t="shared" ref="Y276" si="4533">Z214</f>
        <v>24553.118463177023</v>
      </c>
      <c r="Z276" s="97">
        <f t="shared" ref="Z276" si="4534">AA214</f>
        <v>21740.123731142339</v>
      </c>
      <c r="AA276" s="97">
        <f t="shared" ref="AA276" si="4535">AB214</f>
        <v>19053.125574708054</v>
      </c>
      <c r="AB276" s="97">
        <f t="shared" ref="AB276" si="4536">AC214</f>
        <v>16495.274200045129</v>
      </c>
      <c r="AC276" s="97">
        <f t="shared" ref="AC276" si="4537">AD214</f>
        <v>14069.779751044876</v>
      </c>
      <c r="AD276" s="97">
        <f t="shared" ref="AD276" si="4538">AE214</f>
        <v>11779.913360591567</v>
      </c>
      <c r="AE276" s="97">
        <f t="shared" ref="AE276" si="4539">AF214</f>
        <v>9629.008219670739</v>
      </c>
      <c r="AF276" s="97">
        <f t="shared" ref="AF276" si="4540">AG214</f>
        <v>7620.4606646886887</v>
      </c>
      <c r="AG276" s="97">
        <f t="shared" ref="AG276" si="4541">AH214</f>
        <v>5757.7312832676189</v>
      </c>
      <c r="AH276" s="97">
        <f t="shared" ref="AH276" si="4542">AI214</f>
        <v>4044.3460388696544</v>
      </c>
      <c r="AI276" s="97">
        <f t="shared" ref="AI276" si="4543">AJ214</f>
        <v>2483.8974145239345</v>
      </c>
      <c r="AJ276" s="97">
        <f t="shared" ref="AJ276" si="4544">AK214</f>
        <v>1080.045576000005</v>
      </c>
      <c r="AK276" s="97">
        <f t="shared" ref="AK276" si="4545">AL214</f>
        <v>0</v>
      </c>
      <c r="AL276" s="97">
        <f t="shared" ref="AL276" si="4546">AM214</f>
        <v>0</v>
      </c>
      <c r="AM276" s="97">
        <f t="shared" ref="AM276" si="4547">AN214</f>
        <v>0</v>
      </c>
      <c r="AN276" s="97">
        <f t="shared" ref="AN276" si="4548">AO214</f>
        <v>0</v>
      </c>
      <c r="AO276" s="97">
        <f t="shared" ref="AO276" si="4549">AP214</f>
        <v>0</v>
      </c>
      <c r="AP276" s="97">
        <f t="shared" ref="AP276" si="4550">AQ214</f>
        <v>0</v>
      </c>
      <c r="AQ276" s="97">
        <f t="shared" ref="AQ276" si="4551">AR214</f>
        <v>0</v>
      </c>
      <c r="AR276" s="97">
        <f t="shared" ref="AR276" si="4552">AS214</f>
        <v>0</v>
      </c>
      <c r="AS276" s="97">
        <f t="shared" ref="AS276" si="4553">AT214</f>
        <v>0</v>
      </c>
      <c r="AT276" s="97">
        <f t="shared" ref="AT276" si="4554">AU214</f>
        <v>0</v>
      </c>
      <c r="AU276" s="97">
        <f t="shared" ref="AU276" si="4555">AV214</f>
        <v>0</v>
      </c>
      <c r="AV276" s="97">
        <f t="shared" ref="AV276" si="4556">AW214</f>
        <v>0</v>
      </c>
      <c r="AW276" s="97">
        <f t="shared" ref="AW276" si="4557">AX214</f>
        <v>0</v>
      </c>
      <c r="AX276" s="97">
        <f t="shared" ref="AX276" si="4558">AY214</f>
        <v>0</v>
      </c>
      <c r="AY276" s="97">
        <f t="shared" ref="AY276" si="4559">AZ214</f>
        <v>0</v>
      </c>
      <c r="AZ276" s="97">
        <f t="shared" ref="AZ276" si="4560">BA214</f>
        <v>0</v>
      </c>
      <c r="BA276" s="97">
        <f t="shared" ref="BA276" si="4561">BB214</f>
        <v>0</v>
      </c>
      <c r="BB276" s="97">
        <f t="shared" ref="BB276" si="4562">BC214</f>
        <v>0</v>
      </c>
      <c r="BC276" s="97">
        <f t="shared" ref="BC276" si="4563">BD214</f>
        <v>0</v>
      </c>
      <c r="BD276" s="97">
        <f t="shared" ref="BD276" si="4564">BE214</f>
        <v>0</v>
      </c>
      <c r="BE276" s="97">
        <f t="shared" ref="BE276" si="4565">BF214</f>
        <v>0</v>
      </c>
      <c r="BF276" s="97">
        <f t="shared" ref="BF276" si="4566">BG214</f>
        <v>0</v>
      </c>
      <c r="BG276" s="97">
        <f t="shared" ref="BG276" si="4567">BH214</f>
        <v>0</v>
      </c>
      <c r="BH276" s="97">
        <f t="shared" ref="BH276" si="4568">BI214</f>
        <v>0</v>
      </c>
      <c r="BI276" s="97">
        <f t="shared" ref="BI276" si="4569">BJ214</f>
        <v>0</v>
      </c>
      <c r="BJ276" s="97">
        <f t="shared" ref="BJ276" si="4570">BK214</f>
        <v>0</v>
      </c>
      <c r="BK276" s="97">
        <f t="shared" ref="BK276" si="4571">BL214</f>
        <v>0</v>
      </c>
      <c r="BL276" s="97">
        <f t="shared" ref="BL276" si="4572">BM214</f>
        <v>0</v>
      </c>
      <c r="BM276" s="97">
        <f t="shared" ref="BM276" si="4573">BN214</f>
        <v>0</v>
      </c>
      <c r="BN276" s="97">
        <f t="shared" ref="BN276" si="4574">BO214</f>
        <v>0</v>
      </c>
      <c r="BO276" s="97">
        <f t="shared" ref="BO276" si="4575">BP214</f>
        <v>0</v>
      </c>
      <c r="BP276" s="97">
        <f t="shared" ref="BP276" si="4576">BQ214</f>
        <v>0</v>
      </c>
      <c r="BQ276" s="97">
        <f t="shared" ref="BQ276" si="4577">BR214</f>
        <v>0</v>
      </c>
      <c r="BR276" s="97">
        <f t="shared" ref="BR276" si="4578">BS214</f>
        <v>0</v>
      </c>
      <c r="BS276" s="97">
        <f t="shared" ref="BS276" si="4579">BT214</f>
        <v>0</v>
      </c>
      <c r="BT276" s="97">
        <f t="shared" ref="BT276" si="4580">BU214</f>
        <v>0</v>
      </c>
      <c r="BU276" s="97">
        <f t="shared" ref="BU276" si="4581">BV214</f>
        <v>0</v>
      </c>
      <c r="BV276" s="97">
        <f t="shared" ref="BV276" si="4582">BW214</f>
        <v>0</v>
      </c>
      <c r="BW276" s="97">
        <f t="shared" ref="BW276" si="4583">BX214</f>
        <v>0</v>
      </c>
      <c r="BX276" s="97">
        <f t="shared" ref="BX276" si="4584">BY214</f>
        <v>0</v>
      </c>
      <c r="BY276" s="97">
        <f t="shared" ref="BY276" si="4585">BZ214</f>
        <v>0</v>
      </c>
      <c r="BZ276" s="97">
        <f t="shared" ref="BZ276" si="4586">CA214</f>
        <v>0</v>
      </c>
      <c r="CA276" s="97">
        <f t="shared" ref="CA276" si="4587">CB214</f>
        <v>0</v>
      </c>
      <c r="CB276" s="97">
        <f t="shared" ref="CB276" si="4588">CC214</f>
        <v>0</v>
      </c>
      <c r="CC276" s="97">
        <f t="shared" ref="CC276" si="4589">CD214</f>
        <v>0</v>
      </c>
      <c r="CD276" s="97">
        <f t="shared" ref="CD276" si="4590">CE214</f>
        <v>0</v>
      </c>
      <c r="CE276" s="97">
        <f t="shared" ref="CE276" si="4591">CF214</f>
        <v>0</v>
      </c>
      <c r="CF276" s="97">
        <f t="shared" ref="CF276" si="4592">CG214</f>
        <v>0</v>
      </c>
      <c r="CG276" s="97">
        <f t="shared" ref="CG276" si="4593">CH214</f>
        <v>0</v>
      </c>
      <c r="CH276" s="97">
        <f t="shared" ref="CH276" si="4594">CI214</f>
        <v>0</v>
      </c>
      <c r="CI276" s="97">
        <f t="shared" ref="CI276" si="4595">CJ214</f>
        <v>0</v>
      </c>
      <c r="CJ276" s="97">
        <f t="shared" ref="CJ276" si="4596">CK214</f>
        <v>0</v>
      </c>
      <c r="CK276" s="97">
        <f t="shared" ref="CK276" si="4597">CL214</f>
        <v>0</v>
      </c>
      <c r="CL276" s="97">
        <f t="shared" ref="CL276" si="4598">CM214</f>
        <v>0</v>
      </c>
      <c r="CM276" s="97">
        <f t="shared" ref="CM276" si="4599">CN214</f>
        <v>0</v>
      </c>
      <c r="CN276" s="97">
        <f t="shared" ref="CN276" si="4600">CO214</f>
        <v>0</v>
      </c>
      <c r="CO276" s="97">
        <f t="shared" ref="CO276" si="4601">CP214</f>
        <v>0</v>
      </c>
      <c r="CP276" s="97">
        <f t="shared" ref="CP276" si="4602">CQ214</f>
        <v>0</v>
      </c>
      <c r="CQ276" s="97">
        <f t="shared" ref="CQ276" si="4603">CR214</f>
        <v>0</v>
      </c>
      <c r="CR276" s="97">
        <f t="shared" ref="CR276" si="4604">CS214</f>
        <v>0</v>
      </c>
      <c r="CS276" s="97">
        <f t="shared" ref="CS276" si="4605">CT214</f>
        <v>0</v>
      </c>
      <c r="CT276" s="97">
        <f t="shared" ref="CT276" si="4606">CU214</f>
        <v>0</v>
      </c>
      <c r="CU276" s="97">
        <f t="shared" ref="CU276" si="4607">CV214</f>
        <v>0</v>
      </c>
      <c r="CV276" s="97">
        <f t="shared" ref="CV276" si="4608">CW214</f>
        <v>0</v>
      </c>
      <c r="CW276" s="97">
        <f t="shared" ref="CW276" si="4609">CX214</f>
        <v>0</v>
      </c>
      <c r="CX276" s="97">
        <f t="shared" ref="CX276" si="4610">CY214</f>
        <v>0</v>
      </c>
      <c r="CY276" s="97">
        <f t="shared" ref="CY276" si="4611">CZ214</f>
        <v>0</v>
      </c>
      <c r="CZ276" s="97">
        <f t="shared" ref="CZ276" si="4612">DA214</f>
        <v>0</v>
      </c>
      <c r="DA276" s="97">
        <f t="shared" ref="DA276" si="4613">DB214</f>
        <v>0</v>
      </c>
      <c r="DB276" s="97">
        <f t="shared" ref="DB276" si="4614">DC214</f>
        <v>0</v>
      </c>
      <c r="DC276" s="97">
        <f t="shared" ref="DC276" si="4615">DD214</f>
        <v>0</v>
      </c>
      <c r="DD276" s="97">
        <f t="shared" ref="DD276" si="4616">DE214</f>
        <v>0</v>
      </c>
      <c r="DE276" s="97">
        <f t="shared" ref="DE276" si="4617">DF214</f>
        <v>0</v>
      </c>
      <c r="DF276" s="97">
        <f t="shared" ref="DF276" si="4618">DG214</f>
        <v>0</v>
      </c>
      <c r="DG276" s="97">
        <f t="shared" ref="DG276" si="4619">DH214</f>
        <v>0</v>
      </c>
      <c r="DH276" s="97">
        <f t="shared" ref="DH276" si="4620">DI214</f>
        <v>0</v>
      </c>
      <c r="DI276" s="97">
        <f t="shared" ref="DI276" si="4621">DJ214</f>
        <v>0</v>
      </c>
      <c r="DJ276" s="97">
        <f t="shared" ref="DJ276" si="4622">DK214</f>
        <v>0</v>
      </c>
      <c r="DK276" s="97">
        <f t="shared" ref="DK276" si="4623">DL214</f>
        <v>0</v>
      </c>
      <c r="DL276" s="97">
        <f t="shared" ref="DL276" si="4624">DM214</f>
        <v>0</v>
      </c>
      <c r="DM276" s="97">
        <f t="shared" ref="DM276" si="4625">DN214</f>
        <v>0</v>
      </c>
      <c r="DN276" s="97">
        <f t="shared" ref="DN276" si="4626">DO214</f>
        <v>0</v>
      </c>
      <c r="DO276" s="97">
        <f t="shared" ref="DO276" si="4627">DP214</f>
        <v>0</v>
      </c>
      <c r="DP276" s="97">
        <f t="shared" ref="DP276" si="4628">DQ214</f>
        <v>0</v>
      </c>
      <c r="DQ276" s="97">
        <f t="shared" ref="DQ276" si="4629">DR214</f>
        <v>0</v>
      </c>
      <c r="DR276" s="97">
        <f t="shared" ref="DR276" si="4630">DS214</f>
        <v>0</v>
      </c>
      <c r="DS276" s="97">
        <f t="shared" ref="DS276" si="4631">DT214</f>
        <v>0</v>
      </c>
      <c r="DT276" s="97">
        <f t="shared" ref="DT276" si="4632">DU214</f>
        <v>0</v>
      </c>
      <c r="DU276" s="97">
        <f t="shared" ref="DU276" si="4633">DV214</f>
        <v>0</v>
      </c>
      <c r="DV276" s="97">
        <f t="shared" ref="DV276" si="4634">DW214</f>
        <v>0</v>
      </c>
      <c r="DW276" s="97">
        <f t="shared" ref="DW276" si="4635">DX214</f>
        <v>0</v>
      </c>
      <c r="DX276" s="97">
        <f t="shared" ref="DX276" si="4636">DY214</f>
        <v>0</v>
      </c>
      <c r="DY276" s="97">
        <f t="shared" ref="DY276" si="4637">DZ214</f>
        <v>0</v>
      </c>
      <c r="DZ276" s="97">
        <f t="shared" ref="DZ276" si="4638">EA214</f>
        <v>0</v>
      </c>
      <c r="EA276" s="97">
        <f t="shared" ref="EA276" si="4639">EB214</f>
        <v>0</v>
      </c>
      <c r="EB276" s="97">
        <f t="shared" ref="EB276" si="4640">EC214</f>
        <v>0</v>
      </c>
      <c r="EC276" s="97">
        <f t="shared" ref="EC276" si="4641">ED214</f>
        <v>0</v>
      </c>
      <c r="ED276" s="97">
        <f t="shared" ref="ED276" si="4642">EE214</f>
        <v>0</v>
      </c>
      <c r="EE276" s="97">
        <f t="shared" ref="EE276" si="4643">EF214</f>
        <v>0</v>
      </c>
      <c r="EF276" s="97">
        <f t="shared" ref="EF276" si="4644">EG214</f>
        <v>0</v>
      </c>
      <c r="EG276" s="97">
        <f t="shared" ref="EG276" si="4645">EH214</f>
        <v>0</v>
      </c>
      <c r="EH276" s="97">
        <f t="shared" ref="EH276" si="4646">EI214</f>
        <v>0</v>
      </c>
      <c r="EI276" s="97">
        <f t="shared" ref="EI276" si="4647">EJ214</f>
        <v>0</v>
      </c>
      <c r="EJ276" s="97">
        <f t="shared" ref="EJ276" si="4648">EK214</f>
        <v>0</v>
      </c>
      <c r="EK276" s="97">
        <f t="shared" ref="EK276" si="4649">EL214</f>
        <v>0</v>
      </c>
      <c r="EL276" s="97">
        <f t="shared" ref="EL276" si="4650">EM214</f>
        <v>0</v>
      </c>
      <c r="EM276" s="97">
        <f t="shared" ref="EM276" si="4651">EN214</f>
        <v>0</v>
      </c>
      <c r="EN276" s="97">
        <f t="shared" ref="EN276" si="4652">EO214</f>
        <v>0</v>
      </c>
      <c r="EO276" s="97">
        <f t="shared" ref="EO276" si="4653">EP214</f>
        <v>0</v>
      </c>
      <c r="EP276" s="97">
        <f t="shared" ref="EP276" si="4654">EQ214</f>
        <v>0</v>
      </c>
      <c r="EQ276" s="97">
        <f t="shared" ref="EQ276" si="4655">ER214</f>
        <v>0</v>
      </c>
      <c r="ER276" s="97">
        <f t="shared" ref="ER276" si="4656">ES214</f>
        <v>0</v>
      </c>
      <c r="ES276" s="97">
        <f t="shared" ref="ES276" si="4657">ET214</f>
        <v>0</v>
      </c>
      <c r="ET276" s="97">
        <f t="shared" ref="ET276" si="4658">EU214</f>
        <v>0</v>
      </c>
      <c r="EU276" s="97">
        <f t="shared" ref="EU276" si="4659">EV214</f>
        <v>0</v>
      </c>
      <c r="EV276" s="97">
        <f t="shared" ref="EV276" si="4660">EW214</f>
        <v>0</v>
      </c>
      <c r="EW276" s="97">
        <f t="shared" ref="EW276" si="4661">EX214</f>
        <v>0</v>
      </c>
      <c r="EX276" s="97">
        <f t="shared" ref="EX276" si="4662">EY214</f>
        <v>0</v>
      </c>
      <c r="EY276" s="97">
        <f t="shared" ref="EY276" si="4663">EZ214</f>
        <v>0</v>
      </c>
      <c r="EZ276" s="97">
        <f t="shared" ref="EZ276" si="4664">FA214</f>
        <v>0</v>
      </c>
      <c r="FA276" s="97">
        <f t="shared" ref="FA276" si="4665">FB214</f>
        <v>0</v>
      </c>
      <c r="FB276" s="97">
        <f t="shared" ref="FB276" si="4666">FC214</f>
        <v>0</v>
      </c>
      <c r="FC276" s="97">
        <f t="shared" ref="FC276" si="4667">FD214</f>
        <v>0</v>
      </c>
      <c r="FD276" s="97">
        <f t="shared" ref="FD276" si="4668">FE214</f>
        <v>0</v>
      </c>
      <c r="FE276" s="97">
        <f t="shared" ref="FE276" si="4669">FF214</f>
        <v>0</v>
      </c>
      <c r="FF276" s="97">
        <f t="shared" ref="FF276" si="4670">FG214</f>
        <v>0</v>
      </c>
      <c r="FG276" s="97">
        <f t="shared" ref="FG276" si="4671">FH214</f>
        <v>0</v>
      </c>
      <c r="FH276" s="97">
        <f t="shared" ref="FH276" si="4672">FI214</f>
        <v>0</v>
      </c>
      <c r="FI276" s="97">
        <f t="shared" ref="FI276" si="4673">FJ214</f>
        <v>0</v>
      </c>
      <c r="FJ276" s="97">
        <f t="shared" ref="FJ276" si="4674">FK214</f>
        <v>0</v>
      </c>
      <c r="FK276" s="97">
        <f t="shared" ref="FK276" si="4675">FL214</f>
        <v>0</v>
      </c>
      <c r="FL276" s="97">
        <f t="shared" ref="FL276" si="4676">FM214</f>
        <v>0</v>
      </c>
      <c r="FM276" s="97">
        <f t="shared" ref="FM276" si="4677">FN214</f>
        <v>0</v>
      </c>
      <c r="FN276" s="97">
        <f t="shared" ref="FN276" si="4678">FO214</f>
        <v>0</v>
      </c>
      <c r="FO276" s="97">
        <f t="shared" ref="FO276" si="4679">FP214</f>
        <v>0</v>
      </c>
      <c r="FP276" s="97">
        <f t="shared" ref="FP276" si="4680">FQ214</f>
        <v>0</v>
      </c>
      <c r="FQ276" s="97">
        <f t="shared" ref="FQ276" si="4681">FR214</f>
        <v>0</v>
      </c>
      <c r="FR276" s="97">
        <f t="shared" ref="FR276" si="4682">FS214</f>
        <v>0</v>
      </c>
      <c r="FS276" s="97">
        <f t="shared" ref="FS276" si="4683">FT214</f>
        <v>0</v>
      </c>
      <c r="FT276" s="97">
        <f t="shared" ref="FT276" si="4684">FU214</f>
        <v>0</v>
      </c>
      <c r="FU276" s="97">
        <f t="shared" ref="FU276" si="4685">FV214</f>
        <v>0</v>
      </c>
      <c r="FV276" s="97">
        <f t="shared" ref="FV276" si="4686">FW214</f>
        <v>0</v>
      </c>
      <c r="FW276" s="97">
        <f t="shared" ref="FW276" si="4687">FX214</f>
        <v>0</v>
      </c>
      <c r="FX276" s="97">
        <f t="shared" ref="FX276" si="4688">FY214</f>
        <v>0</v>
      </c>
      <c r="FY276" s="97">
        <f t="shared" ref="FY276" si="4689">FZ214</f>
        <v>0</v>
      </c>
      <c r="FZ276" s="98"/>
    </row>
    <row r="277" spans="1:184" x14ac:dyDescent="0.2">
      <c r="A277" s="66" t="s">
        <v>216</v>
      </c>
      <c r="B277" s="67">
        <f>B278-B276</f>
        <v>0</v>
      </c>
      <c r="C277" s="67">
        <f t="shared" ref="C277" si="4690">C278-C276</f>
        <v>0</v>
      </c>
      <c r="D277" s="67">
        <f t="shared" ref="D277:BO277" si="4691">D278-D276</f>
        <v>0</v>
      </c>
      <c r="E277" s="67">
        <f t="shared" si="4691"/>
        <v>0</v>
      </c>
      <c r="F277" s="67">
        <f t="shared" si="4691"/>
        <v>0</v>
      </c>
      <c r="G277" s="67">
        <f t="shared" si="4691"/>
        <v>0</v>
      </c>
      <c r="H277" s="67">
        <f t="shared" si="4691"/>
        <v>0</v>
      </c>
      <c r="I277" s="67">
        <f t="shared" si="4691"/>
        <v>0</v>
      </c>
      <c r="J277" s="67">
        <f t="shared" si="4691"/>
        <v>0</v>
      </c>
      <c r="K277" s="67">
        <f t="shared" si="4691"/>
        <v>0</v>
      </c>
      <c r="L277" s="67">
        <f t="shared" si="4691"/>
        <v>0</v>
      </c>
      <c r="M277" s="67">
        <f t="shared" si="4691"/>
        <v>0</v>
      </c>
      <c r="N277" s="67">
        <f t="shared" si="4691"/>
        <v>0</v>
      </c>
      <c r="O277" s="67">
        <f t="shared" si="4691"/>
        <v>0</v>
      </c>
      <c r="P277" s="67">
        <f t="shared" si="4691"/>
        <v>0</v>
      </c>
      <c r="Q277" s="67">
        <f t="shared" si="4691"/>
        <v>0</v>
      </c>
      <c r="R277" s="67">
        <f t="shared" si="4691"/>
        <v>0</v>
      </c>
      <c r="S277" s="67">
        <f t="shared" si="4691"/>
        <v>0</v>
      </c>
      <c r="T277" s="67">
        <f t="shared" si="4691"/>
        <v>0</v>
      </c>
      <c r="U277" s="67">
        <f t="shared" si="4691"/>
        <v>0</v>
      </c>
      <c r="V277" s="67">
        <f t="shared" si="4691"/>
        <v>0</v>
      </c>
      <c r="W277" s="67">
        <f t="shared" si="4691"/>
        <v>0</v>
      </c>
      <c r="X277" s="67">
        <f t="shared" si="4691"/>
        <v>0</v>
      </c>
      <c r="Y277" s="67">
        <f t="shared" si="4691"/>
        <v>0</v>
      </c>
      <c r="Z277" s="67">
        <f t="shared" si="4691"/>
        <v>0</v>
      </c>
      <c r="AA277" s="67">
        <f t="shared" si="4691"/>
        <v>0</v>
      </c>
      <c r="AB277" s="67">
        <f t="shared" si="4691"/>
        <v>0</v>
      </c>
      <c r="AC277" s="67">
        <f t="shared" si="4691"/>
        <v>0</v>
      </c>
      <c r="AD277" s="67">
        <f t="shared" si="4691"/>
        <v>0</v>
      </c>
      <c r="AE277" s="67">
        <f t="shared" si="4691"/>
        <v>0</v>
      </c>
      <c r="AF277" s="67">
        <f t="shared" si="4691"/>
        <v>0</v>
      </c>
      <c r="AG277" s="67">
        <f t="shared" si="4691"/>
        <v>0</v>
      </c>
      <c r="AH277" s="67">
        <f t="shared" si="4691"/>
        <v>0</v>
      </c>
      <c r="AI277" s="67">
        <f t="shared" si="4691"/>
        <v>0</v>
      </c>
      <c r="AJ277" s="67">
        <f t="shared" si="4691"/>
        <v>0</v>
      </c>
      <c r="AK277" s="67">
        <f t="shared" si="4691"/>
        <v>0</v>
      </c>
      <c r="AL277" s="67">
        <f t="shared" si="4691"/>
        <v>0</v>
      </c>
      <c r="AM277" s="67">
        <f t="shared" si="4691"/>
        <v>0</v>
      </c>
      <c r="AN277" s="67">
        <f t="shared" si="4691"/>
        <v>0</v>
      </c>
      <c r="AO277" s="67">
        <f t="shared" si="4691"/>
        <v>0</v>
      </c>
      <c r="AP277" s="67">
        <f t="shared" si="4691"/>
        <v>0</v>
      </c>
      <c r="AQ277" s="67">
        <f t="shared" si="4691"/>
        <v>0</v>
      </c>
      <c r="AR277" s="67">
        <f t="shared" si="4691"/>
        <v>0</v>
      </c>
      <c r="AS277" s="67">
        <f t="shared" si="4691"/>
        <v>0</v>
      </c>
      <c r="AT277" s="67">
        <f t="shared" si="4691"/>
        <v>0</v>
      </c>
      <c r="AU277" s="67">
        <f t="shared" si="4691"/>
        <v>0</v>
      </c>
      <c r="AV277" s="67">
        <f t="shared" si="4691"/>
        <v>0</v>
      </c>
      <c r="AW277" s="67">
        <f t="shared" si="4691"/>
        <v>0</v>
      </c>
      <c r="AX277" s="67">
        <f t="shared" si="4691"/>
        <v>0</v>
      </c>
      <c r="AY277" s="67">
        <f t="shared" si="4691"/>
        <v>0</v>
      </c>
      <c r="AZ277" s="67">
        <f t="shared" si="4691"/>
        <v>0</v>
      </c>
      <c r="BA277" s="67">
        <f t="shared" si="4691"/>
        <v>0</v>
      </c>
      <c r="BB277" s="67">
        <f t="shared" si="4691"/>
        <v>0</v>
      </c>
      <c r="BC277" s="67">
        <f t="shared" si="4691"/>
        <v>0</v>
      </c>
      <c r="BD277" s="67">
        <f t="shared" si="4691"/>
        <v>0</v>
      </c>
      <c r="BE277" s="67">
        <f t="shared" si="4691"/>
        <v>0</v>
      </c>
      <c r="BF277" s="67">
        <f t="shared" si="4691"/>
        <v>0</v>
      </c>
      <c r="BG277" s="67">
        <f t="shared" si="4691"/>
        <v>0</v>
      </c>
      <c r="BH277" s="67">
        <f t="shared" si="4691"/>
        <v>0</v>
      </c>
      <c r="BI277" s="67">
        <f t="shared" si="4691"/>
        <v>0</v>
      </c>
      <c r="BJ277" s="67">
        <f t="shared" si="4691"/>
        <v>0</v>
      </c>
      <c r="BK277" s="67">
        <f t="shared" si="4691"/>
        <v>0</v>
      </c>
      <c r="BL277" s="67">
        <f t="shared" si="4691"/>
        <v>0</v>
      </c>
      <c r="BM277" s="67">
        <f t="shared" si="4691"/>
        <v>0</v>
      </c>
      <c r="BN277" s="67">
        <f t="shared" si="4691"/>
        <v>0</v>
      </c>
      <c r="BO277" s="67">
        <f t="shared" si="4691"/>
        <v>0</v>
      </c>
      <c r="BP277" s="67">
        <f t="shared" ref="BP277:EA277" si="4692">BP278-BP276</f>
        <v>0</v>
      </c>
      <c r="BQ277" s="67">
        <f t="shared" si="4692"/>
        <v>0</v>
      </c>
      <c r="BR277" s="67">
        <f t="shared" si="4692"/>
        <v>0</v>
      </c>
      <c r="BS277" s="67">
        <f t="shared" si="4692"/>
        <v>0</v>
      </c>
      <c r="BT277" s="67">
        <f t="shared" si="4692"/>
        <v>0</v>
      </c>
      <c r="BU277" s="67">
        <f t="shared" si="4692"/>
        <v>0</v>
      </c>
      <c r="BV277" s="67">
        <f t="shared" si="4692"/>
        <v>0</v>
      </c>
      <c r="BW277" s="67">
        <f t="shared" si="4692"/>
        <v>0</v>
      </c>
      <c r="BX277" s="67">
        <f t="shared" si="4692"/>
        <v>0</v>
      </c>
      <c r="BY277" s="67">
        <f t="shared" si="4692"/>
        <v>0</v>
      </c>
      <c r="BZ277" s="67">
        <f t="shared" si="4692"/>
        <v>0</v>
      </c>
      <c r="CA277" s="67">
        <f t="shared" si="4692"/>
        <v>0</v>
      </c>
      <c r="CB277" s="67">
        <f t="shared" si="4692"/>
        <v>0</v>
      </c>
      <c r="CC277" s="67">
        <f t="shared" si="4692"/>
        <v>0</v>
      </c>
      <c r="CD277" s="67">
        <f t="shared" si="4692"/>
        <v>0</v>
      </c>
      <c r="CE277" s="67">
        <f t="shared" si="4692"/>
        <v>0</v>
      </c>
      <c r="CF277" s="67">
        <f t="shared" si="4692"/>
        <v>0</v>
      </c>
      <c r="CG277" s="67">
        <f t="shared" si="4692"/>
        <v>0</v>
      </c>
      <c r="CH277" s="67">
        <f t="shared" si="4692"/>
        <v>0</v>
      </c>
      <c r="CI277" s="67">
        <f t="shared" si="4692"/>
        <v>0</v>
      </c>
      <c r="CJ277" s="67">
        <f t="shared" si="4692"/>
        <v>0</v>
      </c>
      <c r="CK277" s="67">
        <f t="shared" si="4692"/>
        <v>0</v>
      </c>
      <c r="CL277" s="67">
        <f t="shared" si="4692"/>
        <v>0</v>
      </c>
      <c r="CM277" s="67">
        <f t="shared" si="4692"/>
        <v>0</v>
      </c>
      <c r="CN277" s="67">
        <f t="shared" si="4692"/>
        <v>0</v>
      </c>
      <c r="CO277" s="67">
        <f t="shared" si="4692"/>
        <v>0</v>
      </c>
      <c r="CP277" s="67">
        <f t="shared" si="4692"/>
        <v>0</v>
      </c>
      <c r="CQ277" s="67">
        <f t="shared" si="4692"/>
        <v>0</v>
      </c>
      <c r="CR277" s="67">
        <f t="shared" si="4692"/>
        <v>0</v>
      </c>
      <c r="CS277" s="67">
        <f t="shared" si="4692"/>
        <v>0</v>
      </c>
      <c r="CT277" s="67">
        <f t="shared" si="4692"/>
        <v>0</v>
      </c>
      <c r="CU277" s="67">
        <f t="shared" si="4692"/>
        <v>0</v>
      </c>
      <c r="CV277" s="67">
        <f t="shared" si="4692"/>
        <v>0</v>
      </c>
      <c r="CW277" s="67">
        <f t="shared" si="4692"/>
        <v>0</v>
      </c>
      <c r="CX277" s="67">
        <f t="shared" si="4692"/>
        <v>0</v>
      </c>
      <c r="CY277" s="67">
        <f t="shared" si="4692"/>
        <v>0</v>
      </c>
      <c r="CZ277" s="67">
        <f t="shared" si="4692"/>
        <v>0</v>
      </c>
      <c r="DA277" s="67">
        <f t="shared" si="4692"/>
        <v>0</v>
      </c>
      <c r="DB277" s="67">
        <f t="shared" si="4692"/>
        <v>0</v>
      </c>
      <c r="DC277" s="67">
        <f t="shared" si="4692"/>
        <v>0</v>
      </c>
      <c r="DD277" s="67">
        <f t="shared" si="4692"/>
        <v>0</v>
      </c>
      <c r="DE277" s="67">
        <f t="shared" si="4692"/>
        <v>0</v>
      </c>
      <c r="DF277" s="67">
        <f t="shared" si="4692"/>
        <v>0</v>
      </c>
      <c r="DG277" s="67">
        <f t="shared" si="4692"/>
        <v>0</v>
      </c>
      <c r="DH277" s="67">
        <f t="shared" si="4692"/>
        <v>0</v>
      </c>
      <c r="DI277" s="67">
        <f t="shared" si="4692"/>
        <v>0</v>
      </c>
      <c r="DJ277" s="67">
        <f t="shared" si="4692"/>
        <v>0</v>
      </c>
      <c r="DK277" s="67">
        <f t="shared" si="4692"/>
        <v>0</v>
      </c>
      <c r="DL277" s="67">
        <f t="shared" si="4692"/>
        <v>0</v>
      </c>
      <c r="DM277" s="67">
        <f t="shared" si="4692"/>
        <v>0</v>
      </c>
      <c r="DN277" s="67">
        <f t="shared" si="4692"/>
        <v>0</v>
      </c>
      <c r="DO277" s="67">
        <f t="shared" si="4692"/>
        <v>0</v>
      </c>
      <c r="DP277" s="67">
        <f t="shared" si="4692"/>
        <v>0</v>
      </c>
      <c r="DQ277" s="67">
        <f t="shared" si="4692"/>
        <v>0</v>
      </c>
      <c r="DR277" s="67">
        <f t="shared" si="4692"/>
        <v>0</v>
      </c>
      <c r="DS277" s="67">
        <f t="shared" si="4692"/>
        <v>0</v>
      </c>
      <c r="DT277" s="67">
        <f t="shared" si="4692"/>
        <v>0</v>
      </c>
      <c r="DU277" s="67">
        <f t="shared" si="4692"/>
        <v>0</v>
      </c>
      <c r="DV277" s="67">
        <f t="shared" si="4692"/>
        <v>0</v>
      </c>
      <c r="DW277" s="67">
        <f t="shared" si="4692"/>
        <v>0</v>
      </c>
      <c r="DX277" s="67">
        <f t="shared" si="4692"/>
        <v>0</v>
      </c>
      <c r="DY277" s="67">
        <f t="shared" si="4692"/>
        <v>0</v>
      </c>
      <c r="DZ277" s="67">
        <f t="shared" si="4692"/>
        <v>0</v>
      </c>
      <c r="EA277" s="67">
        <f t="shared" si="4692"/>
        <v>0</v>
      </c>
      <c r="EB277" s="67">
        <f t="shared" ref="EB277:FY277" si="4693">EB278-EB276</f>
        <v>0</v>
      </c>
      <c r="EC277" s="67">
        <f t="shared" si="4693"/>
        <v>0</v>
      </c>
      <c r="ED277" s="67">
        <f t="shared" si="4693"/>
        <v>0</v>
      </c>
      <c r="EE277" s="67">
        <f t="shared" si="4693"/>
        <v>0</v>
      </c>
      <c r="EF277" s="67">
        <f t="shared" si="4693"/>
        <v>0</v>
      </c>
      <c r="EG277" s="67">
        <f t="shared" si="4693"/>
        <v>0</v>
      </c>
      <c r="EH277" s="67">
        <f t="shared" si="4693"/>
        <v>0</v>
      </c>
      <c r="EI277" s="67">
        <f t="shared" si="4693"/>
        <v>0</v>
      </c>
      <c r="EJ277" s="67">
        <f t="shared" si="4693"/>
        <v>0</v>
      </c>
      <c r="EK277" s="67">
        <f t="shared" si="4693"/>
        <v>0</v>
      </c>
      <c r="EL277" s="67">
        <f t="shared" si="4693"/>
        <v>0</v>
      </c>
      <c r="EM277" s="67">
        <f t="shared" si="4693"/>
        <v>0</v>
      </c>
      <c r="EN277" s="67">
        <f t="shared" si="4693"/>
        <v>0</v>
      </c>
      <c r="EO277" s="67">
        <f t="shared" si="4693"/>
        <v>0</v>
      </c>
      <c r="EP277" s="67">
        <f t="shared" si="4693"/>
        <v>0</v>
      </c>
      <c r="EQ277" s="67">
        <f t="shared" si="4693"/>
        <v>0</v>
      </c>
      <c r="ER277" s="67">
        <f t="shared" si="4693"/>
        <v>0</v>
      </c>
      <c r="ES277" s="67">
        <f t="shared" si="4693"/>
        <v>0</v>
      </c>
      <c r="ET277" s="67">
        <f t="shared" si="4693"/>
        <v>0</v>
      </c>
      <c r="EU277" s="67">
        <f t="shared" si="4693"/>
        <v>0</v>
      </c>
      <c r="EV277" s="67">
        <f t="shared" si="4693"/>
        <v>0</v>
      </c>
      <c r="EW277" s="67">
        <f t="shared" si="4693"/>
        <v>0</v>
      </c>
      <c r="EX277" s="67">
        <f t="shared" si="4693"/>
        <v>0</v>
      </c>
      <c r="EY277" s="67">
        <f t="shared" si="4693"/>
        <v>0</v>
      </c>
      <c r="EZ277" s="67">
        <f t="shared" si="4693"/>
        <v>0</v>
      </c>
      <c r="FA277" s="67">
        <f t="shared" si="4693"/>
        <v>0</v>
      </c>
      <c r="FB277" s="67">
        <f t="shared" si="4693"/>
        <v>0</v>
      </c>
      <c r="FC277" s="67">
        <f t="shared" si="4693"/>
        <v>0</v>
      </c>
      <c r="FD277" s="67">
        <f t="shared" si="4693"/>
        <v>0</v>
      </c>
      <c r="FE277" s="67">
        <f t="shared" si="4693"/>
        <v>0</v>
      </c>
      <c r="FF277" s="67">
        <f t="shared" si="4693"/>
        <v>0</v>
      </c>
      <c r="FG277" s="67">
        <f t="shared" si="4693"/>
        <v>0</v>
      </c>
      <c r="FH277" s="67">
        <f t="shared" si="4693"/>
        <v>0</v>
      </c>
      <c r="FI277" s="67">
        <f t="shared" si="4693"/>
        <v>0</v>
      </c>
      <c r="FJ277" s="67">
        <f t="shared" si="4693"/>
        <v>0</v>
      </c>
      <c r="FK277" s="67">
        <f t="shared" si="4693"/>
        <v>0</v>
      </c>
      <c r="FL277" s="67">
        <f t="shared" si="4693"/>
        <v>0</v>
      </c>
      <c r="FM277" s="67">
        <f t="shared" si="4693"/>
        <v>0</v>
      </c>
      <c r="FN277" s="67">
        <f t="shared" si="4693"/>
        <v>0</v>
      </c>
      <c r="FO277" s="67">
        <f t="shared" si="4693"/>
        <v>0</v>
      </c>
      <c r="FP277" s="67">
        <f t="shared" si="4693"/>
        <v>0</v>
      </c>
      <c r="FQ277" s="67">
        <f t="shared" si="4693"/>
        <v>0</v>
      </c>
      <c r="FR277" s="67">
        <f t="shared" si="4693"/>
        <v>0</v>
      </c>
      <c r="FS277" s="67">
        <f t="shared" si="4693"/>
        <v>0</v>
      </c>
      <c r="FT277" s="67">
        <f t="shared" si="4693"/>
        <v>0</v>
      </c>
      <c r="FU277" s="67">
        <f t="shared" si="4693"/>
        <v>0</v>
      </c>
      <c r="FV277" s="67">
        <f t="shared" si="4693"/>
        <v>0</v>
      </c>
      <c r="FW277" s="67">
        <f t="shared" si="4693"/>
        <v>0</v>
      </c>
      <c r="FX277" s="67">
        <f t="shared" si="4693"/>
        <v>0</v>
      </c>
      <c r="FY277" s="67">
        <f t="shared" si="4693"/>
        <v>0</v>
      </c>
      <c r="FZ277" s="59"/>
    </row>
    <row r="278" spans="1:184" x14ac:dyDescent="0.2">
      <c r="A278" s="66" t="s">
        <v>217</v>
      </c>
      <c r="B278" s="99">
        <f>C253</f>
        <v>116448.09296759122</v>
      </c>
      <c r="C278" s="99">
        <f t="shared" ref="C278" si="4694">D253</f>
        <v>111551.4326372651</v>
      </c>
      <c r="D278" s="99">
        <f t="shared" ref="D278" si="4695">E253</f>
        <v>106723.55066459547</v>
      </c>
      <c r="E278" s="99">
        <f t="shared" ref="E278" si="4696">F253</f>
        <v>101966.35754663304</v>
      </c>
      <c r="F278" s="99">
        <f t="shared" ref="F278" si="4697">G253</f>
        <v>97281.799739326219</v>
      </c>
      <c r="G278" s="99">
        <f t="shared" ref="G278" si="4698">H253</f>
        <v>92671.860278824664</v>
      </c>
      <c r="H278" s="99">
        <f t="shared" ref="H278" si="4699">I253</f>
        <v>88138.559413219278</v>
      </c>
      <c r="I278" s="99">
        <f t="shared" ref="I278" si="4700">J253</f>
        <v>83683.955244934099</v>
      </c>
      <c r="J278" s="99">
        <f t="shared" ref="J278" si="4701">K253</f>
        <v>79310.144383960927</v>
      </c>
      <c r="K278" s="99">
        <f t="shared" ref="K278" si="4702">L253</f>
        <v>75019.262612092527</v>
      </c>
      <c r="L278" s="99">
        <f t="shared" ref="L278" si="4703">M253</f>
        <v>70813.485558310145</v>
      </c>
      <c r="M278" s="99">
        <f t="shared" ref="M278" si="4704">N253</f>
        <v>66695.029385617556</v>
      </c>
      <c r="N278" s="99">
        <f t="shared" ref="N278" si="4705">O253</f>
        <v>62629.640214358609</v>
      </c>
      <c r="O278" s="99">
        <f t="shared" ref="O278" si="4706">P253</f>
        <v>58656.465291675406</v>
      </c>
      <c r="P278" s="99">
        <f t="shared" ref="P278" si="4707">Q253</f>
        <v>54777.928444100304</v>
      </c>
      <c r="Q278" s="99">
        <f t="shared" ref="Q278" si="4708">R253</f>
        <v>50996.499419412612</v>
      </c>
      <c r="R278" s="99">
        <f t="shared" ref="R278" si="4709">S253</f>
        <v>47314.694686100571</v>
      </c>
      <c r="S278" s="99">
        <f t="shared" ref="S278" si="4710">T253</f>
        <v>43735.07824640032</v>
      </c>
      <c r="T278" s="99">
        <f t="shared" ref="T278" si="4711">U253</f>
        <v>40260.262463040206</v>
      </c>
      <c r="U278" s="99">
        <f t="shared" ref="U278" si="4712">V253</f>
        <v>36892.908900033704</v>
      </c>
      <c r="V278" s="99">
        <f t="shared" ref="V278" si="4713">W253</f>
        <v>33635.729177670124</v>
      </c>
      <c r="W278" s="99">
        <f t="shared" ref="W278" si="4714">X253</f>
        <v>30491.485841960151</v>
      </c>
      <c r="X278" s="99">
        <f t="shared" ref="X278" si="4715">Y253</f>
        <v>27462.993248812742</v>
      </c>
      <c r="Y278" s="99">
        <f t="shared" ref="Y278" si="4716">Z253</f>
        <v>24553.118463177023</v>
      </c>
      <c r="Z278" s="99">
        <f t="shared" ref="Z278" si="4717">AA253</f>
        <v>21740.123731142339</v>
      </c>
      <c r="AA278" s="99">
        <f t="shared" ref="AA278" si="4718">AB253</f>
        <v>19053.125574708054</v>
      </c>
      <c r="AB278" s="99">
        <f t="shared" ref="AB278" si="4719">AC253</f>
        <v>16495.274200045129</v>
      </c>
      <c r="AC278" s="99">
        <f t="shared" ref="AC278" si="4720">AD253</f>
        <v>14069.779751044876</v>
      </c>
      <c r="AD278" s="99">
        <f t="shared" ref="AD278" si="4721">AE253</f>
        <v>11779.913360591567</v>
      </c>
      <c r="AE278" s="99">
        <f t="shared" ref="AE278" si="4722">AF253</f>
        <v>9629.008219670739</v>
      </c>
      <c r="AF278" s="99">
        <f t="shared" ref="AF278" si="4723">AG253</f>
        <v>7620.4606646886887</v>
      </c>
      <c r="AG278" s="99">
        <f t="shared" ref="AG278" si="4724">AH253</f>
        <v>5757.7312832676189</v>
      </c>
      <c r="AH278" s="99">
        <f t="shared" ref="AH278" si="4725">AI253</f>
        <v>4044.3460388696544</v>
      </c>
      <c r="AI278" s="99">
        <f t="shared" ref="AI278" si="4726">AJ253</f>
        <v>2483.8974145239345</v>
      </c>
      <c r="AJ278" s="99">
        <f t="shared" ref="AJ278" si="4727">AK253</f>
        <v>1080.045576000005</v>
      </c>
      <c r="AK278" s="99">
        <f t="shared" ref="AK278" si="4728">AL253</f>
        <v>0</v>
      </c>
      <c r="AL278" s="99">
        <f t="shared" ref="AL278" si="4729">AM253</f>
        <v>0</v>
      </c>
      <c r="AM278" s="99">
        <f t="shared" ref="AM278" si="4730">AN253</f>
        <v>0</v>
      </c>
      <c r="AN278" s="99">
        <f t="shared" ref="AN278" si="4731">AO253</f>
        <v>0</v>
      </c>
      <c r="AO278" s="99">
        <f t="shared" ref="AO278" si="4732">AP253</f>
        <v>0</v>
      </c>
      <c r="AP278" s="99">
        <f t="shared" ref="AP278" si="4733">AQ253</f>
        <v>0</v>
      </c>
      <c r="AQ278" s="99">
        <f t="shared" ref="AQ278" si="4734">AR253</f>
        <v>0</v>
      </c>
      <c r="AR278" s="99">
        <f t="shared" ref="AR278" si="4735">AS253</f>
        <v>0</v>
      </c>
      <c r="AS278" s="99">
        <f t="shared" ref="AS278" si="4736">AT253</f>
        <v>0</v>
      </c>
      <c r="AT278" s="99">
        <f t="shared" ref="AT278" si="4737">AU253</f>
        <v>0</v>
      </c>
      <c r="AU278" s="99">
        <f t="shared" ref="AU278" si="4738">AV253</f>
        <v>0</v>
      </c>
      <c r="AV278" s="99">
        <f t="shared" ref="AV278" si="4739">AW253</f>
        <v>0</v>
      </c>
      <c r="AW278" s="99">
        <f t="shared" ref="AW278" si="4740">AX253</f>
        <v>0</v>
      </c>
      <c r="AX278" s="99">
        <f t="shared" ref="AX278" si="4741">AY253</f>
        <v>0</v>
      </c>
      <c r="AY278" s="99">
        <f t="shared" ref="AY278" si="4742">AZ253</f>
        <v>0</v>
      </c>
      <c r="AZ278" s="99">
        <f t="shared" ref="AZ278" si="4743">BA253</f>
        <v>0</v>
      </c>
      <c r="BA278" s="99">
        <f t="shared" ref="BA278" si="4744">BB253</f>
        <v>0</v>
      </c>
      <c r="BB278" s="99">
        <f t="shared" ref="BB278" si="4745">BC253</f>
        <v>0</v>
      </c>
      <c r="BC278" s="99">
        <f t="shared" ref="BC278" si="4746">BD253</f>
        <v>0</v>
      </c>
      <c r="BD278" s="99">
        <f t="shared" ref="BD278" si="4747">BE253</f>
        <v>0</v>
      </c>
      <c r="BE278" s="99">
        <f t="shared" ref="BE278" si="4748">BF253</f>
        <v>0</v>
      </c>
      <c r="BF278" s="99">
        <f t="shared" ref="BF278" si="4749">BG253</f>
        <v>0</v>
      </c>
      <c r="BG278" s="99">
        <f t="shared" ref="BG278" si="4750">BH253</f>
        <v>0</v>
      </c>
      <c r="BH278" s="99">
        <f t="shared" ref="BH278" si="4751">BI253</f>
        <v>0</v>
      </c>
      <c r="BI278" s="99">
        <f t="shared" ref="BI278" si="4752">BJ253</f>
        <v>0</v>
      </c>
      <c r="BJ278" s="99">
        <f t="shared" ref="BJ278" si="4753">BK253</f>
        <v>0</v>
      </c>
      <c r="BK278" s="99">
        <f t="shared" ref="BK278" si="4754">BL253</f>
        <v>0</v>
      </c>
      <c r="BL278" s="99">
        <f t="shared" ref="BL278" si="4755">BM253</f>
        <v>0</v>
      </c>
      <c r="BM278" s="99">
        <f t="shared" ref="BM278" si="4756">BN253</f>
        <v>0</v>
      </c>
      <c r="BN278" s="99">
        <f t="shared" ref="BN278" si="4757">BO253</f>
        <v>0</v>
      </c>
      <c r="BO278" s="99">
        <f t="shared" ref="BO278" si="4758">BP253</f>
        <v>0</v>
      </c>
      <c r="BP278" s="99">
        <f t="shared" ref="BP278" si="4759">BQ253</f>
        <v>0</v>
      </c>
      <c r="BQ278" s="99">
        <f t="shared" ref="BQ278" si="4760">BR253</f>
        <v>0</v>
      </c>
      <c r="BR278" s="99">
        <f t="shared" ref="BR278" si="4761">BS253</f>
        <v>0</v>
      </c>
      <c r="BS278" s="99">
        <f t="shared" ref="BS278" si="4762">BT253</f>
        <v>0</v>
      </c>
      <c r="BT278" s="99">
        <f t="shared" ref="BT278" si="4763">BU253</f>
        <v>0</v>
      </c>
      <c r="BU278" s="99">
        <f t="shared" ref="BU278" si="4764">BV253</f>
        <v>0</v>
      </c>
      <c r="BV278" s="99">
        <f t="shared" ref="BV278" si="4765">BW253</f>
        <v>0</v>
      </c>
      <c r="BW278" s="99">
        <f t="shared" ref="BW278" si="4766">BX253</f>
        <v>0</v>
      </c>
      <c r="BX278" s="99">
        <f t="shared" ref="BX278" si="4767">BY253</f>
        <v>0</v>
      </c>
      <c r="BY278" s="99">
        <f t="shared" ref="BY278" si="4768">BZ253</f>
        <v>0</v>
      </c>
      <c r="BZ278" s="99">
        <f t="shared" ref="BZ278" si="4769">CA253</f>
        <v>0</v>
      </c>
      <c r="CA278" s="99">
        <f t="shared" ref="CA278" si="4770">CB253</f>
        <v>0</v>
      </c>
      <c r="CB278" s="99">
        <f t="shared" ref="CB278" si="4771">CC253</f>
        <v>0</v>
      </c>
      <c r="CC278" s="99">
        <f t="shared" ref="CC278" si="4772">CD253</f>
        <v>0</v>
      </c>
      <c r="CD278" s="99">
        <f t="shared" ref="CD278" si="4773">CE253</f>
        <v>0</v>
      </c>
      <c r="CE278" s="99">
        <f t="shared" ref="CE278" si="4774">CF253</f>
        <v>0</v>
      </c>
      <c r="CF278" s="99">
        <f t="shared" ref="CF278" si="4775">CG253</f>
        <v>0</v>
      </c>
      <c r="CG278" s="99">
        <f t="shared" ref="CG278" si="4776">CH253</f>
        <v>0</v>
      </c>
      <c r="CH278" s="99">
        <f t="shared" ref="CH278" si="4777">CI253</f>
        <v>0</v>
      </c>
      <c r="CI278" s="99">
        <f t="shared" ref="CI278" si="4778">CJ253</f>
        <v>0</v>
      </c>
      <c r="CJ278" s="99">
        <f t="shared" ref="CJ278" si="4779">CK253</f>
        <v>0</v>
      </c>
      <c r="CK278" s="99">
        <f t="shared" ref="CK278" si="4780">CL253</f>
        <v>0</v>
      </c>
      <c r="CL278" s="99">
        <f t="shared" ref="CL278" si="4781">CM253</f>
        <v>0</v>
      </c>
      <c r="CM278" s="99">
        <f t="shared" ref="CM278" si="4782">CN253</f>
        <v>0</v>
      </c>
      <c r="CN278" s="99">
        <f t="shared" ref="CN278" si="4783">CO253</f>
        <v>0</v>
      </c>
      <c r="CO278" s="99">
        <f t="shared" ref="CO278" si="4784">CP253</f>
        <v>0</v>
      </c>
      <c r="CP278" s="99">
        <f t="shared" ref="CP278" si="4785">CQ253</f>
        <v>0</v>
      </c>
      <c r="CQ278" s="99">
        <f t="shared" ref="CQ278" si="4786">CR253</f>
        <v>0</v>
      </c>
      <c r="CR278" s="99">
        <f t="shared" ref="CR278" si="4787">CS253</f>
        <v>0</v>
      </c>
      <c r="CS278" s="99">
        <f t="shared" ref="CS278" si="4788">CT253</f>
        <v>0</v>
      </c>
      <c r="CT278" s="99">
        <f t="shared" ref="CT278" si="4789">CU253</f>
        <v>0</v>
      </c>
      <c r="CU278" s="99">
        <f t="shared" ref="CU278" si="4790">CV253</f>
        <v>0</v>
      </c>
      <c r="CV278" s="99">
        <f t="shared" ref="CV278" si="4791">CW253</f>
        <v>0</v>
      </c>
      <c r="CW278" s="99">
        <f t="shared" ref="CW278" si="4792">CX253</f>
        <v>0</v>
      </c>
      <c r="CX278" s="99">
        <f t="shared" ref="CX278" si="4793">CY253</f>
        <v>0</v>
      </c>
      <c r="CY278" s="99">
        <f t="shared" ref="CY278" si="4794">CZ253</f>
        <v>0</v>
      </c>
      <c r="CZ278" s="99">
        <f t="shared" ref="CZ278" si="4795">DA253</f>
        <v>0</v>
      </c>
      <c r="DA278" s="99">
        <f t="shared" ref="DA278" si="4796">DB253</f>
        <v>0</v>
      </c>
      <c r="DB278" s="99">
        <f t="shared" ref="DB278" si="4797">DC253</f>
        <v>0</v>
      </c>
      <c r="DC278" s="99">
        <f t="shared" ref="DC278" si="4798">DD253</f>
        <v>0</v>
      </c>
      <c r="DD278" s="99">
        <f t="shared" ref="DD278" si="4799">DE253</f>
        <v>0</v>
      </c>
      <c r="DE278" s="99">
        <f t="shared" ref="DE278" si="4800">DF253</f>
        <v>0</v>
      </c>
      <c r="DF278" s="99">
        <f t="shared" ref="DF278" si="4801">DG253</f>
        <v>0</v>
      </c>
      <c r="DG278" s="99">
        <f t="shared" ref="DG278" si="4802">DH253</f>
        <v>0</v>
      </c>
      <c r="DH278" s="99">
        <f t="shared" ref="DH278" si="4803">DI253</f>
        <v>0</v>
      </c>
      <c r="DI278" s="99">
        <f t="shared" ref="DI278" si="4804">DJ253</f>
        <v>0</v>
      </c>
      <c r="DJ278" s="99">
        <f t="shared" ref="DJ278" si="4805">DK253</f>
        <v>0</v>
      </c>
      <c r="DK278" s="99">
        <f t="shared" ref="DK278" si="4806">DL253</f>
        <v>0</v>
      </c>
      <c r="DL278" s="99">
        <f t="shared" ref="DL278" si="4807">DM253</f>
        <v>0</v>
      </c>
      <c r="DM278" s="99">
        <f t="shared" ref="DM278" si="4808">DN253</f>
        <v>0</v>
      </c>
      <c r="DN278" s="99">
        <f t="shared" ref="DN278" si="4809">DO253</f>
        <v>0</v>
      </c>
      <c r="DO278" s="99">
        <f t="shared" ref="DO278" si="4810">DP253</f>
        <v>0</v>
      </c>
      <c r="DP278" s="99">
        <f t="shared" ref="DP278" si="4811">DQ253</f>
        <v>0</v>
      </c>
      <c r="DQ278" s="99">
        <f t="shared" ref="DQ278" si="4812">DR253</f>
        <v>0</v>
      </c>
      <c r="DR278" s="99">
        <f t="shared" ref="DR278" si="4813">DS253</f>
        <v>0</v>
      </c>
      <c r="DS278" s="99">
        <f t="shared" ref="DS278" si="4814">DT253</f>
        <v>0</v>
      </c>
      <c r="DT278" s="99">
        <f t="shared" ref="DT278" si="4815">DU253</f>
        <v>0</v>
      </c>
      <c r="DU278" s="99">
        <f t="shared" ref="DU278" si="4816">DV253</f>
        <v>0</v>
      </c>
      <c r="DV278" s="99">
        <f t="shared" ref="DV278" si="4817">DW253</f>
        <v>0</v>
      </c>
      <c r="DW278" s="99">
        <f t="shared" ref="DW278" si="4818">DX253</f>
        <v>0</v>
      </c>
      <c r="DX278" s="99">
        <f t="shared" ref="DX278" si="4819">DY253</f>
        <v>0</v>
      </c>
      <c r="DY278" s="99">
        <f t="shared" ref="DY278" si="4820">DZ253</f>
        <v>0</v>
      </c>
      <c r="DZ278" s="99">
        <f t="shared" ref="DZ278" si="4821">EA253</f>
        <v>0</v>
      </c>
      <c r="EA278" s="99">
        <f t="shared" ref="EA278" si="4822">EB253</f>
        <v>0</v>
      </c>
      <c r="EB278" s="99">
        <f t="shared" ref="EB278" si="4823">EC253</f>
        <v>0</v>
      </c>
      <c r="EC278" s="99">
        <f t="shared" ref="EC278" si="4824">ED253</f>
        <v>0</v>
      </c>
      <c r="ED278" s="99">
        <f t="shared" ref="ED278" si="4825">EE253</f>
        <v>0</v>
      </c>
      <c r="EE278" s="99">
        <f t="shared" ref="EE278" si="4826">EF253</f>
        <v>0</v>
      </c>
      <c r="EF278" s="99">
        <f t="shared" ref="EF278" si="4827">EG253</f>
        <v>0</v>
      </c>
      <c r="EG278" s="99">
        <f t="shared" ref="EG278" si="4828">EH253</f>
        <v>0</v>
      </c>
      <c r="EH278" s="99">
        <f t="shared" ref="EH278" si="4829">EI253</f>
        <v>0</v>
      </c>
      <c r="EI278" s="99">
        <f t="shared" ref="EI278" si="4830">EJ253</f>
        <v>0</v>
      </c>
      <c r="EJ278" s="99">
        <f t="shared" ref="EJ278" si="4831">EK253</f>
        <v>0</v>
      </c>
      <c r="EK278" s="99">
        <f t="shared" ref="EK278" si="4832">EL253</f>
        <v>0</v>
      </c>
      <c r="EL278" s="99">
        <f t="shared" ref="EL278" si="4833">EM253</f>
        <v>0</v>
      </c>
      <c r="EM278" s="99">
        <f t="shared" ref="EM278" si="4834">EN253</f>
        <v>0</v>
      </c>
      <c r="EN278" s="99">
        <f t="shared" ref="EN278" si="4835">EO253</f>
        <v>0</v>
      </c>
      <c r="EO278" s="99">
        <f t="shared" ref="EO278" si="4836">EP253</f>
        <v>0</v>
      </c>
      <c r="EP278" s="99">
        <f t="shared" ref="EP278" si="4837">EQ253</f>
        <v>0</v>
      </c>
      <c r="EQ278" s="99">
        <f t="shared" ref="EQ278" si="4838">ER253</f>
        <v>0</v>
      </c>
      <c r="ER278" s="99">
        <f t="shared" ref="ER278" si="4839">ES253</f>
        <v>0</v>
      </c>
      <c r="ES278" s="99">
        <f t="shared" ref="ES278" si="4840">ET253</f>
        <v>0</v>
      </c>
      <c r="ET278" s="99">
        <f t="shared" ref="ET278" si="4841">EU253</f>
        <v>0</v>
      </c>
      <c r="EU278" s="99">
        <f t="shared" ref="EU278" si="4842">EV253</f>
        <v>0</v>
      </c>
      <c r="EV278" s="99">
        <f t="shared" ref="EV278" si="4843">EW253</f>
        <v>0</v>
      </c>
      <c r="EW278" s="99">
        <f t="shared" ref="EW278" si="4844">EX253</f>
        <v>0</v>
      </c>
      <c r="EX278" s="99">
        <f t="shared" ref="EX278" si="4845">EY253</f>
        <v>0</v>
      </c>
      <c r="EY278" s="99">
        <f t="shared" ref="EY278" si="4846">EZ253</f>
        <v>0</v>
      </c>
      <c r="EZ278" s="99">
        <f t="shared" ref="EZ278" si="4847">FA253</f>
        <v>0</v>
      </c>
      <c r="FA278" s="99">
        <f t="shared" ref="FA278" si="4848">FB253</f>
        <v>0</v>
      </c>
      <c r="FB278" s="99">
        <f t="shared" ref="FB278" si="4849">FC253</f>
        <v>0</v>
      </c>
      <c r="FC278" s="99">
        <f t="shared" ref="FC278" si="4850">FD253</f>
        <v>0</v>
      </c>
      <c r="FD278" s="99">
        <f t="shared" ref="FD278" si="4851">FE253</f>
        <v>0</v>
      </c>
      <c r="FE278" s="99">
        <f t="shared" ref="FE278" si="4852">FF253</f>
        <v>0</v>
      </c>
      <c r="FF278" s="99">
        <f t="shared" ref="FF278" si="4853">FG253</f>
        <v>0</v>
      </c>
      <c r="FG278" s="99">
        <f t="shared" ref="FG278" si="4854">FH253</f>
        <v>0</v>
      </c>
      <c r="FH278" s="99">
        <f t="shared" ref="FH278" si="4855">FI253</f>
        <v>0</v>
      </c>
      <c r="FI278" s="99">
        <f t="shared" ref="FI278" si="4856">FJ253</f>
        <v>0</v>
      </c>
      <c r="FJ278" s="99">
        <f t="shared" ref="FJ278" si="4857">FK253</f>
        <v>0</v>
      </c>
      <c r="FK278" s="99">
        <f t="shared" ref="FK278" si="4858">FL253</f>
        <v>0</v>
      </c>
      <c r="FL278" s="99">
        <f t="shared" ref="FL278" si="4859">FM253</f>
        <v>0</v>
      </c>
      <c r="FM278" s="99">
        <f t="shared" ref="FM278" si="4860">FN253</f>
        <v>0</v>
      </c>
      <c r="FN278" s="99">
        <f t="shared" ref="FN278" si="4861">FO253</f>
        <v>0</v>
      </c>
      <c r="FO278" s="99">
        <f t="shared" ref="FO278" si="4862">FP253</f>
        <v>0</v>
      </c>
      <c r="FP278" s="99">
        <f t="shared" ref="FP278" si="4863">FQ253</f>
        <v>0</v>
      </c>
      <c r="FQ278" s="99">
        <f t="shared" ref="FQ278" si="4864">FR253</f>
        <v>0</v>
      </c>
      <c r="FR278" s="99">
        <f t="shared" ref="FR278" si="4865">FS253</f>
        <v>0</v>
      </c>
      <c r="FS278" s="99">
        <f t="shared" ref="FS278" si="4866">FT253</f>
        <v>0</v>
      </c>
      <c r="FT278" s="99">
        <f t="shared" ref="FT278" si="4867">FU253</f>
        <v>0</v>
      </c>
      <c r="FU278" s="99">
        <f t="shared" ref="FU278" si="4868">FV253</f>
        <v>0</v>
      </c>
      <c r="FV278" s="99">
        <f t="shared" ref="FV278" si="4869">FW253</f>
        <v>0</v>
      </c>
      <c r="FW278" s="99">
        <f t="shared" ref="FW278" si="4870">FX253</f>
        <v>0</v>
      </c>
      <c r="FX278" s="99">
        <f t="shared" ref="FX278" si="4871">FY253</f>
        <v>0</v>
      </c>
      <c r="FY278" s="99">
        <f t="shared" ref="FY278" si="4872">FZ253</f>
        <v>0</v>
      </c>
      <c r="FZ278" s="100"/>
    </row>
    <row r="279" spans="1:184" x14ac:dyDescent="0.2"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  <c r="BK279" s="59"/>
      <c r="BL279" s="59"/>
      <c r="BM279" s="59"/>
      <c r="BN279" s="59"/>
      <c r="BO279" s="59"/>
      <c r="BP279" s="59"/>
      <c r="BQ279" s="59"/>
      <c r="BR279" s="59"/>
      <c r="BS279" s="59"/>
      <c r="BT279" s="59"/>
      <c r="BU279" s="59"/>
      <c r="BV279" s="59"/>
      <c r="BW279" s="59"/>
      <c r="BX279" s="59"/>
      <c r="BY279" s="59"/>
      <c r="BZ279" s="59"/>
      <c r="CA279" s="59"/>
      <c r="CB279" s="59"/>
      <c r="CC279" s="59"/>
      <c r="CD279" s="59"/>
      <c r="CE279" s="59"/>
      <c r="CF279" s="59"/>
      <c r="CG279" s="59"/>
      <c r="CH279" s="59"/>
      <c r="CI279" s="59"/>
      <c r="CJ279" s="59"/>
      <c r="CK279" s="59"/>
      <c r="CL279" s="59"/>
      <c r="CM279" s="59"/>
      <c r="CN279" s="59"/>
      <c r="CO279" s="59"/>
      <c r="CP279" s="59"/>
      <c r="CQ279" s="59"/>
      <c r="CR279" s="59"/>
      <c r="CS279" s="59"/>
      <c r="CT279" s="59"/>
      <c r="CU279" s="59"/>
      <c r="CV279" s="59"/>
      <c r="CW279" s="59"/>
      <c r="CX279" s="59"/>
      <c r="CY279" s="59"/>
      <c r="CZ279" s="59"/>
      <c r="DA279" s="59"/>
      <c r="DB279" s="59"/>
      <c r="DC279" s="59"/>
      <c r="DD279" s="59"/>
      <c r="DE279" s="59"/>
      <c r="DF279" s="59"/>
      <c r="DG279" s="59"/>
      <c r="DH279" s="59"/>
      <c r="DI279" s="59"/>
      <c r="DJ279" s="59"/>
      <c r="DK279" s="59"/>
      <c r="DL279" s="59"/>
      <c r="DM279" s="59"/>
      <c r="DN279" s="59"/>
      <c r="DO279" s="59"/>
      <c r="DP279" s="59"/>
      <c r="DQ279" s="59"/>
      <c r="DR279" s="59"/>
      <c r="DS279" s="59"/>
      <c r="DT279" s="59"/>
      <c r="DU279" s="59"/>
      <c r="DV279" s="59"/>
      <c r="DW279" s="59"/>
      <c r="DX279" s="59"/>
      <c r="DY279" s="59"/>
      <c r="DZ279" s="59"/>
      <c r="EA279" s="59"/>
      <c r="EB279" s="59"/>
      <c r="EC279" s="59"/>
      <c r="ED279" s="59"/>
      <c r="EE279" s="59"/>
      <c r="EF279" s="59"/>
      <c r="EG279" s="59"/>
      <c r="EH279" s="59"/>
      <c r="EI279" s="59"/>
      <c r="EJ279" s="59"/>
      <c r="EK279" s="59"/>
      <c r="EL279" s="59"/>
      <c r="EM279" s="59"/>
      <c r="EN279" s="59"/>
      <c r="EO279" s="59"/>
      <c r="EP279" s="59"/>
      <c r="EQ279" s="59"/>
      <c r="ER279" s="59"/>
      <c r="ES279" s="59"/>
      <c r="ET279" s="59"/>
      <c r="EU279" s="59"/>
      <c r="EV279" s="59"/>
      <c r="EW279" s="59"/>
      <c r="EX279" s="59"/>
      <c r="EY279" s="59"/>
      <c r="EZ279" s="59"/>
      <c r="FA279" s="59"/>
      <c r="FB279" s="59"/>
      <c r="FC279" s="59"/>
      <c r="FD279" s="59"/>
      <c r="FE279" s="59"/>
      <c r="FF279" s="59"/>
      <c r="FG279" s="59"/>
      <c r="FH279" s="59"/>
      <c r="FI279" s="59"/>
      <c r="FJ279" s="59"/>
      <c r="FK279" s="59"/>
      <c r="FL279" s="59"/>
      <c r="FM279" s="59"/>
      <c r="FN279" s="59"/>
      <c r="FO279" s="59"/>
      <c r="FP279" s="59"/>
      <c r="FQ279" s="59"/>
      <c r="FR279" s="59"/>
      <c r="FS279" s="59"/>
      <c r="FT279" s="59"/>
      <c r="FU279" s="59"/>
      <c r="FV279" s="59"/>
      <c r="FW279" s="59"/>
      <c r="FX279" s="59"/>
      <c r="FY279" s="59"/>
      <c r="FZ279" s="59"/>
    </row>
    <row r="280" spans="1:184" x14ac:dyDescent="0.2">
      <c r="A280" s="91" t="s">
        <v>218</v>
      </c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  <c r="BK280" s="59"/>
      <c r="BL280" s="59"/>
      <c r="BM280" s="59"/>
      <c r="BN280" s="59"/>
      <c r="BO280" s="59"/>
      <c r="BP280" s="59"/>
      <c r="BQ280" s="59"/>
      <c r="BR280" s="59"/>
      <c r="BS280" s="59"/>
      <c r="BT280" s="59"/>
      <c r="BU280" s="59"/>
      <c r="BV280" s="59"/>
      <c r="BW280" s="59"/>
      <c r="BX280" s="59"/>
      <c r="BY280" s="59"/>
      <c r="BZ280" s="59"/>
      <c r="CA280" s="59"/>
      <c r="CB280" s="59"/>
      <c r="CC280" s="59"/>
      <c r="CD280" s="59"/>
      <c r="CE280" s="59"/>
      <c r="CF280" s="59"/>
      <c r="CG280" s="59"/>
      <c r="CH280" s="59"/>
      <c r="CI280" s="59"/>
      <c r="CJ280" s="59"/>
      <c r="CK280" s="59"/>
      <c r="CL280" s="59"/>
      <c r="CM280" s="59"/>
      <c r="CN280" s="59"/>
      <c r="CO280" s="59"/>
      <c r="CP280" s="59"/>
      <c r="CQ280" s="59"/>
      <c r="CR280" s="59"/>
      <c r="CS280" s="59"/>
      <c r="CT280" s="59"/>
      <c r="CU280" s="59"/>
      <c r="CV280" s="59"/>
      <c r="CW280" s="59"/>
      <c r="CX280" s="59"/>
      <c r="CY280" s="59"/>
      <c r="CZ280" s="59"/>
      <c r="DA280" s="59"/>
      <c r="DB280" s="59"/>
      <c r="DC280" s="59"/>
      <c r="DD280" s="59"/>
      <c r="DE280" s="59"/>
      <c r="DF280" s="59"/>
      <c r="DG280" s="59"/>
      <c r="DH280" s="59"/>
      <c r="DI280" s="59"/>
      <c r="DJ280" s="59"/>
      <c r="DK280" s="59"/>
      <c r="DL280" s="59"/>
      <c r="DM280" s="59"/>
      <c r="DN280" s="59"/>
      <c r="DO280" s="59"/>
      <c r="DP280" s="59"/>
      <c r="DQ280" s="59"/>
      <c r="DR280" s="59"/>
      <c r="DS280" s="59"/>
      <c r="DT280" s="59"/>
      <c r="DU280" s="59"/>
      <c r="DV280" s="59"/>
      <c r="DW280" s="59"/>
      <c r="DX280" s="59"/>
      <c r="DY280" s="59"/>
      <c r="DZ280" s="59"/>
      <c r="EA280" s="59"/>
      <c r="EB280" s="59"/>
      <c r="EC280" s="59"/>
      <c r="ED280" s="59"/>
      <c r="EE280" s="59"/>
      <c r="EF280" s="59"/>
      <c r="EG280" s="59"/>
      <c r="EH280" s="59"/>
      <c r="EI280" s="59"/>
      <c r="EJ280" s="59"/>
      <c r="EK280" s="59"/>
      <c r="EL280" s="59"/>
      <c r="EM280" s="59"/>
      <c r="EN280" s="59"/>
      <c r="EO280" s="59"/>
      <c r="EP280" s="59"/>
      <c r="EQ280" s="59"/>
      <c r="ER280" s="59"/>
      <c r="ES280" s="59"/>
      <c r="ET280" s="59"/>
      <c r="EU280" s="59"/>
      <c r="EV280" s="59"/>
      <c r="EW280" s="59"/>
      <c r="EX280" s="59"/>
      <c r="EY280" s="59"/>
      <c r="EZ280" s="59"/>
      <c r="FA280" s="59"/>
      <c r="FB280" s="59"/>
      <c r="FC280" s="59"/>
      <c r="FD280" s="59"/>
      <c r="FE280" s="59"/>
      <c r="FF280" s="59"/>
      <c r="FG280" s="59"/>
      <c r="FH280" s="59"/>
      <c r="FI280" s="59"/>
      <c r="FJ280" s="59"/>
      <c r="FK280" s="59"/>
      <c r="FL280" s="59"/>
      <c r="FM280" s="59"/>
      <c r="FN280" s="59"/>
      <c r="FO280" s="59"/>
      <c r="FP280" s="59"/>
      <c r="FQ280" s="59"/>
      <c r="FR280" s="59"/>
      <c r="FS280" s="59"/>
      <c r="FT280" s="59"/>
      <c r="FU280" s="59"/>
      <c r="FV280" s="59"/>
      <c r="FW280" s="59"/>
      <c r="FX280" s="59"/>
      <c r="FY280" s="59"/>
    </row>
    <row r="281" spans="1:184" x14ac:dyDescent="0.2">
      <c r="A281" s="66" t="s">
        <v>219</v>
      </c>
      <c r="B281" s="67">
        <f>MAX(B215:FY215)</f>
        <v>2849.4615063997917</v>
      </c>
      <c r="C281" s="65">
        <f>B292</f>
        <v>2719.0774143267922</v>
      </c>
      <c r="D281" s="65">
        <f t="shared" ref="D281:BO281" si="4873">C292</f>
        <v>2590.574180237978</v>
      </c>
      <c r="E281" s="65">
        <f t="shared" si="4873"/>
        <v>2464.027501250629</v>
      </c>
      <c r="F281" s="65">
        <f t="shared" si="4873"/>
        <v>2339.5148339398079</v>
      </c>
      <c r="G281" s="65">
        <f t="shared" si="4873"/>
        <v>2217.1154255873785</v>
      </c>
      <c r="H281" s="65">
        <f t="shared" si="4873"/>
        <v>2096.9104819216745</v>
      </c>
      <c r="I281" s="65">
        <f t="shared" si="4873"/>
        <v>1978.9829396809412</v>
      </c>
      <c r="J281" s="65">
        <f t="shared" si="4873"/>
        <v>1863.4176404479474</v>
      </c>
      <c r="K281" s="65">
        <f t="shared" si="4873"/>
        <v>1750.3013703389124</v>
      </c>
      <c r="L281" s="65">
        <f t="shared" si="4873"/>
        <v>1639.7229005011063</v>
      </c>
      <c r="M281" s="65">
        <f t="shared" si="4873"/>
        <v>1531.7730284340837</v>
      </c>
      <c r="N281" s="65">
        <f t="shared" si="4873"/>
        <v>1426.5446201526993</v>
      </c>
      <c r="O281" s="65">
        <f t="shared" si="4873"/>
        <v>1324.1327629660982</v>
      </c>
      <c r="P281" s="65">
        <f t="shared" si="4873"/>
        <v>1224.6356375487489</v>
      </c>
      <c r="Q281" s="65">
        <f t="shared" si="4873"/>
        <v>1128.1525176718228</v>
      </c>
      <c r="R281" s="65">
        <f t="shared" si="4873"/>
        <v>1034.7849094839485</v>
      </c>
      <c r="S281" s="65">
        <f t="shared" si="4873"/>
        <v>944.63660811284444</v>
      </c>
      <c r="T281" s="65">
        <f t="shared" si="4873"/>
        <v>857.81374513381684</v>
      </c>
      <c r="U281" s="65">
        <f t="shared" si="4873"/>
        <v>774.42483700373009</v>
      </c>
      <c r="V281" s="65">
        <f t="shared" si="4873"/>
        <v>694.58083448023342</v>
      </c>
      <c r="W281" s="65">
        <f t="shared" si="4873"/>
        <v>618.39525367754618</v>
      </c>
      <c r="X281" s="65">
        <f t="shared" si="4873"/>
        <v>545.984058382017</v>
      </c>
      <c r="Y281" s="65">
        <f t="shared" si="4873"/>
        <v>477.46580067522757</v>
      </c>
      <c r="Z281" s="65">
        <f t="shared" si="4873"/>
        <v>412.96167448109071</v>
      </c>
      <c r="AA281" s="65">
        <f t="shared" si="4873"/>
        <v>352.59557020469259</v>
      </c>
      <c r="AB281" s="65">
        <f t="shared" si="4873"/>
        <v>296.49470743643599</v>
      </c>
      <c r="AC281" s="65">
        <f t="shared" si="4873"/>
        <v>244.78845956682508</v>
      </c>
      <c r="AD281" s="65">
        <f t="shared" si="4873"/>
        <v>197.6090501608769</v>
      </c>
      <c r="AE281" s="65">
        <f t="shared" si="4873"/>
        <v>155.09162487402568</v>
      </c>
      <c r="AF281" s="65">
        <f t="shared" si="4873"/>
        <v>117.37435115105059</v>
      </c>
      <c r="AG281" s="65">
        <f t="shared" si="4873"/>
        <v>84.598390662460105</v>
      </c>
      <c r="AH281" s="65">
        <f t="shared" si="4873"/>
        <v>56.908011268652345</v>
      </c>
      <c r="AI281" s="65">
        <f t="shared" si="4873"/>
        <v>34.45065103595438</v>
      </c>
      <c r="AJ281" s="65">
        <f t="shared" si="4873"/>
        <v>17.376983553017283</v>
      </c>
      <c r="AK281" s="65">
        <f t="shared" si="4873"/>
        <v>5.8409845716587157</v>
      </c>
      <c r="AL281" s="65">
        <f t="shared" si="4873"/>
        <v>0</v>
      </c>
      <c r="AM281" s="65">
        <f t="shared" si="4873"/>
        <v>0</v>
      </c>
      <c r="AN281" s="65">
        <f t="shared" si="4873"/>
        <v>0</v>
      </c>
      <c r="AO281" s="65">
        <f t="shared" si="4873"/>
        <v>0</v>
      </c>
      <c r="AP281" s="65">
        <f t="shared" si="4873"/>
        <v>0</v>
      </c>
      <c r="AQ281" s="65">
        <f t="shared" si="4873"/>
        <v>0</v>
      </c>
      <c r="AR281" s="65">
        <f t="shared" si="4873"/>
        <v>0</v>
      </c>
      <c r="AS281" s="65">
        <f t="shared" si="4873"/>
        <v>0</v>
      </c>
      <c r="AT281" s="65">
        <f t="shared" si="4873"/>
        <v>0</v>
      </c>
      <c r="AU281" s="65">
        <f t="shared" si="4873"/>
        <v>0</v>
      </c>
      <c r="AV281" s="65">
        <f t="shared" si="4873"/>
        <v>0</v>
      </c>
      <c r="AW281" s="65">
        <f t="shared" si="4873"/>
        <v>0</v>
      </c>
      <c r="AX281" s="65">
        <f t="shared" si="4873"/>
        <v>0</v>
      </c>
      <c r="AY281" s="65">
        <f t="shared" si="4873"/>
        <v>0</v>
      </c>
      <c r="AZ281" s="65">
        <f t="shared" si="4873"/>
        <v>0</v>
      </c>
      <c r="BA281" s="65">
        <f t="shared" si="4873"/>
        <v>0</v>
      </c>
      <c r="BB281" s="65">
        <f t="shared" si="4873"/>
        <v>0</v>
      </c>
      <c r="BC281" s="65">
        <f t="shared" si="4873"/>
        <v>0</v>
      </c>
      <c r="BD281" s="65">
        <f t="shared" si="4873"/>
        <v>0</v>
      </c>
      <c r="BE281" s="65">
        <f t="shared" si="4873"/>
        <v>0</v>
      </c>
      <c r="BF281" s="65">
        <f t="shared" si="4873"/>
        <v>0</v>
      </c>
      <c r="BG281" s="65">
        <f t="shared" si="4873"/>
        <v>0</v>
      </c>
      <c r="BH281" s="65">
        <f t="shared" si="4873"/>
        <v>0</v>
      </c>
      <c r="BI281" s="65">
        <f t="shared" si="4873"/>
        <v>0</v>
      </c>
      <c r="BJ281" s="65">
        <f t="shared" si="4873"/>
        <v>0</v>
      </c>
      <c r="BK281" s="65">
        <f t="shared" si="4873"/>
        <v>0</v>
      </c>
      <c r="BL281" s="65">
        <f t="shared" si="4873"/>
        <v>0</v>
      </c>
      <c r="BM281" s="65">
        <f t="shared" si="4873"/>
        <v>0</v>
      </c>
      <c r="BN281" s="65">
        <f t="shared" si="4873"/>
        <v>0</v>
      </c>
      <c r="BO281" s="65">
        <f t="shared" si="4873"/>
        <v>0</v>
      </c>
      <c r="BP281" s="65">
        <f t="shared" ref="BP281:EA281" si="4874">BO292</f>
        <v>0</v>
      </c>
      <c r="BQ281" s="65">
        <f t="shared" si="4874"/>
        <v>0</v>
      </c>
      <c r="BR281" s="65">
        <f t="shared" si="4874"/>
        <v>0</v>
      </c>
      <c r="BS281" s="65">
        <f t="shared" si="4874"/>
        <v>0</v>
      </c>
      <c r="BT281" s="65">
        <f t="shared" si="4874"/>
        <v>0</v>
      </c>
      <c r="BU281" s="65">
        <f t="shared" si="4874"/>
        <v>0</v>
      </c>
      <c r="BV281" s="65">
        <f t="shared" si="4874"/>
        <v>0</v>
      </c>
      <c r="BW281" s="65">
        <f t="shared" si="4874"/>
        <v>0</v>
      </c>
      <c r="BX281" s="65">
        <f t="shared" si="4874"/>
        <v>0</v>
      </c>
      <c r="BY281" s="65">
        <f t="shared" si="4874"/>
        <v>0</v>
      </c>
      <c r="BZ281" s="65">
        <f t="shared" si="4874"/>
        <v>0</v>
      </c>
      <c r="CA281" s="65">
        <f t="shared" si="4874"/>
        <v>0</v>
      </c>
      <c r="CB281" s="65">
        <f t="shared" si="4874"/>
        <v>0</v>
      </c>
      <c r="CC281" s="65">
        <f t="shared" si="4874"/>
        <v>0</v>
      </c>
      <c r="CD281" s="65">
        <f t="shared" si="4874"/>
        <v>0</v>
      </c>
      <c r="CE281" s="65">
        <f t="shared" si="4874"/>
        <v>0</v>
      </c>
      <c r="CF281" s="65">
        <f t="shared" si="4874"/>
        <v>0</v>
      </c>
      <c r="CG281" s="65">
        <f t="shared" si="4874"/>
        <v>0</v>
      </c>
      <c r="CH281" s="65">
        <f t="shared" si="4874"/>
        <v>0</v>
      </c>
      <c r="CI281" s="65">
        <f t="shared" si="4874"/>
        <v>0</v>
      </c>
      <c r="CJ281" s="65">
        <f t="shared" si="4874"/>
        <v>0</v>
      </c>
      <c r="CK281" s="65">
        <f t="shared" si="4874"/>
        <v>0</v>
      </c>
      <c r="CL281" s="65">
        <f t="shared" si="4874"/>
        <v>0</v>
      </c>
      <c r="CM281" s="65">
        <f t="shared" si="4874"/>
        <v>0</v>
      </c>
      <c r="CN281" s="65">
        <f t="shared" si="4874"/>
        <v>0</v>
      </c>
      <c r="CO281" s="65">
        <f t="shared" si="4874"/>
        <v>0</v>
      </c>
      <c r="CP281" s="65">
        <f t="shared" si="4874"/>
        <v>0</v>
      </c>
      <c r="CQ281" s="65">
        <f t="shared" si="4874"/>
        <v>0</v>
      </c>
      <c r="CR281" s="65">
        <f t="shared" si="4874"/>
        <v>0</v>
      </c>
      <c r="CS281" s="65">
        <f t="shared" si="4874"/>
        <v>0</v>
      </c>
      <c r="CT281" s="65">
        <f t="shared" si="4874"/>
        <v>0</v>
      </c>
      <c r="CU281" s="65">
        <f t="shared" si="4874"/>
        <v>0</v>
      </c>
      <c r="CV281" s="65">
        <f t="shared" si="4874"/>
        <v>0</v>
      </c>
      <c r="CW281" s="65">
        <f t="shared" si="4874"/>
        <v>0</v>
      </c>
      <c r="CX281" s="65">
        <f t="shared" si="4874"/>
        <v>0</v>
      </c>
      <c r="CY281" s="65">
        <f t="shared" si="4874"/>
        <v>0</v>
      </c>
      <c r="CZ281" s="65">
        <f t="shared" si="4874"/>
        <v>0</v>
      </c>
      <c r="DA281" s="65">
        <f t="shared" si="4874"/>
        <v>0</v>
      </c>
      <c r="DB281" s="65">
        <f t="shared" si="4874"/>
        <v>0</v>
      </c>
      <c r="DC281" s="65">
        <f t="shared" si="4874"/>
        <v>0</v>
      </c>
      <c r="DD281" s="65">
        <f t="shared" si="4874"/>
        <v>0</v>
      </c>
      <c r="DE281" s="65">
        <f t="shared" si="4874"/>
        <v>0</v>
      </c>
      <c r="DF281" s="65">
        <f t="shared" si="4874"/>
        <v>0</v>
      </c>
      <c r="DG281" s="65">
        <f t="shared" si="4874"/>
        <v>0</v>
      </c>
      <c r="DH281" s="65">
        <f t="shared" si="4874"/>
        <v>0</v>
      </c>
      <c r="DI281" s="65">
        <f t="shared" si="4874"/>
        <v>0</v>
      </c>
      <c r="DJ281" s="65">
        <f t="shared" si="4874"/>
        <v>0</v>
      </c>
      <c r="DK281" s="65">
        <f t="shared" si="4874"/>
        <v>0</v>
      </c>
      <c r="DL281" s="65">
        <f t="shared" si="4874"/>
        <v>0</v>
      </c>
      <c r="DM281" s="65">
        <f t="shared" si="4874"/>
        <v>0</v>
      </c>
      <c r="DN281" s="65">
        <f t="shared" si="4874"/>
        <v>0</v>
      </c>
      <c r="DO281" s="65">
        <f t="shared" si="4874"/>
        <v>0</v>
      </c>
      <c r="DP281" s="65">
        <f t="shared" si="4874"/>
        <v>0</v>
      </c>
      <c r="DQ281" s="65">
        <f t="shared" si="4874"/>
        <v>0</v>
      </c>
      <c r="DR281" s="65">
        <f t="shared" si="4874"/>
        <v>0</v>
      </c>
      <c r="DS281" s="65">
        <f t="shared" si="4874"/>
        <v>0</v>
      </c>
      <c r="DT281" s="65">
        <f t="shared" si="4874"/>
        <v>0</v>
      </c>
      <c r="DU281" s="65">
        <f t="shared" si="4874"/>
        <v>0</v>
      </c>
      <c r="DV281" s="65">
        <f t="shared" si="4874"/>
        <v>0</v>
      </c>
      <c r="DW281" s="65">
        <f t="shared" si="4874"/>
        <v>0</v>
      </c>
      <c r="DX281" s="65">
        <f t="shared" si="4874"/>
        <v>0</v>
      </c>
      <c r="DY281" s="65">
        <f t="shared" si="4874"/>
        <v>0</v>
      </c>
      <c r="DZ281" s="65">
        <f t="shared" si="4874"/>
        <v>0</v>
      </c>
      <c r="EA281" s="65">
        <f t="shared" si="4874"/>
        <v>0</v>
      </c>
      <c r="EB281" s="65">
        <f t="shared" ref="EB281:FY281" si="4875">EA292</f>
        <v>0</v>
      </c>
      <c r="EC281" s="65">
        <f t="shared" si="4875"/>
        <v>0</v>
      </c>
      <c r="ED281" s="65">
        <f t="shared" si="4875"/>
        <v>0</v>
      </c>
      <c r="EE281" s="65">
        <f t="shared" si="4875"/>
        <v>0</v>
      </c>
      <c r="EF281" s="65">
        <f t="shared" si="4875"/>
        <v>0</v>
      </c>
      <c r="EG281" s="65">
        <f t="shared" si="4875"/>
        <v>0</v>
      </c>
      <c r="EH281" s="65">
        <f t="shared" si="4875"/>
        <v>0</v>
      </c>
      <c r="EI281" s="65">
        <f t="shared" si="4875"/>
        <v>0</v>
      </c>
      <c r="EJ281" s="65">
        <f t="shared" si="4875"/>
        <v>0</v>
      </c>
      <c r="EK281" s="65">
        <f t="shared" si="4875"/>
        <v>0</v>
      </c>
      <c r="EL281" s="65">
        <f t="shared" si="4875"/>
        <v>0</v>
      </c>
      <c r="EM281" s="65">
        <f t="shared" si="4875"/>
        <v>0</v>
      </c>
      <c r="EN281" s="65">
        <f t="shared" si="4875"/>
        <v>0</v>
      </c>
      <c r="EO281" s="65">
        <f t="shared" si="4875"/>
        <v>0</v>
      </c>
      <c r="EP281" s="65">
        <f t="shared" si="4875"/>
        <v>0</v>
      </c>
      <c r="EQ281" s="65">
        <f t="shared" si="4875"/>
        <v>0</v>
      </c>
      <c r="ER281" s="65">
        <f t="shared" si="4875"/>
        <v>0</v>
      </c>
      <c r="ES281" s="65">
        <f t="shared" si="4875"/>
        <v>0</v>
      </c>
      <c r="ET281" s="65">
        <f t="shared" si="4875"/>
        <v>0</v>
      </c>
      <c r="EU281" s="65">
        <f t="shared" si="4875"/>
        <v>0</v>
      </c>
      <c r="EV281" s="65">
        <f t="shared" si="4875"/>
        <v>0</v>
      </c>
      <c r="EW281" s="65">
        <f t="shared" si="4875"/>
        <v>0</v>
      </c>
      <c r="EX281" s="65">
        <f t="shared" si="4875"/>
        <v>0</v>
      </c>
      <c r="EY281" s="65">
        <f t="shared" si="4875"/>
        <v>0</v>
      </c>
      <c r="EZ281" s="65">
        <f t="shared" si="4875"/>
        <v>0</v>
      </c>
      <c r="FA281" s="65">
        <f t="shared" si="4875"/>
        <v>0</v>
      </c>
      <c r="FB281" s="65">
        <f t="shared" si="4875"/>
        <v>0</v>
      </c>
      <c r="FC281" s="65">
        <f t="shared" si="4875"/>
        <v>0</v>
      </c>
      <c r="FD281" s="65">
        <f t="shared" si="4875"/>
        <v>0</v>
      </c>
      <c r="FE281" s="65">
        <f t="shared" si="4875"/>
        <v>0</v>
      </c>
      <c r="FF281" s="65">
        <f t="shared" si="4875"/>
        <v>0</v>
      </c>
      <c r="FG281" s="65">
        <f t="shared" si="4875"/>
        <v>0</v>
      </c>
      <c r="FH281" s="65">
        <f t="shared" si="4875"/>
        <v>0</v>
      </c>
      <c r="FI281" s="65">
        <f t="shared" si="4875"/>
        <v>0</v>
      </c>
      <c r="FJ281" s="65">
        <f t="shared" si="4875"/>
        <v>0</v>
      </c>
      <c r="FK281" s="65">
        <f t="shared" si="4875"/>
        <v>0</v>
      </c>
      <c r="FL281" s="65">
        <f t="shared" si="4875"/>
        <v>0</v>
      </c>
      <c r="FM281" s="65">
        <f t="shared" si="4875"/>
        <v>0</v>
      </c>
      <c r="FN281" s="65">
        <f t="shared" si="4875"/>
        <v>0</v>
      </c>
      <c r="FO281" s="65">
        <f t="shared" si="4875"/>
        <v>0</v>
      </c>
      <c r="FP281" s="65">
        <f t="shared" si="4875"/>
        <v>0</v>
      </c>
      <c r="FQ281" s="65">
        <f t="shared" si="4875"/>
        <v>0</v>
      </c>
      <c r="FR281" s="65">
        <f t="shared" si="4875"/>
        <v>0</v>
      </c>
      <c r="FS281" s="65">
        <f t="shared" si="4875"/>
        <v>0</v>
      </c>
      <c r="FT281" s="65">
        <f t="shared" si="4875"/>
        <v>0</v>
      </c>
      <c r="FU281" s="65">
        <f t="shared" si="4875"/>
        <v>0</v>
      </c>
      <c r="FV281" s="65">
        <f t="shared" si="4875"/>
        <v>0</v>
      </c>
      <c r="FW281" s="65">
        <f t="shared" si="4875"/>
        <v>0</v>
      </c>
      <c r="FX281" s="65">
        <f t="shared" si="4875"/>
        <v>0</v>
      </c>
      <c r="FY281" s="65">
        <f t="shared" si="4875"/>
        <v>0</v>
      </c>
      <c r="FZ281" s="59"/>
    </row>
    <row r="282" spans="1:184" x14ac:dyDescent="0.2">
      <c r="A282" s="92" t="s">
        <v>220</v>
      </c>
      <c r="B282" s="93">
        <f>(B281)*B99</f>
        <v>12.447860664994499</v>
      </c>
      <c r="C282" s="93">
        <f t="shared" ref="C282" si="4876">(C281)*C99</f>
        <v>11.878278304463816</v>
      </c>
      <c r="D282" s="93">
        <f t="shared" ref="D282:BO282" si="4877">(D281)*D99</f>
        <v>11.316912464165181</v>
      </c>
      <c r="E282" s="93">
        <f t="shared" si="4877"/>
        <v>10.764093826638623</v>
      </c>
      <c r="F282" s="93">
        <f t="shared" si="4877"/>
        <v>10.220160760608126</v>
      </c>
      <c r="G282" s="93">
        <f t="shared" si="4877"/>
        <v>9.6854594574928434</v>
      </c>
      <c r="H282" s="93">
        <f t="shared" si="4877"/>
        <v>9.1603446641771349</v>
      </c>
      <c r="I282" s="93">
        <f t="shared" si="4877"/>
        <v>8.6451786894549123</v>
      </c>
      <c r="J282" s="93">
        <f t="shared" si="4877"/>
        <v>8.140332163425418</v>
      </c>
      <c r="K282" s="93">
        <f t="shared" si="4877"/>
        <v>7.6461842108741358</v>
      </c>
      <c r="L282" s="93">
        <f t="shared" si="4877"/>
        <v>7.1631226281863851</v>
      </c>
      <c r="M282" s="93">
        <f t="shared" si="4877"/>
        <v>6.6915440638589585</v>
      </c>
      <c r="N282" s="93">
        <f t="shared" si="4877"/>
        <v>6.2318542026890817</v>
      </c>
      <c r="O282" s="93">
        <f t="shared" si="4877"/>
        <v>5.7844684331887919</v>
      </c>
      <c r="P282" s="93">
        <f t="shared" si="4877"/>
        <v>5.3498156572235933</v>
      </c>
      <c r="Q282" s="93">
        <f t="shared" si="4877"/>
        <v>4.9283295518473622</v>
      </c>
      <c r="R282" s="93">
        <f t="shared" si="4877"/>
        <v>4.5204535462455535</v>
      </c>
      <c r="S282" s="93">
        <f t="shared" si="4877"/>
        <v>4.1266410689991977</v>
      </c>
      <c r="T282" s="93">
        <f t="shared" si="4877"/>
        <v>3.7473557554508314</v>
      </c>
      <c r="U282" s="93">
        <f t="shared" si="4877"/>
        <v>3.3830716592880985</v>
      </c>
      <c r="V282" s="93">
        <f t="shared" si="4877"/>
        <v>3.0342734684314334</v>
      </c>
      <c r="W282" s="93">
        <f t="shared" si="4877"/>
        <v>2.701457077550709</v>
      </c>
      <c r="X282" s="93">
        <f t="shared" si="4877"/>
        <v>2.3851290739612523</v>
      </c>
      <c r="Y282" s="93">
        <f t="shared" si="4877"/>
        <v>2.0858073519352822</v>
      </c>
      <c r="Z282" s="93">
        <f t="shared" si="4877"/>
        <v>1.8040213466221848</v>
      </c>
      <c r="AA282" s="93">
        <f t="shared" si="4877"/>
        <v>1.5403122727380671</v>
      </c>
      <c r="AB282" s="93">
        <f t="shared" si="4877"/>
        <v>1.295235888531157</v>
      </c>
      <c r="AC282" s="93">
        <f t="shared" si="4877"/>
        <v>1.0693573611164124</v>
      </c>
      <c r="AD282" s="93">
        <f t="shared" si="4877"/>
        <v>0.86325430858422081</v>
      </c>
      <c r="AE282" s="93">
        <f t="shared" si="4877"/>
        <v>0.67751711416472848</v>
      </c>
      <c r="AF282" s="93">
        <f t="shared" si="4877"/>
        <v>0.51274936176218744</v>
      </c>
      <c r="AG282" s="93">
        <f t="shared" si="4877"/>
        <v>0.36956771554341711</v>
      </c>
      <c r="AH282" s="93">
        <f t="shared" si="4877"/>
        <v>0.24860240905276931</v>
      </c>
      <c r="AI282" s="93">
        <f t="shared" si="4877"/>
        <v>0.15049752486592843</v>
      </c>
      <c r="AJ282" s="93">
        <f t="shared" si="4877"/>
        <v>7.5911279924309849E-2</v>
      </c>
      <c r="AK282" s="93">
        <f t="shared" si="4877"/>
        <v>2.5516316655301768E-2</v>
      </c>
      <c r="AL282" s="93">
        <f t="shared" si="4877"/>
        <v>0</v>
      </c>
      <c r="AM282" s="93">
        <f t="shared" si="4877"/>
        <v>0</v>
      </c>
      <c r="AN282" s="93">
        <f t="shared" si="4877"/>
        <v>0</v>
      </c>
      <c r="AO282" s="93">
        <f t="shared" si="4877"/>
        <v>0</v>
      </c>
      <c r="AP282" s="93">
        <f t="shared" si="4877"/>
        <v>0</v>
      </c>
      <c r="AQ282" s="93">
        <f t="shared" si="4877"/>
        <v>0</v>
      </c>
      <c r="AR282" s="93">
        <f t="shared" si="4877"/>
        <v>0</v>
      </c>
      <c r="AS282" s="93">
        <f t="shared" si="4877"/>
        <v>0</v>
      </c>
      <c r="AT282" s="93">
        <f t="shared" si="4877"/>
        <v>0</v>
      </c>
      <c r="AU282" s="93">
        <f t="shared" si="4877"/>
        <v>0</v>
      </c>
      <c r="AV282" s="93">
        <f t="shared" si="4877"/>
        <v>0</v>
      </c>
      <c r="AW282" s="93">
        <f t="shared" si="4877"/>
        <v>0</v>
      </c>
      <c r="AX282" s="93">
        <f t="shared" si="4877"/>
        <v>0</v>
      </c>
      <c r="AY282" s="93">
        <f t="shared" si="4877"/>
        <v>0</v>
      </c>
      <c r="AZ282" s="93">
        <f t="shared" si="4877"/>
        <v>0</v>
      </c>
      <c r="BA282" s="93">
        <f t="shared" si="4877"/>
        <v>0</v>
      </c>
      <c r="BB282" s="93">
        <f t="shared" si="4877"/>
        <v>0</v>
      </c>
      <c r="BC282" s="93">
        <f t="shared" si="4877"/>
        <v>0</v>
      </c>
      <c r="BD282" s="93">
        <f t="shared" si="4877"/>
        <v>0</v>
      </c>
      <c r="BE282" s="93">
        <f t="shared" si="4877"/>
        <v>0</v>
      </c>
      <c r="BF282" s="93">
        <f t="shared" si="4877"/>
        <v>0</v>
      </c>
      <c r="BG282" s="93">
        <f t="shared" si="4877"/>
        <v>0</v>
      </c>
      <c r="BH282" s="93">
        <f t="shared" si="4877"/>
        <v>0</v>
      </c>
      <c r="BI282" s="93">
        <f t="shared" si="4877"/>
        <v>0</v>
      </c>
      <c r="BJ282" s="93">
        <f t="shared" si="4877"/>
        <v>0</v>
      </c>
      <c r="BK282" s="93">
        <f t="shared" si="4877"/>
        <v>0</v>
      </c>
      <c r="BL282" s="93">
        <f t="shared" si="4877"/>
        <v>0</v>
      </c>
      <c r="BM282" s="93">
        <f t="shared" si="4877"/>
        <v>0</v>
      </c>
      <c r="BN282" s="93">
        <f t="shared" si="4877"/>
        <v>0</v>
      </c>
      <c r="BO282" s="93">
        <f t="shared" si="4877"/>
        <v>0</v>
      </c>
      <c r="BP282" s="93">
        <f t="shared" ref="BP282:EA282" si="4878">(BP281)*BP99</f>
        <v>0</v>
      </c>
      <c r="BQ282" s="93">
        <f t="shared" si="4878"/>
        <v>0</v>
      </c>
      <c r="BR282" s="93">
        <f t="shared" si="4878"/>
        <v>0</v>
      </c>
      <c r="BS282" s="93">
        <f t="shared" si="4878"/>
        <v>0</v>
      </c>
      <c r="BT282" s="93">
        <f t="shared" si="4878"/>
        <v>0</v>
      </c>
      <c r="BU282" s="93">
        <f t="shared" si="4878"/>
        <v>0</v>
      </c>
      <c r="BV282" s="93">
        <f t="shared" si="4878"/>
        <v>0</v>
      </c>
      <c r="BW282" s="93">
        <f t="shared" si="4878"/>
        <v>0</v>
      </c>
      <c r="BX282" s="93">
        <f t="shared" si="4878"/>
        <v>0</v>
      </c>
      <c r="BY282" s="93">
        <f t="shared" si="4878"/>
        <v>0</v>
      </c>
      <c r="BZ282" s="93">
        <f t="shared" si="4878"/>
        <v>0</v>
      </c>
      <c r="CA282" s="93">
        <f t="shared" si="4878"/>
        <v>0</v>
      </c>
      <c r="CB282" s="93">
        <f t="shared" si="4878"/>
        <v>0</v>
      </c>
      <c r="CC282" s="93">
        <f t="shared" si="4878"/>
        <v>0</v>
      </c>
      <c r="CD282" s="93">
        <f t="shared" si="4878"/>
        <v>0</v>
      </c>
      <c r="CE282" s="93">
        <f t="shared" si="4878"/>
        <v>0</v>
      </c>
      <c r="CF282" s="93">
        <f t="shared" si="4878"/>
        <v>0</v>
      </c>
      <c r="CG282" s="93">
        <f t="shared" si="4878"/>
        <v>0</v>
      </c>
      <c r="CH282" s="93">
        <f t="shared" si="4878"/>
        <v>0</v>
      </c>
      <c r="CI282" s="93">
        <f t="shared" si="4878"/>
        <v>0</v>
      </c>
      <c r="CJ282" s="93">
        <f t="shared" si="4878"/>
        <v>0</v>
      </c>
      <c r="CK282" s="93">
        <f t="shared" si="4878"/>
        <v>0</v>
      </c>
      <c r="CL282" s="93">
        <f t="shared" si="4878"/>
        <v>0</v>
      </c>
      <c r="CM282" s="93">
        <f t="shared" si="4878"/>
        <v>0</v>
      </c>
      <c r="CN282" s="93">
        <f t="shared" si="4878"/>
        <v>0</v>
      </c>
      <c r="CO282" s="93">
        <f t="shared" si="4878"/>
        <v>0</v>
      </c>
      <c r="CP282" s="93">
        <f t="shared" si="4878"/>
        <v>0</v>
      </c>
      <c r="CQ282" s="93">
        <f t="shared" si="4878"/>
        <v>0</v>
      </c>
      <c r="CR282" s="93">
        <f t="shared" si="4878"/>
        <v>0</v>
      </c>
      <c r="CS282" s="93">
        <f t="shared" si="4878"/>
        <v>0</v>
      </c>
      <c r="CT282" s="93">
        <f t="shared" si="4878"/>
        <v>0</v>
      </c>
      <c r="CU282" s="93">
        <f t="shared" si="4878"/>
        <v>0</v>
      </c>
      <c r="CV282" s="93">
        <f t="shared" si="4878"/>
        <v>0</v>
      </c>
      <c r="CW282" s="93">
        <f t="shared" si="4878"/>
        <v>0</v>
      </c>
      <c r="CX282" s="93">
        <f t="shared" si="4878"/>
        <v>0</v>
      </c>
      <c r="CY282" s="93">
        <f t="shared" si="4878"/>
        <v>0</v>
      </c>
      <c r="CZ282" s="93">
        <f t="shared" si="4878"/>
        <v>0</v>
      </c>
      <c r="DA282" s="93">
        <f t="shared" si="4878"/>
        <v>0</v>
      </c>
      <c r="DB282" s="93">
        <f t="shared" si="4878"/>
        <v>0</v>
      </c>
      <c r="DC282" s="93">
        <f t="shared" si="4878"/>
        <v>0</v>
      </c>
      <c r="DD282" s="93">
        <f t="shared" si="4878"/>
        <v>0</v>
      </c>
      <c r="DE282" s="93">
        <f t="shared" si="4878"/>
        <v>0</v>
      </c>
      <c r="DF282" s="93">
        <f t="shared" si="4878"/>
        <v>0</v>
      </c>
      <c r="DG282" s="93">
        <f t="shared" si="4878"/>
        <v>0</v>
      </c>
      <c r="DH282" s="93">
        <f t="shared" si="4878"/>
        <v>0</v>
      </c>
      <c r="DI282" s="93">
        <f t="shared" si="4878"/>
        <v>0</v>
      </c>
      <c r="DJ282" s="93">
        <f t="shared" si="4878"/>
        <v>0</v>
      </c>
      <c r="DK282" s="93">
        <f t="shared" si="4878"/>
        <v>0</v>
      </c>
      <c r="DL282" s="93">
        <f t="shared" si="4878"/>
        <v>0</v>
      </c>
      <c r="DM282" s="93">
        <f t="shared" si="4878"/>
        <v>0</v>
      </c>
      <c r="DN282" s="93">
        <f t="shared" si="4878"/>
        <v>0</v>
      </c>
      <c r="DO282" s="93">
        <f t="shared" si="4878"/>
        <v>0</v>
      </c>
      <c r="DP282" s="93">
        <f t="shared" si="4878"/>
        <v>0</v>
      </c>
      <c r="DQ282" s="93">
        <f t="shared" si="4878"/>
        <v>0</v>
      </c>
      <c r="DR282" s="93">
        <f t="shared" si="4878"/>
        <v>0</v>
      </c>
      <c r="DS282" s="93">
        <f t="shared" si="4878"/>
        <v>0</v>
      </c>
      <c r="DT282" s="93">
        <f t="shared" si="4878"/>
        <v>0</v>
      </c>
      <c r="DU282" s="93">
        <f t="shared" si="4878"/>
        <v>0</v>
      </c>
      <c r="DV282" s="93">
        <f t="shared" si="4878"/>
        <v>0</v>
      </c>
      <c r="DW282" s="93">
        <f t="shared" si="4878"/>
        <v>0</v>
      </c>
      <c r="DX282" s="93">
        <f t="shared" si="4878"/>
        <v>0</v>
      </c>
      <c r="DY282" s="93">
        <f t="shared" si="4878"/>
        <v>0</v>
      </c>
      <c r="DZ282" s="93">
        <f t="shared" si="4878"/>
        <v>0</v>
      </c>
      <c r="EA282" s="93">
        <f t="shared" si="4878"/>
        <v>0</v>
      </c>
      <c r="EB282" s="93">
        <f t="shared" ref="EB282:FY282" si="4879">(EB281)*EB99</f>
        <v>0</v>
      </c>
      <c r="EC282" s="93">
        <f t="shared" si="4879"/>
        <v>0</v>
      </c>
      <c r="ED282" s="93">
        <f t="shared" si="4879"/>
        <v>0</v>
      </c>
      <c r="EE282" s="93">
        <f t="shared" si="4879"/>
        <v>0</v>
      </c>
      <c r="EF282" s="93">
        <f t="shared" si="4879"/>
        <v>0</v>
      </c>
      <c r="EG282" s="93">
        <f t="shared" si="4879"/>
        <v>0</v>
      </c>
      <c r="EH282" s="93">
        <f t="shared" si="4879"/>
        <v>0</v>
      </c>
      <c r="EI282" s="93">
        <f t="shared" si="4879"/>
        <v>0</v>
      </c>
      <c r="EJ282" s="93">
        <f t="shared" si="4879"/>
        <v>0</v>
      </c>
      <c r="EK282" s="93">
        <f t="shared" si="4879"/>
        <v>0</v>
      </c>
      <c r="EL282" s="93">
        <f t="shared" si="4879"/>
        <v>0</v>
      </c>
      <c r="EM282" s="93">
        <f t="shared" si="4879"/>
        <v>0</v>
      </c>
      <c r="EN282" s="93">
        <f t="shared" si="4879"/>
        <v>0</v>
      </c>
      <c r="EO282" s="93">
        <f t="shared" si="4879"/>
        <v>0</v>
      </c>
      <c r="EP282" s="93">
        <f t="shared" si="4879"/>
        <v>0</v>
      </c>
      <c r="EQ282" s="93">
        <f t="shared" si="4879"/>
        <v>0</v>
      </c>
      <c r="ER282" s="93">
        <f t="shared" si="4879"/>
        <v>0</v>
      </c>
      <c r="ES282" s="93">
        <f t="shared" si="4879"/>
        <v>0</v>
      </c>
      <c r="ET282" s="93">
        <f t="shared" si="4879"/>
        <v>0</v>
      </c>
      <c r="EU282" s="93">
        <f t="shared" si="4879"/>
        <v>0</v>
      </c>
      <c r="EV282" s="93">
        <f t="shared" si="4879"/>
        <v>0</v>
      </c>
      <c r="EW282" s="93">
        <f t="shared" si="4879"/>
        <v>0</v>
      </c>
      <c r="EX282" s="93">
        <f t="shared" si="4879"/>
        <v>0</v>
      </c>
      <c r="EY282" s="93">
        <f t="shared" si="4879"/>
        <v>0</v>
      </c>
      <c r="EZ282" s="93">
        <f t="shared" si="4879"/>
        <v>0</v>
      </c>
      <c r="FA282" s="93">
        <f t="shared" si="4879"/>
        <v>0</v>
      </c>
      <c r="FB282" s="93">
        <f t="shared" si="4879"/>
        <v>0</v>
      </c>
      <c r="FC282" s="93">
        <f t="shared" si="4879"/>
        <v>0</v>
      </c>
      <c r="FD282" s="93">
        <f t="shared" si="4879"/>
        <v>0</v>
      </c>
      <c r="FE282" s="93">
        <f t="shared" si="4879"/>
        <v>0</v>
      </c>
      <c r="FF282" s="93">
        <f t="shared" si="4879"/>
        <v>0</v>
      </c>
      <c r="FG282" s="93">
        <f t="shared" si="4879"/>
        <v>0</v>
      </c>
      <c r="FH282" s="93">
        <f t="shared" si="4879"/>
        <v>0</v>
      </c>
      <c r="FI282" s="93">
        <f t="shared" si="4879"/>
        <v>0</v>
      </c>
      <c r="FJ282" s="93">
        <f t="shared" si="4879"/>
        <v>0</v>
      </c>
      <c r="FK282" s="93">
        <f t="shared" si="4879"/>
        <v>0</v>
      </c>
      <c r="FL282" s="93">
        <f t="shared" si="4879"/>
        <v>0</v>
      </c>
      <c r="FM282" s="93">
        <f t="shared" si="4879"/>
        <v>0</v>
      </c>
      <c r="FN282" s="93">
        <f t="shared" si="4879"/>
        <v>0</v>
      </c>
      <c r="FO282" s="93">
        <f t="shared" si="4879"/>
        <v>0</v>
      </c>
      <c r="FP282" s="93">
        <f t="shared" si="4879"/>
        <v>0</v>
      </c>
      <c r="FQ282" s="93">
        <f t="shared" si="4879"/>
        <v>0</v>
      </c>
      <c r="FR282" s="93">
        <f t="shared" si="4879"/>
        <v>0</v>
      </c>
      <c r="FS282" s="93">
        <f t="shared" si="4879"/>
        <v>0</v>
      </c>
      <c r="FT282" s="93">
        <f t="shared" si="4879"/>
        <v>0</v>
      </c>
      <c r="FU282" s="93">
        <f t="shared" si="4879"/>
        <v>0</v>
      </c>
      <c r="FV282" s="93">
        <f t="shared" si="4879"/>
        <v>0</v>
      </c>
      <c r="FW282" s="93">
        <f t="shared" si="4879"/>
        <v>0</v>
      </c>
      <c r="FX282" s="93">
        <f t="shared" si="4879"/>
        <v>0</v>
      </c>
      <c r="FY282" s="93">
        <f t="shared" si="4879"/>
        <v>0</v>
      </c>
      <c r="FZ282" s="59"/>
    </row>
    <row r="283" spans="1:184" x14ac:dyDescent="0.2">
      <c r="A283" s="92" t="s">
        <v>317</v>
      </c>
      <c r="B283" s="93">
        <f>-(B281+B282)*B308</f>
        <v>-142.83195273799399</v>
      </c>
      <c r="C283" s="93">
        <f t="shared" ref="C283" si="4880">-(C281+C282)*C308</f>
        <v>-140.38151239327809</v>
      </c>
      <c r="D283" s="93">
        <f t="shared" ref="D283:BO283" si="4881">-(D281+D282)*D308</f>
        <v>-137.86359145151457</v>
      </c>
      <c r="E283" s="93">
        <f t="shared" si="4881"/>
        <v>-135.27676113745954</v>
      </c>
      <c r="F283" s="93">
        <f t="shared" si="4881"/>
        <v>-132.61956911303733</v>
      </c>
      <c r="G283" s="93">
        <f t="shared" si="4881"/>
        <v>-129.89040312319679</v>
      </c>
      <c r="H283" s="93">
        <f t="shared" si="4881"/>
        <v>-127.0878869049105</v>
      </c>
      <c r="I283" s="93">
        <f t="shared" si="4881"/>
        <v>-124.21047792244865</v>
      </c>
      <c r="J283" s="93">
        <f t="shared" si="4881"/>
        <v>-121.25660227246034</v>
      </c>
      <c r="K283" s="93">
        <f t="shared" si="4881"/>
        <v>-118.22465404868001</v>
      </c>
      <c r="L283" s="93">
        <f t="shared" si="4881"/>
        <v>-115.11299469520887</v>
      </c>
      <c r="M283" s="93">
        <f t="shared" si="4881"/>
        <v>-111.91995234524337</v>
      </c>
      <c r="N283" s="93">
        <f t="shared" si="4881"/>
        <v>-108.6437113892903</v>
      </c>
      <c r="O283" s="93">
        <f t="shared" si="4881"/>
        <v>-105.28159385053806</v>
      </c>
      <c r="P283" s="93">
        <f t="shared" si="4881"/>
        <v>-101.83293553414968</v>
      </c>
      <c r="Q283" s="93">
        <f t="shared" si="4881"/>
        <v>-98.295937739721694</v>
      </c>
      <c r="R283" s="93">
        <f t="shared" si="4881"/>
        <v>-94.668754917349631</v>
      </c>
      <c r="S283" s="93">
        <f t="shared" si="4881"/>
        <v>-90.949504048026867</v>
      </c>
      <c r="T283" s="93">
        <f t="shared" si="4881"/>
        <v>-87.136263885537559</v>
      </c>
      <c r="U283" s="93">
        <f t="shared" si="4881"/>
        <v>-83.227074182784833</v>
      </c>
      <c r="V283" s="93">
        <f t="shared" si="4881"/>
        <v>-79.219854271118692</v>
      </c>
      <c r="W283" s="93">
        <f t="shared" si="4881"/>
        <v>-75.112652373079882</v>
      </c>
      <c r="X283" s="93">
        <f t="shared" si="4881"/>
        <v>-70.903386780750708</v>
      </c>
      <c r="Y283" s="93">
        <f t="shared" si="4881"/>
        <v>-66.589933546072118</v>
      </c>
      <c r="Z283" s="93">
        <f t="shared" si="4881"/>
        <v>-62.170125623020283</v>
      </c>
      <c r="AA283" s="93">
        <f t="shared" si="4881"/>
        <v>-57.641175040994682</v>
      </c>
      <c r="AB283" s="93">
        <f t="shared" si="4881"/>
        <v>-53.001483758142079</v>
      </c>
      <c r="AC283" s="93">
        <f t="shared" si="4881"/>
        <v>-48.248766767064581</v>
      </c>
      <c r="AD283" s="93">
        <f t="shared" si="4881"/>
        <v>-43.38067959543546</v>
      </c>
      <c r="AE283" s="93">
        <f t="shared" si="4881"/>
        <v>-38.394790837139809</v>
      </c>
      <c r="AF283" s="93">
        <f t="shared" si="4881"/>
        <v>-33.288709850352674</v>
      </c>
      <c r="AG283" s="93">
        <f t="shared" si="4881"/>
        <v>-28.059947109351171</v>
      </c>
      <c r="AH283" s="93">
        <f t="shared" si="4881"/>
        <v>-22.705962641750737</v>
      </c>
      <c r="AI283" s="93">
        <f t="shared" si="4881"/>
        <v>-17.224165007803023</v>
      </c>
      <c r="AJ283" s="93">
        <f t="shared" si="4881"/>
        <v>-11.611910261282876</v>
      </c>
      <c r="AK283" s="93">
        <f t="shared" si="4881"/>
        <v>-5.8665008883140173</v>
      </c>
      <c r="AL283" s="93">
        <f t="shared" si="4881"/>
        <v>0</v>
      </c>
      <c r="AM283" s="93">
        <f t="shared" si="4881"/>
        <v>0</v>
      </c>
      <c r="AN283" s="93">
        <f t="shared" si="4881"/>
        <v>0</v>
      </c>
      <c r="AO283" s="93">
        <f t="shared" si="4881"/>
        <v>0</v>
      </c>
      <c r="AP283" s="93">
        <f t="shared" si="4881"/>
        <v>0</v>
      </c>
      <c r="AQ283" s="93">
        <f t="shared" si="4881"/>
        <v>0</v>
      </c>
      <c r="AR283" s="93">
        <f t="shared" si="4881"/>
        <v>0</v>
      </c>
      <c r="AS283" s="93">
        <f t="shared" si="4881"/>
        <v>0</v>
      </c>
      <c r="AT283" s="93">
        <f t="shared" si="4881"/>
        <v>0</v>
      </c>
      <c r="AU283" s="93">
        <f t="shared" si="4881"/>
        <v>0</v>
      </c>
      <c r="AV283" s="93">
        <f t="shared" si="4881"/>
        <v>0</v>
      </c>
      <c r="AW283" s="93">
        <f t="shared" si="4881"/>
        <v>0</v>
      </c>
      <c r="AX283" s="93">
        <f t="shared" si="4881"/>
        <v>0</v>
      </c>
      <c r="AY283" s="93">
        <f t="shared" si="4881"/>
        <v>0</v>
      </c>
      <c r="AZ283" s="93">
        <f t="shared" si="4881"/>
        <v>0</v>
      </c>
      <c r="BA283" s="93">
        <f t="shared" si="4881"/>
        <v>0</v>
      </c>
      <c r="BB283" s="93">
        <f t="shared" si="4881"/>
        <v>0</v>
      </c>
      <c r="BC283" s="93">
        <f t="shared" si="4881"/>
        <v>0</v>
      </c>
      <c r="BD283" s="93">
        <f t="shared" si="4881"/>
        <v>0</v>
      </c>
      <c r="BE283" s="93">
        <f t="shared" si="4881"/>
        <v>0</v>
      </c>
      <c r="BF283" s="93">
        <f t="shared" si="4881"/>
        <v>0</v>
      </c>
      <c r="BG283" s="93">
        <f t="shared" si="4881"/>
        <v>0</v>
      </c>
      <c r="BH283" s="93">
        <f t="shared" si="4881"/>
        <v>0</v>
      </c>
      <c r="BI283" s="93">
        <f t="shared" si="4881"/>
        <v>0</v>
      </c>
      <c r="BJ283" s="93">
        <f t="shared" si="4881"/>
        <v>0</v>
      </c>
      <c r="BK283" s="93">
        <f t="shared" si="4881"/>
        <v>0</v>
      </c>
      <c r="BL283" s="93">
        <f t="shared" si="4881"/>
        <v>0</v>
      </c>
      <c r="BM283" s="93">
        <f t="shared" si="4881"/>
        <v>0</v>
      </c>
      <c r="BN283" s="93">
        <f t="shared" si="4881"/>
        <v>0</v>
      </c>
      <c r="BO283" s="93">
        <f t="shared" si="4881"/>
        <v>0</v>
      </c>
      <c r="BP283" s="93">
        <f t="shared" ref="BP283:EA283" si="4882">-(BP281+BP282)*BP308</f>
        <v>0</v>
      </c>
      <c r="BQ283" s="93">
        <f t="shared" si="4882"/>
        <v>0</v>
      </c>
      <c r="BR283" s="93">
        <f t="shared" si="4882"/>
        <v>0</v>
      </c>
      <c r="BS283" s="93">
        <f t="shared" si="4882"/>
        <v>0</v>
      </c>
      <c r="BT283" s="93">
        <f t="shared" si="4882"/>
        <v>0</v>
      </c>
      <c r="BU283" s="93">
        <f t="shared" si="4882"/>
        <v>0</v>
      </c>
      <c r="BV283" s="93">
        <f t="shared" si="4882"/>
        <v>0</v>
      </c>
      <c r="BW283" s="93">
        <f t="shared" si="4882"/>
        <v>0</v>
      </c>
      <c r="BX283" s="93">
        <f t="shared" si="4882"/>
        <v>0</v>
      </c>
      <c r="BY283" s="93">
        <f t="shared" si="4882"/>
        <v>0</v>
      </c>
      <c r="BZ283" s="93">
        <f t="shared" si="4882"/>
        <v>0</v>
      </c>
      <c r="CA283" s="93">
        <f t="shared" si="4882"/>
        <v>0</v>
      </c>
      <c r="CB283" s="93">
        <f t="shared" si="4882"/>
        <v>0</v>
      </c>
      <c r="CC283" s="93">
        <f t="shared" si="4882"/>
        <v>0</v>
      </c>
      <c r="CD283" s="93">
        <f t="shared" si="4882"/>
        <v>0</v>
      </c>
      <c r="CE283" s="93">
        <f t="shared" si="4882"/>
        <v>0</v>
      </c>
      <c r="CF283" s="93">
        <f t="shared" si="4882"/>
        <v>0</v>
      </c>
      <c r="CG283" s="93">
        <f t="shared" si="4882"/>
        <v>0</v>
      </c>
      <c r="CH283" s="93">
        <f t="shared" si="4882"/>
        <v>0</v>
      </c>
      <c r="CI283" s="93">
        <f t="shared" si="4882"/>
        <v>0</v>
      </c>
      <c r="CJ283" s="93">
        <f t="shared" si="4882"/>
        <v>0</v>
      </c>
      <c r="CK283" s="93">
        <f t="shared" si="4882"/>
        <v>0</v>
      </c>
      <c r="CL283" s="93">
        <f t="shared" si="4882"/>
        <v>0</v>
      </c>
      <c r="CM283" s="93">
        <f t="shared" si="4882"/>
        <v>0</v>
      </c>
      <c r="CN283" s="93">
        <f t="shared" si="4882"/>
        <v>0</v>
      </c>
      <c r="CO283" s="93">
        <f t="shared" si="4882"/>
        <v>0</v>
      </c>
      <c r="CP283" s="93">
        <f t="shared" si="4882"/>
        <v>0</v>
      </c>
      <c r="CQ283" s="93">
        <f t="shared" si="4882"/>
        <v>0</v>
      </c>
      <c r="CR283" s="93">
        <f t="shared" si="4882"/>
        <v>0</v>
      </c>
      <c r="CS283" s="93">
        <f t="shared" si="4882"/>
        <v>0</v>
      </c>
      <c r="CT283" s="93">
        <f t="shared" si="4882"/>
        <v>0</v>
      </c>
      <c r="CU283" s="93">
        <f t="shared" si="4882"/>
        <v>0</v>
      </c>
      <c r="CV283" s="93">
        <f t="shared" si="4882"/>
        <v>0</v>
      </c>
      <c r="CW283" s="93">
        <f t="shared" si="4882"/>
        <v>0</v>
      </c>
      <c r="CX283" s="93">
        <f t="shared" si="4882"/>
        <v>0</v>
      </c>
      <c r="CY283" s="93">
        <f t="shared" si="4882"/>
        <v>0</v>
      </c>
      <c r="CZ283" s="93">
        <f t="shared" si="4882"/>
        <v>0</v>
      </c>
      <c r="DA283" s="93">
        <f t="shared" si="4882"/>
        <v>0</v>
      </c>
      <c r="DB283" s="93">
        <f t="shared" si="4882"/>
        <v>0</v>
      </c>
      <c r="DC283" s="93">
        <f t="shared" si="4882"/>
        <v>0</v>
      </c>
      <c r="DD283" s="93">
        <f t="shared" si="4882"/>
        <v>0</v>
      </c>
      <c r="DE283" s="93">
        <f t="shared" si="4882"/>
        <v>0</v>
      </c>
      <c r="DF283" s="93">
        <f t="shared" si="4882"/>
        <v>0</v>
      </c>
      <c r="DG283" s="93">
        <f t="shared" si="4882"/>
        <v>0</v>
      </c>
      <c r="DH283" s="93">
        <f t="shared" si="4882"/>
        <v>0</v>
      </c>
      <c r="DI283" s="93">
        <f t="shared" si="4882"/>
        <v>0</v>
      </c>
      <c r="DJ283" s="93">
        <f t="shared" si="4882"/>
        <v>0</v>
      </c>
      <c r="DK283" s="93">
        <f t="shared" si="4882"/>
        <v>0</v>
      </c>
      <c r="DL283" s="93">
        <f t="shared" si="4882"/>
        <v>0</v>
      </c>
      <c r="DM283" s="93">
        <f t="shared" si="4882"/>
        <v>0</v>
      </c>
      <c r="DN283" s="93">
        <f t="shared" si="4882"/>
        <v>0</v>
      </c>
      <c r="DO283" s="93">
        <f t="shared" si="4882"/>
        <v>0</v>
      </c>
      <c r="DP283" s="93">
        <f t="shared" si="4882"/>
        <v>0</v>
      </c>
      <c r="DQ283" s="93">
        <f t="shared" si="4882"/>
        <v>0</v>
      </c>
      <c r="DR283" s="93">
        <f t="shared" si="4882"/>
        <v>0</v>
      </c>
      <c r="DS283" s="93">
        <f t="shared" si="4882"/>
        <v>0</v>
      </c>
      <c r="DT283" s="93">
        <f t="shared" si="4882"/>
        <v>0</v>
      </c>
      <c r="DU283" s="93">
        <f t="shared" si="4882"/>
        <v>0</v>
      </c>
      <c r="DV283" s="93">
        <f t="shared" si="4882"/>
        <v>0</v>
      </c>
      <c r="DW283" s="93">
        <f t="shared" si="4882"/>
        <v>0</v>
      </c>
      <c r="DX283" s="93">
        <f t="shared" si="4882"/>
        <v>0</v>
      </c>
      <c r="DY283" s="93">
        <f t="shared" si="4882"/>
        <v>0</v>
      </c>
      <c r="DZ283" s="93">
        <f t="shared" si="4882"/>
        <v>0</v>
      </c>
      <c r="EA283" s="93">
        <f t="shared" si="4882"/>
        <v>0</v>
      </c>
      <c r="EB283" s="93">
        <f t="shared" ref="EB283:FY283" si="4883">-(EB281+EB282)*EB308</f>
        <v>0</v>
      </c>
      <c r="EC283" s="93">
        <f t="shared" si="4883"/>
        <v>0</v>
      </c>
      <c r="ED283" s="93">
        <f t="shared" si="4883"/>
        <v>0</v>
      </c>
      <c r="EE283" s="93">
        <f t="shared" si="4883"/>
        <v>0</v>
      </c>
      <c r="EF283" s="93">
        <f t="shared" si="4883"/>
        <v>0</v>
      </c>
      <c r="EG283" s="93">
        <f t="shared" si="4883"/>
        <v>0</v>
      </c>
      <c r="EH283" s="93">
        <f t="shared" si="4883"/>
        <v>0</v>
      </c>
      <c r="EI283" s="93">
        <f t="shared" si="4883"/>
        <v>0</v>
      </c>
      <c r="EJ283" s="93">
        <f t="shared" si="4883"/>
        <v>0</v>
      </c>
      <c r="EK283" s="93">
        <f t="shared" si="4883"/>
        <v>0</v>
      </c>
      <c r="EL283" s="93">
        <f t="shared" si="4883"/>
        <v>0</v>
      </c>
      <c r="EM283" s="93">
        <f t="shared" si="4883"/>
        <v>0</v>
      </c>
      <c r="EN283" s="93">
        <f t="shared" si="4883"/>
        <v>0</v>
      </c>
      <c r="EO283" s="93">
        <f t="shared" si="4883"/>
        <v>0</v>
      </c>
      <c r="EP283" s="93">
        <f t="shared" si="4883"/>
        <v>0</v>
      </c>
      <c r="EQ283" s="93">
        <f t="shared" si="4883"/>
        <v>0</v>
      </c>
      <c r="ER283" s="93">
        <f t="shared" si="4883"/>
        <v>0</v>
      </c>
      <c r="ES283" s="93">
        <f t="shared" si="4883"/>
        <v>0</v>
      </c>
      <c r="ET283" s="93">
        <f t="shared" si="4883"/>
        <v>0</v>
      </c>
      <c r="EU283" s="93">
        <f t="shared" si="4883"/>
        <v>0</v>
      </c>
      <c r="EV283" s="93">
        <f t="shared" si="4883"/>
        <v>0</v>
      </c>
      <c r="EW283" s="93">
        <f t="shared" si="4883"/>
        <v>0</v>
      </c>
      <c r="EX283" s="93">
        <f t="shared" si="4883"/>
        <v>0</v>
      </c>
      <c r="EY283" s="93">
        <f t="shared" si="4883"/>
        <v>0</v>
      </c>
      <c r="EZ283" s="93">
        <f t="shared" si="4883"/>
        <v>0</v>
      </c>
      <c r="FA283" s="93">
        <f t="shared" si="4883"/>
        <v>0</v>
      </c>
      <c r="FB283" s="93">
        <f t="shared" si="4883"/>
        <v>0</v>
      </c>
      <c r="FC283" s="93">
        <f t="shared" si="4883"/>
        <v>0</v>
      </c>
      <c r="FD283" s="93">
        <f t="shared" si="4883"/>
        <v>0</v>
      </c>
      <c r="FE283" s="93">
        <f t="shared" si="4883"/>
        <v>0</v>
      </c>
      <c r="FF283" s="93">
        <f t="shared" si="4883"/>
        <v>0</v>
      </c>
      <c r="FG283" s="93">
        <f t="shared" si="4883"/>
        <v>0</v>
      </c>
      <c r="FH283" s="93">
        <f t="shared" si="4883"/>
        <v>0</v>
      </c>
      <c r="FI283" s="93">
        <f t="shared" si="4883"/>
        <v>0</v>
      </c>
      <c r="FJ283" s="93">
        <f t="shared" si="4883"/>
        <v>0</v>
      </c>
      <c r="FK283" s="93">
        <f t="shared" si="4883"/>
        <v>0</v>
      </c>
      <c r="FL283" s="93">
        <f t="shared" si="4883"/>
        <v>0</v>
      </c>
      <c r="FM283" s="93">
        <f t="shared" si="4883"/>
        <v>0</v>
      </c>
      <c r="FN283" s="93">
        <f t="shared" si="4883"/>
        <v>0</v>
      </c>
      <c r="FO283" s="93">
        <f t="shared" si="4883"/>
        <v>0</v>
      </c>
      <c r="FP283" s="93">
        <f t="shared" si="4883"/>
        <v>0</v>
      </c>
      <c r="FQ283" s="93">
        <f t="shared" si="4883"/>
        <v>0</v>
      </c>
      <c r="FR283" s="93">
        <f t="shared" si="4883"/>
        <v>0</v>
      </c>
      <c r="FS283" s="93">
        <f t="shared" si="4883"/>
        <v>0</v>
      </c>
      <c r="FT283" s="93">
        <f t="shared" si="4883"/>
        <v>0</v>
      </c>
      <c r="FU283" s="93">
        <f t="shared" si="4883"/>
        <v>0</v>
      </c>
      <c r="FV283" s="93">
        <f t="shared" si="4883"/>
        <v>0</v>
      </c>
      <c r="FW283" s="93">
        <f t="shared" si="4883"/>
        <v>0</v>
      </c>
      <c r="FX283" s="93">
        <f t="shared" si="4883"/>
        <v>0</v>
      </c>
      <c r="FY283" s="93">
        <f t="shared" si="4883"/>
        <v>0</v>
      </c>
      <c r="FZ283" s="59"/>
    </row>
    <row r="284" spans="1:184" hidden="1" x14ac:dyDescent="0.2">
      <c r="A284" s="66" t="s">
        <v>269</v>
      </c>
      <c r="B284" s="67">
        <f>(B44-B30)</f>
        <v>0</v>
      </c>
      <c r="C284" s="67">
        <f t="shared" ref="C284" si="4884">(C44-C30)</f>
        <v>0</v>
      </c>
      <c r="D284" s="67">
        <f t="shared" ref="D284:BO284" si="4885">(D44-D30)</f>
        <v>0</v>
      </c>
      <c r="E284" s="67">
        <f t="shared" si="4885"/>
        <v>0</v>
      </c>
      <c r="F284" s="67">
        <f t="shared" si="4885"/>
        <v>0</v>
      </c>
      <c r="G284" s="67">
        <f t="shared" si="4885"/>
        <v>0</v>
      </c>
      <c r="H284" s="67">
        <f t="shared" si="4885"/>
        <v>0</v>
      </c>
      <c r="I284" s="67">
        <f t="shared" si="4885"/>
        <v>0</v>
      </c>
      <c r="J284" s="67">
        <f t="shared" si="4885"/>
        <v>0</v>
      </c>
      <c r="K284" s="67">
        <f t="shared" si="4885"/>
        <v>0</v>
      </c>
      <c r="L284" s="67">
        <f t="shared" si="4885"/>
        <v>0</v>
      </c>
      <c r="M284" s="67">
        <f t="shared" si="4885"/>
        <v>0</v>
      </c>
      <c r="N284" s="67">
        <f t="shared" si="4885"/>
        <v>0</v>
      </c>
      <c r="O284" s="67">
        <f t="shared" si="4885"/>
        <v>0</v>
      </c>
      <c r="P284" s="67">
        <f t="shared" si="4885"/>
        <v>0</v>
      </c>
      <c r="Q284" s="67">
        <f t="shared" si="4885"/>
        <v>0</v>
      </c>
      <c r="R284" s="67">
        <f t="shared" si="4885"/>
        <v>0</v>
      </c>
      <c r="S284" s="67">
        <f t="shared" si="4885"/>
        <v>0</v>
      </c>
      <c r="T284" s="67">
        <f t="shared" si="4885"/>
        <v>0</v>
      </c>
      <c r="U284" s="67">
        <f t="shared" si="4885"/>
        <v>0</v>
      </c>
      <c r="V284" s="67">
        <f t="shared" si="4885"/>
        <v>0</v>
      </c>
      <c r="W284" s="67">
        <f t="shared" si="4885"/>
        <v>0</v>
      </c>
      <c r="X284" s="67">
        <f t="shared" si="4885"/>
        <v>0</v>
      </c>
      <c r="Y284" s="67">
        <f t="shared" si="4885"/>
        <v>0</v>
      </c>
      <c r="Z284" s="67">
        <f t="shared" si="4885"/>
        <v>0</v>
      </c>
      <c r="AA284" s="67">
        <f t="shared" si="4885"/>
        <v>0</v>
      </c>
      <c r="AB284" s="67">
        <f t="shared" si="4885"/>
        <v>0</v>
      </c>
      <c r="AC284" s="67">
        <f t="shared" si="4885"/>
        <v>0</v>
      </c>
      <c r="AD284" s="67">
        <f t="shared" si="4885"/>
        <v>0</v>
      </c>
      <c r="AE284" s="67">
        <f t="shared" si="4885"/>
        <v>0</v>
      </c>
      <c r="AF284" s="67">
        <f t="shared" si="4885"/>
        <v>0</v>
      </c>
      <c r="AG284" s="67">
        <f t="shared" si="4885"/>
        <v>0</v>
      </c>
      <c r="AH284" s="67">
        <f t="shared" si="4885"/>
        <v>0</v>
      </c>
      <c r="AI284" s="67">
        <f t="shared" si="4885"/>
        <v>0</v>
      </c>
      <c r="AJ284" s="67">
        <f t="shared" si="4885"/>
        <v>0</v>
      </c>
      <c r="AK284" s="67">
        <f t="shared" si="4885"/>
        <v>0</v>
      </c>
      <c r="AL284" s="67">
        <f t="shared" si="4885"/>
        <v>0</v>
      </c>
      <c r="AM284" s="67">
        <f t="shared" si="4885"/>
        <v>0</v>
      </c>
      <c r="AN284" s="67">
        <f t="shared" si="4885"/>
        <v>0</v>
      </c>
      <c r="AO284" s="67">
        <f t="shared" si="4885"/>
        <v>0</v>
      </c>
      <c r="AP284" s="67">
        <f t="shared" si="4885"/>
        <v>0</v>
      </c>
      <c r="AQ284" s="67">
        <f t="shared" si="4885"/>
        <v>0</v>
      </c>
      <c r="AR284" s="67">
        <f t="shared" si="4885"/>
        <v>0</v>
      </c>
      <c r="AS284" s="67">
        <f t="shared" si="4885"/>
        <v>0</v>
      </c>
      <c r="AT284" s="67">
        <f t="shared" si="4885"/>
        <v>0</v>
      </c>
      <c r="AU284" s="67">
        <f t="shared" si="4885"/>
        <v>0</v>
      </c>
      <c r="AV284" s="67">
        <f t="shared" si="4885"/>
        <v>0</v>
      </c>
      <c r="AW284" s="67">
        <f t="shared" si="4885"/>
        <v>0</v>
      </c>
      <c r="AX284" s="67">
        <f t="shared" si="4885"/>
        <v>0</v>
      </c>
      <c r="AY284" s="67">
        <f t="shared" si="4885"/>
        <v>0</v>
      </c>
      <c r="AZ284" s="67">
        <f t="shared" si="4885"/>
        <v>0</v>
      </c>
      <c r="BA284" s="67">
        <f t="shared" si="4885"/>
        <v>0</v>
      </c>
      <c r="BB284" s="67">
        <f t="shared" si="4885"/>
        <v>0</v>
      </c>
      <c r="BC284" s="67">
        <f t="shared" si="4885"/>
        <v>0</v>
      </c>
      <c r="BD284" s="67">
        <f t="shared" si="4885"/>
        <v>0</v>
      </c>
      <c r="BE284" s="67">
        <f t="shared" si="4885"/>
        <v>0</v>
      </c>
      <c r="BF284" s="67">
        <f t="shared" si="4885"/>
        <v>0</v>
      </c>
      <c r="BG284" s="67">
        <f t="shared" si="4885"/>
        <v>0</v>
      </c>
      <c r="BH284" s="67">
        <f t="shared" si="4885"/>
        <v>0</v>
      </c>
      <c r="BI284" s="67">
        <f t="shared" si="4885"/>
        <v>0</v>
      </c>
      <c r="BJ284" s="67">
        <f t="shared" si="4885"/>
        <v>0</v>
      </c>
      <c r="BK284" s="67">
        <f t="shared" si="4885"/>
        <v>0</v>
      </c>
      <c r="BL284" s="67">
        <f t="shared" si="4885"/>
        <v>0</v>
      </c>
      <c r="BM284" s="67">
        <f t="shared" si="4885"/>
        <v>0</v>
      </c>
      <c r="BN284" s="67">
        <f t="shared" si="4885"/>
        <v>0</v>
      </c>
      <c r="BO284" s="67">
        <f t="shared" si="4885"/>
        <v>0</v>
      </c>
      <c r="BP284" s="67">
        <f t="shared" ref="BP284:EA284" si="4886">(BP44-BP30)</f>
        <v>0</v>
      </c>
      <c r="BQ284" s="67">
        <f t="shared" si="4886"/>
        <v>0</v>
      </c>
      <c r="BR284" s="67">
        <f t="shared" si="4886"/>
        <v>0</v>
      </c>
      <c r="BS284" s="67">
        <f t="shared" si="4886"/>
        <v>0</v>
      </c>
      <c r="BT284" s="67">
        <f t="shared" si="4886"/>
        <v>0</v>
      </c>
      <c r="BU284" s="67">
        <f t="shared" si="4886"/>
        <v>0</v>
      </c>
      <c r="BV284" s="67">
        <f t="shared" si="4886"/>
        <v>0</v>
      </c>
      <c r="BW284" s="67">
        <f t="shared" si="4886"/>
        <v>0</v>
      </c>
      <c r="BX284" s="67">
        <f t="shared" si="4886"/>
        <v>0</v>
      </c>
      <c r="BY284" s="67">
        <f t="shared" si="4886"/>
        <v>0</v>
      </c>
      <c r="BZ284" s="67">
        <f t="shared" si="4886"/>
        <v>0</v>
      </c>
      <c r="CA284" s="67">
        <f t="shared" si="4886"/>
        <v>0</v>
      </c>
      <c r="CB284" s="67">
        <f t="shared" si="4886"/>
        <v>0</v>
      </c>
      <c r="CC284" s="67">
        <f t="shared" si="4886"/>
        <v>0</v>
      </c>
      <c r="CD284" s="67">
        <f t="shared" si="4886"/>
        <v>0</v>
      </c>
      <c r="CE284" s="67">
        <f t="shared" si="4886"/>
        <v>0</v>
      </c>
      <c r="CF284" s="67">
        <f t="shared" si="4886"/>
        <v>0</v>
      </c>
      <c r="CG284" s="67">
        <f t="shared" si="4886"/>
        <v>0</v>
      </c>
      <c r="CH284" s="67">
        <f t="shared" si="4886"/>
        <v>0</v>
      </c>
      <c r="CI284" s="67">
        <f t="shared" si="4886"/>
        <v>0</v>
      </c>
      <c r="CJ284" s="67">
        <f t="shared" si="4886"/>
        <v>0</v>
      </c>
      <c r="CK284" s="67">
        <f t="shared" si="4886"/>
        <v>0</v>
      </c>
      <c r="CL284" s="67">
        <f t="shared" si="4886"/>
        <v>0</v>
      </c>
      <c r="CM284" s="67">
        <f t="shared" si="4886"/>
        <v>0</v>
      </c>
      <c r="CN284" s="67">
        <f t="shared" si="4886"/>
        <v>0</v>
      </c>
      <c r="CO284" s="67">
        <f t="shared" si="4886"/>
        <v>0</v>
      </c>
      <c r="CP284" s="67">
        <f t="shared" si="4886"/>
        <v>0</v>
      </c>
      <c r="CQ284" s="67">
        <f t="shared" si="4886"/>
        <v>0</v>
      </c>
      <c r="CR284" s="67">
        <f t="shared" si="4886"/>
        <v>0</v>
      </c>
      <c r="CS284" s="67">
        <f t="shared" si="4886"/>
        <v>0</v>
      </c>
      <c r="CT284" s="67">
        <f t="shared" si="4886"/>
        <v>0</v>
      </c>
      <c r="CU284" s="67">
        <f t="shared" si="4886"/>
        <v>0</v>
      </c>
      <c r="CV284" s="67">
        <f t="shared" si="4886"/>
        <v>0</v>
      </c>
      <c r="CW284" s="67">
        <f t="shared" si="4886"/>
        <v>0</v>
      </c>
      <c r="CX284" s="67">
        <f t="shared" si="4886"/>
        <v>0</v>
      </c>
      <c r="CY284" s="67">
        <f t="shared" si="4886"/>
        <v>0</v>
      </c>
      <c r="CZ284" s="67">
        <f t="shared" si="4886"/>
        <v>0</v>
      </c>
      <c r="DA284" s="67">
        <f t="shared" si="4886"/>
        <v>0</v>
      </c>
      <c r="DB284" s="67">
        <f t="shared" si="4886"/>
        <v>0</v>
      </c>
      <c r="DC284" s="67">
        <f t="shared" si="4886"/>
        <v>0</v>
      </c>
      <c r="DD284" s="67">
        <f t="shared" si="4886"/>
        <v>0</v>
      </c>
      <c r="DE284" s="67">
        <f t="shared" si="4886"/>
        <v>0</v>
      </c>
      <c r="DF284" s="67">
        <f t="shared" si="4886"/>
        <v>0</v>
      </c>
      <c r="DG284" s="67">
        <f t="shared" si="4886"/>
        <v>0</v>
      </c>
      <c r="DH284" s="67">
        <f t="shared" si="4886"/>
        <v>0</v>
      </c>
      <c r="DI284" s="67">
        <f t="shared" si="4886"/>
        <v>0</v>
      </c>
      <c r="DJ284" s="67">
        <f t="shared" si="4886"/>
        <v>0</v>
      </c>
      <c r="DK284" s="67">
        <f t="shared" si="4886"/>
        <v>0</v>
      </c>
      <c r="DL284" s="67">
        <f t="shared" si="4886"/>
        <v>0</v>
      </c>
      <c r="DM284" s="67">
        <f t="shared" si="4886"/>
        <v>0</v>
      </c>
      <c r="DN284" s="67">
        <f t="shared" si="4886"/>
        <v>0</v>
      </c>
      <c r="DO284" s="67">
        <f t="shared" si="4886"/>
        <v>0</v>
      </c>
      <c r="DP284" s="67">
        <f t="shared" si="4886"/>
        <v>0</v>
      </c>
      <c r="DQ284" s="67">
        <f t="shared" si="4886"/>
        <v>0</v>
      </c>
      <c r="DR284" s="67">
        <f t="shared" si="4886"/>
        <v>0</v>
      </c>
      <c r="DS284" s="67">
        <f t="shared" si="4886"/>
        <v>0</v>
      </c>
      <c r="DT284" s="67">
        <f t="shared" si="4886"/>
        <v>0</v>
      </c>
      <c r="DU284" s="67">
        <f t="shared" si="4886"/>
        <v>0</v>
      </c>
      <c r="DV284" s="67">
        <f t="shared" si="4886"/>
        <v>0</v>
      </c>
      <c r="DW284" s="67">
        <f t="shared" si="4886"/>
        <v>0</v>
      </c>
      <c r="DX284" s="67">
        <f t="shared" si="4886"/>
        <v>0</v>
      </c>
      <c r="DY284" s="67">
        <f t="shared" si="4886"/>
        <v>0</v>
      </c>
      <c r="DZ284" s="67">
        <f t="shared" si="4886"/>
        <v>0</v>
      </c>
      <c r="EA284" s="67">
        <f t="shared" si="4886"/>
        <v>0</v>
      </c>
      <c r="EB284" s="67">
        <f t="shared" ref="EB284:FY284" si="4887">(EB44-EB30)</f>
        <v>0</v>
      </c>
      <c r="EC284" s="67">
        <f t="shared" si="4887"/>
        <v>0</v>
      </c>
      <c r="ED284" s="67">
        <f t="shared" si="4887"/>
        <v>0</v>
      </c>
      <c r="EE284" s="67">
        <f t="shared" si="4887"/>
        <v>0</v>
      </c>
      <c r="EF284" s="67">
        <f t="shared" si="4887"/>
        <v>0</v>
      </c>
      <c r="EG284" s="67">
        <f t="shared" si="4887"/>
        <v>0</v>
      </c>
      <c r="EH284" s="67">
        <f t="shared" si="4887"/>
        <v>0</v>
      </c>
      <c r="EI284" s="67">
        <f t="shared" si="4887"/>
        <v>0</v>
      </c>
      <c r="EJ284" s="67">
        <f t="shared" si="4887"/>
        <v>0</v>
      </c>
      <c r="EK284" s="67">
        <f t="shared" si="4887"/>
        <v>0</v>
      </c>
      <c r="EL284" s="67">
        <f t="shared" si="4887"/>
        <v>0</v>
      </c>
      <c r="EM284" s="67">
        <f t="shared" si="4887"/>
        <v>0</v>
      </c>
      <c r="EN284" s="67">
        <f t="shared" si="4887"/>
        <v>0</v>
      </c>
      <c r="EO284" s="67">
        <f t="shared" si="4887"/>
        <v>0</v>
      </c>
      <c r="EP284" s="67">
        <f t="shared" si="4887"/>
        <v>0</v>
      </c>
      <c r="EQ284" s="67">
        <f t="shared" si="4887"/>
        <v>0</v>
      </c>
      <c r="ER284" s="67">
        <f t="shared" si="4887"/>
        <v>0</v>
      </c>
      <c r="ES284" s="67">
        <f t="shared" si="4887"/>
        <v>0</v>
      </c>
      <c r="ET284" s="67">
        <f t="shared" si="4887"/>
        <v>0</v>
      </c>
      <c r="EU284" s="67">
        <f t="shared" si="4887"/>
        <v>0</v>
      </c>
      <c r="EV284" s="67">
        <f t="shared" si="4887"/>
        <v>0</v>
      </c>
      <c r="EW284" s="67">
        <f t="shared" si="4887"/>
        <v>0</v>
      </c>
      <c r="EX284" s="67">
        <f t="shared" si="4887"/>
        <v>0</v>
      </c>
      <c r="EY284" s="67">
        <f t="shared" si="4887"/>
        <v>0</v>
      </c>
      <c r="EZ284" s="67">
        <f t="shared" si="4887"/>
        <v>0</v>
      </c>
      <c r="FA284" s="67">
        <f t="shared" si="4887"/>
        <v>0</v>
      </c>
      <c r="FB284" s="67">
        <f t="shared" si="4887"/>
        <v>0</v>
      </c>
      <c r="FC284" s="67">
        <f t="shared" si="4887"/>
        <v>0</v>
      </c>
      <c r="FD284" s="67">
        <f t="shared" si="4887"/>
        <v>0</v>
      </c>
      <c r="FE284" s="67">
        <f t="shared" si="4887"/>
        <v>0</v>
      </c>
      <c r="FF284" s="67">
        <f t="shared" si="4887"/>
        <v>0</v>
      </c>
      <c r="FG284" s="67">
        <f t="shared" si="4887"/>
        <v>0</v>
      </c>
      <c r="FH284" s="67">
        <f t="shared" si="4887"/>
        <v>0</v>
      </c>
      <c r="FI284" s="67">
        <f t="shared" si="4887"/>
        <v>0</v>
      </c>
      <c r="FJ284" s="67">
        <f t="shared" si="4887"/>
        <v>0</v>
      </c>
      <c r="FK284" s="67">
        <f t="shared" si="4887"/>
        <v>0</v>
      </c>
      <c r="FL284" s="67">
        <f t="shared" si="4887"/>
        <v>0</v>
      </c>
      <c r="FM284" s="67">
        <f t="shared" si="4887"/>
        <v>0</v>
      </c>
      <c r="FN284" s="67">
        <f t="shared" si="4887"/>
        <v>0</v>
      </c>
      <c r="FO284" s="67">
        <f t="shared" si="4887"/>
        <v>0</v>
      </c>
      <c r="FP284" s="67">
        <f t="shared" si="4887"/>
        <v>0</v>
      </c>
      <c r="FQ284" s="67">
        <f t="shared" si="4887"/>
        <v>0</v>
      </c>
      <c r="FR284" s="67">
        <f t="shared" si="4887"/>
        <v>0</v>
      </c>
      <c r="FS284" s="67">
        <f t="shared" si="4887"/>
        <v>0</v>
      </c>
      <c r="FT284" s="67">
        <f t="shared" si="4887"/>
        <v>0</v>
      </c>
      <c r="FU284" s="67">
        <f t="shared" si="4887"/>
        <v>0</v>
      </c>
      <c r="FV284" s="67">
        <f t="shared" si="4887"/>
        <v>0</v>
      </c>
      <c r="FW284" s="67">
        <f t="shared" si="4887"/>
        <v>0</v>
      </c>
      <c r="FX284" s="67">
        <f t="shared" si="4887"/>
        <v>0</v>
      </c>
      <c r="FY284" s="67">
        <f t="shared" si="4887"/>
        <v>0</v>
      </c>
      <c r="FZ284" s="59"/>
    </row>
    <row r="285" spans="1:184" hidden="1" x14ac:dyDescent="0.2">
      <c r="A285" s="66" t="s">
        <v>270</v>
      </c>
      <c r="B285" s="67">
        <f>(B45-B31)</f>
        <v>0</v>
      </c>
      <c r="C285" s="67">
        <f t="shared" ref="C285" si="4888">(C45-C31)</f>
        <v>0</v>
      </c>
      <c r="D285" s="67">
        <f t="shared" ref="D285:BO285" si="4889">(D45-D31)</f>
        <v>0</v>
      </c>
      <c r="E285" s="67">
        <f t="shared" si="4889"/>
        <v>0</v>
      </c>
      <c r="F285" s="67">
        <f t="shared" si="4889"/>
        <v>0</v>
      </c>
      <c r="G285" s="67">
        <f t="shared" si="4889"/>
        <v>0</v>
      </c>
      <c r="H285" s="67">
        <f t="shared" si="4889"/>
        <v>0</v>
      </c>
      <c r="I285" s="67">
        <f t="shared" si="4889"/>
        <v>0</v>
      </c>
      <c r="J285" s="67">
        <f t="shared" si="4889"/>
        <v>0</v>
      </c>
      <c r="K285" s="67">
        <f t="shared" si="4889"/>
        <v>0</v>
      </c>
      <c r="L285" s="67">
        <f t="shared" si="4889"/>
        <v>0</v>
      </c>
      <c r="M285" s="67">
        <f t="shared" si="4889"/>
        <v>0</v>
      </c>
      <c r="N285" s="67">
        <f t="shared" si="4889"/>
        <v>0</v>
      </c>
      <c r="O285" s="67">
        <f t="shared" si="4889"/>
        <v>0</v>
      </c>
      <c r="P285" s="67">
        <f t="shared" si="4889"/>
        <v>0</v>
      </c>
      <c r="Q285" s="67">
        <f t="shared" si="4889"/>
        <v>0</v>
      </c>
      <c r="R285" s="67">
        <f t="shared" si="4889"/>
        <v>0</v>
      </c>
      <c r="S285" s="67">
        <f t="shared" si="4889"/>
        <v>0</v>
      </c>
      <c r="T285" s="67">
        <f t="shared" si="4889"/>
        <v>0</v>
      </c>
      <c r="U285" s="67">
        <f t="shared" si="4889"/>
        <v>0</v>
      </c>
      <c r="V285" s="67">
        <f t="shared" si="4889"/>
        <v>0</v>
      </c>
      <c r="W285" s="67">
        <f t="shared" si="4889"/>
        <v>0</v>
      </c>
      <c r="X285" s="67">
        <f t="shared" si="4889"/>
        <v>0</v>
      </c>
      <c r="Y285" s="67">
        <f t="shared" si="4889"/>
        <v>0</v>
      </c>
      <c r="Z285" s="67">
        <f t="shared" si="4889"/>
        <v>0</v>
      </c>
      <c r="AA285" s="67">
        <f t="shared" si="4889"/>
        <v>0</v>
      </c>
      <c r="AB285" s="67">
        <f t="shared" si="4889"/>
        <v>0</v>
      </c>
      <c r="AC285" s="67">
        <f t="shared" si="4889"/>
        <v>0</v>
      </c>
      <c r="AD285" s="67">
        <f t="shared" si="4889"/>
        <v>0</v>
      </c>
      <c r="AE285" s="67">
        <f t="shared" si="4889"/>
        <v>0</v>
      </c>
      <c r="AF285" s="67">
        <f t="shared" si="4889"/>
        <v>0</v>
      </c>
      <c r="AG285" s="67">
        <f t="shared" si="4889"/>
        <v>0</v>
      </c>
      <c r="AH285" s="67">
        <f t="shared" si="4889"/>
        <v>0</v>
      </c>
      <c r="AI285" s="67">
        <f t="shared" si="4889"/>
        <v>0</v>
      </c>
      <c r="AJ285" s="67">
        <f t="shared" si="4889"/>
        <v>0</v>
      </c>
      <c r="AK285" s="67">
        <f t="shared" si="4889"/>
        <v>0</v>
      </c>
      <c r="AL285" s="67">
        <f t="shared" si="4889"/>
        <v>0</v>
      </c>
      <c r="AM285" s="67">
        <f t="shared" si="4889"/>
        <v>0</v>
      </c>
      <c r="AN285" s="67">
        <f t="shared" si="4889"/>
        <v>0</v>
      </c>
      <c r="AO285" s="67">
        <f t="shared" si="4889"/>
        <v>0</v>
      </c>
      <c r="AP285" s="67">
        <f t="shared" si="4889"/>
        <v>0</v>
      </c>
      <c r="AQ285" s="67">
        <f t="shared" si="4889"/>
        <v>0</v>
      </c>
      <c r="AR285" s="67">
        <f t="shared" si="4889"/>
        <v>0</v>
      </c>
      <c r="AS285" s="67">
        <f t="shared" si="4889"/>
        <v>0</v>
      </c>
      <c r="AT285" s="67">
        <f t="shared" si="4889"/>
        <v>0</v>
      </c>
      <c r="AU285" s="67">
        <f t="shared" si="4889"/>
        <v>0</v>
      </c>
      <c r="AV285" s="67">
        <f t="shared" si="4889"/>
        <v>0</v>
      </c>
      <c r="AW285" s="67">
        <f t="shared" si="4889"/>
        <v>0</v>
      </c>
      <c r="AX285" s="67">
        <f t="shared" si="4889"/>
        <v>0</v>
      </c>
      <c r="AY285" s="67">
        <f t="shared" si="4889"/>
        <v>0</v>
      </c>
      <c r="AZ285" s="67">
        <f t="shared" si="4889"/>
        <v>0</v>
      </c>
      <c r="BA285" s="67">
        <f t="shared" si="4889"/>
        <v>0</v>
      </c>
      <c r="BB285" s="67">
        <f t="shared" si="4889"/>
        <v>0</v>
      </c>
      <c r="BC285" s="67">
        <f t="shared" si="4889"/>
        <v>0</v>
      </c>
      <c r="BD285" s="67">
        <f t="shared" si="4889"/>
        <v>0</v>
      </c>
      <c r="BE285" s="67">
        <f t="shared" si="4889"/>
        <v>0</v>
      </c>
      <c r="BF285" s="67">
        <f t="shared" si="4889"/>
        <v>0</v>
      </c>
      <c r="BG285" s="67">
        <f t="shared" si="4889"/>
        <v>0</v>
      </c>
      <c r="BH285" s="67">
        <f t="shared" si="4889"/>
        <v>0</v>
      </c>
      <c r="BI285" s="67">
        <f t="shared" si="4889"/>
        <v>0</v>
      </c>
      <c r="BJ285" s="67">
        <f t="shared" si="4889"/>
        <v>0</v>
      </c>
      <c r="BK285" s="67">
        <f t="shared" si="4889"/>
        <v>0</v>
      </c>
      <c r="BL285" s="67">
        <f t="shared" si="4889"/>
        <v>0</v>
      </c>
      <c r="BM285" s="67">
        <f t="shared" si="4889"/>
        <v>0</v>
      </c>
      <c r="BN285" s="67">
        <f t="shared" si="4889"/>
        <v>0</v>
      </c>
      <c r="BO285" s="67">
        <f t="shared" si="4889"/>
        <v>0</v>
      </c>
      <c r="BP285" s="67">
        <f t="shared" ref="BP285:EA285" si="4890">(BP45-BP31)</f>
        <v>0</v>
      </c>
      <c r="BQ285" s="67">
        <f t="shared" si="4890"/>
        <v>0</v>
      </c>
      <c r="BR285" s="67">
        <f t="shared" si="4890"/>
        <v>0</v>
      </c>
      <c r="BS285" s="67">
        <f t="shared" si="4890"/>
        <v>0</v>
      </c>
      <c r="BT285" s="67">
        <f t="shared" si="4890"/>
        <v>0</v>
      </c>
      <c r="BU285" s="67">
        <f t="shared" si="4890"/>
        <v>0</v>
      </c>
      <c r="BV285" s="67">
        <f t="shared" si="4890"/>
        <v>0</v>
      </c>
      <c r="BW285" s="67">
        <f t="shared" si="4890"/>
        <v>0</v>
      </c>
      <c r="BX285" s="67">
        <f t="shared" si="4890"/>
        <v>0</v>
      </c>
      <c r="BY285" s="67">
        <f t="shared" si="4890"/>
        <v>0</v>
      </c>
      <c r="BZ285" s="67">
        <f t="shared" si="4890"/>
        <v>0</v>
      </c>
      <c r="CA285" s="67">
        <f t="shared" si="4890"/>
        <v>0</v>
      </c>
      <c r="CB285" s="67">
        <f t="shared" si="4890"/>
        <v>0</v>
      </c>
      <c r="CC285" s="67">
        <f t="shared" si="4890"/>
        <v>0</v>
      </c>
      <c r="CD285" s="67">
        <f t="shared" si="4890"/>
        <v>0</v>
      </c>
      <c r="CE285" s="67">
        <f t="shared" si="4890"/>
        <v>0</v>
      </c>
      <c r="CF285" s="67">
        <f t="shared" si="4890"/>
        <v>0</v>
      </c>
      <c r="CG285" s="67">
        <f t="shared" si="4890"/>
        <v>0</v>
      </c>
      <c r="CH285" s="67">
        <f t="shared" si="4890"/>
        <v>0</v>
      </c>
      <c r="CI285" s="67">
        <f t="shared" si="4890"/>
        <v>0</v>
      </c>
      <c r="CJ285" s="67">
        <f t="shared" si="4890"/>
        <v>0</v>
      </c>
      <c r="CK285" s="67">
        <f t="shared" si="4890"/>
        <v>0</v>
      </c>
      <c r="CL285" s="67">
        <f t="shared" si="4890"/>
        <v>0</v>
      </c>
      <c r="CM285" s="67">
        <f t="shared" si="4890"/>
        <v>0</v>
      </c>
      <c r="CN285" s="67">
        <f t="shared" si="4890"/>
        <v>0</v>
      </c>
      <c r="CO285" s="67">
        <f t="shared" si="4890"/>
        <v>0</v>
      </c>
      <c r="CP285" s="67">
        <f t="shared" si="4890"/>
        <v>0</v>
      </c>
      <c r="CQ285" s="67">
        <f t="shared" si="4890"/>
        <v>0</v>
      </c>
      <c r="CR285" s="67">
        <f t="shared" si="4890"/>
        <v>0</v>
      </c>
      <c r="CS285" s="67">
        <f t="shared" si="4890"/>
        <v>0</v>
      </c>
      <c r="CT285" s="67">
        <f t="shared" si="4890"/>
        <v>0</v>
      </c>
      <c r="CU285" s="67">
        <f t="shared" si="4890"/>
        <v>0</v>
      </c>
      <c r="CV285" s="67">
        <f t="shared" si="4890"/>
        <v>0</v>
      </c>
      <c r="CW285" s="67">
        <f t="shared" si="4890"/>
        <v>0</v>
      </c>
      <c r="CX285" s="67">
        <f t="shared" si="4890"/>
        <v>0</v>
      </c>
      <c r="CY285" s="67">
        <f t="shared" si="4890"/>
        <v>0</v>
      </c>
      <c r="CZ285" s="67">
        <f t="shared" si="4890"/>
        <v>0</v>
      </c>
      <c r="DA285" s="67">
        <f t="shared" si="4890"/>
        <v>0</v>
      </c>
      <c r="DB285" s="67">
        <f t="shared" si="4890"/>
        <v>0</v>
      </c>
      <c r="DC285" s="67">
        <f t="shared" si="4890"/>
        <v>0</v>
      </c>
      <c r="DD285" s="67">
        <f t="shared" si="4890"/>
        <v>0</v>
      </c>
      <c r="DE285" s="67">
        <f t="shared" si="4890"/>
        <v>0</v>
      </c>
      <c r="DF285" s="67">
        <f t="shared" si="4890"/>
        <v>0</v>
      </c>
      <c r="DG285" s="67">
        <f t="shared" si="4890"/>
        <v>0</v>
      </c>
      <c r="DH285" s="67">
        <f t="shared" si="4890"/>
        <v>0</v>
      </c>
      <c r="DI285" s="67">
        <f t="shared" si="4890"/>
        <v>0</v>
      </c>
      <c r="DJ285" s="67">
        <f t="shared" si="4890"/>
        <v>0</v>
      </c>
      <c r="DK285" s="67">
        <f t="shared" si="4890"/>
        <v>0</v>
      </c>
      <c r="DL285" s="67">
        <f t="shared" si="4890"/>
        <v>0</v>
      </c>
      <c r="DM285" s="67">
        <f t="shared" si="4890"/>
        <v>0</v>
      </c>
      <c r="DN285" s="67">
        <f t="shared" si="4890"/>
        <v>0</v>
      </c>
      <c r="DO285" s="67">
        <f t="shared" si="4890"/>
        <v>0</v>
      </c>
      <c r="DP285" s="67">
        <f t="shared" si="4890"/>
        <v>0</v>
      </c>
      <c r="DQ285" s="67">
        <f t="shared" si="4890"/>
        <v>0</v>
      </c>
      <c r="DR285" s="67">
        <f t="shared" si="4890"/>
        <v>0</v>
      </c>
      <c r="DS285" s="67">
        <f t="shared" si="4890"/>
        <v>0</v>
      </c>
      <c r="DT285" s="67">
        <f t="shared" si="4890"/>
        <v>0</v>
      </c>
      <c r="DU285" s="67">
        <f t="shared" si="4890"/>
        <v>0</v>
      </c>
      <c r="DV285" s="67">
        <f t="shared" si="4890"/>
        <v>0</v>
      </c>
      <c r="DW285" s="67">
        <f t="shared" si="4890"/>
        <v>0</v>
      </c>
      <c r="DX285" s="67">
        <f t="shared" si="4890"/>
        <v>0</v>
      </c>
      <c r="DY285" s="67">
        <f t="shared" si="4890"/>
        <v>0</v>
      </c>
      <c r="DZ285" s="67">
        <f t="shared" si="4890"/>
        <v>0</v>
      </c>
      <c r="EA285" s="67">
        <f t="shared" si="4890"/>
        <v>0</v>
      </c>
      <c r="EB285" s="67">
        <f t="shared" ref="EB285:FY285" si="4891">(EB45-EB31)</f>
        <v>0</v>
      </c>
      <c r="EC285" s="67">
        <f t="shared" si="4891"/>
        <v>0</v>
      </c>
      <c r="ED285" s="67">
        <f t="shared" si="4891"/>
        <v>0</v>
      </c>
      <c r="EE285" s="67">
        <f t="shared" si="4891"/>
        <v>0</v>
      </c>
      <c r="EF285" s="67">
        <f t="shared" si="4891"/>
        <v>0</v>
      </c>
      <c r="EG285" s="67">
        <f t="shared" si="4891"/>
        <v>0</v>
      </c>
      <c r="EH285" s="67">
        <f t="shared" si="4891"/>
        <v>0</v>
      </c>
      <c r="EI285" s="67">
        <f t="shared" si="4891"/>
        <v>0</v>
      </c>
      <c r="EJ285" s="67">
        <f t="shared" si="4891"/>
        <v>0</v>
      </c>
      <c r="EK285" s="67">
        <f t="shared" si="4891"/>
        <v>0</v>
      </c>
      <c r="EL285" s="67">
        <f t="shared" si="4891"/>
        <v>0</v>
      </c>
      <c r="EM285" s="67">
        <f t="shared" si="4891"/>
        <v>0</v>
      </c>
      <c r="EN285" s="67">
        <f t="shared" si="4891"/>
        <v>0</v>
      </c>
      <c r="EO285" s="67">
        <f t="shared" si="4891"/>
        <v>0</v>
      </c>
      <c r="EP285" s="67">
        <f t="shared" si="4891"/>
        <v>0</v>
      </c>
      <c r="EQ285" s="67">
        <f t="shared" si="4891"/>
        <v>0</v>
      </c>
      <c r="ER285" s="67">
        <f t="shared" si="4891"/>
        <v>0</v>
      </c>
      <c r="ES285" s="67">
        <f t="shared" si="4891"/>
        <v>0</v>
      </c>
      <c r="ET285" s="67">
        <f t="shared" si="4891"/>
        <v>0</v>
      </c>
      <c r="EU285" s="67">
        <f t="shared" si="4891"/>
        <v>0</v>
      </c>
      <c r="EV285" s="67">
        <f t="shared" si="4891"/>
        <v>0</v>
      </c>
      <c r="EW285" s="67">
        <f t="shared" si="4891"/>
        <v>0</v>
      </c>
      <c r="EX285" s="67">
        <f t="shared" si="4891"/>
        <v>0</v>
      </c>
      <c r="EY285" s="67">
        <f t="shared" si="4891"/>
        <v>0</v>
      </c>
      <c r="EZ285" s="67">
        <f t="shared" si="4891"/>
        <v>0</v>
      </c>
      <c r="FA285" s="67">
        <f t="shared" si="4891"/>
        <v>0</v>
      </c>
      <c r="FB285" s="67">
        <f t="shared" si="4891"/>
        <v>0</v>
      </c>
      <c r="FC285" s="67">
        <f t="shared" si="4891"/>
        <v>0</v>
      </c>
      <c r="FD285" s="67">
        <f t="shared" si="4891"/>
        <v>0</v>
      </c>
      <c r="FE285" s="67">
        <f t="shared" si="4891"/>
        <v>0</v>
      </c>
      <c r="FF285" s="67">
        <f t="shared" si="4891"/>
        <v>0</v>
      </c>
      <c r="FG285" s="67">
        <f t="shared" si="4891"/>
        <v>0</v>
      </c>
      <c r="FH285" s="67">
        <f t="shared" si="4891"/>
        <v>0</v>
      </c>
      <c r="FI285" s="67">
        <f t="shared" si="4891"/>
        <v>0</v>
      </c>
      <c r="FJ285" s="67">
        <f t="shared" si="4891"/>
        <v>0</v>
      </c>
      <c r="FK285" s="67">
        <f t="shared" si="4891"/>
        <v>0</v>
      </c>
      <c r="FL285" s="67">
        <f t="shared" si="4891"/>
        <v>0</v>
      </c>
      <c r="FM285" s="67">
        <f t="shared" si="4891"/>
        <v>0</v>
      </c>
      <c r="FN285" s="67">
        <f t="shared" si="4891"/>
        <v>0</v>
      </c>
      <c r="FO285" s="67">
        <f t="shared" si="4891"/>
        <v>0</v>
      </c>
      <c r="FP285" s="67">
        <f t="shared" si="4891"/>
        <v>0</v>
      </c>
      <c r="FQ285" s="67">
        <f t="shared" si="4891"/>
        <v>0</v>
      </c>
      <c r="FR285" s="67">
        <f t="shared" si="4891"/>
        <v>0</v>
      </c>
      <c r="FS285" s="67">
        <f t="shared" si="4891"/>
        <v>0</v>
      </c>
      <c r="FT285" s="67">
        <f t="shared" si="4891"/>
        <v>0</v>
      </c>
      <c r="FU285" s="67">
        <f t="shared" si="4891"/>
        <v>0</v>
      </c>
      <c r="FV285" s="67">
        <f t="shared" si="4891"/>
        <v>0</v>
      </c>
      <c r="FW285" s="67">
        <f t="shared" si="4891"/>
        <v>0</v>
      </c>
      <c r="FX285" s="67">
        <f t="shared" si="4891"/>
        <v>0</v>
      </c>
      <c r="FY285" s="67">
        <f t="shared" si="4891"/>
        <v>0</v>
      </c>
      <c r="FZ285" s="59"/>
    </row>
    <row r="286" spans="1:184" hidden="1" x14ac:dyDescent="0.2">
      <c r="A286" s="66" t="s">
        <v>221</v>
      </c>
      <c r="B286" s="67">
        <f>(B46-B32)</f>
        <v>0</v>
      </c>
      <c r="C286" s="67">
        <f t="shared" ref="C286" si="4892">(C46-C32)</f>
        <v>-0.54865602885274711</v>
      </c>
      <c r="D286" s="67">
        <f t="shared" ref="D286:BO286" si="4893">(D46-D32)</f>
        <v>-1.0730397099423499</v>
      </c>
      <c r="E286" s="67">
        <f t="shared" si="4893"/>
        <v>-1.5726300883652584</v>
      </c>
      <c r="F286" s="67">
        <f t="shared" si="4893"/>
        <v>-2.0468951800216928</v>
      </c>
      <c r="G286" s="67">
        <f t="shared" si="4893"/>
        <v>-2.4952917539953887</v>
      </c>
      <c r="H286" s="67">
        <f t="shared" si="4893"/>
        <v>-2.9172651108292484</v>
      </c>
      <c r="I286" s="67">
        <f t="shared" si="4893"/>
        <v>-3.3122488566073116</v>
      </c>
      <c r="J286" s="67">
        <f t="shared" si="4893"/>
        <v>-3.6796646727261759</v>
      </c>
      <c r="K286" s="67">
        <f t="shared" si="4893"/>
        <v>-4.01892208134268</v>
      </c>
      <c r="L286" s="67">
        <f t="shared" si="4893"/>
        <v>-4.3294182064150846</v>
      </c>
      <c r="M286" s="67">
        <f t="shared" si="4893"/>
        <v>-4.6105375301158347</v>
      </c>
      <c r="N286" s="67">
        <f t="shared" si="4893"/>
        <v>-4.8616516448014409</v>
      </c>
      <c r="O286" s="67">
        <f t="shared" si="4893"/>
        <v>-5.4730181759109655</v>
      </c>
      <c r="P286" s="67">
        <f t="shared" si="4893"/>
        <v>-6.0230808037777024</v>
      </c>
      <c r="Q286" s="67">
        <f t="shared" si="4893"/>
        <v>-6.5106805731193163</v>
      </c>
      <c r="R286" s="67">
        <f t="shared" si="4893"/>
        <v>-6.934635078771862</v>
      </c>
      <c r="S286" s="67">
        <f t="shared" si="4893"/>
        <v>-7.293738028864027</v>
      </c>
      <c r="T286" s="67">
        <f t="shared" si="4893"/>
        <v>-7.5867588003961828</v>
      </c>
      <c r="U286" s="67">
        <f t="shared" si="4893"/>
        <v>-7.8124419865448544</v>
      </c>
      <c r="V286" s="67">
        <f t="shared" si="4893"/>
        <v>-7.9695069360868729</v>
      </c>
      <c r="W286" s="67">
        <f t="shared" si="4893"/>
        <v>-8.0566472845284807</v>
      </c>
      <c r="X286" s="67">
        <f t="shared" si="4893"/>
        <v>-8.0725304767199759</v>
      </c>
      <c r="Y286" s="67">
        <f t="shared" si="4893"/>
        <v>-8.0157972809429339</v>
      </c>
      <c r="Z286" s="67">
        <f t="shared" si="4893"/>
        <v>-7.8850612945552712</v>
      </c>
      <c r="AA286" s="67">
        <f t="shared" si="4893"/>
        <v>-7.8784310871774323</v>
      </c>
      <c r="AB286" s="67">
        <f t="shared" si="4893"/>
        <v>-7.760108525893429</v>
      </c>
      <c r="AC286" s="67">
        <f t="shared" si="4893"/>
        <v>-7.5282066196250526</v>
      </c>
      <c r="AD286" s="67">
        <f t="shared" si="4893"/>
        <v>-7.180801715336429</v>
      </c>
      <c r="AE286" s="67">
        <f t="shared" si="4893"/>
        <v>-6.7159328573566199</v>
      </c>
      <c r="AF286" s="67">
        <f t="shared" si="4893"/>
        <v>-6.1316011354558668</v>
      </c>
      <c r="AG286" s="67">
        <f t="shared" si="4893"/>
        <v>-5.4257690221005532</v>
      </c>
      <c r="AH286" s="67">
        <f t="shared" si="4893"/>
        <v>-4.5963596982098807</v>
      </c>
      <c r="AI286" s="67">
        <f t="shared" si="4893"/>
        <v>-3.6412563677577623</v>
      </c>
      <c r="AJ286" s="67">
        <f t="shared" si="4893"/>
        <v>-2.5583015606326285</v>
      </c>
      <c r="AK286" s="67">
        <f t="shared" si="4893"/>
        <v>0</v>
      </c>
      <c r="AL286" s="67">
        <f t="shared" si="4893"/>
        <v>0</v>
      </c>
      <c r="AM286" s="67">
        <f t="shared" si="4893"/>
        <v>0</v>
      </c>
      <c r="AN286" s="67">
        <f t="shared" si="4893"/>
        <v>0</v>
      </c>
      <c r="AO286" s="67">
        <f t="shared" si="4893"/>
        <v>0</v>
      </c>
      <c r="AP286" s="67">
        <f t="shared" si="4893"/>
        <v>0</v>
      </c>
      <c r="AQ286" s="67">
        <f t="shared" si="4893"/>
        <v>0</v>
      </c>
      <c r="AR286" s="67">
        <f t="shared" si="4893"/>
        <v>0</v>
      </c>
      <c r="AS286" s="67">
        <f t="shared" si="4893"/>
        <v>0</v>
      </c>
      <c r="AT286" s="67">
        <f t="shared" si="4893"/>
        <v>0</v>
      </c>
      <c r="AU286" s="67">
        <f t="shared" si="4893"/>
        <v>0</v>
      </c>
      <c r="AV286" s="67">
        <f t="shared" si="4893"/>
        <v>0</v>
      </c>
      <c r="AW286" s="67">
        <f t="shared" si="4893"/>
        <v>0</v>
      </c>
      <c r="AX286" s="67">
        <f t="shared" si="4893"/>
        <v>0</v>
      </c>
      <c r="AY286" s="67">
        <f t="shared" si="4893"/>
        <v>0</v>
      </c>
      <c r="AZ286" s="67">
        <f t="shared" si="4893"/>
        <v>0</v>
      </c>
      <c r="BA286" s="67">
        <f t="shared" si="4893"/>
        <v>0</v>
      </c>
      <c r="BB286" s="67">
        <f t="shared" si="4893"/>
        <v>0</v>
      </c>
      <c r="BC286" s="67">
        <f t="shared" si="4893"/>
        <v>0</v>
      </c>
      <c r="BD286" s="67">
        <f t="shared" si="4893"/>
        <v>0</v>
      </c>
      <c r="BE286" s="67">
        <f t="shared" si="4893"/>
        <v>0</v>
      </c>
      <c r="BF286" s="67">
        <f t="shared" si="4893"/>
        <v>0</v>
      </c>
      <c r="BG286" s="67">
        <f t="shared" si="4893"/>
        <v>0</v>
      </c>
      <c r="BH286" s="67">
        <f t="shared" si="4893"/>
        <v>0</v>
      </c>
      <c r="BI286" s="67">
        <f t="shared" si="4893"/>
        <v>0</v>
      </c>
      <c r="BJ286" s="67">
        <f t="shared" si="4893"/>
        <v>0</v>
      </c>
      <c r="BK286" s="67">
        <f t="shared" si="4893"/>
        <v>0</v>
      </c>
      <c r="BL286" s="67">
        <f t="shared" si="4893"/>
        <v>0</v>
      </c>
      <c r="BM286" s="67">
        <f t="shared" si="4893"/>
        <v>0</v>
      </c>
      <c r="BN286" s="67">
        <f t="shared" si="4893"/>
        <v>0</v>
      </c>
      <c r="BO286" s="67">
        <f t="shared" si="4893"/>
        <v>0</v>
      </c>
      <c r="BP286" s="67">
        <f t="shared" ref="BP286:EA286" si="4894">(BP46-BP32)</f>
        <v>0</v>
      </c>
      <c r="BQ286" s="67">
        <f t="shared" si="4894"/>
        <v>0</v>
      </c>
      <c r="BR286" s="67">
        <f t="shared" si="4894"/>
        <v>0</v>
      </c>
      <c r="BS286" s="67">
        <f t="shared" si="4894"/>
        <v>0</v>
      </c>
      <c r="BT286" s="67">
        <f t="shared" si="4894"/>
        <v>0</v>
      </c>
      <c r="BU286" s="67">
        <f t="shared" si="4894"/>
        <v>0</v>
      </c>
      <c r="BV286" s="67">
        <f t="shared" si="4894"/>
        <v>0</v>
      </c>
      <c r="BW286" s="67">
        <f t="shared" si="4894"/>
        <v>0</v>
      </c>
      <c r="BX286" s="67">
        <f t="shared" si="4894"/>
        <v>0</v>
      </c>
      <c r="BY286" s="67">
        <f t="shared" si="4894"/>
        <v>0</v>
      </c>
      <c r="BZ286" s="67">
        <f t="shared" si="4894"/>
        <v>0</v>
      </c>
      <c r="CA286" s="67">
        <f t="shared" si="4894"/>
        <v>0</v>
      </c>
      <c r="CB286" s="67">
        <f t="shared" si="4894"/>
        <v>0</v>
      </c>
      <c r="CC286" s="67">
        <f t="shared" si="4894"/>
        <v>0</v>
      </c>
      <c r="CD286" s="67">
        <f t="shared" si="4894"/>
        <v>0</v>
      </c>
      <c r="CE286" s="67">
        <f t="shared" si="4894"/>
        <v>0</v>
      </c>
      <c r="CF286" s="67">
        <f t="shared" si="4894"/>
        <v>0</v>
      </c>
      <c r="CG286" s="67">
        <f t="shared" si="4894"/>
        <v>0</v>
      </c>
      <c r="CH286" s="67">
        <f t="shared" si="4894"/>
        <v>0</v>
      </c>
      <c r="CI286" s="67">
        <f t="shared" si="4894"/>
        <v>0</v>
      </c>
      <c r="CJ286" s="67">
        <f t="shared" si="4894"/>
        <v>0</v>
      </c>
      <c r="CK286" s="67">
        <f t="shared" si="4894"/>
        <v>0</v>
      </c>
      <c r="CL286" s="67">
        <f t="shared" si="4894"/>
        <v>0</v>
      </c>
      <c r="CM286" s="67">
        <f t="shared" si="4894"/>
        <v>0</v>
      </c>
      <c r="CN286" s="67">
        <f t="shared" si="4894"/>
        <v>0</v>
      </c>
      <c r="CO286" s="67">
        <f t="shared" si="4894"/>
        <v>0</v>
      </c>
      <c r="CP286" s="67">
        <f t="shared" si="4894"/>
        <v>0</v>
      </c>
      <c r="CQ286" s="67">
        <f t="shared" si="4894"/>
        <v>0</v>
      </c>
      <c r="CR286" s="67">
        <f t="shared" si="4894"/>
        <v>0</v>
      </c>
      <c r="CS286" s="67">
        <f t="shared" si="4894"/>
        <v>0</v>
      </c>
      <c r="CT286" s="67">
        <f t="shared" si="4894"/>
        <v>0</v>
      </c>
      <c r="CU286" s="67">
        <f t="shared" si="4894"/>
        <v>0</v>
      </c>
      <c r="CV286" s="67">
        <f t="shared" si="4894"/>
        <v>0</v>
      </c>
      <c r="CW286" s="67">
        <f t="shared" si="4894"/>
        <v>0</v>
      </c>
      <c r="CX286" s="67">
        <f t="shared" si="4894"/>
        <v>0</v>
      </c>
      <c r="CY286" s="67">
        <f t="shared" si="4894"/>
        <v>0</v>
      </c>
      <c r="CZ286" s="67">
        <f t="shared" si="4894"/>
        <v>0</v>
      </c>
      <c r="DA286" s="67">
        <f t="shared" si="4894"/>
        <v>0</v>
      </c>
      <c r="DB286" s="67">
        <f t="shared" si="4894"/>
        <v>0</v>
      </c>
      <c r="DC286" s="67">
        <f t="shared" si="4894"/>
        <v>0</v>
      </c>
      <c r="DD286" s="67">
        <f t="shared" si="4894"/>
        <v>0</v>
      </c>
      <c r="DE286" s="67">
        <f t="shared" si="4894"/>
        <v>0</v>
      </c>
      <c r="DF286" s="67">
        <f t="shared" si="4894"/>
        <v>0</v>
      </c>
      <c r="DG286" s="67">
        <f t="shared" si="4894"/>
        <v>0</v>
      </c>
      <c r="DH286" s="67">
        <f t="shared" si="4894"/>
        <v>0</v>
      </c>
      <c r="DI286" s="67">
        <f t="shared" si="4894"/>
        <v>0</v>
      </c>
      <c r="DJ286" s="67">
        <f t="shared" si="4894"/>
        <v>0</v>
      </c>
      <c r="DK286" s="67">
        <f t="shared" si="4894"/>
        <v>0</v>
      </c>
      <c r="DL286" s="67">
        <f t="shared" si="4894"/>
        <v>0</v>
      </c>
      <c r="DM286" s="67">
        <f t="shared" si="4894"/>
        <v>0</v>
      </c>
      <c r="DN286" s="67">
        <f t="shared" si="4894"/>
        <v>0</v>
      </c>
      <c r="DO286" s="67">
        <f t="shared" si="4894"/>
        <v>0</v>
      </c>
      <c r="DP286" s="67">
        <f t="shared" si="4894"/>
        <v>0</v>
      </c>
      <c r="DQ286" s="67">
        <f t="shared" si="4894"/>
        <v>0</v>
      </c>
      <c r="DR286" s="67">
        <f t="shared" si="4894"/>
        <v>0</v>
      </c>
      <c r="DS286" s="67">
        <f t="shared" si="4894"/>
        <v>0</v>
      </c>
      <c r="DT286" s="67">
        <f t="shared" si="4894"/>
        <v>0</v>
      </c>
      <c r="DU286" s="67">
        <f t="shared" si="4894"/>
        <v>0</v>
      </c>
      <c r="DV286" s="67">
        <f t="shared" si="4894"/>
        <v>0</v>
      </c>
      <c r="DW286" s="67">
        <f t="shared" si="4894"/>
        <v>0</v>
      </c>
      <c r="DX286" s="67">
        <f t="shared" si="4894"/>
        <v>0</v>
      </c>
      <c r="DY286" s="67">
        <f t="shared" si="4894"/>
        <v>0</v>
      </c>
      <c r="DZ286" s="67">
        <f t="shared" si="4894"/>
        <v>0</v>
      </c>
      <c r="EA286" s="67">
        <f t="shared" si="4894"/>
        <v>0</v>
      </c>
      <c r="EB286" s="67">
        <f t="shared" ref="EB286:FY286" si="4895">(EB46-EB32)</f>
        <v>0</v>
      </c>
      <c r="EC286" s="67">
        <f t="shared" si="4895"/>
        <v>0</v>
      </c>
      <c r="ED286" s="67">
        <f t="shared" si="4895"/>
        <v>0</v>
      </c>
      <c r="EE286" s="67">
        <f t="shared" si="4895"/>
        <v>0</v>
      </c>
      <c r="EF286" s="67">
        <f t="shared" si="4895"/>
        <v>0</v>
      </c>
      <c r="EG286" s="67">
        <f t="shared" si="4895"/>
        <v>0</v>
      </c>
      <c r="EH286" s="67">
        <f t="shared" si="4895"/>
        <v>0</v>
      </c>
      <c r="EI286" s="67">
        <f t="shared" si="4895"/>
        <v>0</v>
      </c>
      <c r="EJ286" s="67">
        <f t="shared" si="4895"/>
        <v>0</v>
      </c>
      <c r="EK286" s="67">
        <f t="shared" si="4895"/>
        <v>0</v>
      </c>
      <c r="EL286" s="67">
        <f t="shared" si="4895"/>
        <v>0</v>
      </c>
      <c r="EM286" s="67">
        <f t="shared" si="4895"/>
        <v>0</v>
      </c>
      <c r="EN286" s="67">
        <f t="shared" si="4895"/>
        <v>0</v>
      </c>
      <c r="EO286" s="67">
        <f t="shared" si="4895"/>
        <v>0</v>
      </c>
      <c r="EP286" s="67">
        <f t="shared" si="4895"/>
        <v>0</v>
      </c>
      <c r="EQ286" s="67">
        <f t="shared" si="4895"/>
        <v>0</v>
      </c>
      <c r="ER286" s="67">
        <f t="shared" si="4895"/>
        <v>0</v>
      </c>
      <c r="ES286" s="67">
        <f t="shared" si="4895"/>
        <v>0</v>
      </c>
      <c r="ET286" s="67">
        <f t="shared" si="4895"/>
        <v>0</v>
      </c>
      <c r="EU286" s="67">
        <f t="shared" si="4895"/>
        <v>0</v>
      </c>
      <c r="EV286" s="67">
        <f t="shared" si="4895"/>
        <v>0</v>
      </c>
      <c r="EW286" s="67">
        <f t="shared" si="4895"/>
        <v>0</v>
      </c>
      <c r="EX286" s="67">
        <f t="shared" si="4895"/>
        <v>0</v>
      </c>
      <c r="EY286" s="67">
        <f t="shared" si="4895"/>
        <v>0</v>
      </c>
      <c r="EZ286" s="67">
        <f t="shared" si="4895"/>
        <v>0</v>
      </c>
      <c r="FA286" s="67">
        <f t="shared" si="4895"/>
        <v>0</v>
      </c>
      <c r="FB286" s="67">
        <f t="shared" si="4895"/>
        <v>0</v>
      </c>
      <c r="FC286" s="67">
        <f t="shared" si="4895"/>
        <v>0</v>
      </c>
      <c r="FD286" s="67">
        <f t="shared" si="4895"/>
        <v>0</v>
      </c>
      <c r="FE286" s="67">
        <f t="shared" si="4895"/>
        <v>0</v>
      </c>
      <c r="FF286" s="67">
        <f t="shared" si="4895"/>
        <v>0</v>
      </c>
      <c r="FG286" s="67">
        <f t="shared" si="4895"/>
        <v>0</v>
      </c>
      <c r="FH286" s="67">
        <f t="shared" si="4895"/>
        <v>0</v>
      </c>
      <c r="FI286" s="67">
        <f t="shared" si="4895"/>
        <v>0</v>
      </c>
      <c r="FJ286" s="67">
        <f t="shared" si="4895"/>
        <v>0</v>
      </c>
      <c r="FK286" s="67">
        <f t="shared" si="4895"/>
        <v>0</v>
      </c>
      <c r="FL286" s="67">
        <f t="shared" si="4895"/>
        <v>0</v>
      </c>
      <c r="FM286" s="67">
        <f t="shared" si="4895"/>
        <v>0</v>
      </c>
      <c r="FN286" s="67">
        <f t="shared" si="4895"/>
        <v>0</v>
      </c>
      <c r="FO286" s="67">
        <f t="shared" si="4895"/>
        <v>0</v>
      </c>
      <c r="FP286" s="67">
        <f t="shared" si="4895"/>
        <v>0</v>
      </c>
      <c r="FQ286" s="67">
        <f t="shared" si="4895"/>
        <v>0</v>
      </c>
      <c r="FR286" s="67">
        <f t="shared" si="4895"/>
        <v>0</v>
      </c>
      <c r="FS286" s="67">
        <f t="shared" si="4895"/>
        <v>0</v>
      </c>
      <c r="FT286" s="67">
        <f t="shared" si="4895"/>
        <v>0</v>
      </c>
      <c r="FU286" s="67">
        <f t="shared" si="4895"/>
        <v>0</v>
      </c>
      <c r="FV286" s="67">
        <f t="shared" si="4895"/>
        <v>0</v>
      </c>
      <c r="FW286" s="67">
        <f t="shared" si="4895"/>
        <v>0</v>
      </c>
      <c r="FX286" s="67">
        <f t="shared" si="4895"/>
        <v>0</v>
      </c>
      <c r="FY286" s="67">
        <f t="shared" si="4895"/>
        <v>0</v>
      </c>
      <c r="FZ286" s="59"/>
    </row>
    <row r="287" spans="1:184" hidden="1" x14ac:dyDescent="0.2">
      <c r="A287" s="66" t="s">
        <v>222</v>
      </c>
      <c r="B287" s="67">
        <f>(B49-B35)</f>
        <v>-1430.1070634071475</v>
      </c>
      <c r="C287" s="67">
        <f t="shared" ref="C287" si="4896">(C49-C35)</f>
        <v>-50.300258813999335</v>
      </c>
      <c r="D287" s="67">
        <f t="shared" ref="D287:BO287" si="4897">(D49-D35)</f>
        <v>-50.493865824122622</v>
      </c>
      <c r="E287" s="67">
        <f t="shared" si="4897"/>
        <v>-50.687885174080407</v>
      </c>
      <c r="F287" s="67">
        <f t="shared" si="4897"/>
        <v>-50.882317601644786</v>
      </c>
      <c r="G287" s="67">
        <f t="shared" si="4897"/>
        <v>-51.077163845800669</v>
      </c>
      <c r="H287" s="67">
        <f t="shared" si="4897"/>
        <v>-51.27242464674714</v>
      </c>
      <c r="I287" s="67">
        <f t="shared" si="4897"/>
        <v>-51.468100745901324</v>
      </c>
      <c r="J287" s="67">
        <f t="shared" si="4897"/>
        <v>-51.66419288589816</v>
      </c>
      <c r="K287" s="67">
        <f t="shared" si="4897"/>
        <v>-51.860701810593469</v>
      </c>
      <c r="L287" s="67">
        <f t="shared" si="4897"/>
        <v>-52.057628265064977</v>
      </c>
      <c r="M287" s="67">
        <f t="shared" si="4897"/>
        <v>-52.254972995616299</v>
      </c>
      <c r="N287" s="67">
        <f t="shared" si="4897"/>
        <v>-52.452736749775681</v>
      </c>
      <c r="O287" s="67">
        <f t="shared" si="4897"/>
        <v>-52.742320189590373</v>
      </c>
      <c r="P287" s="67">
        <f t="shared" si="4897"/>
        <v>-53.032177012786406</v>
      </c>
      <c r="Q287" s="67">
        <f t="shared" si="4897"/>
        <v>-53.322307423048869</v>
      </c>
      <c r="R287" s="67">
        <f t="shared" si="4897"/>
        <v>-53.612711624202461</v>
      </c>
      <c r="S287" s="67">
        <f t="shared" si="4897"/>
        <v>-53.9033898202091</v>
      </c>
      <c r="T287" s="67">
        <f t="shared" si="4897"/>
        <v>-54.194342215170536</v>
      </c>
      <c r="U287" s="67">
        <f t="shared" si="4897"/>
        <v>-54.485569013326881</v>
      </c>
      <c r="V287" s="67">
        <f t="shared" si="4897"/>
        <v>-54.777070419057964</v>
      </c>
      <c r="W287" s="67">
        <f t="shared" si="4897"/>
        <v>-55.068846636882313</v>
      </c>
      <c r="X287" s="67">
        <f t="shared" si="4897"/>
        <v>-55.360897871458405</v>
      </c>
      <c r="Y287" s="67">
        <f t="shared" si="4897"/>
        <v>-55.65322432758262</v>
      </c>
      <c r="Z287" s="67">
        <f t="shared" si="4897"/>
        <v>-55.945826210192422</v>
      </c>
      <c r="AA287" s="67">
        <f t="shared" si="4897"/>
        <v>-56.328998711149211</v>
      </c>
      <c r="AB287" s="67">
        <f t="shared" si="4897"/>
        <v>-56.711939844655035</v>
      </c>
      <c r="AC287" s="67">
        <f t="shared" si="4897"/>
        <v>-57.094649728505033</v>
      </c>
      <c r="AD287" s="67">
        <f t="shared" si="4897"/>
        <v>-57.477128480437614</v>
      </c>
      <c r="AE287" s="67">
        <f t="shared" si="4897"/>
        <v>-57.859376218131843</v>
      </c>
      <c r="AF287" s="67">
        <f t="shared" si="4897"/>
        <v>-58.241393059209372</v>
      </c>
      <c r="AG287" s="67">
        <f t="shared" si="4897"/>
        <v>-58.623179121235125</v>
      </c>
      <c r="AH287" s="67">
        <f t="shared" si="4897"/>
        <v>-59.004734521713544</v>
      </c>
      <c r="AI287" s="67">
        <f t="shared" si="4897"/>
        <v>-59.386059378092796</v>
      </c>
      <c r="AJ287" s="67">
        <f t="shared" si="4897"/>
        <v>-59.767153807763293</v>
      </c>
      <c r="AK287" s="67">
        <f t="shared" si="4897"/>
        <v>-60.148017928056788</v>
      </c>
      <c r="AL287" s="67">
        <f t="shared" si="4897"/>
        <v>0</v>
      </c>
      <c r="AM287" s="67">
        <f t="shared" si="4897"/>
        <v>0</v>
      </c>
      <c r="AN287" s="67">
        <f t="shared" si="4897"/>
        <v>0</v>
      </c>
      <c r="AO287" s="67">
        <f t="shared" si="4897"/>
        <v>0</v>
      </c>
      <c r="AP287" s="67">
        <f t="shared" si="4897"/>
        <v>0</v>
      </c>
      <c r="AQ287" s="67">
        <f t="shared" si="4897"/>
        <v>0</v>
      </c>
      <c r="AR287" s="67">
        <f t="shared" si="4897"/>
        <v>0</v>
      </c>
      <c r="AS287" s="67">
        <f t="shared" si="4897"/>
        <v>0</v>
      </c>
      <c r="AT287" s="67">
        <f t="shared" si="4897"/>
        <v>0</v>
      </c>
      <c r="AU287" s="67">
        <f t="shared" si="4897"/>
        <v>0</v>
      </c>
      <c r="AV287" s="67">
        <f t="shared" si="4897"/>
        <v>0</v>
      </c>
      <c r="AW287" s="67">
        <f t="shared" si="4897"/>
        <v>0</v>
      </c>
      <c r="AX287" s="67">
        <f t="shared" si="4897"/>
        <v>0</v>
      </c>
      <c r="AY287" s="67">
        <f t="shared" si="4897"/>
        <v>0</v>
      </c>
      <c r="AZ287" s="67">
        <f t="shared" si="4897"/>
        <v>0</v>
      </c>
      <c r="BA287" s="67">
        <f t="shared" si="4897"/>
        <v>0</v>
      </c>
      <c r="BB287" s="67">
        <f t="shared" si="4897"/>
        <v>0</v>
      </c>
      <c r="BC287" s="67">
        <f t="shared" si="4897"/>
        <v>0</v>
      </c>
      <c r="BD287" s="67">
        <f t="shared" si="4897"/>
        <v>0</v>
      </c>
      <c r="BE287" s="67">
        <f t="shared" si="4897"/>
        <v>0</v>
      </c>
      <c r="BF287" s="67">
        <f t="shared" si="4897"/>
        <v>0</v>
      </c>
      <c r="BG287" s="67">
        <f t="shared" si="4897"/>
        <v>0</v>
      </c>
      <c r="BH287" s="67">
        <f t="shared" si="4897"/>
        <v>0</v>
      </c>
      <c r="BI287" s="67">
        <f t="shared" si="4897"/>
        <v>0</v>
      </c>
      <c r="BJ287" s="67">
        <f t="shared" si="4897"/>
        <v>0</v>
      </c>
      <c r="BK287" s="67">
        <f t="shared" si="4897"/>
        <v>0</v>
      </c>
      <c r="BL287" s="67">
        <f t="shared" si="4897"/>
        <v>0</v>
      </c>
      <c r="BM287" s="67">
        <f t="shared" si="4897"/>
        <v>0</v>
      </c>
      <c r="BN287" s="67">
        <f t="shared" si="4897"/>
        <v>0</v>
      </c>
      <c r="BO287" s="67">
        <f t="shared" si="4897"/>
        <v>0</v>
      </c>
      <c r="BP287" s="67">
        <f t="shared" ref="BP287:EA287" si="4898">(BP49-BP35)</f>
        <v>0</v>
      </c>
      <c r="BQ287" s="67">
        <f t="shared" si="4898"/>
        <v>0</v>
      </c>
      <c r="BR287" s="67">
        <f t="shared" si="4898"/>
        <v>0</v>
      </c>
      <c r="BS287" s="67">
        <f t="shared" si="4898"/>
        <v>0</v>
      </c>
      <c r="BT287" s="67">
        <f t="shared" si="4898"/>
        <v>0</v>
      </c>
      <c r="BU287" s="67">
        <f t="shared" si="4898"/>
        <v>0</v>
      </c>
      <c r="BV287" s="67">
        <f t="shared" si="4898"/>
        <v>0</v>
      </c>
      <c r="BW287" s="67">
        <f t="shared" si="4898"/>
        <v>0</v>
      </c>
      <c r="BX287" s="67">
        <f t="shared" si="4898"/>
        <v>0</v>
      </c>
      <c r="BY287" s="67">
        <f t="shared" si="4898"/>
        <v>0</v>
      </c>
      <c r="BZ287" s="67">
        <f t="shared" si="4898"/>
        <v>0</v>
      </c>
      <c r="CA287" s="67">
        <f t="shared" si="4898"/>
        <v>0</v>
      </c>
      <c r="CB287" s="67">
        <f t="shared" si="4898"/>
        <v>0</v>
      </c>
      <c r="CC287" s="67">
        <f t="shared" si="4898"/>
        <v>0</v>
      </c>
      <c r="CD287" s="67">
        <f t="shared" si="4898"/>
        <v>0</v>
      </c>
      <c r="CE287" s="67">
        <f t="shared" si="4898"/>
        <v>0</v>
      </c>
      <c r="CF287" s="67">
        <f t="shared" si="4898"/>
        <v>0</v>
      </c>
      <c r="CG287" s="67">
        <f t="shared" si="4898"/>
        <v>0</v>
      </c>
      <c r="CH287" s="67">
        <f t="shared" si="4898"/>
        <v>0</v>
      </c>
      <c r="CI287" s="67">
        <f t="shared" si="4898"/>
        <v>0</v>
      </c>
      <c r="CJ287" s="67">
        <f t="shared" si="4898"/>
        <v>0</v>
      </c>
      <c r="CK287" s="67">
        <f t="shared" si="4898"/>
        <v>0</v>
      </c>
      <c r="CL287" s="67">
        <f t="shared" si="4898"/>
        <v>0</v>
      </c>
      <c r="CM287" s="67">
        <f t="shared" si="4898"/>
        <v>0</v>
      </c>
      <c r="CN287" s="67">
        <f t="shared" si="4898"/>
        <v>0</v>
      </c>
      <c r="CO287" s="67">
        <f t="shared" si="4898"/>
        <v>0</v>
      </c>
      <c r="CP287" s="67">
        <f t="shared" si="4898"/>
        <v>0</v>
      </c>
      <c r="CQ287" s="67">
        <f t="shared" si="4898"/>
        <v>0</v>
      </c>
      <c r="CR287" s="67">
        <f t="shared" si="4898"/>
        <v>0</v>
      </c>
      <c r="CS287" s="67">
        <f t="shared" si="4898"/>
        <v>0</v>
      </c>
      <c r="CT287" s="67">
        <f t="shared" si="4898"/>
        <v>0</v>
      </c>
      <c r="CU287" s="67">
        <f t="shared" si="4898"/>
        <v>0</v>
      </c>
      <c r="CV287" s="67">
        <f t="shared" si="4898"/>
        <v>0</v>
      </c>
      <c r="CW287" s="67">
        <f t="shared" si="4898"/>
        <v>0</v>
      </c>
      <c r="CX287" s="67">
        <f t="shared" si="4898"/>
        <v>0</v>
      </c>
      <c r="CY287" s="67">
        <f t="shared" si="4898"/>
        <v>0</v>
      </c>
      <c r="CZ287" s="67">
        <f t="shared" si="4898"/>
        <v>0</v>
      </c>
      <c r="DA287" s="67">
        <f t="shared" si="4898"/>
        <v>0</v>
      </c>
      <c r="DB287" s="67">
        <f t="shared" si="4898"/>
        <v>0</v>
      </c>
      <c r="DC287" s="67">
        <f t="shared" si="4898"/>
        <v>0</v>
      </c>
      <c r="DD287" s="67">
        <f t="shared" si="4898"/>
        <v>0</v>
      </c>
      <c r="DE287" s="67">
        <f t="shared" si="4898"/>
        <v>0</v>
      </c>
      <c r="DF287" s="67">
        <f t="shared" si="4898"/>
        <v>0</v>
      </c>
      <c r="DG287" s="67">
        <f t="shared" si="4898"/>
        <v>0</v>
      </c>
      <c r="DH287" s="67">
        <f t="shared" si="4898"/>
        <v>0</v>
      </c>
      <c r="DI287" s="67">
        <f t="shared" si="4898"/>
        <v>0</v>
      </c>
      <c r="DJ287" s="67">
        <f t="shared" si="4898"/>
        <v>0</v>
      </c>
      <c r="DK287" s="67">
        <f t="shared" si="4898"/>
        <v>0</v>
      </c>
      <c r="DL287" s="67">
        <f t="shared" si="4898"/>
        <v>0</v>
      </c>
      <c r="DM287" s="67">
        <f t="shared" si="4898"/>
        <v>0</v>
      </c>
      <c r="DN287" s="67">
        <f t="shared" si="4898"/>
        <v>0</v>
      </c>
      <c r="DO287" s="67">
        <f t="shared" si="4898"/>
        <v>0</v>
      </c>
      <c r="DP287" s="67">
        <f t="shared" si="4898"/>
        <v>0</v>
      </c>
      <c r="DQ287" s="67">
        <f t="shared" si="4898"/>
        <v>0</v>
      </c>
      <c r="DR287" s="67">
        <f t="shared" si="4898"/>
        <v>0</v>
      </c>
      <c r="DS287" s="67">
        <f t="shared" si="4898"/>
        <v>0</v>
      </c>
      <c r="DT287" s="67">
        <f t="shared" si="4898"/>
        <v>0</v>
      </c>
      <c r="DU287" s="67">
        <f t="shared" si="4898"/>
        <v>0</v>
      </c>
      <c r="DV287" s="67">
        <f t="shared" si="4898"/>
        <v>0</v>
      </c>
      <c r="DW287" s="67">
        <f t="shared" si="4898"/>
        <v>0</v>
      </c>
      <c r="DX287" s="67">
        <f t="shared" si="4898"/>
        <v>0</v>
      </c>
      <c r="DY287" s="67">
        <f t="shared" si="4898"/>
        <v>0</v>
      </c>
      <c r="DZ287" s="67">
        <f t="shared" si="4898"/>
        <v>0</v>
      </c>
      <c r="EA287" s="67">
        <f t="shared" si="4898"/>
        <v>0</v>
      </c>
      <c r="EB287" s="67">
        <f t="shared" ref="EB287:FY287" si="4899">(EB49-EB35)</f>
        <v>0</v>
      </c>
      <c r="EC287" s="67">
        <f t="shared" si="4899"/>
        <v>0</v>
      </c>
      <c r="ED287" s="67">
        <f t="shared" si="4899"/>
        <v>0</v>
      </c>
      <c r="EE287" s="67">
        <f t="shared" si="4899"/>
        <v>0</v>
      </c>
      <c r="EF287" s="67">
        <f t="shared" si="4899"/>
        <v>0</v>
      </c>
      <c r="EG287" s="67">
        <f t="shared" si="4899"/>
        <v>0</v>
      </c>
      <c r="EH287" s="67">
        <f t="shared" si="4899"/>
        <v>0</v>
      </c>
      <c r="EI287" s="67">
        <f t="shared" si="4899"/>
        <v>0</v>
      </c>
      <c r="EJ287" s="67">
        <f t="shared" si="4899"/>
        <v>0</v>
      </c>
      <c r="EK287" s="67">
        <f t="shared" si="4899"/>
        <v>0</v>
      </c>
      <c r="EL287" s="67">
        <f t="shared" si="4899"/>
        <v>0</v>
      </c>
      <c r="EM287" s="67">
        <f t="shared" si="4899"/>
        <v>0</v>
      </c>
      <c r="EN287" s="67">
        <f t="shared" si="4899"/>
        <v>0</v>
      </c>
      <c r="EO287" s="67">
        <f t="shared" si="4899"/>
        <v>0</v>
      </c>
      <c r="EP287" s="67">
        <f t="shared" si="4899"/>
        <v>0</v>
      </c>
      <c r="EQ287" s="67">
        <f t="shared" si="4899"/>
        <v>0</v>
      </c>
      <c r="ER287" s="67">
        <f t="shared" si="4899"/>
        <v>0</v>
      </c>
      <c r="ES287" s="67">
        <f t="shared" si="4899"/>
        <v>0</v>
      </c>
      <c r="ET287" s="67">
        <f t="shared" si="4899"/>
        <v>0</v>
      </c>
      <c r="EU287" s="67">
        <f t="shared" si="4899"/>
        <v>0</v>
      </c>
      <c r="EV287" s="67">
        <f t="shared" si="4899"/>
        <v>0</v>
      </c>
      <c r="EW287" s="67">
        <f t="shared" si="4899"/>
        <v>0</v>
      </c>
      <c r="EX287" s="67">
        <f t="shared" si="4899"/>
        <v>0</v>
      </c>
      <c r="EY287" s="67">
        <f t="shared" si="4899"/>
        <v>0</v>
      </c>
      <c r="EZ287" s="67">
        <f t="shared" si="4899"/>
        <v>0</v>
      </c>
      <c r="FA287" s="67">
        <f t="shared" si="4899"/>
        <v>0</v>
      </c>
      <c r="FB287" s="67">
        <f t="shared" si="4899"/>
        <v>0</v>
      </c>
      <c r="FC287" s="67">
        <f t="shared" si="4899"/>
        <v>0</v>
      </c>
      <c r="FD287" s="67">
        <f t="shared" si="4899"/>
        <v>0</v>
      </c>
      <c r="FE287" s="67">
        <f t="shared" si="4899"/>
        <v>0</v>
      </c>
      <c r="FF287" s="67">
        <f t="shared" si="4899"/>
        <v>0</v>
      </c>
      <c r="FG287" s="67">
        <f t="shared" si="4899"/>
        <v>0</v>
      </c>
      <c r="FH287" s="67">
        <f t="shared" si="4899"/>
        <v>0</v>
      </c>
      <c r="FI287" s="67">
        <f t="shared" si="4899"/>
        <v>0</v>
      </c>
      <c r="FJ287" s="67">
        <f t="shared" si="4899"/>
        <v>0</v>
      </c>
      <c r="FK287" s="67">
        <f t="shared" si="4899"/>
        <v>0</v>
      </c>
      <c r="FL287" s="67">
        <f t="shared" si="4899"/>
        <v>0</v>
      </c>
      <c r="FM287" s="67">
        <f t="shared" si="4899"/>
        <v>0</v>
      </c>
      <c r="FN287" s="67">
        <f t="shared" si="4899"/>
        <v>0</v>
      </c>
      <c r="FO287" s="67">
        <f t="shared" si="4899"/>
        <v>0</v>
      </c>
      <c r="FP287" s="67">
        <f t="shared" si="4899"/>
        <v>0</v>
      </c>
      <c r="FQ287" s="67">
        <f t="shared" si="4899"/>
        <v>0</v>
      </c>
      <c r="FR287" s="67">
        <f t="shared" si="4899"/>
        <v>0</v>
      </c>
      <c r="FS287" s="67">
        <f t="shared" si="4899"/>
        <v>0</v>
      </c>
      <c r="FT287" s="67">
        <f t="shared" si="4899"/>
        <v>0</v>
      </c>
      <c r="FU287" s="67">
        <f t="shared" si="4899"/>
        <v>0</v>
      </c>
      <c r="FV287" s="67">
        <f t="shared" si="4899"/>
        <v>0</v>
      </c>
      <c r="FW287" s="67">
        <f t="shared" si="4899"/>
        <v>0</v>
      </c>
      <c r="FX287" s="67">
        <f t="shared" si="4899"/>
        <v>0</v>
      </c>
      <c r="FY287" s="67">
        <f t="shared" si="4899"/>
        <v>0</v>
      </c>
      <c r="FZ287" s="59"/>
    </row>
    <row r="288" spans="1:184" hidden="1" x14ac:dyDescent="0.2">
      <c r="A288" s="66" t="s">
        <v>223</v>
      </c>
      <c r="B288" s="67">
        <f>(B50-B36)</f>
        <v>0</v>
      </c>
      <c r="C288" s="67">
        <f t="shared" ref="C288" si="4900">(C50-C36)</f>
        <v>0</v>
      </c>
      <c r="D288" s="67">
        <f t="shared" ref="D288:BO288" si="4901">(D50-D36)</f>
        <v>0</v>
      </c>
      <c r="E288" s="67">
        <f t="shared" si="4901"/>
        <v>0</v>
      </c>
      <c r="F288" s="67">
        <f t="shared" si="4901"/>
        <v>0</v>
      </c>
      <c r="G288" s="67">
        <f t="shared" si="4901"/>
        <v>0</v>
      </c>
      <c r="H288" s="67">
        <f t="shared" si="4901"/>
        <v>0</v>
      </c>
      <c r="I288" s="67">
        <f t="shared" si="4901"/>
        <v>0</v>
      </c>
      <c r="J288" s="67">
        <f t="shared" si="4901"/>
        <v>0</v>
      </c>
      <c r="K288" s="67">
        <f t="shared" si="4901"/>
        <v>0</v>
      </c>
      <c r="L288" s="67">
        <f t="shared" si="4901"/>
        <v>0</v>
      </c>
      <c r="M288" s="67">
        <f t="shared" si="4901"/>
        <v>0</v>
      </c>
      <c r="N288" s="67">
        <f t="shared" si="4901"/>
        <v>0</v>
      </c>
      <c r="O288" s="67">
        <f t="shared" si="4901"/>
        <v>0</v>
      </c>
      <c r="P288" s="67">
        <f t="shared" si="4901"/>
        <v>0</v>
      </c>
      <c r="Q288" s="67">
        <f t="shared" si="4901"/>
        <v>0</v>
      </c>
      <c r="R288" s="67">
        <f t="shared" si="4901"/>
        <v>0</v>
      </c>
      <c r="S288" s="67">
        <f t="shared" si="4901"/>
        <v>0</v>
      </c>
      <c r="T288" s="67">
        <f t="shared" si="4901"/>
        <v>0</v>
      </c>
      <c r="U288" s="67">
        <f t="shared" si="4901"/>
        <v>0</v>
      </c>
      <c r="V288" s="67">
        <f t="shared" si="4901"/>
        <v>0</v>
      </c>
      <c r="W288" s="67">
        <f t="shared" si="4901"/>
        <v>0</v>
      </c>
      <c r="X288" s="67">
        <f t="shared" si="4901"/>
        <v>0</v>
      </c>
      <c r="Y288" s="67">
        <f t="shared" si="4901"/>
        <v>0</v>
      </c>
      <c r="Z288" s="67">
        <f t="shared" si="4901"/>
        <v>0</v>
      </c>
      <c r="AA288" s="67">
        <f t="shared" si="4901"/>
        <v>0</v>
      </c>
      <c r="AB288" s="67">
        <f t="shared" si="4901"/>
        <v>0</v>
      </c>
      <c r="AC288" s="67">
        <f t="shared" si="4901"/>
        <v>0</v>
      </c>
      <c r="AD288" s="67">
        <f t="shared" si="4901"/>
        <v>0</v>
      </c>
      <c r="AE288" s="67">
        <f t="shared" si="4901"/>
        <v>0</v>
      </c>
      <c r="AF288" s="67">
        <f t="shared" si="4901"/>
        <v>0</v>
      </c>
      <c r="AG288" s="67">
        <f t="shared" si="4901"/>
        <v>0</v>
      </c>
      <c r="AH288" s="67">
        <f t="shared" si="4901"/>
        <v>0</v>
      </c>
      <c r="AI288" s="67">
        <f t="shared" si="4901"/>
        <v>0</v>
      </c>
      <c r="AJ288" s="67">
        <f t="shared" si="4901"/>
        <v>0</v>
      </c>
      <c r="AK288" s="67">
        <f t="shared" si="4901"/>
        <v>0</v>
      </c>
      <c r="AL288" s="67">
        <f t="shared" si="4901"/>
        <v>0</v>
      </c>
      <c r="AM288" s="67">
        <f t="shared" si="4901"/>
        <v>0</v>
      </c>
      <c r="AN288" s="67">
        <f t="shared" si="4901"/>
        <v>0</v>
      </c>
      <c r="AO288" s="67">
        <f t="shared" si="4901"/>
        <v>0</v>
      </c>
      <c r="AP288" s="67">
        <f t="shared" si="4901"/>
        <v>0</v>
      </c>
      <c r="AQ288" s="67">
        <f t="shared" si="4901"/>
        <v>0</v>
      </c>
      <c r="AR288" s="67">
        <f t="shared" si="4901"/>
        <v>0</v>
      </c>
      <c r="AS288" s="67">
        <f t="shared" si="4901"/>
        <v>0</v>
      </c>
      <c r="AT288" s="67">
        <f t="shared" si="4901"/>
        <v>0</v>
      </c>
      <c r="AU288" s="67">
        <f t="shared" si="4901"/>
        <v>0</v>
      </c>
      <c r="AV288" s="67">
        <f t="shared" si="4901"/>
        <v>0</v>
      </c>
      <c r="AW288" s="67">
        <f t="shared" si="4901"/>
        <v>0</v>
      </c>
      <c r="AX288" s="67">
        <f t="shared" si="4901"/>
        <v>0</v>
      </c>
      <c r="AY288" s="67">
        <f t="shared" si="4901"/>
        <v>0</v>
      </c>
      <c r="AZ288" s="67">
        <f t="shared" si="4901"/>
        <v>0</v>
      </c>
      <c r="BA288" s="67">
        <f t="shared" si="4901"/>
        <v>0</v>
      </c>
      <c r="BB288" s="67">
        <f t="shared" si="4901"/>
        <v>0</v>
      </c>
      <c r="BC288" s="67">
        <f t="shared" si="4901"/>
        <v>0</v>
      </c>
      <c r="BD288" s="67">
        <f t="shared" si="4901"/>
        <v>0</v>
      </c>
      <c r="BE288" s="67">
        <f t="shared" si="4901"/>
        <v>0</v>
      </c>
      <c r="BF288" s="67">
        <f t="shared" si="4901"/>
        <v>0</v>
      </c>
      <c r="BG288" s="67">
        <f t="shared" si="4901"/>
        <v>0</v>
      </c>
      <c r="BH288" s="67">
        <f t="shared" si="4901"/>
        <v>0</v>
      </c>
      <c r="BI288" s="67">
        <f t="shared" si="4901"/>
        <v>0</v>
      </c>
      <c r="BJ288" s="67">
        <f t="shared" si="4901"/>
        <v>0</v>
      </c>
      <c r="BK288" s="67">
        <f t="shared" si="4901"/>
        <v>0</v>
      </c>
      <c r="BL288" s="67">
        <f t="shared" si="4901"/>
        <v>0</v>
      </c>
      <c r="BM288" s="67">
        <f t="shared" si="4901"/>
        <v>0</v>
      </c>
      <c r="BN288" s="67">
        <f t="shared" si="4901"/>
        <v>0</v>
      </c>
      <c r="BO288" s="67">
        <f t="shared" si="4901"/>
        <v>0</v>
      </c>
      <c r="BP288" s="67">
        <f t="shared" ref="BP288:EA288" si="4902">(BP50-BP36)</f>
        <v>0</v>
      </c>
      <c r="BQ288" s="67">
        <f t="shared" si="4902"/>
        <v>0</v>
      </c>
      <c r="BR288" s="67">
        <f t="shared" si="4902"/>
        <v>0</v>
      </c>
      <c r="BS288" s="67">
        <f t="shared" si="4902"/>
        <v>0</v>
      </c>
      <c r="BT288" s="67">
        <f t="shared" si="4902"/>
        <v>0</v>
      </c>
      <c r="BU288" s="67">
        <f t="shared" si="4902"/>
        <v>0</v>
      </c>
      <c r="BV288" s="67">
        <f t="shared" si="4902"/>
        <v>0</v>
      </c>
      <c r="BW288" s="67">
        <f t="shared" si="4902"/>
        <v>0</v>
      </c>
      <c r="BX288" s="67">
        <f t="shared" si="4902"/>
        <v>0</v>
      </c>
      <c r="BY288" s="67">
        <f t="shared" si="4902"/>
        <v>0</v>
      </c>
      <c r="BZ288" s="67">
        <f t="shared" si="4902"/>
        <v>0</v>
      </c>
      <c r="CA288" s="67">
        <f t="shared" si="4902"/>
        <v>0</v>
      </c>
      <c r="CB288" s="67">
        <f t="shared" si="4902"/>
        <v>0</v>
      </c>
      <c r="CC288" s="67">
        <f t="shared" si="4902"/>
        <v>0</v>
      </c>
      <c r="CD288" s="67">
        <f t="shared" si="4902"/>
        <v>0</v>
      </c>
      <c r="CE288" s="67">
        <f t="shared" si="4902"/>
        <v>0</v>
      </c>
      <c r="CF288" s="67">
        <f t="shared" si="4902"/>
        <v>0</v>
      </c>
      <c r="CG288" s="67">
        <f t="shared" si="4902"/>
        <v>0</v>
      </c>
      <c r="CH288" s="67">
        <f t="shared" si="4902"/>
        <v>0</v>
      </c>
      <c r="CI288" s="67">
        <f t="shared" si="4902"/>
        <v>0</v>
      </c>
      <c r="CJ288" s="67">
        <f t="shared" si="4902"/>
        <v>0</v>
      </c>
      <c r="CK288" s="67">
        <f t="shared" si="4902"/>
        <v>0</v>
      </c>
      <c r="CL288" s="67">
        <f t="shared" si="4902"/>
        <v>0</v>
      </c>
      <c r="CM288" s="67">
        <f t="shared" si="4902"/>
        <v>0</v>
      </c>
      <c r="CN288" s="67">
        <f t="shared" si="4902"/>
        <v>0</v>
      </c>
      <c r="CO288" s="67">
        <f t="shared" si="4902"/>
        <v>0</v>
      </c>
      <c r="CP288" s="67">
        <f t="shared" si="4902"/>
        <v>0</v>
      </c>
      <c r="CQ288" s="67">
        <f t="shared" si="4902"/>
        <v>0</v>
      </c>
      <c r="CR288" s="67">
        <f t="shared" si="4902"/>
        <v>0</v>
      </c>
      <c r="CS288" s="67">
        <f t="shared" si="4902"/>
        <v>0</v>
      </c>
      <c r="CT288" s="67">
        <f t="shared" si="4902"/>
        <v>0</v>
      </c>
      <c r="CU288" s="67">
        <f t="shared" si="4902"/>
        <v>0</v>
      </c>
      <c r="CV288" s="67">
        <f t="shared" si="4902"/>
        <v>0</v>
      </c>
      <c r="CW288" s="67">
        <f t="shared" si="4902"/>
        <v>0</v>
      </c>
      <c r="CX288" s="67">
        <f t="shared" si="4902"/>
        <v>0</v>
      </c>
      <c r="CY288" s="67">
        <f t="shared" si="4902"/>
        <v>0</v>
      </c>
      <c r="CZ288" s="67">
        <f t="shared" si="4902"/>
        <v>0</v>
      </c>
      <c r="DA288" s="67">
        <f t="shared" si="4902"/>
        <v>0</v>
      </c>
      <c r="DB288" s="67">
        <f t="shared" si="4902"/>
        <v>0</v>
      </c>
      <c r="DC288" s="67">
        <f t="shared" si="4902"/>
        <v>0</v>
      </c>
      <c r="DD288" s="67">
        <f t="shared" si="4902"/>
        <v>0</v>
      </c>
      <c r="DE288" s="67">
        <f t="shared" si="4902"/>
        <v>0</v>
      </c>
      <c r="DF288" s="67">
        <f t="shared" si="4902"/>
        <v>0</v>
      </c>
      <c r="DG288" s="67">
        <f t="shared" si="4902"/>
        <v>0</v>
      </c>
      <c r="DH288" s="67">
        <f t="shared" si="4902"/>
        <v>0</v>
      </c>
      <c r="DI288" s="67">
        <f t="shared" si="4902"/>
        <v>0</v>
      </c>
      <c r="DJ288" s="67">
        <f t="shared" si="4902"/>
        <v>0</v>
      </c>
      <c r="DK288" s="67">
        <f t="shared" si="4902"/>
        <v>0</v>
      </c>
      <c r="DL288" s="67">
        <f t="shared" si="4902"/>
        <v>0</v>
      </c>
      <c r="DM288" s="67">
        <f t="shared" si="4902"/>
        <v>0</v>
      </c>
      <c r="DN288" s="67">
        <f t="shared" si="4902"/>
        <v>0</v>
      </c>
      <c r="DO288" s="67">
        <f t="shared" si="4902"/>
        <v>0</v>
      </c>
      <c r="DP288" s="67">
        <f t="shared" si="4902"/>
        <v>0</v>
      </c>
      <c r="DQ288" s="67">
        <f t="shared" si="4902"/>
        <v>0</v>
      </c>
      <c r="DR288" s="67">
        <f t="shared" si="4902"/>
        <v>0</v>
      </c>
      <c r="DS288" s="67">
        <f t="shared" si="4902"/>
        <v>0</v>
      </c>
      <c r="DT288" s="67">
        <f t="shared" si="4902"/>
        <v>0</v>
      </c>
      <c r="DU288" s="67">
        <f t="shared" si="4902"/>
        <v>0</v>
      </c>
      <c r="DV288" s="67">
        <f t="shared" si="4902"/>
        <v>0</v>
      </c>
      <c r="DW288" s="67">
        <f t="shared" si="4902"/>
        <v>0</v>
      </c>
      <c r="DX288" s="67">
        <f t="shared" si="4902"/>
        <v>0</v>
      </c>
      <c r="DY288" s="67">
        <f t="shared" si="4902"/>
        <v>0</v>
      </c>
      <c r="DZ288" s="67">
        <f t="shared" si="4902"/>
        <v>0</v>
      </c>
      <c r="EA288" s="67">
        <f t="shared" si="4902"/>
        <v>0</v>
      </c>
      <c r="EB288" s="67">
        <f t="shared" ref="EB288:FY288" si="4903">(EB50-EB36)</f>
        <v>0</v>
      </c>
      <c r="EC288" s="67">
        <f t="shared" si="4903"/>
        <v>0</v>
      </c>
      <c r="ED288" s="67">
        <f t="shared" si="4903"/>
        <v>0</v>
      </c>
      <c r="EE288" s="67">
        <f t="shared" si="4903"/>
        <v>0</v>
      </c>
      <c r="EF288" s="67">
        <f t="shared" si="4903"/>
        <v>0</v>
      </c>
      <c r="EG288" s="67">
        <f t="shared" si="4903"/>
        <v>0</v>
      </c>
      <c r="EH288" s="67">
        <f t="shared" si="4903"/>
        <v>0</v>
      </c>
      <c r="EI288" s="67">
        <f t="shared" si="4903"/>
        <v>0</v>
      </c>
      <c r="EJ288" s="67">
        <f t="shared" si="4903"/>
        <v>0</v>
      </c>
      <c r="EK288" s="67">
        <f t="shared" si="4903"/>
        <v>0</v>
      </c>
      <c r="EL288" s="67">
        <f t="shared" si="4903"/>
        <v>0</v>
      </c>
      <c r="EM288" s="67">
        <f t="shared" si="4903"/>
        <v>0</v>
      </c>
      <c r="EN288" s="67">
        <f t="shared" si="4903"/>
        <v>0</v>
      </c>
      <c r="EO288" s="67">
        <f t="shared" si="4903"/>
        <v>0</v>
      </c>
      <c r="EP288" s="67">
        <f t="shared" si="4903"/>
        <v>0</v>
      </c>
      <c r="EQ288" s="67">
        <f t="shared" si="4903"/>
        <v>0</v>
      </c>
      <c r="ER288" s="67">
        <f t="shared" si="4903"/>
        <v>0</v>
      </c>
      <c r="ES288" s="67">
        <f t="shared" si="4903"/>
        <v>0</v>
      </c>
      <c r="ET288" s="67">
        <f t="shared" si="4903"/>
        <v>0</v>
      </c>
      <c r="EU288" s="67">
        <f t="shared" si="4903"/>
        <v>0</v>
      </c>
      <c r="EV288" s="67">
        <f t="shared" si="4903"/>
        <v>0</v>
      </c>
      <c r="EW288" s="67">
        <f t="shared" si="4903"/>
        <v>0</v>
      </c>
      <c r="EX288" s="67">
        <f t="shared" si="4903"/>
        <v>0</v>
      </c>
      <c r="EY288" s="67">
        <f t="shared" si="4903"/>
        <v>0</v>
      </c>
      <c r="EZ288" s="67">
        <f t="shared" si="4903"/>
        <v>0</v>
      </c>
      <c r="FA288" s="67">
        <f t="shared" si="4903"/>
        <v>0</v>
      </c>
      <c r="FB288" s="67">
        <f t="shared" si="4903"/>
        <v>0</v>
      </c>
      <c r="FC288" s="67">
        <f t="shared" si="4903"/>
        <v>0</v>
      </c>
      <c r="FD288" s="67">
        <f t="shared" si="4903"/>
        <v>0</v>
      </c>
      <c r="FE288" s="67">
        <f t="shared" si="4903"/>
        <v>0</v>
      </c>
      <c r="FF288" s="67">
        <f t="shared" si="4903"/>
        <v>0</v>
      </c>
      <c r="FG288" s="67">
        <f t="shared" si="4903"/>
        <v>0</v>
      </c>
      <c r="FH288" s="67">
        <f t="shared" si="4903"/>
        <v>0</v>
      </c>
      <c r="FI288" s="67">
        <f t="shared" si="4903"/>
        <v>0</v>
      </c>
      <c r="FJ288" s="67">
        <f t="shared" si="4903"/>
        <v>0</v>
      </c>
      <c r="FK288" s="67">
        <f t="shared" si="4903"/>
        <v>0</v>
      </c>
      <c r="FL288" s="67">
        <f t="shared" si="4903"/>
        <v>0</v>
      </c>
      <c r="FM288" s="67">
        <f t="shared" si="4903"/>
        <v>0</v>
      </c>
      <c r="FN288" s="67">
        <f t="shared" si="4903"/>
        <v>0</v>
      </c>
      <c r="FO288" s="67">
        <f t="shared" si="4903"/>
        <v>0</v>
      </c>
      <c r="FP288" s="67">
        <f t="shared" si="4903"/>
        <v>0</v>
      </c>
      <c r="FQ288" s="67">
        <f t="shared" si="4903"/>
        <v>0</v>
      </c>
      <c r="FR288" s="67">
        <f t="shared" si="4903"/>
        <v>0</v>
      </c>
      <c r="FS288" s="67">
        <f t="shared" si="4903"/>
        <v>0</v>
      </c>
      <c r="FT288" s="67">
        <f t="shared" si="4903"/>
        <v>0</v>
      </c>
      <c r="FU288" s="67">
        <f t="shared" si="4903"/>
        <v>0</v>
      </c>
      <c r="FV288" s="67">
        <f t="shared" si="4903"/>
        <v>0</v>
      </c>
      <c r="FW288" s="67">
        <f t="shared" si="4903"/>
        <v>0</v>
      </c>
      <c r="FX288" s="67">
        <f t="shared" si="4903"/>
        <v>0</v>
      </c>
      <c r="FY288" s="67">
        <f t="shared" si="4903"/>
        <v>0</v>
      </c>
      <c r="FZ288" s="59"/>
    </row>
    <row r="289" spans="1:184" hidden="1" x14ac:dyDescent="0.2">
      <c r="A289" s="66" t="s">
        <v>224</v>
      </c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  <c r="BI289" s="67"/>
      <c r="BJ289" s="67"/>
      <c r="BK289" s="67"/>
      <c r="BL289" s="67"/>
      <c r="BM289" s="67"/>
      <c r="BN289" s="67"/>
      <c r="BO289" s="67"/>
      <c r="BP289" s="67"/>
      <c r="BQ289" s="67"/>
      <c r="BR289" s="67"/>
      <c r="BS289" s="67"/>
      <c r="BT289" s="67"/>
      <c r="BU289" s="67"/>
      <c r="BV289" s="67"/>
      <c r="BW289" s="67"/>
      <c r="BX289" s="67"/>
      <c r="BY289" s="67"/>
      <c r="BZ289" s="67"/>
      <c r="CA289" s="67"/>
      <c r="CB289" s="67"/>
      <c r="CC289" s="67"/>
      <c r="CD289" s="67"/>
      <c r="CE289" s="67"/>
      <c r="CF289" s="67"/>
      <c r="CG289" s="67"/>
      <c r="CH289" s="67"/>
      <c r="CI289" s="67"/>
      <c r="CJ289" s="67"/>
      <c r="CK289" s="67"/>
      <c r="CL289" s="67"/>
      <c r="CM289" s="67"/>
      <c r="CN289" s="67"/>
      <c r="CO289" s="67"/>
      <c r="CP289" s="67"/>
      <c r="CQ289" s="67"/>
      <c r="CR289" s="67"/>
      <c r="CS289" s="67"/>
      <c r="CT289" s="67"/>
      <c r="CU289" s="67"/>
      <c r="CV289" s="67"/>
      <c r="CW289" s="67"/>
      <c r="CX289" s="67"/>
      <c r="CY289" s="67"/>
      <c r="CZ289" s="67"/>
      <c r="DA289" s="67"/>
      <c r="DB289" s="67"/>
      <c r="DC289" s="67"/>
      <c r="DD289" s="67"/>
      <c r="DE289" s="67"/>
      <c r="DF289" s="67"/>
      <c r="DG289" s="67"/>
      <c r="DH289" s="67"/>
      <c r="DI289" s="67"/>
      <c r="DJ289" s="67"/>
      <c r="DK289" s="67"/>
      <c r="DL289" s="67"/>
      <c r="DM289" s="67"/>
      <c r="DN289" s="67"/>
      <c r="DO289" s="67"/>
      <c r="DP289" s="67"/>
      <c r="DQ289" s="67"/>
      <c r="DR289" s="67"/>
      <c r="DS289" s="67"/>
      <c r="DT289" s="67"/>
      <c r="DU289" s="67"/>
      <c r="DV289" s="67"/>
      <c r="DW289" s="67"/>
      <c r="DX289" s="67"/>
      <c r="DY289" s="67"/>
      <c r="DZ289" s="67"/>
      <c r="EA289" s="67"/>
      <c r="EB289" s="67"/>
      <c r="EC289" s="67"/>
      <c r="ED289" s="67"/>
      <c r="EE289" s="67"/>
      <c r="EF289" s="67"/>
      <c r="EG289" s="67"/>
      <c r="EH289" s="67"/>
      <c r="EI289" s="67"/>
      <c r="EJ289" s="67"/>
      <c r="EK289" s="67"/>
      <c r="EL289" s="67"/>
      <c r="EM289" s="67"/>
      <c r="EN289" s="67"/>
      <c r="EO289" s="67"/>
      <c r="EP289" s="67"/>
      <c r="EQ289" s="67"/>
      <c r="ER289" s="67"/>
      <c r="ES289" s="67"/>
      <c r="ET289" s="67"/>
      <c r="EU289" s="67"/>
      <c r="EV289" s="67"/>
      <c r="EW289" s="67"/>
      <c r="EX289" s="67"/>
      <c r="EY289" s="67"/>
      <c r="EZ289" s="67"/>
      <c r="FA289" s="67"/>
      <c r="FB289" s="67"/>
      <c r="FC289" s="67"/>
      <c r="FD289" s="67"/>
      <c r="FE289" s="67"/>
      <c r="FF289" s="67"/>
      <c r="FG289" s="67"/>
      <c r="FH289" s="67"/>
      <c r="FI289" s="67"/>
      <c r="FJ289" s="67"/>
      <c r="FK289" s="67"/>
      <c r="FL289" s="67"/>
      <c r="FM289" s="67"/>
      <c r="FN289" s="67"/>
      <c r="FO289" s="67"/>
      <c r="FP289" s="67"/>
      <c r="FQ289" s="67"/>
      <c r="FR289" s="67"/>
      <c r="FS289" s="67"/>
      <c r="FT289" s="67"/>
      <c r="FU289" s="67"/>
      <c r="FV289" s="67"/>
      <c r="FW289" s="67"/>
      <c r="FX289" s="67"/>
      <c r="FY289" s="67"/>
      <c r="FZ289" s="59"/>
    </row>
    <row r="290" spans="1:184" hidden="1" x14ac:dyDescent="0.2">
      <c r="A290" s="66" t="s">
        <v>225</v>
      </c>
      <c r="B290" s="67">
        <f>(B54-B40)</f>
        <v>20.217833222762238</v>
      </c>
      <c r="C290" s="67">
        <f t="shared" ref="C290" si="4904">(C54-C40)</f>
        <v>19.608010453825813</v>
      </c>
      <c r="D290" s="67">
        <f t="shared" ref="D290:BO290" si="4905">(D54-D40)</f>
        <v>19.000119849490716</v>
      </c>
      <c r="E290" s="67">
        <f t="shared" si="4905"/>
        <v>18.394157748428484</v>
      </c>
      <c r="F290" s="67">
        <f t="shared" si="4905"/>
        <v>17.790120494879133</v>
      </c>
      <c r="G290" s="67">
        <f t="shared" si="4905"/>
        <v>17.188004438643631</v>
      </c>
      <c r="H290" s="67">
        <f t="shared" si="4905"/>
        <v>16.587805935076517</v>
      </c>
      <c r="I290" s="67">
        <f t="shared" si="4905"/>
        <v>15.989521345078259</v>
      </c>
      <c r="J290" s="67">
        <f t="shared" si="4905"/>
        <v>15.393147035087949</v>
      </c>
      <c r="K290" s="67">
        <f t="shared" si="4905"/>
        <v>14.798679377075757</v>
      </c>
      <c r="L290" s="67">
        <f t="shared" si="4905"/>
        <v>14.206114748535427</v>
      </c>
      <c r="M290" s="67">
        <f t="shared" si="4905"/>
        <v>13.615449532476987</v>
      </c>
      <c r="N290" s="67">
        <f t="shared" si="4905"/>
        <v>26.174540803940971</v>
      </c>
      <c r="O290" s="67">
        <f t="shared" si="4905"/>
        <v>24.956007720213222</v>
      </c>
      <c r="P290" s="67">
        <f t="shared" si="4905"/>
        <v>23.744982249891052</v>
      </c>
      <c r="Q290" s="67">
        <f t="shared" si="4905"/>
        <v>22.541437061652971</v>
      </c>
      <c r="R290" s="67">
        <f t="shared" si="4905"/>
        <v>21.34534490374169</v>
      </c>
      <c r="S290" s="67">
        <f t="shared" si="4905"/>
        <v>20.156678603759232</v>
      </c>
      <c r="T290" s="67">
        <f t="shared" si="4905"/>
        <v>18.975411068462805</v>
      </c>
      <c r="U290" s="67">
        <f t="shared" si="4905"/>
        <v>17.801515283561017</v>
      </c>
      <c r="V290" s="67">
        <f t="shared" si="4905"/>
        <v>16.634964313510636</v>
      </c>
      <c r="W290" s="67">
        <f t="shared" si="4905"/>
        <v>15.4757313013138</v>
      </c>
      <c r="X290" s="67">
        <f t="shared" si="4905"/>
        <v>14.323789468315695</v>
      </c>
      <c r="Y290" s="67">
        <f t="shared" si="4905"/>
        <v>13.17911211400282</v>
      </c>
      <c r="Z290" s="67">
        <f t="shared" si="4905"/>
        <v>18.147228618197175</v>
      </c>
      <c r="AA290" s="67">
        <f t="shared" si="4905"/>
        <v>16.417531076838657</v>
      </c>
      <c r="AB290" s="67">
        <f t="shared" si="4905"/>
        <v>14.704086290012171</v>
      </c>
      <c r="AC290" s="67">
        <f t="shared" si="4905"/>
        <v>13.006805877724332</v>
      </c>
      <c r="AD290" s="67">
        <f t="shared" si="4905"/>
        <v>11.325601842432036</v>
      </c>
      <c r="AE290" s="67">
        <f t="shared" si="4905"/>
        <v>9.6603865675823428</v>
      </c>
      <c r="AF290" s="67">
        <f t="shared" si="4905"/>
        <v>8.011072816157494</v>
      </c>
      <c r="AG290" s="67">
        <f t="shared" si="4905"/>
        <v>6.3775737292251335</v>
      </c>
      <c r="AH290" s="67">
        <f t="shared" si="4905"/>
        <v>4.7598028244935726</v>
      </c>
      <c r="AI290" s="67">
        <f t="shared" si="4905"/>
        <v>3.1576739948721126</v>
      </c>
      <c r="AJ290" s="67">
        <f t="shared" si="4905"/>
        <v>1.5711015070366301</v>
      </c>
      <c r="AK290" s="67">
        <f t="shared" si="4905"/>
        <v>0</v>
      </c>
      <c r="AL290" s="67">
        <f t="shared" si="4905"/>
        <v>0</v>
      </c>
      <c r="AM290" s="67">
        <f t="shared" si="4905"/>
        <v>0</v>
      </c>
      <c r="AN290" s="67">
        <f t="shared" si="4905"/>
        <v>0</v>
      </c>
      <c r="AO290" s="67">
        <f t="shared" si="4905"/>
        <v>0</v>
      </c>
      <c r="AP290" s="67">
        <f t="shared" si="4905"/>
        <v>0</v>
      </c>
      <c r="AQ290" s="67">
        <f t="shared" si="4905"/>
        <v>0</v>
      </c>
      <c r="AR290" s="67">
        <f t="shared" si="4905"/>
        <v>0</v>
      </c>
      <c r="AS290" s="67">
        <f t="shared" si="4905"/>
        <v>0</v>
      </c>
      <c r="AT290" s="67">
        <f t="shared" si="4905"/>
        <v>0</v>
      </c>
      <c r="AU290" s="67">
        <f t="shared" si="4905"/>
        <v>0</v>
      </c>
      <c r="AV290" s="67">
        <f t="shared" si="4905"/>
        <v>0</v>
      </c>
      <c r="AW290" s="67">
        <f t="shared" si="4905"/>
        <v>0</v>
      </c>
      <c r="AX290" s="67">
        <f t="shared" si="4905"/>
        <v>0</v>
      </c>
      <c r="AY290" s="67">
        <f t="shared" si="4905"/>
        <v>0</v>
      </c>
      <c r="AZ290" s="67">
        <f t="shared" si="4905"/>
        <v>0</v>
      </c>
      <c r="BA290" s="67">
        <f t="shared" si="4905"/>
        <v>0</v>
      </c>
      <c r="BB290" s="67">
        <f t="shared" si="4905"/>
        <v>0</v>
      </c>
      <c r="BC290" s="67">
        <f t="shared" si="4905"/>
        <v>0</v>
      </c>
      <c r="BD290" s="67">
        <f t="shared" si="4905"/>
        <v>0</v>
      </c>
      <c r="BE290" s="67">
        <f t="shared" si="4905"/>
        <v>0</v>
      </c>
      <c r="BF290" s="67">
        <f t="shared" si="4905"/>
        <v>0</v>
      </c>
      <c r="BG290" s="67">
        <f t="shared" si="4905"/>
        <v>0</v>
      </c>
      <c r="BH290" s="67">
        <f t="shared" si="4905"/>
        <v>0</v>
      </c>
      <c r="BI290" s="67">
        <f t="shared" si="4905"/>
        <v>0</v>
      </c>
      <c r="BJ290" s="67">
        <f t="shared" si="4905"/>
        <v>0</v>
      </c>
      <c r="BK290" s="67">
        <f t="shared" si="4905"/>
        <v>0</v>
      </c>
      <c r="BL290" s="67">
        <f t="shared" si="4905"/>
        <v>0</v>
      </c>
      <c r="BM290" s="67">
        <f t="shared" si="4905"/>
        <v>0</v>
      </c>
      <c r="BN290" s="67">
        <f t="shared" si="4905"/>
        <v>0</v>
      </c>
      <c r="BO290" s="67">
        <f t="shared" si="4905"/>
        <v>0</v>
      </c>
      <c r="BP290" s="67">
        <f t="shared" ref="BP290:EA290" si="4906">(BP54-BP40)</f>
        <v>0</v>
      </c>
      <c r="BQ290" s="67">
        <f t="shared" si="4906"/>
        <v>0</v>
      </c>
      <c r="BR290" s="67">
        <f t="shared" si="4906"/>
        <v>0</v>
      </c>
      <c r="BS290" s="67">
        <f t="shared" si="4906"/>
        <v>0</v>
      </c>
      <c r="BT290" s="67">
        <f t="shared" si="4906"/>
        <v>0</v>
      </c>
      <c r="BU290" s="67">
        <f t="shared" si="4906"/>
        <v>0</v>
      </c>
      <c r="BV290" s="67">
        <f t="shared" si="4906"/>
        <v>0</v>
      </c>
      <c r="BW290" s="67">
        <f t="shared" si="4906"/>
        <v>0</v>
      </c>
      <c r="BX290" s="67">
        <f t="shared" si="4906"/>
        <v>0</v>
      </c>
      <c r="BY290" s="67">
        <f t="shared" si="4906"/>
        <v>0</v>
      </c>
      <c r="BZ290" s="67">
        <f t="shared" si="4906"/>
        <v>0</v>
      </c>
      <c r="CA290" s="67">
        <f t="shared" si="4906"/>
        <v>0</v>
      </c>
      <c r="CB290" s="67">
        <f t="shared" si="4906"/>
        <v>0</v>
      </c>
      <c r="CC290" s="67">
        <f t="shared" si="4906"/>
        <v>0</v>
      </c>
      <c r="CD290" s="67">
        <f t="shared" si="4906"/>
        <v>0</v>
      </c>
      <c r="CE290" s="67">
        <f t="shared" si="4906"/>
        <v>0</v>
      </c>
      <c r="CF290" s="67">
        <f t="shared" si="4906"/>
        <v>0</v>
      </c>
      <c r="CG290" s="67">
        <f t="shared" si="4906"/>
        <v>0</v>
      </c>
      <c r="CH290" s="67">
        <f t="shared" si="4906"/>
        <v>0</v>
      </c>
      <c r="CI290" s="67">
        <f t="shared" si="4906"/>
        <v>0</v>
      </c>
      <c r="CJ290" s="67">
        <f t="shared" si="4906"/>
        <v>0</v>
      </c>
      <c r="CK290" s="67">
        <f t="shared" si="4906"/>
        <v>0</v>
      </c>
      <c r="CL290" s="67">
        <f t="shared" si="4906"/>
        <v>0</v>
      </c>
      <c r="CM290" s="67">
        <f t="shared" si="4906"/>
        <v>0</v>
      </c>
      <c r="CN290" s="67">
        <f t="shared" si="4906"/>
        <v>0</v>
      </c>
      <c r="CO290" s="67">
        <f t="shared" si="4906"/>
        <v>0</v>
      </c>
      <c r="CP290" s="67">
        <f t="shared" si="4906"/>
        <v>0</v>
      </c>
      <c r="CQ290" s="67">
        <f t="shared" si="4906"/>
        <v>0</v>
      </c>
      <c r="CR290" s="67">
        <f t="shared" si="4906"/>
        <v>0</v>
      </c>
      <c r="CS290" s="67">
        <f t="shared" si="4906"/>
        <v>0</v>
      </c>
      <c r="CT290" s="67">
        <f t="shared" si="4906"/>
        <v>0</v>
      </c>
      <c r="CU290" s="67">
        <f t="shared" si="4906"/>
        <v>0</v>
      </c>
      <c r="CV290" s="67">
        <f t="shared" si="4906"/>
        <v>0</v>
      </c>
      <c r="CW290" s="67">
        <f t="shared" si="4906"/>
        <v>0</v>
      </c>
      <c r="CX290" s="67">
        <f t="shared" si="4906"/>
        <v>0</v>
      </c>
      <c r="CY290" s="67">
        <f t="shared" si="4906"/>
        <v>0</v>
      </c>
      <c r="CZ290" s="67">
        <f t="shared" si="4906"/>
        <v>0</v>
      </c>
      <c r="DA290" s="67">
        <f t="shared" si="4906"/>
        <v>0</v>
      </c>
      <c r="DB290" s="67">
        <f t="shared" si="4906"/>
        <v>0</v>
      </c>
      <c r="DC290" s="67">
        <f t="shared" si="4906"/>
        <v>0</v>
      </c>
      <c r="DD290" s="67">
        <f t="shared" si="4906"/>
        <v>0</v>
      </c>
      <c r="DE290" s="67">
        <f t="shared" si="4906"/>
        <v>0</v>
      </c>
      <c r="DF290" s="67">
        <f t="shared" si="4906"/>
        <v>0</v>
      </c>
      <c r="DG290" s="67">
        <f t="shared" si="4906"/>
        <v>0</v>
      </c>
      <c r="DH290" s="67">
        <f t="shared" si="4906"/>
        <v>0</v>
      </c>
      <c r="DI290" s="67">
        <f t="shared" si="4906"/>
        <v>0</v>
      </c>
      <c r="DJ290" s="67">
        <f t="shared" si="4906"/>
        <v>0</v>
      </c>
      <c r="DK290" s="67">
        <f t="shared" si="4906"/>
        <v>0</v>
      </c>
      <c r="DL290" s="67">
        <f t="shared" si="4906"/>
        <v>0</v>
      </c>
      <c r="DM290" s="67">
        <f t="shared" si="4906"/>
        <v>0</v>
      </c>
      <c r="DN290" s="67">
        <f t="shared" si="4906"/>
        <v>0</v>
      </c>
      <c r="DO290" s="67">
        <f t="shared" si="4906"/>
        <v>0</v>
      </c>
      <c r="DP290" s="67">
        <f t="shared" si="4906"/>
        <v>0</v>
      </c>
      <c r="DQ290" s="67">
        <f t="shared" si="4906"/>
        <v>0</v>
      </c>
      <c r="DR290" s="67">
        <f t="shared" si="4906"/>
        <v>0</v>
      </c>
      <c r="DS290" s="67">
        <f t="shared" si="4906"/>
        <v>0</v>
      </c>
      <c r="DT290" s="67">
        <f t="shared" si="4906"/>
        <v>0</v>
      </c>
      <c r="DU290" s="67">
        <f t="shared" si="4906"/>
        <v>0</v>
      </c>
      <c r="DV290" s="67">
        <f t="shared" si="4906"/>
        <v>0</v>
      </c>
      <c r="DW290" s="67">
        <f t="shared" si="4906"/>
        <v>0</v>
      </c>
      <c r="DX290" s="67">
        <f t="shared" si="4906"/>
        <v>0</v>
      </c>
      <c r="DY290" s="67">
        <f t="shared" si="4906"/>
        <v>0</v>
      </c>
      <c r="DZ290" s="67">
        <f t="shared" si="4906"/>
        <v>0</v>
      </c>
      <c r="EA290" s="67">
        <f t="shared" si="4906"/>
        <v>0</v>
      </c>
      <c r="EB290" s="67">
        <f t="shared" ref="EB290:FY290" si="4907">(EB54-EB40)</f>
        <v>0</v>
      </c>
      <c r="EC290" s="67">
        <f t="shared" si="4907"/>
        <v>0</v>
      </c>
      <c r="ED290" s="67">
        <f t="shared" si="4907"/>
        <v>0</v>
      </c>
      <c r="EE290" s="67">
        <f t="shared" si="4907"/>
        <v>0</v>
      </c>
      <c r="EF290" s="67">
        <f t="shared" si="4907"/>
        <v>0</v>
      </c>
      <c r="EG290" s="67">
        <f t="shared" si="4907"/>
        <v>0</v>
      </c>
      <c r="EH290" s="67">
        <f t="shared" si="4907"/>
        <v>0</v>
      </c>
      <c r="EI290" s="67">
        <f t="shared" si="4907"/>
        <v>0</v>
      </c>
      <c r="EJ290" s="67">
        <f t="shared" si="4907"/>
        <v>0</v>
      </c>
      <c r="EK290" s="67">
        <f t="shared" si="4907"/>
        <v>0</v>
      </c>
      <c r="EL290" s="67">
        <f t="shared" si="4907"/>
        <v>0</v>
      </c>
      <c r="EM290" s="67">
        <f t="shared" si="4907"/>
        <v>0</v>
      </c>
      <c r="EN290" s="67">
        <f t="shared" si="4907"/>
        <v>0</v>
      </c>
      <c r="EO290" s="67">
        <f t="shared" si="4907"/>
        <v>0</v>
      </c>
      <c r="EP290" s="67">
        <f t="shared" si="4907"/>
        <v>0</v>
      </c>
      <c r="EQ290" s="67">
        <f t="shared" si="4907"/>
        <v>0</v>
      </c>
      <c r="ER290" s="67">
        <f t="shared" si="4907"/>
        <v>0</v>
      </c>
      <c r="ES290" s="67">
        <f t="shared" si="4907"/>
        <v>0</v>
      </c>
      <c r="ET290" s="67">
        <f t="shared" si="4907"/>
        <v>0</v>
      </c>
      <c r="EU290" s="67">
        <f t="shared" si="4907"/>
        <v>0</v>
      </c>
      <c r="EV290" s="67">
        <f t="shared" si="4907"/>
        <v>0</v>
      </c>
      <c r="EW290" s="67">
        <f t="shared" si="4907"/>
        <v>0</v>
      </c>
      <c r="EX290" s="67">
        <f t="shared" si="4907"/>
        <v>0</v>
      </c>
      <c r="EY290" s="67">
        <f t="shared" si="4907"/>
        <v>0</v>
      </c>
      <c r="EZ290" s="67">
        <f t="shared" si="4907"/>
        <v>0</v>
      </c>
      <c r="FA290" s="67">
        <f t="shared" si="4907"/>
        <v>0</v>
      </c>
      <c r="FB290" s="67">
        <f t="shared" si="4907"/>
        <v>0</v>
      </c>
      <c r="FC290" s="67">
        <f t="shared" si="4907"/>
        <v>0</v>
      </c>
      <c r="FD290" s="67">
        <f t="shared" si="4907"/>
        <v>0</v>
      </c>
      <c r="FE290" s="67">
        <f t="shared" si="4907"/>
        <v>0</v>
      </c>
      <c r="FF290" s="67">
        <f t="shared" si="4907"/>
        <v>0</v>
      </c>
      <c r="FG290" s="67">
        <f t="shared" si="4907"/>
        <v>0</v>
      </c>
      <c r="FH290" s="67">
        <f t="shared" si="4907"/>
        <v>0</v>
      </c>
      <c r="FI290" s="67">
        <f t="shared" si="4907"/>
        <v>0</v>
      </c>
      <c r="FJ290" s="67">
        <f t="shared" si="4907"/>
        <v>0</v>
      </c>
      <c r="FK290" s="67">
        <f t="shared" si="4907"/>
        <v>0</v>
      </c>
      <c r="FL290" s="67">
        <f t="shared" si="4907"/>
        <v>0</v>
      </c>
      <c r="FM290" s="67">
        <f t="shared" si="4907"/>
        <v>0</v>
      </c>
      <c r="FN290" s="67">
        <f t="shared" si="4907"/>
        <v>0</v>
      </c>
      <c r="FO290" s="67">
        <f t="shared" si="4907"/>
        <v>0</v>
      </c>
      <c r="FP290" s="67">
        <f t="shared" si="4907"/>
        <v>0</v>
      </c>
      <c r="FQ290" s="67">
        <f t="shared" si="4907"/>
        <v>0</v>
      </c>
      <c r="FR290" s="67">
        <f t="shared" si="4907"/>
        <v>0</v>
      </c>
      <c r="FS290" s="67">
        <f t="shared" si="4907"/>
        <v>0</v>
      </c>
      <c r="FT290" s="67">
        <f t="shared" si="4907"/>
        <v>0</v>
      </c>
      <c r="FU290" s="67">
        <f t="shared" si="4907"/>
        <v>0</v>
      </c>
      <c r="FV290" s="67">
        <f t="shared" si="4907"/>
        <v>0</v>
      </c>
      <c r="FW290" s="67">
        <f t="shared" si="4907"/>
        <v>0</v>
      </c>
      <c r="FX290" s="67">
        <f t="shared" si="4907"/>
        <v>0</v>
      </c>
      <c r="FY290" s="67">
        <f t="shared" si="4907"/>
        <v>0</v>
      </c>
      <c r="FZ290" s="59"/>
    </row>
    <row r="291" spans="1:184" x14ac:dyDescent="0.2"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  <c r="FB291" s="57"/>
      <c r="FC291" s="57"/>
      <c r="FD291" s="57"/>
      <c r="FE291" s="57"/>
      <c r="FF291" s="57"/>
      <c r="FG291" s="57"/>
      <c r="FH291" s="57"/>
      <c r="FI291" s="57"/>
      <c r="FJ291" s="57"/>
      <c r="FK291" s="57"/>
      <c r="FL291" s="57"/>
      <c r="FM291" s="57"/>
      <c r="FN291" s="57"/>
      <c r="FO291" s="57"/>
      <c r="FP291" s="57"/>
      <c r="FQ291" s="57"/>
      <c r="FR291" s="57"/>
      <c r="FS291" s="57"/>
      <c r="FT291" s="57"/>
      <c r="FU291" s="57"/>
      <c r="FV291" s="57"/>
      <c r="FW291" s="57"/>
      <c r="FX291" s="57"/>
      <c r="FY291" s="57"/>
    </row>
    <row r="292" spans="1:184" x14ac:dyDescent="0.2">
      <c r="A292" s="2" t="s">
        <v>226</v>
      </c>
      <c r="B292" s="57">
        <f>SUM(B281:B283)</f>
        <v>2719.0774143267922</v>
      </c>
      <c r="C292" s="57">
        <f t="shared" ref="C292" si="4908">SUM(C281:C283)</f>
        <v>2590.574180237978</v>
      </c>
      <c r="D292" s="57">
        <f t="shared" ref="D292:BO292" si="4909">SUM(D281:D283)</f>
        <v>2464.027501250629</v>
      </c>
      <c r="E292" s="57">
        <f t="shared" si="4909"/>
        <v>2339.5148339398079</v>
      </c>
      <c r="F292" s="57">
        <f t="shared" si="4909"/>
        <v>2217.1154255873785</v>
      </c>
      <c r="G292" s="57">
        <f t="shared" si="4909"/>
        <v>2096.9104819216745</v>
      </c>
      <c r="H292" s="57">
        <f t="shared" si="4909"/>
        <v>1978.9829396809412</v>
      </c>
      <c r="I292" s="57">
        <f t="shared" si="4909"/>
        <v>1863.4176404479474</v>
      </c>
      <c r="J292" s="57">
        <f t="shared" si="4909"/>
        <v>1750.3013703389124</v>
      </c>
      <c r="K292" s="57">
        <f t="shared" si="4909"/>
        <v>1639.7229005011063</v>
      </c>
      <c r="L292" s="57">
        <f t="shared" si="4909"/>
        <v>1531.7730284340837</v>
      </c>
      <c r="M292" s="57">
        <f t="shared" si="4909"/>
        <v>1426.5446201526993</v>
      </c>
      <c r="N292" s="57">
        <f t="shared" si="4909"/>
        <v>1324.1327629660982</v>
      </c>
      <c r="O292" s="57">
        <f t="shared" si="4909"/>
        <v>1224.6356375487489</v>
      </c>
      <c r="P292" s="57">
        <f t="shared" si="4909"/>
        <v>1128.1525176718228</v>
      </c>
      <c r="Q292" s="57">
        <f t="shared" si="4909"/>
        <v>1034.7849094839485</v>
      </c>
      <c r="R292" s="57">
        <f t="shared" si="4909"/>
        <v>944.63660811284444</v>
      </c>
      <c r="S292" s="57">
        <f t="shared" si="4909"/>
        <v>857.81374513381684</v>
      </c>
      <c r="T292" s="57">
        <f t="shared" si="4909"/>
        <v>774.42483700373009</v>
      </c>
      <c r="U292" s="57">
        <f t="shared" si="4909"/>
        <v>694.58083448023342</v>
      </c>
      <c r="V292" s="57">
        <f t="shared" si="4909"/>
        <v>618.39525367754618</v>
      </c>
      <c r="W292" s="57">
        <f t="shared" si="4909"/>
        <v>545.984058382017</v>
      </c>
      <c r="X292" s="57">
        <f t="shared" si="4909"/>
        <v>477.46580067522757</v>
      </c>
      <c r="Y292" s="57">
        <f t="shared" si="4909"/>
        <v>412.96167448109071</v>
      </c>
      <c r="Z292" s="57">
        <f t="shared" si="4909"/>
        <v>352.59557020469259</v>
      </c>
      <c r="AA292" s="57">
        <f t="shared" si="4909"/>
        <v>296.49470743643599</v>
      </c>
      <c r="AB292" s="57">
        <f t="shared" si="4909"/>
        <v>244.78845956682508</v>
      </c>
      <c r="AC292" s="57">
        <f t="shared" si="4909"/>
        <v>197.6090501608769</v>
      </c>
      <c r="AD292" s="57">
        <f t="shared" si="4909"/>
        <v>155.09162487402568</v>
      </c>
      <c r="AE292" s="57">
        <f t="shared" si="4909"/>
        <v>117.37435115105059</v>
      </c>
      <c r="AF292" s="57">
        <f t="shared" si="4909"/>
        <v>84.598390662460105</v>
      </c>
      <c r="AG292" s="57">
        <f t="shared" si="4909"/>
        <v>56.908011268652345</v>
      </c>
      <c r="AH292" s="57">
        <f t="shared" si="4909"/>
        <v>34.45065103595438</v>
      </c>
      <c r="AI292" s="57">
        <f t="shared" si="4909"/>
        <v>17.376983553017283</v>
      </c>
      <c r="AJ292" s="57">
        <f t="shared" si="4909"/>
        <v>5.8409845716587157</v>
      </c>
      <c r="AK292" s="57">
        <f t="shared" si="4909"/>
        <v>0</v>
      </c>
      <c r="AL292" s="57">
        <f t="shared" si="4909"/>
        <v>0</v>
      </c>
      <c r="AM292" s="57">
        <f t="shared" si="4909"/>
        <v>0</v>
      </c>
      <c r="AN292" s="57">
        <f t="shared" si="4909"/>
        <v>0</v>
      </c>
      <c r="AO292" s="57">
        <f t="shared" si="4909"/>
        <v>0</v>
      </c>
      <c r="AP292" s="57">
        <f t="shared" si="4909"/>
        <v>0</v>
      </c>
      <c r="AQ292" s="57">
        <f t="shared" si="4909"/>
        <v>0</v>
      </c>
      <c r="AR292" s="57">
        <f t="shared" si="4909"/>
        <v>0</v>
      </c>
      <c r="AS292" s="57">
        <f t="shared" si="4909"/>
        <v>0</v>
      </c>
      <c r="AT292" s="57">
        <f t="shared" si="4909"/>
        <v>0</v>
      </c>
      <c r="AU292" s="57">
        <f t="shared" si="4909"/>
        <v>0</v>
      </c>
      <c r="AV292" s="57">
        <f t="shared" si="4909"/>
        <v>0</v>
      </c>
      <c r="AW292" s="57">
        <f t="shared" si="4909"/>
        <v>0</v>
      </c>
      <c r="AX292" s="57">
        <f t="shared" si="4909"/>
        <v>0</v>
      </c>
      <c r="AY292" s="57">
        <f t="shared" si="4909"/>
        <v>0</v>
      </c>
      <c r="AZ292" s="57">
        <f t="shared" si="4909"/>
        <v>0</v>
      </c>
      <c r="BA292" s="57">
        <f t="shared" si="4909"/>
        <v>0</v>
      </c>
      <c r="BB292" s="57">
        <f t="shared" si="4909"/>
        <v>0</v>
      </c>
      <c r="BC292" s="57">
        <f t="shared" si="4909"/>
        <v>0</v>
      </c>
      <c r="BD292" s="57">
        <f t="shared" si="4909"/>
        <v>0</v>
      </c>
      <c r="BE292" s="57">
        <f t="shared" si="4909"/>
        <v>0</v>
      </c>
      <c r="BF292" s="57">
        <f t="shared" si="4909"/>
        <v>0</v>
      </c>
      <c r="BG292" s="57">
        <f t="shared" si="4909"/>
        <v>0</v>
      </c>
      <c r="BH292" s="57">
        <f t="shared" si="4909"/>
        <v>0</v>
      </c>
      <c r="BI292" s="57">
        <f t="shared" si="4909"/>
        <v>0</v>
      </c>
      <c r="BJ292" s="57">
        <f t="shared" si="4909"/>
        <v>0</v>
      </c>
      <c r="BK292" s="57">
        <f t="shared" si="4909"/>
        <v>0</v>
      </c>
      <c r="BL292" s="57">
        <f t="shared" si="4909"/>
        <v>0</v>
      </c>
      <c r="BM292" s="57">
        <f t="shared" si="4909"/>
        <v>0</v>
      </c>
      <c r="BN292" s="57">
        <f t="shared" si="4909"/>
        <v>0</v>
      </c>
      <c r="BO292" s="57">
        <f t="shared" si="4909"/>
        <v>0</v>
      </c>
      <c r="BP292" s="57">
        <f t="shared" ref="BP292:EA292" si="4910">SUM(BP281:BP283)</f>
        <v>0</v>
      </c>
      <c r="BQ292" s="57">
        <f t="shared" si="4910"/>
        <v>0</v>
      </c>
      <c r="BR292" s="57">
        <f t="shared" si="4910"/>
        <v>0</v>
      </c>
      <c r="BS292" s="57">
        <f t="shared" si="4910"/>
        <v>0</v>
      </c>
      <c r="BT292" s="57">
        <f t="shared" si="4910"/>
        <v>0</v>
      </c>
      <c r="BU292" s="57">
        <f t="shared" si="4910"/>
        <v>0</v>
      </c>
      <c r="BV292" s="57">
        <f t="shared" si="4910"/>
        <v>0</v>
      </c>
      <c r="BW292" s="57">
        <f t="shared" si="4910"/>
        <v>0</v>
      </c>
      <c r="BX292" s="57">
        <f t="shared" si="4910"/>
        <v>0</v>
      </c>
      <c r="BY292" s="57">
        <f t="shared" si="4910"/>
        <v>0</v>
      </c>
      <c r="BZ292" s="57">
        <f t="shared" si="4910"/>
        <v>0</v>
      </c>
      <c r="CA292" s="57">
        <f t="shared" si="4910"/>
        <v>0</v>
      </c>
      <c r="CB292" s="57">
        <f t="shared" si="4910"/>
        <v>0</v>
      </c>
      <c r="CC292" s="57">
        <f t="shared" si="4910"/>
        <v>0</v>
      </c>
      <c r="CD292" s="57">
        <f t="shared" si="4910"/>
        <v>0</v>
      </c>
      <c r="CE292" s="57">
        <f t="shared" si="4910"/>
        <v>0</v>
      </c>
      <c r="CF292" s="57">
        <f t="shared" si="4910"/>
        <v>0</v>
      </c>
      <c r="CG292" s="57">
        <f t="shared" si="4910"/>
        <v>0</v>
      </c>
      <c r="CH292" s="57">
        <f t="shared" si="4910"/>
        <v>0</v>
      </c>
      <c r="CI292" s="57">
        <f t="shared" si="4910"/>
        <v>0</v>
      </c>
      <c r="CJ292" s="57">
        <f t="shared" si="4910"/>
        <v>0</v>
      </c>
      <c r="CK292" s="57">
        <f t="shared" si="4910"/>
        <v>0</v>
      </c>
      <c r="CL292" s="57">
        <f t="shared" si="4910"/>
        <v>0</v>
      </c>
      <c r="CM292" s="57">
        <f t="shared" si="4910"/>
        <v>0</v>
      </c>
      <c r="CN292" s="57">
        <f t="shared" si="4910"/>
        <v>0</v>
      </c>
      <c r="CO292" s="57">
        <f t="shared" si="4910"/>
        <v>0</v>
      </c>
      <c r="CP292" s="57">
        <f t="shared" si="4910"/>
        <v>0</v>
      </c>
      <c r="CQ292" s="57">
        <f t="shared" si="4910"/>
        <v>0</v>
      </c>
      <c r="CR292" s="57">
        <f t="shared" si="4910"/>
        <v>0</v>
      </c>
      <c r="CS292" s="57">
        <f t="shared" si="4910"/>
        <v>0</v>
      </c>
      <c r="CT292" s="57">
        <f t="shared" si="4910"/>
        <v>0</v>
      </c>
      <c r="CU292" s="57">
        <f t="shared" si="4910"/>
        <v>0</v>
      </c>
      <c r="CV292" s="57">
        <f t="shared" si="4910"/>
        <v>0</v>
      </c>
      <c r="CW292" s="57">
        <f t="shared" si="4910"/>
        <v>0</v>
      </c>
      <c r="CX292" s="57">
        <f t="shared" si="4910"/>
        <v>0</v>
      </c>
      <c r="CY292" s="57">
        <f t="shared" si="4910"/>
        <v>0</v>
      </c>
      <c r="CZ292" s="57">
        <f t="shared" si="4910"/>
        <v>0</v>
      </c>
      <c r="DA292" s="57">
        <f t="shared" si="4910"/>
        <v>0</v>
      </c>
      <c r="DB292" s="57">
        <f t="shared" si="4910"/>
        <v>0</v>
      </c>
      <c r="DC292" s="57">
        <f t="shared" si="4910"/>
        <v>0</v>
      </c>
      <c r="DD292" s="57">
        <f t="shared" si="4910"/>
        <v>0</v>
      </c>
      <c r="DE292" s="57">
        <f t="shared" si="4910"/>
        <v>0</v>
      </c>
      <c r="DF292" s="57">
        <f t="shared" si="4910"/>
        <v>0</v>
      </c>
      <c r="DG292" s="57">
        <f t="shared" si="4910"/>
        <v>0</v>
      </c>
      <c r="DH292" s="57">
        <f t="shared" si="4910"/>
        <v>0</v>
      </c>
      <c r="DI292" s="57">
        <f t="shared" si="4910"/>
        <v>0</v>
      </c>
      <c r="DJ292" s="57">
        <f t="shared" si="4910"/>
        <v>0</v>
      </c>
      <c r="DK292" s="57">
        <f t="shared" si="4910"/>
        <v>0</v>
      </c>
      <c r="DL292" s="57">
        <f t="shared" si="4910"/>
        <v>0</v>
      </c>
      <c r="DM292" s="57">
        <f t="shared" si="4910"/>
        <v>0</v>
      </c>
      <c r="DN292" s="57">
        <f t="shared" si="4910"/>
        <v>0</v>
      </c>
      <c r="DO292" s="57">
        <f t="shared" si="4910"/>
        <v>0</v>
      </c>
      <c r="DP292" s="57">
        <f t="shared" si="4910"/>
        <v>0</v>
      </c>
      <c r="DQ292" s="57">
        <f t="shared" si="4910"/>
        <v>0</v>
      </c>
      <c r="DR292" s="57">
        <f t="shared" si="4910"/>
        <v>0</v>
      </c>
      <c r="DS292" s="57">
        <f t="shared" si="4910"/>
        <v>0</v>
      </c>
      <c r="DT292" s="57">
        <f t="shared" si="4910"/>
        <v>0</v>
      </c>
      <c r="DU292" s="57">
        <f t="shared" si="4910"/>
        <v>0</v>
      </c>
      <c r="DV292" s="57">
        <f t="shared" si="4910"/>
        <v>0</v>
      </c>
      <c r="DW292" s="57">
        <f t="shared" si="4910"/>
        <v>0</v>
      </c>
      <c r="DX292" s="57">
        <f t="shared" si="4910"/>
        <v>0</v>
      </c>
      <c r="DY292" s="57">
        <f t="shared" si="4910"/>
        <v>0</v>
      </c>
      <c r="DZ292" s="57">
        <f t="shared" si="4910"/>
        <v>0</v>
      </c>
      <c r="EA292" s="57">
        <f t="shared" si="4910"/>
        <v>0</v>
      </c>
      <c r="EB292" s="57">
        <f t="shared" ref="EB292:FY292" si="4911">SUM(EB281:EB283)</f>
        <v>0</v>
      </c>
      <c r="EC292" s="57">
        <f t="shared" si="4911"/>
        <v>0</v>
      </c>
      <c r="ED292" s="57">
        <f t="shared" si="4911"/>
        <v>0</v>
      </c>
      <c r="EE292" s="57">
        <f t="shared" si="4911"/>
        <v>0</v>
      </c>
      <c r="EF292" s="57">
        <f t="shared" si="4911"/>
        <v>0</v>
      </c>
      <c r="EG292" s="57">
        <f t="shared" si="4911"/>
        <v>0</v>
      </c>
      <c r="EH292" s="57">
        <f t="shared" si="4911"/>
        <v>0</v>
      </c>
      <c r="EI292" s="57">
        <f t="shared" si="4911"/>
        <v>0</v>
      </c>
      <c r="EJ292" s="57">
        <f t="shared" si="4911"/>
        <v>0</v>
      </c>
      <c r="EK292" s="57">
        <f t="shared" si="4911"/>
        <v>0</v>
      </c>
      <c r="EL292" s="57">
        <f t="shared" si="4911"/>
        <v>0</v>
      </c>
      <c r="EM292" s="57">
        <f t="shared" si="4911"/>
        <v>0</v>
      </c>
      <c r="EN292" s="57">
        <f t="shared" si="4911"/>
        <v>0</v>
      </c>
      <c r="EO292" s="57">
        <f t="shared" si="4911"/>
        <v>0</v>
      </c>
      <c r="EP292" s="57">
        <f t="shared" si="4911"/>
        <v>0</v>
      </c>
      <c r="EQ292" s="57">
        <f t="shared" si="4911"/>
        <v>0</v>
      </c>
      <c r="ER292" s="57">
        <f t="shared" si="4911"/>
        <v>0</v>
      </c>
      <c r="ES292" s="57">
        <f t="shared" si="4911"/>
        <v>0</v>
      </c>
      <c r="ET292" s="57">
        <f t="shared" si="4911"/>
        <v>0</v>
      </c>
      <c r="EU292" s="57">
        <f t="shared" si="4911"/>
        <v>0</v>
      </c>
      <c r="EV292" s="57">
        <f t="shared" si="4911"/>
        <v>0</v>
      </c>
      <c r="EW292" s="57">
        <f t="shared" si="4911"/>
        <v>0</v>
      </c>
      <c r="EX292" s="57">
        <f t="shared" si="4911"/>
        <v>0</v>
      </c>
      <c r="EY292" s="57">
        <f t="shared" si="4911"/>
        <v>0</v>
      </c>
      <c r="EZ292" s="57">
        <f t="shared" si="4911"/>
        <v>0</v>
      </c>
      <c r="FA292" s="57">
        <f t="shared" si="4911"/>
        <v>0</v>
      </c>
      <c r="FB292" s="57">
        <f t="shared" si="4911"/>
        <v>0</v>
      </c>
      <c r="FC292" s="57">
        <f t="shared" si="4911"/>
        <v>0</v>
      </c>
      <c r="FD292" s="57">
        <f t="shared" si="4911"/>
        <v>0</v>
      </c>
      <c r="FE292" s="57">
        <f t="shared" si="4911"/>
        <v>0</v>
      </c>
      <c r="FF292" s="57">
        <f t="shared" si="4911"/>
        <v>0</v>
      </c>
      <c r="FG292" s="57">
        <f t="shared" si="4911"/>
        <v>0</v>
      </c>
      <c r="FH292" s="57">
        <f t="shared" si="4911"/>
        <v>0</v>
      </c>
      <c r="FI292" s="57">
        <f t="shared" si="4911"/>
        <v>0</v>
      </c>
      <c r="FJ292" s="57">
        <f t="shared" si="4911"/>
        <v>0</v>
      </c>
      <c r="FK292" s="57">
        <f t="shared" si="4911"/>
        <v>0</v>
      </c>
      <c r="FL292" s="57">
        <f t="shared" si="4911"/>
        <v>0</v>
      </c>
      <c r="FM292" s="57">
        <f t="shared" si="4911"/>
        <v>0</v>
      </c>
      <c r="FN292" s="57">
        <f t="shared" si="4911"/>
        <v>0</v>
      </c>
      <c r="FO292" s="57">
        <f t="shared" si="4911"/>
        <v>0</v>
      </c>
      <c r="FP292" s="57">
        <f t="shared" si="4911"/>
        <v>0</v>
      </c>
      <c r="FQ292" s="57">
        <f t="shared" si="4911"/>
        <v>0</v>
      </c>
      <c r="FR292" s="57">
        <f t="shared" si="4911"/>
        <v>0</v>
      </c>
      <c r="FS292" s="57">
        <f t="shared" si="4911"/>
        <v>0</v>
      </c>
      <c r="FT292" s="57">
        <f t="shared" si="4911"/>
        <v>0</v>
      </c>
      <c r="FU292" s="57">
        <f t="shared" si="4911"/>
        <v>0</v>
      </c>
      <c r="FV292" s="57">
        <f t="shared" si="4911"/>
        <v>0</v>
      </c>
      <c r="FW292" s="57">
        <f t="shared" si="4911"/>
        <v>0</v>
      </c>
      <c r="FX292" s="57">
        <f t="shared" si="4911"/>
        <v>0</v>
      </c>
      <c r="FY292" s="57">
        <f t="shared" si="4911"/>
        <v>0</v>
      </c>
      <c r="FZ292" s="59"/>
    </row>
    <row r="293" spans="1:184" hidden="1" x14ac:dyDescent="0.2">
      <c r="A293" s="94" t="s">
        <v>286</v>
      </c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5"/>
      <c r="FE293" s="65"/>
      <c r="FF293" s="65"/>
      <c r="FG293" s="65"/>
      <c r="FH293" s="65"/>
      <c r="FI293" s="65"/>
      <c r="FJ293" s="65"/>
      <c r="FK293" s="65"/>
      <c r="FL293" s="65"/>
      <c r="FM293" s="65"/>
      <c r="FN293" s="65"/>
      <c r="FO293" s="65"/>
      <c r="FP293" s="65"/>
      <c r="FQ293" s="65"/>
      <c r="FR293" s="65"/>
      <c r="FS293" s="65"/>
      <c r="FT293" s="65"/>
      <c r="FU293" s="65"/>
      <c r="FV293" s="65"/>
      <c r="FW293" s="65"/>
      <c r="FX293" s="65"/>
      <c r="FY293" s="65"/>
      <c r="FZ293" s="59"/>
    </row>
    <row r="294" spans="1:184" x14ac:dyDescent="0.2">
      <c r="A294" s="94" t="s">
        <v>227</v>
      </c>
      <c r="B294" s="65">
        <f>B295-B292</f>
        <v>0</v>
      </c>
      <c r="C294" s="65">
        <f t="shared" ref="C294" si="4912">C295-C292</f>
        <v>0</v>
      </c>
      <c r="D294" s="65">
        <f t="shared" ref="D294:BO294" si="4913">D295-D292</f>
        <v>0</v>
      </c>
      <c r="E294" s="65">
        <f t="shared" si="4913"/>
        <v>0</v>
      </c>
      <c r="F294" s="65">
        <f t="shared" si="4913"/>
        <v>0</v>
      </c>
      <c r="G294" s="65">
        <f t="shared" si="4913"/>
        <v>0</v>
      </c>
      <c r="H294" s="65">
        <f t="shared" si="4913"/>
        <v>0</v>
      </c>
      <c r="I294" s="65">
        <f t="shared" si="4913"/>
        <v>0</v>
      </c>
      <c r="J294" s="65">
        <f t="shared" si="4913"/>
        <v>0</v>
      </c>
      <c r="K294" s="65">
        <f t="shared" si="4913"/>
        <v>0</v>
      </c>
      <c r="L294" s="65">
        <f t="shared" si="4913"/>
        <v>0</v>
      </c>
      <c r="M294" s="65">
        <f t="shared" si="4913"/>
        <v>0</v>
      </c>
      <c r="N294" s="65">
        <f t="shared" si="4913"/>
        <v>0</v>
      </c>
      <c r="O294" s="65">
        <f t="shared" si="4913"/>
        <v>0</v>
      </c>
      <c r="P294" s="65">
        <f t="shared" si="4913"/>
        <v>0</v>
      </c>
      <c r="Q294" s="65">
        <f t="shared" si="4913"/>
        <v>0</v>
      </c>
      <c r="R294" s="65">
        <f t="shared" si="4913"/>
        <v>0</v>
      </c>
      <c r="S294" s="65">
        <f t="shared" si="4913"/>
        <v>0</v>
      </c>
      <c r="T294" s="65">
        <f t="shared" si="4913"/>
        <v>0</v>
      </c>
      <c r="U294" s="65">
        <f t="shared" si="4913"/>
        <v>0</v>
      </c>
      <c r="V294" s="65">
        <f t="shared" si="4913"/>
        <v>0</v>
      </c>
      <c r="W294" s="65">
        <f t="shared" si="4913"/>
        <v>0</v>
      </c>
      <c r="X294" s="65">
        <f t="shared" si="4913"/>
        <v>0</v>
      </c>
      <c r="Y294" s="65">
        <f t="shared" si="4913"/>
        <v>0</v>
      </c>
      <c r="Z294" s="65">
        <f t="shared" si="4913"/>
        <v>0</v>
      </c>
      <c r="AA294" s="65">
        <f t="shared" si="4913"/>
        <v>0</v>
      </c>
      <c r="AB294" s="65">
        <f t="shared" si="4913"/>
        <v>0</v>
      </c>
      <c r="AC294" s="65">
        <f t="shared" si="4913"/>
        <v>0</v>
      </c>
      <c r="AD294" s="65">
        <f t="shared" si="4913"/>
        <v>0</v>
      </c>
      <c r="AE294" s="65">
        <f t="shared" si="4913"/>
        <v>0</v>
      </c>
      <c r="AF294" s="65">
        <f t="shared" si="4913"/>
        <v>0</v>
      </c>
      <c r="AG294" s="65">
        <f t="shared" si="4913"/>
        <v>0</v>
      </c>
      <c r="AH294" s="65">
        <f t="shared" si="4913"/>
        <v>0</v>
      </c>
      <c r="AI294" s="65">
        <f t="shared" si="4913"/>
        <v>0</v>
      </c>
      <c r="AJ294" s="65">
        <f t="shared" si="4913"/>
        <v>0</v>
      </c>
      <c r="AK294" s="65">
        <f t="shared" si="4913"/>
        <v>0</v>
      </c>
      <c r="AL294" s="65">
        <f t="shared" si="4913"/>
        <v>0</v>
      </c>
      <c r="AM294" s="65">
        <f t="shared" si="4913"/>
        <v>0</v>
      </c>
      <c r="AN294" s="65">
        <f t="shared" si="4913"/>
        <v>0</v>
      </c>
      <c r="AO294" s="65">
        <f t="shared" si="4913"/>
        <v>0</v>
      </c>
      <c r="AP294" s="65">
        <f t="shared" si="4913"/>
        <v>0</v>
      </c>
      <c r="AQ294" s="65">
        <f t="shared" si="4913"/>
        <v>0</v>
      </c>
      <c r="AR294" s="65">
        <f t="shared" si="4913"/>
        <v>0</v>
      </c>
      <c r="AS294" s="65">
        <f t="shared" si="4913"/>
        <v>0</v>
      </c>
      <c r="AT294" s="65">
        <f t="shared" si="4913"/>
        <v>0</v>
      </c>
      <c r="AU294" s="65">
        <f t="shared" si="4913"/>
        <v>0</v>
      </c>
      <c r="AV294" s="65">
        <f t="shared" si="4913"/>
        <v>0</v>
      </c>
      <c r="AW294" s="65">
        <f t="shared" si="4913"/>
        <v>0</v>
      </c>
      <c r="AX294" s="65">
        <f t="shared" si="4913"/>
        <v>0</v>
      </c>
      <c r="AY294" s="65">
        <f t="shared" si="4913"/>
        <v>0</v>
      </c>
      <c r="AZ294" s="65">
        <f t="shared" si="4913"/>
        <v>0</v>
      </c>
      <c r="BA294" s="65">
        <f t="shared" si="4913"/>
        <v>0</v>
      </c>
      <c r="BB294" s="65">
        <f t="shared" si="4913"/>
        <v>0</v>
      </c>
      <c r="BC294" s="65">
        <f t="shared" si="4913"/>
        <v>0</v>
      </c>
      <c r="BD294" s="65">
        <f t="shared" si="4913"/>
        <v>0</v>
      </c>
      <c r="BE294" s="65">
        <f t="shared" si="4913"/>
        <v>0</v>
      </c>
      <c r="BF294" s="65">
        <f t="shared" si="4913"/>
        <v>0</v>
      </c>
      <c r="BG294" s="65">
        <f t="shared" si="4913"/>
        <v>0</v>
      </c>
      <c r="BH294" s="65">
        <f t="shared" si="4913"/>
        <v>0</v>
      </c>
      <c r="BI294" s="65">
        <f t="shared" si="4913"/>
        <v>0</v>
      </c>
      <c r="BJ294" s="65">
        <f t="shared" si="4913"/>
        <v>0</v>
      </c>
      <c r="BK294" s="65">
        <f t="shared" si="4913"/>
        <v>0</v>
      </c>
      <c r="BL294" s="65">
        <f t="shared" si="4913"/>
        <v>0</v>
      </c>
      <c r="BM294" s="65">
        <f t="shared" si="4913"/>
        <v>0</v>
      </c>
      <c r="BN294" s="65">
        <f t="shared" si="4913"/>
        <v>0</v>
      </c>
      <c r="BO294" s="65">
        <f t="shared" si="4913"/>
        <v>0</v>
      </c>
      <c r="BP294" s="65">
        <f t="shared" ref="BP294:EA294" si="4914">BP295-BP292</f>
        <v>0</v>
      </c>
      <c r="BQ294" s="65">
        <f t="shared" si="4914"/>
        <v>0</v>
      </c>
      <c r="BR294" s="65">
        <f t="shared" si="4914"/>
        <v>0</v>
      </c>
      <c r="BS294" s="65">
        <f t="shared" si="4914"/>
        <v>0</v>
      </c>
      <c r="BT294" s="65">
        <f t="shared" si="4914"/>
        <v>0</v>
      </c>
      <c r="BU294" s="65">
        <f t="shared" si="4914"/>
        <v>0</v>
      </c>
      <c r="BV294" s="65">
        <f t="shared" si="4914"/>
        <v>0</v>
      </c>
      <c r="BW294" s="65">
        <f t="shared" si="4914"/>
        <v>0</v>
      </c>
      <c r="BX294" s="65">
        <f t="shared" si="4914"/>
        <v>0</v>
      </c>
      <c r="BY294" s="65">
        <f t="shared" si="4914"/>
        <v>0</v>
      </c>
      <c r="BZ294" s="65">
        <f t="shared" si="4914"/>
        <v>0</v>
      </c>
      <c r="CA294" s="65">
        <f t="shared" si="4914"/>
        <v>0</v>
      </c>
      <c r="CB294" s="65">
        <f t="shared" si="4914"/>
        <v>0</v>
      </c>
      <c r="CC294" s="65">
        <f t="shared" si="4914"/>
        <v>0</v>
      </c>
      <c r="CD294" s="65">
        <f t="shared" si="4914"/>
        <v>0</v>
      </c>
      <c r="CE294" s="65">
        <f t="shared" si="4914"/>
        <v>0</v>
      </c>
      <c r="CF294" s="65">
        <f t="shared" si="4914"/>
        <v>0</v>
      </c>
      <c r="CG294" s="65">
        <f t="shared" si="4914"/>
        <v>0</v>
      </c>
      <c r="CH294" s="65">
        <f t="shared" si="4914"/>
        <v>0</v>
      </c>
      <c r="CI294" s="65">
        <f t="shared" si="4914"/>
        <v>0</v>
      </c>
      <c r="CJ294" s="65">
        <f t="shared" si="4914"/>
        <v>0</v>
      </c>
      <c r="CK294" s="65">
        <f t="shared" si="4914"/>
        <v>0</v>
      </c>
      <c r="CL294" s="65">
        <f t="shared" si="4914"/>
        <v>0</v>
      </c>
      <c r="CM294" s="65">
        <f t="shared" si="4914"/>
        <v>0</v>
      </c>
      <c r="CN294" s="65">
        <f t="shared" si="4914"/>
        <v>0</v>
      </c>
      <c r="CO294" s="65">
        <f t="shared" si="4914"/>
        <v>0</v>
      </c>
      <c r="CP294" s="65">
        <f t="shared" si="4914"/>
        <v>0</v>
      </c>
      <c r="CQ294" s="65">
        <f t="shared" si="4914"/>
        <v>0</v>
      </c>
      <c r="CR294" s="65">
        <f t="shared" si="4914"/>
        <v>0</v>
      </c>
      <c r="CS294" s="65">
        <f t="shared" si="4914"/>
        <v>0</v>
      </c>
      <c r="CT294" s="65">
        <f t="shared" si="4914"/>
        <v>0</v>
      </c>
      <c r="CU294" s="65">
        <f t="shared" si="4914"/>
        <v>0</v>
      </c>
      <c r="CV294" s="65">
        <f t="shared" si="4914"/>
        <v>0</v>
      </c>
      <c r="CW294" s="65">
        <f t="shared" si="4914"/>
        <v>0</v>
      </c>
      <c r="CX294" s="65">
        <f t="shared" si="4914"/>
        <v>0</v>
      </c>
      <c r="CY294" s="65">
        <f t="shared" si="4914"/>
        <v>0</v>
      </c>
      <c r="CZ294" s="65">
        <f t="shared" si="4914"/>
        <v>0</v>
      </c>
      <c r="DA294" s="65">
        <f t="shared" si="4914"/>
        <v>0</v>
      </c>
      <c r="DB294" s="65">
        <f t="shared" si="4914"/>
        <v>0</v>
      </c>
      <c r="DC294" s="65">
        <f t="shared" si="4914"/>
        <v>0</v>
      </c>
      <c r="DD294" s="65">
        <f t="shared" si="4914"/>
        <v>0</v>
      </c>
      <c r="DE294" s="65">
        <f t="shared" si="4914"/>
        <v>0</v>
      </c>
      <c r="DF294" s="65">
        <f t="shared" si="4914"/>
        <v>0</v>
      </c>
      <c r="DG294" s="65">
        <f t="shared" si="4914"/>
        <v>0</v>
      </c>
      <c r="DH294" s="65">
        <f t="shared" si="4914"/>
        <v>0</v>
      </c>
      <c r="DI294" s="65">
        <f t="shared" si="4914"/>
        <v>0</v>
      </c>
      <c r="DJ294" s="65">
        <f t="shared" si="4914"/>
        <v>0</v>
      </c>
      <c r="DK294" s="65">
        <f t="shared" si="4914"/>
        <v>0</v>
      </c>
      <c r="DL294" s="65">
        <f t="shared" si="4914"/>
        <v>0</v>
      </c>
      <c r="DM294" s="65">
        <f t="shared" si="4914"/>
        <v>0</v>
      </c>
      <c r="DN294" s="65">
        <f t="shared" si="4914"/>
        <v>0</v>
      </c>
      <c r="DO294" s="65">
        <f t="shared" si="4914"/>
        <v>0</v>
      </c>
      <c r="DP294" s="65">
        <f t="shared" si="4914"/>
        <v>0</v>
      </c>
      <c r="DQ294" s="65">
        <f t="shared" si="4914"/>
        <v>0</v>
      </c>
      <c r="DR294" s="65">
        <f t="shared" si="4914"/>
        <v>0</v>
      </c>
      <c r="DS294" s="65">
        <f t="shared" si="4914"/>
        <v>0</v>
      </c>
      <c r="DT294" s="65">
        <f t="shared" si="4914"/>
        <v>0</v>
      </c>
      <c r="DU294" s="65">
        <f t="shared" si="4914"/>
        <v>0</v>
      </c>
      <c r="DV294" s="65">
        <f t="shared" si="4914"/>
        <v>0</v>
      </c>
      <c r="DW294" s="65">
        <f t="shared" si="4914"/>
        <v>0</v>
      </c>
      <c r="DX294" s="65">
        <f t="shared" si="4914"/>
        <v>0</v>
      </c>
      <c r="DY294" s="65">
        <f t="shared" si="4914"/>
        <v>0</v>
      </c>
      <c r="DZ294" s="65">
        <f t="shared" si="4914"/>
        <v>0</v>
      </c>
      <c r="EA294" s="65">
        <f t="shared" si="4914"/>
        <v>0</v>
      </c>
      <c r="EB294" s="65">
        <f t="shared" ref="EB294:FY294" si="4915">EB295-EB292</f>
        <v>0</v>
      </c>
      <c r="EC294" s="65">
        <f t="shared" si="4915"/>
        <v>0</v>
      </c>
      <c r="ED294" s="65">
        <f t="shared" si="4915"/>
        <v>0</v>
      </c>
      <c r="EE294" s="65">
        <f t="shared" si="4915"/>
        <v>0</v>
      </c>
      <c r="EF294" s="65">
        <f t="shared" si="4915"/>
        <v>0</v>
      </c>
      <c r="EG294" s="65">
        <f t="shared" si="4915"/>
        <v>0</v>
      </c>
      <c r="EH294" s="65">
        <f t="shared" si="4915"/>
        <v>0</v>
      </c>
      <c r="EI294" s="65">
        <f t="shared" si="4915"/>
        <v>0</v>
      </c>
      <c r="EJ294" s="65">
        <f t="shared" si="4915"/>
        <v>0</v>
      </c>
      <c r="EK294" s="65">
        <f t="shared" si="4915"/>
        <v>0</v>
      </c>
      <c r="EL294" s="65">
        <f t="shared" si="4915"/>
        <v>0</v>
      </c>
      <c r="EM294" s="65">
        <f t="shared" si="4915"/>
        <v>0</v>
      </c>
      <c r="EN294" s="65">
        <f t="shared" si="4915"/>
        <v>0</v>
      </c>
      <c r="EO294" s="65">
        <f t="shared" si="4915"/>
        <v>0</v>
      </c>
      <c r="EP294" s="65">
        <f t="shared" si="4915"/>
        <v>0</v>
      </c>
      <c r="EQ294" s="65">
        <f t="shared" si="4915"/>
        <v>0</v>
      </c>
      <c r="ER294" s="65">
        <f t="shared" si="4915"/>
        <v>0</v>
      </c>
      <c r="ES294" s="65">
        <f t="shared" si="4915"/>
        <v>0</v>
      </c>
      <c r="ET294" s="65">
        <f t="shared" si="4915"/>
        <v>0</v>
      </c>
      <c r="EU294" s="65">
        <f t="shared" si="4915"/>
        <v>0</v>
      </c>
      <c r="EV294" s="65">
        <f t="shared" si="4915"/>
        <v>0</v>
      </c>
      <c r="EW294" s="65">
        <f t="shared" si="4915"/>
        <v>0</v>
      </c>
      <c r="EX294" s="65">
        <f t="shared" si="4915"/>
        <v>0</v>
      </c>
      <c r="EY294" s="65">
        <f t="shared" si="4915"/>
        <v>0</v>
      </c>
      <c r="EZ294" s="65">
        <f t="shared" si="4915"/>
        <v>0</v>
      </c>
      <c r="FA294" s="65">
        <f t="shared" si="4915"/>
        <v>0</v>
      </c>
      <c r="FB294" s="65">
        <f t="shared" si="4915"/>
        <v>0</v>
      </c>
      <c r="FC294" s="65">
        <f t="shared" si="4915"/>
        <v>0</v>
      </c>
      <c r="FD294" s="65">
        <f t="shared" si="4915"/>
        <v>0</v>
      </c>
      <c r="FE294" s="65">
        <f t="shared" si="4915"/>
        <v>0</v>
      </c>
      <c r="FF294" s="65">
        <f t="shared" si="4915"/>
        <v>0</v>
      </c>
      <c r="FG294" s="65">
        <f t="shared" si="4915"/>
        <v>0</v>
      </c>
      <c r="FH294" s="65">
        <f t="shared" si="4915"/>
        <v>0</v>
      </c>
      <c r="FI294" s="65">
        <f t="shared" si="4915"/>
        <v>0</v>
      </c>
      <c r="FJ294" s="65">
        <f t="shared" si="4915"/>
        <v>0</v>
      </c>
      <c r="FK294" s="65">
        <f t="shared" si="4915"/>
        <v>0</v>
      </c>
      <c r="FL294" s="65">
        <f t="shared" si="4915"/>
        <v>0</v>
      </c>
      <c r="FM294" s="65">
        <f t="shared" si="4915"/>
        <v>0</v>
      </c>
      <c r="FN294" s="65">
        <f t="shared" si="4915"/>
        <v>0</v>
      </c>
      <c r="FO294" s="65">
        <f t="shared" si="4915"/>
        <v>0</v>
      </c>
      <c r="FP294" s="65">
        <f t="shared" si="4915"/>
        <v>0</v>
      </c>
      <c r="FQ294" s="65">
        <f t="shared" si="4915"/>
        <v>0</v>
      </c>
      <c r="FR294" s="65">
        <f t="shared" si="4915"/>
        <v>0</v>
      </c>
      <c r="FS294" s="65">
        <f t="shared" si="4915"/>
        <v>0</v>
      </c>
      <c r="FT294" s="65">
        <f t="shared" si="4915"/>
        <v>0</v>
      </c>
      <c r="FU294" s="65">
        <f t="shared" si="4915"/>
        <v>0</v>
      </c>
      <c r="FV294" s="65">
        <f t="shared" si="4915"/>
        <v>0</v>
      </c>
      <c r="FW294" s="65">
        <f t="shared" si="4915"/>
        <v>0</v>
      </c>
      <c r="FX294" s="65">
        <f t="shared" si="4915"/>
        <v>0</v>
      </c>
      <c r="FY294" s="65">
        <f t="shared" si="4915"/>
        <v>0</v>
      </c>
      <c r="FZ294" s="59"/>
      <c r="GB294" s="1" t="s">
        <v>266</v>
      </c>
    </row>
    <row r="295" spans="1:184" x14ac:dyDescent="0.2">
      <c r="A295" s="2" t="s">
        <v>228</v>
      </c>
      <c r="B295" s="101">
        <f>C216</f>
        <v>2719.0774143267922</v>
      </c>
      <c r="C295" s="101">
        <f t="shared" ref="C295" si="4916">D216</f>
        <v>2590.574180237978</v>
      </c>
      <c r="D295" s="101">
        <f t="shared" ref="D295" si="4917">E216</f>
        <v>2464.027501250629</v>
      </c>
      <c r="E295" s="101">
        <f t="shared" ref="E295" si="4918">F216</f>
        <v>2339.5148339398079</v>
      </c>
      <c r="F295" s="101">
        <f t="shared" ref="F295" si="4919">G216</f>
        <v>2217.1154255873785</v>
      </c>
      <c r="G295" s="101">
        <f t="shared" ref="G295" si="4920">H216</f>
        <v>2096.9104819216745</v>
      </c>
      <c r="H295" s="101">
        <f t="shared" ref="H295" si="4921">I216</f>
        <v>1978.9829396809412</v>
      </c>
      <c r="I295" s="101">
        <f t="shared" ref="I295" si="4922">J216</f>
        <v>1863.4176404479474</v>
      </c>
      <c r="J295" s="101">
        <f t="shared" ref="J295" si="4923">K216</f>
        <v>1750.3013703389124</v>
      </c>
      <c r="K295" s="101">
        <f t="shared" ref="K295" si="4924">L216</f>
        <v>1639.7229005011063</v>
      </c>
      <c r="L295" s="101">
        <f t="shared" ref="L295" si="4925">M216</f>
        <v>1531.7730284340837</v>
      </c>
      <c r="M295" s="101">
        <f t="shared" ref="M295" si="4926">N216</f>
        <v>1426.5446201526993</v>
      </c>
      <c r="N295" s="101">
        <f t="shared" ref="N295" si="4927">O216</f>
        <v>1324.1327629660982</v>
      </c>
      <c r="O295" s="101">
        <f t="shared" ref="O295" si="4928">P216</f>
        <v>1224.6356375487489</v>
      </c>
      <c r="P295" s="101">
        <f t="shared" ref="P295" si="4929">Q216</f>
        <v>1128.1525176718228</v>
      </c>
      <c r="Q295" s="101">
        <f t="shared" ref="Q295" si="4930">R216</f>
        <v>1034.7849094839485</v>
      </c>
      <c r="R295" s="101">
        <f t="shared" ref="R295" si="4931">S216</f>
        <v>944.63660811284444</v>
      </c>
      <c r="S295" s="101">
        <f t="shared" ref="S295" si="4932">T216</f>
        <v>857.81374513381684</v>
      </c>
      <c r="T295" s="101">
        <f t="shared" ref="T295" si="4933">U216</f>
        <v>774.42483700373009</v>
      </c>
      <c r="U295" s="101">
        <f t="shared" ref="U295" si="4934">V216</f>
        <v>694.58083448023342</v>
      </c>
      <c r="V295" s="101">
        <f t="shared" ref="V295" si="4935">W216</f>
        <v>618.39525367754618</v>
      </c>
      <c r="W295" s="101">
        <f t="shared" ref="W295" si="4936">X216</f>
        <v>545.984058382017</v>
      </c>
      <c r="X295" s="101">
        <f t="shared" ref="X295" si="4937">Y216</f>
        <v>477.46580067522757</v>
      </c>
      <c r="Y295" s="101">
        <f t="shared" ref="Y295" si="4938">Z216</f>
        <v>412.96167448109071</v>
      </c>
      <c r="Z295" s="101">
        <f t="shared" ref="Z295" si="4939">AA216</f>
        <v>352.59557020469259</v>
      </c>
      <c r="AA295" s="101">
        <f t="shared" ref="AA295" si="4940">AB216</f>
        <v>296.49470743643599</v>
      </c>
      <c r="AB295" s="101">
        <f t="shared" ref="AB295" si="4941">AC216</f>
        <v>244.78845956682508</v>
      </c>
      <c r="AC295" s="101">
        <f t="shared" ref="AC295" si="4942">AD216</f>
        <v>197.6090501608769</v>
      </c>
      <c r="AD295" s="101">
        <f t="shared" ref="AD295" si="4943">AE216</f>
        <v>155.09162487402568</v>
      </c>
      <c r="AE295" s="101">
        <f t="shared" ref="AE295" si="4944">AF216</f>
        <v>117.37435115105059</v>
      </c>
      <c r="AF295" s="101">
        <f t="shared" ref="AF295" si="4945">AG216</f>
        <v>84.598390662460105</v>
      </c>
      <c r="AG295" s="101">
        <f t="shared" ref="AG295" si="4946">AH216</f>
        <v>56.908011268652345</v>
      </c>
      <c r="AH295" s="101">
        <f t="shared" ref="AH295" si="4947">AI216</f>
        <v>34.45065103595438</v>
      </c>
      <c r="AI295" s="101">
        <f t="shared" ref="AI295" si="4948">AJ216</f>
        <v>17.376983553017283</v>
      </c>
      <c r="AJ295" s="101">
        <f t="shared" ref="AJ295" si="4949">AK216</f>
        <v>5.8409845716587157</v>
      </c>
      <c r="AK295" s="101">
        <f t="shared" ref="AK295" si="4950">AL216</f>
        <v>0</v>
      </c>
      <c r="AL295" s="101">
        <f t="shared" ref="AL295" si="4951">AM216</f>
        <v>0</v>
      </c>
      <c r="AM295" s="101">
        <f t="shared" ref="AM295" si="4952">AN216</f>
        <v>0</v>
      </c>
      <c r="AN295" s="101">
        <f t="shared" ref="AN295" si="4953">AO216</f>
        <v>0</v>
      </c>
      <c r="AO295" s="101">
        <f t="shared" ref="AO295" si="4954">AP216</f>
        <v>0</v>
      </c>
      <c r="AP295" s="101">
        <f t="shared" ref="AP295" si="4955">AQ216</f>
        <v>0</v>
      </c>
      <c r="AQ295" s="101">
        <f t="shared" ref="AQ295" si="4956">AR216</f>
        <v>0</v>
      </c>
      <c r="AR295" s="101">
        <f t="shared" ref="AR295" si="4957">AS216</f>
        <v>0</v>
      </c>
      <c r="AS295" s="101">
        <f t="shared" ref="AS295" si="4958">AT216</f>
        <v>0</v>
      </c>
      <c r="AT295" s="101">
        <f t="shared" ref="AT295" si="4959">AU216</f>
        <v>0</v>
      </c>
      <c r="AU295" s="101">
        <f t="shared" ref="AU295" si="4960">AV216</f>
        <v>0</v>
      </c>
      <c r="AV295" s="101">
        <f t="shared" ref="AV295" si="4961">AW216</f>
        <v>0</v>
      </c>
      <c r="AW295" s="101">
        <f t="shared" ref="AW295" si="4962">AX216</f>
        <v>0</v>
      </c>
      <c r="AX295" s="101">
        <f t="shared" ref="AX295" si="4963">AY216</f>
        <v>0</v>
      </c>
      <c r="AY295" s="101">
        <f t="shared" ref="AY295" si="4964">AZ216</f>
        <v>0</v>
      </c>
      <c r="AZ295" s="101">
        <f t="shared" ref="AZ295" si="4965">BA216</f>
        <v>0</v>
      </c>
      <c r="BA295" s="101">
        <f t="shared" ref="BA295" si="4966">BB216</f>
        <v>0</v>
      </c>
      <c r="BB295" s="101">
        <f t="shared" ref="BB295" si="4967">BC216</f>
        <v>0</v>
      </c>
      <c r="BC295" s="101">
        <f t="shared" ref="BC295" si="4968">BD216</f>
        <v>0</v>
      </c>
      <c r="BD295" s="101">
        <f t="shared" ref="BD295" si="4969">BE216</f>
        <v>0</v>
      </c>
      <c r="BE295" s="101">
        <f t="shared" ref="BE295" si="4970">BF216</f>
        <v>0</v>
      </c>
      <c r="BF295" s="101">
        <f t="shared" ref="BF295" si="4971">BG216</f>
        <v>0</v>
      </c>
      <c r="BG295" s="101">
        <f t="shared" ref="BG295" si="4972">BH216</f>
        <v>0</v>
      </c>
      <c r="BH295" s="101">
        <f t="shared" ref="BH295" si="4973">BI216</f>
        <v>0</v>
      </c>
      <c r="BI295" s="101">
        <f t="shared" ref="BI295" si="4974">BJ216</f>
        <v>0</v>
      </c>
      <c r="BJ295" s="101">
        <f t="shared" ref="BJ295" si="4975">BK216</f>
        <v>0</v>
      </c>
      <c r="BK295" s="101">
        <f t="shared" ref="BK295" si="4976">BL216</f>
        <v>0</v>
      </c>
      <c r="BL295" s="101">
        <f t="shared" ref="BL295" si="4977">BM216</f>
        <v>0</v>
      </c>
      <c r="BM295" s="101">
        <f t="shared" ref="BM295" si="4978">BN216</f>
        <v>0</v>
      </c>
      <c r="BN295" s="101">
        <f t="shared" ref="BN295" si="4979">BO216</f>
        <v>0</v>
      </c>
      <c r="BO295" s="101">
        <f t="shared" ref="BO295" si="4980">BP216</f>
        <v>0</v>
      </c>
      <c r="BP295" s="101">
        <f t="shared" ref="BP295" si="4981">BQ216</f>
        <v>0</v>
      </c>
      <c r="BQ295" s="101">
        <f t="shared" ref="BQ295" si="4982">BR216</f>
        <v>0</v>
      </c>
      <c r="BR295" s="101">
        <f t="shared" ref="BR295" si="4983">BS216</f>
        <v>0</v>
      </c>
      <c r="BS295" s="101">
        <f t="shared" ref="BS295" si="4984">BT216</f>
        <v>0</v>
      </c>
      <c r="BT295" s="101">
        <f t="shared" ref="BT295" si="4985">BU216</f>
        <v>0</v>
      </c>
      <c r="BU295" s="101">
        <f t="shared" ref="BU295" si="4986">BV216</f>
        <v>0</v>
      </c>
      <c r="BV295" s="101">
        <f t="shared" ref="BV295" si="4987">BW216</f>
        <v>0</v>
      </c>
      <c r="BW295" s="101">
        <f t="shared" ref="BW295" si="4988">BX216</f>
        <v>0</v>
      </c>
      <c r="BX295" s="101">
        <f t="shared" ref="BX295" si="4989">BY216</f>
        <v>0</v>
      </c>
      <c r="BY295" s="101">
        <f t="shared" ref="BY295" si="4990">BZ216</f>
        <v>0</v>
      </c>
      <c r="BZ295" s="101">
        <f t="shared" ref="BZ295" si="4991">CA216</f>
        <v>0</v>
      </c>
      <c r="CA295" s="101">
        <f t="shared" ref="CA295" si="4992">CB216</f>
        <v>0</v>
      </c>
      <c r="CB295" s="101">
        <f t="shared" ref="CB295" si="4993">CC216</f>
        <v>0</v>
      </c>
      <c r="CC295" s="101">
        <f t="shared" ref="CC295" si="4994">CD216</f>
        <v>0</v>
      </c>
      <c r="CD295" s="101">
        <f t="shared" ref="CD295" si="4995">CE216</f>
        <v>0</v>
      </c>
      <c r="CE295" s="101">
        <f t="shared" ref="CE295" si="4996">CF216</f>
        <v>0</v>
      </c>
      <c r="CF295" s="101">
        <f t="shared" ref="CF295" si="4997">CG216</f>
        <v>0</v>
      </c>
      <c r="CG295" s="101">
        <f t="shared" ref="CG295" si="4998">CH216</f>
        <v>0</v>
      </c>
      <c r="CH295" s="101">
        <f t="shared" ref="CH295" si="4999">CI216</f>
        <v>0</v>
      </c>
      <c r="CI295" s="101">
        <f t="shared" ref="CI295" si="5000">CJ216</f>
        <v>0</v>
      </c>
      <c r="CJ295" s="101">
        <f t="shared" ref="CJ295" si="5001">CK216</f>
        <v>0</v>
      </c>
      <c r="CK295" s="101">
        <f t="shared" ref="CK295" si="5002">CL216</f>
        <v>0</v>
      </c>
      <c r="CL295" s="101">
        <f t="shared" ref="CL295" si="5003">CM216</f>
        <v>0</v>
      </c>
      <c r="CM295" s="101">
        <f t="shared" ref="CM295" si="5004">CN216</f>
        <v>0</v>
      </c>
      <c r="CN295" s="101">
        <f t="shared" ref="CN295" si="5005">CO216</f>
        <v>0</v>
      </c>
      <c r="CO295" s="101">
        <f t="shared" ref="CO295" si="5006">CP216</f>
        <v>0</v>
      </c>
      <c r="CP295" s="101">
        <f t="shared" ref="CP295" si="5007">CQ216</f>
        <v>0</v>
      </c>
      <c r="CQ295" s="101">
        <f t="shared" ref="CQ295" si="5008">CR216</f>
        <v>0</v>
      </c>
      <c r="CR295" s="101">
        <f t="shared" ref="CR295" si="5009">CS216</f>
        <v>0</v>
      </c>
      <c r="CS295" s="101">
        <f t="shared" ref="CS295" si="5010">CT216</f>
        <v>0</v>
      </c>
      <c r="CT295" s="101">
        <f t="shared" ref="CT295" si="5011">CU216</f>
        <v>0</v>
      </c>
      <c r="CU295" s="101">
        <f t="shared" ref="CU295" si="5012">CV216</f>
        <v>0</v>
      </c>
      <c r="CV295" s="101">
        <f t="shared" ref="CV295" si="5013">CW216</f>
        <v>0</v>
      </c>
      <c r="CW295" s="101">
        <f t="shared" ref="CW295" si="5014">CX216</f>
        <v>0</v>
      </c>
      <c r="CX295" s="101">
        <f t="shared" ref="CX295" si="5015">CY216</f>
        <v>0</v>
      </c>
      <c r="CY295" s="101">
        <f t="shared" ref="CY295" si="5016">CZ216</f>
        <v>0</v>
      </c>
      <c r="CZ295" s="101">
        <f t="shared" ref="CZ295" si="5017">DA216</f>
        <v>0</v>
      </c>
      <c r="DA295" s="101">
        <f t="shared" ref="DA295" si="5018">DB216</f>
        <v>0</v>
      </c>
      <c r="DB295" s="101">
        <f t="shared" ref="DB295" si="5019">DC216</f>
        <v>0</v>
      </c>
      <c r="DC295" s="101">
        <f t="shared" ref="DC295" si="5020">DD216</f>
        <v>0</v>
      </c>
      <c r="DD295" s="101">
        <f t="shared" ref="DD295" si="5021">DE216</f>
        <v>0</v>
      </c>
      <c r="DE295" s="101">
        <f t="shared" ref="DE295" si="5022">DF216</f>
        <v>0</v>
      </c>
      <c r="DF295" s="101">
        <f t="shared" ref="DF295" si="5023">DG216</f>
        <v>0</v>
      </c>
      <c r="DG295" s="101">
        <f t="shared" ref="DG295" si="5024">DH216</f>
        <v>0</v>
      </c>
      <c r="DH295" s="101">
        <f t="shared" ref="DH295" si="5025">DI216</f>
        <v>0</v>
      </c>
      <c r="DI295" s="101">
        <f t="shared" ref="DI295" si="5026">DJ216</f>
        <v>0</v>
      </c>
      <c r="DJ295" s="101">
        <f t="shared" ref="DJ295" si="5027">DK216</f>
        <v>0</v>
      </c>
      <c r="DK295" s="101">
        <f t="shared" ref="DK295" si="5028">DL216</f>
        <v>0</v>
      </c>
      <c r="DL295" s="101">
        <f t="shared" ref="DL295" si="5029">DM216</f>
        <v>0</v>
      </c>
      <c r="DM295" s="101">
        <f t="shared" ref="DM295" si="5030">DN216</f>
        <v>0</v>
      </c>
      <c r="DN295" s="101">
        <f t="shared" ref="DN295" si="5031">DO216</f>
        <v>0</v>
      </c>
      <c r="DO295" s="101">
        <f t="shared" ref="DO295" si="5032">DP216</f>
        <v>0</v>
      </c>
      <c r="DP295" s="101">
        <f t="shared" ref="DP295" si="5033">DQ216</f>
        <v>0</v>
      </c>
      <c r="DQ295" s="101">
        <f t="shared" ref="DQ295" si="5034">DR216</f>
        <v>0</v>
      </c>
      <c r="DR295" s="101">
        <f t="shared" ref="DR295" si="5035">DS216</f>
        <v>0</v>
      </c>
      <c r="DS295" s="101">
        <f t="shared" ref="DS295" si="5036">DT216</f>
        <v>0</v>
      </c>
      <c r="DT295" s="101">
        <f t="shared" ref="DT295" si="5037">DU216</f>
        <v>0</v>
      </c>
      <c r="DU295" s="101">
        <f t="shared" ref="DU295" si="5038">DV216</f>
        <v>0</v>
      </c>
      <c r="DV295" s="101">
        <f t="shared" ref="DV295" si="5039">DW216</f>
        <v>0</v>
      </c>
      <c r="DW295" s="101">
        <f t="shared" ref="DW295" si="5040">DX216</f>
        <v>0</v>
      </c>
      <c r="DX295" s="101">
        <f t="shared" ref="DX295" si="5041">DY216</f>
        <v>0</v>
      </c>
      <c r="DY295" s="101">
        <f t="shared" ref="DY295" si="5042">DZ216</f>
        <v>0</v>
      </c>
      <c r="DZ295" s="101">
        <f t="shared" ref="DZ295" si="5043">EA216</f>
        <v>0</v>
      </c>
      <c r="EA295" s="101">
        <f t="shared" ref="EA295" si="5044">EB216</f>
        <v>0</v>
      </c>
      <c r="EB295" s="101">
        <f t="shared" ref="EB295" si="5045">EC216</f>
        <v>0</v>
      </c>
      <c r="EC295" s="101">
        <f t="shared" ref="EC295" si="5046">ED216</f>
        <v>0</v>
      </c>
      <c r="ED295" s="101">
        <f t="shared" ref="ED295" si="5047">EE216</f>
        <v>0</v>
      </c>
      <c r="EE295" s="101">
        <f t="shared" ref="EE295" si="5048">EF216</f>
        <v>0</v>
      </c>
      <c r="EF295" s="101">
        <f t="shared" ref="EF295" si="5049">EG216</f>
        <v>0</v>
      </c>
      <c r="EG295" s="101">
        <f t="shared" ref="EG295" si="5050">EH216</f>
        <v>0</v>
      </c>
      <c r="EH295" s="101">
        <f t="shared" ref="EH295" si="5051">EI216</f>
        <v>0</v>
      </c>
      <c r="EI295" s="101">
        <f t="shared" ref="EI295" si="5052">EJ216</f>
        <v>0</v>
      </c>
      <c r="EJ295" s="101">
        <f t="shared" ref="EJ295" si="5053">EK216</f>
        <v>0</v>
      </c>
      <c r="EK295" s="101">
        <f t="shared" ref="EK295" si="5054">EL216</f>
        <v>0</v>
      </c>
      <c r="EL295" s="101">
        <f t="shared" ref="EL295" si="5055">EM216</f>
        <v>0</v>
      </c>
      <c r="EM295" s="101">
        <f t="shared" ref="EM295" si="5056">EN216</f>
        <v>0</v>
      </c>
      <c r="EN295" s="101">
        <f t="shared" ref="EN295" si="5057">EO216</f>
        <v>0</v>
      </c>
      <c r="EO295" s="101">
        <f t="shared" ref="EO295" si="5058">EP216</f>
        <v>0</v>
      </c>
      <c r="EP295" s="101">
        <f t="shared" ref="EP295" si="5059">EQ216</f>
        <v>0</v>
      </c>
      <c r="EQ295" s="101">
        <f t="shared" ref="EQ295" si="5060">ER216</f>
        <v>0</v>
      </c>
      <c r="ER295" s="101">
        <f t="shared" ref="ER295" si="5061">ES216</f>
        <v>0</v>
      </c>
      <c r="ES295" s="101">
        <f t="shared" ref="ES295" si="5062">ET216</f>
        <v>0</v>
      </c>
      <c r="ET295" s="101">
        <f t="shared" ref="ET295" si="5063">EU216</f>
        <v>0</v>
      </c>
      <c r="EU295" s="101">
        <f t="shared" ref="EU295" si="5064">EV216</f>
        <v>0</v>
      </c>
      <c r="EV295" s="101">
        <f t="shared" ref="EV295" si="5065">EW216</f>
        <v>0</v>
      </c>
      <c r="EW295" s="101">
        <f t="shared" ref="EW295" si="5066">EX216</f>
        <v>0</v>
      </c>
      <c r="EX295" s="101">
        <f t="shared" ref="EX295" si="5067">EY216</f>
        <v>0</v>
      </c>
      <c r="EY295" s="101">
        <f t="shared" ref="EY295" si="5068">EZ216</f>
        <v>0</v>
      </c>
      <c r="EZ295" s="101">
        <f t="shared" ref="EZ295" si="5069">FA216</f>
        <v>0</v>
      </c>
      <c r="FA295" s="101">
        <f t="shared" ref="FA295" si="5070">FB216</f>
        <v>0</v>
      </c>
      <c r="FB295" s="101">
        <f t="shared" ref="FB295" si="5071">FC216</f>
        <v>0</v>
      </c>
      <c r="FC295" s="101">
        <f t="shared" ref="FC295" si="5072">FD216</f>
        <v>0</v>
      </c>
      <c r="FD295" s="101">
        <f t="shared" ref="FD295" si="5073">FE216</f>
        <v>0</v>
      </c>
      <c r="FE295" s="101">
        <f t="shared" ref="FE295" si="5074">FF216</f>
        <v>0</v>
      </c>
      <c r="FF295" s="101">
        <f t="shared" ref="FF295" si="5075">FG216</f>
        <v>0</v>
      </c>
      <c r="FG295" s="101">
        <f t="shared" ref="FG295" si="5076">FH216</f>
        <v>0</v>
      </c>
      <c r="FH295" s="101">
        <f t="shared" ref="FH295" si="5077">FI216</f>
        <v>0</v>
      </c>
      <c r="FI295" s="101">
        <f t="shared" ref="FI295" si="5078">FJ216</f>
        <v>0</v>
      </c>
      <c r="FJ295" s="101">
        <f t="shared" ref="FJ295" si="5079">FK216</f>
        <v>0</v>
      </c>
      <c r="FK295" s="101">
        <f t="shared" ref="FK295" si="5080">FL216</f>
        <v>0</v>
      </c>
      <c r="FL295" s="101">
        <f t="shared" ref="FL295" si="5081">FM216</f>
        <v>0</v>
      </c>
      <c r="FM295" s="101">
        <f t="shared" ref="FM295" si="5082">FN216</f>
        <v>0</v>
      </c>
      <c r="FN295" s="101">
        <f t="shared" ref="FN295" si="5083">FO216</f>
        <v>0</v>
      </c>
      <c r="FO295" s="101">
        <f t="shared" ref="FO295" si="5084">FP216</f>
        <v>0</v>
      </c>
      <c r="FP295" s="101">
        <f t="shared" ref="FP295" si="5085">FQ216</f>
        <v>0</v>
      </c>
      <c r="FQ295" s="101">
        <f t="shared" ref="FQ295" si="5086">FR216</f>
        <v>0</v>
      </c>
      <c r="FR295" s="101">
        <f t="shared" ref="FR295" si="5087">FS216</f>
        <v>0</v>
      </c>
      <c r="FS295" s="101">
        <f t="shared" ref="FS295" si="5088">FT216</f>
        <v>0</v>
      </c>
      <c r="FT295" s="101">
        <f t="shared" ref="FT295" si="5089">FU216</f>
        <v>0</v>
      </c>
      <c r="FU295" s="101">
        <f t="shared" ref="FU295" si="5090">FV216</f>
        <v>0</v>
      </c>
      <c r="FV295" s="101">
        <f t="shared" ref="FV295" si="5091">FW216</f>
        <v>0</v>
      </c>
      <c r="FW295" s="101">
        <f t="shared" ref="FW295" si="5092">FX216</f>
        <v>0</v>
      </c>
      <c r="FX295" s="101">
        <f t="shared" ref="FX295" si="5093">FY216</f>
        <v>0</v>
      </c>
      <c r="FY295" s="101">
        <f t="shared" ref="FY295" si="5094">FZ216</f>
        <v>0</v>
      </c>
      <c r="FZ295" s="98"/>
    </row>
    <row r="296" spans="1:184" x14ac:dyDescent="0.2">
      <c r="A296" s="2" t="s">
        <v>229</v>
      </c>
      <c r="B296" s="57">
        <f>B297-B295</f>
        <v>0</v>
      </c>
      <c r="C296" s="57">
        <f t="shared" ref="C296" si="5095">C297-C295</f>
        <v>0</v>
      </c>
      <c r="D296" s="57">
        <f t="shared" ref="D296:BO296" si="5096">D297-D295</f>
        <v>0</v>
      </c>
      <c r="E296" s="57">
        <f t="shared" si="5096"/>
        <v>0</v>
      </c>
      <c r="F296" s="57">
        <f t="shared" si="5096"/>
        <v>0</v>
      </c>
      <c r="G296" s="57">
        <f t="shared" si="5096"/>
        <v>0</v>
      </c>
      <c r="H296" s="57">
        <f t="shared" si="5096"/>
        <v>0</v>
      </c>
      <c r="I296" s="57">
        <f t="shared" si="5096"/>
        <v>0</v>
      </c>
      <c r="J296" s="57">
        <f t="shared" si="5096"/>
        <v>0</v>
      </c>
      <c r="K296" s="57">
        <f t="shared" si="5096"/>
        <v>0</v>
      </c>
      <c r="L296" s="57">
        <f t="shared" si="5096"/>
        <v>0</v>
      </c>
      <c r="M296" s="57">
        <f t="shared" si="5096"/>
        <v>0</v>
      </c>
      <c r="N296" s="57">
        <f t="shared" si="5096"/>
        <v>0</v>
      </c>
      <c r="O296" s="57">
        <f t="shared" si="5096"/>
        <v>0</v>
      </c>
      <c r="P296" s="57">
        <f t="shared" si="5096"/>
        <v>0</v>
      </c>
      <c r="Q296" s="57">
        <f t="shared" si="5096"/>
        <v>0</v>
      </c>
      <c r="R296" s="57">
        <f t="shared" si="5096"/>
        <v>0</v>
      </c>
      <c r="S296" s="57">
        <f t="shared" si="5096"/>
        <v>0</v>
      </c>
      <c r="T296" s="57">
        <f t="shared" si="5096"/>
        <v>0</v>
      </c>
      <c r="U296" s="57">
        <f t="shared" si="5096"/>
        <v>0</v>
      </c>
      <c r="V296" s="57">
        <f t="shared" si="5096"/>
        <v>0</v>
      </c>
      <c r="W296" s="57">
        <f t="shared" si="5096"/>
        <v>0</v>
      </c>
      <c r="X296" s="57">
        <f t="shared" si="5096"/>
        <v>0</v>
      </c>
      <c r="Y296" s="57">
        <f t="shared" si="5096"/>
        <v>0</v>
      </c>
      <c r="Z296" s="57">
        <f t="shared" si="5096"/>
        <v>0</v>
      </c>
      <c r="AA296" s="57">
        <f t="shared" si="5096"/>
        <v>0</v>
      </c>
      <c r="AB296" s="57">
        <f t="shared" si="5096"/>
        <v>0</v>
      </c>
      <c r="AC296" s="57">
        <f t="shared" si="5096"/>
        <v>0</v>
      </c>
      <c r="AD296" s="57">
        <f t="shared" si="5096"/>
        <v>0</v>
      </c>
      <c r="AE296" s="57">
        <f t="shared" si="5096"/>
        <v>0</v>
      </c>
      <c r="AF296" s="57">
        <f t="shared" si="5096"/>
        <v>0</v>
      </c>
      <c r="AG296" s="57">
        <f t="shared" si="5096"/>
        <v>0</v>
      </c>
      <c r="AH296" s="57">
        <f t="shared" si="5096"/>
        <v>0</v>
      </c>
      <c r="AI296" s="57">
        <f t="shared" si="5096"/>
        <v>0</v>
      </c>
      <c r="AJ296" s="57">
        <f t="shared" si="5096"/>
        <v>0</v>
      </c>
      <c r="AK296" s="57">
        <f t="shared" si="5096"/>
        <v>0</v>
      </c>
      <c r="AL296" s="57">
        <f t="shared" si="5096"/>
        <v>0</v>
      </c>
      <c r="AM296" s="57">
        <f t="shared" si="5096"/>
        <v>0</v>
      </c>
      <c r="AN296" s="57">
        <f t="shared" si="5096"/>
        <v>0</v>
      </c>
      <c r="AO296" s="57">
        <f t="shared" si="5096"/>
        <v>0</v>
      </c>
      <c r="AP296" s="57">
        <f t="shared" si="5096"/>
        <v>0</v>
      </c>
      <c r="AQ296" s="57">
        <f t="shared" si="5096"/>
        <v>0</v>
      </c>
      <c r="AR296" s="57">
        <f t="shared" si="5096"/>
        <v>0</v>
      </c>
      <c r="AS296" s="57">
        <f t="shared" si="5096"/>
        <v>0</v>
      </c>
      <c r="AT296" s="57">
        <f t="shared" si="5096"/>
        <v>0</v>
      </c>
      <c r="AU296" s="57">
        <f t="shared" si="5096"/>
        <v>0</v>
      </c>
      <c r="AV296" s="57">
        <f t="shared" si="5096"/>
        <v>0</v>
      </c>
      <c r="AW296" s="57">
        <f t="shared" si="5096"/>
        <v>0</v>
      </c>
      <c r="AX296" s="57">
        <f t="shared" si="5096"/>
        <v>0</v>
      </c>
      <c r="AY296" s="57">
        <f t="shared" si="5096"/>
        <v>0</v>
      </c>
      <c r="AZ296" s="57">
        <f t="shared" si="5096"/>
        <v>0</v>
      </c>
      <c r="BA296" s="57">
        <f t="shared" si="5096"/>
        <v>0</v>
      </c>
      <c r="BB296" s="57">
        <f t="shared" si="5096"/>
        <v>0</v>
      </c>
      <c r="BC296" s="57">
        <f t="shared" si="5096"/>
        <v>0</v>
      </c>
      <c r="BD296" s="57">
        <f t="shared" si="5096"/>
        <v>0</v>
      </c>
      <c r="BE296" s="57">
        <f t="shared" si="5096"/>
        <v>0</v>
      </c>
      <c r="BF296" s="57">
        <f t="shared" si="5096"/>
        <v>0</v>
      </c>
      <c r="BG296" s="57">
        <f t="shared" si="5096"/>
        <v>0</v>
      </c>
      <c r="BH296" s="57">
        <f t="shared" si="5096"/>
        <v>0</v>
      </c>
      <c r="BI296" s="57">
        <f t="shared" si="5096"/>
        <v>0</v>
      </c>
      <c r="BJ296" s="57">
        <f t="shared" si="5096"/>
        <v>0</v>
      </c>
      <c r="BK296" s="57">
        <f t="shared" si="5096"/>
        <v>0</v>
      </c>
      <c r="BL296" s="57">
        <f t="shared" si="5096"/>
        <v>0</v>
      </c>
      <c r="BM296" s="57">
        <f t="shared" si="5096"/>
        <v>0</v>
      </c>
      <c r="BN296" s="57">
        <f t="shared" si="5096"/>
        <v>0</v>
      </c>
      <c r="BO296" s="57">
        <f t="shared" si="5096"/>
        <v>0</v>
      </c>
      <c r="BP296" s="57">
        <f t="shared" ref="BP296:EA296" si="5097">BP297-BP295</f>
        <v>0</v>
      </c>
      <c r="BQ296" s="57">
        <f t="shared" si="5097"/>
        <v>0</v>
      </c>
      <c r="BR296" s="57">
        <f t="shared" si="5097"/>
        <v>0</v>
      </c>
      <c r="BS296" s="57">
        <f t="shared" si="5097"/>
        <v>0</v>
      </c>
      <c r="BT296" s="57">
        <f t="shared" si="5097"/>
        <v>0</v>
      </c>
      <c r="BU296" s="57">
        <f t="shared" si="5097"/>
        <v>0</v>
      </c>
      <c r="BV296" s="57">
        <f t="shared" si="5097"/>
        <v>0</v>
      </c>
      <c r="BW296" s="57">
        <f t="shared" si="5097"/>
        <v>0</v>
      </c>
      <c r="BX296" s="57">
        <f t="shared" si="5097"/>
        <v>0</v>
      </c>
      <c r="BY296" s="57">
        <f t="shared" si="5097"/>
        <v>0</v>
      </c>
      <c r="BZ296" s="57">
        <f t="shared" si="5097"/>
        <v>0</v>
      </c>
      <c r="CA296" s="57">
        <f t="shared" si="5097"/>
        <v>0</v>
      </c>
      <c r="CB296" s="57">
        <f t="shared" si="5097"/>
        <v>0</v>
      </c>
      <c r="CC296" s="57">
        <f t="shared" si="5097"/>
        <v>0</v>
      </c>
      <c r="CD296" s="57">
        <f t="shared" si="5097"/>
        <v>0</v>
      </c>
      <c r="CE296" s="57">
        <f t="shared" si="5097"/>
        <v>0</v>
      </c>
      <c r="CF296" s="57">
        <f t="shared" si="5097"/>
        <v>0</v>
      </c>
      <c r="CG296" s="57">
        <f t="shared" si="5097"/>
        <v>0</v>
      </c>
      <c r="CH296" s="57">
        <f t="shared" si="5097"/>
        <v>0</v>
      </c>
      <c r="CI296" s="57">
        <f t="shared" si="5097"/>
        <v>0</v>
      </c>
      <c r="CJ296" s="57">
        <f t="shared" si="5097"/>
        <v>0</v>
      </c>
      <c r="CK296" s="57">
        <f t="shared" si="5097"/>
        <v>0</v>
      </c>
      <c r="CL296" s="57">
        <f t="shared" si="5097"/>
        <v>0</v>
      </c>
      <c r="CM296" s="57">
        <f t="shared" si="5097"/>
        <v>0</v>
      </c>
      <c r="CN296" s="57">
        <f t="shared" si="5097"/>
        <v>0</v>
      </c>
      <c r="CO296" s="57">
        <f t="shared" si="5097"/>
        <v>0</v>
      </c>
      <c r="CP296" s="57">
        <f t="shared" si="5097"/>
        <v>0</v>
      </c>
      <c r="CQ296" s="57">
        <f t="shared" si="5097"/>
        <v>0</v>
      </c>
      <c r="CR296" s="57">
        <f t="shared" si="5097"/>
        <v>0</v>
      </c>
      <c r="CS296" s="57">
        <f t="shared" si="5097"/>
        <v>0</v>
      </c>
      <c r="CT296" s="57">
        <f t="shared" si="5097"/>
        <v>0</v>
      </c>
      <c r="CU296" s="57">
        <f t="shared" si="5097"/>
        <v>0</v>
      </c>
      <c r="CV296" s="57">
        <f t="shared" si="5097"/>
        <v>0</v>
      </c>
      <c r="CW296" s="57">
        <f t="shared" si="5097"/>
        <v>0</v>
      </c>
      <c r="CX296" s="57">
        <f t="shared" si="5097"/>
        <v>0</v>
      </c>
      <c r="CY296" s="57">
        <f t="shared" si="5097"/>
        <v>0</v>
      </c>
      <c r="CZ296" s="57">
        <f t="shared" si="5097"/>
        <v>0</v>
      </c>
      <c r="DA296" s="57">
        <f t="shared" si="5097"/>
        <v>0</v>
      </c>
      <c r="DB296" s="57">
        <f t="shared" si="5097"/>
        <v>0</v>
      </c>
      <c r="DC296" s="57">
        <f t="shared" si="5097"/>
        <v>0</v>
      </c>
      <c r="DD296" s="57">
        <f t="shared" si="5097"/>
        <v>0</v>
      </c>
      <c r="DE296" s="57">
        <f t="shared" si="5097"/>
        <v>0</v>
      </c>
      <c r="DF296" s="57">
        <f t="shared" si="5097"/>
        <v>0</v>
      </c>
      <c r="DG296" s="57">
        <f t="shared" si="5097"/>
        <v>0</v>
      </c>
      <c r="DH296" s="57">
        <f t="shared" si="5097"/>
        <v>0</v>
      </c>
      <c r="DI296" s="57">
        <f t="shared" si="5097"/>
        <v>0</v>
      </c>
      <c r="DJ296" s="57">
        <f t="shared" si="5097"/>
        <v>0</v>
      </c>
      <c r="DK296" s="57">
        <f t="shared" si="5097"/>
        <v>0</v>
      </c>
      <c r="DL296" s="57">
        <f t="shared" si="5097"/>
        <v>0</v>
      </c>
      <c r="DM296" s="57">
        <f t="shared" si="5097"/>
        <v>0</v>
      </c>
      <c r="DN296" s="57">
        <f t="shared" si="5097"/>
        <v>0</v>
      </c>
      <c r="DO296" s="57">
        <f t="shared" si="5097"/>
        <v>0</v>
      </c>
      <c r="DP296" s="57">
        <f t="shared" si="5097"/>
        <v>0</v>
      </c>
      <c r="DQ296" s="57">
        <f t="shared" si="5097"/>
        <v>0</v>
      </c>
      <c r="DR296" s="57">
        <f t="shared" si="5097"/>
        <v>0</v>
      </c>
      <c r="DS296" s="57">
        <f t="shared" si="5097"/>
        <v>0</v>
      </c>
      <c r="DT296" s="57">
        <f t="shared" si="5097"/>
        <v>0</v>
      </c>
      <c r="DU296" s="57">
        <f t="shared" si="5097"/>
        <v>0</v>
      </c>
      <c r="DV296" s="57">
        <f t="shared" si="5097"/>
        <v>0</v>
      </c>
      <c r="DW296" s="57">
        <f t="shared" si="5097"/>
        <v>0</v>
      </c>
      <c r="DX296" s="57">
        <f t="shared" si="5097"/>
        <v>0</v>
      </c>
      <c r="DY296" s="57">
        <f t="shared" si="5097"/>
        <v>0</v>
      </c>
      <c r="DZ296" s="57">
        <f t="shared" si="5097"/>
        <v>0</v>
      </c>
      <c r="EA296" s="57">
        <f t="shared" si="5097"/>
        <v>0</v>
      </c>
      <c r="EB296" s="57">
        <f t="shared" ref="EB296:FY296" si="5098">EB297-EB295</f>
        <v>0</v>
      </c>
      <c r="EC296" s="57">
        <f t="shared" si="5098"/>
        <v>0</v>
      </c>
      <c r="ED296" s="57">
        <f t="shared" si="5098"/>
        <v>0</v>
      </c>
      <c r="EE296" s="57">
        <f t="shared" si="5098"/>
        <v>0</v>
      </c>
      <c r="EF296" s="57">
        <f t="shared" si="5098"/>
        <v>0</v>
      </c>
      <c r="EG296" s="57">
        <f t="shared" si="5098"/>
        <v>0</v>
      </c>
      <c r="EH296" s="57">
        <f t="shared" si="5098"/>
        <v>0</v>
      </c>
      <c r="EI296" s="57">
        <f t="shared" si="5098"/>
        <v>0</v>
      </c>
      <c r="EJ296" s="57">
        <f t="shared" si="5098"/>
        <v>0</v>
      </c>
      <c r="EK296" s="57">
        <f t="shared" si="5098"/>
        <v>0</v>
      </c>
      <c r="EL296" s="57">
        <f t="shared" si="5098"/>
        <v>0</v>
      </c>
      <c r="EM296" s="57">
        <f t="shared" si="5098"/>
        <v>0</v>
      </c>
      <c r="EN296" s="57">
        <f t="shared" si="5098"/>
        <v>0</v>
      </c>
      <c r="EO296" s="57">
        <f t="shared" si="5098"/>
        <v>0</v>
      </c>
      <c r="EP296" s="57">
        <f t="shared" si="5098"/>
        <v>0</v>
      </c>
      <c r="EQ296" s="57">
        <f t="shared" si="5098"/>
        <v>0</v>
      </c>
      <c r="ER296" s="57">
        <f t="shared" si="5098"/>
        <v>0</v>
      </c>
      <c r="ES296" s="57">
        <f t="shared" si="5098"/>
        <v>0</v>
      </c>
      <c r="ET296" s="57">
        <f t="shared" si="5098"/>
        <v>0</v>
      </c>
      <c r="EU296" s="57">
        <f t="shared" si="5098"/>
        <v>0</v>
      </c>
      <c r="EV296" s="57">
        <f t="shared" si="5098"/>
        <v>0</v>
      </c>
      <c r="EW296" s="57">
        <f t="shared" si="5098"/>
        <v>0</v>
      </c>
      <c r="EX296" s="57">
        <f t="shared" si="5098"/>
        <v>0</v>
      </c>
      <c r="EY296" s="57">
        <f t="shared" si="5098"/>
        <v>0</v>
      </c>
      <c r="EZ296" s="57">
        <f t="shared" si="5098"/>
        <v>0</v>
      </c>
      <c r="FA296" s="57">
        <f t="shared" si="5098"/>
        <v>0</v>
      </c>
      <c r="FB296" s="57">
        <f t="shared" si="5098"/>
        <v>0</v>
      </c>
      <c r="FC296" s="57">
        <f t="shared" si="5098"/>
        <v>0</v>
      </c>
      <c r="FD296" s="57">
        <f t="shared" si="5098"/>
        <v>0</v>
      </c>
      <c r="FE296" s="57">
        <f t="shared" si="5098"/>
        <v>0</v>
      </c>
      <c r="FF296" s="57">
        <f t="shared" si="5098"/>
        <v>0</v>
      </c>
      <c r="FG296" s="57">
        <f t="shared" si="5098"/>
        <v>0</v>
      </c>
      <c r="FH296" s="57">
        <f t="shared" si="5098"/>
        <v>0</v>
      </c>
      <c r="FI296" s="57">
        <f t="shared" si="5098"/>
        <v>0</v>
      </c>
      <c r="FJ296" s="57">
        <f t="shared" si="5098"/>
        <v>0</v>
      </c>
      <c r="FK296" s="57">
        <f t="shared" si="5098"/>
        <v>0</v>
      </c>
      <c r="FL296" s="57">
        <f t="shared" si="5098"/>
        <v>0</v>
      </c>
      <c r="FM296" s="57">
        <f t="shared" si="5098"/>
        <v>0</v>
      </c>
      <c r="FN296" s="57">
        <f t="shared" si="5098"/>
        <v>0</v>
      </c>
      <c r="FO296" s="57">
        <f t="shared" si="5098"/>
        <v>0</v>
      </c>
      <c r="FP296" s="57">
        <f t="shared" si="5098"/>
        <v>0</v>
      </c>
      <c r="FQ296" s="57">
        <f t="shared" si="5098"/>
        <v>0</v>
      </c>
      <c r="FR296" s="57">
        <f t="shared" si="5098"/>
        <v>0</v>
      </c>
      <c r="FS296" s="57">
        <f t="shared" si="5098"/>
        <v>0</v>
      </c>
      <c r="FT296" s="57">
        <f t="shared" si="5098"/>
        <v>0</v>
      </c>
      <c r="FU296" s="57">
        <f t="shared" si="5098"/>
        <v>0</v>
      </c>
      <c r="FV296" s="57">
        <f t="shared" si="5098"/>
        <v>0</v>
      </c>
      <c r="FW296" s="57">
        <f t="shared" si="5098"/>
        <v>0</v>
      </c>
      <c r="FX296" s="57">
        <f t="shared" si="5098"/>
        <v>0</v>
      </c>
      <c r="FY296" s="57">
        <f t="shared" si="5098"/>
        <v>0</v>
      </c>
      <c r="FZ296" s="59"/>
    </row>
    <row r="297" spans="1:184" x14ac:dyDescent="0.2">
      <c r="A297" s="2" t="s">
        <v>230</v>
      </c>
      <c r="B297" s="102">
        <f>C255</f>
        <v>2719.0774143267922</v>
      </c>
      <c r="C297" s="102">
        <f t="shared" ref="C297" si="5099">D255</f>
        <v>2590.574180237978</v>
      </c>
      <c r="D297" s="102">
        <f t="shared" ref="D297" si="5100">E255</f>
        <v>2464.027501250629</v>
      </c>
      <c r="E297" s="102">
        <f t="shared" ref="E297" si="5101">F255</f>
        <v>2339.5148339398079</v>
      </c>
      <c r="F297" s="102">
        <f t="shared" ref="F297" si="5102">G255</f>
        <v>2217.1154255873785</v>
      </c>
      <c r="G297" s="102">
        <f t="shared" ref="G297" si="5103">H255</f>
        <v>2096.9104819216745</v>
      </c>
      <c r="H297" s="102">
        <f t="shared" ref="H297" si="5104">I255</f>
        <v>1978.9829396809412</v>
      </c>
      <c r="I297" s="102">
        <f t="shared" ref="I297" si="5105">J255</f>
        <v>1863.4176404479474</v>
      </c>
      <c r="J297" s="102">
        <f t="shared" ref="J297" si="5106">K255</f>
        <v>1750.3013703389124</v>
      </c>
      <c r="K297" s="102">
        <f t="shared" ref="K297" si="5107">L255</f>
        <v>1639.7229005011063</v>
      </c>
      <c r="L297" s="102">
        <f t="shared" ref="L297" si="5108">M255</f>
        <v>1531.7730284340837</v>
      </c>
      <c r="M297" s="102">
        <f t="shared" ref="M297" si="5109">N255</f>
        <v>1426.5446201526993</v>
      </c>
      <c r="N297" s="102">
        <f t="shared" ref="N297" si="5110">O255</f>
        <v>1324.1327629660982</v>
      </c>
      <c r="O297" s="102">
        <f t="shared" ref="O297" si="5111">P255</f>
        <v>1224.6356375487489</v>
      </c>
      <c r="P297" s="102">
        <f t="shared" ref="P297" si="5112">Q255</f>
        <v>1128.1525176718228</v>
      </c>
      <c r="Q297" s="102">
        <f t="shared" ref="Q297" si="5113">R255</f>
        <v>1034.7849094839485</v>
      </c>
      <c r="R297" s="102">
        <f t="shared" ref="R297" si="5114">S255</f>
        <v>944.63660811284444</v>
      </c>
      <c r="S297" s="102">
        <f t="shared" ref="S297" si="5115">T255</f>
        <v>857.81374513381684</v>
      </c>
      <c r="T297" s="102">
        <f t="shared" ref="T297" si="5116">U255</f>
        <v>774.42483700373009</v>
      </c>
      <c r="U297" s="102">
        <f t="shared" ref="U297" si="5117">V255</f>
        <v>694.58083448023342</v>
      </c>
      <c r="V297" s="102">
        <f t="shared" ref="V297" si="5118">W255</f>
        <v>618.39525367754618</v>
      </c>
      <c r="W297" s="102">
        <f t="shared" ref="W297" si="5119">X255</f>
        <v>545.984058382017</v>
      </c>
      <c r="X297" s="102">
        <f t="shared" ref="X297" si="5120">Y255</f>
        <v>477.46580067522757</v>
      </c>
      <c r="Y297" s="102">
        <f t="shared" ref="Y297" si="5121">Z255</f>
        <v>412.96167448109071</v>
      </c>
      <c r="Z297" s="102">
        <f t="shared" ref="Z297" si="5122">AA255</f>
        <v>352.59557020469259</v>
      </c>
      <c r="AA297" s="102">
        <f t="shared" ref="AA297" si="5123">AB255</f>
        <v>296.49470743643599</v>
      </c>
      <c r="AB297" s="102">
        <f t="shared" ref="AB297" si="5124">AC255</f>
        <v>244.78845956682508</v>
      </c>
      <c r="AC297" s="102">
        <f t="shared" ref="AC297" si="5125">AD255</f>
        <v>197.6090501608769</v>
      </c>
      <c r="AD297" s="102">
        <f t="shared" ref="AD297" si="5126">AE255</f>
        <v>155.09162487402568</v>
      </c>
      <c r="AE297" s="102">
        <f t="shared" ref="AE297" si="5127">AF255</f>
        <v>117.37435115105059</v>
      </c>
      <c r="AF297" s="102">
        <f t="shared" ref="AF297" si="5128">AG255</f>
        <v>84.598390662460105</v>
      </c>
      <c r="AG297" s="102">
        <f t="shared" ref="AG297" si="5129">AH255</f>
        <v>56.908011268652345</v>
      </c>
      <c r="AH297" s="102">
        <f t="shared" ref="AH297" si="5130">AI255</f>
        <v>34.45065103595438</v>
      </c>
      <c r="AI297" s="102">
        <f t="shared" ref="AI297" si="5131">AJ255</f>
        <v>17.376983553017283</v>
      </c>
      <c r="AJ297" s="102">
        <f t="shared" ref="AJ297" si="5132">AK255</f>
        <v>5.8409845716587157</v>
      </c>
      <c r="AK297" s="102">
        <f t="shared" ref="AK297" si="5133">AL255</f>
        <v>0</v>
      </c>
      <c r="AL297" s="102">
        <f t="shared" ref="AL297" si="5134">AM255</f>
        <v>0</v>
      </c>
      <c r="AM297" s="102">
        <f t="shared" ref="AM297" si="5135">AN255</f>
        <v>0</v>
      </c>
      <c r="AN297" s="102">
        <f t="shared" ref="AN297" si="5136">AO255</f>
        <v>0</v>
      </c>
      <c r="AO297" s="102">
        <f t="shared" ref="AO297" si="5137">AP255</f>
        <v>0</v>
      </c>
      <c r="AP297" s="102">
        <f t="shared" ref="AP297" si="5138">AQ255</f>
        <v>0</v>
      </c>
      <c r="AQ297" s="102">
        <f t="shared" ref="AQ297" si="5139">AR255</f>
        <v>0</v>
      </c>
      <c r="AR297" s="102">
        <f t="shared" ref="AR297" si="5140">AS255</f>
        <v>0</v>
      </c>
      <c r="AS297" s="102">
        <f t="shared" ref="AS297" si="5141">AT255</f>
        <v>0</v>
      </c>
      <c r="AT297" s="102">
        <f t="shared" ref="AT297" si="5142">AU255</f>
        <v>0</v>
      </c>
      <c r="AU297" s="102">
        <f t="shared" ref="AU297" si="5143">AV255</f>
        <v>0</v>
      </c>
      <c r="AV297" s="102">
        <f t="shared" ref="AV297" si="5144">AW255</f>
        <v>0</v>
      </c>
      <c r="AW297" s="102">
        <f t="shared" ref="AW297" si="5145">AX255</f>
        <v>0</v>
      </c>
      <c r="AX297" s="102">
        <f t="shared" ref="AX297" si="5146">AY255</f>
        <v>0</v>
      </c>
      <c r="AY297" s="102">
        <f t="shared" ref="AY297" si="5147">AZ255</f>
        <v>0</v>
      </c>
      <c r="AZ297" s="102">
        <f t="shared" ref="AZ297" si="5148">BA255</f>
        <v>0</v>
      </c>
      <c r="BA297" s="102">
        <f t="shared" ref="BA297" si="5149">BB255</f>
        <v>0</v>
      </c>
      <c r="BB297" s="102">
        <f t="shared" ref="BB297" si="5150">BC255</f>
        <v>0</v>
      </c>
      <c r="BC297" s="102">
        <f t="shared" ref="BC297" si="5151">BD255</f>
        <v>0</v>
      </c>
      <c r="BD297" s="102">
        <f t="shared" ref="BD297" si="5152">BE255</f>
        <v>0</v>
      </c>
      <c r="BE297" s="102">
        <f t="shared" ref="BE297" si="5153">BF255</f>
        <v>0</v>
      </c>
      <c r="BF297" s="102">
        <f t="shared" ref="BF297" si="5154">BG255</f>
        <v>0</v>
      </c>
      <c r="BG297" s="102">
        <f t="shared" ref="BG297" si="5155">BH255</f>
        <v>0</v>
      </c>
      <c r="BH297" s="102">
        <f t="shared" ref="BH297" si="5156">BI255</f>
        <v>0</v>
      </c>
      <c r="BI297" s="102">
        <f t="shared" ref="BI297" si="5157">BJ255</f>
        <v>0</v>
      </c>
      <c r="BJ297" s="102">
        <f t="shared" ref="BJ297" si="5158">BK255</f>
        <v>0</v>
      </c>
      <c r="BK297" s="102">
        <f t="shared" ref="BK297" si="5159">BL255</f>
        <v>0</v>
      </c>
      <c r="BL297" s="102">
        <f t="shared" ref="BL297" si="5160">BM255</f>
        <v>0</v>
      </c>
      <c r="BM297" s="102">
        <f t="shared" ref="BM297" si="5161">BN255</f>
        <v>0</v>
      </c>
      <c r="BN297" s="102">
        <f t="shared" ref="BN297" si="5162">BO255</f>
        <v>0</v>
      </c>
      <c r="BO297" s="102">
        <f t="shared" ref="BO297" si="5163">BP255</f>
        <v>0</v>
      </c>
      <c r="BP297" s="102">
        <f t="shared" ref="BP297" si="5164">BQ255</f>
        <v>0</v>
      </c>
      <c r="BQ297" s="102">
        <f t="shared" ref="BQ297" si="5165">BR255</f>
        <v>0</v>
      </c>
      <c r="BR297" s="102">
        <f t="shared" ref="BR297" si="5166">BS255</f>
        <v>0</v>
      </c>
      <c r="BS297" s="102">
        <f t="shared" ref="BS297" si="5167">BT255</f>
        <v>0</v>
      </c>
      <c r="BT297" s="102">
        <f t="shared" ref="BT297" si="5168">BU255</f>
        <v>0</v>
      </c>
      <c r="BU297" s="102">
        <f t="shared" ref="BU297" si="5169">BV255</f>
        <v>0</v>
      </c>
      <c r="BV297" s="102">
        <f t="shared" ref="BV297" si="5170">BW255</f>
        <v>0</v>
      </c>
      <c r="BW297" s="102">
        <f t="shared" ref="BW297" si="5171">BX255</f>
        <v>0</v>
      </c>
      <c r="BX297" s="102">
        <f t="shared" ref="BX297" si="5172">BY255</f>
        <v>0</v>
      </c>
      <c r="BY297" s="102">
        <f t="shared" ref="BY297" si="5173">BZ255</f>
        <v>0</v>
      </c>
      <c r="BZ297" s="102">
        <f t="shared" ref="BZ297" si="5174">CA255</f>
        <v>0</v>
      </c>
      <c r="CA297" s="102">
        <f t="shared" ref="CA297" si="5175">CB255</f>
        <v>0</v>
      </c>
      <c r="CB297" s="102">
        <f t="shared" ref="CB297" si="5176">CC255</f>
        <v>0</v>
      </c>
      <c r="CC297" s="102">
        <f t="shared" ref="CC297" si="5177">CD255</f>
        <v>0</v>
      </c>
      <c r="CD297" s="102">
        <f t="shared" ref="CD297" si="5178">CE255</f>
        <v>0</v>
      </c>
      <c r="CE297" s="102">
        <f t="shared" ref="CE297" si="5179">CF255</f>
        <v>0</v>
      </c>
      <c r="CF297" s="102">
        <f t="shared" ref="CF297" si="5180">CG255</f>
        <v>0</v>
      </c>
      <c r="CG297" s="102">
        <f t="shared" ref="CG297" si="5181">CH255</f>
        <v>0</v>
      </c>
      <c r="CH297" s="102">
        <f t="shared" ref="CH297" si="5182">CI255</f>
        <v>0</v>
      </c>
      <c r="CI297" s="102">
        <f t="shared" ref="CI297" si="5183">CJ255</f>
        <v>0</v>
      </c>
      <c r="CJ297" s="102">
        <f t="shared" ref="CJ297" si="5184">CK255</f>
        <v>0</v>
      </c>
      <c r="CK297" s="102">
        <f t="shared" ref="CK297" si="5185">CL255</f>
        <v>0</v>
      </c>
      <c r="CL297" s="102">
        <f t="shared" ref="CL297" si="5186">CM255</f>
        <v>0</v>
      </c>
      <c r="CM297" s="102">
        <f t="shared" ref="CM297" si="5187">CN255</f>
        <v>0</v>
      </c>
      <c r="CN297" s="102">
        <f t="shared" ref="CN297" si="5188">CO255</f>
        <v>0</v>
      </c>
      <c r="CO297" s="102">
        <f t="shared" ref="CO297" si="5189">CP255</f>
        <v>0</v>
      </c>
      <c r="CP297" s="102">
        <f t="shared" ref="CP297" si="5190">CQ255</f>
        <v>0</v>
      </c>
      <c r="CQ297" s="102">
        <f t="shared" ref="CQ297" si="5191">CR255</f>
        <v>0</v>
      </c>
      <c r="CR297" s="102">
        <f t="shared" ref="CR297" si="5192">CS255</f>
        <v>0</v>
      </c>
      <c r="CS297" s="102">
        <f t="shared" ref="CS297" si="5193">CT255</f>
        <v>0</v>
      </c>
      <c r="CT297" s="102">
        <f t="shared" ref="CT297" si="5194">CU255</f>
        <v>0</v>
      </c>
      <c r="CU297" s="102">
        <f t="shared" ref="CU297" si="5195">CV255</f>
        <v>0</v>
      </c>
      <c r="CV297" s="102">
        <f t="shared" ref="CV297" si="5196">CW255</f>
        <v>0</v>
      </c>
      <c r="CW297" s="102">
        <f t="shared" ref="CW297" si="5197">CX255</f>
        <v>0</v>
      </c>
      <c r="CX297" s="102">
        <f t="shared" ref="CX297" si="5198">CY255</f>
        <v>0</v>
      </c>
      <c r="CY297" s="102">
        <f t="shared" ref="CY297" si="5199">CZ255</f>
        <v>0</v>
      </c>
      <c r="CZ297" s="102">
        <f t="shared" ref="CZ297" si="5200">DA255</f>
        <v>0</v>
      </c>
      <c r="DA297" s="102">
        <f t="shared" ref="DA297" si="5201">DB255</f>
        <v>0</v>
      </c>
      <c r="DB297" s="102">
        <f t="shared" ref="DB297" si="5202">DC255</f>
        <v>0</v>
      </c>
      <c r="DC297" s="102">
        <f t="shared" ref="DC297" si="5203">DD255</f>
        <v>0</v>
      </c>
      <c r="DD297" s="102">
        <f t="shared" ref="DD297" si="5204">DE255</f>
        <v>0</v>
      </c>
      <c r="DE297" s="102">
        <f t="shared" ref="DE297" si="5205">DF255</f>
        <v>0</v>
      </c>
      <c r="DF297" s="102">
        <f t="shared" ref="DF297" si="5206">DG255</f>
        <v>0</v>
      </c>
      <c r="DG297" s="102">
        <f t="shared" ref="DG297" si="5207">DH255</f>
        <v>0</v>
      </c>
      <c r="DH297" s="102">
        <f t="shared" ref="DH297" si="5208">DI255</f>
        <v>0</v>
      </c>
      <c r="DI297" s="102">
        <f t="shared" ref="DI297" si="5209">DJ255</f>
        <v>0</v>
      </c>
      <c r="DJ297" s="102">
        <f t="shared" ref="DJ297" si="5210">DK255</f>
        <v>0</v>
      </c>
      <c r="DK297" s="102">
        <f t="shared" ref="DK297" si="5211">DL255</f>
        <v>0</v>
      </c>
      <c r="DL297" s="102">
        <f t="shared" ref="DL297" si="5212">DM255</f>
        <v>0</v>
      </c>
      <c r="DM297" s="102">
        <f t="shared" ref="DM297" si="5213">DN255</f>
        <v>0</v>
      </c>
      <c r="DN297" s="102">
        <f t="shared" ref="DN297" si="5214">DO255</f>
        <v>0</v>
      </c>
      <c r="DO297" s="102">
        <f t="shared" ref="DO297" si="5215">DP255</f>
        <v>0</v>
      </c>
      <c r="DP297" s="102">
        <f t="shared" ref="DP297" si="5216">DQ255</f>
        <v>0</v>
      </c>
      <c r="DQ297" s="102">
        <f t="shared" ref="DQ297" si="5217">DR255</f>
        <v>0</v>
      </c>
      <c r="DR297" s="102">
        <f t="shared" ref="DR297" si="5218">DS255</f>
        <v>0</v>
      </c>
      <c r="DS297" s="102">
        <f t="shared" ref="DS297" si="5219">DT255</f>
        <v>0</v>
      </c>
      <c r="DT297" s="102">
        <f t="shared" ref="DT297" si="5220">DU255</f>
        <v>0</v>
      </c>
      <c r="DU297" s="102">
        <f t="shared" ref="DU297" si="5221">DV255</f>
        <v>0</v>
      </c>
      <c r="DV297" s="102">
        <f t="shared" ref="DV297" si="5222">DW255</f>
        <v>0</v>
      </c>
      <c r="DW297" s="102">
        <f t="shared" ref="DW297" si="5223">DX255</f>
        <v>0</v>
      </c>
      <c r="DX297" s="102">
        <f t="shared" ref="DX297" si="5224">DY255</f>
        <v>0</v>
      </c>
      <c r="DY297" s="102">
        <f t="shared" ref="DY297" si="5225">DZ255</f>
        <v>0</v>
      </c>
      <c r="DZ297" s="102">
        <f t="shared" ref="DZ297" si="5226">EA255</f>
        <v>0</v>
      </c>
      <c r="EA297" s="102">
        <f t="shared" ref="EA297" si="5227">EB255</f>
        <v>0</v>
      </c>
      <c r="EB297" s="102">
        <f t="shared" ref="EB297" si="5228">EC255</f>
        <v>0</v>
      </c>
      <c r="EC297" s="102">
        <f t="shared" ref="EC297" si="5229">ED255</f>
        <v>0</v>
      </c>
      <c r="ED297" s="102">
        <f t="shared" ref="ED297" si="5230">EE255</f>
        <v>0</v>
      </c>
      <c r="EE297" s="102">
        <f t="shared" ref="EE297" si="5231">EF255</f>
        <v>0</v>
      </c>
      <c r="EF297" s="102">
        <f t="shared" ref="EF297" si="5232">EG255</f>
        <v>0</v>
      </c>
      <c r="EG297" s="102">
        <f t="shared" ref="EG297" si="5233">EH255</f>
        <v>0</v>
      </c>
      <c r="EH297" s="102">
        <f t="shared" ref="EH297" si="5234">EI255</f>
        <v>0</v>
      </c>
      <c r="EI297" s="102">
        <f t="shared" ref="EI297" si="5235">EJ255</f>
        <v>0</v>
      </c>
      <c r="EJ297" s="102">
        <f t="shared" ref="EJ297" si="5236">EK255</f>
        <v>0</v>
      </c>
      <c r="EK297" s="102">
        <f t="shared" ref="EK297" si="5237">EL255</f>
        <v>0</v>
      </c>
      <c r="EL297" s="102">
        <f t="shared" ref="EL297" si="5238">EM255</f>
        <v>0</v>
      </c>
      <c r="EM297" s="102">
        <f t="shared" ref="EM297" si="5239">EN255</f>
        <v>0</v>
      </c>
      <c r="EN297" s="102">
        <f t="shared" ref="EN297" si="5240">EO255</f>
        <v>0</v>
      </c>
      <c r="EO297" s="102">
        <f t="shared" ref="EO297" si="5241">EP255</f>
        <v>0</v>
      </c>
      <c r="EP297" s="102">
        <f t="shared" ref="EP297" si="5242">EQ255</f>
        <v>0</v>
      </c>
      <c r="EQ297" s="102">
        <f t="shared" ref="EQ297" si="5243">ER255</f>
        <v>0</v>
      </c>
      <c r="ER297" s="102">
        <f t="shared" ref="ER297" si="5244">ES255</f>
        <v>0</v>
      </c>
      <c r="ES297" s="102">
        <f t="shared" ref="ES297" si="5245">ET255</f>
        <v>0</v>
      </c>
      <c r="ET297" s="102">
        <f t="shared" ref="ET297" si="5246">EU255</f>
        <v>0</v>
      </c>
      <c r="EU297" s="102">
        <f t="shared" ref="EU297" si="5247">EV255</f>
        <v>0</v>
      </c>
      <c r="EV297" s="102">
        <f t="shared" ref="EV297" si="5248">EW255</f>
        <v>0</v>
      </c>
      <c r="EW297" s="102">
        <f t="shared" ref="EW297" si="5249">EX255</f>
        <v>0</v>
      </c>
      <c r="EX297" s="102">
        <f t="shared" ref="EX297" si="5250">EY255</f>
        <v>0</v>
      </c>
      <c r="EY297" s="102">
        <f t="shared" ref="EY297" si="5251">EZ255</f>
        <v>0</v>
      </c>
      <c r="EZ297" s="102">
        <f t="shared" ref="EZ297" si="5252">FA255</f>
        <v>0</v>
      </c>
      <c r="FA297" s="102">
        <f t="shared" ref="FA297" si="5253">FB255</f>
        <v>0</v>
      </c>
      <c r="FB297" s="102">
        <f t="shared" ref="FB297" si="5254">FC255</f>
        <v>0</v>
      </c>
      <c r="FC297" s="102">
        <f t="shared" ref="FC297" si="5255">FD255</f>
        <v>0</v>
      </c>
      <c r="FD297" s="102">
        <f t="shared" ref="FD297" si="5256">FE255</f>
        <v>0</v>
      </c>
      <c r="FE297" s="102">
        <f t="shared" ref="FE297" si="5257">FF255</f>
        <v>0</v>
      </c>
      <c r="FF297" s="102">
        <f t="shared" ref="FF297" si="5258">FG255</f>
        <v>0</v>
      </c>
      <c r="FG297" s="102">
        <f t="shared" ref="FG297" si="5259">FH255</f>
        <v>0</v>
      </c>
      <c r="FH297" s="102">
        <f t="shared" ref="FH297" si="5260">FI255</f>
        <v>0</v>
      </c>
      <c r="FI297" s="102">
        <f t="shared" ref="FI297" si="5261">FJ255</f>
        <v>0</v>
      </c>
      <c r="FJ297" s="102">
        <f t="shared" ref="FJ297" si="5262">FK255</f>
        <v>0</v>
      </c>
      <c r="FK297" s="102">
        <f t="shared" ref="FK297" si="5263">FL255</f>
        <v>0</v>
      </c>
      <c r="FL297" s="102">
        <f t="shared" ref="FL297" si="5264">FM255</f>
        <v>0</v>
      </c>
      <c r="FM297" s="102">
        <f t="shared" ref="FM297" si="5265">FN255</f>
        <v>0</v>
      </c>
      <c r="FN297" s="102">
        <f t="shared" ref="FN297" si="5266">FO255</f>
        <v>0</v>
      </c>
      <c r="FO297" s="102">
        <f t="shared" ref="FO297" si="5267">FP255</f>
        <v>0</v>
      </c>
      <c r="FP297" s="102">
        <f t="shared" ref="FP297" si="5268">FQ255</f>
        <v>0</v>
      </c>
      <c r="FQ297" s="102">
        <f t="shared" ref="FQ297" si="5269">FR255</f>
        <v>0</v>
      </c>
      <c r="FR297" s="102">
        <f t="shared" ref="FR297" si="5270">FS255</f>
        <v>0</v>
      </c>
      <c r="FS297" s="102">
        <f t="shared" ref="FS297" si="5271">FT255</f>
        <v>0</v>
      </c>
      <c r="FT297" s="102">
        <f t="shared" ref="FT297" si="5272">FU255</f>
        <v>0</v>
      </c>
      <c r="FU297" s="102">
        <f t="shared" ref="FU297" si="5273">FV255</f>
        <v>0</v>
      </c>
      <c r="FV297" s="102">
        <f t="shared" ref="FV297" si="5274">FW255</f>
        <v>0</v>
      </c>
      <c r="FW297" s="102">
        <f t="shared" ref="FW297" si="5275">FX255</f>
        <v>0</v>
      </c>
      <c r="FX297" s="102">
        <f t="shared" ref="FX297" si="5276">FY255</f>
        <v>0</v>
      </c>
      <c r="FY297" s="102">
        <f t="shared" ref="FY297" si="5277">FZ255</f>
        <v>0</v>
      </c>
      <c r="FZ297" s="100"/>
    </row>
    <row r="298" spans="1:184" x14ac:dyDescent="0.2"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57"/>
      <c r="AP298" s="57"/>
      <c r="AQ298" s="57"/>
      <c r="AR298" s="57"/>
      <c r="AS298" s="57"/>
      <c r="AT298" s="57"/>
      <c r="AU298" s="57"/>
      <c r="AV298" s="57"/>
      <c r="AW298" s="57"/>
      <c r="AX298" s="57"/>
      <c r="AY298" s="57"/>
      <c r="AZ298" s="57"/>
      <c r="BA298" s="57"/>
      <c r="BB298" s="57"/>
      <c r="BC298" s="57"/>
      <c r="BD298" s="57"/>
      <c r="BE298" s="57"/>
      <c r="BF298" s="57"/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  <c r="FB298" s="57"/>
      <c r="FC298" s="57"/>
      <c r="FD298" s="57"/>
      <c r="FE298" s="57"/>
      <c r="FF298" s="57"/>
      <c r="FG298" s="57"/>
      <c r="FH298" s="57"/>
      <c r="FI298" s="57"/>
      <c r="FJ298" s="57"/>
      <c r="FK298" s="57"/>
      <c r="FL298" s="57"/>
      <c r="FM298" s="57"/>
      <c r="FN298" s="57"/>
      <c r="FO298" s="57"/>
      <c r="FP298" s="57"/>
      <c r="FQ298" s="57"/>
      <c r="FR298" s="57"/>
      <c r="FS298" s="57"/>
      <c r="FT298" s="57"/>
      <c r="FU298" s="57"/>
      <c r="FV298" s="57"/>
      <c r="FW298" s="57"/>
      <c r="FX298" s="57"/>
      <c r="FY298" s="57"/>
      <c r="FZ298" s="59"/>
    </row>
    <row r="299" spans="1:184" x14ac:dyDescent="0.2"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57"/>
      <c r="AN299" s="57"/>
      <c r="AO299" s="57"/>
      <c r="AP299" s="57"/>
      <c r="AQ299" s="57"/>
      <c r="AR299" s="57"/>
      <c r="AS299" s="57"/>
      <c r="AT299" s="57"/>
      <c r="AU299" s="57"/>
      <c r="AV299" s="57"/>
      <c r="AW299" s="57"/>
      <c r="AX299" s="57"/>
      <c r="AY299" s="57"/>
      <c r="AZ299" s="57"/>
      <c r="BA299" s="57"/>
      <c r="BB299" s="57"/>
      <c r="BC299" s="57"/>
      <c r="BD299" s="57"/>
      <c r="BE299" s="57"/>
      <c r="BF299" s="57"/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  <c r="FB299" s="57"/>
      <c r="FC299" s="57"/>
      <c r="FD299" s="57"/>
      <c r="FE299" s="57"/>
      <c r="FF299" s="57"/>
      <c r="FG299" s="57"/>
      <c r="FH299" s="57"/>
      <c r="FI299" s="57"/>
      <c r="FJ299" s="57"/>
      <c r="FK299" s="57"/>
      <c r="FL299" s="57"/>
      <c r="FM299" s="57"/>
      <c r="FN299" s="57"/>
      <c r="FO299" s="57"/>
      <c r="FP299" s="57"/>
      <c r="FQ299" s="57"/>
      <c r="FR299" s="57"/>
      <c r="FS299" s="57"/>
      <c r="FT299" s="57"/>
      <c r="FU299" s="57"/>
      <c r="FV299" s="57"/>
      <c r="FW299" s="57"/>
      <c r="FX299" s="57"/>
      <c r="FY299" s="57"/>
    </row>
    <row r="300" spans="1:184" x14ac:dyDescent="0.2">
      <c r="A300" s="2" t="s">
        <v>72</v>
      </c>
      <c r="B300" s="57">
        <f t="shared" ref="B300:BM300" si="5278">-(B262+B281)</f>
        <v>107138.88198712851</v>
      </c>
      <c r="C300" s="57">
        <f t="shared" si="5278"/>
        <v>-119167.17038191801</v>
      </c>
      <c r="D300" s="57">
        <f t="shared" si="5278"/>
        <v>-114142.00681750308</v>
      </c>
      <c r="E300" s="57">
        <f t="shared" si="5278"/>
        <v>-109187.57816584611</v>
      </c>
      <c r="F300" s="57">
        <f t="shared" si="5278"/>
        <v>-104305.87238057285</v>
      </c>
      <c r="G300" s="57">
        <f t="shared" si="5278"/>
        <v>-99498.915164913604</v>
      </c>
      <c r="H300" s="57">
        <f t="shared" si="5278"/>
        <v>-94768.770760746338</v>
      </c>
      <c r="I300" s="57">
        <f t="shared" si="5278"/>
        <v>-90117.542352900215</v>
      </c>
      <c r="J300" s="57">
        <f t="shared" si="5278"/>
        <v>-85547.37288538205</v>
      </c>
      <c r="K300" s="57">
        <f t="shared" si="5278"/>
        <v>-81060.445754299843</v>
      </c>
      <c r="L300" s="57">
        <f t="shared" si="5278"/>
        <v>-76658.98551259363</v>
      </c>
      <c r="M300" s="57">
        <f t="shared" si="5278"/>
        <v>-72345.258586744225</v>
      </c>
      <c r="N300" s="57">
        <f t="shared" si="5278"/>
        <v>-68121.57400577025</v>
      </c>
      <c r="O300" s="57">
        <f t="shared" si="5278"/>
        <v>-63953.772977324705</v>
      </c>
      <c r="P300" s="57">
        <f t="shared" si="5278"/>
        <v>-59881.100929224158</v>
      </c>
      <c r="Q300" s="57">
        <f t="shared" si="5278"/>
        <v>-55906.080961772124</v>
      </c>
      <c r="R300" s="57">
        <f t="shared" si="5278"/>
        <v>-52031.28432889656</v>
      </c>
      <c r="S300" s="57">
        <f t="shared" si="5278"/>
        <v>-48259.331294213414</v>
      </c>
      <c r="T300" s="57">
        <f t="shared" si="5278"/>
        <v>-44592.891991534139</v>
      </c>
      <c r="U300" s="57">
        <f t="shared" si="5278"/>
        <v>-41034.687300043937</v>
      </c>
      <c r="V300" s="57">
        <f t="shared" si="5278"/>
        <v>-37587.48973451394</v>
      </c>
      <c r="W300" s="57">
        <f t="shared" si="5278"/>
        <v>-34254.124431347671</v>
      </c>
      <c r="X300" s="57">
        <f t="shared" si="5278"/>
        <v>-31037.46990034217</v>
      </c>
      <c r="Y300" s="57">
        <f t="shared" si="5278"/>
        <v>-27940.45904948797</v>
      </c>
      <c r="Z300" s="57">
        <f t="shared" si="5278"/>
        <v>-24966.080137658115</v>
      </c>
      <c r="AA300" s="57">
        <f t="shared" si="5278"/>
        <v>-22092.719301347031</v>
      </c>
      <c r="AB300" s="57">
        <f t="shared" si="5278"/>
        <v>-19349.620282144489</v>
      </c>
      <c r="AC300" s="57">
        <f t="shared" si="5278"/>
        <v>-16740.062659611955</v>
      </c>
      <c r="AD300" s="57">
        <f t="shared" si="5278"/>
        <v>-14267.388801205754</v>
      </c>
      <c r="AE300" s="57">
        <f t="shared" si="5278"/>
        <v>-11935.004985465592</v>
      </c>
      <c r="AF300" s="57">
        <f t="shared" si="5278"/>
        <v>-9746.3825708217901</v>
      </c>
      <c r="AG300" s="57">
        <f t="shared" si="5278"/>
        <v>-7705.0590553511483</v>
      </c>
      <c r="AH300" s="57">
        <f t="shared" si="5278"/>
        <v>-5814.6392945362713</v>
      </c>
      <c r="AI300" s="57">
        <f t="shared" si="5278"/>
        <v>-4078.7966899056087</v>
      </c>
      <c r="AJ300" s="57">
        <f t="shared" si="5278"/>
        <v>-2501.2743980769519</v>
      </c>
      <c r="AK300" s="57">
        <f t="shared" si="5278"/>
        <v>-1085.8865605716637</v>
      </c>
      <c r="AL300" s="57">
        <f t="shared" si="5278"/>
        <v>0</v>
      </c>
      <c r="AM300" s="57">
        <f t="shared" si="5278"/>
        <v>0</v>
      </c>
      <c r="AN300" s="57">
        <f t="shared" si="5278"/>
        <v>0</v>
      </c>
      <c r="AO300" s="57">
        <f t="shared" si="5278"/>
        <v>0</v>
      </c>
      <c r="AP300" s="57">
        <f t="shared" si="5278"/>
        <v>0</v>
      </c>
      <c r="AQ300" s="57">
        <f t="shared" si="5278"/>
        <v>0</v>
      </c>
      <c r="AR300" s="57">
        <f t="shared" si="5278"/>
        <v>0</v>
      </c>
      <c r="AS300" s="57">
        <f t="shared" si="5278"/>
        <v>0</v>
      </c>
      <c r="AT300" s="57">
        <f t="shared" si="5278"/>
        <v>0</v>
      </c>
      <c r="AU300" s="57">
        <f t="shared" si="5278"/>
        <v>0</v>
      </c>
      <c r="AV300" s="57">
        <f t="shared" si="5278"/>
        <v>0</v>
      </c>
      <c r="AW300" s="57">
        <f t="shared" si="5278"/>
        <v>0</v>
      </c>
      <c r="AX300" s="57">
        <f t="shared" si="5278"/>
        <v>0</v>
      </c>
      <c r="AY300" s="57">
        <f t="shared" si="5278"/>
        <v>0</v>
      </c>
      <c r="AZ300" s="57">
        <f t="shared" si="5278"/>
        <v>0</v>
      </c>
      <c r="BA300" s="57">
        <f t="shared" si="5278"/>
        <v>0</v>
      </c>
      <c r="BB300" s="57">
        <f t="shared" si="5278"/>
        <v>0</v>
      </c>
      <c r="BC300" s="57">
        <f t="shared" si="5278"/>
        <v>0</v>
      </c>
      <c r="BD300" s="57">
        <f t="shared" si="5278"/>
        <v>0</v>
      </c>
      <c r="BE300" s="57">
        <f t="shared" si="5278"/>
        <v>0</v>
      </c>
      <c r="BF300" s="57">
        <f t="shared" si="5278"/>
        <v>0</v>
      </c>
      <c r="BG300" s="57">
        <f t="shared" si="5278"/>
        <v>0</v>
      </c>
      <c r="BH300" s="57">
        <f t="shared" si="5278"/>
        <v>0</v>
      </c>
      <c r="BI300" s="57">
        <f t="shared" si="5278"/>
        <v>0</v>
      </c>
      <c r="BJ300" s="57">
        <f t="shared" si="5278"/>
        <v>0</v>
      </c>
      <c r="BK300" s="57">
        <f t="shared" si="5278"/>
        <v>0</v>
      </c>
      <c r="BL300" s="57">
        <f t="shared" si="5278"/>
        <v>0</v>
      </c>
      <c r="BM300" s="57">
        <f t="shared" si="5278"/>
        <v>0</v>
      </c>
      <c r="BN300" s="57">
        <f t="shared" ref="BN300:DY300" si="5279">-(BN262+BN281)</f>
        <v>0</v>
      </c>
      <c r="BO300" s="57">
        <f t="shared" si="5279"/>
        <v>0</v>
      </c>
      <c r="BP300" s="57">
        <f t="shared" si="5279"/>
        <v>0</v>
      </c>
      <c r="BQ300" s="57">
        <f t="shared" si="5279"/>
        <v>0</v>
      </c>
      <c r="BR300" s="57">
        <f t="shared" si="5279"/>
        <v>0</v>
      </c>
      <c r="BS300" s="57">
        <f t="shared" si="5279"/>
        <v>0</v>
      </c>
      <c r="BT300" s="57">
        <f t="shared" si="5279"/>
        <v>0</v>
      </c>
      <c r="BU300" s="57">
        <f t="shared" si="5279"/>
        <v>0</v>
      </c>
      <c r="BV300" s="57">
        <f t="shared" si="5279"/>
        <v>0</v>
      </c>
      <c r="BW300" s="57">
        <f t="shared" si="5279"/>
        <v>0</v>
      </c>
      <c r="BX300" s="57">
        <f t="shared" si="5279"/>
        <v>0</v>
      </c>
      <c r="BY300" s="57">
        <f t="shared" si="5279"/>
        <v>0</v>
      </c>
      <c r="BZ300" s="57">
        <f t="shared" si="5279"/>
        <v>0</v>
      </c>
      <c r="CA300" s="57">
        <f t="shared" si="5279"/>
        <v>0</v>
      </c>
      <c r="CB300" s="57">
        <f t="shared" si="5279"/>
        <v>0</v>
      </c>
      <c r="CC300" s="57">
        <f t="shared" si="5279"/>
        <v>0</v>
      </c>
      <c r="CD300" s="57">
        <f t="shared" si="5279"/>
        <v>0</v>
      </c>
      <c r="CE300" s="57">
        <f t="shared" si="5279"/>
        <v>0</v>
      </c>
      <c r="CF300" s="57">
        <f t="shared" si="5279"/>
        <v>0</v>
      </c>
      <c r="CG300" s="57">
        <f t="shared" si="5279"/>
        <v>0</v>
      </c>
      <c r="CH300" s="57">
        <f t="shared" si="5279"/>
        <v>0</v>
      </c>
      <c r="CI300" s="57">
        <f t="shared" si="5279"/>
        <v>0</v>
      </c>
      <c r="CJ300" s="57">
        <f t="shared" si="5279"/>
        <v>0</v>
      </c>
      <c r="CK300" s="57">
        <f t="shared" si="5279"/>
        <v>0</v>
      </c>
      <c r="CL300" s="57">
        <f t="shared" si="5279"/>
        <v>0</v>
      </c>
      <c r="CM300" s="57">
        <f t="shared" si="5279"/>
        <v>0</v>
      </c>
      <c r="CN300" s="57">
        <f t="shared" si="5279"/>
        <v>0</v>
      </c>
      <c r="CO300" s="57">
        <f t="shared" si="5279"/>
        <v>0</v>
      </c>
      <c r="CP300" s="57">
        <f t="shared" si="5279"/>
        <v>0</v>
      </c>
      <c r="CQ300" s="57">
        <f t="shared" si="5279"/>
        <v>0</v>
      </c>
      <c r="CR300" s="57">
        <f t="shared" si="5279"/>
        <v>0</v>
      </c>
      <c r="CS300" s="57">
        <f t="shared" si="5279"/>
        <v>0</v>
      </c>
      <c r="CT300" s="57">
        <f t="shared" si="5279"/>
        <v>0</v>
      </c>
      <c r="CU300" s="57">
        <f t="shared" si="5279"/>
        <v>0</v>
      </c>
      <c r="CV300" s="57">
        <f t="shared" si="5279"/>
        <v>0</v>
      </c>
      <c r="CW300" s="57">
        <f t="shared" si="5279"/>
        <v>0</v>
      </c>
      <c r="CX300" s="57">
        <f t="shared" si="5279"/>
        <v>0</v>
      </c>
      <c r="CY300" s="57">
        <f t="shared" si="5279"/>
        <v>0</v>
      </c>
      <c r="CZ300" s="57">
        <f t="shared" si="5279"/>
        <v>0</v>
      </c>
      <c r="DA300" s="57">
        <f t="shared" si="5279"/>
        <v>0</v>
      </c>
      <c r="DB300" s="57">
        <f t="shared" si="5279"/>
        <v>0</v>
      </c>
      <c r="DC300" s="57">
        <f t="shared" si="5279"/>
        <v>0</v>
      </c>
      <c r="DD300" s="57">
        <f t="shared" si="5279"/>
        <v>0</v>
      </c>
      <c r="DE300" s="57">
        <f t="shared" si="5279"/>
        <v>0</v>
      </c>
      <c r="DF300" s="57">
        <f t="shared" si="5279"/>
        <v>0</v>
      </c>
      <c r="DG300" s="57">
        <f t="shared" si="5279"/>
        <v>0</v>
      </c>
      <c r="DH300" s="57">
        <f t="shared" si="5279"/>
        <v>0</v>
      </c>
      <c r="DI300" s="57">
        <f t="shared" si="5279"/>
        <v>0</v>
      </c>
      <c r="DJ300" s="57">
        <f t="shared" si="5279"/>
        <v>0</v>
      </c>
      <c r="DK300" s="57">
        <f t="shared" si="5279"/>
        <v>0</v>
      </c>
      <c r="DL300" s="57">
        <f t="shared" si="5279"/>
        <v>0</v>
      </c>
      <c r="DM300" s="57">
        <f t="shared" si="5279"/>
        <v>0</v>
      </c>
      <c r="DN300" s="57">
        <f t="shared" si="5279"/>
        <v>0</v>
      </c>
      <c r="DO300" s="57">
        <f t="shared" si="5279"/>
        <v>0</v>
      </c>
      <c r="DP300" s="57">
        <f t="shared" si="5279"/>
        <v>0</v>
      </c>
      <c r="DQ300" s="57">
        <f t="shared" si="5279"/>
        <v>0</v>
      </c>
      <c r="DR300" s="57">
        <f t="shared" si="5279"/>
        <v>0</v>
      </c>
      <c r="DS300" s="57">
        <f t="shared" si="5279"/>
        <v>0</v>
      </c>
      <c r="DT300" s="57">
        <f t="shared" si="5279"/>
        <v>0</v>
      </c>
      <c r="DU300" s="57">
        <f t="shared" si="5279"/>
        <v>0</v>
      </c>
      <c r="DV300" s="57">
        <f t="shared" si="5279"/>
        <v>0</v>
      </c>
      <c r="DW300" s="57">
        <f t="shared" si="5279"/>
        <v>0</v>
      </c>
      <c r="DX300" s="57">
        <f t="shared" si="5279"/>
        <v>0</v>
      </c>
      <c r="DY300" s="57">
        <f t="shared" si="5279"/>
        <v>0</v>
      </c>
      <c r="DZ300" s="57">
        <f t="shared" ref="DZ300:FY300" si="5280">-(DZ262+DZ281)</f>
        <v>0</v>
      </c>
      <c r="EA300" s="57">
        <f t="shared" si="5280"/>
        <v>0</v>
      </c>
      <c r="EB300" s="57">
        <f t="shared" si="5280"/>
        <v>0</v>
      </c>
      <c r="EC300" s="57">
        <f t="shared" si="5280"/>
        <v>0</v>
      </c>
      <c r="ED300" s="57">
        <f t="shared" si="5280"/>
        <v>0</v>
      </c>
      <c r="EE300" s="57">
        <f t="shared" si="5280"/>
        <v>0</v>
      </c>
      <c r="EF300" s="57">
        <f t="shared" si="5280"/>
        <v>0</v>
      </c>
      <c r="EG300" s="57">
        <f t="shared" si="5280"/>
        <v>0</v>
      </c>
      <c r="EH300" s="57">
        <f t="shared" si="5280"/>
        <v>0</v>
      </c>
      <c r="EI300" s="57">
        <f t="shared" si="5280"/>
        <v>0</v>
      </c>
      <c r="EJ300" s="57">
        <f t="shared" si="5280"/>
        <v>0</v>
      </c>
      <c r="EK300" s="57">
        <f t="shared" si="5280"/>
        <v>0</v>
      </c>
      <c r="EL300" s="57">
        <f t="shared" si="5280"/>
        <v>0</v>
      </c>
      <c r="EM300" s="57">
        <f t="shared" si="5280"/>
        <v>0</v>
      </c>
      <c r="EN300" s="57">
        <f t="shared" si="5280"/>
        <v>0</v>
      </c>
      <c r="EO300" s="57">
        <f t="shared" si="5280"/>
        <v>0</v>
      </c>
      <c r="EP300" s="57">
        <f t="shared" si="5280"/>
        <v>0</v>
      </c>
      <c r="EQ300" s="57">
        <f t="shared" si="5280"/>
        <v>0</v>
      </c>
      <c r="ER300" s="57">
        <f t="shared" si="5280"/>
        <v>0</v>
      </c>
      <c r="ES300" s="57">
        <f t="shared" si="5280"/>
        <v>0</v>
      </c>
      <c r="ET300" s="57">
        <f t="shared" si="5280"/>
        <v>0</v>
      </c>
      <c r="EU300" s="57">
        <f t="shared" si="5280"/>
        <v>0</v>
      </c>
      <c r="EV300" s="57">
        <f t="shared" si="5280"/>
        <v>0</v>
      </c>
      <c r="EW300" s="57">
        <f t="shared" si="5280"/>
        <v>0</v>
      </c>
      <c r="EX300" s="57">
        <f t="shared" si="5280"/>
        <v>0</v>
      </c>
      <c r="EY300" s="57">
        <f t="shared" si="5280"/>
        <v>0</v>
      </c>
      <c r="EZ300" s="57">
        <f t="shared" si="5280"/>
        <v>0</v>
      </c>
      <c r="FA300" s="57">
        <f t="shared" si="5280"/>
        <v>0</v>
      </c>
      <c r="FB300" s="57">
        <f t="shared" si="5280"/>
        <v>0</v>
      </c>
      <c r="FC300" s="57">
        <f t="shared" si="5280"/>
        <v>0</v>
      </c>
      <c r="FD300" s="57">
        <f t="shared" si="5280"/>
        <v>0</v>
      </c>
      <c r="FE300" s="57">
        <f t="shared" si="5280"/>
        <v>0</v>
      </c>
      <c r="FF300" s="57">
        <f t="shared" si="5280"/>
        <v>0</v>
      </c>
      <c r="FG300" s="57">
        <f t="shared" si="5280"/>
        <v>0</v>
      </c>
      <c r="FH300" s="57">
        <f t="shared" si="5280"/>
        <v>0</v>
      </c>
      <c r="FI300" s="57">
        <f t="shared" si="5280"/>
        <v>0</v>
      </c>
      <c r="FJ300" s="57">
        <f t="shared" si="5280"/>
        <v>0</v>
      </c>
      <c r="FK300" s="57">
        <f t="shared" si="5280"/>
        <v>0</v>
      </c>
      <c r="FL300" s="57">
        <f t="shared" si="5280"/>
        <v>0</v>
      </c>
      <c r="FM300" s="57">
        <f t="shared" si="5280"/>
        <v>0</v>
      </c>
      <c r="FN300" s="57">
        <f t="shared" si="5280"/>
        <v>0</v>
      </c>
      <c r="FO300" s="57">
        <f t="shared" si="5280"/>
        <v>0</v>
      </c>
      <c r="FP300" s="57">
        <f t="shared" si="5280"/>
        <v>0</v>
      </c>
      <c r="FQ300" s="57">
        <f t="shared" si="5280"/>
        <v>0</v>
      </c>
      <c r="FR300" s="57">
        <f t="shared" si="5280"/>
        <v>0</v>
      </c>
      <c r="FS300" s="57">
        <f t="shared" si="5280"/>
        <v>0</v>
      </c>
      <c r="FT300" s="57">
        <f t="shared" si="5280"/>
        <v>0</v>
      </c>
      <c r="FU300" s="57">
        <f t="shared" si="5280"/>
        <v>0</v>
      </c>
      <c r="FV300" s="57">
        <f t="shared" si="5280"/>
        <v>0</v>
      </c>
      <c r="FW300" s="57">
        <f t="shared" si="5280"/>
        <v>0</v>
      </c>
      <c r="FX300" s="57">
        <f t="shared" si="5280"/>
        <v>0</v>
      </c>
      <c r="FY300" s="57">
        <f t="shared" si="5280"/>
        <v>0</v>
      </c>
      <c r="FZ300" s="59"/>
    </row>
    <row r="301" spans="1:184" x14ac:dyDescent="0.2"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  <c r="BD301" s="57"/>
      <c r="BE301" s="57"/>
      <c r="BF301" s="57"/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  <c r="FB301" s="57"/>
      <c r="FC301" s="57"/>
      <c r="FD301" s="57"/>
      <c r="FE301" s="57"/>
      <c r="FF301" s="57"/>
      <c r="FG301" s="57"/>
      <c r="FH301" s="57"/>
      <c r="FI301" s="57"/>
      <c r="FJ301" s="57"/>
      <c r="FK301" s="57"/>
      <c r="FL301" s="57"/>
      <c r="FM301" s="57"/>
      <c r="FN301" s="57"/>
      <c r="FO301" s="57"/>
      <c r="FP301" s="57"/>
      <c r="FQ301" s="57"/>
      <c r="FR301" s="57"/>
      <c r="FS301" s="57"/>
      <c r="FT301" s="57"/>
      <c r="FU301" s="57"/>
      <c r="FV301" s="57"/>
      <c r="FW301" s="57"/>
      <c r="FX301" s="57"/>
      <c r="FY301" s="57"/>
    </row>
    <row r="302" spans="1:184" x14ac:dyDescent="0.2">
      <c r="A302" s="91" t="s">
        <v>231</v>
      </c>
      <c r="B302" s="69"/>
      <c r="N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58"/>
      <c r="AN302" s="58"/>
      <c r="AO302" s="58"/>
      <c r="AP302" s="58"/>
      <c r="AQ302" s="58"/>
      <c r="AR302" s="58"/>
      <c r="AS302" s="58"/>
      <c r="AT302" s="58"/>
      <c r="AU302" s="58"/>
      <c r="AV302" s="58"/>
      <c r="AW302" s="58"/>
      <c r="AX302" s="58"/>
      <c r="AY302" s="58"/>
      <c r="AZ302" s="58"/>
      <c r="BA302" s="58"/>
      <c r="BB302" s="58"/>
      <c r="BC302" s="58"/>
      <c r="BD302" s="58"/>
      <c r="BE302" s="58"/>
      <c r="BF302" s="58"/>
      <c r="BG302" s="58"/>
      <c r="BH302" s="58"/>
      <c r="BI302" s="58"/>
      <c r="BJ302" s="58"/>
      <c r="BK302" s="58"/>
      <c r="BL302" s="58"/>
      <c r="BM302" s="58"/>
      <c r="BN302" s="58"/>
      <c r="BO302" s="58"/>
      <c r="BP302" s="58"/>
      <c r="BQ302" s="58"/>
      <c r="BR302" s="58"/>
      <c r="BS302" s="58"/>
      <c r="BT302" s="58"/>
      <c r="BU302" s="58"/>
      <c r="BV302" s="58"/>
      <c r="BW302" s="58"/>
      <c r="BX302" s="58"/>
      <c r="BY302" s="58"/>
      <c r="BZ302" s="58"/>
      <c r="CA302" s="58"/>
      <c r="CB302" s="58"/>
      <c r="CC302" s="58"/>
      <c r="CD302" s="58"/>
      <c r="CE302" s="58"/>
      <c r="CF302" s="58"/>
      <c r="CG302" s="58"/>
      <c r="CH302" s="58"/>
      <c r="CI302" s="58"/>
      <c r="CJ302" s="58"/>
      <c r="CK302" s="58"/>
      <c r="CL302" s="58"/>
      <c r="CM302" s="58"/>
      <c r="CN302" s="58"/>
      <c r="CO302" s="58"/>
      <c r="CP302" s="58"/>
      <c r="CQ302" s="58"/>
      <c r="CR302" s="58"/>
      <c r="CS302" s="58"/>
      <c r="CT302" s="58"/>
      <c r="CU302" s="58"/>
      <c r="CV302" s="58"/>
      <c r="CW302" s="58"/>
      <c r="CX302" s="58"/>
      <c r="CY302" s="58"/>
      <c r="CZ302" s="58"/>
      <c r="DA302" s="58"/>
      <c r="DB302" s="58"/>
      <c r="DC302" s="58"/>
      <c r="DD302" s="58"/>
      <c r="DE302" s="58"/>
      <c r="DF302" s="58"/>
      <c r="DG302" s="58"/>
      <c r="DH302" s="58"/>
      <c r="DI302" s="58"/>
      <c r="DJ302" s="58"/>
      <c r="DK302" s="58"/>
      <c r="DL302" s="58"/>
      <c r="DM302" s="58"/>
      <c r="DN302" s="58"/>
      <c r="DO302" s="58"/>
      <c r="DP302" s="58"/>
      <c r="DQ302" s="58"/>
      <c r="DR302" s="58"/>
      <c r="DS302" s="58"/>
      <c r="DT302" s="58"/>
      <c r="DU302" s="58"/>
      <c r="DV302" s="58"/>
      <c r="DW302" s="58"/>
      <c r="DX302" s="58"/>
      <c r="DY302" s="58"/>
      <c r="DZ302" s="58"/>
      <c r="EA302" s="58"/>
      <c r="EB302" s="58"/>
      <c r="EC302" s="58"/>
      <c r="ED302" s="58"/>
      <c r="EE302" s="58"/>
      <c r="EF302" s="58"/>
      <c r="EG302" s="58"/>
      <c r="EH302" s="58"/>
      <c r="EI302" s="58"/>
      <c r="EJ302" s="58"/>
      <c r="EK302" s="58"/>
      <c r="EL302" s="58"/>
      <c r="EM302" s="58"/>
      <c r="EN302" s="58"/>
      <c r="EO302" s="58"/>
      <c r="EP302" s="58"/>
      <c r="EQ302" s="58"/>
      <c r="ER302" s="58"/>
      <c r="ES302" s="58"/>
      <c r="ET302" s="58"/>
      <c r="EU302" s="58"/>
      <c r="EV302" s="58"/>
      <c r="EW302" s="58"/>
      <c r="EX302" s="58"/>
      <c r="EY302" s="58"/>
      <c r="EZ302" s="58"/>
      <c r="FA302" s="58"/>
      <c r="FB302" s="58"/>
      <c r="FC302" s="58"/>
      <c r="FD302" s="58"/>
      <c r="FE302" s="58"/>
      <c r="FF302" s="58"/>
      <c r="FG302" s="58"/>
      <c r="FH302" s="58"/>
      <c r="FI302" s="58"/>
      <c r="FJ302" s="58"/>
      <c r="FK302" s="58"/>
      <c r="FL302" s="58"/>
      <c r="FM302" s="58"/>
      <c r="FN302" s="58"/>
      <c r="FO302" s="58"/>
      <c r="FP302" s="58"/>
      <c r="FQ302" s="58"/>
      <c r="FR302" s="58"/>
      <c r="FS302" s="58"/>
      <c r="FT302" s="58"/>
      <c r="FU302" s="58"/>
      <c r="FV302" s="58"/>
      <c r="FW302" s="58"/>
      <c r="FX302" s="58"/>
      <c r="FY302" s="58"/>
    </row>
    <row r="303" spans="1:184" x14ac:dyDescent="0.2">
      <c r="A303" s="2" t="s">
        <v>232</v>
      </c>
      <c r="B303" s="103">
        <f>IF(-(B262+B281)&gt;0,-(B262+B281),0)</f>
        <v>107138.88198712851</v>
      </c>
      <c r="C303" s="103">
        <f t="shared" ref="C303" si="5281">IF(C1=C21,IF(-(C262+C281)&gt;0,-(C262+C281),0),IF(B316&gt;0,B316,0)+IF(B332&lt;0,-B332,0))</f>
        <v>102236.47996406778</v>
      </c>
      <c r="D303" s="103">
        <f t="shared" ref="D303" si="5282">IF(D1=D21,IF(-(D262+D281)&gt;0,-(D262+D281),0),IF(C316&gt;0,C316,0)+IF(C332&lt;0,-C332,0))</f>
        <v>97404.797626515909</v>
      </c>
      <c r="E303" s="103">
        <f t="shared" ref="E303" si="5283">IF(E1=E21,IF(-(E262+E281)&gt;0,-(E262+E281),0),IF(D316&gt;0,D316,0)+IF(D332&lt;0,-D332,0))</f>
        <v>92646.681162953333</v>
      </c>
      <c r="F303" s="103">
        <f t="shared" ref="F303" si="5284">IF(F1=F21,IF(-(F262+F281)&gt;0,-(F262+F281),0),IF(E316&gt;0,E316,0)+IF(E332&lt;0,-E332,0))</f>
        <v>87965.042916935578</v>
      </c>
      <c r="G303" s="103">
        <f t="shared" ref="G303" si="5285">IF(G1=G21,IF(-(G262+G281)&gt;0,-(G262+G281),0),IF(F316&gt;0,F316,0)+IF(F332&lt;0,-F332,0))</f>
        <v>83362.862562046663</v>
      </c>
      <c r="H303" s="103">
        <f t="shared" ref="H303" si="5286">IF(H1=H21,IF(-(H262+H281)&gt;0,-(H262+H281),0),IF(G316&gt;0,G316,0)+IF(G332&lt;0,-G332,0))</f>
        <v>78843.19340885953</v>
      </c>
      <c r="I303" s="103">
        <f t="shared" ref="I303" si="5287">IF(I1=I21,IF(-(I262+I281)&gt;0,-(I262+I281),0),IF(H316&gt;0,H316,0)+IF(H332&lt;0,-H332,0))</f>
        <v>74409.153853390846</v>
      </c>
      <c r="J303" s="103">
        <f t="shared" ref="J303" si="5288">IF(J1=J21,IF(-(J262+J281)&gt;0,-(J262+J281),0),IF(I316&gt;0,I316,0)+IF(I332&lt;0,-I332,0))</f>
        <v>70063.933913229383</v>
      </c>
      <c r="K303" s="103">
        <f t="shared" ref="K303" si="5289">IF(K1=K21,IF(-(K262+K281)&gt;0,-(K262+K281),0),IF(J316&gt;0,J316,0)+IF(J332&lt;0,-J332,0))</f>
        <v>65810.796719827456</v>
      </c>
      <c r="L303" s="103">
        <f t="shared" ref="L303" si="5290">IF(L1=L21,IF(-(L262+L281)&gt;0,-(L262+L281),0),IF(K316&gt;0,K316,0)+IF(K332&lt;0,-K332,0))</f>
        <v>61653.080041198395</v>
      </c>
      <c r="M303" s="103">
        <f t="shared" ref="M303" si="5291">IF(M1=M21,IF(-(M262+M281)&gt;0,-(M262+M281),0),IF(L316&gt;0,L316,0)+IF(L332&lt;0,-L332,0))</f>
        <v>57594.197835582236</v>
      </c>
      <c r="N303" s="103">
        <f t="shared" ref="N303" si="5292">IF(N1=N21,IF(-(N262+N281)&gt;0,-(N262+N281),0),IF(M316&gt;0,M316,0)+IF(M332&lt;0,-M332,0))</f>
        <v>53637.64183676229</v>
      </c>
      <c r="O303" s="103">
        <f t="shared" ref="O303" si="5293">IF(O1=O21,IF(-(O262+O281)&gt;0,-(O262+O281),0),IF(N316&gt;0,N316,0)+IF(N332&lt;0,-N332,0))</f>
        <v>49786.987298508466</v>
      </c>
      <c r="P303" s="103">
        <f t="shared" ref="P303" si="5294">IF(P1=P21,IF(-(P262+P281)&gt;0,-(P262+P281),0),IF(O316&gt;0,O316,0)+IF(O332&lt;0,-O332,0))</f>
        <v>46045.925784181672</v>
      </c>
      <c r="Q303" s="103">
        <f t="shared" ref="Q303" si="5295">IF(Q1=Q21,IF(-(Q262+Q281)&gt;0,-(Q262+Q281),0),IF(P316&gt;0,P316,0)+IF(P332&lt;0,-P332,0))</f>
        <v>42418.189957244824</v>
      </c>
      <c r="R303" s="103">
        <f t="shared" ref="R303" si="5296">IF(R1=R21,IF(-(R262+R281)&gt;0,-(R262+R281),0),IF(Q316&gt;0,Q316,0)+IF(Q332&lt;0,-Q332,0))</f>
        <v>38907.596417871137</v>
      </c>
      <c r="S303" s="103">
        <f t="shared" ref="S303" si="5297">IF(S1=S21,IF(-(S262+S281)&gt;0,-(S262+S281),0),IF(R316&gt;0,R316,0)+IF(R332&lt;0,-R332,0))</f>
        <v>35518.0478311482</v>
      </c>
      <c r="T303" s="103">
        <f t="shared" ref="T303" si="5298">IF(T1=T21,IF(-(T262+T281)&gt;0,-(T262+T281),0),IF(S316&gt;0,S316,0)+IF(S332&lt;0,-S332,0))</f>
        <v>32253.534711879009</v>
      </c>
      <c r="U303" s="103">
        <f t="shared" ref="U303" si="5299">IF(U1=U21,IF(-(U262+U281)&gt;0,-(U262+U281),0),IF(T316&gt;0,T316,0)+IF(T332&lt;0,-T332,0))</f>
        <v>29118.13724568444</v>
      </c>
      <c r="V303" s="103">
        <f t="shared" ref="V303" si="5300">IF(V1=V21,IF(-(V262+V281)&gt;0,-(V262+V281),0),IF(U316&gt;0,U316,0)+IF(U332&lt;0,-U332,0))</f>
        <v>26116.027147151075</v>
      </c>
      <c r="W303" s="103">
        <f t="shared" ref="W303" si="5301">IF(W1=W21,IF(-(W262+W281)&gt;0,-(W262+W281),0),IF(V316&gt;0,V316,0)+IF(V332&lt;0,-V332,0))</f>
        <v>23251.472587488697</v>
      </c>
      <c r="X303" s="103">
        <f t="shared" ref="X303" si="5302">IF(X1=X21,IF(-(X262+X281)&gt;0,-(X262+X281),0),IF(W316&gt;0,W316,0)+IF(W332&lt;0,-W332,0))</f>
        <v>20528.833769631256</v>
      </c>
      <c r="Y303" s="103">
        <f t="shared" ref="Y303" si="5303">IF(Y1=Y21,IF(-(Y262+Y281)&gt;0,-(Y262+Y281),0),IF(X316&gt;0,X316,0)+IF(X332&lt;0,-X332,0))</f>
        <v>17952.56821562261</v>
      </c>
      <c r="Z303" s="103">
        <f t="shared" ref="Z303" si="5304">IF(Z1=Z21,IF(-(Z262+Z281)&gt;0,-(Z262+Z281),0),IF(Y316&gt;0,Y316,0)+IF(Y332&lt;0,-Y332,0))</f>
        <v>15527.232779971055</v>
      </c>
      <c r="AA303" s="103">
        <f t="shared" ref="AA303" si="5305">IF(AA1=AA21,IF(-(AA262+AA281)&gt;0,-(AA262+AA281),0),IF(Z316&gt;0,Z316,0)+IF(Z332&lt;0,-Z332,0))</f>
        <v>13257.485704053095</v>
      </c>
      <c r="AB303" s="103">
        <f t="shared" ref="AB303" si="5306">IF(AB1=AB21,IF(-(AB262+AB281)&gt;0,-(AB262+AB281),0),IF(AA316&gt;0,AA316,0)+IF(AA332&lt;0,-AA332,0))</f>
        <v>11148.110405595904</v>
      </c>
      <c r="AC303" s="103">
        <f t="shared" ref="AC303" si="5307">IF(AC1=AC21,IF(-(AC262+AC281)&gt;0,-(AC262+AC281),0),IF(AB316&gt;0,AB316,0)+IF(AB332&lt;0,-AB332,0))</f>
        <v>9203.9712845523754</v>
      </c>
      <c r="AD303" s="103">
        <f t="shared" ref="AD303" si="5308">IF(AD1=AD21,IF(-(AD262+AD281)&gt;0,-(AD262+AD281),0),IF(AC316&gt;0,AC316,0)+IF(AC332&lt;0,-AC332,0))</f>
        <v>7430.0399065662168</v>
      </c>
      <c r="AE303" s="103">
        <f t="shared" ref="AE303" si="5309">IF(AE1=AE21,IF(-(AE262+AE281)&gt;0,-(AE262+AE281),0),IF(AD316&gt;0,AD316,0)+IF(AD332&lt;0,-AD332,0))</f>
        <v>5831.3977069879711</v>
      </c>
      <c r="AF303" s="103">
        <f t="shared" ref="AF303" si="5310">IF(AF1=AF21,IF(-(AF262+AF281)&gt;0,-(AF262+AF281),0),IF(AE316&gt;0,AE316,0)+IF(AE332&lt;0,-AE332,0))</f>
        <v>4413.2397395242479</v>
      </c>
      <c r="AG303" s="103">
        <f t="shared" ref="AG303" si="5311">IF(AG1=AG21,IF(-(AG262+AG281)&gt;0,-(AG262+AG281),0),IF(AF316&gt;0,AF316,0)+IF(AF332&lt;0,-AF332,0))</f>
        <v>3180.8736398541887</v>
      </c>
      <c r="AH303" s="103">
        <f t="shared" ref="AH303" si="5312">IF(AH1=AH21,IF(-(AH262+AH281)&gt;0,-(AH262+AH281),0),IF(AG316&gt;0,AG316,0)+IF(AG332&lt;0,-AG332,0))</f>
        <v>2139.7238354476922</v>
      </c>
      <c r="AI303" s="103">
        <f t="shared" ref="AI303" si="5313">IF(AI1=AI21,IF(-(AI262+AI281)&gt;0,-(AI262+AI281),0),IF(AH316&gt;0,AH316,0)+IF(AH332&lt;0,-AH332,0))</f>
        <v>1295.3339525489268</v>
      </c>
      <c r="AJ303" s="103">
        <f t="shared" ref="AJ303" si="5314">IF(AJ1=AJ21,IF(-(AJ262+AJ281)&gt;0,-(AJ262+AJ281),0),IF(AI316&gt;0,AI316,0)+IF(AI332&lt;0,-AI332,0))</f>
        <v>653.3692720528295</v>
      </c>
      <c r="AK303" s="103">
        <f t="shared" ref="AK303" si="5315">IF(AK1=AK21,IF(-(AK262+AK281)&gt;0,-(AK262+AK281),0),IF(AJ316&gt;0,AJ316,0)+IF(AJ332&lt;0,-AJ332,0))</f>
        <v>219.61923518042403</v>
      </c>
      <c r="AL303" s="103">
        <f t="shared" ref="AL303" si="5316">IF(AL1=AL21,IF(-(AL262+AL281)&gt;0,-(AL262+AL281),0),IF(AK316&gt;0,AK316,0)+IF(AK332&lt;0,-AK332,0))</f>
        <v>0</v>
      </c>
      <c r="AM303" s="103">
        <f t="shared" ref="AM303" si="5317">IF(AM1=AM21,IF(-(AM262+AM281)&gt;0,-(AM262+AM281),0),IF(AL316&gt;0,AL316,0)+IF(AL332&lt;0,-AL332,0))</f>
        <v>0</v>
      </c>
      <c r="AN303" s="103">
        <f t="shared" ref="AN303" si="5318">IF(AN1=AN21,IF(-(AN262+AN281)&gt;0,-(AN262+AN281),0),IF(AM316&gt;0,AM316,0)+IF(AM332&lt;0,-AM332,0))</f>
        <v>0</v>
      </c>
      <c r="AO303" s="103">
        <f t="shared" ref="AO303" si="5319">IF(AO1=AO21,IF(-(AO262+AO281)&gt;0,-(AO262+AO281),0),IF(AN316&gt;0,AN316,0)+IF(AN332&lt;0,-AN332,0))</f>
        <v>0</v>
      </c>
      <c r="AP303" s="103">
        <f t="shared" ref="AP303" si="5320">IF(AP1=AP21,IF(-(AP262+AP281)&gt;0,-(AP262+AP281),0),IF(AO316&gt;0,AO316,0)+IF(AO332&lt;0,-AO332,0))</f>
        <v>0</v>
      </c>
      <c r="AQ303" s="103">
        <f t="shared" ref="AQ303" si="5321">IF(AQ1=AQ21,IF(-(AQ262+AQ281)&gt;0,-(AQ262+AQ281),0),IF(AP316&gt;0,AP316,0)+IF(AP332&lt;0,-AP332,0))</f>
        <v>0</v>
      </c>
      <c r="AR303" s="103">
        <f t="shared" ref="AR303" si="5322">IF(AR1=AR21,IF(-(AR262+AR281)&gt;0,-(AR262+AR281),0),IF(AQ316&gt;0,AQ316,0)+IF(AQ332&lt;0,-AQ332,0))</f>
        <v>0</v>
      </c>
      <c r="AS303" s="103">
        <f t="shared" ref="AS303" si="5323">IF(AS1=AS21,IF(-(AS262+AS281)&gt;0,-(AS262+AS281),0),IF(AR316&gt;0,AR316,0)+IF(AR332&lt;0,-AR332,0))</f>
        <v>0</v>
      </c>
      <c r="AT303" s="103">
        <f t="shared" ref="AT303" si="5324">IF(AT1=AT21,IF(-(AT262+AT281)&gt;0,-(AT262+AT281),0),IF(AS316&gt;0,AS316,0)+IF(AS332&lt;0,-AS332,0))</f>
        <v>0</v>
      </c>
      <c r="AU303" s="103">
        <f t="shared" ref="AU303" si="5325">IF(AU1=AU21,IF(-(AU262+AU281)&gt;0,-(AU262+AU281),0),IF(AT316&gt;0,AT316,0)+IF(AT332&lt;0,-AT332,0))</f>
        <v>0</v>
      </c>
      <c r="AV303" s="103">
        <f t="shared" ref="AV303" si="5326">IF(AV1=AV21,IF(-(AV262+AV281)&gt;0,-(AV262+AV281),0),IF(AU316&gt;0,AU316,0)+IF(AU332&lt;0,-AU332,0))</f>
        <v>0</v>
      </c>
      <c r="AW303" s="103">
        <f t="shared" ref="AW303" si="5327">IF(AW1=AW21,IF(-(AW262+AW281)&gt;0,-(AW262+AW281),0),IF(AV316&gt;0,AV316,0)+IF(AV332&lt;0,-AV332,0))</f>
        <v>0</v>
      </c>
      <c r="AX303" s="103">
        <f t="shared" ref="AX303" si="5328">IF(AX1=AX21,IF(-(AX262+AX281)&gt;0,-(AX262+AX281),0),IF(AW316&gt;0,AW316,0)+IF(AW332&lt;0,-AW332,0))</f>
        <v>0</v>
      </c>
      <c r="AY303" s="103">
        <f t="shared" ref="AY303" si="5329">IF(AY1=AY21,IF(-(AY262+AY281)&gt;0,-(AY262+AY281),0),IF(AX316&gt;0,AX316,0)+IF(AX332&lt;0,-AX332,0))</f>
        <v>0</v>
      </c>
      <c r="AZ303" s="103">
        <f t="shared" ref="AZ303" si="5330">IF(AZ1=AZ21,IF(-(AZ262+AZ281)&gt;0,-(AZ262+AZ281),0),IF(AY316&gt;0,AY316,0)+IF(AY332&lt;0,-AY332,0))</f>
        <v>0</v>
      </c>
      <c r="BA303" s="103">
        <f t="shared" ref="BA303" si="5331">IF(BA1=BA21,IF(-(BA262+BA281)&gt;0,-(BA262+BA281),0),IF(AZ316&gt;0,AZ316,0)+IF(AZ332&lt;0,-AZ332,0))</f>
        <v>0</v>
      </c>
      <c r="BB303" s="103">
        <f t="shared" ref="BB303" si="5332">IF(BB1=BB21,IF(-(BB262+BB281)&gt;0,-(BB262+BB281),0),IF(BA316&gt;0,BA316,0)+IF(BA332&lt;0,-BA332,0))</f>
        <v>0</v>
      </c>
      <c r="BC303" s="103">
        <f t="shared" ref="BC303" si="5333">IF(BC1=BC21,IF(-(BC262+BC281)&gt;0,-(BC262+BC281),0),IF(BB316&gt;0,BB316,0)+IF(BB332&lt;0,-BB332,0))</f>
        <v>0</v>
      </c>
      <c r="BD303" s="103">
        <f t="shared" ref="BD303" si="5334">IF(BD1=BD21,IF(-(BD262+BD281)&gt;0,-(BD262+BD281),0),IF(BC316&gt;0,BC316,0)+IF(BC332&lt;0,-BC332,0))</f>
        <v>0</v>
      </c>
      <c r="BE303" s="103">
        <f t="shared" ref="BE303" si="5335">IF(BE1=BE21,IF(-(BE262+BE281)&gt;0,-(BE262+BE281),0),IF(BD316&gt;0,BD316,0)+IF(BD332&lt;0,-BD332,0))</f>
        <v>0</v>
      </c>
      <c r="BF303" s="103">
        <f t="shared" ref="BF303" si="5336">IF(BF1=BF21,IF(-(BF262+BF281)&gt;0,-(BF262+BF281),0),IF(BE316&gt;0,BE316,0)+IF(BE332&lt;0,-BE332,0))</f>
        <v>0</v>
      </c>
      <c r="BG303" s="103">
        <f t="shared" ref="BG303" si="5337">IF(BG1=BG21,IF(-(BG262+BG281)&gt;0,-(BG262+BG281),0),IF(BF316&gt;0,BF316,0)+IF(BF332&lt;0,-BF332,0))</f>
        <v>0</v>
      </c>
      <c r="BH303" s="103">
        <f t="shared" ref="BH303" si="5338">IF(BH1=BH21,IF(-(BH262+BH281)&gt;0,-(BH262+BH281),0),IF(BG316&gt;0,BG316,0)+IF(BG332&lt;0,-BG332,0))</f>
        <v>0</v>
      </c>
      <c r="BI303" s="103">
        <f t="shared" ref="BI303" si="5339">IF(BI1=BI21,IF(-(BI262+BI281)&gt;0,-(BI262+BI281),0),IF(BH316&gt;0,BH316,0)+IF(BH332&lt;0,-BH332,0))</f>
        <v>0</v>
      </c>
      <c r="BJ303" s="103">
        <f t="shared" ref="BJ303" si="5340">IF(BJ1=BJ21,IF(-(BJ262+BJ281)&gt;0,-(BJ262+BJ281),0),IF(BI316&gt;0,BI316,0)+IF(BI332&lt;0,-BI332,0))</f>
        <v>0</v>
      </c>
      <c r="BK303" s="103">
        <f t="shared" ref="BK303" si="5341">IF(BK1=BK21,IF(-(BK262+BK281)&gt;0,-(BK262+BK281),0),IF(BJ316&gt;0,BJ316,0)+IF(BJ332&lt;0,-BJ332,0))</f>
        <v>0</v>
      </c>
      <c r="BL303" s="103">
        <f t="shared" ref="BL303" si="5342">IF(BL1=BL21,IF(-(BL262+BL281)&gt;0,-(BL262+BL281),0),IF(BK316&gt;0,BK316,0)+IF(BK332&lt;0,-BK332,0))</f>
        <v>0</v>
      </c>
      <c r="BM303" s="103">
        <f t="shared" ref="BM303" si="5343">IF(BM1=BM21,IF(-(BM262+BM281)&gt;0,-(BM262+BM281),0),IF(BL316&gt;0,BL316,0)+IF(BL332&lt;0,-BL332,0))</f>
        <v>0</v>
      </c>
      <c r="BN303" s="103">
        <f t="shared" ref="BN303" si="5344">IF(BN1=BN21,IF(-(BN262+BN281)&gt;0,-(BN262+BN281),0),IF(BM316&gt;0,BM316,0)+IF(BM332&lt;0,-BM332,0))</f>
        <v>0</v>
      </c>
      <c r="BO303" s="103">
        <f t="shared" ref="BO303" si="5345">IF(BO1=BO21,IF(-(BO262+BO281)&gt;0,-(BO262+BO281),0),IF(BN316&gt;0,BN316,0)+IF(BN332&lt;0,-BN332,0))</f>
        <v>0</v>
      </c>
      <c r="BP303" s="103">
        <f t="shared" ref="BP303" si="5346">IF(BP1=BP21,IF(-(BP262+BP281)&gt;0,-(BP262+BP281),0),IF(BO316&gt;0,BO316,0)+IF(BO332&lt;0,-BO332,0))</f>
        <v>0</v>
      </c>
      <c r="BQ303" s="103">
        <f t="shared" ref="BQ303" si="5347">IF(BQ1=BQ21,IF(-(BQ262+BQ281)&gt;0,-(BQ262+BQ281),0),IF(BP316&gt;0,BP316,0)+IF(BP332&lt;0,-BP332,0))</f>
        <v>0</v>
      </c>
      <c r="BR303" s="103">
        <f t="shared" ref="BR303" si="5348">IF(BR1=BR21,IF(-(BR262+BR281)&gt;0,-(BR262+BR281),0),IF(BQ316&gt;0,BQ316,0)+IF(BQ332&lt;0,-BQ332,0))</f>
        <v>0</v>
      </c>
      <c r="BS303" s="103">
        <f t="shared" ref="BS303" si="5349">IF(BS1=BS21,IF(-(BS262+BS281)&gt;0,-(BS262+BS281),0),IF(BR316&gt;0,BR316,0)+IF(BR332&lt;0,-BR332,0))</f>
        <v>0</v>
      </c>
      <c r="BT303" s="103">
        <f t="shared" ref="BT303" si="5350">IF(BT1=BT21,IF(-(BT262+BT281)&gt;0,-(BT262+BT281),0),IF(BS316&gt;0,BS316,0)+IF(BS332&lt;0,-BS332,0))</f>
        <v>0</v>
      </c>
      <c r="BU303" s="103">
        <f t="shared" ref="BU303" si="5351">IF(BU1=BU21,IF(-(BU262+BU281)&gt;0,-(BU262+BU281),0),IF(BT316&gt;0,BT316,0)+IF(BT332&lt;0,-BT332,0))</f>
        <v>0</v>
      </c>
      <c r="BV303" s="103">
        <f t="shared" ref="BV303" si="5352">IF(BV1=BV21,IF(-(BV262+BV281)&gt;0,-(BV262+BV281),0),IF(BU316&gt;0,BU316,0)+IF(BU332&lt;0,-BU332,0))</f>
        <v>0</v>
      </c>
      <c r="BW303" s="103">
        <f t="shared" ref="BW303" si="5353">IF(BW1=BW21,IF(-(BW262+BW281)&gt;0,-(BW262+BW281),0),IF(BV316&gt;0,BV316,0)+IF(BV332&lt;0,-BV332,0))</f>
        <v>0</v>
      </c>
      <c r="BX303" s="103">
        <f t="shared" ref="BX303" si="5354">IF(BX1=BX21,IF(-(BX262+BX281)&gt;0,-(BX262+BX281),0),IF(BW316&gt;0,BW316,0)+IF(BW332&lt;0,-BW332,0))</f>
        <v>0</v>
      </c>
      <c r="BY303" s="103">
        <f t="shared" ref="BY303" si="5355">IF(BY1=BY21,IF(-(BY262+BY281)&gt;0,-(BY262+BY281),0),IF(BX316&gt;0,BX316,0)+IF(BX332&lt;0,-BX332,0))</f>
        <v>0</v>
      </c>
      <c r="BZ303" s="103">
        <f t="shared" ref="BZ303" si="5356">IF(BZ1=BZ21,IF(-(BZ262+BZ281)&gt;0,-(BZ262+BZ281),0),IF(BY316&gt;0,BY316,0)+IF(BY332&lt;0,-BY332,0))</f>
        <v>0</v>
      </c>
      <c r="CA303" s="103">
        <f t="shared" ref="CA303" si="5357">IF(CA1=CA21,IF(-(CA262+CA281)&gt;0,-(CA262+CA281),0),IF(BZ316&gt;0,BZ316,0)+IF(BZ332&lt;0,-BZ332,0))</f>
        <v>0</v>
      </c>
      <c r="CB303" s="103">
        <f t="shared" ref="CB303" si="5358">IF(CB1=CB21,IF(-(CB262+CB281)&gt;0,-(CB262+CB281),0),IF(CA316&gt;0,CA316,0)+IF(CA332&lt;0,-CA332,0))</f>
        <v>0</v>
      </c>
      <c r="CC303" s="103">
        <f t="shared" ref="CC303" si="5359">IF(CC1=CC21,IF(-(CC262+CC281)&gt;0,-(CC262+CC281),0),IF(CB316&gt;0,CB316,0)+IF(CB332&lt;0,-CB332,0))</f>
        <v>0</v>
      </c>
      <c r="CD303" s="103">
        <f t="shared" ref="CD303" si="5360">IF(CD1=CD21,IF(-(CD262+CD281)&gt;0,-(CD262+CD281),0),IF(CC316&gt;0,CC316,0)+IF(CC332&lt;0,-CC332,0))</f>
        <v>0</v>
      </c>
      <c r="CE303" s="103">
        <f t="shared" ref="CE303" si="5361">IF(CE1=CE21,IF(-(CE262+CE281)&gt;0,-(CE262+CE281),0),IF(CD316&gt;0,CD316,0)+IF(CD332&lt;0,-CD332,0))</f>
        <v>0</v>
      </c>
      <c r="CF303" s="103">
        <f t="shared" ref="CF303" si="5362">IF(CF1=CF21,IF(-(CF262+CF281)&gt;0,-(CF262+CF281),0),IF(CE316&gt;0,CE316,0)+IF(CE332&lt;0,-CE332,0))</f>
        <v>0</v>
      </c>
      <c r="CG303" s="103">
        <f t="shared" ref="CG303" si="5363">IF(CG1=CG21,IF(-(CG262+CG281)&gt;0,-(CG262+CG281),0),IF(CF316&gt;0,CF316,0)+IF(CF332&lt;0,-CF332,0))</f>
        <v>0</v>
      </c>
      <c r="CH303" s="103">
        <f t="shared" ref="CH303" si="5364">IF(CH1=CH21,IF(-(CH262+CH281)&gt;0,-(CH262+CH281),0),IF(CG316&gt;0,CG316,0)+IF(CG332&lt;0,-CG332,0))</f>
        <v>0</v>
      </c>
      <c r="CI303" s="103">
        <f t="shared" ref="CI303" si="5365">IF(CI1=CI21,IF(-(CI262+CI281)&gt;0,-(CI262+CI281),0),IF(CH316&gt;0,CH316,0)+IF(CH332&lt;0,-CH332,0))</f>
        <v>0</v>
      </c>
      <c r="CJ303" s="103">
        <f t="shared" ref="CJ303" si="5366">IF(CJ1=CJ21,IF(-(CJ262+CJ281)&gt;0,-(CJ262+CJ281),0),IF(CI316&gt;0,CI316,0)+IF(CI332&lt;0,-CI332,0))</f>
        <v>0</v>
      </c>
      <c r="CK303" s="103">
        <f t="shared" ref="CK303" si="5367">IF(CK1=CK21,IF(-(CK262+CK281)&gt;0,-(CK262+CK281),0),IF(CJ316&gt;0,CJ316,0)+IF(CJ332&lt;0,-CJ332,0))</f>
        <v>0</v>
      </c>
      <c r="CL303" s="103">
        <f t="shared" ref="CL303" si="5368">IF(CL1=CL21,IF(-(CL262+CL281)&gt;0,-(CL262+CL281),0),IF(CK316&gt;0,CK316,0)+IF(CK332&lt;0,-CK332,0))</f>
        <v>0</v>
      </c>
      <c r="CM303" s="103">
        <f t="shared" ref="CM303" si="5369">IF(CM1=CM21,IF(-(CM262+CM281)&gt;0,-(CM262+CM281),0),IF(CL316&gt;0,CL316,0)+IF(CL332&lt;0,-CL332,0))</f>
        <v>0</v>
      </c>
      <c r="CN303" s="103">
        <f t="shared" ref="CN303" si="5370">IF(CN1=CN21,IF(-(CN262+CN281)&gt;0,-(CN262+CN281),0),IF(CM316&gt;0,CM316,0)+IF(CM332&lt;0,-CM332,0))</f>
        <v>0</v>
      </c>
      <c r="CO303" s="103">
        <f t="shared" ref="CO303" si="5371">IF(CO1=CO21,IF(-(CO262+CO281)&gt;0,-(CO262+CO281),0),IF(CN316&gt;0,CN316,0)+IF(CN332&lt;0,-CN332,0))</f>
        <v>0</v>
      </c>
      <c r="CP303" s="103">
        <f t="shared" ref="CP303" si="5372">IF(CP1=CP21,IF(-(CP262+CP281)&gt;0,-(CP262+CP281),0),IF(CO316&gt;0,CO316,0)+IF(CO332&lt;0,-CO332,0))</f>
        <v>0</v>
      </c>
      <c r="CQ303" s="103">
        <f t="shared" ref="CQ303" si="5373">IF(CQ1=CQ21,IF(-(CQ262+CQ281)&gt;0,-(CQ262+CQ281),0),IF(CP316&gt;0,CP316,0)+IF(CP332&lt;0,-CP332,0))</f>
        <v>0</v>
      </c>
      <c r="CR303" s="103">
        <f t="shared" ref="CR303" si="5374">IF(CR1=CR21,IF(-(CR262+CR281)&gt;0,-(CR262+CR281),0),IF(CQ316&gt;0,CQ316,0)+IF(CQ332&lt;0,-CQ332,0))</f>
        <v>0</v>
      </c>
      <c r="CS303" s="103">
        <f t="shared" ref="CS303" si="5375">IF(CS1=CS21,IF(-(CS262+CS281)&gt;0,-(CS262+CS281),0),IF(CR316&gt;0,CR316,0)+IF(CR332&lt;0,-CR332,0))</f>
        <v>0</v>
      </c>
      <c r="CT303" s="103">
        <f t="shared" ref="CT303" si="5376">IF(CT1=CT21,IF(-(CT262+CT281)&gt;0,-(CT262+CT281),0),IF(CS316&gt;0,CS316,0)+IF(CS332&lt;0,-CS332,0))</f>
        <v>0</v>
      </c>
      <c r="CU303" s="103">
        <f t="shared" ref="CU303" si="5377">IF(CU1=CU21,IF(-(CU262+CU281)&gt;0,-(CU262+CU281),0),IF(CT316&gt;0,CT316,0)+IF(CT332&lt;0,-CT332,0))</f>
        <v>0</v>
      </c>
      <c r="CV303" s="103">
        <f t="shared" ref="CV303" si="5378">IF(CV1=CV21,IF(-(CV262+CV281)&gt;0,-(CV262+CV281),0),IF(CU316&gt;0,CU316,0)+IF(CU332&lt;0,-CU332,0))</f>
        <v>0</v>
      </c>
      <c r="CW303" s="103">
        <f t="shared" ref="CW303" si="5379">IF(CW1=CW21,IF(-(CW262+CW281)&gt;0,-(CW262+CW281),0),IF(CV316&gt;0,CV316,0)+IF(CV332&lt;0,-CV332,0))</f>
        <v>0</v>
      </c>
      <c r="CX303" s="103">
        <f t="shared" ref="CX303" si="5380">IF(CX1=CX21,IF(-(CX262+CX281)&gt;0,-(CX262+CX281),0),IF(CW316&gt;0,CW316,0)+IF(CW332&lt;0,-CW332,0))</f>
        <v>0</v>
      </c>
      <c r="CY303" s="103">
        <f t="shared" ref="CY303" si="5381">IF(CY1=CY21,IF(-(CY262+CY281)&gt;0,-(CY262+CY281),0),IF(CX316&gt;0,CX316,0)+IF(CX332&lt;0,-CX332,0))</f>
        <v>0</v>
      </c>
      <c r="CZ303" s="103">
        <f t="shared" ref="CZ303" si="5382">IF(CZ1=CZ21,IF(-(CZ262+CZ281)&gt;0,-(CZ262+CZ281),0),IF(CY316&gt;0,CY316,0)+IF(CY332&lt;0,-CY332,0))</f>
        <v>0</v>
      </c>
      <c r="DA303" s="103">
        <f t="shared" ref="DA303" si="5383">IF(DA1=DA21,IF(-(DA262+DA281)&gt;0,-(DA262+DA281),0),IF(CZ316&gt;0,CZ316,0)+IF(CZ332&lt;0,-CZ332,0))</f>
        <v>0</v>
      </c>
      <c r="DB303" s="103">
        <f t="shared" ref="DB303" si="5384">IF(DB1=DB21,IF(-(DB262+DB281)&gt;0,-(DB262+DB281),0),IF(DA316&gt;0,DA316,0)+IF(DA332&lt;0,-DA332,0))</f>
        <v>0</v>
      </c>
      <c r="DC303" s="103">
        <f t="shared" ref="DC303" si="5385">IF(DC1=DC21,IF(-(DC262+DC281)&gt;0,-(DC262+DC281),0),IF(DB316&gt;0,DB316,0)+IF(DB332&lt;0,-DB332,0))</f>
        <v>0</v>
      </c>
      <c r="DD303" s="103">
        <f t="shared" ref="DD303" si="5386">IF(DD1=DD21,IF(-(DD262+DD281)&gt;0,-(DD262+DD281),0),IF(DC316&gt;0,DC316,0)+IF(DC332&lt;0,-DC332,0))</f>
        <v>0</v>
      </c>
      <c r="DE303" s="103">
        <f t="shared" ref="DE303" si="5387">IF(DE1=DE21,IF(-(DE262+DE281)&gt;0,-(DE262+DE281),0),IF(DD316&gt;0,DD316,0)+IF(DD332&lt;0,-DD332,0))</f>
        <v>0</v>
      </c>
      <c r="DF303" s="103">
        <f t="shared" ref="DF303" si="5388">IF(DF1=DF21,IF(-(DF262+DF281)&gt;0,-(DF262+DF281),0),IF(DE316&gt;0,DE316,0)+IF(DE332&lt;0,-DE332,0))</f>
        <v>0</v>
      </c>
      <c r="DG303" s="103">
        <f t="shared" ref="DG303" si="5389">IF(DG1=DG21,IF(-(DG262+DG281)&gt;0,-(DG262+DG281),0),IF(DF316&gt;0,DF316,0)+IF(DF332&lt;0,-DF332,0))</f>
        <v>0</v>
      </c>
      <c r="DH303" s="103">
        <f t="shared" ref="DH303" si="5390">IF(DH1=DH21,IF(-(DH262+DH281)&gt;0,-(DH262+DH281),0),IF(DG316&gt;0,DG316,0)+IF(DG332&lt;0,-DG332,0))</f>
        <v>0</v>
      </c>
      <c r="DI303" s="103">
        <f t="shared" ref="DI303" si="5391">IF(DI1=DI21,IF(-(DI262+DI281)&gt;0,-(DI262+DI281),0),IF(DH316&gt;0,DH316,0)+IF(DH332&lt;0,-DH332,0))</f>
        <v>0</v>
      </c>
      <c r="DJ303" s="103">
        <f t="shared" ref="DJ303" si="5392">IF(DJ1=DJ21,IF(-(DJ262+DJ281)&gt;0,-(DJ262+DJ281),0),IF(DI316&gt;0,DI316,0)+IF(DI332&lt;0,-DI332,0))</f>
        <v>0</v>
      </c>
      <c r="DK303" s="103">
        <f t="shared" ref="DK303" si="5393">IF(DK1=DK21,IF(-(DK262+DK281)&gt;0,-(DK262+DK281),0),IF(DJ316&gt;0,DJ316,0)+IF(DJ332&lt;0,-DJ332,0))</f>
        <v>0</v>
      </c>
      <c r="DL303" s="103">
        <f t="shared" ref="DL303" si="5394">IF(DL1=DL21,IF(-(DL262+DL281)&gt;0,-(DL262+DL281),0),IF(DK316&gt;0,DK316,0)+IF(DK332&lt;0,-DK332,0))</f>
        <v>0</v>
      </c>
      <c r="DM303" s="103">
        <f t="shared" ref="DM303" si="5395">IF(DM1=DM21,IF(-(DM262+DM281)&gt;0,-(DM262+DM281),0),IF(DL316&gt;0,DL316,0)+IF(DL332&lt;0,-DL332,0))</f>
        <v>0</v>
      </c>
      <c r="DN303" s="103">
        <f t="shared" ref="DN303" si="5396">IF(DN1=DN21,IF(-(DN262+DN281)&gt;0,-(DN262+DN281),0),IF(DM316&gt;0,DM316,0)+IF(DM332&lt;0,-DM332,0))</f>
        <v>0</v>
      </c>
      <c r="DO303" s="103">
        <f t="shared" ref="DO303" si="5397">IF(DO1=DO21,IF(-(DO262+DO281)&gt;0,-(DO262+DO281),0),IF(DN316&gt;0,DN316,0)+IF(DN332&lt;0,-DN332,0))</f>
        <v>0</v>
      </c>
      <c r="DP303" s="103">
        <f t="shared" ref="DP303" si="5398">IF(DP1=DP21,IF(-(DP262+DP281)&gt;0,-(DP262+DP281),0),IF(DO316&gt;0,DO316,0)+IF(DO332&lt;0,-DO332,0))</f>
        <v>0</v>
      </c>
      <c r="DQ303" s="103">
        <f t="shared" ref="DQ303" si="5399">IF(DQ1=DQ21,IF(-(DQ262+DQ281)&gt;0,-(DQ262+DQ281),0),IF(DP316&gt;0,DP316,0)+IF(DP332&lt;0,-DP332,0))</f>
        <v>0</v>
      </c>
      <c r="DR303" s="103">
        <f t="shared" ref="DR303" si="5400">IF(DR1=DR21,IF(-(DR262+DR281)&gt;0,-(DR262+DR281),0),IF(DQ316&gt;0,DQ316,0)+IF(DQ332&lt;0,-DQ332,0))</f>
        <v>0</v>
      </c>
      <c r="DS303" s="103">
        <f t="shared" ref="DS303" si="5401">IF(DS1=DS21,IF(-(DS262+DS281)&gt;0,-(DS262+DS281),0),IF(DR316&gt;0,DR316,0)+IF(DR332&lt;0,-DR332,0))</f>
        <v>0</v>
      </c>
      <c r="DT303" s="103">
        <f t="shared" ref="DT303" si="5402">IF(DT1=DT21,IF(-(DT262+DT281)&gt;0,-(DT262+DT281),0),IF(DS316&gt;0,DS316,0)+IF(DS332&lt;0,-DS332,0))</f>
        <v>0</v>
      </c>
      <c r="DU303" s="103">
        <f t="shared" ref="DU303" si="5403">IF(DU1=DU21,IF(-(DU262+DU281)&gt;0,-(DU262+DU281),0),IF(DT316&gt;0,DT316,0)+IF(DT332&lt;0,-DT332,0))</f>
        <v>0</v>
      </c>
      <c r="DV303" s="103">
        <f t="shared" ref="DV303" si="5404">IF(DV1=DV21,IF(-(DV262+DV281)&gt;0,-(DV262+DV281),0),IF(DU316&gt;0,DU316,0)+IF(DU332&lt;0,-DU332,0))</f>
        <v>0</v>
      </c>
      <c r="DW303" s="103">
        <f t="shared" ref="DW303" si="5405">IF(DW1=DW21,IF(-(DW262+DW281)&gt;0,-(DW262+DW281),0),IF(DV316&gt;0,DV316,0)+IF(DV332&lt;0,-DV332,0))</f>
        <v>0</v>
      </c>
      <c r="DX303" s="103">
        <f t="shared" ref="DX303" si="5406">IF(DX1=DX21,IF(-(DX262+DX281)&gt;0,-(DX262+DX281),0),IF(DW316&gt;0,DW316,0)+IF(DW332&lt;0,-DW332,0))</f>
        <v>0</v>
      </c>
      <c r="DY303" s="103">
        <f t="shared" ref="DY303" si="5407">IF(DY1=DY21,IF(-(DY262+DY281)&gt;0,-(DY262+DY281),0),IF(DX316&gt;0,DX316,0)+IF(DX332&lt;0,-DX332,0))</f>
        <v>0</v>
      </c>
      <c r="DZ303" s="103">
        <f t="shared" ref="DZ303" si="5408">IF(DZ1=DZ21,IF(-(DZ262+DZ281)&gt;0,-(DZ262+DZ281),0),IF(DY316&gt;0,DY316,0)+IF(DY332&lt;0,-DY332,0))</f>
        <v>0</v>
      </c>
      <c r="EA303" s="103">
        <f t="shared" ref="EA303" si="5409">IF(EA1=EA21,IF(-(EA262+EA281)&gt;0,-(EA262+EA281),0),IF(DZ316&gt;0,DZ316,0)+IF(DZ332&lt;0,-DZ332,0))</f>
        <v>0</v>
      </c>
      <c r="EB303" s="103">
        <f t="shared" ref="EB303" si="5410">IF(EB1=EB21,IF(-(EB262+EB281)&gt;0,-(EB262+EB281),0),IF(EA316&gt;0,EA316,0)+IF(EA332&lt;0,-EA332,0))</f>
        <v>0</v>
      </c>
      <c r="EC303" s="103">
        <f t="shared" ref="EC303" si="5411">IF(EC1=EC21,IF(-(EC262+EC281)&gt;0,-(EC262+EC281),0),IF(EB316&gt;0,EB316,0)+IF(EB332&lt;0,-EB332,0))</f>
        <v>0</v>
      </c>
      <c r="ED303" s="103">
        <f t="shared" ref="ED303" si="5412">IF(ED1=ED21,IF(-(ED262+ED281)&gt;0,-(ED262+ED281),0),IF(EC316&gt;0,EC316,0)+IF(EC332&lt;0,-EC332,0))</f>
        <v>0</v>
      </c>
      <c r="EE303" s="103">
        <f t="shared" ref="EE303" si="5413">IF(EE1=EE21,IF(-(EE262+EE281)&gt;0,-(EE262+EE281),0),IF(ED316&gt;0,ED316,0)+IF(ED332&lt;0,-ED332,0))</f>
        <v>0</v>
      </c>
      <c r="EF303" s="103">
        <f t="shared" ref="EF303" si="5414">IF(EF1=EF21,IF(-(EF262+EF281)&gt;0,-(EF262+EF281),0),IF(EE316&gt;0,EE316,0)+IF(EE332&lt;0,-EE332,0))</f>
        <v>0</v>
      </c>
      <c r="EG303" s="103">
        <f t="shared" ref="EG303" si="5415">IF(EG1=EG21,IF(-(EG262+EG281)&gt;0,-(EG262+EG281),0),IF(EF316&gt;0,EF316,0)+IF(EF332&lt;0,-EF332,0))</f>
        <v>0</v>
      </c>
      <c r="EH303" s="103">
        <f t="shared" ref="EH303" si="5416">IF(EH1=EH21,IF(-(EH262+EH281)&gt;0,-(EH262+EH281),0),IF(EG316&gt;0,EG316,0)+IF(EG332&lt;0,-EG332,0))</f>
        <v>0</v>
      </c>
      <c r="EI303" s="103">
        <f t="shared" ref="EI303" si="5417">IF(EI1=EI21,IF(-(EI262+EI281)&gt;0,-(EI262+EI281),0),IF(EH316&gt;0,EH316,0)+IF(EH332&lt;0,-EH332,0))</f>
        <v>0</v>
      </c>
      <c r="EJ303" s="103">
        <f t="shared" ref="EJ303" si="5418">IF(EJ1=EJ21,IF(-(EJ262+EJ281)&gt;0,-(EJ262+EJ281),0),IF(EI316&gt;0,EI316,0)+IF(EI332&lt;0,-EI332,0))</f>
        <v>0</v>
      </c>
      <c r="EK303" s="103">
        <f t="shared" ref="EK303" si="5419">IF(EK1=EK21,IF(-(EK262+EK281)&gt;0,-(EK262+EK281),0),IF(EJ316&gt;0,EJ316,0)+IF(EJ332&lt;0,-EJ332,0))</f>
        <v>0</v>
      </c>
      <c r="EL303" s="103">
        <f t="shared" ref="EL303" si="5420">IF(EL1=EL21,IF(-(EL262+EL281)&gt;0,-(EL262+EL281),0),IF(EK316&gt;0,EK316,0)+IF(EK332&lt;0,-EK332,0))</f>
        <v>0</v>
      </c>
      <c r="EM303" s="103">
        <f t="shared" ref="EM303" si="5421">IF(EM1=EM21,IF(-(EM262+EM281)&gt;0,-(EM262+EM281),0),IF(EL316&gt;0,EL316,0)+IF(EL332&lt;0,-EL332,0))</f>
        <v>0</v>
      </c>
      <c r="EN303" s="103">
        <f t="shared" ref="EN303" si="5422">IF(EN1=EN21,IF(-(EN262+EN281)&gt;0,-(EN262+EN281),0),IF(EM316&gt;0,EM316,0)+IF(EM332&lt;0,-EM332,0))</f>
        <v>0</v>
      </c>
      <c r="EO303" s="103">
        <f t="shared" ref="EO303" si="5423">IF(EO1=EO21,IF(-(EO262+EO281)&gt;0,-(EO262+EO281),0),IF(EN316&gt;0,EN316,0)+IF(EN332&lt;0,-EN332,0))</f>
        <v>0</v>
      </c>
      <c r="EP303" s="103">
        <f t="shared" ref="EP303" si="5424">IF(EP1=EP21,IF(-(EP262+EP281)&gt;0,-(EP262+EP281),0),IF(EO316&gt;0,EO316,0)+IF(EO332&lt;0,-EO332,0))</f>
        <v>0</v>
      </c>
      <c r="EQ303" s="103">
        <f t="shared" ref="EQ303" si="5425">IF(EQ1=EQ21,IF(-(EQ262+EQ281)&gt;0,-(EQ262+EQ281),0),IF(EP316&gt;0,EP316,0)+IF(EP332&lt;0,-EP332,0))</f>
        <v>0</v>
      </c>
      <c r="ER303" s="103">
        <f t="shared" ref="ER303" si="5426">IF(ER1=ER21,IF(-(ER262+ER281)&gt;0,-(ER262+ER281),0),IF(EQ316&gt;0,EQ316,0)+IF(EQ332&lt;0,-EQ332,0))</f>
        <v>0</v>
      </c>
      <c r="ES303" s="103">
        <f t="shared" ref="ES303" si="5427">IF(ES1=ES21,IF(-(ES262+ES281)&gt;0,-(ES262+ES281),0),IF(ER316&gt;0,ER316,0)+IF(ER332&lt;0,-ER332,0))</f>
        <v>0</v>
      </c>
      <c r="ET303" s="103">
        <f t="shared" ref="ET303" si="5428">IF(ET1=ET21,IF(-(ET262+ET281)&gt;0,-(ET262+ET281),0),IF(ES316&gt;0,ES316,0)+IF(ES332&lt;0,-ES332,0))</f>
        <v>0</v>
      </c>
      <c r="EU303" s="103">
        <f t="shared" ref="EU303" si="5429">IF(EU1=EU21,IF(-(EU262+EU281)&gt;0,-(EU262+EU281),0),IF(ET316&gt;0,ET316,0)+IF(ET332&lt;0,-ET332,0))</f>
        <v>0</v>
      </c>
      <c r="EV303" s="103">
        <f t="shared" ref="EV303" si="5430">IF(EV1=EV21,IF(-(EV262+EV281)&gt;0,-(EV262+EV281),0),IF(EU316&gt;0,EU316,0)+IF(EU332&lt;0,-EU332,0))</f>
        <v>0</v>
      </c>
      <c r="EW303" s="103">
        <f t="shared" ref="EW303" si="5431">IF(EW1=EW21,IF(-(EW262+EW281)&gt;0,-(EW262+EW281),0),IF(EV316&gt;0,EV316,0)+IF(EV332&lt;0,-EV332,0))</f>
        <v>0</v>
      </c>
      <c r="EX303" s="103">
        <f t="shared" ref="EX303" si="5432">IF(EX1=EX21,IF(-(EX262+EX281)&gt;0,-(EX262+EX281),0),IF(EW316&gt;0,EW316,0)+IF(EW332&lt;0,-EW332,0))</f>
        <v>0</v>
      </c>
      <c r="EY303" s="103">
        <f t="shared" ref="EY303" si="5433">IF(EY1=EY21,IF(-(EY262+EY281)&gt;0,-(EY262+EY281),0),IF(EX316&gt;0,EX316,0)+IF(EX332&lt;0,-EX332,0))</f>
        <v>0</v>
      </c>
      <c r="EZ303" s="103">
        <f t="shared" ref="EZ303" si="5434">IF(EZ1=EZ21,IF(-(EZ262+EZ281)&gt;0,-(EZ262+EZ281),0),IF(EY316&gt;0,EY316,0)+IF(EY332&lt;0,-EY332,0))</f>
        <v>0</v>
      </c>
      <c r="FA303" s="103">
        <f t="shared" ref="FA303" si="5435">IF(FA1=FA21,IF(-(FA262+FA281)&gt;0,-(FA262+FA281),0),IF(EZ316&gt;0,EZ316,0)+IF(EZ332&lt;0,-EZ332,0))</f>
        <v>0</v>
      </c>
      <c r="FB303" s="103">
        <f t="shared" ref="FB303" si="5436">IF(FB1=FB21,IF(-(FB262+FB281)&gt;0,-(FB262+FB281),0),IF(FA316&gt;0,FA316,0)+IF(FA332&lt;0,-FA332,0))</f>
        <v>0</v>
      </c>
      <c r="FC303" s="103">
        <f t="shared" ref="FC303" si="5437">IF(FC1=FC21,IF(-(FC262+FC281)&gt;0,-(FC262+FC281),0),IF(FB316&gt;0,FB316,0)+IF(FB332&lt;0,-FB332,0))</f>
        <v>0</v>
      </c>
      <c r="FD303" s="103">
        <f t="shared" ref="FD303" si="5438">IF(FD1=FD21,IF(-(FD262+FD281)&gt;0,-(FD262+FD281),0),IF(FC316&gt;0,FC316,0)+IF(FC332&lt;0,-FC332,0))</f>
        <v>0</v>
      </c>
      <c r="FE303" s="103">
        <f t="shared" ref="FE303" si="5439">IF(FE1=FE21,IF(-(FE262+FE281)&gt;0,-(FE262+FE281),0),IF(FD316&gt;0,FD316,0)+IF(FD332&lt;0,-FD332,0))</f>
        <v>0</v>
      </c>
      <c r="FF303" s="103">
        <f t="shared" ref="FF303" si="5440">IF(FF1=FF21,IF(-(FF262+FF281)&gt;0,-(FF262+FF281),0),IF(FE316&gt;0,FE316,0)+IF(FE332&lt;0,-FE332,0))</f>
        <v>0</v>
      </c>
      <c r="FG303" s="103">
        <f t="shared" ref="FG303" si="5441">IF(FG1=FG21,IF(-(FG262+FG281)&gt;0,-(FG262+FG281),0),IF(FF316&gt;0,FF316,0)+IF(FF332&lt;0,-FF332,0))</f>
        <v>0</v>
      </c>
      <c r="FH303" s="103">
        <f t="shared" ref="FH303" si="5442">IF(FH1=FH21,IF(-(FH262+FH281)&gt;0,-(FH262+FH281),0),IF(FG316&gt;0,FG316,0)+IF(FG332&lt;0,-FG332,0))</f>
        <v>0</v>
      </c>
      <c r="FI303" s="103">
        <f t="shared" ref="FI303" si="5443">IF(FI1=FI21,IF(-(FI262+FI281)&gt;0,-(FI262+FI281),0),IF(FH316&gt;0,FH316,0)+IF(FH332&lt;0,-FH332,0))</f>
        <v>0</v>
      </c>
      <c r="FJ303" s="103">
        <f t="shared" ref="FJ303" si="5444">IF(FJ1=FJ21,IF(-(FJ262+FJ281)&gt;0,-(FJ262+FJ281),0),IF(FI316&gt;0,FI316,0)+IF(FI332&lt;0,-FI332,0))</f>
        <v>0</v>
      </c>
      <c r="FK303" s="103">
        <f t="shared" ref="FK303" si="5445">IF(FK1=FK21,IF(-(FK262+FK281)&gt;0,-(FK262+FK281),0),IF(FJ316&gt;0,FJ316,0)+IF(FJ332&lt;0,-FJ332,0))</f>
        <v>0</v>
      </c>
      <c r="FL303" s="103">
        <f t="shared" ref="FL303" si="5446">IF(FL1=FL21,IF(-(FL262+FL281)&gt;0,-(FL262+FL281),0),IF(FK316&gt;0,FK316,0)+IF(FK332&lt;0,-FK332,0))</f>
        <v>0</v>
      </c>
      <c r="FM303" s="103">
        <f t="shared" ref="FM303" si="5447">IF(FM1=FM21,IF(-(FM262+FM281)&gt;0,-(FM262+FM281),0),IF(FL316&gt;0,FL316,0)+IF(FL332&lt;0,-FL332,0))</f>
        <v>0</v>
      </c>
      <c r="FN303" s="103">
        <f t="shared" ref="FN303" si="5448">IF(FN1=FN21,IF(-(FN262+FN281)&gt;0,-(FN262+FN281),0),IF(FM316&gt;0,FM316,0)+IF(FM332&lt;0,-FM332,0))</f>
        <v>0</v>
      </c>
      <c r="FO303" s="103">
        <f t="shared" ref="FO303" si="5449">IF(FO1=FO21,IF(-(FO262+FO281)&gt;0,-(FO262+FO281),0),IF(FN316&gt;0,FN316,0)+IF(FN332&lt;0,-FN332,0))</f>
        <v>0</v>
      </c>
      <c r="FP303" s="103">
        <f t="shared" ref="FP303" si="5450">IF(FP1=FP21,IF(-(FP262+FP281)&gt;0,-(FP262+FP281),0),IF(FO316&gt;0,FO316,0)+IF(FO332&lt;0,-FO332,0))</f>
        <v>0</v>
      </c>
      <c r="FQ303" s="103">
        <f t="shared" ref="FQ303" si="5451">IF(FQ1=FQ21,IF(-(FQ262+FQ281)&gt;0,-(FQ262+FQ281),0),IF(FP316&gt;0,FP316,0)+IF(FP332&lt;0,-FP332,0))</f>
        <v>0</v>
      </c>
      <c r="FR303" s="103">
        <f t="shared" ref="FR303" si="5452">IF(FR1=FR21,IF(-(FR262+FR281)&gt;0,-(FR262+FR281),0),IF(FQ316&gt;0,FQ316,0)+IF(FQ332&lt;0,-FQ332,0))</f>
        <v>0</v>
      </c>
      <c r="FS303" s="103">
        <f t="shared" ref="FS303" si="5453">IF(FS1=FS21,IF(-(FS262+FS281)&gt;0,-(FS262+FS281),0),IF(FR316&gt;0,FR316,0)+IF(FR332&lt;0,-FR332,0))</f>
        <v>0</v>
      </c>
      <c r="FT303" s="103">
        <f t="shared" ref="FT303" si="5454">IF(FT1=FT21,IF(-(FT262+FT281)&gt;0,-(FT262+FT281),0),IF(FS316&gt;0,FS316,0)+IF(FS332&lt;0,-FS332,0))</f>
        <v>0</v>
      </c>
      <c r="FU303" s="103">
        <f t="shared" ref="FU303" si="5455">IF(FU1=FU21,IF(-(FU262+FU281)&gt;0,-(FU262+FU281),0),IF(FT316&gt;0,FT316,0)+IF(FT332&lt;0,-FT332,0))</f>
        <v>0</v>
      </c>
      <c r="FV303" s="103">
        <f t="shared" ref="FV303" si="5456">IF(FV1=FV21,IF(-(FV262+FV281)&gt;0,-(FV262+FV281),0),IF(FU316&gt;0,FU316,0)+IF(FU332&lt;0,-FU332,0))</f>
        <v>0</v>
      </c>
      <c r="FW303" s="103">
        <f t="shared" ref="FW303" si="5457">IF(FW1=FW21,IF(-(FW262+FW281)&gt;0,-(FW262+FW281),0),IF(FV316&gt;0,FV316,0)+IF(FV332&lt;0,-FV332,0))</f>
        <v>0</v>
      </c>
      <c r="FX303" s="103">
        <f t="shared" ref="FX303" si="5458">IF(FX1=FX21,IF(-(FX262+FX281)&gt;0,-(FX262+FX281),0),IF(FW316&gt;0,FW316,0)+IF(FW332&lt;0,-FW332,0))</f>
        <v>0</v>
      </c>
      <c r="FY303" s="103">
        <f t="shared" ref="FY303" si="5459">IF(FY1=FY21,IF(-(FY262+FY281)&gt;0,-(FY262+FY281),0),IF(FX316&gt;0,FX316,0)+IF(FX332&lt;0,-FX332,0))</f>
        <v>0</v>
      </c>
      <c r="FZ303" s="104"/>
    </row>
    <row r="304" spans="1:184" x14ac:dyDescent="0.2">
      <c r="A304" s="2" t="s">
        <v>233</v>
      </c>
      <c r="B304" s="57">
        <f t="shared" ref="B304:C304" si="5460">B303*B99</f>
        <v>468.03575755760636</v>
      </c>
      <c r="C304" s="57">
        <f t="shared" si="5460"/>
        <v>446.61963483765089</v>
      </c>
      <c r="D304" s="57">
        <f t="shared" ref="D304:BO304" si="5461">D303*D99</f>
        <v>425.5124507678612</v>
      </c>
      <c r="E304" s="57">
        <f t="shared" si="5461"/>
        <v>404.72663891070204</v>
      </c>
      <c r="F304" s="57">
        <f t="shared" si="5461"/>
        <v>384.27492182680692</v>
      </c>
      <c r="G304" s="57">
        <f t="shared" si="5461"/>
        <v>364.1703162077568</v>
      </c>
      <c r="H304" s="57">
        <f t="shared" si="5461"/>
        <v>344.42616042801086</v>
      </c>
      <c r="I304" s="57">
        <f t="shared" si="5461"/>
        <v>325.05607718751651</v>
      </c>
      <c r="J304" s="57">
        <f t="shared" si="5461"/>
        <v>306.07400206475938</v>
      </c>
      <c r="K304" s="57">
        <f t="shared" si="5461"/>
        <v>287.49419003583176</v>
      </c>
      <c r="L304" s="57">
        <f t="shared" si="5461"/>
        <v>269.3312221263306</v>
      </c>
      <c r="M304" s="57">
        <f t="shared" si="5461"/>
        <v>251.60001219853919</v>
      </c>
      <c r="N304" s="57">
        <f t="shared" si="5461"/>
        <v>234.31581387687612</v>
      </c>
      <c r="O304" s="57">
        <f t="shared" si="5461"/>
        <v>217.4942456424719</v>
      </c>
      <c r="P304" s="57">
        <f t="shared" si="5461"/>
        <v>201.15143407441855</v>
      </c>
      <c r="Q304" s="57">
        <f t="shared" si="5461"/>
        <v>185.30368529743166</v>
      </c>
      <c r="R304" s="57">
        <f t="shared" si="5461"/>
        <v>169.96767211339451</v>
      </c>
      <c r="S304" s="57">
        <f t="shared" si="5461"/>
        <v>155.16044329840861</v>
      </c>
      <c r="T304" s="57">
        <f t="shared" si="5461"/>
        <v>140.89943139968952</v>
      </c>
      <c r="U304" s="57">
        <f t="shared" si="5461"/>
        <v>127.20246069104543</v>
      </c>
      <c r="V304" s="57">
        <f t="shared" si="5461"/>
        <v>114.08775529018817</v>
      </c>
      <c r="W304" s="57">
        <f t="shared" si="5461"/>
        <v>101.57396068518429</v>
      </c>
      <c r="X304" s="57">
        <f t="shared" si="5461"/>
        <v>89.680124404302191</v>
      </c>
      <c r="Y304" s="57">
        <f t="shared" si="5461"/>
        <v>78.425719113934662</v>
      </c>
      <c r="Z304" s="57">
        <f t="shared" si="5461"/>
        <v>67.830651413929559</v>
      </c>
      <c r="AA304" s="57">
        <f t="shared" si="5461"/>
        <v>57.915270812244266</v>
      </c>
      <c r="AB304" s="57">
        <f t="shared" si="5461"/>
        <v>48.70047364920012</v>
      </c>
      <c r="AC304" s="57">
        <f t="shared" si="5461"/>
        <v>40.207510035632602</v>
      </c>
      <c r="AD304" s="57">
        <f t="shared" si="5461"/>
        <v>32.45809823524899</v>
      </c>
      <c r="AE304" s="57">
        <f t="shared" si="5461"/>
        <v>25.474436477111059</v>
      </c>
      <c r="AF304" s="57">
        <f t="shared" si="5461"/>
        <v>19.27921933159352</v>
      </c>
      <c r="AG304" s="57">
        <f t="shared" si="5461"/>
        <v>13.895633182946909</v>
      </c>
      <c r="AH304" s="57">
        <f t="shared" si="5461"/>
        <v>9.3473746198708909</v>
      </c>
      <c r="AI304" s="57">
        <f t="shared" si="5461"/>
        <v>5.658660950411643</v>
      </c>
      <c r="AJ304" s="57">
        <f t="shared" si="5461"/>
        <v>2.8542409304480718</v>
      </c>
      <c r="AK304" s="57">
        <f t="shared" si="5461"/>
        <v>0.959405709723953</v>
      </c>
      <c r="AL304" s="57">
        <f t="shared" si="5461"/>
        <v>0</v>
      </c>
      <c r="AM304" s="57">
        <f t="shared" si="5461"/>
        <v>0</v>
      </c>
      <c r="AN304" s="57">
        <f t="shared" si="5461"/>
        <v>0</v>
      </c>
      <c r="AO304" s="57">
        <f t="shared" si="5461"/>
        <v>0</v>
      </c>
      <c r="AP304" s="57">
        <f t="shared" si="5461"/>
        <v>0</v>
      </c>
      <c r="AQ304" s="57">
        <f t="shared" si="5461"/>
        <v>0</v>
      </c>
      <c r="AR304" s="57">
        <f t="shared" si="5461"/>
        <v>0</v>
      </c>
      <c r="AS304" s="57">
        <f t="shared" si="5461"/>
        <v>0</v>
      </c>
      <c r="AT304" s="57">
        <f t="shared" si="5461"/>
        <v>0</v>
      </c>
      <c r="AU304" s="57">
        <f t="shared" si="5461"/>
        <v>0</v>
      </c>
      <c r="AV304" s="57">
        <f t="shared" si="5461"/>
        <v>0</v>
      </c>
      <c r="AW304" s="57">
        <f t="shared" si="5461"/>
        <v>0</v>
      </c>
      <c r="AX304" s="57">
        <f t="shared" si="5461"/>
        <v>0</v>
      </c>
      <c r="AY304" s="57">
        <f t="shared" si="5461"/>
        <v>0</v>
      </c>
      <c r="AZ304" s="57">
        <f t="shared" si="5461"/>
        <v>0</v>
      </c>
      <c r="BA304" s="57">
        <f t="shared" si="5461"/>
        <v>0</v>
      </c>
      <c r="BB304" s="57">
        <f t="shared" si="5461"/>
        <v>0</v>
      </c>
      <c r="BC304" s="57">
        <f t="shared" si="5461"/>
        <v>0</v>
      </c>
      <c r="BD304" s="57">
        <f t="shared" si="5461"/>
        <v>0</v>
      </c>
      <c r="BE304" s="57">
        <f t="shared" si="5461"/>
        <v>0</v>
      </c>
      <c r="BF304" s="57">
        <f t="shared" si="5461"/>
        <v>0</v>
      </c>
      <c r="BG304" s="57">
        <f t="shared" si="5461"/>
        <v>0</v>
      </c>
      <c r="BH304" s="57">
        <f t="shared" si="5461"/>
        <v>0</v>
      </c>
      <c r="BI304" s="57">
        <f t="shared" si="5461"/>
        <v>0</v>
      </c>
      <c r="BJ304" s="57">
        <f t="shared" si="5461"/>
        <v>0</v>
      </c>
      <c r="BK304" s="57">
        <f t="shared" si="5461"/>
        <v>0</v>
      </c>
      <c r="BL304" s="57">
        <f t="shared" si="5461"/>
        <v>0</v>
      </c>
      <c r="BM304" s="57">
        <f t="shared" si="5461"/>
        <v>0</v>
      </c>
      <c r="BN304" s="57">
        <f t="shared" si="5461"/>
        <v>0</v>
      </c>
      <c r="BO304" s="57">
        <f t="shared" si="5461"/>
        <v>0</v>
      </c>
      <c r="BP304" s="57">
        <f t="shared" ref="BP304:EA304" si="5462">BP303*BP99</f>
        <v>0</v>
      </c>
      <c r="BQ304" s="57">
        <f t="shared" si="5462"/>
        <v>0</v>
      </c>
      <c r="BR304" s="57">
        <f t="shared" si="5462"/>
        <v>0</v>
      </c>
      <c r="BS304" s="57">
        <f t="shared" si="5462"/>
        <v>0</v>
      </c>
      <c r="BT304" s="57">
        <f t="shared" si="5462"/>
        <v>0</v>
      </c>
      <c r="BU304" s="57">
        <f t="shared" si="5462"/>
        <v>0</v>
      </c>
      <c r="BV304" s="57">
        <f t="shared" si="5462"/>
        <v>0</v>
      </c>
      <c r="BW304" s="57">
        <f t="shared" si="5462"/>
        <v>0</v>
      </c>
      <c r="BX304" s="57">
        <f t="shared" si="5462"/>
        <v>0</v>
      </c>
      <c r="BY304" s="57">
        <f t="shared" si="5462"/>
        <v>0</v>
      </c>
      <c r="BZ304" s="57">
        <f t="shared" si="5462"/>
        <v>0</v>
      </c>
      <c r="CA304" s="57">
        <f t="shared" si="5462"/>
        <v>0</v>
      </c>
      <c r="CB304" s="57">
        <f t="shared" si="5462"/>
        <v>0</v>
      </c>
      <c r="CC304" s="57">
        <f t="shared" si="5462"/>
        <v>0</v>
      </c>
      <c r="CD304" s="57">
        <f t="shared" si="5462"/>
        <v>0</v>
      </c>
      <c r="CE304" s="57">
        <f t="shared" si="5462"/>
        <v>0</v>
      </c>
      <c r="CF304" s="57">
        <f t="shared" si="5462"/>
        <v>0</v>
      </c>
      <c r="CG304" s="57">
        <f t="shared" si="5462"/>
        <v>0</v>
      </c>
      <c r="CH304" s="57">
        <f t="shared" si="5462"/>
        <v>0</v>
      </c>
      <c r="CI304" s="57">
        <f t="shared" si="5462"/>
        <v>0</v>
      </c>
      <c r="CJ304" s="57">
        <f t="shared" si="5462"/>
        <v>0</v>
      </c>
      <c r="CK304" s="57">
        <f t="shared" si="5462"/>
        <v>0</v>
      </c>
      <c r="CL304" s="57">
        <f t="shared" si="5462"/>
        <v>0</v>
      </c>
      <c r="CM304" s="57">
        <f t="shared" si="5462"/>
        <v>0</v>
      </c>
      <c r="CN304" s="57">
        <f t="shared" si="5462"/>
        <v>0</v>
      </c>
      <c r="CO304" s="57">
        <f t="shared" si="5462"/>
        <v>0</v>
      </c>
      <c r="CP304" s="57">
        <f t="shared" si="5462"/>
        <v>0</v>
      </c>
      <c r="CQ304" s="57">
        <f t="shared" si="5462"/>
        <v>0</v>
      </c>
      <c r="CR304" s="57">
        <f t="shared" si="5462"/>
        <v>0</v>
      </c>
      <c r="CS304" s="57">
        <f t="shared" si="5462"/>
        <v>0</v>
      </c>
      <c r="CT304" s="57">
        <f t="shared" si="5462"/>
        <v>0</v>
      </c>
      <c r="CU304" s="57">
        <f t="shared" si="5462"/>
        <v>0</v>
      </c>
      <c r="CV304" s="57">
        <f t="shared" si="5462"/>
        <v>0</v>
      </c>
      <c r="CW304" s="57">
        <f t="shared" si="5462"/>
        <v>0</v>
      </c>
      <c r="CX304" s="57">
        <f t="shared" si="5462"/>
        <v>0</v>
      </c>
      <c r="CY304" s="57">
        <f t="shared" si="5462"/>
        <v>0</v>
      </c>
      <c r="CZ304" s="57">
        <f t="shared" si="5462"/>
        <v>0</v>
      </c>
      <c r="DA304" s="57">
        <f t="shared" si="5462"/>
        <v>0</v>
      </c>
      <c r="DB304" s="57">
        <f t="shared" si="5462"/>
        <v>0</v>
      </c>
      <c r="DC304" s="57">
        <f t="shared" si="5462"/>
        <v>0</v>
      </c>
      <c r="DD304" s="57">
        <f t="shared" si="5462"/>
        <v>0</v>
      </c>
      <c r="DE304" s="57">
        <f t="shared" si="5462"/>
        <v>0</v>
      </c>
      <c r="DF304" s="57">
        <f t="shared" si="5462"/>
        <v>0</v>
      </c>
      <c r="DG304" s="57">
        <f t="shared" si="5462"/>
        <v>0</v>
      </c>
      <c r="DH304" s="57">
        <f t="shared" si="5462"/>
        <v>0</v>
      </c>
      <c r="DI304" s="57">
        <f t="shared" si="5462"/>
        <v>0</v>
      </c>
      <c r="DJ304" s="57">
        <f t="shared" si="5462"/>
        <v>0</v>
      </c>
      <c r="DK304" s="57">
        <f t="shared" si="5462"/>
        <v>0</v>
      </c>
      <c r="DL304" s="57">
        <f t="shared" si="5462"/>
        <v>0</v>
      </c>
      <c r="DM304" s="57">
        <f t="shared" si="5462"/>
        <v>0</v>
      </c>
      <c r="DN304" s="57">
        <f t="shared" si="5462"/>
        <v>0</v>
      </c>
      <c r="DO304" s="57">
        <f t="shared" si="5462"/>
        <v>0</v>
      </c>
      <c r="DP304" s="57">
        <f t="shared" si="5462"/>
        <v>0</v>
      </c>
      <c r="DQ304" s="57">
        <f t="shared" si="5462"/>
        <v>0</v>
      </c>
      <c r="DR304" s="57">
        <f t="shared" si="5462"/>
        <v>0</v>
      </c>
      <c r="DS304" s="57">
        <f t="shared" si="5462"/>
        <v>0</v>
      </c>
      <c r="DT304" s="57">
        <f t="shared" si="5462"/>
        <v>0</v>
      </c>
      <c r="DU304" s="57">
        <f t="shared" si="5462"/>
        <v>0</v>
      </c>
      <c r="DV304" s="57">
        <f t="shared" si="5462"/>
        <v>0</v>
      </c>
      <c r="DW304" s="57">
        <f t="shared" si="5462"/>
        <v>0</v>
      </c>
      <c r="DX304" s="57">
        <f t="shared" si="5462"/>
        <v>0</v>
      </c>
      <c r="DY304" s="57">
        <f t="shared" si="5462"/>
        <v>0</v>
      </c>
      <c r="DZ304" s="57">
        <f t="shared" si="5462"/>
        <v>0</v>
      </c>
      <c r="EA304" s="57">
        <f t="shared" si="5462"/>
        <v>0</v>
      </c>
      <c r="EB304" s="57">
        <f t="shared" ref="EB304:FY304" si="5463">EB303*EB99</f>
        <v>0</v>
      </c>
      <c r="EC304" s="57">
        <f t="shared" si="5463"/>
        <v>0</v>
      </c>
      <c r="ED304" s="57">
        <f t="shared" si="5463"/>
        <v>0</v>
      </c>
      <c r="EE304" s="57">
        <f t="shared" si="5463"/>
        <v>0</v>
      </c>
      <c r="EF304" s="57">
        <f t="shared" si="5463"/>
        <v>0</v>
      </c>
      <c r="EG304" s="57">
        <f t="shared" si="5463"/>
        <v>0</v>
      </c>
      <c r="EH304" s="57">
        <f t="shared" si="5463"/>
        <v>0</v>
      </c>
      <c r="EI304" s="57">
        <f t="shared" si="5463"/>
        <v>0</v>
      </c>
      <c r="EJ304" s="57">
        <f t="shared" si="5463"/>
        <v>0</v>
      </c>
      <c r="EK304" s="57">
        <f t="shared" si="5463"/>
        <v>0</v>
      </c>
      <c r="EL304" s="57">
        <f t="shared" si="5463"/>
        <v>0</v>
      </c>
      <c r="EM304" s="57">
        <f t="shared" si="5463"/>
        <v>0</v>
      </c>
      <c r="EN304" s="57">
        <f t="shared" si="5463"/>
        <v>0</v>
      </c>
      <c r="EO304" s="57">
        <f t="shared" si="5463"/>
        <v>0</v>
      </c>
      <c r="EP304" s="57">
        <f t="shared" si="5463"/>
        <v>0</v>
      </c>
      <c r="EQ304" s="57">
        <f t="shared" si="5463"/>
        <v>0</v>
      </c>
      <c r="ER304" s="57">
        <f t="shared" si="5463"/>
        <v>0</v>
      </c>
      <c r="ES304" s="57">
        <f t="shared" si="5463"/>
        <v>0</v>
      </c>
      <c r="ET304" s="57">
        <f t="shared" si="5463"/>
        <v>0</v>
      </c>
      <c r="EU304" s="57">
        <f t="shared" si="5463"/>
        <v>0</v>
      </c>
      <c r="EV304" s="57">
        <f t="shared" si="5463"/>
        <v>0</v>
      </c>
      <c r="EW304" s="57">
        <f t="shared" si="5463"/>
        <v>0</v>
      </c>
      <c r="EX304" s="57">
        <f t="shared" si="5463"/>
        <v>0</v>
      </c>
      <c r="EY304" s="57">
        <f t="shared" si="5463"/>
        <v>0</v>
      </c>
      <c r="EZ304" s="57">
        <f t="shared" si="5463"/>
        <v>0</v>
      </c>
      <c r="FA304" s="57">
        <f t="shared" si="5463"/>
        <v>0</v>
      </c>
      <c r="FB304" s="57">
        <f t="shared" si="5463"/>
        <v>0</v>
      </c>
      <c r="FC304" s="57">
        <f t="shared" si="5463"/>
        <v>0</v>
      </c>
      <c r="FD304" s="57">
        <f t="shared" si="5463"/>
        <v>0</v>
      </c>
      <c r="FE304" s="57">
        <f t="shared" si="5463"/>
        <v>0</v>
      </c>
      <c r="FF304" s="57">
        <f t="shared" si="5463"/>
        <v>0</v>
      </c>
      <c r="FG304" s="57">
        <f t="shared" si="5463"/>
        <v>0</v>
      </c>
      <c r="FH304" s="57">
        <f t="shared" si="5463"/>
        <v>0</v>
      </c>
      <c r="FI304" s="57">
        <f t="shared" si="5463"/>
        <v>0</v>
      </c>
      <c r="FJ304" s="57">
        <f t="shared" si="5463"/>
        <v>0</v>
      </c>
      <c r="FK304" s="57">
        <f t="shared" si="5463"/>
        <v>0</v>
      </c>
      <c r="FL304" s="57">
        <f t="shared" si="5463"/>
        <v>0</v>
      </c>
      <c r="FM304" s="57">
        <f t="shared" si="5463"/>
        <v>0</v>
      </c>
      <c r="FN304" s="57">
        <f t="shared" si="5463"/>
        <v>0</v>
      </c>
      <c r="FO304" s="57">
        <f t="shared" si="5463"/>
        <v>0</v>
      </c>
      <c r="FP304" s="57">
        <f t="shared" si="5463"/>
        <v>0</v>
      </c>
      <c r="FQ304" s="57">
        <f t="shared" si="5463"/>
        <v>0</v>
      </c>
      <c r="FR304" s="57">
        <f t="shared" si="5463"/>
        <v>0</v>
      </c>
      <c r="FS304" s="57">
        <f t="shared" si="5463"/>
        <v>0</v>
      </c>
      <c r="FT304" s="57">
        <f t="shared" si="5463"/>
        <v>0</v>
      </c>
      <c r="FU304" s="57">
        <f t="shared" si="5463"/>
        <v>0</v>
      </c>
      <c r="FV304" s="57">
        <f t="shared" si="5463"/>
        <v>0</v>
      </c>
      <c r="FW304" s="57">
        <f t="shared" si="5463"/>
        <v>0</v>
      </c>
      <c r="FX304" s="57">
        <f t="shared" si="5463"/>
        <v>0</v>
      </c>
      <c r="FY304" s="57">
        <f t="shared" si="5463"/>
        <v>0</v>
      </c>
      <c r="FZ304" s="59"/>
    </row>
    <row r="305" spans="1:182" x14ac:dyDescent="0.2">
      <c r="N305" s="69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r="306" spans="1:182" x14ac:dyDescent="0.2">
      <c r="A306" s="91" t="s">
        <v>234</v>
      </c>
      <c r="N306" s="69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r="307" spans="1:182" x14ac:dyDescent="0.2">
      <c r="A307" s="91"/>
      <c r="Z307" s="57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/>
      <c r="AK307" s="58"/>
      <c r="AL307" s="57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7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I307" s="58"/>
      <c r="BJ307" s="58"/>
      <c r="BK307" s="58"/>
      <c r="BL307" s="58"/>
      <c r="BM307" s="58"/>
      <c r="BN307" s="58"/>
      <c r="BO307" s="58"/>
      <c r="BP307" s="58"/>
      <c r="BQ307" s="58"/>
      <c r="BR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58"/>
      <c r="CJ307" s="58"/>
      <c r="CK307" s="58"/>
      <c r="CL307" s="58"/>
      <c r="CM307" s="58"/>
      <c r="CN307" s="58"/>
      <c r="CO307" s="58"/>
      <c r="CP307" s="58"/>
      <c r="CQ307" s="58"/>
      <c r="CR307" s="58"/>
      <c r="CS307" s="58"/>
      <c r="CT307" s="58"/>
      <c r="CU307" s="58"/>
      <c r="CV307" s="58"/>
      <c r="CW307" s="58"/>
      <c r="CX307" s="58"/>
      <c r="CY307" s="58"/>
      <c r="CZ307" s="58"/>
      <c r="DA307" s="58"/>
      <c r="DB307" s="58"/>
      <c r="DC307" s="58"/>
      <c r="DD307" s="58"/>
      <c r="DE307" s="58"/>
      <c r="DF307" s="58"/>
      <c r="DG307" s="58"/>
      <c r="DH307" s="58"/>
      <c r="DI307" s="58"/>
      <c r="DJ307" s="58"/>
      <c r="DK307" s="58"/>
      <c r="DL307" s="58"/>
      <c r="DM307" s="58"/>
      <c r="DN307" s="58"/>
      <c r="DO307" s="58"/>
      <c r="DP307" s="58"/>
      <c r="DQ307" s="58"/>
      <c r="DR307" s="58"/>
      <c r="DS307" s="58"/>
      <c r="DT307" s="58"/>
      <c r="DU307" s="58"/>
      <c r="DV307" s="58"/>
      <c r="DW307" s="58"/>
      <c r="DX307" s="58"/>
      <c r="DY307" s="58"/>
      <c r="DZ307" s="58"/>
      <c r="EA307" s="58"/>
      <c r="EB307" s="58"/>
      <c r="EC307" s="58"/>
      <c r="ED307" s="58"/>
      <c r="EE307" s="58"/>
      <c r="EF307" s="58"/>
      <c r="EG307" s="58"/>
      <c r="EH307" s="58"/>
      <c r="EI307" s="58"/>
      <c r="EJ307" s="58"/>
      <c r="EK307" s="58"/>
      <c r="EL307" s="58"/>
      <c r="EM307" s="58"/>
      <c r="EN307" s="58"/>
      <c r="EO307" s="58"/>
      <c r="EP307" s="58"/>
      <c r="EQ307" s="58"/>
      <c r="ER307" s="58"/>
      <c r="ES307" s="58"/>
      <c r="ET307" s="58"/>
      <c r="EU307" s="58"/>
      <c r="EV307" s="58"/>
      <c r="EW307" s="58"/>
      <c r="EX307" s="58"/>
      <c r="EY307" s="58"/>
      <c r="EZ307" s="58"/>
      <c r="FA307" s="58"/>
      <c r="FB307" s="58"/>
      <c r="FC307" s="58"/>
      <c r="FD307" s="58"/>
      <c r="FE307" s="58"/>
      <c r="FF307" s="58"/>
      <c r="FG307" s="58"/>
      <c r="FH307" s="58"/>
      <c r="FI307" s="58"/>
      <c r="FJ307" s="58"/>
      <c r="FK307" s="58"/>
      <c r="FL307" s="58"/>
      <c r="FM307" s="58"/>
      <c r="FN307" s="58"/>
      <c r="FO307" s="58"/>
      <c r="FP307" s="58"/>
      <c r="FQ307" s="58"/>
      <c r="FR307" s="58"/>
      <c r="FS307" s="58"/>
      <c r="FT307" s="58"/>
      <c r="FU307" s="58"/>
      <c r="FV307" s="58"/>
      <c r="FW307" s="58"/>
      <c r="FX307" s="58"/>
      <c r="FY307" s="58"/>
      <c r="FZ307" s="59"/>
    </row>
    <row r="308" spans="1:182" x14ac:dyDescent="0.2">
      <c r="A308" s="8" t="s">
        <v>235</v>
      </c>
      <c r="B308" s="105">
        <f t="array" ref="B308:FY308">TRANSPOSE('DATA INPUT - DETAIL'!AH4:AH183)</f>
        <v>4.9907923144500002E-2</v>
      </c>
      <c r="C308" s="106">
        <v>5.1403804452800003E-2</v>
      </c>
      <c r="D308" s="106">
        <v>5.29859192947E-2</v>
      </c>
      <c r="E308" s="106">
        <v>5.4661879976700002E-2</v>
      </c>
      <c r="F308" s="106">
        <v>5.6440223860199999E-2</v>
      </c>
      <c r="G308" s="106">
        <v>5.8330497349599997E-2</v>
      </c>
      <c r="H308" s="106">
        <v>6.0343595904100003E-2</v>
      </c>
      <c r="I308" s="106">
        <v>6.2491809596800001E-2</v>
      </c>
      <c r="J308" s="106">
        <v>6.4789124380300003E-2</v>
      </c>
      <c r="K308" s="106">
        <v>6.7251525076900007E-2</v>
      </c>
      <c r="L308" s="106">
        <v>6.9897365742700002E-2</v>
      </c>
      <c r="M308" s="106">
        <v>7.2747825556699994E-2</v>
      </c>
      <c r="N308" s="105">
        <v>7.5827397597499999E-2</v>
      </c>
      <c r="O308" s="106">
        <v>7.9164019658400003E-2</v>
      </c>
      <c r="P308" s="106">
        <v>8.2791983652099999E-2</v>
      </c>
      <c r="Q308" s="106">
        <v>8.6751036327699996E-2</v>
      </c>
      <c r="R308" s="106">
        <v>9.1088488797299999E-2</v>
      </c>
      <c r="S308" s="106">
        <v>9.5861116170399996E-2</v>
      </c>
      <c r="T308" s="106">
        <v>0.101137648619</v>
      </c>
      <c r="U308" s="106">
        <v>0.10700209300500001</v>
      </c>
      <c r="V308" s="106">
        <v>0.113558111584</v>
      </c>
      <c r="W308" s="106">
        <v>0.12093551788699999</v>
      </c>
      <c r="X308" s="106">
        <v>0.12929863384500001</v>
      </c>
      <c r="Y308" s="106">
        <v>0.138858743108</v>
      </c>
      <c r="Z308" s="105">
        <v>0.149892158991</v>
      </c>
      <c r="AA308" s="106">
        <v>0.162765700662</v>
      </c>
      <c r="AB308" s="106">
        <v>0.17798278600799999</v>
      </c>
      <c r="AC308" s="106">
        <v>0.19624662485800001</v>
      </c>
      <c r="AD308" s="106">
        <v>0.218572962668</v>
      </c>
      <c r="AE308" s="106">
        <v>0.24648521746400001</v>
      </c>
      <c r="AF308" s="106">
        <v>0.282377882784</v>
      </c>
      <c r="AG308" s="106">
        <v>0.33024151274199998</v>
      </c>
      <c r="AH308" s="106">
        <v>0.39725871042299998</v>
      </c>
      <c r="AI308" s="106">
        <v>0.49779171282500001</v>
      </c>
      <c r="AJ308" s="106">
        <v>0.66532861009199995</v>
      </c>
      <c r="AK308" s="106">
        <v>1</v>
      </c>
      <c r="AL308" s="105">
        <v>0</v>
      </c>
      <c r="AM308" s="106">
        <v>0</v>
      </c>
      <c r="AN308" s="106">
        <v>0</v>
      </c>
      <c r="AO308" s="106">
        <v>0</v>
      </c>
      <c r="AP308" s="106">
        <v>0</v>
      </c>
      <c r="AQ308" s="106">
        <v>0</v>
      </c>
      <c r="AR308" s="106">
        <v>0</v>
      </c>
      <c r="AS308" s="106">
        <v>0</v>
      </c>
      <c r="AT308" s="106">
        <v>0</v>
      </c>
      <c r="AU308" s="106">
        <v>0</v>
      </c>
      <c r="AV308" s="106">
        <v>0</v>
      </c>
      <c r="AW308" s="106">
        <v>0</v>
      </c>
      <c r="AX308" s="105">
        <v>0</v>
      </c>
      <c r="AY308" s="106">
        <v>0</v>
      </c>
      <c r="AZ308" s="106">
        <v>0</v>
      </c>
      <c r="BA308" s="106">
        <v>0</v>
      </c>
      <c r="BB308" s="106">
        <v>0</v>
      </c>
      <c r="BC308" s="106">
        <v>0</v>
      </c>
      <c r="BD308" s="106">
        <v>0</v>
      </c>
      <c r="BE308" s="106">
        <v>0</v>
      </c>
      <c r="BF308" s="106">
        <v>0</v>
      </c>
      <c r="BG308" s="106">
        <v>0</v>
      </c>
      <c r="BH308" s="106">
        <v>0</v>
      </c>
      <c r="BI308" s="106">
        <v>0</v>
      </c>
      <c r="BJ308" s="106">
        <v>0</v>
      </c>
      <c r="BK308" s="106">
        <v>0</v>
      </c>
      <c r="BL308" s="106">
        <v>0</v>
      </c>
      <c r="BM308" s="106">
        <v>0</v>
      </c>
      <c r="BN308" s="106">
        <v>0</v>
      </c>
      <c r="BO308" s="106">
        <v>0</v>
      </c>
      <c r="BP308" s="106">
        <v>0</v>
      </c>
      <c r="BQ308" s="106">
        <v>0</v>
      </c>
      <c r="BR308" s="106">
        <v>0</v>
      </c>
      <c r="BS308" s="106">
        <v>0</v>
      </c>
      <c r="BT308" s="106">
        <v>0</v>
      </c>
      <c r="BU308" s="106">
        <v>0</v>
      </c>
      <c r="BV308" s="106">
        <v>0</v>
      </c>
      <c r="BW308" s="106">
        <v>0</v>
      </c>
      <c r="BX308" s="106">
        <v>0</v>
      </c>
      <c r="BY308" s="106">
        <v>0</v>
      </c>
      <c r="BZ308" s="106">
        <v>0</v>
      </c>
      <c r="CA308" s="106">
        <v>0</v>
      </c>
      <c r="CB308" s="106">
        <v>0</v>
      </c>
      <c r="CC308" s="106">
        <v>0</v>
      </c>
      <c r="CD308" s="106">
        <v>0</v>
      </c>
      <c r="CE308" s="106">
        <v>0</v>
      </c>
      <c r="CF308" s="106">
        <v>0</v>
      </c>
      <c r="CG308" s="106">
        <v>0</v>
      </c>
      <c r="CH308" s="106">
        <v>0</v>
      </c>
      <c r="CI308" s="106">
        <v>0</v>
      </c>
      <c r="CJ308" s="106">
        <v>0</v>
      </c>
      <c r="CK308" s="106">
        <v>0</v>
      </c>
      <c r="CL308" s="106">
        <v>0</v>
      </c>
      <c r="CM308" s="106">
        <v>0</v>
      </c>
      <c r="CN308" s="106">
        <v>0</v>
      </c>
      <c r="CO308" s="106">
        <v>0</v>
      </c>
      <c r="CP308" s="106">
        <v>0</v>
      </c>
      <c r="CQ308" s="106">
        <v>0</v>
      </c>
      <c r="CR308" s="106">
        <v>0</v>
      </c>
      <c r="CS308" s="106">
        <v>0</v>
      </c>
      <c r="CT308" s="106">
        <v>0</v>
      </c>
      <c r="CU308" s="106">
        <v>0</v>
      </c>
      <c r="CV308" s="106">
        <v>0</v>
      </c>
      <c r="CW308" s="106">
        <v>0</v>
      </c>
      <c r="CX308" s="106">
        <v>0</v>
      </c>
      <c r="CY308" s="106">
        <v>0</v>
      </c>
      <c r="CZ308" s="106">
        <v>0</v>
      </c>
      <c r="DA308" s="106">
        <v>0</v>
      </c>
      <c r="DB308" s="106">
        <v>0</v>
      </c>
      <c r="DC308" s="106">
        <v>0</v>
      </c>
      <c r="DD308" s="106">
        <v>0</v>
      </c>
      <c r="DE308" s="106">
        <v>0</v>
      </c>
      <c r="DF308" s="106">
        <v>0</v>
      </c>
      <c r="DG308" s="106">
        <v>0</v>
      </c>
      <c r="DH308" s="106">
        <v>0</v>
      </c>
      <c r="DI308" s="106">
        <v>0</v>
      </c>
      <c r="DJ308" s="106">
        <v>0</v>
      </c>
      <c r="DK308" s="106">
        <v>0</v>
      </c>
      <c r="DL308" s="106">
        <v>0</v>
      </c>
      <c r="DM308" s="106">
        <v>0</v>
      </c>
      <c r="DN308" s="106">
        <v>0</v>
      </c>
      <c r="DO308" s="106">
        <v>0</v>
      </c>
      <c r="DP308" s="106">
        <v>0</v>
      </c>
      <c r="DQ308" s="106">
        <v>0</v>
      </c>
      <c r="DR308" s="106">
        <v>0</v>
      </c>
      <c r="DS308" s="106">
        <v>0</v>
      </c>
      <c r="DT308" s="106">
        <v>0</v>
      </c>
      <c r="DU308" s="106">
        <v>0</v>
      </c>
      <c r="DV308" s="106">
        <v>0</v>
      </c>
      <c r="DW308" s="106">
        <v>0</v>
      </c>
      <c r="DX308" s="106">
        <v>0</v>
      </c>
      <c r="DY308" s="106">
        <v>0</v>
      </c>
      <c r="DZ308" s="106">
        <v>0</v>
      </c>
      <c r="EA308" s="106">
        <v>0</v>
      </c>
      <c r="EB308" s="106">
        <v>0</v>
      </c>
      <c r="EC308" s="106">
        <v>0</v>
      </c>
      <c r="ED308" s="106">
        <v>0</v>
      </c>
      <c r="EE308" s="106">
        <v>0</v>
      </c>
      <c r="EF308" s="106">
        <v>0</v>
      </c>
      <c r="EG308" s="106">
        <v>0</v>
      </c>
      <c r="EH308" s="106">
        <v>0</v>
      </c>
      <c r="EI308" s="106">
        <v>0</v>
      </c>
      <c r="EJ308" s="106">
        <v>0</v>
      </c>
      <c r="EK308" s="106">
        <v>0</v>
      </c>
      <c r="EL308" s="106">
        <v>0</v>
      </c>
      <c r="EM308" s="106">
        <v>0</v>
      </c>
      <c r="EN308" s="106">
        <v>0</v>
      </c>
      <c r="EO308" s="106">
        <v>0</v>
      </c>
      <c r="EP308" s="106">
        <v>0</v>
      </c>
      <c r="EQ308" s="106">
        <v>0</v>
      </c>
      <c r="ER308" s="106">
        <v>0</v>
      </c>
      <c r="ES308" s="106">
        <v>0</v>
      </c>
      <c r="ET308" s="106">
        <v>0</v>
      </c>
      <c r="EU308" s="106">
        <v>0</v>
      </c>
      <c r="EV308" s="106">
        <v>0</v>
      </c>
      <c r="EW308" s="106">
        <v>0</v>
      </c>
      <c r="EX308" s="106">
        <v>0</v>
      </c>
      <c r="EY308" s="106">
        <v>0</v>
      </c>
      <c r="EZ308" s="106">
        <v>0</v>
      </c>
      <c r="FA308" s="106">
        <v>0</v>
      </c>
      <c r="FB308" s="106">
        <v>0</v>
      </c>
      <c r="FC308" s="106">
        <v>0</v>
      </c>
      <c r="FD308" s="106">
        <v>0</v>
      </c>
      <c r="FE308" s="106">
        <v>0</v>
      </c>
      <c r="FF308" s="106">
        <v>0</v>
      </c>
      <c r="FG308" s="106">
        <v>0</v>
      </c>
      <c r="FH308" s="106">
        <v>0</v>
      </c>
      <c r="FI308" s="106">
        <v>0</v>
      </c>
      <c r="FJ308" s="106">
        <v>0</v>
      </c>
      <c r="FK308" s="106">
        <v>0</v>
      </c>
      <c r="FL308" s="106">
        <v>0</v>
      </c>
      <c r="FM308" s="106">
        <v>0</v>
      </c>
      <c r="FN308" s="106">
        <v>0</v>
      </c>
      <c r="FO308" s="106">
        <v>0</v>
      </c>
      <c r="FP308" s="106">
        <v>0</v>
      </c>
      <c r="FQ308" s="106">
        <v>0</v>
      </c>
      <c r="FR308" s="106">
        <v>0</v>
      </c>
      <c r="FS308" s="106">
        <v>0</v>
      </c>
      <c r="FT308" s="106">
        <v>0</v>
      </c>
      <c r="FU308" s="106">
        <v>0</v>
      </c>
      <c r="FV308" s="106">
        <v>0</v>
      </c>
      <c r="FW308" s="106">
        <v>0</v>
      </c>
      <c r="FX308" s="106">
        <v>0</v>
      </c>
      <c r="FY308" s="106">
        <v>0</v>
      </c>
      <c r="FZ308" s="107"/>
    </row>
    <row r="309" spans="1:182" x14ac:dyDescent="0.2">
      <c r="A309" s="2" t="s">
        <v>234</v>
      </c>
      <c r="B309" s="57">
        <f>-SUM(B303:B304)*B308</f>
        <v>-5370.4377806183284</v>
      </c>
      <c r="C309" s="57">
        <f t="shared" ref="C309" si="5464">-SUM(C303:C304)*C308</f>
        <v>-5278.3019723895213</v>
      </c>
      <c r="D309" s="57">
        <f t="shared" ref="D309:BO309" si="5465">-SUM(D303:D304)*D308</f>
        <v>-5183.6289143304339</v>
      </c>
      <c r="E309" s="57">
        <f t="shared" si="5465"/>
        <v>-5086.3648849284573</v>
      </c>
      <c r="F309" s="57">
        <f t="shared" si="5465"/>
        <v>-4986.4552767157102</v>
      </c>
      <c r="G309" s="57">
        <f t="shared" si="5465"/>
        <v>-4883.8394693948912</v>
      </c>
      <c r="H309" s="57">
        <f t="shared" si="5465"/>
        <v>-4778.4657158966884</v>
      </c>
      <c r="I309" s="57">
        <f t="shared" si="5465"/>
        <v>-4670.2760173489833</v>
      </c>
      <c r="J309" s="57">
        <f t="shared" si="5465"/>
        <v>-4559.211195466688</v>
      </c>
      <c r="K309" s="57">
        <f t="shared" si="5465"/>
        <v>-4445.2108686649035</v>
      </c>
      <c r="L309" s="57">
        <f t="shared" si="5465"/>
        <v>-4328.2134277424948</v>
      </c>
      <c r="M309" s="57">
        <f t="shared" si="5465"/>
        <v>-4208.1560110184882</v>
      </c>
      <c r="N309" s="57">
        <f t="shared" si="5465"/>
        <v>-4084.9703521306983</v>
      </c>
      <c r="O309" s="57">
        <f t="shared" si="5465"/>
        <v>-3958.5557599692647</v>
      </c>
      <c r="P309" s="57">
        <f t="shared" si="5465"/>
        <v>-3828.8872610112644</v>
      </c>
      <c r="Q309" s="57">
        <f t="shared" si="5465"/>
        <v>-3695.8972246711191</v>
      </c>
      <c r="R309" s="57">
        <f t="shared" si="5465"/>
        <v>-3559.5162588363287</v>
      </c>
      <c r="S309" s="57">
        <f t="shared" si="5465"/>
        <v>-3419.673562567601</v>
      </c>
      <c r="T309" s="57">
        <f t="shared" si="5465"/>
        <v>-3276.2968975942572</v>
      </c>
      <c r="U309" s="57">
        <f t="shared" si="5465"/>
        <v>-3129.3125592244091</v>
      </c>
      <c r="V309" s="57">
        <f t="shared" si="5465"/>
        <v>-2978.6423149525663</v>
      </c>
      <c r="W309" s="57">
        <f t="shared" si="5465"/>
        <v>-2824.212778542626</v>
      </c>
      <c r="X309" s="57">
        <f t="shared" si="5465"/>
        <v>-2665.9456784129488</v>
      </c>
      <c r="Y309" s="57">
        <f t="shared" si="5465"/>
        <v>-2503.7611547654878</v>
      </c>
      <c r="Z309" s="57">
        <f t="shared" si="5465"/>
        <v>-2337.5777273318881</v>
      </c>
      <c r="AA309" s="57">
        <f t="shared" si="5465"/>
        <v>-2167.2905692694349</v>
      </c>
      <c r="AB309" s="57">
        <f t="shared" si="5465"/>
        <v>-1992.8395946927276</v>
      </c>
      <c r="AC309" s="57">
        <f t="shared" si="5465"/>
        <v>-1814.1388880217914</v>
      </c>
      <c r="AD309" s="57">
        <f t="shared" si="5465"/>
        <v>-1631.1002978134952</v>
      </c>
      <c r="AE309" s="57">
        <f t="shared" si="5465"/>
        <v>-1443.6324039408348</v>
      </c>
      <c r="AF309" s="57">
        <f t="shared" si="5465"/>
        <v>-1251.6453190016525</v>
      </c>
      <c r="AG309" s="57">
        <f t="shared" si="5465"/>
        <v>-1055.0454375894433</v>
      </c>
      <c r="AH309" s="57">
        <f t="shared" si="5465"/>
        <v>-853.73725751863628</v>
      </c>
      <c r="AI309" s="57">
        <f t="shared" si="5465"/>
        <v>-647.6233414465089</v>
      </c>
      <c r="AJ309" s="57">
        <f t="shared" si="5465"/>
        <v>-436.60427780285357</v>
      </c>
      <c r="AK309" s="57">
        <f t="shared" si="5465"/>
        <v>-220.57864089014799</v>
      </c>
      <c r="AL309" s="57">
        <f t="shared" si="5465"/>
        <v>0</v>
      </c>
      <c r="AM309" s="57">
        <f t="shared" si="5465"/>
        <v>0</v>
      </c>
      <c r="AN309" s="57">
        <f t="shared" si="5465"/>
        <v>0</v>
      </c>
      <c r="AO309" s="57">
        <f t="shared" si="5465"/>
        <v>0</v>
      </c>
      <c r="AP309" s="57">
        <f t="shared" si="5465"/>
        <v>0</v>
      </c>
      <c r="AQ309" s="57">
        <f t="shared" si="5465"/>
        <v>0</v>
      </c>
      <c r="AR309" s="57">
        <f t="shared" si="5465"/>
        <v>0</v>
      </c>
      <c r="AS309" s="57">
        <f t="shared" si="5465"/>
        <v>0</v>
      </c>
      <c r="AT309" s="57">
        <f t="shared" si="5465"/>
        <v>0</v>
      </c>
      <c r="AU309" s="57">
        <f t="shared" si="5465"/>
        <v>0</v>
      </c>
      <c r="AV309" s="57">
        <f t="shared" si="5465"/>
        <v>0</v>
      </c>
      <c r="AW309" s="57">
        <f t="shared" si="5465"/>
        <v>0</v>
      </c>
      <c r="AX309" s="57">
        <f t="shared" si="5465"/>
        <v>0</v>
      </c>
      <c r="AY309" s="57">
        <f t="shared" si="5465"/>
        <v>0</v>
      </c>
      <c r="AZ309" s="57">
        <f t="shared" si="5465"/>
        <v>0</v>
      </c>
      <c r="BA309" s="57">
        <f t="shared" si="5465"/>
        <v>0</v>
      </c>
      <c r="BB309" s="57">
        <f t="shared" si="5465"/>
        <v>0</v>
      </c>
      <c r="BC309" s="57">
        <f t="shared" si="5465"/>
        <v>0</v>
      </c>
      <c r="BD309" s="57">
        <f t="shared" si="5465"/>
        <v>0</v>
      </c>
      <c r="BE309" s="57">
        <f t="shared" si="5465"/>
        <v>0</v>
      </c>
      <c r="BF309" s="57">
        <f t="shared" si="5465"/>
        <v>0</v>
      </c>
      <c r="BG309" s="57">
        <f t="shared" si="5465"/>
        <v>0</v>
      </c>
      <c r="BH309" s="57">
        <f t="shared" si="5465"/>
        <v>0</v>
      </c>
      <c r="BI309" s="57">
        <f t="shared" si="5465"/>
        <v>0</v>
      </c>
      <c r="BJ309" s="57">
        <f t="shared" si="5465"/>
        <v>0</v>
      </c>
      <c r="BK309" s="57">
        <f t="shared" si="5465"/>
        <v>0</v>
      </c>
      <c r="BL309" s="57">
        <f t="shared" si="5465"/>
        <v>0</v>
      </c>
      <c r="BM309" s="57">
        <f t="shared" si="5465"/>
        <v>0</v>
      </c>
      <c r="BN309" s="57">
        <f t="shared" si="5465"/>
        <v>0</v>
      </c>
      <c r="BO309" s="57">
        <f t="shared" si="5465"/>
        <v>0</v>
      </c>
      <c r="BP309" s="57">
        <f t="shared" ref="BP309:EA309" si="5466">-SUM(BP303:BP304)*BP308</f>
        <v>0</v>
      </c>
      <c r="BQ309" s="57">
        <f t="shared" si="5466"/>
        <v>0</v>
      </c>
      <c r="BR309" s="57">
        <f t="shared" si="5466"/>
        <v>0</v>
      </c>
      <c r="BS309" s="57">
        <f t="shared" si="5466"/>
        <v>0</v>
      </c>
      <c r="BT309" s="57">
        <f t="shared" si="5466"/>
        <v>0</v>
      </c>
      <c r="BU309" s="57">
        <f t="shared" si="5466"/>
        <v>0</v>
      </c>
      <c r="BV309" s="57">
        <f t="shared" si="5466"/>
        <v>0</v>
      </c>
      <c r="BW309" s="57">
        <f t="shared" si="5466"/>
        <v>0</v>
      </c>
      <c r="BX309" s="57">
        <f t="shared" si="5466"/>
        <v>0</v>
      </c>
      <c r="BY309" s="57">
        <f t="shared" si="5466"/>
        <v>0</v>
      </c>
      <c r="BZ309" s="57">
        <f t="shared" si="5466"/>
        <v>0</v>
      </c>
      <c r="CA309" s="57">
        <f t="shared" si="5466"/>
        <v>0</v>
      </c>
      <c r="CB309" s="57">
        <f t="shared" si="5466"/>
        <v>0</v>
      </c>
      <c r="CC309" s="57">
        <f t="shared" si="5466"/>
        <v>0</v>
      </c>
      <c r="CD309" s="57">
        <f t="shared" si="5466"/>
        <v>0</v>
      </c>
      <c r="CE309" s="57">
        <f t="shared" si="5466"/>
        <v>0</v>
      </c>
      <c r="CF309" s="57">
        <f t="shared" si="5466"/>
        <v>0</v>
      </c>
      <c r="CG309" s="57">
        <f t="shared" si="5466"/>
        <v>0</v>
      </c>
      <c r="CH309" s="57">
        <f t="shared" si="5466"/>
        <v>0</v>
      </c>
      <c r="CI309" s="57">
        <f t="shared" si="5466"/>
        <v>0</v>
      </c>
      <c r="CJ309" s="57">
        <f t="shared" si="5466"/>
        <v>0</v>
      </c>
      <c r="CK309" s="57">
        <f t="shared" si="5466"/>
        <v>0</v>
      </c>
      <c r="CL309" s="57">
        <f t="shared" si="5466"/>
        <v>0</v>
      </c>
      <c r="CM309" s="57">
        <f t="shared" si="5466"/>
        <v>0</v>
      </c>
      <c r="CN309" s="57">
        <f t="shared" si="5466"/>
        <v>0</v>
      </c>
      <c r="CO309" s="57">
        <f t="shared" si="5466"/>
        <v>0</v>
      </c>
      <c r="CP309" s="57">
        <f t="shared" si="5466"/>
        <v>0</v>
      </c>
      <c r="CQ309" s="57">
        <f t="shared" si="5466"/>
        <v>0</v>
      </c>
      <c r="CR309" s="57">
        <f t="shared" si="5466"/>
        <v>0</v>
      </c>
      <c r="CS309" s="57">
        <f t="shared" si="5466"/>
        <v>0</v>
      </c>
      <c r="CT309" s="57">
        <f t="shared" si="5466"/>
        <v>0</v>
      </c>
      <c r="CU309" s="57">
        <f t="shared" si="5466"/>
        <v>0</v>
      </c>
      <c r="CV309" s="57">
        <f t="shared" si="5466"/>
        <v>0</v>
      </c>
      <c r="CW309" s="57">
        <f t="shared" si="5466"/>
        <v>0</v>
      </c>
      <c r="CX309" s="57">
        <f t="shared" si="5466"/>
        <v>0</v>
      </c>
      <c r="CY309" s="57">
        <f t="shared" si="5466"/>
        <v>0</v>
      </c>
      <c r="CZ309" s="57">
        <f t="shared" si="5466"/>
        <v>0</v>
      </c>
      <c r="DA309" s="57">
        <f t="shared" si="5466"/>
        <v>0</v>
      </c>
      <c r="DB309" s="57">
        <f t="shared" si="5466"/>
        <v>0</v>
      </c>
      <c r="DC309" s="57">
        <f t="shared" si="5466"/>
        <v>0</v>
      </c>
      <c r="DD309" s="57">
        <f t="shared" si="5466"/>
        <v>0</v>
      </c>
      <c r="DE309" s="57">
        <f t="shared" si="5466"/>
        <v>0</v>
      </c>
      <c r="DF309" s="57">
        <f t="shared" si="5466"/>
        <v>0</v>
      </c>
      <c r="DG309" s="57">
        <f t="shared" si="5466"/>
        <v>0</v>
      </c>
      <c r="DH309" s="57">
        <f t="shared" si="5466"/>
        <v>0</v>
      </c>
      <c r="DI309" s="57">
        <f t="shared" si="5466"/>
        <v>0</v>
      </c>
      <c r="DJ309" s="57">
        <f t="shared" si="5466"/>
        <v>0</v>
      </c>
      <c r="DK309" s="57">
        <f t="shared" si="5466"/>
        <v>0</v>
      </c>
      <c r="DL309" s="57">
        <f t="shared" si="5466"/>
        <v>0</v>
      </c>
      <c r="DM309" s="57">
        <f t="shared" si="5466"/>
        <v>0</v>
      </c>
      <c r="DN309" s="57">
        <f t="shared" si="5466"/>
        <v>0</v>
      </c>
      <c r="DO309" s="57">
        <f t="shared" si="5466"/>
        <v>0</v>
      </c>
      <c r="DP309" s="57">
        <f t="shared" si="5466"/>
        <v>0</v>
      </c>
      <c r="DQ309" s="57">
        <f t="shared" si="5466"/>
        <v>0</v>
      </c>
      <c r="DR309" s="57">
        <f t="shared" si="5466"/>
        <v>0</v>
      </c>
      <c r="DS309" s="57">
        <f t="shared" si="5466"/>
        <v>0</v>
      </c>
      <c r="DT309" s="57">
        <f t="shared" si="5466"/>
        <v>0</v>
      </c>
      <c r="DU309" s="57">
        <f t="shared" si="5466"/>
        <v>0</v>
      </c>
      <c r="DV309" s="57">
        <f t="shared" si="5466"/>
        <v>0</v>
      </c>
      <c r="DW309" s="57">
        <f t="shared" si="5466"/>
        <v>0</v>
      </c>
      <c r="DX309" s="57">
        <f t="shared" si="5466"/>
        <v>0</v>
      </c>
      <c r="DY309" s="57">
        <f t="shared" si="5466"/>
        <v>0</v>
      </c>
      <c r="DZ309" s="57">
        <f t="shared" si="5466"/>
        <v>0</v>
      </c>
      <c r="EA309" s="57">
        <f t="shared" si="5466"/>
        <v>0</v>
      </c>
      <c r="EB309" s="57">
        <f t="shared" ref="EB309:FY309" si="5467">-SUM(EB303:EB304)*EB308</f>
        <v>0</v>
      </c>
      <c r="EC309" s="57">
        <f t="shared" si="5467"/>
        <v>0</v>
      </c>
      <c r="ED309" s="57">
        <f t="shared" si="5467"/>
        <v>0</v>
      </c>
      <c r="EE309" s="57">
        <f t="shared" si="5467"/>
        <v>0</v>
      </c>
      <c r="EF309" s="57">
        <f t="shared" si="5467"/>
        <v>0</v>
      </c>
      <c r="EG309" s="57">
        <f t="shared" si="5467"/>
        <v>0</v>
      </c>
      <c r="EH309" s="57">
        <f t="shared" si="5467"/>
        <v>0</v>
      </c>
      <c r="EI309" s="57">
        <f t="shared" si="5467"/>
        <v>0</v>
      </c>
      <c r="EJ309" s="57">
        <f t="shared" si="5467"/>
        <v>0</v>
      </c>
      <c r="EK309" s="57">
        <f t="shared" si="5467"/>
        <v>0</v>
      </c>
      <c r="EL309" s="57">
        <f t="shared" si="5467"/>
        <v>0</v>
      </c>
      <c r="EM309" s="57">
        <f t="shared" si="5467"/>
        <v>0</v>
      </c>
      <c r="EN309" s="57">
        <f t="shared" si="5467"/>
        <v>0</v>
      </c>
      <c r="EO309" s="57">
        <f t="shared" si="5467"/>
        <v>0</v>
      </c>
      <c r="EP309" s="57">
        <f t="shared" si="5467"/>
        <v>0</v>
      </c>
      <c r="EQ309" s="57">
        <f t="shared" si="5467"/>
        <v>0</v>
      </c>
      <c r="ER309" s="57">
        <f t="shared" si="5467"/>
        <v>0</v>
      </c>
      <c r="ES309" s="57">
        <f t="shared" si="5467"/>
        <v>0</v>
      </c>
      <c r="ET309" s="57">
        <f t="shared" si="5467"/>
        <v>0</v>
      </c>
      <c r="EU309" s="57">
        <f t="shared" si="5467"/>
        <v>0</v>
      </c>
      <c r="EV309" s="57">
        <f t="shared" si="5467"/>
        <v>0</v>
      </c>
      <c r="EW309" s="57">
        <f t="shared" si="5467"/>
        <v>0</v>
      </c>
      <c r="EX309" s="57">
        <f t="shared" si="5467"/>
        <v>0</v>
      </c>
      <c r="EY309" s="57">
        <f t="shared" si="5467"/>
        <v>0</v>
      </c>
      <c r="EZ309" s="57">
        <f t="shared" si="5467"/>
        <v>0</v>
      </c>
      <c r="FA309" s="57">
        <f t="shared" si="5467"/>
        <v>0</v>
      </c>
      <c r="FB309" s="57">
        <f t="shared" si="5467"/>
        <v>0</v>
      </c>
      <c r="FC309" s="57">
        <f t="shared" si="5467"/>
        <v>0</v>
      </c>
      <c r="FD309" s="57">
        <f t="shared" si="5467"/>
        <v>0</v>
      </c>
      <c r="FE309" s="57">
        <f t="shared" si="5467"/>
        <v>0</v>
      </c>
      <c r="FF309" s="57">
        <f t="shared" si="5467"/>
        <v>0</v>
      </c>
      <c r="FG309" s="57">
        <f t="shared" si="5467"/>
        <v>0</v>
      </c>
      <c r="FH309" s="57">
        <f t="shared" si="5467"/>
        <v>0</v>
      </c>
      <c r="FI309" s="57">
        <f t="shared" si="5467"/>
        <v>0</v>
      </c>
      <c r="FJ309" s="57">
        <f t="shared" si="5467"/>
        <v>0</v>
      </c>
      <c r="FK309" s="57">
        <f t="shared" si="5467"/>
        <v>0</v>
      </c>
      <c r="FL309" s="57">
        <f t="shared" si="5467"/>
        <v>0</v>
      </c>
      <c r="FM309" s="57">
        <f t="shared" si="5467"/>
        <v>0</v>
      </c>
      <c r="FN309" s="57">
        <f t="shared" si="5467"/>
        <v>0</v>
      </c>
      <c r="FO309" s="57">
        <f t="shared" si="5467"/>
        <v>0</v>
      </c>
      <c r="FP309" s="57">
        <f t="shared" si="5467"/>
        <v>0</v>
      </c>
      <c r="FQ309" s="57">
        <f t="shared" si="5467"/>
        <v>0</v>
      </c>
      <c r="FR309" s="57">
        <f t="shared" si="5467"/>
        <v>0</v>
      </c>
      <c r="FS309" s="57">
        <f t="shared" si="5467"/>
        <v>0</v>
      </c>
      <c r="FT309" s="57">
        <f t="shared" si="5467"/>
        <v>0</v>
      </c>
      <c r="FU309" s="57">
        <f t="shared" si="5467"/>
        <v>0</v>
      </c>
      <c r="FV309" s="57">
        <f t="shared" si="5467"/>
        <v>0</v>
      </c>
      <c r="FW309" s="57">
        <f t="shared" si="5467"/>
        <v>0</v>
      </c>
      <c r="FX309" s="57">
        <f t="shared" si="5467"/>
        <v>0</v>
      </c>
      <c r="FY309" s="57">
        <f t="shared" si="5467"/>
        <v>0</v>
      </c>
      <c r="FZ309" s="59"/>
    </row>
    <row r="310" spans="1:182" x14ac:dyDescent="0.2">
      <c r="A310" s="94" t="s">
        <v>236</v>
      </c>
      <c r="B310" s="65">
        <f>-SUM(B31:FY31)/BEL!$E$5</f>
        <v>2555.5555555555557</v>
      </c>
      <c r="C310" s="65">
        <f>(C1&lt;=BEL!$E$5)*B310</f>
        <v>2555.5555555555557</v>
      </c>
      <c r="D310" s="65">
        <f>(D1&lt;=BEL!$E$5)*C310</f>
        <v>2555.5555555555557</v>
      </c>
      <c r="E310" s="65">
        <f>(E1&lt;=BEL!$E$5)*D310</f>
        <v>2555.5555555555557</v>
      </c>
      <c r="F310" s="65">
        <f>(F1&lt;=BEL!$E$5)*E310</f>
        <v>2555.5555555555557</v>
      </c>
      <c r="G310" s="65">
        <f>(G1&lt;=BEL!$E$5)*F310</f>
        <v>2555.5555555555557</v>
      </c>
      <c r="H310" s="65">
        <f>(H1&lt;=BEL!$E$5)*G310</f>
        <v>2555.5555555555557</v>
      </c>
      <c r="I310" s="65">
        <f>(I1&lt;=BEL!$E$5)*H310</f>
        <v>2555.5555555555557</v>
      </c>
      <c r="J310" s="65">
        <f>(J1&lt;=BEL!$E$5)*I310</f>
        <v>2555.5555555555557</v>
      </c>
      <c r="K310" s="65">
        <f>(K1&lt;=BEL!$E$5)*J310</f>
        <v>2555.5555555555557</v>
      </c>
      <c r="L310" s="65">
        <f>(L1&lt;=BEL!$E$5)*K310</f>
        <v>2555.5555555555557</v>
      </c>
      <c r="M310" s="65">
        <f>(M1&lt;=BEL!$E$5)*L310</f>
        <v>2555.5555555555557</v>
      </c>
      <c r="N310" s="65">
        <f>(N1&lt;=BEL!$E$5)*M310</f>
        <v>2555.5555555555557</v>
      </c>
      <c r="O310" s="65">
        <f>(O1&lt;=BEL!$E$5)*N310</f>
        <v>2555.5555555555557</v>
      </c>
      <c r="P310" s="65">
        <f>(P1&lt;=BEL!$E$5)*O310</f>
        <v>2555.5555555555557</v>
      </c>
      <c r="Q310" s="65">
        <f>(Q1&lt;=BEL!$E$5)*P310</f>
        <v>2555.5555555555557</v>
      </c>
      <c r="R310" s="65">
        <f>(R1&lt;=BEL!$E$5)*Q310</f>
        <v>2555.5555555555557</v>
      </c>
      <c r="S310" s="65">
        <f>(S1&lt;=BEL!$E$5)*R310</f>
        <v>2555.5555555555557</v>
      </c>
      <c r="T310" s="65">
        <f>(T1&lt;=BEL!$E$5)*S310</f>
        <v>2555.5555555555557</v>
      </c>
      <c r="U310" s="65">
        <f>(U1&lt;=BEL!$E$5)*T310</f>
        <v>2555.5555555555557</v>
      </c>
      <c r="V310" s="65">
        <f>(V1&lt;=BEL!$E$5)*U310</f>
        <v>2555.5555555555557</v>
      </c>
      <c r="W310" s="65">
        <f>(W1&lt;=BEL!$E$5)*V310</f>
        <v>2555.5555555555557</v>
      </c>
      <c r="X310" s="65">
        <f>(X1&lt;=BEL!$E$5)*W310</f>
        <v>2555.5555555555557</v>
      </c>
      <c r="Y310" s="65">
        <f>(Y1&lt;=BEL!$E$5)*X310</f>
        <v>2555.5555555555557</v>
      </c>
      <c r="Z310" s="65">
        <f>(Z1&lt;=BEL!$E$5)*Y310</f>
        <v>2555.5555555555557</v>
      </c>
      <c r="AA310" s="65">
        <f>(AA1&lt;=BEL!$E$5)*Z310</f>
        <v>2555.5555555555557</v>
      </c>
      <c r="AB310" s="65">
        <f>(AB1&lt;=BEL!$E$5)*AA310</f>
        <v>2555.5555555555557</v>
      </c>
      <c r="AC310" s="65">
        <f>(AC1&lt;=BEL!$E$5)*AB310</f>
        <v>2555.5555555555557</v>
      </c>
      <c r="AD310" s="65">
        <f>(AD1&lt;=BEL!$E$5)*AC310</f>
        <v>2555.5555555555557</v>
      </c>
      <c r="AE310" s="65">
        <f>(AE1&lt;=BEL!$E$5)*AD310</f>
        <v>2555.5555555555557</v>
      </c>
      <c r="AF310" s="65">
        <f>(AF1&lt;=BEL!$E$5)*AE310</f>
        <v>2555.5555555555557</v>
      </c>
      <c r="AG310" s="65">
        <f>(AG1&lt;=BEL!$E$5)*AF310</f>
        <v>2555.5555555555557</v>
      </c>
      <c r="AH310" s="65">
        <f>(AH1&lt;=BEL!$E$5)*AG310</f>
        <v>2555.5555555555557</v>
      </c>
      <c r="AI310" s="65">
        <f>(AI1&lt;=BEL!$E$5)*AH310</f>
        <v>2555.5555555555557</v>
      </c>
      <c r="AJ310" s="65">
        <f>(AJ1&lt;=BEL!$E$5)*AI310</f>
        <v>2555.5555555555557</v>
      </c>
      <c r="AK310" s="65">
        <f>(AK1&lt;=BEL!$E$5)*AJ310</f>
        <v>2555.5555555555557</v>
      </c>
      <c r="AL310" s="65">
        <f>(AL1&lt;=BEL!$E$5)*AK310</f>
        <v>0</v>
      </c>
      <c r="AM310" s="65">
        <f>(AM1&lt;=BEL!$E$5)*AL310</f>
        <v>0</v>
      </c>
      <c r="AN310" s="65">
        <f>(AN1&lt;=BEL!$E$5)*AM310</f>
        <v>0</v>
      </c>
      <c r="AO310" s="65">
        <f>(AO1&lt;=BEL!$E$5)*AN310</f>
        <v>0</v>
      </c>
      <c r="AP310" s="65">
        <f>(AP1&lt;=BEL!$E$5)*AO310</f>
        <v>0</v>
      </c>
      <c r="AQ310" s="65">
        <f>(AQ1&lt;=BEL!$E$5)*AP310</f>
        <v>0</v>
      </c>
      <c r="AR310" s="65">
        <f>(AR1&lt;=BEL!$E$5)*AQ310</f>
        <v>0</v>
      </c>
      <c r="AS310" s="65">
        <f>(AS1&lt;=BEL!$E$5)*AR310</f>
        <v>0</v>
      </c>
      <c r="AT310" s="65">
        <f>(AT1&lt;=BEL!$E$5)*AS310</f>
        <v>0</v>
      </c>
      <c r="AU310" s="65">
        <f>(AU1&lt;=BEL!$E$5)*AT310</f>
        <v>0</v>
      </c>
      <c r="AV310" s="65">
        <f>(AV1&lt;=BEL!$E$5)*AU310</f>
        <v>0</v>
      </c>
      <c r="AW310" s="65">
        <f>(AW1&lt;=BEL!$E$5)*AV310</f>
        <v>0</v>
      </c>
      <c r="AX310" s="65">
        <f>(AX1&lt;=BEL!$E$5)*AW310</f>
        <v>0</v>
      </c>
      <c r="AY310" s="65">
        <f>(AY1&lt;=BEL!$E$5)*AX310</f>
        <v>0</v>
      </c>
      <c r="AZ310" s="65">
        <f>(AZ1&lt;=BEL!$E$5)*AY310</f>
        <v>0</v>
      </c>
      <c r="BA310" s="65">
        <f>(BA1&lt;=BEL!$E$5)*AZ310</f>
        <v>0</v>
      </c>
      <c r="BB310" s="65">
        <f>(BB1&lt;=BEL!$E$5)*BA310</f>
        <v>0</v>
      </c>
      <c r="BC310" s="65">
        <f>(BC1&lt;=BEL!$E$5)*BB310</f>
        <v>0</v>
      </c>
      <c r="BD310" s="65">
        <f>(BD1&lt;=BEL!$E$5)*BC310</f>
        <v>0</v>
      </c>
      <c r="BE310" s="65">
        <f>(BE1&lt;=BEL!$E$5)*BD310</f>
        <v>0</v>
      </c>
      <c r="BF310" s="65">
        <f>(BF1&lt;=BEL!$E$5)*BE310</f>
        <v>0</v>
      </c>
      <c r="BG310" s="65">
        <f>(BG1&lt;=BEL!$E$5)*BF310</f>
        <v>0</v>
      </c>
      <c r="BH310" s="65">
        <f>(BH1&lt;=BEL!$E$5)*BG310</f>
        <v>0</v>
      </c>
      <c r="BI310" s="65">
        <f>(BI1&lt;=BEL!$E$5)*BH310</f>
        <v>0</v>
      </c>
      <c r="BJ310" s="65">
        <f>(BJ1&lt;=BEL!$E$5)*BI310</f>
        <v>0</v>
      </c>
      <c r="BK310" s="65">
        <f>(BK1&lt;=BEL!$E$5)*BJ310</f>
        <v>0</v>
      </c>
      <c r="BL310" s="65">
        <f>(BL1&lt;=BEL!$E$5)*BK310</f>
        <v>0</v>
      </c>
      <c r="BM310" s="65">
        <f>(BM1&lt;=BEL!$E$5)*BL310</f>
        <v>0</v>
      </c>
      <c r="BN310" s="65">
        <f>(BN1&lt;=BEL!$E$5)*BM310</f>
        <v>0</v>
      </c>
      <c r="BO310" s="65">
        <f>(BO1&lt;=BEL!$E$5)*BN310</f>
        <v>0</v>
      </c>
      <c r="BP310" s="65">
        <f>(BP1&lt;=BEL!$E$5)*BO310</f>
        <v>0</v>
      </c>
      <c r="BQ310" s="65">
        <f>(BQ1&lt;=BEL!$E$5)*BP310</f>
        <v>0</v>
      </c>
      <c r="BR310" s="65">
        <f>(BR1&lt;=BEL!$E$5)*BQ310</f>
        <v>0</v>
      </c>
      <c r="BS310" s="65">
        <f>(BS1&lt;=BEL!$E$5)*BR310</f>
        <v>0</v>
      </c>
      <c r="BT310" s="65">
        <f>(BT1&lt;=BEL!$E$5)*BS310</f>
        <v>0</v>
      </c>
      <c r="BU310" s="65">
        <f>(BU1&lt;=BEL!$E$5)*BT310</f>
        <v>0</v>
      </c>
      <c r="BV310" s="65">
        <f>(BV1&lt;=BEL!$E$5)*BU310</f>
        <v>0</v>
      </c>
      <c r="BW310" s="65">
        <f>(BW1&lt;=BEL!$E$5)*BV310</f>
        <v>0</v>
      </c>
      <c r="BX310" s="65">
        <f>(BX1&lt;=BEL!$E$5)*BW310</f>
        <v>0</v>
      </c>
      <c r="BY310" s="65">
        <f>(BY1&lt;=BEL!$E$5)*BX310</f>
        <v>0</v>
      </c>
      <c r="BZ310" s="65">
        <f>(BZ1&lt;=BEL!$E$5)*BY310</f>
        <v>0</v>
      </c>
      <c r="CA310" s="65">
        <f>(CA1&lt;=BEL!$E$5)*BZ310</f>
        <v>0</v>
      </c>
      <c r="CB310" s="65">
        <f>(CB1&lt;=BEL!$E$5)*CA310</f>
        <v>0</v>
      </c>
      <c r="CC310" s="65">
        <f>(CC1&lt;=BEL!$E$5)*CB310</f>
        <v>0</v>
      </c>
      <c r="CD310" s="65">
        <f>(CD1&lt;=BEL!$E$5)*CC310</f>
        <v>0</v>
      </c>
      <c r="CE310" s="65">
        <f>(CE1&lt;=BEL!$E$5)*CD310</f>
        <v>0</v>
      </c>
      <c r="CF310" s="65">
        <f>(CF1&lt;=BEL!$E$5)*CE310</f>
        <v>0</v>
      </c>
      <c r="CG310" s="65">
        <f>(CG1&lt;=BEL!$E$5)*CF310</f>
        <v>0</v>
      </c>
      <c r="CH310" s="65">
        <f>(CH1&lt;=BEL!$E$5)*CG310</f>
        <v>0</v>
      </c>
      <c r="CI310" s="65">
        <f>(CI1&lt;=BEL!$E$5)*CH310</f>
        <v>0</v>
      </c>
      <c r="CJ310" s="65">
        <f>(CJ1&lt;=BEL!$E$5)*CI310</f>
        <v>0</v>
      </c>
      <c r="CK310" s="65">
        <f>(CK1&lt;=BEL!$E$5)*CJ310</f>
        <v>0</v>
      </c>
      <c r="CL310" s="65">
        <f>(CL1&lt;=BEL!$E$5)*CK310</f>
        <v>0</v>
      </c>
      <c r="CM310" s="65">
        <f>(CM1&lt;=BEL!$E$5)*CL310</f>
        <v>0</v>
      </c>
      <c r="CN310" s="65">
        <f>(CN1&lt;=BEL!$E$5)*CM310</f>
        <v>0</v>
      </c>
      <c r="CO310" s="65">
        <f>(CO1&lt;=BEL!$E$5)*CN310</f>
        <v>0</v>
      </c>
      <c r="CP310" s="65">
        <f>(CP1&lt;=BEL!$E$5)*CO310</f>
        <v>0</v>
      </c>
      <c r="CQ310" s="65">
        <f>(CQ1&lt;=BEL!$E$5)*CP310</f>
        <v>0</v>
      </c>
      <c r="CR310" s="65">
        <f>(CR1&lt;=BEL!$E$5)*CQ310</f>
        <v>0</v>
      </c>
      <c r="CS310" s="65">
        <f>(CS1&lt;=BEL!$E$5)*CR310</f>
        <v>0</v>
      </c>
      <c r="CT310" s="65">
        <f>(CT1&lt;=BEL!$E$5)*CS310</f>
        <v>0</v>
      </c>
      <c r="CU310" s="65">
        <f>(CU1&lt;=BEL!$E$5)*CT310</f>
        <v>0</v>
      </c>
      <c r="CV310" s="65">
        <f>(CV1&lt;=BEL!$E$5)*CU310</f>
        <v>0</v>
      </c>
      <c r="CW310" s="65">
        <f>(CW1&lt;=BEL!$E$5)*CV310</f>
        <v>0</v>
      </c>
      <c r="CX310" s="65">
        <f>(CX1&lt;=BEL!$E$5)*CW310</f>
        <v>0</v>
      </c>
      <c r="CY310" s="65">
        <f>(CY1&lt;=BEL!$E$5)*CX310</f>
        <v>0</v>
      </c>
      <c r="CZ310" s="65">
        <f>(CZ1&lt;=BEL!$E$5)*CY310</f>
        <v>0</v>
      </c>
      <c r="DA310" s="65">
        <f>(DA1&lt;=BEL!$E$5)*CZ310</f>
        <v>0</v>
      </c>
      <c r="DB310" s="65">
        <f>(DB1&lt;=BEL!$E$5)*DA310</f>
        <v>0</v>
      </c>
      <c r="DC310" s="65">
        <f>(DC1&lt;=BEL!$E$5)*DB310</f>
        <v>0</v>
      </c>
      <c r="DD310" s="65">
        <f>(DD1&lt;=BEL!$E$5)*DC310</f>
        <v>0</v>
      </c>
      <c r="DE310" s="65">
        <f>(DE1&lt;=BEL!$E$5)*DD310</f>
        <v>0</v>
      </c>
      <c r="DF310" s="65">
        <f>(DF1&lt;=BEL!$E$5)*DE310</f>
        <v>0</v>
      </c>
      <c r="DG310" s="65">
        <f>(DG1&lt;=BEL!$E$5)*DF310</f>
        <v>0</v>
      </c>
      <c r="DH310" s="65">
        <f>(DH1&lt;=BEL!$E$5)*DG310</f>
        <v>0</v>
      </c>
      <c r="DI310" s="65">
        <f>(DI1&lt;=BEL!$E$5)*DH310</f>
        <v>0</v>
      </c>
      <c r="DJ310" s="65">
        <f>(DJ1&lt;=BEL!$E$5)*DI310</f>
        <v>0</v>
      </c>
      <c r="DK310" s="65">
        <f>(DK1&lt;=BEL!$E$5)*DJ310</f>
        <v>0</v>
      </c>
      <c r="DL310" s="65">
        <f>(DL1&lt;=BEL!$E$5)*DK310</f>
        <v>0</v>
      </c>
      <c r="DM310" s="65">
        <f>(DM1&lt;=BEL!$E$5)*DL310</f>
        <v>0</v>
      </c>
      <c r="DN310" s="65">
        <f>(DN1&lt;=BEL!$E$5)*DM310</f>
        <v>0</v>
      </c>
      <c r="DO310" s="65">
        <f>(DO1&lt;=BEL!$E$5)*DN310</f>
        <v>0</v>
      </c>
      <c r="DP310" s="65">
        <f>(DP1&lt;=BEL!$E$5)*DO310</f>
        <v>0</v>
      </c>
      <c r="DQ310" s="65">
        <f>(DQ1&lt;=BEL!$E$5)*DP310</f>
        <v>0</v>
      </c>
      <c r="DR310" s="65">
        <f>(DR1&lt;=BEL!$E$5)*DQ310</f>
        <v>0</v>
      </c>
      <c r="DS310" s="65">
        <f>(DS1&lt;=BEL!$E$5)*DR310</f>
        <v>0</v>
      </c>
      <c r="DT310" s="65">
        <f>(DT1&lt;=BEL!$E$5)*DS310</f>
        <v>0</v>
      </c>
      <c r="DU310" s="65">
        <f>(DU1&lt;=BEL!$E$5)*DT310</f>
        <v>0</v>
      </c>
      <c r="DV310" s="65">
        <f>(DV1&lt;=BEL!$E$5)*DU310</f>
        <v>0</v>
      </c>
      <c r="DW310" s="65">
        <f>(DW1&lt;=BEL!$E$5)*DV310</f>
        <v>0</v>
      </c>
      <c r="DX310" s="65">
        <f>(DX1&lt;=BEL!$E$5)*DW310</f>
        <v>0</v>
      </c>
      <c r="DY310" s="65">
        <f>(DY1&lt;=BEL!$E$5)*DX310</f>
        <v>0</v>
      </c>
      <c r="DZ310" s="65">
        <f>(DZ1&lt;=BEL!$E$5)*DY310</f>
        <v>0</v>
      </c>
      <c r="EA310" s="65">
        <f>(EA1&lt;=BEL!$E$5)*DZ310</f>
        <v>0</v>
      </c>
      <c r="EB310" s="65">
        <f>(EB1&lt;=BEL!$E$5)*EA310</f>
        <v>0</v>
      </c>
      <c r="EC310" s="65">
        <f>(EC1&lt;=BEL!$E$5)*EB310</f>
        <v>0</v>
      </c>
      <c r="ED310" s="65">
        <f>(ED1&lt;=BEL!$E$5)*EC310</f>
        <v>0</v>
      </c>
      <c r="EE310" s="65">
        <f>(EE1&lt;=BEL!$E$5)*ED310</f>
        <v>0</v>
      </c>
      <c r="EF310" s="65">
        <f>(EF1&lt;=BEL!$E$5)*EE310</f>
        <v>0</v>
      </c>
      <c r="EG310" s="65">
        <f>(EG1&lt;=BEL!$E$5)*EF310</f>
        <v>0</v>
      </c>
      <c r="EH310" s="65">
        <f>(EH1&lt;=BEL!$E$5)*EG310</f>
        <v>0</v>
      </c>
      <c r="EI310" s="65">
        <f>(EI1&lt;=BEL!$E$5)*EH310</f>
        <v>0</v>
      </c>
      <c r="EJ310" s="65">
        <f>(EJ1&lt;=BEL!$E$5)*EI310</f>
        <v>0</v>
      </c>
      <c r="EK310" s="65">
        <f>(EK1&lt;=BEL!$E$5)*EJ310</f>
        <v>0</v>
      </c>
      <c r="EL310" s="65">
        <f>(EL1&lt;=BEL!$E$5)*EK310</f>
        <v>0</v>
      </c>
      <c r="EM310" s="65">
        <f>(EM1&lt;=BEL!$E$5)*EL310</f>
        <v>0</v>
      </c>
      <c r="EN310" s="65">
        <f>(EN1&lt;=BEL!$E$5)*EM310</f>
        <v>0</v>
      </c>
      <c r="EO310" s="65">
        <f>(EO1&lt;=BEL!$E$5)*EN310</f>
        <v>0</v>
      </c>
      <c r="EP310" s="65">
        <f>(EP1&lt;=BEL!$E$5)*EO310</f>
        <v>0</v>
      </c>
      <c r="EQ310" s="65">
        <f>(EQ1&lt;=BEL!$E$5)*EP310</f>
        <v>0</v>
      </c>
      <c r="ER310" s="65">
        <f>(ER1&lt;=BEL!$E$5)*EQ310</f>
        <v>0</v>
      </c>
      <c r="ES310" s="65">
        <f>(ES1&lt;=BEL!$E$5)*ER310</f>
        <v>0</v>
      </c>
      <c r="ET310" s="65">
        <f>(ET1&lt;=BEL!$E$5)*ES310</f>
        <v>0</v>
      </c>
      <c r="EU310" s="65">
        <f>(EU1&lt;=BEL!$E$5)*ET310</f>
        <v>0</v>
      </c>
      <c r="EV310" s="65">
        <f>(EV1&lt;=BEL!$E$5)*EU310</f>
        <v>0</v>
      </c>
      <c r="EW310" s="65">
        <f>(EW1&lt;=BEL!$E$5)*EV310</f>
        <v>0</v>
      </c>
      <c r="EX310" s="65">
        <f>(EX1&lt;=BEL!$E$5)*EW310</f>
        <v>0</v>
      </c>
      <c r="EY310" s="65">
        <f>(EY1&lt;=BEL!$E$5)*EX310</f>
        <v>0</v>
      </c>
      <c r="EZ310" s="65">
        <f>(EZ1&lt;=BEL!$E$5)*EY310</f>
        <v>0</v>
      </c>
      <c r="FA310" s="65">
        <f>(FA1&lt;=BEL!$E$5)*EZ310</f>
        <v>0</v>
      </c>
      <c r="FB310" s="65">
        <f>(FB1&lt;=BEL!$E$5)*FA310</f>
        <v>0</v>
      </c>
      <c r="FC310" s="65">
        <f>(FC1&lt;=BEL!$E$5)*FB310</f>
        <v>0</v>
      </c>
      <c r="FD310" s="65">
        <f>(FD1&lt;=BEL!$E$5)*FC310</f>
        <v>0</v>
      </c>
      <c r="FE310" s="65">
        <f>(FE1&lt;=BEL!$E$5)*FD310</f>
        <v>0</v>
      </c>
      <c r="FF310" s="65">
        <f>(FF1&lt;=BEL!$E$5)*FE310</f>
        <v>0</v>
      </c>
      <c r="FG310" s="65">
        <f>(FG1&lt;=BEL!$E$5)*FF310</f>
        <v>0</v>
      </c>
      <c r="FH310" s="65">
        <f>(FH1&lt;=BEL!$E$5)*FG310</f>
        <v>0</v>
      </c>
      <c r="FI310" s="65">
        <f>(FI1&lt;=BEL!$E$5)*FH310</f>
        <v>0</v>
      </c>
      <c r="FJ310" s="65">
        <f>(FJ1&lt;=BEL!$E$5)*FI310</f>
        <v>0</v>
      </c>
      <c r="FK310" s="65">
        <f>(FK1&lt;=BEL!$E$5)*FJ310</f>
        <v>0</v>
      </c>
      <c r="FL310" s="65">
        <f>(FL1&lt;=BEL!$E$5)*FK310</f>
        <v>0</v>
      </c>
      <c r="FM310" s="65">
        <f>(FM1&lt;=BEL!$E$5)*FL310</f>
        <v>0</v>
      </c>
      <c r="FN310" s="65">
        <f>(FN1&lt;=BEL!$E$5)*FM310</f>
        <v>0</v>
      </c>
      <c r="FO310" s="65">
        <f>(FO1&lt;=BEL!$E$5)*FN310</f>
        <v>0</v>
      </c>
      <c r="FP310" s="65">
        <f>(FP1&lt;=BEL!$E$5)*FO310</f>
        <v>0</v>
      </c>
      <c r="FQ310" s="65">
        <f>(FQ1&lt;=BEL!$E$5)*FP310</f>
        <v>0</v>
      </c>
      <c r="FR310" s="65">
        <f>(FR1&lt;=BEL!$E$5)*FQ310</f>
        <v>0</v>
      </c>
      <c r="FS310" s="65">
        <f>(FS1&lt;=BEL!$E$5)*FR310</f>
        <v>0</v>
      </c>
      <c r="FT310" s="65">
        <f>(FT1&lt;=BEL!$E$5)*FS310</f>
        <v>0</v>
      </c>
      <c r="FU310" s="65">
        <f>(FU1&lt;=BEL!$E$5)*FT310</f>
        <v>0</v>
      </c>
      <c r="FV310" s="65">
        <f>(FV1&lt;=BEL!$E$5)*FU310</f>
        <v>0</v>
      </c>
      <c r="FW310" s="65">
        <f>(FW1&lt;=BEL!$E$5)*FV310</f>
        <v>0</v>
      </c>
      <c r="FX310" s="65">
        <f>(FX1&lt;=BEL!$E$5)*FW310</f>
        <v>0</v>
      </c>
      <c r="FY310" s="65">
        <f>(FY1&lt;=BEL!$E$5)*FX310</f>
        <v>0</v>
      </c>
      <c r="FZ310" s="59"/>
    </row>
    <row r="311" spans="1:182" x14ac:dyDescent="0.2">
      <c r="B311" s="108"/>
      <c r="N311" s="69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r="312" spans="1:182" s="109" customFormat="1" x14ac:dyDescent="0.2">
      <c r="A312" s="109" t="s">
        <v>237</v>
      </c>
      <c r="B312" s="110">
        <v>0</v>
      </c>
      <c r="C312" s="111"/>
      <c r="D312" s="111"/>
      <c r="E312" s="111"/>
      <c r="F312" s="111"/>
      <c r="G312" s="111"/>
      <c r="H312" s="111"/>
      <c r="I312" s="111"/>
      <c r="J312" s="111"/>
      <c r="K312" s="111"/>
      <c r="L312" s="111"/>
      <c r="M312" s="111"/>
      <c r="N312" s="112"/>
      <c r="Z312" s="112"/>
      <c r="AL312" s="112"/>
      <c r="AX312" s="112"/>
    </row>
    <row r="313" spans="1:182" s="109" customFormat="1" x14ac:dyDescent="0.2">
      <c r="A313" s="109" t="s">
        <v>238</v>
      </c>
      <c r="B313" s="110">
        <v>0</v>
      </c>
      <c r="C313" s="111"/>
      <c r="D313" s="111"/>
      <c r="E313" s="111"/>
      <c r="F313" s="111"/>
      <c r="G313" s="111"/>
      <c r="H313" s="111"/>
      <c r="I313" s="111"/>
      <c r="J313" s="111"/>
      <c r="K313" s="111"/>
      <c r="L313" s="111"/>
      <c r="M313" s="111"/>
      <c r="N313" s="112"/>
      <c r="Z313" s="112"/>
      <c r="AL313" s="112"/>
      <c r="AX313" s="112"/>
    </row>
    <row r="314" spans="1:182" x14ac:dyDescent="0.2">
      <c r="B314" s="69"/>
      <c r="N314" s="69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r="316" spans="1:182" x14ac:dyDescent="0.2">
      <c r="A316" s="2" t="s">
        <v>240</v>
      </c>
      <c r="B316" s="57">
        <f>B303+B304+B309+B312+B313+B317</f>
        <v>102236.47996406778</v>
      </c>
      <c r="C316" s="57">
        <f t="shared" ref="C316" si="5468">C303+C304+C309+C312+C313+C317</f>
        <v>97404.797626515909</v>
      </c>
      <c r="D316" s="57">
        <f t="shared" ref="D316:BO316" si="5469">D303+D304+D309+D312+D313+D317</f>
        <v>92646.681162953333</v>
      </c>
      <c r="E316" s="57">
        <f t="shared" si="5469"/>
        <v>87965.042916935578</v>
      </c>
      <c r="F316" s="57">
        <f t="shared" si="5469"/>
        <v>83362.862562046663</v>
      </c>
      <c r="G316" s="57">
        <f t="shared" si="5469"/>
        <v>78843.19340885953</v>
      </c>
      <c r="H316" s="57">
        <f t="shared" si="5469"/>
        <v>74409.153853390846</v>
      </c>
      <c r="I316" s="57">
        <f t="shared" si="5469"/>
        <v>70063.933913229383</v>
      </c>
      <c r="J316" s="57">
        <f t="shared" si="5469"/>
        <v>65810.796719827456</v>
      </c>
      <c r="K316" s="57">
        <f t="shared" si="5469"/>
        <v>61653.080041198395</v>
      </c>
      <c r="L316" s="57">
        <f t="shared" si="5469"/>
        <v>57594.197835582236</v>
      </c>
      <c r="M316" s="57">
        <f t="shared" si="5469"/>
        <v>53637.64183676229</v>
      </c>
      <c r="N316" s="57">
        <f t="shared" si="5469"/>
        <v>49786.987298508466</v>
      </c>
      <c r="O316" s="57">
        <f t="shared" si="5469"/>
        <v>46045.925784181672</v>
      </c>
      <c r="P316" s="57">
        <f t="shared" si="5469"/>
        <v>42418.189957244824</v>
      </c>
      <c r="Q316" s="57">
        <f t="shared" si="5469"/>
        <v>38907.596417871137</v>
      </c>
      <c r="R316" s="57">
        <f t="shared" si="5469"/>
        <v>35518.0478311482</v>
      </c>
      <c r="S316" s="57">
        <f t="shared" si="5469"/>
        <v>32253.534711879009</v>
      </c>
      <c r="T316" s="57">
        <f t="shared" si="5469"/>
        <v>29118.13724568444</v>
      </c>
      <c r="U316" s="57">
        <f t="shared" si="5469"/>
        <v>26116.027147151075</v>
      </c>
      <c r="V316" s="57">
        <f t="shared" si="5469"/>
        <v>23251.472587488697</v>
      </c>
      <c r="W316" s="57">
        <f t="shared" si="5469"/>
        <v>20528.833769631256</v>
      </c>
      <c r="X316" s="57">
        <f t="shared" si="5469"/>
        <v>17952.56821562261</v>
      </c>
      <c r="Y316" s="57">
        <f t="shared" si="5469"/>
        <v>15527.232779971055</v>
      </c>
      <c r="Z316" s="57">
        <f t="shared" si="5469"/>
        <v>13257.485704053095</v>
      </c>
      <c r="AA316" s="57">
        <f t="shared" si="5469"/>
        <v>11148.110405595904</v>
      </c>
      <c r="AB316" s="57">
        <f t="shared" si="5469"/>
        <v>9203.9712845523754</v>
      </c>
      <c r="AC316" s="57">
        <f t="shared" si="5469"/>
        <v>7430.0399065662168</v>
      </c>
      <c r="AD316" s="57">
        <f t="shared" si="5469"/>
        <v>5831.3977069879711</v>
      </c>
      <c r="AE316" s="57">
        <f t="shared" si="5469"/>
        <v>4413.2397395242479</v>
      </c>
      <c r="AF316" s="57">
        <f t="shared" si="5469"/>
        <v>3180.8736398541887</v>
      </c>
      <c r="AG316" s="57">
        <f t="shared" si="5469"/>
        <v>2139.7238354476922</v>
      </c>
      <c r="AH316" s="57">
        <f t="shared" si="5469"/>
        <v>1295.3339525489268</v>
      </c>
      <c r="AI316" s="57">
        <f t="shared" si="5469"/>
        <v>653.3692720528295</v>
      </c>
      <c r="AJ316" s="57">
        <f t="shared" si="5469"/>
        <v>219.61923518042403</v>
      </c>
      <c r="AK316" s="57">
        <f t="shared" si="5469"/>
        <v>0</v>
      </c>
      <c r="AL316" s="57">
        <f t="shared" si="5469"/>
        <v>0</v>
      </c>
      <c r="AM316" s="57">
        <f t="shared" si="5469"/>
        <v>0</v>
      </c>
      <c r="AN316" s="57">
        <f t="shared" si="5469"/>
        <v>0</v>
      </c>
      <c r="AO316" s="57">
        <f t="shared" si="5469"/>
        <v>0</v>
      </c>
      <c r="AP316" s="57">
        <f t="shared" si="5469"/>
        <v>0</v>
      </c>
      <c r="AQ316" s="57">
        <f t="shared" si="5469"/>
        <v>0</v>
      </c>
      <c r="AR316" s="57">
        <f t="shared" si="5469"/>
        <v>0</v>
      </c>
      <c r="AS316" s="57">
        <f t="shared" si="5469"/>
        <v>0</v>
      </c>
      <c r="AT316" s="57">
        <f t="shared" si="5469"/>
        <v>0</v>
      </c>
      <c r="AU316" s="57">
        <f t="shared" si="5469"/>
        <v>0</v>
      </c>
      <c r="AV316" s="57">
        <f t="shared" si="5469"/>
        <v>0</v>
      </c>
      <c r="AW316" s="57">
        <f t="shared" si="5469"/>
        <v>0</v>
      </c>
      <c r="AX316" s="57">
        <f t="shared" si="5469"/>
        <v>0</v>
      </c>
      <c r="AY316" s="57">
        <f t="shared" si="5469"/>
        <v>0</v>
      </c>
      <c r="AZ316" s="57">
        <f t="shared" si="5469"/>
        <v>0</v>
      </c>
      <c r="BA316" s="57">
        <f t="shared" si="5469"/>
        <v>0</v>
      </c>
      <c r="BB316" s="57">
        <f t="shared" si="5469"/>
        <v>0</v>
      </c>
      <c r="BC316" s="57">
        <f t="shared" si="5469"/>
        <v>0</v>
      </c>
      <c r="BD316" s="57">
        <f t="shared" si="5469"/>
        <v>0</v>
      </c>
      <c r="BE316" s="57">
        <f t="shared" si="5469"/>
        <v>0</v>
      </c>
      <c r="BF316" s="57">
        <f t="shared" si="5469"/>
        <v>0</v>
      </c>
      <c r="BG316" s="57">
        <f t="shared" si="5469"/>
        <v>0</v>
      </c>
      <c r="BH316" s="57">
        <f t="shared" si="5469"/>
        <v>0</v>
      </c>
      <c r="BI316" s="57">
        <f t="shared" si="5469"/>
        <v>0</v>
      </c>
      <c r="BJ316" s="57">
        <f t="shared" si="5469"/>
        <v>0</v>
      </c>
      <c r="BK316" s="57">
        <f t="shared" si="5469"/>
        <v>0</v>
      </c>
      <c r="BL316" s="57">
        <f t="shared" si="5469"/>
        <v>0</v>
      </c>
      <c r="BM316" s="57">
        <f t="shared" si="5469"/>
        <v>0</v>
      </c>
      <c r="BN316" s="57">
        <f t="shared" si="5469"/>
        <v>0</v>
      </c>
      <c r="BO316" s="57">
        <f t="shared" si="5469"/>
        <v>0</v>
      </c>
      <c r="BP316" s="57">
        <f t="shared" ref="BP316:EA316" si="5470">BP303+BP304+BP309+BP312+BP313+BP317</f>
        <v>0</v>
      </c>
      <c r="BQ316" s="57">
        <f t="shared" si="5470"/>
        <v>0</v>
      </c>
      <c r="BR316" s="57">
        <f t="shared" si="5470"/>
        <v>0</v>
      </c>
      <c r="BS316" s="57">
        <f t="shared" si="5470"/>
        <v>0</v>
      </c>
      <c r="BT316" s="57">
        <f t="shared" si="5470"/>
        <v>0</v>
      </c>
      <c r="BU316" s="57">
        <f t="shared" si="5470"/>
        <v>0</v>
      </c>
      <c r="BV316" s="57">
        <f t="shared" si="5470"/>
        <v>0</v>
      </c>
      <c r="BW316" s="57">
        <f t="shared" si="5470"/>
        <v>0</v>
      </c>
      <c r="BX316" s="57">
        <f t="shared" si="5470"/>
        <v>0</v>
      </c>
      <c r="BY316" s="57">
        <f t="shared" si="5470"/>
        <v>0</v>
      </c>
      <c r="BZ316" s="57">
        <f t="shared" si="5470"/>
        <v>0</v>
      </c>
      <c r="CA316" s="57">
        <f t="shared" si="5470"/>
        <v>0</v>
      </c>
      <c r="CB316" s="57">
        <f t="shared" si="5470"/>
        <v>0</v>
      </c>
      <c r="CC316" s="57">
        <f t="shared" si="5470"/>
        <v>0</v>
      </c>
      <c r="CD316" s="57">
        <f t="shared" si="5470"/>
        <v>0</v>
      </c>
      <c r="CE316" s="57">
        <f t="shared" si="5470"/>
        <v>0</v>
      </c>
      <c r="CF316" s="57">
        <f t="shared" si="5470"/>
        <v>0</v>
      </c>
      <c r="CG316" s="57">
        <f t="shared" si="5470"/>
        <v>0</v>
      </c>
      <c r="CH316" s="57">
        <f t="shared" si="5470"/>
        <v>0</v>
      </c>
      <c r="CI316" s="57">
        <f t="shared" si="5470"/>
        <v>0</v>
      </c>
      <c r="CJ316" s="57">
        <f t="shared" si="5470"/>
        <v>0</v>
      </c>
      <c r="CK316" s="57">
        <f t="shared" si="5470"/>
        <v>0</v>
      </c>
      <c r="CL316" s="57">
        <f t="shared" si="5470"/>
        <v>0</v>
      </c>
      <c r="CM316" s="57">
        <f t="shared" si="5470"/>
        <v>0</v>
      </c>
      <c r="CN316" s="57">
        <f t="shared" si="5470"/>
        <v>0</v>
      </c>
      <c r="CO316" s="57">
        <f t="shared" si="5470"/>
        <v>0</v>
      </c>
      <c r="CP316" s="57">
        <f t="shared" si="5470"/>
        <v>0</v>
      </c>
      <c r="CQ316" s="57">
        <f t="shared" si="5470"/>
        <v>0</v>
      </c>
      <c r="CR316" s="57">
        <f t="shared" si="5470"/>
        <v>0</v>
      </c>
      <c r="CS316" s="57">
        <f t="shared" si="5470"/>
        <v>0</v>
      </c>
      <c r="CT316" s="57">
        <f t="shared" si="5470"/>
        <v>0</v>
      </c>
      <c r="CU316" s="57">
        <f t="shared" si="5470"/>
        <v>0</v>
      </c>
      <c r="CV316" s="57">
        <f t="shared" si="5470"/>
        <v>0</v>
      </c>
      <c r="CW316" s="57">
        <f t="shared" si="5470"/>
        <v>0</v>
      </c>
      <c r="CX316" s="57">
        <f t="shared" si="5470"/>
        <v>0</v>
      </c>
      <c r="CY316" s="57">
        <f t="shared" si="5470"/>
        <v>0</v>
      </c>
      <c r="CZ316" s="57">
        <f t="shared" si="5470"/>
        <v>0</v>
      </c>
      <c r="DA316" s="57">
        <f t="shared" si="5470"/>
        <v>0</v>
      </c>
      <c r="DB316" s="57">
        <f t="shared" si="5470"/>
        <v>0</v>
      </c>
      <c r="DC316" s="57">
        <f t="shared" si="5470"/>
        <v>0</v>
      </c>
      <c r="DD316" s="57">
        <f t="shared" si="5470"/>
        <v>0</v>
      </c>
      <c r="DE316" s="57">
        <f t="shared" si="5470"/>
        <v>0</v>
      </c>
      <c r="DF316" s="57">
        <f t="shared" si="5470"/>
        <v>0</v>
      </c>
      <c r="DG316" s="57">
        <f t="shared" si="5470"/>
        <v>0</v>
      </c>
      <c r="DH316" s="57">
        <f t="shared" si="5470"/>
        <v>0</v>
      </c>
      <c r="DI316" s="57">
        <f t="shared" si="5470"/>
        <v>0</v>
      </c>
      <c r="DJ316" s="57">
        <f t="shared" si="5470"/>
        <v>0</v>
      </c>
      <c r="DK316" s="57">
        <f t="shared" si="5470"/>
        <v>0</v>
      </c>
      <c r="DL316" s="57">
        <f t="shared" si="5470"/>
        <v>0</v>
      </c>
      <c r="DM316" s="57">
        <f t="shared" si="5470"/>
        <v>0</v>
      </c>
      <c r="DN316" s="57">
        <f t="shared" si="5470"/>
        <v>0</v>
      </c>
      <c r="DO316" s="57">
        <f t="shared" si="5470"/>
        <v>0</v>
      </c>
      <c r="DP316" s="57">
        <f t="shared" si="5470"/>
        <v>0</v>
      </c>
      <c r="DQ316" s="57">
        <f t="shared" si="5470"/>
        <v>0</v>
      </c>
      <c r="DR316" s="57">
        <f t="shared" si="5470"/>
        <v>0</v>
      </c>
      <c r="DS316" s="57">
        <f t="shared" si="5470"/>
        <v>0</v>
      </c>
      <c r="DT316" s="57">
        <f t="shared" si="5470"/>
        <v>0</v>
      </c>
      <c r="DU316" s="57">
        <f t="shared" si="5470"/>
        <v>0</v>
      </c>
      <c r="DV316" s="57">
        <f t="shared" si="5470"/>
        <v>0</v>
      </c>
      <c r="DW316" s="57">
        <f t="shared" si="5470"/>
        <v>0</v>
      </c>
      <c r="DX316" s="57">
        <f t="shared" si="5470"/>
        <v>0</v>
      </c>
      <c r="DY316" s="57">
        <f t="shared" si="5470"/>
        <v>0</v>
      </c>
      <c r="DZ316" s="57">
        <f t="shared" si="5470"/>
        <v>0</v>
      </c>
      <c r="EA316" s="57">
        <f t="shared" si="5470"/>
        <v>0</v>
      </c>
      <c r="EB316" s="57">
        <f t="shared" ref="EB316:FY316" si="5471">EB303+EB304+EB309+EB312+EB313+EB317</f>
        <v>0</v>
      </c>
      <c r="EC316" s="57">
        <f t="shared" si="5471"/>
        <v>0</v>
      </c>
      <c r="ED316" s="57">
        <f t="shared" si="5471"/>
        <v>0</v>
      </c>
      <c r="EE316" s="57">
        <f t="shared" si="5471"/>
        <v>0</v>
      </c>
      <c r="EF316" s="57">
        <f t="shared" si="5471"/>
        <v>0</v>
      </c>
      <c r="EG316" s="57">
        <f t="shared" si="5471"/>
        <v>0</v>
      </c>
      <c r="EH316" s="57">
        <f t="shared" si="5471"/>
        <v>0</v>
      </c>
      <c r="EI316" s="57">
        <f t="shared" si="5471"/>
        <v>0</v>
      </c>
      <c r="EJ316" s="57">
        <f t="shared" si="5471"/>
        <v>0</v>
      </c>
      <c r="EK316" s="57">
        <f t="shared" si="5471"/>
        <v>0</v>
      </c>
      <c r="EL316" s="57">
        <f t="shared" si="5471"/>
        <v>0</v>
      </c>
      <c r="EM316" s="57">
        <f t="shared" si="5471"/>
        <v>0</v>
      </c>
      <c r="EN316" s="57">
        <f t="shared" si="5471"/>
        <v>0</v>
      </c>
      <c r="EO316" s="57">
        <f t="shared" si="5471"/>
        <v>0</v>
      </c>
      <c r="EP316" s="57">
        <f t="shared" si="5471"/>
        <v>0</v>
      </c>
      <c r="EQ316" s="57">
        <f t="shared" si="5471"/>
        <v>0</v>
      </c>
      <c r="ER316" s="57">
        <f t="shared" si="5471"/>
        <v>0</v>
      </c>
      <c r="ES316" s="57">
        <f t="shared" si="5471"/>
        <v>0</v>
      </c>
      <c r="ET316" s="57">
        <f t="shared" si="5471"/>
        <v>0</v>
      </c>
      <c r="EU316" s="57">
        <f t="shared" si="5471"/>
        <v>0</v>
      </c>
      <c r="EV316" s="57">
        <f t="shared" si="5471"/>
        <v>0</v>
      </c>
      <c r="EW316" s="57">
        <f t="shared" si="5471"/>
        <v>0</v>
      </c>
      <c r="EX316" s="57">
        <f t="shared" si="5471"/>
        <v>0</v>
      </c>
      <c r="EY316" s="57">
        <f t="shared" si="5471"/>
        <v>0</v>
      </c>
      <c r="EZ316" s="57">
        <f t="shared" si="5471"/>
        <v>0</v>
      </c>
      <c r="FA316" s="57">
        <f t="shared" si="5471"/>
        <v>0</v>
      </c>
      <c r="FB316" s="57">
        <f t="shared" si="5471"/>
        <v>0</v>
      </c>
      <c r="FC316" s="57">
        <f t="shared" si="5471"/>
        <v>0</v>
      </c>
      <c r="FD316" s="57">
        <f t="shared" si="5471"/>
        <v>0</v>
      </c>
      <c r="FE316" s="57">
        <f t="shared" si="5471"/>
        <v>0</v>
      </c>
      <c r="FF316" s="57">
        <f t="shared" si="5471"/>
        <v>0</v>
      </c>
      <c r="FG316" s="57">
        <f t="shared" si="5471"/>
        <v>0</v>
      </c>
      <c r="FH316" s="57">
        <f t="shared" si="5471"/>
        <v>0</v>
      </c>
      <c r="FI316" s="57">
        <f t="shared" si="5471"/>
        <v>0</v>
      </c>
      <c r="FJ316" s="57">
        <f t="shared" si="5471"/>
        <v>0</v>
      </c>
      <c r="FK316" s="57">
        <f t="shared" si="5471"/>
        <v>0</v>
      </c>
      <c r="FL316" s="57">
        <f t="shared" si="5471"/>
        <v>0</v>
      </c>
      <c r="FM316" s="57">
        <f t="shared" si="5471"/>
        <v>0</v>
      </c>
      <c r="FN316" s="57">
        <f t="shared" si="5471"/>
        <v>0</v>
      </c>
      <c r="FO316" s="57">
        <f t="shared" si="5471"/>
        <v>0</v>
      </c>
      <c r="FP316" s="57">
        <f t="shared" si="5471"/>
        <v>0</v>
      </c>
      <c r="FQ316" s="57">
        <f t="shared" si="5471"/>
        <v>0</v>
      </c>
      <c r="FR316" s="57">
        <f t="shared" si="5471"/>
        <v>0</v>
      </c>
      <c r="FS316" s="57">
        <f t="shared" si="5471"/>
        <v>0</v>
      </c>
      <c r="FT316" s="57">
        <f t="shared" si="5471"/>
        <v>0</v>
      </c>
      <c r="FU316" s="57">
        <f t="shared" si="5471"/>
        <v>0</v>
      </c>
      <c r="FV316" s="57">
        <f t="shared" si="5471"/>
        <v>0</v>
      </c>
      <c r="FW316" s="57">
        <f t="shared" si="5471"/>
        <v>0</v>
      </c>
      <c r="FX316" s="57">
        <f t="shared" si="5471"/>
        <v>0</v>
      </c>
      <c r="FY316" s="57">
        <f t="shared" si="5471"/>
        <v>0</v>
      </c>
      <c r="FZ316" s="59"/>
    </row>
    <row r="317" spans="1:182" x14ac:dyDescent="0.2">
      <c r="A317" s="95" t="s">
        <v>239</v>
      </c>
      <c r="B317" s="96">
        <f>IF(B303&lt;&gt;0,-(B275+B294),0)</f>
        <v>0</v>
      </c>
      <c r="C317" s="96">
        <f t="shared" ref="C317" si="5472">IF(C303&lt;&gt;0,-(C275+C294),0)</f>
        <v>0</v>
      </c>
      <c r="D317" s="96">
        <f t="shared" ref="D317:BO317" si="5473">IF(D303&lt;&gt;0,-(D275+D294),0)</f>
        <v>0</v>
      </c>
      <c r="E317" s="96">
        <f t="shared" si="5473"/>
        <v>0</v>
      </c>
      <c r="F317" s="96">
        <f t="shared" si="5473"/>
        <v>0</v>
      </c>
      <c r="G317" s="96">
        <f t="shared" si="5473"/>
        <v>0</v>
      </c>
      <c r="H317" s="96">
        <f t="shared" si="5473"/>
        <v>0</v>
      </c>
      <c r="I317" s="96">
        <f t="shared" si="5473"/>
        <v>0</v>
      </c>
      <c r="J317" s="96">
        <f t="shared" si="5473"/>
        <v>0</v>
      </c>
      <c r="K317" s="96">
        <f t="shared" si="5473"/>
        <v>0</v>
      </c>
      <c r="L317" s="96">
        <f t="shared" si="5473"/>
        <v>0</v>
      </c>
      <c r="M317" s="96">
        <f t="shared" si="5473"/>
        <v>0</v>
      </c>
      <c r="N317" s="96">
        <f t="shared" si="5473"/>
        <v>0</v>
      </c>
      <c r="O317" s="96">
        <f t="shared" si="5473"/>
        <v>0</v>
      </c>
      <c r="P317" s="96">
        <f t="shared" si="5473"/>
        <v>0</v>
      </c>
      <c r="Q317" s="96">
        <f t="shared" si="5473"/>
        <v>0</v>
      </c>
      <c r="R317" s="96">
        <f t="shared" si="5473"/>
        <v>0</v>
      </c>
      <c r="S317" s="96">
        <f t="shared" si="5473"/>
        <v>0</v>
      </c>
      <c r="T317" s="96">
        <f t="shared" si="5473"/>
        <v>0</v>
      </c>
      <c r="U317" s="96">
        <f t="shared" si="5473"/>
        <v>0</v>
      </c>
      <c r="V317" s="96">
        <f t="shared" si="5473"/>
        <v>0</v>
      </c>
      <c r="W317" s="96">
        <f t="shared" si="5473"/>
        <v>0</v>
      </c>
      <c r="X317" s="96">
        <f t="shared" si="5473"/>
        <v>0</v>
      </c>
      <c r="Y317" s="96">
        <f t="shared" si="5473"/>
        <v>0</v>
      </c>
      <c r="Z317" s="96">
        <f t="shared" si="5473"/>
        <v>0</v>
      </c>
      <c r="AA317" s="96">
        <f t="shared" si="5473"/>
        <v>0</v>
      </c>
      <c r="AB317" s="96">
        <f t="shared" si="5473"/>
        <v>0</v>
      </c>
      <c r="AC317" s="96">
        <f t="shared" si="5473"/>
        <v>0</v>
      </c>
      <c r="AD317" s="96">
        <f t="shared" si="5473"/>
        <v>0</v>
      </c>
      <c r="AE317" s="96">
        <f t="shared" si="5473"/>
        <v>0</v>
      </c>
      <c r="AF317" s="96">
        <f t="shared" si="5473"/>
        <v>0</v>
      </c>
      <c r="AG317" s="96">
        <f t="shared" si="5473"/>
        <v>0</v>
      </c>
      <c r="AH317" s="96">
        <f t="shared" si="5473"/>
        <v>0</v>
      </c>
      <c r="AI317" s="96">
        <f t="shared" si="5473"/>
        <v>0</v>
      </c>
      <c r="AJ317" s="96">
        <f t="shared" si="5473"/>
        <v>0</v>
      </c>
      <c r="AK317" s="96">
        <f t="shared" si="5473"/>
        <v>0</v>
      </c>
      <c r="AL317" s="96">
        <f t="shared" si="5473"/>
        <v>0</v>
      </c>
      <c r="AM317" s="96">
        <f t="shared" si="5473"/>
        <v>0</v>
      </c>
      <c r="AN317" s="96">
        <f t="shared" si="5473"/>
        <v>0</v>
      </c>
      <c r="AO317" s="96">
        <f t="shared" si="5473"/>
        <v>0</v>
      </c>
      <c r="AP317" s="96">
        <f t="shared" si="5473"/>
        <v>0</v>
      </c>
      <c r="AQ317" s="96">
        <f t="shared" si="5473"/>
        <v>0</v>
      </c>
      <c r="AR317" s="96">
        <f t="shared" si="5473"/>
        <v>0</v>
      </c>
      <c r="AS317" s="96">
        <f t="shared" si="5473"/>
        <v>0</v>
      </c>
      <c r="AT317" s="96">
        <f t="shared" si="5473"/>
        <v>0</v>
      </c>
      <c r="AU317" s="96">
        <f t="shared" si="5473"/>
        <v>0</v>
      </c>
      <c r="AV317" s="96">
        <f t="shared" si="5473"/>
        <v>0</v>
      </c>
      <c r="AW317" s="96">
        <f t="shared" si="5473"/>
        <v>0</v>
      </c>
      <c r="AX317" s="96">
        <f t="shared" si="5473"/>
        <v>0</v>
      </c>
      <c r="AY317" s="96">
        <f t="shared" si="5473"/>
        <v>0</v>
      </c>
      <c r="AZ317" s="96">
        <f t="shared" si="5473"/>
        <v>0</v>
      </c>
      <c r="BA317" s="96">
        <f t="shared" si="5473"/>
        <v>0</v>
      </c>
      <c r="BB317" s="96">
        <f t="shared" si="5473"/>
        <v>0</v>
      </c>
      <c r="BC317" s="96">
        <f t="shared" si="5473"/>
        <v>0</v>
      </c>
      <c r="BD317" s="96">
        <f t="shared" si="5473"/>
        <v>0</v>
      </c>
      <c r="BE317" s="96">
        <f t="shared" si="5473"/>
        <v>0</v>
      </c>
      <c r="BF317" s="96">
        <f t="shared" si="5473"/>
        <v>0</v>
      </c>
      <c r="BG317" s="96">
        <f t="shared" si="5473"/>
        <v>0</v>
      </c>
      <c r="BH317" s="96">
        <f t="shared" si="5473"/>
        <v>0</v>
      </c>
      <c r="BI317" s="96">
        <f t="shared" si="5473"/>
        <v>0</v>
      </c>
      <c r="BJ317" s="96">
        <f t="shared" si="5473"/>
        <v>0</v>
      </c>
      <c r="BK317" s="96">
        <f t="shared" si="5473"/>
        <v>0</v>
      </c>
      <c r="BL317" s="96">
        <f t="shared" si="5473"/>
        <v>0</v>
      </c>
      <c r="BM317" s="96">
        <f t="shared" si="5473"/>
        <v>0</v>
      </c>
      <c r="BN317" s="96">
        <f t="shared" si="5473"/>
        <v>0</v>
      </c>
      <c r="BO317" s="96">
        <f t="shared" si="5473"/>
        <v>0</v>
      </c>
      <c r="BP317" s="96">
        <f t="shared" ref="BP317:EA317" si="5474">IF(BP303&lt;&gt;0,-(BP275+BP294),0)</f>
        <v>0</v>
      </c>
      <c r="BQ317" s="96">
        <f t="shared" si="5474"/>
        <v>0</v>
      </c>
      <c r="BR317" s="96">
        <f t="shared" si="5474"/>
        <v>0</v>
      </c>
      <c r="BS317" s="96">
        <f t="shared" si="5474"/>
        <v>0</v>
      </c>
      <c r="BT317" s="96">
        <f t="shared" si="5474"/>
        <v>0</v>
      </c>
      <c r="BU317" s="96">
        <f t="shared" si="5474"/>
        <v>0</v>
      </c>
      <c r="BV317" s="96">
        <f t="shared" si="5474"/>
        <v>0</v>
      </c>
      <c r="BW317" s="96">
        <f t="shared" si="5474"/>
        <v>0</v>
      </c>
      <c r="BX317" s="96">
        <f t="shared" si="5474"/>
        <v>0</v>
      </c>
      <c r="BY317" s="96">
        <f t="shared" si="5474"/>
        <v>0</v>
      </c>
      <c r="BZ317" s="96">
        <f t="shared" si="5474"/>
        <v>0</v>
      </c>
      <c r="CA317" s="96">
        <f t="shared" si="5474"/>
        <v>0</v>
      </c>
      <c r="CB317" s="96">
        <f t="shared" si="5474"/>
        <v>0</v>
      </c>
      <c r="CC317" s="96">
        <f t="shared" si="5474"/>
        <v>0</v>
      </c>
      <c r="CD317" s="96">
        <f t="shared" si="5474"/>
        <v>0</v>
      </c>
      <c r="CE317" s="96">
        <f t="shared" si="5474"/>
        <v>0</v>
      </c>
      <c r="CF317" s="96">
        <f t="shared" si="5474"/>
        <v>0</v>
      </c>
      <c r="CG317" s="96">
        <f t="shared" si="5474"/>
        <v>0</v>
      </c>
      <c r="CH317" s="96">
        <f t="shared" si="5474"/>
        <v>0</v>
      </c>
      <c r="CI317" s="96">
        <f t="shared" si="5474"/>
        <v>0</v>
      </c>
      <c r="CJ317" s="96">
        <f t="shared" si="5474"/>
        <v>0</v>
      </c>
      <c r="CK317" s="96">
        <f t="shared" si="5474"/>
        <v>0</v>
      </c>
      <c r="CL317" s="96">
        <f t="shared" si="5474"/>
        <v>0</v>
      </c>
      <c r="CM317" s="96">
        <f t="shared" si="5474"/>
        <v>0</v>
      </c>
      <c r="CN317" s="96">
        <f t="shared" si="5474"/>
        <v>0</v>
      </c>
      <c r="CO317" s="96">
        <f t="shared" si="5474"/>
        <v>0</v>
      </c>
      <c r="CP317" s="96">
        <f t="shared" si="5474"/>
        <v>0</v>
      </c>
      <c r="CQ317" s="96">
        <f t="shared" si="5474"/>
        <v>0</v>
      </c>
      <c r="CR317" s="96">
        <f t="shared" si="5474"/>
        <v>0</v>
      </c>
      <c r="CS317" s="96">
        <f t="shared" si="5474"/>
        <v>0</v>
      </c>
      <c r="CT317" s="96">
        <f t="shared" si="5474"/>
        <v>0</v>
      </c>
      <c r="CU317" s="96">
        <f t="shared" si="5474"/>
        <v>0</v>
      </c>
      <c r="CV317" s="96">
        <f t="shared" si="5474"/>
        <v>0</v>
      </c>
      <c r="CW317" s="96">
        <f t="shared" si="5474"/>
        <v>0</v>
      </c>
      <c r="CX317" s="96">
        <f t="shared" si="5474"/>
        <v>0</v>
      </c>
      <c r="CY317" s="96">
        <f t="shared" si="5474"/>
        <v>0</v>
      </c>
      <c r="CZ317" s="96">
        <f t="shared" si="5474"/>
        <v>0</v>
      </c>
      <c r="DA317" s="96">
        <f t="shared" si="5474"/>
        <v>0</v>
      </c>
      <c r="DB317" s="96">
        <f t="shared" si="5474"/>
        <v>0</v>
      </c>
      <c r="DC317" s="96">
        <f t="shared" si="5474"/>
        <v>0</v>
      </c>
      <c r="DD317" s="96">
        <f t="shared" si="5474"/>
        <v>0</v>
      </c>
      <c r="DE317" s="96">
        <f t="shared" si="5474"/>
        <v>0</v>
      </c>
      <c r="DF317" s="96">
        <f t="shared" si="5474"/>
        <v>0</v>
      </c>
      <c r="DG317" s="96">
        <f t="shared" si="5474"/>
        <v>0</v>
      </c>
      <c r="DH317" s="96">
        <f t="shared" si="5474"/>
        <v>0</v>
      </c>
      <c r="DI317" s="96">
        <f t="shared" si="5474"/>
        <v>0</v>
      </c>
      <c r="DJ317" s="96">
        <f t="shared" si="5474"/>
        <v>0</v>
      </c>
      <c r="DK317" s="96">
        <f t="shared" si="5474"/>
        <v>0</v>
      </c>
      <c r="DL317" s="96">
        <f t="shared" si="5474"/>
        <v>0</v>
      </c>
      <c r="DM317" s="96">
        <f t="shared" si="5474"/>
        <v>0</v>
      </c>
      <c r="DN317" s="96">
        <f t="shared" si="5474"/>
        <v>0</v>
      </c>
      <c r="DO317" s="96">
        <f t="shared" si="5474"/>
        <v>0</v>
      </c>
      <c r="DP317" s="96">
        <f t="shared" si="5474"/>
        <v>0</v>
      </c>
      <c r="DQ317" s="96">
        <f t="shared" si="5474"/>
        <v>0</v>
      </c>
      <c r="DR317" s="96">
        <f t="shared" si="5474"/>
        <v>0</v>
      </c>
      <c r="DS317" s="96">
        <f t="shared" si="5474"/>
        <v>0</v>
      </c>
      <c r="DT317" s="96">
        <f t="shared" si="5474"/>
        <v>0</v>
      </c>
      <c r="DU317" s="96">
        <f t="shared" si="5474"/>
        <v>0</v>
      </c>
      <c r="DV317" s="96">
        <f t="shared" si="5474"/>
        <v>0</v>
      </c>
      <c r="DW317" s="96">
        <f t="shared" si="5474"/>
        <v>0</v>
      </c>
      <c r="DX317" s="96">
        <f t="shared" si="5474"/>
        <v>0</v>
      </c>
      <c r="DY317" s="96">
        <f t="shared" si="5474"/>
        <v>0</v>
      </c>
      <c r="DZ317" s="96">
        <f t="shared" si="5474"/>
        <v>0</v>
      </c>
      <c r="EA317" s="96">
        <f t="shared" si="5474"/>
        <v>0</v>
      </c>
      <c r="EB317" s="96">
        <f t="shared" ref="EB317:FY317" si="5475">IF(EB303&lt;&gt;0,-(EB275+EB294),0)</f>
        <v>0</v>
      </c>
      <c r="EC317" s="96">
        <f t="shared" si="5475"/>
        <v>0</v>
      </c>
      <c r="ED317" s="96">
        <f t="shared" si="5475"/>
        <v>0</v>
      </c>
      <c r="EE317" s="96">
        <f t="shared" si="5475"/>
        <v>0</v>
      </c>
      <c r="EF317" s="96">
        <f t="shared" si="5475"/>
        <v>0</v>
      </c>
      <c r="EG317" s="96">
        <f t="shared" si="5475"/>
        <v>0</v>
      </c>
      <c r="EH317" s="96">
        <f t="shared" si="5475"/>
        <v>0</v>
      </c>
      <c r="EI317" s="96">
        <f t="shared" si="5475"/>
        <v>0</v>
      </c>
      <c r="EJ317" s="96">
        <f t="shared" si="5475"/>
        <v>0</v>
      </c>
      <c r="EK317" s="96">
        <f t="shared" si="5475"/>
        <v>0</v>
      </c>
      <c r="EL317" s="96">
        <f t="shared" si="5475"/>
        <v>0</v>
      </c>
      <c r="EM317" s="96">
        <f t="shared" si="5475"/>
        <v>0</v>
      </c>
      <c r="EN317" s="96">
        <f t="shared" si="5475"/>
        <v>0</v>
      </c>
      <c r="EO317" s="96">
        <f t="shared" si="5475"/>
        <v>0</v>
      </c>
      <c r="EP317" s="96">
        <f t="shared" si="5475"/>
        <v>0</v>
      </c>
      <c r="EQ317" s="96">
        <f t="shared" si="5475"/>
        <v>0</v>
      </c>
      <c r="ER317" s="96">
        <f t="shared" si="5475"/>
        <v>0</v>
      </c>
      <c r="ES317" s="96">
        <f t="shared" si="5475"/>
        <v>0</v>
      </c>
      <c r="ET317" s="96">
        <f t="shared" si="5475"/>
        <v>0</v>
      </c>
      <c r="EU317" s="96">
        <f t="shared" si="5475"/>
        <v>0</v>
      </c>
      <c r="EV317" s="96">
        <f t="shared" si="5475"/>
        <v>0</v>
      </c>
      <c r="EW317" s="96">
        <f t="shared" si="5475"/>
        <v>0</v>
      </c>
      <c r="EX317" s="96">
        <f t="shared" si="5475"/>
        <v>0</v>
      </c>
      <c r="EY317" s="96">
        <f t="shared" si="5475"/>
        <v>0</v>
      </c>
      <c r="EZ317" s="96">
        <f t="shared" si="5475"/>
        <v>0</v>
      </c>
      <c r="FA317" s="96">
        <f t="shared" si="5475"/>
        <v>0</v>
      </c>
      <c r="FB317" s="96">
        <f t="shared" si="5475"/>
        <v>0</v>
      </c>
      <c r="FC317" s="96">
        <f t="shared" si="5475"/>
        <v>0</v>
      </c>
      <c r="FD317" s="96">
        <f t="shared" si="5475"/>
        <v>0</v>
      </c>
      <c r="FE317" s="96">
        <f t="shared" si="5475"/>
        <v>0</v>
      </c>
      <c r="FF317" s="96">
        <f t="shared" si="5475"/>
        <v>0</v>
      </c>
      <c r="FG317" s="96">
        <f t="shared" si="5475"/>
        <v>0</v>
      </c>
      <c r="FH317" s="96">
        <f t="shared" si="5475"/>
        <v>0</v>
      </c>
      <c r="FI317" s="96">
        <f t="shared" si="5475"/>
        <v>0</v>
      </c>
      <c r="FJ317" s="96">
        <f t="shared" si="5475"/>
        <v>0</v>
      </c>
      <c r="FK317" s="96">
        <f t="shared" si="5475"/>
        <v>0</v>
      </c>
      <c r="FL317" s="96">
        <f t="shared" si="5475"/>
        <v>0</v>
      </c>
      <c r="FM317" s="96">
        <f t="shared" si="5475"/>
        <v>0</v>
      </c>
      <c r="FN317" s="96">
        <f t="shared" si="5475"/>
        <v>0</v>
      </c>
      <c r="FO317" s="96">
        <f t="shared" si="5475"/>
        <v>0</v>
      </c>
      <c r="FP317" s="96">
        <f t="shared" si="5475"/>
        <v>0</v>
      </c>
      <c r="FQ317" s="96">
        <f t="shared" si="5475"/>
        <v>0</v>
      </c>
      <c r="FR317" s="96">
        <f t="shared" si="5475"/>
        <v>0</v>
      </c>
      <c r="FS317" s="96">
        <f t="shared" si="5475"/>
        <v>0</v>
      </c>
      <c r="FT317" s="96">
        <f t="shared" si="5475"/>
        <v>0</v>
      </c>
      <c r="FU317" s="96">
        <f t="shared" si="5475"/>
        <v>0</v>
      </c>
      <c r="FV317" s="96">
        <f t="shared" si="5475"/>
        <v>0</v>
      </c>
      <c r="FW317" s="96">
        <f t="shared" si="5475"/>
        <v>0</v>
      </c>
      <c r="FX317" s="96">
        <f t="shared" si="5475"/>
        <v>0</v>
      </c>
      <c r="FY317" s="96">
        <f t="shared" si="5475"/>
        <v>0</v>
      </c>
      <c r="FZ317" s="59"/>
    </row>
    <row r="318" spans="1:182" x14ac:dyDescent="0.2">
      <c r="B318" s="101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69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r="319" spans="1:182" x14ac:dyDescent="0.2">
      <c r="A319" s="91" t="s">
        <v>241</v>
      </c>
      <c r="B319" s="101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69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r="320" spans="1:182" x14ac:dyDescent="0.2">
      <c r="A320" s="2" t="s">
        <v>242</v>
      </c>
      <c r="B320" s="57">
        <f>IF(B1=B21,-IF(-(B262+B281)&lt;=0,-(B262+B281),0),0)</f>
        <v>0</v>
      </c>
      <c r="C320" s="57">
        <f>IF(C1=C21,-IF(-(C262+C281)&lt;=0,-(C262+C281),0),IF(C316&gt;0,0,-C316)+IF(B332&lt;0,0,B332))</f>
        <v>0</v>
      </c>
      <c r="D320" s="57">
        <f t="shared" ref="D320:E320" si="5476">IF(D1=D21,-IF(-(D262+D281)&lt;=0,-(D262+D281),0),IF(D316&gt;0,0,-D316)+IF(C332&lt;0,0,C332))</f>
        <v>0</v>
      </c>
      <c r="E320" s="57">
        <f t="shared" si="5476"/>
        <v>0</v>
      </c>
      <c r="F320" s="57">
        <f t="shared" ref="F320" si="5477">IF(F1=F21,-IF(-(F262+F281)&lt;=0,-(F262+F281),0),IF(F316&gt;0,0,-F316)+IF(E332&lt;0,0,E332))</f>
        <v>0</v>
      </c>
      <c r="G320" s="57">
        <f t="shared" ref="G320" si="5478">IF(G1=G21,-IF(-(G262+G281)&lt;=0,-(G262+G281),0),IF(G316&gt;0,0,-G316)+IF(F332&lt;0,0,F332))</f>
        <v>0</v>
      </c>
      <c r="H320" s="57">
        <f t="shared" ref="H320" si="5479">IF(H1=H21,-IF(-(H262+H281)&lt;=0,-(H262+H281),0),IF(H316&gt;0,0,-H316)+IF(G332&lt;0,0,G332))</f>
        <v>0</v>
      </c>
      <c r="I320" s="57">
        <f t="shared" ref="I320" si="5480">IF(I1=I21,-IF(-(I262+I281)&lt;=0,-(I262+I281),0),IF(I316&gt;0,0,-I316)+IF(H332&lt;0,0,H332))</f>
        <v>0</v>
      </c>
      <c r="J320" s="57">
        <f t="shared" ref="J320" si="5481">IF(J1=J21,-IF(-(J262+J281)&lt;=0,-(J262+J281),0),IF(J316&gt;0,0,-J316)+IF(I332&lt;0,0,I332))</f>
        <v>0</v>
      </c>
      <c r="K320" s="57">
        <f t="shared" ref="K320" si="5482">IF(K1=K21,-IF(-(K262+K281)&lt;=0,-(K262+K281),0),IF(K316&gt;0,0,-K316)+IF(J332&lt;0,0,J332))</f>
        <v>0</v>
      </c>
      <c r="L320" s="57">
        <f t="shared" ref="L320" si="5483">IF(L1=L21,-IF(-(L262+L281)&lt;=0,-(L262+L281),0),IF(L316&gt;0,0,-L316)+IF(K332&lt;0,0,K332))</f>
        <v>0</v>
      </c>
      <c r="M320" s="57">
        <f t="shared" ref="M320" si="5484">IF(M1=M21,-IF(-(M262+M281)&lt;=0,-(M262+M281),0),IF(M316&gt;0,0,-M316)+IF(L332&lt;0,0,L332))</f>
        <v>0</v>
      </c>
      <c r="N320" s="57">
        <f t="shared" ref="N320" si="5485">IF(N1=N21,-IF(-(N262+N281)&lt;=0,-(N262+N281),0),IF(N316&gt;0,0,-N316)+IF(M332&lt;0,0,M332))</f>
        <v>0</v>
      </c>
      <c r="O320" s="57">
        <f t="shared" ref="O320" si="5486">IF(O1=O21,-IF(-(O262+O281)&lt;=0,-(O262+O281),0),IF(O316&gt;0,0,-O316)+IF(N332&lt;0,0,N332))</f>
        <v>0</v>
      </c>
      <c r="P320" s="57">
        <f t="shared" ref="P320" si="5487">IF(P1=P21,-IF(-(P262+P281)&lt;=0,-(P262+P281),0),IF(P316&gt;0,0,-P316)+IF(O332&lt;0,0,O332))</f>
        <v>0</v>
      </c>
      <c r="Q320" s="57">
        <f t="shared" ref="Q320" si="5488">IF(Q1=Q21,-IF(-(Q262+Q281)&lt;=0,-(Q262+Q281),0),IF(Q316&gt;0,0,-Q316)+IF(P332&lt;0,0,P332))</f>
        <v>0</v>
      </c>
      <c r="R320" s="57">
        <f t="shared" ref="R320" si="5489">IF(R1=R21,-IF(-(R262+R281)&lt;=0,-(R262+R281),0),IF(R316&gt;0,0,-R316)+IF(Q332&lt;0,0,Q332))</f>
        <v>0</v>
      </c>
      <c r="S320" s="57">
        <f t="shared" ref="S320" si="5490">IF(S1=S21,-IF(-(S262+S281)&lt;=0,-(S262+S281),0),IF(S316&gt;0,0,-S316)+IF(R332&lt;0,0,R332))</f>
        <v>0</v>
      </c>
      <c r="T320" s="57">
        <f t="shared" ref="T320" si="5491">IF(T1=T21,-IF(-(T262+T281)&lt;=0,-(T262+T281),0),IF(T316&gt;0,0,-T316)+IF(S332&lt;0,0,S332))</f>
        <v>0</v>
      </c>
      <c r="U320" s="57">
        <f t="shared" ref="U320" si="5492">IF(U1=U21,-IF(-(U262+U281)&lt;=0,-(U262+U281),0),IF(U316&gt;0,0,-U316)+IF(T332&lt;0,0,T332))</f>
        <v>0</v>
      </c>
      <c r="V320" s="57">
        <f t="shared" ref="V320" si="5493">IF(V1=V21,-IF(-(V262+V281)&lt;=0,-(V262+V281),0),IF(V316&gt;0,0,-V316)+IF(U332&lt;0,0,U332))</f>
        <v>0</v>
      </c>
      <c r="W320" s="57">
        <f t="shared" ref="W320" si="5494">IF(W1=W21,-IF(-(W262+W281)&lt;=0,-(W262+W281),0),IF(W316&gt;0,0,-W316)+IF(V332&lt;0,0,V332))</f>
        <v>0</v>
      </c>
      <c r="X320" s="57">
        <f t="shared" ref="X320" si="5495">IF(X1=X21,-IF(-(X262+X281)&lt;=0,-(X262+X281),0),IF(X316&gt;0,0,-X316)+IF(W332&lt;0,0,W332))</f>
        <v>0</v>
      </c>
      <c r="Y320" s="57">
        <f t="shared" ref="Y320" si="5496">IF(Y1=Y21,-IF(-(Y262+Y281)&lt;=0,-(Y262+Y281),0),IF(Y316&gt;0,0,-Y316)+IF(X332&lt;0,0,X332))</f>
        <v>0</v>
      </c>
      <c r="Z320" s="57">
        <f t="shared" ref="Z320" si="5497">IF(Z1=Z21,-IF(-(Z262+Z281)&lt;=0,-(Z262+Z281),0),IF(Z316&gt;0,0,-Z316)+IF(Y332&lt;0,0,Y332))</f>
        <v>0</v>
      </c>
      <c r="AA320" s="57">
        <f t="shared" ref="AA320" si="5498">IF(AA1=AA21,-IF(-(AA262+AA281)&lt;=0,-(AA262+AA281),0),IF(AA316&gt;0,0,-AA316)+IF(Z332&lt;0,0,Z332))</f>
        <v>0</v>
      </c>
      <c r="AB320" s="57">
        <f t="shared" ref="AB320" si="5499">IF(AB1=AB21,-IF(-(AB262+AB281)&lt;=0,-(AB262+AB281),0),IF(AB316&gt;0,0,-AB316)+IF(AA332&lt;0,0,AA332))</f>
        <v>0</v>
      </c>
      <c r="AC320" s="57">
        <f t="shared" ref="AC320" si="5500">IF(AC1=AC21,-IF(-(AC262+AC281)&lt;=0,-(AC262+AC281),0),IF(AC316&gt;0,0,-AC316)+IF(AB332&lt;0,0,AB332))</f>
        <v>0</v>
      </c>
      <c r="AD320" s="57">
        <f t="shared" ref="AD320" si="5501">IF(AD1=AD21,-IF(-(AD262+AD281)&lt;=0,-(AD262+AD281),0),IF(AD316&gt;0,0,-AD316)+IF(AC332&lt;0,0,AC332))</f>
        <v>0</v>
      </c>
      <c r="AE320" s="57">
        <f t="shared" ref="AE320" si="5502">IF(AE1=AE21,-IF(-(AE262+AE281)&lt;=0,-(AE262+AE281),0),IF(AE316&gt;0,0,-AE316)+IF(AD332&lt;0,0,AD332))</f>
        <v>0</v>
      </c>
      <c r="AF320" s="57">
        <f t="shared" ref="AF320" si="5503">IF(AF1=AF21,-IF(-(AF262+AF281)&lt;=0,-(AF262+AF281),0),IF(AF316&gt;0,0,-AF316)+IF(AE332&lt;0,0,AE332))</f>
        <v>0</v>
      </c>
      <c r="AG320" s="57">
        <f t="shared" ref="AG320" si="5504">IF(AG1=AG21,-IF(-(AG262+AG281)&lt;=0,-(AG262+AG281),0),IF(AG316&gt;0,0,-AG316)+IF(AF332&lt;0,0,AF332))</f>
        <v>0</v>
      </c>
      <c r="AH320" s="57">
        <f t="shared" ref="AH320" si="5505">IF(AH1=AH21,-IF(-(AH262+AH281)&lt;=0,-(AH262+AH281),0),IF(AH316&gt;0,0,-AH316)+IF(AG332&lt;0,0,AG332))</f>
        <v>0</v>
      </c>
      <c r="AI320" s="57">
        <f t="shared" ref="AI320" si="5506">IF(AI1=AI21,-IF(-(AI262+AI281)&lt;=0,-(AI262+AI281),0),IF(AI316&gt;0,0,-AI316)+IF(AH332&lt;0,0,AH332))</f>
        <v>0</v>
      </c>
      <c r="AJ320" s="57">
        <f t="shared" ref="AJ320" si="5507">IF(AJ1=AJ21,-IF(-(AJ262+AJ281)&lt;=0,-(AJ262+AJ281),0),IF(AJ316&gt;0,0,-AJ316)+IF(AI332&lt;0,0,AI332))</f>
        <v>0</v>
      </c>
      <c r="AK320" s="57">
        <f t="shared" ref="AK320" si="5508">IF(AK1=AK21,-IF(-(AK262+AK281)&lt;=0,-(AK262+AK281),0),IF(AK316&gt;0,0,-AK316)+IF(AJ332&lt;0,0,AJ332))</f>
        <v>0</v>
      </c>
      <c r="AL320" s="57">
        <f t="shared" ref="AL320" si="5509">IF(AL1=AL21,-IF(-(AL262+AL281)&lt;=0,-(AL262+AL281),0),IF(AL316&gt;0,0,-AL316)+IF(AK332&lt;0,0,AK332))</f>
        <v>0</v>
      </c>
      <c r="AM320" s="57">
        <f t="shared" ref="AM320" si="5510">IF(AM1=AM21,-IF(-(AM262+AM281)&lt;=0,-(AM262+AM281),0),IF(AM316&gt;0,0,-AM316)+IF(AL332&lt;0,0,AL332))</f>
        <v>0</v>
      </c>
      <c r="AN320" s="57">
        <f t="shared" ref="AN320" si="5511">IF(AN1=AN21,-IF(-(AN262+AN281)&lt;=0,-(AN262+AN281),0),IF(AN316&gt;0,0,-AN316)+IF(AM332&lt;0,0,AM332))</f>
        <v>0</v>
      </c>
      <c r="AO320" s="57">
        <f t="shared" ref="AO320" si="5512">IF(AO1=AO21,-IF(-(AO262+AO281)&lt;=0,-(AO262+AO281),0),IF(AO316&gt;0,0,-AO316)+IF(AN332&lt;0,0,AN332))</f>
        <v>0</v>
      </c>
      <c r="AP320" s="57">
        <f t="shared" ref="AP320" si="5513">IF(AP1=AP21,-IF(-(AP262+AP281)&lt;=0,-(AP262+AP281),0),IF(AP316&gt;0,0,-AP316)+IF(AO332&lt;0,0,AO332))</f>
        <v>0</v>
      </c>
      <c r="AQ320" s="57">
        <f t="shared" ref="AQ320" si="5514">IF(AQ1=AQ21,-IF(-(AQ262+AQ281)&lt;=0,-(AQ262+AQ281),0),IF(AQ316&gt;0,0,-AQ316)+IF(AP332&lt;0,0,AP332))</f>
        <v>0</v>
      </c>
      <c r="AR320" s="57">
        <f t="shared" ref="AR320" si="5515">IF(AR1=AR21,-IF(-(AR262+AR281)&lt;=0,-(AR262+AR281),0),IF(AR316&gt;0,0,-AR316)+IF(AQ332&lt;0,0,AQ332))</f>
        <v>0</v>
      </c>
      <c r="AS320" s="57">
        <f t="shared" ref="AS320" si="5516">IF(AS1=AS21,-IF(-(AS262+AS281)&lt;=0,-(AS262+AS281),0),IF(AS316&gt;0,0,-AS316)+IF(AR332&lt;0,0,AR332))</f>
        <v>0</v>
      </c>
      <c r="AT320" s="57">
        <f t="shared" ref="AT320" si="5517">IF(AT1=AT21,-IF(-(AT262+AT281)&lt;=0,-(AT262+AT281),0),IF(AT316&gt;0,0,-AT316)+IF(AS332&lt;0,0,AS332))</f>
        <v>0</v>
      </c>
      <c r="AU320" s="57">
        <f t="shared" ref="AU320" si="5518">IF(AU1=AU21,-IF(-(AU262+AU281)&lt;=0,-(AU262+AU281),0),IF(AU316&gt;0,0,-AU316)+IF(AT332&lt;0,0,AT332))</f>
        <v>0</v>
      </c>
      <c r="AV320" s="57">
        <f t="shared" ref="AV320" si="5519">IF(AV1=AV21,-IF(-(AV262+AV281)&lt;=0,-(AV262+AV281),0),IF(AV316&gt;0,0,-AV316)+IF(AU332&lt;0,0,AU332))</f>
        <v>0</v>
      </c>
      <c r="AW320" s="57">
        <f t="shared" ref="AW320" si="5520">IF(AW1=AW21,-IF(-(AW262+AW281)&lt;=0,-(AW262+AW281),0),IF(AW316&gt;0,0,-AW316)+IF(AV332&lt;0,0,AV332))</f>
        <v>0</v>
      </c>
      <c r="AX320" s="57">
        <f t="shared" ref="AX320" si="5521">IF(AX1=AX21,-IF(-(AX262+AX281)&lt;=0,-(AX262+AX281),0),IF(AX316&gt;0,0,-AX316)+IF(AW332&lt;0,0,AW332))</f>
        <v>0</v>
      </c>
      <c r="AY320" s="57">
        <f t="shared" ref="AY320" si="5522">IF(AY1=AY21,-IF(-(AY262+AY281)&lt;=0,-(AY262+AY281),0),IF(AY316&gt;0,0,-AY316)+IF(AX332&lt;0,0,AX332))</f>
        <v>0</v>
      </c>
      <c r="AZ320" s="57">
        <f t="shared" ref="AZ320" si="5523">IF(AZ1=AZ21,-IF(-(AZ262+AZ281)&lt;=0,-(AZ262+AZ281),0),IF(AZ316&gt;0,0,-AZ316)+IF(AY332&lt;0,0,AY332))</f>
        <v>0</v>
      </c>
      <c r="BA320" s="57">
        <f t="shared" ref="BA320" si="5524">IF(BA1=BA21,-IF(-(BA262+BA281)&lt;=0,-(BA262+BA281),0),IF(BA316&gt;0,0,-BA316)+IF(AZ332&lt;0,0,AZ332))</f>
        <v>0</v>
      </c>
      <c r="BB320" s="57">
        <f t="shared" ref="BB320" si="5525">IF(BB1=BB21,-IF(-(BB262+BB281)&lt;=0,-(BB262+BB281),0),IF(BB316&gt;0,0,-BB316)+IF(BA332&lt;0,0,BA332))</f>
        <v>0</v>
      </c>
      <c r="BC320" s="57">
        <f t="shared" ref="BC320" si="5526">IF(BC1=BC21,-IF(-(BC262+BC281)&lt;=0,-(BC262+BC281),0),IF(BC316&gt;0,0,-BC316)+IF(BB332&lt;0,0,BB332))</f>
        <v>0</v>
      </c>
      <c r="BD320" s="57">
        <f t="shared" ref="BD320" si="5527">IF(BD1=BD21,-IF(-(BD262+BD281)&lt;=0,-(BD262+BD281),0),IF(BD316&gt;0,0,-BD316)+IF(BC332&lt;0,0,BC332))</f>
        <v>0</v>
      </c>
      <c r="BE320" s="57">
        <f t="shared" ref="BE320" si="5528">IF(BE1=BE21,-IF(-(BE262+BE281)&lt;=0,-(BE262+BE281),0),IF(BE316&gt;0,0,-BE316)+IF(BD332&lt;0,0,BD332))</f>
        <v>0</v>
      </c>
      <c r="BF320" s="57">
        <f t="shared" ref="BF320" si="5529">IF(BF1=BF21,-IF(-(BF262+BF281)&lt;=0,-(BF262+BF281),0),IF(BF316&gt;0,0,-BF316)+IF(BE332&lt;0,0,BE332))</f>
        <v>0</v>
      </c>
      <c r="BG320" s="57">
        <f t="shared" ref="BG320" si="5530">IF(BG1=BG21,-IF(-(BG262+BG281)&lt;=0,-(BG262+BG281),0),IF(BG316&gt;0,0,-BG316)+IF(BF332&lt;0,0,BF332))</f>
        <v>0</v>
      </c>
      <c r="BH320" s="57">
        <f t="shared" ref="BH320" si="5531">IF(BH1=BH21,-IF(-(BH262+BH281)&lt;=0,-(BH262+BH281),0),IF(BH316&gt;0,0,-BH316)+IF(BG332&lt;0,0,BG332))</f>
        <v>0</v>
      </c>
      <c r="BI320" s="57">
        <f t="shared" ref="BI320" si="5532">IF(BI1=BI21,-IF(-(BI262+BI281)&lt;=0,-(BI262+BI281),0),IF(BI316&gt;0,0,-BI316)+IF(BH332&lt;0,0,BH332))</f>
        <v>0</v>
      </c>
      <c r="BJ320" s="57">
        <f t="shared" ref="BJ320" si="5533">IF(BJ1=BJ21,-IF(-(BJ262+BJ281)&lt;=0,-(BJ262+BJ281),0),IF(BJ316&gt;0,0,-BJ316)+IF(BI332&lt;0,0,BI332))</f>
        <v>0</v>
      </c>
      <c r="BK320" s="57">
        <f t="shared" ref="BK320" si="5534">IF(BK1=BK21,-IF(-(BK262+BK281)&lt;=0,-(BK262+BK281),0),IF(BK316&gt;0,0,-BK316)+IF(BJ332&lt;0,0,BJ332))</f>
        <v>0</v>
      </c>
      <c r="BL320" s="57">
        <f t="shared" ref="BL320" si="5535">IF(BL1=BL21,-IF(-(BL262+BL281)&lt;=0,-(BL262+BL281),0),IF(BL316&gt;0,0,-BL316)+IF(BK332&lt;0,0,BK332))</f>
        <v>0</v>
      </c>
      <c r="BM320" s="57">
        <f t="shared" ref="BM320" si="5536">IF(BM1=BM21,-IF(-(BM262+BM281)&lt;=0,-(BM262+BM281),0),IF(BM316&gt;0,0,-BM316)+IF(BL332&lt;0,0,BL332))</f>
        <v>0</v>
      </c>
      <c r="BN320" s="57">
        <f t="shared" ref="BN320" si="5537">IF(BN1=BN21,-IF(-(BN262+BN281)&lt;=0,-(BN262+BN281),0),IF(BN316&gt;0,0,-BN316)+IF(BM332&lt;0,0,BM332))</f>
        <v>0</v>
      </c>
      <c r="BO320" s="57">
        <f t="shared" ref="BO320" si="5538">IF(BO1=BO21,-IF(-(BO262+BO281)&lt;=0,-(BO262+BO281),0),IF(BO316&gt;0,0,-BO316)+IF(BN332&lt;0,0,BN332))</f>
        <v>0</v>
      </c>
      <c r="BP320" s="57">
        <f t="shared" ref="BP320" si="5539">IF(BP1=BP21,-IF(-(BP262+BP281)&lt;=0,-(BP262+BP281),0),IF(BP316&gt;0,0,-BP316)+IF(BO332&lt;0,0,BO332))</f>
        <v>0</v>
      </c>
      <c r="BQ320" s="57">
        <f t="shared" ref="BQ320" si="5540">IF(BQ1=BQ21,-IF(-(BQ262+BQ281)&lt;=0,-(BQ262+BQ281),0),IF(BQ316&gt;0,0,-BQ316)+IF(BP332&lt;0,0,BP332))</f>
        <v>0</v>
      </c>
      <c r="BR320" s="57">
        <f t="shared" ref="BR320" si="5541">IF(BR1=BR21,-IF(-(BR262+BR281)&lt;=0,-(BR262+BR281),0),IF(BR316&gt;0,0,-BR316)+IF(BQ332&lt;0,0,BQ332))</f>
        <v>0</v>
      </c>
      <c r="BS320" s="57">
        <f t="shared" ref="BS320" si="5542">IF(BS1=BS21,-IF(-(BS262+BS281)&lt;=0,-(BS262+BS281),0),IF(BS316&gt;0,0,-BS316)+IF(BR332&lt;0,0,BR332))</f>
        <v>0</v>
      </c>
      <c r="BT320" s="57">
        <f t="shared" ref="BT320" si="5543">IF(BT1=BT21,-IF(-(BT262+BT281)&lt;=0,-(BT262+BT281),0),IF(BT316&gt;0,0,-BT316)+IF(BS332&lt;0,0,BS332))</f>
        <v>0</v>
      </c>
      <c r="BU320" s="57">
        <f t="shared" ref="BU320" si="5544">IF(BU1=BU21,-IF(-(BU262+BU281)&lt;=0,-(BU262+BU281),0),IF(BU316&gt;0,0,-BU316)+IF(BT332&lt;0,0,BT332))</f>
        <v>0</v>
      </c>
      <c r="BV320" s="57">
        <f t="shared" ref="BV320" si="5545">IF(BV1=BV21,-IF(-(BV262+BV281)&lt;=0,-(BV262+BV281),0),IF(BV316&gt;0,0,-BV316)+IF(BU332&lt;0,0,BU332))</f>
        <v>0</v>
      </c>
      <c r="BW320" s="57">
        <f t="shared" ref="BW320" si="5546">IF(BW1=BW21,-IF(-(BW262+BW281)&lt;=0,-(BW262+BW281),0),IF(BW316&gt;0,0,-BW316)+IF(BV332&lt;0,0,BV332))</f>
        <v>0</v>
      </c>
      <c r="BX320" s="57">
        <f t="shared" ref="BX320" si="5547">IF(BX1=BX21,-IF(-(BX262+BX281)&lt;=0,-(BX262+BX281),0),IF(BX316&gt;0,0,-BX316)+IF(BW332&lt;0,0,BW332))</f>
        <v>0</v>
      </c>
      <c r="BY320" s="57">
        <f t="shared" ref="BY320" si="5548">IF(BY1=BY21,-IF(-(BY262+BY281)&lt;=0,-(BY262+BY281),0),IF(BY316&gt;0,0,-BY316)+IF(BX332&lt;0,0,BX332))</f>
        <v>0</v>
      </c>
      <c r="BZ320" s="57">
        <f t="shared" ref="BZ320" si="5549">IF(BZ1=BZ21,-IF(-(BZ262+BZ281)&lt;=0,-(BZ262+BZ281),0),IF(BZ316&gt;0,0,-BZ316)+IF(BY332&lt;0,0,BY332))</f>
        <v>0</v>
      </c>
      <c r="CA320" s="57">
        <f t="shared" ref="CA320" si="5550">IF(CA1=CA21,-IF(-(CA262+CA281)&lt;=0,-(CA262+CA281),0),IF(CA316&gt;0,0,-CA316)+IF(BZ332&lt;0,0,BZ332))</f>
        <v>0</v>
      </c>
      <c r="CB320" s="57">
        <f t="shared" ref="CB320" si="5551">IF(CB1=CB21,-IF(-(CB262+CB281)&lt;=0,-(CB262+CB281),0),IF(CB316&gt;0,0,-CB316)+IF(CA332&lt;0,0,CA332))</f>
        <v>0</v>
      </c>
      <c r="CC320" s="57">
        <f t="shared" ref="CC320" si="5552">IF(CC1=CC21,-IF(-(CC262+CC281)&lt;=0,-(CC262+CC281),0),IF(CC316&gt;0,0,-CC316)+IF(CB332&lt;0,0,CB332))</f>
        <v>0</v>
      </c>
      <c r="CD320" s="57">
        <f t="shared" ref="CD320" si="5553">IF(CD1=CD21,-IF(-(CD262+CD281)&lt;=0,-(CD262+CD281),0),IF(CD316&gt;0,0,-CD316)+IF(CC332&lt;0,0,CC332))</f>
        <v>0</v>
      </c>
      <c r="CE320" s="57">
        <f t="shared" ref="CE320" si="5554">IF(CE1=CE21,-IF(-(CE262+CE281)&lt;=0,-(CE262+CE281),0),IF(CE316&gt;0,0,-CE316)+IF(CD332&lt;0,0,CD332))</f>
        <v>0</v>
      </c>
      <c r="CF320" s="57">
        <f t="shared" ref="CF320" si="5555">IF(CF1=CF21,-IF(-(CF262+CF281)&lt;=0,-(CF262+CF281),0),IF(CF316&gt;0,0,-CF316)+IF(CE332&lt;0,0,CE332))</f>
        <v>0</v>
      </c>
      <c r="CG320" s="57">
        <f t="shared" ref="CG320" si="5556">IF(CG1=CG21,-IF(-(CG262+CG281)&lt;=0,-(CG262+CG281),0),IF(CG316&gt;0,0,-CG316)+IF(CF332&lt;0,0,CF332))</f>
        <v>0</v>
      </c>
      <c r="CH320" s="57">
        <f t="shared" ref="CH320" si="5557">IF(CH1=CH21,-IF(-(CH262+CH281)&lt;=0,-(CH262+CH281),0),IF(CH316&gt;0,0,-CH316)+IF(CG332&lt;0,0,CG332))</f>
        <v>0</v>
      </c>
      <c r="CI320" s="57">
        <f t="shared" ref="CI320" si="5558">IF(CI1=CI21,-IF(-(CI262+CI281)&lt;=0,-(CI262+CI281),0),IF(CI316&gt;0,0,-CI316)+IF(CH332&lt;0,0,CH332))</f>
        <v>0</v>
      </c>
      <c r="CJ320" s="57">
        <f t="shared" ref="CJ320" si="5559">IF(CJ1=CJ21,-IF(-(CJ262+CJ281)&lt;=0,-(CJ262+CJ281),0),IF(CJ316&gt;0,0,-CJ316)+IF(CI332&lt;0,0,CI332))</f>
        <v>0</v>
      </c>
      <c r="CK320" s="57">
        <f t="shared" ref="CK320" si="5560">IF(CK1=CK21,-IF(-(CK262+CK281)&lt;=0,-(CK262+CK281),0),IF(CK316&gt;0,0,-CK316)+IF(CJ332&lt;0,0,CJ332))</f>
        <v>0</v>
      </c>
      <c r="CL320" s="57">
        <f t="shared" ref="CL320" si="5561">IF(CL1=CL21,-IF(-(CL262+CL281)&lt;=0,-(CL262+CL281),0),IF(CL316&gt;0,0,-CL316)+IF(CK332&lt;0,0,CK332))</f>
        <v>0</v>
      </c>
      <c r="CM320" s="57">
        <f t="shared" ref="CM320" si="5562">IF(CM1=CM21,-IF(-(CM262+CM281)&lt;=0,-(CM262+CM281),0),IF(CM316&gt;0,0,-CM316)+IF(CL332&lt;0,0,CL332))</f>
        <v>0</v>
      </c>
      <c r="CN320" s="57">
        <f t="shared" ref="CN320" si="5563">IF(CN1=CN21,-IF(-(CN262+CN281)&lt;=0,-(CN262+CN281),0),IF(CN316&gt;0,0,-CN316)+IF(CM332&lt;0,0,CM332))</f>
        <v>0</v>
      </c>
      <c r="CO320" s="57">
        <f t="shared" ref="CO320" si="5564">IF(CO1=CO21,-IF(-(CO262+CO281)&lt;=0,-(CO262+CO281),0),IF(CO316&gt;0,0,-CO316)+IF(CN332&lt;0,0,CN332))</f>
        <v>0</v>
      </c>
      <c r="CP320" s="57">
        <f t="shared" ref="CP320" si="5565">IF(CP1=CP21,-IF(-(CP262+CP281)&lt;=0,-(CP262+CP281),0),IF(CP316&gt;0,0,-CP316)+IF(CO332&lt;0,0,CO332))</f>
        <v>0</v>
      </c>
      <c r="CQ320" s="57">
        <f t="shared" ref="CQ320" si="5566">IF(CQ1=CQ21,-IF(-(CQ262+CQ281)&lt;=0,-(CQ262+CQ281),0),IF(CQ316&gt;0,0,-CQ316)+IF(CP332&lt;0,0,CP332))</f>
        <v>0</v>
      </c>
      <c r="CR320" s="57">
        <f t="shared" ref="CR320" si="5567">IF(CR1=CR21,-IF(-(CR262+CR281)&lt;=0,-(CR262+CR281),0),IF(CR316&gt;0,0,-CR316)+IF(CQ332&lt;0,0,CQ332))</f>
        <v>0</v>
      </c>
      <c r="CS320" s="57">
        <f t="shared" ref="CS320" si="5568">IF(CS1=CS21,-IF(-(CS262+CS281)&lt;=0,-(CS262+CS281),0),IF(CS316&gt;0,0,-CS316)+IF(CR332&lt;0,0,CR332))</f>
        <v>0</v>
      </c>
      <c r="CT320" s="57">
        <f t="shared" ref="CT320" si="5569">IF(CT1=CT21,-IF(-(CT262+CT281)&lt;=0,-(CT262+CT281),0),IF(CT316&gt;0,0,-CT316)+IF(CS332&lt;0,0,CS332))</f>
        <v>0</v>
      </c>
      <c r="CU320" s="57">
        <f t="shared" ref="CU320" si="5570">IF(CU1=CU21,-IF(-(CU262+CU281)&lt;=0,-(CU262+CU281),0),IF(CU316&gt;0,0,-CU316)+IF(CT332&lt;0,0,CT332))</f>
        <v>0</v>
      </c>
      <c r="CV320" s="57">
        <f t="shared" ref="CV320" si="5571">IF(CV1=CV21,-IF(-(CV262+CV281)&lt;=0,-(CV262+CV281),0),IF(CV316&gt;0,0,-CV316)+IF(CU332&lt;0,0,CU332))</f>
        <v>0</v>
      </c>
      <c r="CW320" s="57">
        <f t="shared" ref="CW320" si="5572">IF(CW1=CW21,-IF(-(CW262+CW281)&lt;=0,-(CW262+CW281),0),IF(CW316&gt;0,0,-CW316)+IF(CV332&lt;0,0,CV332))</f>
        <v>0</v>
      </c>
      <c r="CX320" s="57">
        <f t="shared" ref="CX320" si="5573">IF(CX1=CX21,-IF(-(CX262+CX281)&lt;=0,-(CX262+CX281),0),IF(CX316&gt;0,0,-CX316)+IF(CW332&lt;0,0,CW332))</f>
        <v>0</v>
      </c>
      <c r="CY320" s="57">
        <f t="shared" ref="CY320" si="5574">IF(CY1=CY21,-IF(-(CY262+CY281)&lt;=0,-(CY262+CY281),0),IF(CY316&gt;0,0,-CY316)+IF(CX332&lt;0,0,CX332))</f>
        <v>0</v>
      </c>
      <c r="CZ320" s="57">
        <f t="shared" ref="CZ320" si="5575">IF(CZ1=CZ21,-IF(-(CZ262+CZ281)&lt;=0,-(CZ262+CZ281),0),IF(CZ316&gt;0,0,-CZ316)+IF(CY332&lt;0,0,CY332))</f>
        <v>0</v>
      </c>
      <c r="DA320" s="57">
        <f t="shared" ref="DA320" si="5576">IF(DA1=DA21,-IF(-(DA262+DA281)&lt;=0,-(DA262+DA281),0),IF(DA316&gt;0,0,-DA316)+IF(CZ332&lt;0,0,CZ332))</f>
        <v>0</v>
      </c>
      <c r="DB320" s="57">
        <f t="shared" ref="DB320" si="5577">IF(DB1=DB21,-IF(-(DB262+DB281)&lt;=0,-(DB262+DB281),0),IF(DB316&gt;0,0,-DB316)+IF(DA332&lt;0,0,DA332))</f>
        <v>0</v>
      </c>
      <c r="DC320" s="57">
        <f t="shared" ref="DC320" si="5578">IF(DC1=DC21,-IF(-(DC262+DC281)&lt;=0,-(DC262+DC281),0),IF(DC316&gt;0,0,-DC316)+IF(DB332&lt;0,0,DB332))</f>
        <v>0</v>
      </c>
      <c r="DD320" s="57">
        <f t="shared" ref="DD320" si="5579">IF(DD1=DD21,-IF(-(DD262+DD281)&lt;=0,-(DD262+DD281),0),IF(DD316&gt;0,0,-DD316)+IF(DC332&lt;0,0,DC332))</f>
        <v>0</v>
      </c>
      <c r="DE320" s="57">
        <f t="shared" ref="DE320" si="5580">IF(DE1=DE21,-IF(-(DE262+DE281)&lt;=0,-(DE262+DE281),0),IF(DE316&gt;0,0,-DE316)+IF(DD332&lt;0,0,DD332))</f>
        <v>0</v>
      </c>
      <c r="DF320" s="57">
        <f t="shared" ref="DF320" si="5581">IF(DF1=DF21,-IF(-(DF262+DF281)&lt;=0,-(DF262+DF281),0),IF(DF316&gt;0,0,-DF316)+IF(DE332&lt;0,0,DE332))</f>
        <v>0</v>
      </c>
      <c r="DG320" s="57">
        <f t="shared" ref="DG320" si="5582">IF(DG1=DG21,-IF(-(DG262+DG281)&lt;=0,-(DG262+DG281),0),IF(DG316&gt;0,0,-DG316)+IF(DF332&lt;0,0,DF332))</f>
        <v>0</v>
      </c>
      <c r="DH320" s="57">
        <f t="shared" ref="DH320" si="5583">IF(DH1=DH21,-IF(-(DH262+DH281)&lt;=0,-(DH262+DH281),0),IF(DH316&gt;0,0,-DH316)+IF(DG332&lt;0,0,DG332))</f>
        <v>0</v>
      </c>
      <c r="DI320" s="57">
        <f t="shared" ref="DI320" si="5584">IF(DI1=DI21,-IF(-(DI262+DI281)&lt;=0,-(DI262+DI281),0),IF(DI316&gt;0,0,-DI316)+IF(DH332&lt;0,0,DH332))</f>
        <v>0</v>
      </c>
      <c r="DJ320" s="57">
        <f t="shared" ref="DJ320" si="5585">IF(DJ1=DJ21,-IF(-(DJ262+DJ281)&lt;=0,-(DJ262+DJ281),0),IF(DJ316&gt;0,0,-DJ316)+IF(DI332&lt;0,0,DI332))</f>
        <v>0</v>
      </c>
      <c r="DK320" s="57">
        <f t="shared" ref="DK320" si="5586">IF(DK1=DK21,-IF(-(DK262+DK281)&lt;=0,-(DK262+DK281),0),IF(DK316&gt;0,0,-DK316)+IF(DJ332&lt;0,0,DJ332))</f>
        <v>0</v>
      </c>
      <c r="DL320" s="57">
        <f t="shared" ref="DL320" si="5587">IF(DL1=DL21,-IF(-(DL262+DL281)&lt;=0,-(DL262+DL281),0),IF(DL316&gt;0,0,-DL316)+IF(DK332&lt;0,0,DK332))</f>
        <v>0</v>
      </c>
      <c r="DM320" s="57">
        <f t="shared" ref="DM320" si="5588">IF(DM1=DM21,-IF(-(DM262+DM281)&lt;=0,-(DM262+DM281),0),IF(DM316&gt;0,0,-DM316)+IF(DL332&lt;0,0,DL332))</f>
        <v>0</v>
      </c>
      <c r="DN320" s="57">
        <f t="shared" ref="DN320" si="5589">IF(DN1=DN21,-IF(-(DN262+DN281)&lt;=0,-(DN262+DN281),0),IF(DN316&gt;0,0,-DN316)+IF(DM332&lt;0,0,DM332))</f>
        <v>0</v>
      </c>
      <c r="DO320" s="57">
        <f t="shared" ref="DO320" si="5590">IF(DO1=DO21,-IF(-(DO262+DO281)&lt;=0,-(DO262+DO281),0),IF(DO316&gt;0,0,-DO316)+IF(DN332&lt;0,0,DN332))</f>
        <v>0</v>
      </c>
      <c r="DP320" s="57">
        <f t="shared" ref="DP320" si="5591">IF(DP1=DP21,-IF(-(DP262+DP281)&lt;=0,-(DP262+DP281),0),IF(DP316&gt;0,0,-DP316)+IF(DO332&lt;0,0,DO332))</f>
        <v>0</v>
      </c>
      <c r="DQ320" s="57">
        <f t="shared" ref="DQ320" si="5592">IF(DQ1=DQ21,-IF(-(DQ262+DQ281)&lt;=0,-(DQ262+DQ281),0),IF(DQ316&gt;0,0,-DQ316)+IF(DP332&lt;0,0,DP332))</f>
        <v>0</v>
      </c>
      <c r="DR320" s="57">
        <f t="shared" ref="DR320" si="5593">IF(DR1=DR21,-IF(-(DR262+DR281)&lt;=0,-(DR262+DR281),0),IF(DR316&gt;0,0,-DR316)+IF(DQ332&lt;0,0,DQ332))</f>
        <v>0</v>
      </c>
      <c r="DS320" s="57">
        <f t="shared" ref="DS320" si="5594">IF(DS1=DS21,-IF(-(DS262+DS281)&lt;=0,-(DS262+DS281),0),IF(DS316&gt;0,0,-DS316)+IF(DR332&lt;0,0,DR332))</f>
        <v>0</v>
      </c>
      <c r="DT320" s="57">
        <f t="shared" ref="DT320" si="5595">IF(DT1=DT21,-IF(-(DT262+DT281)&lt;=0,-(DT262+DT281),0),IF(DT316&gt;0,0,-DT316)+IF(DS332&lt;0,0,DS332))</f>
        <v>0</v>
      </c>
      <c r="DU320" s="57">
        <f t="shared" ref="DU320" si="5596">IF(DU1=DU21,-IF(-(DU262+DU281)&lt;=0,-(DU262+DU281),0),IF(DU316&gt;0,0,-DU316)+IF(DT332&lt;0,0,DT332))</f>
        <v>0</v>
      </c>
      <c r="DV320" s="57">
        <f t="shared" ref="DV320" si="5597">IF(DV1=DV21,-IF(-(DV262+DV281)&lt;=0,-(DV262+DV281),0),IF(DV316&gt;0,0,-DV316)+IF(DU332&lt;0,0,DU332))</f>
        <v>0</v>
      </c>
      <c r="DW320" s="57">
        <f t="shared" ref="DW320" si="5598">IF(DW1=DW21,-IF(-(DW262+DW281)&lt;=0,-(DW262+DW281),0),IF(DW316&gt;0,0,-DW316)+IF(DV332&lt;0,0,DV332))</f>
        <v>0</v>
      </c>
      <c r="DX320" s="57">
        <f t="shared" ref="DX320" si="5599">IF(DX1=DX21,-IF(-(DX262+DX281)&lt;=0,-(DX262+DX281),0),IF(DX316&gt;0,0,-DX316)+IF(DW332&lt;0,0,DW332))</f>
        <v>0</v>
      </c>
      <c r="DY320" s="57">
        <f t="shared" ref="DY320" si="5600">IF(DY1=DY21,-IF(-(DY262+DY281)&lt;=0,-(DY262+DY281),0),IF(DY316&gt;0,0,-DY316)+IF(DX332&lt;0,0,DX332))</f>
        <v>0</v>
      </c>
      <c r="DZ320" s="57">
        <f t="shared" ref="DZ320" si="5601">IF(DZ1=DZ21,-IF(-(DZ262+DZ281)&lt;=0,-(DZ262+DZ281),0),IF(DZ316&gt;0,0,-DZ316)+IF(DY332&lt;0,0,DY332))</f>
        <v>0</v>
      </c>
      <c r="EA320" s="57">
        <f t="shared" ref="EA320" si="5602">IF(EA1=EA21,-IF(-(EA262+EA281)&lt;=0,-(EA262+EA281),0),IF(EA316&gt;0,0,-EA316)+IF(DZ332&lt;0,0,DZ332))</f>
        <v>0</v>
      </c>
      <c r="EB320" s="57">
        <f t="shared" ref="EB320" si="5603">IF(EB1=EB21,-IF(-(EB262+EB281)&lt;=0,-(EB262+EB281),0),IF(EB316&gt;0,0,-EB316)+IF(EA332&lt;0,0,EA332))</f>
        <v>0</v>
      </c>
      <c r="EC320" s="57">
        <f t="shared" ref="EC320" si="5604">IF(EC1=EC21,-IF(-(EC262+EC281)&lt;=0,-(EC262+EC281),0),IF(EC316&gt;0,0,-EC316)+IF(EB332&lt;0,0,EB332))</f>
        <v>0</v>
      </c>
      <c r="ED320" s="57">
        <f t="shared" ref="ED320" si="5605">IF(ED1=ED21,-IF(-(ED262+ED281)&lt;=0,-(ED262+ED281),0),IF(ED316&gt;0,0,-ED316)+IF(EC332&lt;0,0,EC332))</f>
        <v>0</v>
      </c>
      <c r="EE320" s="57">
        <f t="shared" ref="EE320" si="5606">IF(EE1=EE21,-IF(-(EE262+EE281)&lt;=0,-(EE262+EE281),0),IF(EE316&gt;0,0,-EE316)+IF(ED332&lt;0,0,ED332))</f>
        <v>0</v>
      </c>
      <c r="EF320" s="57">
        <f t="shared" ref="EF320" si="5607">IF(EF1=EF21,-IF(-(EF262+EF281)&lt;=0,-(EF262+EF281),0),IF(EF316&gt;0,0,-EF316)+IF(EE332&lt;0,0,EE332))</f>
        <v>0</v>
      </c>
      <c r="EG320" s="57">
        <f t="shared" ref="EG320" si="5608">IF(EG1=EG21,-IF(-(EG262+EG281)&lt;=0,-(EG262+EG281),0),IF(EG316&gt;0,0,-EG316)+IF(EF332&lt;0,0,EF332))</f>
        <v>0</v>
      </c>
      <c r="EH320" s="57">
        <f t="shared" ref="EH320" si="5609">IF(EH1=EH21,-IF(-(EH262+EH281)&lt;=0,-(EH262+EH281),0),IF(EH316&gt;0,0,-EH316)+IF(EG332&lt;0,0,EG332))</f>
        <v>0</v>
      </c>
      <c r="EI320" s="57">
        <f t="shared" ref="EI320" si="5610">IF(EI1=EI21,-IF(-(EI262+EI281)&lt;=0,-(EI262+EI281),0),IF(EI316&gt;0,0,-EI316)+IF(EH332&lt;0,0,EH332))</f>
        <v>0</v>
      </c>
      <c r="EJ320" s="57">
        <f t="shared" ref="EJ320" si="5611">IF(EJ1=EJ21,-IF(-(EJ262+EJ281)&lt;=0,-(EJ262+EJ281),0),IF(EJ316&gt;0,0,-EJ316)+IF(EI332&lt;0,0,EI332))</f>
        <v>0</v>
      </c>
      <c r="EK320" s="57">
        <f t="shared" ref="EK320" si="5612">IF(EK1=EK21,-IF(-(EK262+EK281)&lt;=0,-(EK262+EK281),0),IF(EK316&gt;0,0,-EK316)+IF(EJ332&lt;0,0,EJ332))</f>
        <v>0</v>
      </c>
      <c r="EL320" s="57">
        <f t="shared" ref="EL320" si="5613">IF(EL1=EL21,-IF(-(EL262+EL281)&lt;=0,-(EL262+EL281),0),IF(EL316&gt;0,0,-EL316)+IF(EK332&lt;0,0,EK332))</f>
        <v>0</v>
      </c>
      <c r="EM320" s="57">
        <f t="shared" ref="EM320" si="5614">IF(EM1=EM21,-IF(-(EM262+EM281)&lt;=0,-(EM262+EM281),0),IF(EM316&gt;0,0,-EM316)+IF(EL332&lt;0,0,EL332))</f>
        <v>0</v>
      </c>
      <c r="EN320" s="57">
        <f t="shared" ref="EN320" si="5615">IF(EN1=EN21,-IF(-(EN262+EN281)&lt;=0,-(EN262+EN281),0),IF(EN316&gt;0,0,-EN316)+IF(EM332&lt;0,0,EM332))</f>
        <v>0</v>
      </c>
      <c r="EO320" s="57">
        <f t="shared" ref="EO320" si="5616">IF(EO1=EO21,-IF(-(EO262+EO281)&lt;=0,-(EO262+EO281),0),IF(EO316&gt;0,0,-EO316)+IF(EN332&lt;0,0,EN332))</f>
        <v>0</v>
      </c>
      <c r="EP320" s="57">
        <f t="shared" ref="EP320" si="5617">IF(EP1=EP21,-IF(-(EP262+EP281)&lt;=0,-(EP262+EP281),0),IF(EP316&gt;0,0,-EP316)+IF(EO332&lt;0,0,EO332))</f>
        <v>0</v>
      </c>
      <c r="EQ320" s="57">
        <f t="shared" ref="EQ320" si="5618">IF(EQ1=EQ21,-IF(-(EQ262+EQ281)&lt;=0,-(EQ262+EQ281),0),IF(EQ316&gt;0,0,-EQ316)+IF(EP332&lt;0,0,EP332))</f>
        <v>0</v>
      </c>
      <c r="ER320" s="57">
        <f t="shared" ref="ER320" si="5619">IF(ER1=ER21,-IF(-(ER262+ER281)&lt;=0,-(ER262+ER281),0),IF(ER316&gt;0,0,-ER316)+IF(EQ332&lt;0,0,EQ332))</f>
        <v>0</v>
      </c>
      <c r="ES320" s="57">
        <f t="shared" ref="ES320" si="5620">IF(ES1=ES21,-IF(-(ES262+ES281)&lt;=0,-(ES262+ES281),0),IF(ES316&gt;0,0,-ES316)+IF(ER332&lt;0,0,ER332))</f>
        <v>0</v>
      </c>
      <c r="ET320" s="57">
        <f t="shared" ref="ET320" si="5621">IF(ET1=ET21,-IF(-(ET262+ET281)&lt;=0,-(ET262+ET281),0),IF(ET316&gt;0,0,-ET316)+IF(ES332&lt;0,0,ES332))</f>
        <v>0</v>
      </c>
      <c r="EU320" s="57">
        <f t="shared" ref="EU320" si="5622">IF(EU1=EU21,-IF(-(EU262+EU281)&lt;=0,-(EU262+EU281),0),IF(EU316&gt;0,0,-EU316)+IF(ET332&lt;0,0,ET332))</f>
        <v>0</v>
      </c>
      <c r="EV320" s="57">
        <f t="shared" ref="EV320" si="5623">IF(EV1=EV21,-IF(-(EV262+EV281)&lt;=0,-(EV262+EV281),0),IF(EV316&gt;0,0,-EV316)+IF(EU332&lt;0,0,EU332))</f>
        <v>0</v>
      </c>
      <c r="EW320" s="57">
        <f t="shared" ref="EW320" si="5624">IF(EW1=EW21,-IF(-(EW262+EW281)&lt;=0,-(EW262+EW281),0),IF(EW316&gt;0,0,-EW316)+IF(EV332&lt;0,0,EV332))</f>
        <v>0</v>
      </c>
      <c r="EX320" s="57">
        <f t="shared" ref="EX320" si="5625">IF(EX1=EX21,-IF(-(EX262+EX281)&lt;=0,-(EX262+EX281),0),IF(EX316&gt;0,0,-EX316)+IF(EW332&lt;0,0,EW332))</f>
        <v>0</v>
      </c>
      <c r="EY320" s="57">
        <f t="shared" ref="EY320" si="5626">IF(EY1=EY21,-IF(-(EY262+EY281)&lt;=0,-(EY262+EY281),0),IF(EY316&gt;0,0,-EY316)+IF(EX332&lt;0,0,EX332))</f>
        <v>0</v>
      </c>
      <c r="EZ320" s="57">
        <f t="shared" ref="EZ320" si="5627">IF(EZ1=EZ21,-IF(-(EZ262+EZ281)&lt;=0,-(EZ262+EZ281),0),IF(EZ316&gt;0,0,-EZ316)+IF(EY332&lt;0,0,EY332))</f>
        <v>0</v>
      </c>
      <c r="FA320" s="57">
        <f t="shared" ref="FA320" si="5628">IF(FA1=FA21,-IF(-(FA262+FA281)&lt;=0,-(FA262+FA281),0),IF(FA316&gt;0,0,-FA316)+IF(EZ332&lt;0,0,EZ332))</f>
        <v>0</v>
      </c>
      <c r="FB320" s="57">
        <f t="shared" ref="FB320" si="5629">IF(FB1=FB21,-IF(-(FB262+FB281)&lt;=0,-(FB262+FB281),0),IF(FB316&gt;0,0,-FB316)+IF(FA332&lt;0,0,FA332))</f>
        <v>0</v>
      </c>
      <c r="FC320" s="57">
        <f t="shared" ref="FC320" si="5630">IF(FC1=FC21,-IF(-(FC262+FC281)&lt;=0,-(FC262+FC281),0),IF(FC316&gt;0,0,-FC316)+IF(FB332&lt;0,0,FB332))</f>
        <v>0</v>
      </c>
      <c r="FD320" s="57">
        <f t="shared" ref="FD320" si="5631">IF(FD1=FD21,-IF(-(FD262+FD281)&lt;=0,-(FD262+FD281),0),IF(FD316&gt;0,0,-FD316)+IF(FC332&lt;0,0,FC332))</f>
        <v>0</v>
      </c>
      <c r="FE320" s="57">
        <f t="shared" ref="FE320" si="5632">IF(FE1=FE21,-IF(-(FE262+FE281)&lt;=0,-(FE262+FE281),0),IF(FE316&gt;0,0,-FE316)+IF(FD332&lt;0,0,FD332))</f>
        <v>0</v>
      </c>
      <c r="FF320" s="57">
        <f t="shared" ref="FF320" si="5633">IF(FF1=FF21,-IF(-(FF262+FF281)&lt;=0,-(FF262+FF281),0),IF(FF316&gt;0,0,-FF316)+IF(FE332&lt;0,0,FE332))</f>
        <v>0</v>
      </c>
      <c r="FG320" s="57">
        <f t="shared" ref="FG320" si="5634">IF(FG1=FG21,-IF(-(FG262+FG281)&lt;=0,-(FG262+FG281),0),IF(FG316&gt;0,0,-FG316)+IF(FF332&lt;0,0,FF332))</f>
        <v>0</v>
      </c>
      <c r="FH320" s="57">
        <f t="shared" ref="FH320" si="5635">IF(FH1=FH21,-IF(-(FH262+FH281)&lt;=0,-(FH262+FH281),0),IF(FH316&gt;0,0,-FH316)+IF(FG332&lt;0,0,FG332))</f>
        <v>0</v>
      </c>
      <c r="FI320" s="57">
        <f t="shared" ref="FI320" si="5636">IF(FI1=FI21,-IF(-(FI262+FI281)&lt;=0,-(FI262+FI281),0),IF(FI316&gt;0,0,-FI316)+IF(FH332&lt;0,0,FH332))</f>
        <v>0</v>
      </c>
      <c r="FJ320" s="57">
        <f t="shared" ref="FJ320" si="5637">IF(FJ1=FJ21,-IF(-(FJ262+FJ281)&lt;=0,-(FJ262+FJ281),0),IF(FJ316&gt;0,0,-FJ316)+IF(FI332&lt;0,0,FI332))</f>
        <v>0</v>
      </c>
      <c r="FK320" s="57">
        <f t="shared" ref="FK320" si="5638">IF(FK1=FK21,-IF(-(FK262+FK281)&lt;=0,-(FK262+FK281),0),IF(FK316&gt;0,0,-FK316)+IF(FJ332&lt;0,0,FJ332))</f>
        <v>0</v>
      </c>
      <c r="FL320" s="57">
        <f t="shared" ref="FL320" si="5639">IF(FL1=FL21,-IF(-(FL262+FL281)&lt;=0,-(FL262+FL281),0),IF(FL316&gt;0,0,-FL316)+IF(FK332&lt;0,0,FK332))</f>
        <v>0</v>
      </c>
      <c r="FM320" s="57">
        <f t="shared" ref="FM320" si="5640">IF(FM1=FM21,-IF(-(FM262+FM281)&lt;=0,-(FM262+FM281),0),IF(FM316&gt;0,0,-FM316)+IF(FL332&lt;0,0,FL332))</f>
        <v>0</v>
      </c>
      <c r="FN320" s="57">
        <f t="shared" ref="FN320" si="5641">IF(FN1=FN21,-IF(-(FN262+FN281)&lt;=0,-(FN262+FN281),0),IF(FN316&gt;0,0,-FN316)+IF(FM332&lt;0,0,FM332))</f>
        <v>0</v>
      </c>
      <c r="FO320" s="57">
        <f t="shared" ref="FO320" si="5642">IF(FO1=FO21,-IF(-(FO262+FO281)&lt;=0,-(FO262+FO281),0),IF(FO316&gt;0,0,-FO316)+IF(FN332&lt;0,0,FN332))</f>
        <v>0</v>
      </c>
      <c r="FP320" s="57">
        <f t="shared" ref="FP320" si="5643">IF(FP1=FP21,-IF(-(FP262+FP281)&lt;=0,-(FP262+FP281),0),IF(FP316&gt;0,0,-FP316)+IF(FO332&lt;0,0,FO332))</f>
        <v>0</v>
      </c>
      <c r="FQ320" s="57">
        <f t="shared" ref="FQ320" si="5644">IF(FQ1=FQ21,-IF(-(FQ262+FQ281)&lt;=0,-(FQ262+FQ281),0),IF(FQ316&gt;0,0,-FQ316)+IF(FP332&lt;0,0,FP332))</f>
        <v>0</v>
      </c>
      <c r="FR320" s="57">
        <f t="shared" ref="FR320" si="5645">IF(FR1=FR21,-IF(-(FR262+FR281)&lt;=0,-(FR262+FR281),0),IF(FR316&gt;0,0,-FR316)+IF(FQ332&lt;0,0,FQ332))</f>
        <v>0</v>
      </c>
      <c r="FS320" s="57">
        <f t="shared" ref="FS320" si="5646">IF(FS1=FS21,-IF(-(FS262+FS281)&lt;=0,-(FS262+FS281),0),IF(FS316&gt;0,0,-FS316)+IF(FR332&lt;0,0,FR332))</f>
        <v>0</v>
      </c>
      <c r="FT320" s="57">
        <f t="shared" ref="FT320" si="5647">IF(FT1=FT21,-IF(-(FT262+FT281)&lt;=0,-(FT262+FT281),0),IF(FT316&gt;0,0,-FT316)+IF(FS332&lt;0,0,FS332))</f>
        <v>0</v>
      </c>
      <c r="FU320" s="57">
        <f t="shared" ref="FU320" si="5648">IF(FU1=FU21,-IF(-(FU262+FU281)&lt;=0,-(FU262+FU281),0),IF(FU316&gt;0,0,-FU316)+IF(FT332&lt;0,0,FT332))</f>
        <v>0</v>
      </c>
      <c r="FV320" s="57">
        <f t="shared" ref="FV320" si="5649">IF(FV1=FV21,-IF(-(FV262+FV281)&lt;=0,-(FV262+FV281),0),IF(FV316&gt;0,0,-FV316)+IF(FU332&lt;0,0,FU332))</f>
        <v>0</v>
      </c>
      <c r="FW320" s="57">
        <f t="shared" ref="FW320" si="5650">IF(FW1=FW21,-IF(-(FW262+FW281)&lt;=0,-(FW262+FW281),0),IF(FW316&gt;0,0,-FW316)+IF(FV332&lt;0,0,FV332))</f>
        <v>0</v>
      </c>
      <c r="FX320" s="57">
        <f t="shared" ref="FX320" si="5651">IF(FX1=FX21,-IF(-(FX262+FX281)&lt;=0,-(FX262+FX281),0),IF(FX316&gt;0,0,-FX316)+IF(FW332&lt;0,0,FW332))</f>
        <v>0</v>
      </c>
      <c r="FY320" s="57">
        <f t="shared" ref="FY320" si="5652">IF(FY1=FY21,-IF(-(FY262+FY281)&lt;=0,-(FY262+FY281),0),IF(FY316&gt;0,0,-FY316)+IF(FX332&lt;0,0,FX332))</f>
        <v>0</v>
      </c>
    </row>
    <row r="321" spans="1:181" x14ac:dyDescent="0.2">
      <c r="A321" s="2" t="s">
        <v>243</v>
      </c>
      <c r="B321" s="57">
        <f t="shared" ref="B321:E321" si="5653">IFERROR(B266*B333,0)</f>
        <v>0</v>
      </c>
      <c r="C321" s="57">
        <f t="shared" si="5653"/>
        <v>0</v>
      </c>
      <c r="D321" s="57">
        <f t="shared" si="5653"/>
        <v>0</v>
      </c>
      <c r="E321" s="57">
        <f t="shared" si="5653"/>
        <v>0</v>
      </c>
      <c r="F321" s="57">
        <f t="shared" ref="F321:BQ321" si="5654">IFERROR(F266*F333,0)</f>
        <v>0</v>
      </c>
      <c r="G321" s="57">
        <f t="shared" si="5654"/>
        <v>0</v>
      </c>
      <c r="H321" s="57">
        <f t="shared" si="5654"/>
        <v>0</v>
      </c>
      <c r="I321" s="57">
        <f t="shared" si="5654"/>
        <v>0</v>
      </c>
      <c r="J321" s="57">
        <f t="shared" si="5654"/>
        <v>0</v>
      </c>
      <c r="K321" s="57">
        <f t="shared" si="5654"/>
        <v>0</v>
      </c>
      <c r="L321" s="57">
        <f t="shared" si="5654"/>
        <v>0</v>
      </c>
      <c r="M321" s="57">
        <f t="shared" si="5654"/>
        <v>0</v>
      </c>
      <c r="N321" s="57">
        <f t="shared" si="5654"/>
        <v>0</v>
      </c>
      <c r="O321" s="57">
        <f t="shared" si="5654"/>
        <v>0</v>
      </c>
      <c r="P321" s="57">
        <f t="shared" si="5654"/>
        <v>0</v>
      </c>
      <c r="Q321" s="57">
        <f t="shared" si="5654"/>
        <v>0</v>
      </c>
      <c r="R321" s="57">
        <f t="shared" si="5654"/>
        <v>0</v>
      </c>
      <c r="S321" s="57">
        <f t="shared" si="5654"/>
        <v>0</v>
      </c>
      <c r="T321" s="57">
        <f t="shared" si="5654"/>
        <v>0</v>
      </c>
      <c r="U321" s="57">
        <f t="shared" si="5654"/>
        <v>0</v>
      </c>
      <c r="V321" s="57">
        <f t="shared" si="5654"/>
        <v>0</v>
      </c>
      <c r="W321" s="57">
        <f t="shared" si="5654"/>
        <v>0</v>
      </c>
      <c r="X321" s="57">
        <f t="shared" si="5654"/>
        <v>0</v>
      </c>
      <c r="Y321" s="57">
        <f t="shared" si="5654"/>
        <v>0</v>
      </c>
      <c r="Z321" s="57">
        <f t="shared" si="5654"/>
        <v>0</v>
      </c>
      <c r="AA321" s="57">
        <f t="shared" si="5654"/>
        <v>0</v>
      </c>
      <c r="AB321" s="57">
        <f t="shared" si="5654"/>
        <v>0</v>
      </c>
      <c r="AC321" s="57">
        <f t="shared" si="5654"/>
        <v>0</v>
      </c>
      <c r="AD321" s="57">
        <f t="shared" si="5654"/>
        <v>0</v>
      </c>
      <c r="AE321" s="57">
        <f t="shared" si="5654"/>
        <v>0</v>
      </c>
      <c r="AF321" s="57">
        <f t="shared" si="5654"/>
        <v>0</v>
      </c>
      <c r="AG321" s="57">
        <f t="shared" si="5654"/>
        <v>0</v>
      </c>
      <c r="AH321" s="57">
        <f t="shared" si="5654"/>
        <v>0</v>
      </c>
      <c r="AI321" s="57">
        <f t="shared" si="5654"/>
        <v>0</v>
      </c>
      <c r="AJ321" s="57">
        <f t="shared" si="5654"/>
        <v>0</v>
      </c>
      <c r="AK321" s="57">
        <f t="shared" si="5654"/>
        <v>0</v>
      </c>
      <c r="AL321" s="57">
        <f t="shared" si="5654"/>
        <v>0</v>
      </c>
      <c r="AM321" s="57">
        <f t="shared" si="5654"/>
        <v>0</v>
      </c>
      <c r="AN321" s="57">
        <f t="shared" si="5654"/>
        <v>0</v>
      </c>
      <c r="AO321" s="57">
        <f t="shared" si="5654"/>
        <v>0</v>
      </c>
      <c r="AP321" s="57">
        <f t="shared" si="5654"/>
        <v>0</v>
      </c>
      <c r="AQ321" s="57">
        <f t="shared" si="5654"/>
        <v>0</v>
      </c>
      <c r="AR321" s="57">
        <f t="shared" si="5654"/>
        <v>0</v>
      </c>
      <c r="AS321" s="57">
        <f t="shared" si="5654"/>
        <v>0</v>
      </c>
      <c r="AT321" s="57">
        <f t="shared" si="5654"/>
        <v>0</v>
      </c>
      <c r="AU321" s="57">
        <f t="shared" si="5654"/>
        <v>0</v>
      </c>
      <c r="AV321" s="57">
        <f t="shared" si="5654"/>
        <v>0</v>
      </c>
      <c r="AW321" s="57">
        <f t="shared" si="5654"/>
        <v>0</v>
      </c>
      <c r="AX321" s="57">
        <f t="shared" si="5654"/>
        <v>0</v>
      </c>
      <c r="AY321" s="57">
        <f t="shared" si="5654"/>
        <v>0</v>
      </c>
      <c r="AZ321" s="57">
        <f t="shared" si="5654"/>
        <v>0</v>
      </c>
      <c r="BA321" s="57">
        <f t="shared" si="5654"/>
        <v>0</v>
      </c>
      <c r="BB321" s="57">
        <f t="shared" si="5654"/>
        <v>0</v>
      </c>
      <c r="BC321" s="57">
        <f t="shared" si="5654"/>
        <v>0</v>
      </c>
      <c r="BD321" s="57">
        <f t="shared" si="5654"/>
        <v>0</v>
      </c>
      <c r="BE321" s="57">
        <f t="shared" si="5654"/>
        <v>0</v>
      </c>
      <c r="BF321" s="57">
        <f t="shared" si="5654"/>
        <v>0</v>
      </c>
      <c r="BG321" s="57">
        <f t="shared" si="5654"/>
        <v>0</v>
      </c>
      <c r="BH321" s="57">
        <f t="shared" si="5654"/>
        <v>0</v>
      </c>
      <c r="BI321" s="57">
        <f t="shared" si="5654"/>
        <v>0</v>
      </c>
      <c r="BJ321" s="57">
        <f t="shared" si="5654"/>
        <v>0</v>
      </c>
      <c r="BK321" s="57">
        <f t="shared" si="5654"/>
        <v>0</v>
      </c>
      <c r="BL321" s="57">
        <f t="shared" si="5654"/>
        <v>0</v>
      </c>
      <c r="BM321" s="57">
        <f t="shared" si="5654"/>
        <v>0</v>
      </c>
      <c r="BN321" s="57">
        <f t="shared" si="5654"/>
        <v>0</v>
      </c>
      <c r="BO321" s="57">
        <f t="shared" si="5654"/>
        <v>0</v>
      </c>
      <c r="BP321" s="57">
        <f t="shared" si="5654"/>
        <v>0</v>
      </c>
      <c r="BQ321" s="57">
        <f t="shared" si="5654"/>
        <v>0</v>
      </c>
      <c r="BR321" s="57">
        <f t="shared" ref="BR321:EC321" si="5655">IFERROR(BR266*BR333,0)</f>
        <v>0</v>
      </c>
      <c r="BS321" s="57">
        <f t="shared" si="5655"/>
        <v>0</v>
      </c>
      <c r="BT321" s="57">
        <f t="shared" si="5655"/>
        <v>0</v>
      </c>
      <c r="BU321" s="57">
        <f t="shared" si="5655"/>
        <v>0</v>
      </c>
      <c r="BV321" s="57">
        <f t="shared" si="5655"/>
        <v>0</v>
      </c>
      <c r="BW321" s="57">
        <f t="shared" si="5655"/>
        <v>0</v>
      </c>
      <c r="BX321" s="57">
        <f t="shared" si="5655"/>
        <v>0</v>
      </c>
      <c r="BY321" s="57">
        <f t="shared" si="5655"/>
        <v>0</v>
      </c>
      <c r="BZ321" s="57">
        <f t="shared" si="5655"/>
        <v>0</v>
      </c>
      <c r="CA321" s="57">
        <f t="shared" si="5655"/>
        <v>0</v>
      </c>
      <c r="CB321" s="57">
        <f t="shared" si="5655"/>
        <v>0</v>
      </c>
      <c r="CC321" s="57">
        <f t="shared" si="5655"/>
        <v>0</v>
      </c>
      <c r="CD321" s="57">
        <f t="shared" si="5655"/>
        <v>0</v>
      </c>
      <c r="CE321" s="57">
        <f t="shared" si="5655"/>
        <v>0</v>
      </c>
      <c r="CF321" s="57">
        <f t="shared" si="5655"/>
        <v>0</v>
      </c>
      <c r="CG321" s="57">
        <f t="shared" si="5655"/>
        <v>0</v>
      </c>
      <c r="CH321" s="57">
        <f t="shared" si="5655"/>
        <v>0</v>
      </c>
      <c r="CI321" s="57">
        <f t="shared" si="5655"/>
        <v>0</v>
      </c>
      <c r="CJ321" s="57">
        <f t="shared" si="5655"/>
        <v>0</v>
      </c>
      <c r="CK321" s="57">
        <f t="shared" si="5655"/>
        <v>0</v>
      </c>
      <c r="CL321" s="57">
        <f t="shared" si="5655"/>
        <v>0</v>
      </c>
      <c r="CM321" s="57">
        <f t="shared" si="5655"/>
        <v>0</v>
      </c>
      <c r="CN321" s="57">
        <f t="shared" si="5655"/>
        <v>0</v>
      </c>
      <c r="CO321" s="57">
        <f t="shared" si="5655"/>
        <v>0</v>
      </c>
      <c r="CP321" s="57">
        <f t="shared" si="5655"/>
        <v>0</v>
      </c>
      <c r="CQ321" s="57">
        <f t="shared" si="5655"/>
        <v>0</v>
      </c>
      <c r="CR321" s="57">
        <f t="shared" si="5655"/>
        <v>0</v>
      </c>
      <c r="CS321" s="57">
        <f t="shared" si="5655"/>
        <v>0</v>
      </c>
      <c r="CT321" s="57">
        <f t="shared" si="5655"/>
        <v>0</v>
      </c>
      <c r="CU321" s="57">
        <f t="shared" si="5655"/>
        <v>0</v>
      </c>
      <c r="CV321" s="57">
        <f t="shared" si="5655"/>
        <v>0</v>
      </c>
      <c r="CW321" s="57">
        <f t="shared" si="5655"/>
        <v>0</v>
      </c>
      <c r="CX321" s="57">
        <f t="shared" si="5655"/>
        <v>0</v>
      </c>
      <c r="CY321" s="57">
        <f t="shared" si="5655"/>
        <v>0</v>
      </c>
      <c r="CZ321" s="57">
        <f t="shared" si="5655"/>
        <v>0</v>
      </c>
      <c r="DA321" s="57">
        <f t="shared" si="5655"/>
        <v>0</v>
      </c>
      <c r="DB321" s="57">
        <f t="shared" si="5655"/>
        <v>0</v>
      </c>
      <c r="DC321" s="57">
        <f t="shared" si="5655"/>
        <v>0</v>
      </c>
      <c r="DD321" s="57">
        <f t="shared" si="5655"/>
        <v>0</v>
      </c>
      <c r="DE321" s="57">
        <f t="shared" si="5655"/>
        <v>0</v>
      </c>
      <c r="DF321" s="57">
        <f t="shared" si="5655"/>
        <v>0</v>
      </c>
      <c r="DG321" s="57">
        <f t="shared" si="5655"/>
        <v>0</v>
      </c>
      <c r="DH321" s="57">
        <f t="shared" si="5655"/>
        <v>0</v>
      </c>
      <c r="DI321" s="57">
        <f t="shared" si="5655"/>
        <v>0</v>
      </c>
      <c r="DJ321" s="57">
        <f t="shared" si="5655"/>
        <v>0</v>
      </c>
      <c r="DK321" s="57">
        <f t="shared" si="5655"/>
        <v>0</v>
      </c>
      <c r="DL321" s="57">
        <f t="shared" si="5655"/>
        <v>0</v>
      </c>
      <c r="DM321" s="57">
        <f t="shared" si="5655"/>
        <v>0</v>
      </c>
      <c r="DN321" s="57">
        <f t="shared" si="5655"/>
        <v>0</v>
      </c>
      <c r="DO321" s="57">
        <f t="shared" si="5655"/>
        <v>0</v>
      </c>
      <c r="DP321" s="57">
        <f t="shared" si="5655"/>
        <v>0</v>
      </c>
      <c r="DQ321" s="57">
        <f t="shared" si="5655"/>
        <v>0</v>
      </c>
      <c r="DR321" s="57">
        <f t="shared" si="5655"/>
        <v>0</v>
      </c>
      <c r="DS321" s="57">
        <f t="shared" si="5655"/>
        <v>0</v>
      </c>
      <c r="DT321" s="57">
        <f t="shared" si="5655"/>
        <v>0</v>
      </c>
      <c r="DU321" s="57">
        <f t="shared" si="5655"/>
        <v>0</v>
      </c>
      <c r="DV321" s="57">
        <f t="shared" si="5655"/>
        <v>0</v>
      </c>
      <c r="DW321" s="57">
        <f t="shared" si="5655"/>
        <v>0</v>
      </c>
      <c r="DX321" s="57">
        <f t="shared" si="5655"/>
        <v>0</v>
      </c>
      <c r="DY321" s="57">
        <f t="shared" si="5655"/>
        <v>0</v>
      </c>
      <c r="DZ321" s="57">
        <f t="shared" si="5655"/>
        <v>0</v>
      </c>
      <c r="EA321" s="57">
        <f t="shared" si="5655"/>
        <v>0</v>
      </c>
      <c r="EB321" s="57">
        <f t="shared" si="5655"/>
        <v>0</v>
      </c>
      <c r="EC321" s="57">
        <f t="shared" si="5655"/>
        <v>0</v>
      </c>
      <c r="ED321" s="57">
        <f t="shared" ref="ED321:FY321" si="5656">IFERROR(ED266*ED333,0)</f>
        <v>0</v>
      </c>
      <c r="EE321" s="57">
        <f t="shared" si="5656"/>
        <v>0</v>
      </c>
      <c r="EF321" s="57">
        <f t="shared" si="5656"/>
        <v>0</v>
      </c>
      <c r="EG321" s="57">
        <f t="shared" si="5656"/>
        <v>0</v>
      </c>
      <c r="EH321" s="57">
        <f t="shared" si="5656"/>
        <v>0</v>
      </c>
      <c r="EI321" s="57">
        <f t="shared" si="5656"/>
        <v>0</v>
      </c>
      <c r="EJ321" s="57">
        <f t="shared" si="5656"/>
        <v>0</v>
      </c>
      <c r="EK321" s="57">
        <f t="shared" si="5656"/>
        <v>0</v>
      </c>
      <c r="EL321" s="57">
        <f t="shared" si="5656"/>
        <v>0</v>
      </c>
      <c r="EM321" s="57">
        <f t="shared" si="5656"/>
        <v>0</v>
      </c>
      <c r="EN321" s="57">
        <f t="shared" si="5656"/>
        <v>0</v>
      </c>
      <c r="EO321" s="57">
        <f t="shared" si="5656"/>
        <v>0</v>
      </c>
      <c r="EP321" s="57">
        <f t="shared" si="5656"/>
        <v>0</v>
      </c>
      <c r="EQ321" s="57">
        <f t="shared" si="5656"/>
        <v>0</v>
      </c>
      <c r="ER321" s="57">
        <f t="shared" si="5656"/>
        <v>0</v>
      </c>
      <c r="ES321" s="57">
        <f t="shared" si="5656"/>
        <v>0</v>
      </c>
      <c r="ET321" s="57">
        <f t="shared" si="5656"/>
        <v>0</v>
      </c>
      <c r="EU321" s="57">
        <f t="shared" si="5656"/>
        <v>0</v>
      </c>
      <c r="EV321" s="57">
        <f t="shared" si="5656"/>
        <v>0</v>
      </c>
      <c r="EW321" s="57">
        <f t="shared" si="5656"/>
        <v>0</v>
      </c>
      <c r="EX321" s="57">
        <f t="shared" si="5656"/>
        <v>0</v>
      </c>
      <c r="EY321" s="57">
        <f t="shared" si="5656"/>
        <v>0</v>
      </c>
      <c r="EZ321" s="57">
        <f t="shared" si="5656"/>
        <v>0</v>
      </c>
      <c r="FA321" s="57">
        <f t="shared" si="5656"/>
        <v>0</v>
      </c>
      <c r="FB321" s="57">
        <f t="shared" si="5656"/>
        <v>0</v>
      </c>
      <c r="FC321" s="57">
        <f t="shared" si="5656"/>
        <v>0</v>
      </c>
      <c r="FD321" s="57">
        <f t="shared" si="5656"/>
        <v>0</v>
      </c>
      <c r="FE321" s="57">
        <f t="shared" si="5656"/>
        <v>0</v>
      </c>
      <c r="FF321" s="57">
        <f t="shared" si="5656"/>
        <v>0</v>
      </c>
      <c r="FG321" s="57">
        <f t="shared" si="5656"/>
        <v>0</v>
      </c>
      <c r="FH321" s="57">
        <f t="shared" si="5656"/>
        <v>0</v>
      </c>
      <c r="FI321" s="57">
        <f t="shared" si="5656"/>
        <v>0</v>
      </c>
      <c r="FJ321" s="57">
        <f t="shared" si="5656"/>
        <v>0</v>
      </c>
      <c r="FK321" s="57">
        <f t="shared" si="5656"/>
        <v>0</v>
      </c>
      <c r="FL321" s="57">
        <f t="shared" si="5656"/>
        <v>0</v>
      </c>
      <c r="FM321" s="57">
        <f t="shared" si="5656"/>
        <v>0</v>
      </c>
      <c r="FN321" s="57">
        <f t="shared" si="5656"/>
        <v>0</v>
      </c>
      <c r="FO321" s="57">
        <f t="shared" si="5656"/>
        <v>0</v>
      </c>
      <c r="FP321" s="57">
        <f t="shared" si="5656"/>
        <v>0</v>
      </c>
      <c r="FQ321" s="57">
        <f t="shared" si="5656"/>
        <v>0</v>
      </c>
      <c r="FR321" s="57">
        <f t="shared" si="5656"/>
        <v>0</v>
      </c>
      <c r="FS321" s="57">
        <f t="shared" si="5656"/>
        <v>0</v>
      </c>
      <c r="FT321" s="57">
        <f t="shared" si="5656"/>
        <v>0</v>
      </c>
      <c r="FU321" s="57">
        <f t="shared" si="5656"/>
        <v>0</v>
      </c>
      <c r="FV321" s="57">
        <f t="shared" si="5656"/>
        <v>0</v>
      </c>
      <c r="FW321" s="57">
        <f t="shared" si="5656"/>
        <v>0</v>
      </c>
      <c r="FX321" s="57">
        <f t="shared" si="5656"/>
        <v>0</v>
      </c>
      <c r="FY321" s="57">
        <f t="shared" si="5656"/>
        <v>0</v>
      </c>
    </row>
    <row r="322" spans="1:181" x14ac:dyDescent="0.2">
      <c r="A322" s="2" t="s">
        <v>244</v>
      </c>
      <c r="B322" s="57">
        <f t="shared" ref="B322:E322" si="5657">IFERROR(B267*B333,0)</f>
        <v>0</v>
      </c>
      <c r="C322" s="57">
        <f t="shared" si="5657"/>
        <v>0</v>
      </c>
      <c r="D322" s="57">
        <f t="shared" si="5657"/>
        <v>0</v>
      </c>
      <c r="E322" s="57">
        <f t="shared" si="5657"/>
        <v>0</v>
      </c>
      <c r="F322" s="57">
        <f t="shared" ref="F322:BQ322" si="5658">IFERROR(F267*F333,0)</f>
        <v>0</v>
      </c>
      <c r="G322" s="57">
        <f t="shared" si="5658"/>
        <v>0</v>
      </c>
      <c r="H322" s="57">
        <f t="shared" si="5658"/>
        <v>0</v>
      </c>
      <c r="I322" s="57">
        <f t="shared" si="5658"/>
        <v>0</v>
      </c>
      <c r="J322" s="57">
        <f t="shared" si="5658"/>
        <v>0</v>
      </c>
      <c r="K322" s="57">
        <f t="shared" si="5658"/>
        <v>0</v>
      </c>
      <c r="L322" s="57">
        <f t="shared" si="5658"/>
        <v>0</v>
      </c>
      <c r="M322" s="57">
        <f t="shared" si="5658"/>
        <v>0</v>
      </c>
      <c r="N322" s="57">
        <f t="shared" si="5658"/>
        <v>0</v>
      </c>
      <c r="O322" s="57">
        <f t="shared" si="5658"/>
        <v>0</v>
      </c>
      <c r="P322" s="57">
        <f t="shared" si="5658"/>
        <v>0</v>
      </c>
      <c r="Q322" s="57">
        <f t="shared" si="5658"/>
        <v>0</v>
      </c>
      <c r="R322" s="57">
        <f t="shared" si="5658"/>
        <v>0</v>
      </c>
      <c r="S322" s="57">
        <f t="shared" si="5658"/>
        <v>0</v>
      </c>
      <c r="T322" s="57">
        <f t="shared" si="5658"/>
        <v>0</v>
      </c>
      <c r="U322" s="57">
        <f t="shared" si="5658"/>
        <v>0</v>
      </c>
      <c r="V322" s="57">
        <f t="shared" si="5658"/>
        <v>0</v>
      </c>
      <c r="W322" s="57">
        <f t="shared" si="5658"/>
        <v>0</v>
      </c>
      <c r="X322" s="57">
        <f t="shared" si="5658"/>
        <v>0</v>
      </c>
      <c r="Y322" s="57">
        <f t="shared" si="5658"/>
        <v>0</v>
      </c>
      <c r="Z322" s="57">
        <f t="shared" si="5658"/>
        <v>0</v>
      </c>
      <c r="AA322" s="57">
        <f t="shared" si="5658"/>
        <v>0</v>
      </c>
      <c r="AB322" s="57">
        <f t="shared" si="5658"/>
        <v>0</v>
      </c>
      <c r="AC322" s="57">
        <f t="shared" si="5658"/>
        <v>0</v>
      </c>
      <c r="AD322" s="57">
        <f t="shared" si="5658"/>
        <v>0</v>
      </c>
      <c r="AE322" s="57">
        <f t="shared" si="5658"/>
        <v>0</v>
      </c>
      <c r="AF322" s="57">
        <f t="shared" si="5658"/>
        <v>0</v>
      </c>
      <c r="AG322" s="57">
        <f t="shared" si="5658"/>
        <v>0</v>
      </c>
      <c r="AH322" s="57">
        <f t="shared" si="5658"/>
        <v>0</v>
      </c>
      <c r="AI322" s="57">
        <f t="shared" si="5658"/>
        <v>0</v>
      </c>
      <c r="AJ322" s="57">
        <f t="shared" si="5658"/>
        <v>0</v>
      </c>
      <c r="AK322" s="57">
        <f t="shared" si="5658"/>
        <v>0</v>
      </c>
      <c r="AL322" s="57">
        <f t="shared" si="5658"/>
        <v>0</v>
      </c>
      <c r="AM322" s="57">
        <f t="shared" si="5658"/>
        <v>0</v>
      </c>
      <c r="AN322" s="57">
        <f t="shared" si="5658"/>
        <v>0</v>
      </c>
      <c r="AO322" s="57">
        <f t="shared" si="5658"/>
        <v>0</v>
      </c>
      <c r="AP322" s="57">
        <f t="shared" si="5658"/>
        <v>0</v>
      </c>
      <c r="AQ322" s="57">
        <f t="shared" si="5658"/>
        <v>0</v>
      </c>
      <c r="AR322" s="57">
        <f t="shared" si="5658"/>
        <v>0</v>
      </c>
      <c r="AS322" s="57">
        <f t="shared" si="5658"/>
        <v>0</v>
      </c>
      <c r="AT322" s="57">
        <f t="shared" si="5658"/>
        <v>0</v>
      </c>
      <c r="AU322" s="57">
        <f t="shared" si="5658"/>
        <v>0</v>
      </c>
      <c r="AV322" s="57">
        <f t="shared" si="5658"/>
        <v>0</v>
      </c>
      <c r="AW322" s="57">
        <f t="shared" si="5658"/>
        <v>0</v>
      </c>
      <c r="AX322" s="57">
        <f t="shared" si="5658"/>
        <v>0</v>
      </c>
      <c r="AY322" s="57">
        <f t="shared" si="5658"/>
        <v>0</v>
      </c>
      <c r="AZ322" s="57">
        <f t="shared" si="5658"/>
        <v>0</v>
      </c>
      <c r="BA322" s="57">
        <f t="shared" si="5658"/>
        <v>0</v>
      </c>
      <c r="BB322" s="57">
        <f t="shared" si="5658"/>
        <v>0</v>
      </c>
      <c r="BC322" s="57">
        <f t="shared" si="5658"/>
        <v>0</v>
      </c>
      <c r="BD322" s="57">
        <f t="shared" si="5658"/>
        <v>0</v>
      </c>
      <c r="BE322" s="57">
        <f t="shared" si="5658"/>
        <v>0</v>
      </c>
      <c r="BF322" s="57">
        <f t="shared" si="5658"/>
        <v>0</v>
      </c>
      <c r="BG322" s="57">
        <f t="shared" si="5658"/>
        <v>0</v>
      </c>
      <c r="BH322" s="57">
        <f t="shared" si="5658"/>
        <v>0</v>
      </c>
      <c r="BI322" s="57">
        <f t="shared" si="5658"/>
        <v>0</v>
      </c>
      <c r="BJ322" s="57">
        <f t="shared" si="5658"/>
        <v>0</v>
      </c>
      <c r="BK322" s="57">
        <f t="shared" si="5658"/>
        <v>0</v>
      </c>
      <c r="BL322" s="57">
        <f t="shared" si="5658"/>
        <v>0</v>
      </c>
      <c r="BM322" s="57">
        <f t="shared" si="5658"/>
        <v>0</v>
      </c>
      <c r="BN322" s="57">
        <f t="shared" si="5658"/>
        <v>0</v>
      </c>
      <c r="BO322" s="57">
        <f t="shared" si="5658"/>
        <v>0</v>
      </c>
      <c r="BP322" s="57">
        <f t="shared" si="5658"/>
        <v>0</v>
      </c>
      <c r="BQ322" s="57">
        <f t="shared" si="5658"/>
        <v>0</v>
      </c>
      <c r="BR322" s="57">
        <f t="shared" ref="BR322:EC322" si="5659">IFERROR(BR267*BR333,0)</f>
        <v>0</v>
      </c>
      <c r="BS322" s="57">
        <f t="shared" si="5659"/>
        <v>0</v>
      </c>
      <c r="BT322" s="57">
        <f t="shared" si="5659"/>
        <v>0</v>
      </c>
      <c r="BU322" s="57">
        <f t="shared" si="5659"/>
        <v>0</v>
      </c>
      <c r="BV322" s="57">
        <f t="shared" si="5659"/>
        <v>0</v>
      </c>
      <c r="BW322" s="57">
        <f t="shared" si="5659"/>
        <v>0</v>
      </c>
      <c r="BX322" s="57">
        <f t="shared" si="5659"/>
        <v>0</v>
      </c>
      <c r="BY322" s="57">
        <f t="shared" si="5659"/>
        <v>0</v>
      </c>
      <c r="BZ322" s="57">
        <f t="shared" si="5659"/>
        <v>0</v>
      </c>
      <c r="CA322" s="57">
        <f t="shared" si="5659"/>
        <v>0</v>
      </c>
      <c r="CB322" s="57">
        <f t="shared" si="5659"/>
        <v>0</v>
      </c>
      <c r="CC322" s="57">
        <f t="shared" si="5659"/>
        <v>0</v>
      </c>
      <c r="CD322" s="57">
        <f t="shared" si="5659"/>
        <v>0</v>
      </c>
      <c r="CE322" s="57">
        <f t="shared" si="5659"/>
        <v>0</v>
      </c>
      <c r="CF322" s="57">
        <f t="shared" si="5659"/>
        <v>0</v>
      </c>
      <c r="CG322" s="57">
        <f t="shared" si="5659"/>
        <v>0</v>
      </c>
      <c r="CH322" s="57">
        <f t="shared" si="5659"/>
        <v>0</v>
      </c>
      <c r="CI322" s="57">
        <f t="shared" si="5659"/>
        <v>0</v>
      </c>
      <c r="CJ322" s="57">
        <f t="shared" si="5659"/>
        <v>0</v>
      </c>
      <c r="CK322" s="57">
        <f t="shared" si="5659"/>
        <v>0</v>
      </c>
      <c r="CL322" s="57">
        <f t="shared" si="5659"/>
        <v>0</v>
      </c>
      <c r="CM322" s="57">
        <f t="shared" si="5659"/>
        <v>0</v>
      </c>
      <c r="CN322" s="57">
        <f t="shared" si="5659"/>
        <v>0</v>
      </c>
      <c r="CO322" s="57">
        <f t="shared" si="5659"/>
        <v>0</v>
      </c>
      <c r="CP322" s="57">
        <f t="shared" si="5659"/>
        <v>0</v>
      </c>
      <c r="CQ322" s="57">
        <f t="shared" si="5659"/>
        <v>0</v>
      </c>
      <c r="CR322" s="57">
        <f t="shared" si="5659"/>
        <v>0</v>
      </c>
      <c r="CS322" s="57">
        <f t="shared" si="5659"/>
        <v>0</v>
      </c>
      <c r="CT322" s="57">
        <f t="shared" si="5659"/>
        <v>0</v>
      </c>
      <c r="CU322" s="57">
        <f t="shared" si="5659"/>
        <v>0</v>
      </c>
      <c r="CV322" s="57">
        <f t="shared" si="5659"/>
        <v>0</v>
      </c>
      <c r="CW322" s="57">
        <f t="shared" si="5659"/>
        <v>0</v>
      </c>
      <c r="CX322" s="57">
        <f t="shared" si="5659"/>
        <v>0</v>
      </c>
      <c r="CY322" s="57">
        <f t="shared" si="5659"/>
        <v>0</v>
      </c>
      <c r="CZ322" s="57">
        <f t="shared" si="5659"/>
        <v>0</v>
      </c>
      <c r="DA322" s="57">
        <f t="shared" si="5659"/>
        <v>0</v>
      </c>
      <c r="DB322" s="57">
        <f t="shared" si="5659"/>
        <v>0</v>
      </c>
      <c r="DC322" s="57">
        <f t="shared" si="5659"/>
        <v>0</v>
      </c>
      <c r="DD322" s="57">
        <f t="shared" si="5659"/>
        <v>0</v>
      </c>
      <c r="DE322" s="57">
        <f t="shared" si="5659"/>
        <v>0</v>
      </c>
      <c r="DF322" s="57">
        <f t="shared" si="5659"/>
        <v>0</v>
      </c>
      <c r="DG322" s="57">
        <f t="shared" si="5659"/>
        <v>0</v>
      </c>
      <c r="DH322" s="57">
        <f t="shared" si="5659"/>
        <v>0</v>
      </c>
      <c r="DI322" s="57">
        <f t="shared" si="5659"/>
        <v>0</v>
      </c>
      <c r="DJ322" s="57">
        <f t="shared" si="5659"/>
        <v>0</v>
      </c>
      <c r="DK322" s="57">
        <f t="shared" si="5659"/>
        <v>0</v>
      </c>
      <c r="DL322" s="57">
        <f t="shared" si="5659"/>
        <v>0</v>
      </c>
      <c r="DM322" s="57">
        <f t="shared" si="5659"/>
        <v>0</v>
      </c>
      <c r="DN322" s="57">
        <f t="shared" si="5659"/>
        <v>0</v>
      </c>
      <c r="DO322" s="57">
        <f t="shared" si="5659"/>
        <v>0</v>
      </c>
      <c r="DP322" s="57">
        <f t="shared" si="5659"/>
        <v>0</v>
      </c>
      <c r="DQ322" s="57">
        <f t="shared" si="5659"/>
        <v>0</v>
      </c>
      <c r="DR322" s="57">
        <f t="shared" si="5659"/>
        <v>0</v>
      </c>
      <c r="DS322" s="57">
        <f t="shared" si="5659"/>
        <v>0</v>
      </c>
      <c r="DT322" s="57">
        <f t="shared" si="5659"/>
        <v>0</v>
      </c>
      <c r="DU322" s="57">
        <f t="shared" si="5659"/>
        <v>0</v>
      </c>
      <c r="DV322" s="57">
        <f t="shared" si="5659"/>
        <v>0</v>
      </c>
      <c r="DW322" s="57">
        <f t="shared" si="5659"/>
        <v>0</v>
      </c>
      <c r="DX322" s="57">
        <f t="shared" si="5659"/>
        <v>0</v>
      </c>
      <c r="DY322" s="57">
        <f t="shared" si="5659"/>
        <v>0</v>
      </c>
      <c r="DZ322" s="57">
        <f t="shared" si="5659"/>
        <v>0</v>
      </c>
      <c r="EA322" s="57">
        <f t="shared" si="5659"/>
        <v>0</v>
      </c>
      <c r="EB322" s="57">
        <f t="shared" si="5659"/>
        <v>0</v>
      </c>
      <c r="EC322" s="57">
        <f t="shared" si="5659"/>
        <v>0</v>
      </c>
      <c r="ED322" s="57">
        <f t="shared" ref="ED322:FY322" si="5660">IFERROR(ED267*ED333,0)</f>
        <v>0</v>
      </c>
      <c r="EE322" s="57">
        <f t="shared" si="5660"/>
        <v>0</v>
      </c>
      <c r="EF322" s="57">
        <f t="shared" si="5660"/>
        <v>0</v>
      </c>
      <c r="EG322" s="57">
        <f t="shared" si="5660"/>
        <v>0</v>
      </c>
      <c r="EH322" s="57">
        <f t="shared" si="5660"/>
        <v>0</v>
      </c>
      <c r="EI322" s="57">
        <f t="shared" si="5660"/>
        <v>0</v>
      </c>
      <c r="EJ322" s="57">
        <f t="shared" si="5660"/>
        <v>0</v>
      </c>
      <c r="EK322" s="57">
        <f t="shared" si="5660"/>
        <v>0</v>
      </c>
      <c r="EL322" s="57">
        <f t="shared" si="5660"/>
        <v>0</v>
      </c>
      <c r="EM322" s="57">
        <f t="shared" si="5660"/>
        <v>0</v>
      </c>
      <c r="EN322" s="57">
        <f t="shared" si="5660"/>
        <v>0</v>
      </c>
      <c r="EO322" s="57">
        <f t="shared" si="5660"/>
        <v>0</v>
      </c>
      <c r="EP322" s="57">
        <f t="shared" si="5660"/>
        <v>0</v>
      </c>
      <c r="EQ322" s="57">
        <f t="shared" si="5660"/>
        <v>0</v>
      </c>
      <c r="ER322" s="57">
        <f t="shared" si="5660"/>
        <v>0</v>
      </c>
      <c r="ES322" s="57">
        <f t="shared" si="5660"/>
        <v>0</v>
      </c>
      <c r="ET322" s="57">
        <f t="shared" si="5660"/>
        <v>0</v>
      </c>
      <c r="EU322" s="57">
        <f t="shared" si="5660"/>
        <v>0</v>
      </c>
      <c r="EV322" s="57">
        <f t="shared" si="5660"/>
        <v>0</v>
      </c>
      <c r="EW322" s="57">
        <f t="shared" si="5660"/>
        <v>0</v>
      </c>
      <c r="EX322" s="57">
        <f t="shared" si="5660"/>
        <v>0</v>
      </c>
      <c r="EY322" s="57">
        <f t="shared" si="5660"/>
        <v>0</v>
      </c>
      <c r="EZ322" s="57">
        <f t="shared" si="5660"/>
        <v>0</v>
      </c>
      <c r="FA322" s="57">
        <f t="shared" si="5660"/>
        <v>0</v>
      </c>
      <c r="FB322" s="57">
        <f t="shared" si="5660"/>
        <v>0</v>
      </c>
      <c r="FC322" s="57">
        <f t="shared" si="5660"/>
        <v>0</v>
      </c>
      <c r="FD322" s="57">
        <f t="shared" si="5660"/>
        <v>0</v>
      </c>
      <c r="FE322" s="57">
        <f t="shared" si="5660"/>
        <v>0</v>
      </c>
      <c r="FF322" s="57">
        <f t="shared" si="5660"/>
        <v>0</v>
      </c>
      <c r="FG322" s="57">
        <f t="shared" si="5660"/>
        <v>0</v>
      </c>
      <c r="FH322" s="57">
        <f t="shared" si="5660"/>
        <v>0</v>
      </c>
      <c r="FI322" s="57">
        <f t="shared" si="5660"/>
        <v>0</v>
      </c>
      <c r="FJ322" s="57">
        <f t="shared" si="5660"/>
        <v>0</v>
      </c>
      <c r="FK322" s="57">
        <f t="shared" si="5660"/>
        <v>0</v>
      </c>
      <c r="FL322" s="57">
        <f t="shared" si="5660"/>
        <v>0</v>
      </c>
      <c r="FM322" s="57">
        <f t="shared" si="5660"/>
        <v>0</v>
      </c>
      <c r="FN322" s="57">
        <f t="shared" si="5660"/>
        <v>0</v>
      </c>
      <c r="FO322" s="57">
        <f t="shared" si="5660"/>
        <v>0</v>
      </c>
      <c r="FP322" s="57">
        <f t="shared" si="5660"/>
        <v>0</v>
      </c>
      <c r="FQ322" s="57">
        <f t="shared" si="5660"/>
        <v>0</v>
      </c>
      <c r="FR322" s="57">
        <f t="shared" si="5660"/>
        <v>0</v>
      </c>
      <c r="FS322" s="57">
        <f t="shared" si="5660"/>
        <v>0</v>
      </c>
      <c r="FT322" s="57">
        <f t="shared" si="5660"/>
        <v>0</v>
      </c>
      <c r="FU322" s="57">
        <f t="shared" si="5660"/>
        <v>0</v>
      </c>
      <c r="FV322" s="57">
        <f t="shared" si="5660"/>
        <v>0</v>
      </c>
      <c r="FW322" s="57">
        <f t="shared" si="5660"/>
        <v>0</v>
      </c>
      <c r="FX322" s="57">
        <f t="shared" si="5660"/>
        <v>0</v>
      </c>
      <c r="FY322" s="57">
        <f t="shared" si="5660"/>
        <v>0</v>
      </c>
    </row>
    <row r="323" spans="1:181" x14ac:dyDescent="0.2">
      <c r="A323" s="2" t="s">
        <v>245</v>
      </c>
      <c r="B323" s="57">
        <f>IFERROR(B268*B333,0)</f>
        <v>0</v>
      </c>
      <c r="C323" s="57">
        <f t="shared" ref="C323:E323" si="5661">IFERROR(C268*C333,0)</f>
        <v>0</v>
      </c>
      <c r="D323" s="57">
        <f t="shared" si="5661"/>
        <v>0</v>
      </c>
      <c r="E323" s="57">
        <f t="shared" si="5661"/>
        <v>0</v>
      </c>
      <c r="F323" s="57">
        <f t="shared" ref="F323:BQ323" si="5662">IFERROR(F268*F333,0)</f>
        <v>0</v>
      </c>
      <c r="G323" s="57">
        <f t="shared" si="5662"/>
        <v>0</v>
      </c>
      <c r="H323" s="57">
        <f t="shared" si="5662"/>
        <v>0</v>
      </c>
      <c r="I323" s="57">
        <f t="shared" si="5662"/>
        <v>0</v>
      </c>
      <c r="J323" s="57">
        <f t="shared" si="5662"/>
        <v>0</v>
      </c>
      <c r="K323" s="57">
        <f t="shared" si="5662"/>
        <v>0</v>
      </c>
      <c r="L323" s="57">
        <f t="shared" si="5662"/>
        <v>0</v>
      </c>
      <c r="M323" s="57">
        <f t="shared" si="5662"/>
        <v>0</v>
      </c>
      <c r="N323" s="57">
        <f t="shared" si="5662"/>
        <v>0</v>
      </c>
      <c r="O323" s="57">
        <f t="shared" si="5662"/>
        <v>0</v>
      </c>
      <c r="P323" s="57">
        <f t="shared" si="5662"/>
        <v>0</v>
      </c>
      <c r="Q323" s="57">
        <f t="shared" si="5662"/>
        <v>0</v>
      </c>
      <c r="R323" s="57">
        <f t="shared" si="5662"/>
        <v>0</v>
      </c>
      <c r="S323" s="57">
        <f t="shared" si="5662"/>
        <v>0</v>
      </c>
      <c r="T323" s="57">
        <f t="shared" si="5662"/>
        <v>0</v>
      </c>
      <c r="U323" s="57">
        <f t="shared" si="5662"/>
        <v>0</v>
      </c>
      <c r="V323" s="57">
        <f t="shared" si="5662"/>
        <v>0</v>
      </c>
      <c r="W323" s="57">
        <f t="shared" si="5662"/>
        <v>0</v>
      </c>
      <c r="X323" s="57">
        <f t="shared" si="5662"/>
        <v>0</v>
      </c>
      <c r="Y323" s="57">
        <f t="shared" si="5662"/>
        <v>0</v>
      </c>
      <c r="Z323" s="57">
        <f t="shared" si="5662"/>
        <v>0</v>
      </c>
      <c r="AA323" s="57">
        <f t="shared" si="5662"/>
        <v>0</v>
      </c>
      <c r="AB323" s="57">
        <f t="shared" si="5662"/>
        <v>0</v>
      </c>
      <c r="AC323" s="57">
        <f t="shared" si="5662"/>
        <v>0</v>
      </c>
      <c r="AD323" s="57">
        <f t="shared" si="5662"/>
        <v>0</v>
      </c>
      <c r="AE323" s="57">
        <f t="shared" si="5662"/>
        <v>0</v>
      </c>
      <c r="AF323" s="57">
        <f t="shared" si="5662"/>
        <v>0</v>
      </c>
      <c r="AG323" s="57">
        <f t="shared" si="5662"/>
        <v>0</v>
      </c>
      <c r="AH323" s="57">
        <f t="shared" si="5662"/>
        <v>0</v>
      </c>
      <c r="AI323" s="57">
        <f t="shared" si="5662"/>
        <v>0</v>
      </c>
      <c r="AJ323" s="57">
        <f t="shared" si="5662"/>
        <v>0</v>
      </c>
      <c r="AK323" s="57">
        <f t="shared" si="5662"/>
        <v>0</v>
      </c>
      <c r="AL323" s="57">
        <f t="shared" si="5662"/>
        <v>0</v>
      </c>
      <c r="AM323" s="57">
        <f t="shared" si="5662"/>
        <v>0</v>
      </c>
      <c r="AN323" s="57">
        <f t="shared" si="5662"/>
        <v>0</v>
      </c>
      <c r="AO323" s="57">
        <f t="shared" si="5662"/>
        <v>0</v>
      </c>
      <c r="AP323" s="57">
        <f t="shared" si="5662"/>
        <v>0</v>
      </c>
      <c r="AQ323" s="57">
        <f t="shared" si="5662"/>
        <v>0</v>
      </c>
      <c r="AR323" s="57">
        <f t="shared" si="5662"/>
        <v>0</v>
      </c>
      <c r="AS323" s="57">
        <f t="shared" si="5662"/>
        <v>0</v>
      </c>
      <c r="AT323" s="57">
        <f t="shared" si="5662"/>
        <v>0</v>
      </c>
      <c r="AU323" s="57">
        <f t="shared" si="5662"/>
        <v>0</v>
      </c>
      <c r="AV323" s="57">
        <f t="shared" si="5662"/>
        <v>0</v>
      </c>
      <c r="AW323" s="57">
        <f t="shared" si="5662"/>
        <v>0</v>
      </c>
      <c r="AX323" s="57">
        <f t="shared" si="5662"/>
        <v>0</v>
      </c>
      <c r="AY323" s="57">
        <f t="shared" si="5662"/>
        <v>0</v>
      </c>
      <c r="AZ323" s="57">
        <f t="shared" si="5662"/>
        <v>0</v>
      </c>
      <c r="BA323" s="57">
        <f t="shared" si="5662"/>
        <v>0</v>
      </c>
      <c r="BB323" s="57">
        <f t="shared" si="5662"/>
        <v>0</v>
      </c>
      <c r="BC323" s="57">
        <f t="shared" si="5662"/>
        <v>0</v>
      </c>
      <c r="BD323" s="57">
        <f t="shared" si="5662"/>
        <v>0</v>
      </c>
      <c r="BE323" s="57">
        <f t="shared" si="5662"/>
        <v>0</v>
      </c>
      <c r="BF323" s="57">
        <f t="shared" si="5662"/>
        <v>0</v>
      </c>
      <c r="BG323" s="57">
        <f t="shared" si="5662"/>
        <v>0</v>
      </c>
      <c r="BH323" s="57">
        <f t="shared" si="5662"/>
        <v>0</v>
      </c>
      <c r="BI323" s="57">
        <f t="shared" si="5662"/>
        <v>0</v>
      </c>
      <c r="BJ323" s="57">
        <f t="shared" si="5662"/>
        <v>0</v>
      </c>
      <c r="BK323" s="57">
        <f t="shared" si="5662"/>
        <v>0</v>
      </c>
      <c r="BL323" s="57">
        <f t="shared" si="5662"/>
        <v>0</v>
      </c>
      <c r="BM323" s="57">
        <f t="shared" si="5662"/>
        <v>0</v>
      </c>
      <c r="BN323" s="57">
        <f t="shared" si="5662"/>
        <v>0</v>
      </c>
      <c r="BO323" s="57">
        <f t="shared" si="5662"/>
        <v>0</v>
      </c>
      <c r="BP323" s="57">
        <f t="shared" si="5662"/>
        <v>0</v>
      </c>
      <c r="BQ323" s="57">
        <f t="shared" si="5662"/>
        <v>0</v>
      </c>
      <c r="BR323" s="57">
        <f t="shared" ref="BR323:EC323" si="5663">IFERROR(BR268*BR333,0)</f>
        <v>0</v>
      </c>
      <c r="BS323" s="57">
        <f t="shared" si="5663"/>
        <v>0</v>
      </c>
      <c r="BT323" s="57">
        <f t="shared" si="5663"/>
        <v>0</v>
      </c>
      <c r="BU323" s="57">
        <f t="shared" si="5663"/>
        <v>0</v>
      </c>
      <c r="BV323" s="57">
        <f t="shared" si="5663"/>
        <v>0</v>
      </c>
      <c r="BW323" s="57">
        <f t="shared" si="5663"/>
        <v>0</v>
      </c>
      <c r="BX323" s="57">
        <f t="shared" si="5663"/>
        <v>0</v>
      </c>
      <c r="BY323" s="57">
        <f t="shared" si="5663"/>
        <v>0</v>
      </c>
      <c r="BZ323" s="57">
        <f t="shared" si="5663"/>
        <v>0</v>
      </c>
      <c r="CA323" s="57">
        <f t="shared" si="5663"/>
        <v>0</v>
      </c>
      <c r="CB323" s="57">
        <f t="shared" si="5663"/>
        <v>0</v>
      </c>
      <c r="CC323" s="57">
        <f t="shared" si="5663"/>
        <v>0</v>
      </c>
      <c r="CD323" s="57">
        <f t="shared" si="5663"/>
        <v>0</v>
      </c>
      <c r="CE323" s="57">
        <f t="shared" si="5663"/>
        <v>0</v>
      </c>
      <c r="CF323" s="57">
        <f t="shared" si="5663"/>
        <v>0</v>
      </c>
      <c r="CG323" s="57">
        <f t="shared" si="5663"/>
        <v>0</v>
      </c>
      <c r="CH323" s="57">
        <f t="shared" si="5663"/>
        <v>0</v>
      </c>
      <c r="CI323" s="57">
        <f t="shared" si="5663"/>
        <v>0</v>
      </c>
      <c r="CJ323" s="57">
        <f t="shared" si="5663"/>
        <v>0</v>
      </c>
      <c r="CK323" s="57">
        <f t="shared" si="5663"/>
        <v>0</v>
      </c>
      <c r="CL323" s="57">
        <f t="shared" si="5663"/>
        <v>0</v>
      </c>
      <c r="CM323" s="57">
        <f t="shared" si="5663"/>
        <v>0</v>
      </c>
      <c r="CN323" s="57">
        <f t="shared" si="5663"/>
        <v>0</v>
      </c>
      <c r="CO323" s="57">
        <f t="shared" si="5663"/>
        <v>0</v>
      </c>
      <c r="CP323" s="57">
        <f t="shared" si="5663"/>
        <v>0</v>
      </c>
      <c r="CQ323" s="57">
        <f t="shared" si="5663"/>
        <v>0</v>
      </c>
      <c r="CR323" s="57">
        <f t="shared" si="5663"/>
        <v>0</v>
      </c>
      <c r="CS323" s="57">
        <f t="shared" si="5663"/>
        <v>0</v>
      </c>
      <c r="CT323" s="57">
        <f t="shared" si="5663"/>
        <v>0</v>
      </c>
      <c r="CU323" s="57">
        <f t="shared" si="5663"/>
        <v>0</v>
      </c>
      <c r="CV323" s="57">
        <f t="shared" si="5663"/>
        <v>0</v>
      </c>
      <c r="CW323" s="57">
        <f t="shared" si="5663"/>
        <v>0</v>
      </c>
      <c r="CX323" s="57">
        <f t="shared" si="5663"/>
        <v>0</v>
      </c>
      <c r="CY323" s="57">
        <f t="shared" si="5663"/>
        <v>0</v>
      </c>
      <c r="CZ323" s="57">
        <f t="shared" si="5663"/>
        <v>0</v>
      </c>
      <c r="DA323" s="57">
        <f t="shared" si="5663"/>
        <v>0</v>
      </c>
      <c r="DB323" s="57">
        <f t="shared" si="5663"/>
        <v>0</v>
      </c>
      <c r="DC323" s="57">
        <f t="shared" si="5663"/>
        <v>0</v>
      </c>
      <c r="DD323" s="57">
        <f t="shared" si="5663"/>
        <v>0</v>
      </c>
      <c r="DE323" s="57">
        <f t="shared" si="5663"/>
        <v>0</v>
      </c>
      <c r="DF323" s="57">
        <f t="shared" si="5663"/>
        <v>0</v>
      </c>
      <c r="DG323" s="57">
        <f t="shared" si="5663"/>
        <v>0</v>
      </c>
      <c r="DH323" s="57">
        <f t="shared" si="5663"/>
        <v>0</v>
      </c>
      <c r="DI323" s="57">
        <f t="shared" si="5663"/>
        <v>0</v>
      </c>
      <c r="DJ323" s="57">
        <f t="shared" si="5663"/>
        <v>0</v>
      </c>
      <c r="DK323" s="57">
        <f t="shared" si="5663"/>
        <v>0</v>
      </c>
      <c r="DL323" s="57">
        <f t="shared" si="5663"/>
        <v>0</v>
      </c>
      <c r="DM323" s="57">
        <f t="shared" si="5663"/>
        <v>0</v>
      </c>
      <c r="DN323" s="57">
        <f t="shared" si="5663"/>
        <v>0</v>
      </c>
      <c r="DO323" s="57">
        <f t="shared" si="5663"/>
        <v>0</v>
      </c>
      <c r="DP323" s="57">
        <f t="shared" si="5663"/>
        <v>0</v>
      </c>
      <c r="DQ323" s="57">
        <f t="shared" si="5663"/>
        <v>0</v>
      </c>
      <c r="DR323" s="57">
        <f t="shared" si="5663"/>
        <v>0</v>
      </c>
      <c r="DS323" s="57">
        <f t="shared" si="5663"/>
        <v>0</v>
      </c>
      <c r="DT323" s="57">
        <f t="shared" si="5663"/>
        <v>0</v>
      </c>
      <c r="DU323" s="57">
        <f t="shared" si="5663"/>
        <v>0</v>
      </c>
      <c r="DV323" s="57">
        <f t="shared" si="5663"/>
        <v>0</v>
      </c>
      <c r="DW323" s="57">
        <f t="shared" si="5663"/>
        <v>0</v>
      </c>
      <c r="DX323" s="57">
        <f t="shared" si="5663"/>
        <v>0</v>
      </c>
      <c r="DY323" s="57">
        <f t="shared" si="5663"/>
        <v>0</v>
      </c>
      <c r="DZ323" s="57">
        <f t="shared" si="5663"/>
        <v>0</v>
      </c>
      <c r="EA323" s="57">
        <f t="shared" si="5663"/>
        <v>0</v>
      </c>
      <c r="EB323" s="57">
        <f t="shared" si="5663"/>
        <v>0</v>
      </c>
      <c r="EC323" s="57">
        <f t="shared" si="5663"/>
        <v>0</v>
      </c>
      <c r="ED323" s="57">
        <f t="shared" ref="ED323:FY323" si="5664">IFERROR(ED268*ED333,0)</f>
        <v>0</v>
      </c>
      <c r="EE323" s="57">
        <f t="shared" si="5664"/>
        <v>0</v>
      </c>
      <c r="EF323" s="57">
        <f t="shared" si="5664"/>
        <v>0</v>
      </c>
      <c r="EG323" s="57">
        <f t="shared" si="5664"/>
        <v>0</v>
      </c>
      <c r="EH323" s="57">
        <f t="shared" si="5664"/>
        <v>0</v>
      </c>
      <c r="EI323" s="57">
        <f t="shared" si="5664"/>
        <v>0</v>
      </c>
      <c r="EJ323" s="57">
        <f t="shared" si="5664"/>
        <v>0</v>
      </c>
      <c r="EK323" s="57">
        <f t="shared" si="5664"/>
        <v>0</v>
      </c>
      <c r="EL323" s="57">
        <f t="shared" si="5664"/>
        <v>0</v>
      </c>
      <c r="EM323" s="57">
        <f t="shared" si="5664"/>
        <v>0</v>
      </c>
      <c r="EN323" s="57">
        <f t="shared" si="5664"/>
        <v>0</v>
      </c>
      <c r="EO323" s="57">
        <f t="shared" si="5664"/>
        <v>0</v>
      </c>
      <c r="EP323" s="57">
        <f t="shared" si="5664"/>
        <v>0</v>
      </c>
      <c r="EQ323" s="57">
        <f t="shared" si="5664"/>
        <v>0</v>
      </c>
      <c r="ER323" s="57">
        <f t="shared" si="5664"/>
        <v>0</v>
      </c>
      <c r="ES323" s="57">
        <f t="shared" si="5664"/>
        <v>0</v>
      </c>
      <c r="ET323" s="57">
        <f t="shared" si="5664"/>
        <v>0</v>
      </c>
      <c r="EU323" s="57">
        <f t="shared" si="5664"/>
        <v>0</v>
      </c>
      <c r="EV323" s="57">
        <f t="shared" si="5664"/>
        <v>0</v>
      </c>
      <c r="EW323" s="57">
        <f t="shared" si="5664"/>
        <v>0</v>
      </c>
      <c r="EX323" s="57">
        <f t="shared" si="5664"/>
        <v>0</v>
      </c>
      <c r="EY323" s="57">
        <f t="shared" si="5664"/>
        <v>0</v>
      </c>
      <c r="EZ323" s="57">
        <f t="shared" si="5664"/>
        <v>0</v>
      </c>
      <c r="FA323" s="57">
        <f t="shared" si="5664"/>
        <v>0</v>
      </c>
      <c r="FB323" s="57">
        <f t="shared" si="5664"/>
        <v>0</v>
      </c>
      <c r="FC323" s="57">
        <f t="shared" si="5664"/>
        <v>0</v>
      </c>
      <c r="FD323" s="57">
        <f t="shared" si="5664"/>
        <v>0</v>
      </c>
      <c r="FE323" s="57">
        <f t="shared" si="5664"/>
        <v>0</v>
      </c>
      <c r="FF323" s="57">
        <f t="shared" si="5664"/>
        <v>0</v>
      </c>
      <c r="FG323" s="57">
        <f t="shared" si="5664"/>
        <v>0</v>
      </c>
      <c r="FH323" s="57">
        <f t="shared" si="5664"/>
        <v>0</v>
      </c>
      <c r="FI323" s="57">
        <f t="shared" si="5664"/>
        <v>0</v>
      </c>
      <c r="FJ323" s="57">
        <f t="shared" si="5664"/>
        <v>0</v>
      </c>
      <c r="FK323" s="57">
        <f t="shared" si="5664"/>
        <v>0</v>
      </c>
      <c r="FL323" s="57">
        <f t="shared" si="5664"/>
        <v>0</v>
      </c>
      <c r="FM323" s="57">
        <f t="shared" si="5664"/>
        <v>0</v>
      </c>
      <c r="FN323" s="57">
        <f t="shared" si="5664"/>
        <v>0</v>
      </c>
      <c r="FO323" s="57">
        <f t="shared" si="5664"/>
        <v>0</v>
      </c>
      <c r="FP323" s="57">
        <f t="shared" si="5664"/>
        <v>0</v>
      </c>
      <c r="FQ323" s="57">
        <f t="shared" si="5664"/>
        <v>0</v>
      </c>
      <c r="FR323" s="57">
        <f t="shared" si="5664"/>
        <v>0</v>
      </c>
      <c r="FS323" s="57">
        <f t="shared" si="5664"/>
        <v>0</v>
      </c>
      <c r="FT323" s="57">
        <f t="shared" si="5664"/>
        <v>0</v>
      </c>
      <c r="FU323" s="57">
        <f t="shared" si="5664"/>
        <v>0</v>
      </c>
      <c r="FV323" s="57">
        <f t="shared" si="5664"/>
        <v>0</v>
      </c>
      <c r="FW323" s="57">
        <f t="shared" si="5664"/>
        <v>0</v>
      </c>
      <c r="FX323" s="57">
        <f t="shared" si="5664"/>
        <v>0</v>
      </c>
      <c r="FY323" s="57">
        <f t="shared" si="5664"/>
        <v>0</v>
      </c>
    </row>
    <row r="324" spans="1:181" x14ac:dyDescent="0.2">
      <c r="A324" s="2" t="s">
        <v>246</v>
      </c>
      <c r="B324" s="57">
        <f t="shared" ref="B324:E324" si="5665">IFERROR(B269*B333,0)</f>
        <v>0</v>
      </c>
      <c r="C324" s="57">
        <f t="shared" si="5665"/>
        <v>0</v>
      </c>
      <c r="D324" s="57">
        <f t="shared" si="5665"/>
        <v>0</v>
      </c>
      <c r="E324" s="57">
        <f t="shared" si="5665"/>
        <v>0</v>
      </c>
      <c r="F324" s="57">
        <f t="shared" ref="F324:BQ324" si="5666">IFERROR(F269*F333,0)</f>
        <v>0</v>
      </c>
      <c r="G324" s="57">
        <f t="shared" si="5666"/>
        <v>0</v>
      </c>
      <c r="H324" s="57">
        <f t="shared" si="5666"/>
        <v>0</v>
      </c>
      <c r="I324" s="57">
        <f t="shared" si="5666"/>
        <v>0</v>
      </c>
      <c r="J324" s="57">
        <f t="shared" si="5666"/>
        <v>0</v>
      </c>
      <c r="K324" s="57">
        <f t="shared" si="5666"/>
        <v>0</v>
      </c>
      <c r="L324" s="57">
        <f t="shared" si="5666"/>
        <v>0</v>
      </c>
      <c r="M324" s="57">
        <f t="shared" si="5666"/>
        <v>0</v>
      </c>
      <c r="N324" s="57">
        <f t="shared" si="5666"/>
        <v>0</v>
      </c>
      <c r="O324" s="57">
        <f t="shared" si="5666"/>
        <v>0</v>
      </c>
      <c r="P324" s="57">
        <f t="shared" si="5666"/>
        <v>0</v>
      </c>
      <c r="Q324" s="57">
        <f t="shared" si="5666"/>
        <v>0</v>
      </c>
      <c r="R324" s="57">
        <f t="shared" si="5666"/>
        <v>0</v>
      </c>
      <c r="S324" s="57">
        <f t="shared" si="5666"/>
        <v>0</v>
      </c>
      <c r="T324" s="57">
        <f t="shared" si="5666"/>
        <v>0</v>
      </c>
      <c r="U324" s="57">
        <f t="shared" si="5666"/>
        <v>0</v>
      </c>
      <c r="V324" s="57">
        <f t="shared" si="5666"/>
        <v>0</v>
      </c>
      <c r="W324" s="57">
        <f t="shared" si="5666"/>
        <v>0</v>
      </c>
      <c r="X324" s="57">
        <f t="shared" si="5666"/>
        <v>0</v>
      </c>
      <c r="Y324" s="57">
        <f t="shared" si="5666"/>
        <v>0</v>
      </c>
      <c r="Z324" s="57">
        <f t="shared" si="5666"/>
        <v>0</v>
      </c>
      <c r="AA324" s="57">
        <f t="shared" si="5666"/>
        <v>0</v>
      </c>
      <c r="AB324" s="57">
        <f t="shared" si="5666"/>
        <v>0</v>
      </c>
      <c r="AC324" s="57">
        <f t="shared" si="5666"/>
        <v>0</v>
      </c>
      <c r="AD324" s="57">
        <f t="shared" si="5666"/>
        <v>0</v>
      </c>
      <c r="AE324" s="57">
        <f t="shared" si="5666"/>
        <v>0</v>
      </c>
      <c r="AF324" s="57">
        <f t="shared" si="5666"/>
        <v>0</v>
      </c>
      <c r="AG324" s="57">
        <f t="shared" si="5666"/>
        <v>0</v>
      </c>
      <c r="AH324" s="57">
        <f t="shared" si="5666"/>
        <v>0</v>
      </c>
      <c r="AI324" s="57">
        <f t="shared" si="5666"/>
        <v>0</v>
      </c>
      <c r="AJ324" s="57">
        <f t="shared" si="5666"/>
        <v>0</v>
      </c>
      <c r="AK324" s="57">
        <f t="shared" si="5666"/>
        <v>0</v>
      </c>
      <c r="AL324" s="57">
        <f t="shared" si="5666"/>
        <v>0</v>
      </c>
      <c r="AM324" s="57">
        <f t="shared" si="5666"/>
        <v>0</v>
      </c>
      <c r="AN324" s="57">
        <f t="shared" si="5666"/>
        <v>0</v>
      </c>
      <c r="AO324" s="57">
        <f t="shared" si="5666"/>
        <v>0</v>
      </c>
      <c r="AP324" s="57">
        <f t="shared" si="5666"/>
        <v>0</v>
      </c>
      <c r="AQ324" s="57">
        <f t="shared" si="5666"/>
        <v>0</v>
      </c>
      <c r="AR324" s="57">
        <f t="shared" si="5666"/>
        <v>0</v>
      </c>
      <c r="AS324" s="57">
        <f t="shared" si="5666"/>
        <v>0</v>
      </c>
      <c r="AT324" s="57">
        <f t="shared" si="5666"/>
        <v>0</v>
      </c>
      <c r="AU324" s="57">
        <f t="shared" si="5666"/>
        <v>0</v>
      </c>
      <c r="AV324" s="57">
        <f t="shared" si="5666"/>
        <v>0</v>
      </c>
      <c r="AW324" s="57">
        <f t="shared" si="5666"/>
        <v>0</v>
      </c>
      <c r="AX324" s="57">
        <f t="shared" si="5666"/>
        <v>0</v>
      </c>
      <c r="AY324" s="57">
        <f t="shared" si="5666"/>
        <v>0</v>
      </c>
      <c r="AZ324" s="57">
        <f t="shared" si="5666"/>
        <v>0</v>
      </c>
      <c r="BA324" s="57">
        <f t="shared" si="5666"/>
        <v>0</v>
      </c>
      <c r="BB324" s="57">
        <f t="shared" si="5666"/>
        <v>0</v>
      </c>
      <c r="BC324" s="57">
        <f t="shared" si="5666"/>
        <v>0</v>
      </c>
      <c r="BD324" s="57">
        <f t="shared" si="5666"/>
        <v>0</v>
      </c>
      <c r="BE324" s="57">
        <f t="shared" si="5666"/>
        <v>0</v>
      </c>
      <c r="BF324" s="57">
        <f t="shared" si="5666"/>
        <v>0</v>
      </c>
      <c r="BG324" s="57">
        <f t="shared" si="5666"/>
        <v>0</v>
      </c>
      <c r="BH324" s="57">
        <f t="shared" si="5666"/>
        <v>0</v>
      </c>
      <c r="BI324" s="57">
        <f t="shared" si="5666"/>
        <v>0</v>
      </c>
      <c r="BJ324" s="57">
        <f t="shared" si="5666"/>
        <v>0</v>
      </c>
      <c r="BK324" s="57">
        <f t="shared" si="5666"/>
        <v>0</v>
      </c>
      <c r="BL324" s="57">
        <f t="shared" si="5666"/>
        <v>0</v>
      </c>
      <c r="BM324" s="57">
        <f t="shared" si="5666"/>
        <v>0</v>
      </c>
      <c r="BN324" s="57">
        <f t="shared" si="5666"/>
        <v>0</v>
      </c>
      <c r="BO324" s="57">
        <f t="shared" si="5666"/>
        <v>0</v>
      </c>
      <c r="BP324" s="57">
        <f t="shared" si="5666"/>
        <v>0</v>
      </c>
      <c r="BQ324" s="57">
        <f t="shared" si="5666"/>
        <v>0</v>
      </c>
      <c r="BR324" s="57">
        <f t="shared" ref="BR324:EC324" si="5667">IFERROR(BR269*BR333,0)</f>
        <v>0</v>
      </c>
      <c r="BS324" s="57">
        <f t="shared" si="5667"/>
        <v>0</v>
      </c>
      <c r="BT324" s="57">
        <f t="shared" si="5667"/>
        <v>0</v>
      </c>
      <c r="BU324" s="57">
        <f t="shared" si="5667"/>
        <v>0</v>
      </c>
      <c r="BV324" s="57">
        <f t="shared" si="5667"/>
        <v>0</v>
      </c>
      <c r="BW324" s="57">
        <f t="shared" si="5667"/>
        <v>0</v>
      </c>
      <c r="BX324" s="57">
        <f t="shared" si="5667"/>
        <v>0</v>
      </c>
      <c r="BY324" s="57">
        <f t="shared" si="5667"/>
        <v>0</v>
      </c>
      <c r="BZ324" s="57">
        <f t="shared" si="5667"/>
        <v>0</v>
      </c>
      <c r="CA324" s="57">
        <f t="shared" si="5667"/>
        <v>0</v>
      </c>
      <c r="CB324" s="57">
        <f t="shared" si="5667"/>
        <v>0</v>
      </c>
      <c r="CC324" s="57">
        <f t="shared" si="5667"/>
        <v>0</v>
      </c>
      <c r="CD324" s="57">
        <f t="shared" si="5667"/>
        <v>0</v>
      </c>
      <c r="CE324" s="57">
        <f t="shared" si="5667"/>
        <v>0</v>
      </c>
      <c r="CF324" s="57">
        <f t="shared" si="5667"/>
        <v>0</v>
      </c>
      <c r="CG324" s="57">
        <f t="shared" si="5667"/>
        <v>0</v>
      </c>
      <c r="CH324" s="57">
        <f t="shared" si="5667"/>
        <v>0</v>
      </c>
      <c r="CI324" s="57">
        <f t="shared" si="5667"/>
        <v>0</v>
      </c>
      <c r="CJ324" s="57">
        <f t="shared" si="5667"/>
        <v>0</v>
      </c>
      <c r="CK324" s="57">
        <f t="shared" si="5667"/>
        <v>0</v>
      </c>
      <c r="CL324" s="57">
        <f t="shared" si="5667"/>
        <v>0</v>
      </c>
      <c r="CM324" s="57">
        <f t="shared" si="5667"/>
        <v>0</v>
      </c>
      <c r="CN324" s="57">
        <f t="shared" si="5667"/>
        <v>0</v>
      </c>
      <c r="CO324" s="57">
        <f t="shared" si="5667"/>
        <v>0</v>
      </c>
      <c r="CP324" s="57">
        <f t="shared" si="5667"/>
        <v>0</v>
      </c>
      <c r="CQ324" s="57">
        <f t="shared" si="5667"/>
        <v>0</v>
      </c>
      <c r="CR324" s="57">
        <f t="shared" si="5667"/>
        <v>0</v>
      </c>
      <c r="CS324" s="57">
        <f t="shared" si="5667"/>
        <v>0</v>
      </c>
      <c r="CT324" s="57">
        <f t="shared" si="5667"/>
        <v>0</v>
      </c>
      <c r="CU324" s="57">
        <f t="shared" si="5667"/>
        <v>0</v>
      </c>
      <c r="CV324" s="57">
        <f t="shared" si="5667"/>
        <v>0</v>
      </c>
      <c r="CW324" s="57">
        <f t="shared" si="5667"/>
        <v>0</v>
      </c>
      <c r="CX324" s="57">
        <f t="shared" si="5667"/>
        <v>0</v>
      </c>
      <c r="CY324" s="57">
        <f t="shared" si="5667"/>
        <v>0</v>
      </c>
      <c r="CZ324" s="57">
        <f t="shared" si="5667"/>
        <v>0</v>
      </c>
      <c r="DA324" s="57">
        <f t="shared" si="5667"/>
        <v>0</v>
      </c>
      <c r="DB324" s="57">
        <f t="shared" si="5667"/>
        <v>0</v>
      </c>
      <c r="DC324" s="57">
        <f t="shared" si="5667"/>
        <v>0</v>
      </c>
      <c r="DD324" s="57">
        <f t="shared" si="5667"/>
        <v>0</v>
      </c>
      <c r="DE324" s="57">
        <f t="shared" si="5667"/>
        <v>0</v>
      </c>
      <c r="DF324" s="57">
        <f t="shared" si="5667"/>
        <v>0</v>
      </c>
      <c r="DG324" s="57">
        <f t="shared" si="5667"/>
        <v>0</v>
      </c>
      <c r="DH324" s="57">
        <f t="shared" si="5667"/>
        <v>0</v>
      </c>
      <c r="DI324" s="57">
        <f t="shared" si="5667"/>
        <v>0</v>
      </c>
      <c r="DJ324" s="57">
        <f t="shared" si="5667"/>
        <v>0</v>
      </c>
      <c r="DK324" s="57">
        <f t="shared" si="5667"/>
        <v>0</v>
      </c>
      <c r="DL324" s="57">
        <f t="shared" si="5667"/>
        <v>0</v>
      </c>
      <c r="DM324" s="57">
        <f t="shared" si="5667"/>
        <v>0</v>
      </c>
      <c r="DN324" s="57">
        <f t="shared" si="5667"/>
        <v>0</v>
      </c>
      <c r="DO324" s="57">
        <f t="shared" si="5667"/>
        <v>0</v>
      </c>
      <c r="DP324" s="57">
        <f t="shared" si="5667"/>
        <v>0</v>
      </c>
      <c r="DQ324" s="57">
        <f t="shared" si="5667"/>
        <v>0</v>
      </c>
      <c r="DR324" s="57">
        <f t="shared" si="5667"/>
        <v>0</v>
      </c>
      <c r="DS324" s="57">
        <f t="shared" si="5667"/>
        <v>0</v>
      </c>
      <c r="DT324" s="57">
        <f t="shared" si="5667"/>
        <v>0</v>
      </c>
      <c r="DU324" s="57">
        <f t="shared" si="5667"/>
        <v>0</v>
      </c>
      <c r="DV324" s="57">
        <f t="shared" si="5667"/>
        <v>0</v>
      </c>
      <c r="DW324" s="57">
        <f t="shared" si="5667"/>
        <v>0</v>
      </c>
      <c r="DX324" s="57">
        <f t="shared" si="5667"/>
        <v>0</v>
      </c>
      <c r="DY324" s="57">
        <f t="shared" si="5667"/>
        <v>0</v>
      </c>
      <c r="DZ324" s="57">
        <f t="shared" si="5667"/>
        <v>0</v>
      </c>
      <c r="EA324" s="57">
        <f t="shared" si="5667"/>
        <v>0</v>
      </c>
      <c r="EB324" s="57">
        <f t="shared" si="5667"/>
        <v>0</v>
      </c>
      <c r="EC324" s="57">
        <f t="shared" si="5667"/>
        <v>0</v>
      </c>
      <c r="ED324" s="57">
        <f t="shared" ref="ED324:FY324" si="5668">IFERROR(ED269*ED333,0)</f>
        <v>0</v>
      </c>
      <c r="EE324" s="57">
        <f t="shared" si="5668"/>
        <v>0</v>
      </c>
      <c r="EF324" s="57">
        <f t="shared" si="5668"/>
        <v>0</v>
      </c>
      <c r="EG324" s="57">
        <f t="shared" si="5668"/>
        <v>0</v>
      </c>
      <c r="EH324" s="57">
        <f t="shared" si="5668"/>
        <v>0</v>
      </c>
      <c r="EI324" s="57">
        <f t="shared" si="5668"/>
        <v>0</v>
      </c>
      <c r="EJ324" s="57">
        <f t="shared" si="5668"/>
        <v>0</v>
      </c>
      <c r="EK324" s="57">
        <f t="shared" si="5668"/>
        <v>0</v>
      </c>
      <c r="EL324" s="57">
        <f t="shared" si="5668"/>
        <v>0</v>
      </c>
      <c r="EM324" s="57">
        <f t="shared" si="5668"/>
        <v>0</v>
      </c>
      <c r="EN324" s="57">
        <f t="shared" si="5668"/>
        <v>0</v>
      </c>
      <c r="EO324" s="57">
        <f t="shared" si="5668"/>
        <v>0</v>
      </c>
      <c r="EP324" s="57">
        <f t="shared" si="5668"/>
        <v>0</v>
      </c>
      <c r="EQ324" s="57">
        <f t="shared" si="5668"/>
        <v>0</v>
      </c>
      <c r="ER324" s="57">
        <f t="shared" si="5668"/>
        <v>0</v>
      </c>
      <c r="ES324" s="57">
        <f t="shared" si="5668"/>
        <v>0</v>
      </c>
      <c r="ET324" s="57">
        <f t="shared" si="5668"/>
        <v>0</v>
      </c>
      <c r="EU324" s="57">
        <f t="shared" si="5668"/>
        <v>0</v>
      </c>
      <c r="EV324" s="57">
        <f t="shared" si="5668"/>
        <v>0</v>
      </c>
      <c r="EW324" s="57">
        <f t="shared" si="5668"/>
        <v>0</v>
      </c>
      <c r="EX324" s="57">
        <f t="shared" si="5668"/>
        <v>0</v>
      </c>
      <c r="EY324" s="57">
        <f t="shared" si="5668"/>
        <v>0</v>
      </c>
      <c r="EZ324" s="57">
        <f t="shared" si="5668"/>
        <v>0</v>
      </c>
      <c r="FA324" s="57">
        <f t="shared" si="5668"/>
        <v>0</v>
      </c>
      <c r="FB324" s="57">
        <f t="shared" si="5668"/>
        <v>0</v>
      </c>
      <c r="FC324" s="57">
        <f t="shared" si="5668"/>
        <v>0</v>
      </c>
      <c r="FD324" s="57">
        <f t="shared" si="5668"/>
        <v>0</v>
      </c>
      <c r="FE324" s="57">
        <f t="shared" si="5668"/>
        <v>0</v>
      </c>
      <c r="FF324" s="57">
        <f t="shared" si="5668"/>
        <v>0</v>
      </c>
      <c r="FG324" s="57">
        <f t="shared" si="5668"/>
        <v>0</v>
      </c>
      <c r="FH324" s="57">
        <f t="shared" si="5668"/>
        <v>0</v>
      </c>
      <c r="FI324" s="57">
        <f t="shared" si="5668"/>
        <v>0</v>
      </c>
      <c r="FJ324" s="57">
        <f t="shared" si="5668"/>
        <v>0</v>
      </c>
      <c r="FK324" s="57">
        <f t="shared" si="5668"/>
        <v>0</v>
      </c>
      <c r="FL324" s="57">
        <f t="shared" si="5668"/>
        <v>0</v>
      </c>
      <c r="FM324" s="57">
        <f t="shared" si="5668"/>
        <v>0</v>
      </c>
      <c r="FN324" s="57">
        <f t="shared" si="5668"/>
        <v>0</v>
      </c>
      <c r="FO324" s="57">
        <f t="shared" si="5668"/>
        <v>0</v>
      </c>
      <c r="FP324" s="57">
        <f t="shared" si="5668"/>
        <v>0</v>
      </c>
      <c r="FQ324" s="57">
        <f t="shared" si="5668"/>
        <v>0</v>
      </c>
      <c r="FR324" s="57">
        <f t="shared" si="5668"/>
        <v>0</v>
      </c>
      <c r="FS324" s="57">
        <f t="shared" si="5668"/>
        <v>0</v>
      </c>
      <c r="FT324" s="57">
        <f t="shared" si="5668"/>
        <v>0</v>
      </c>
      <c r="FU324" s="57">
        <f t="shared" si="5668"/>
        <v>0</v>
      </c>
      <c r="FV324" s="57">
        <f t="shared" si="5668"/>
        <v>0</v>
      </c>
      <c r="FW324" s="57">
        <f t="shared" si="5668"/>
        <v>0</v>
      </c>
      <c r="FX324" s="57">
        <f t="shared" si="5668"/>
        <v>0</v>
      </c>
      <c r="FY324" s="57">
        <f t="shared" si="5668"/>
        <v>0</v>
      </c>
    </row>
    <row r="325" spans="1:181" x14ac:dyDescent="0.2">
      <c r="A325" s="2" t="s">
        <v>247</v>
      </c>
      <c r="B325" s="57">
        <f t="shared" ref="B325:E325" si="5669">IFERROR(B270*B333,0)</f>
        <v>0</v>
      </c>
      <c r="C325" s="57">
        <f t="shared" si="5669"/>
        <v>0</v>
      </c>
      <c r="D325" s="57">
        <f t="shared" si="5669"/>
        <v>0</v>
      </c>
      <c r="E325" s="57">
        <f t="shared" si="5669"/>
        <v>0</v>
      </c>
      <c r="F325" s="57">
        <f t="shared" ref="F325:BQ325" si="5670">IFERROR(F270*F333,0)</f>
        <v>0</v>
      </c>
      <c r="G325" s="57">
        <f t="shared" si="5670"/>
        <v>0</v>
      </c>
      <c r="H325" s="57">
        <f t="shared" si="5670"/>
        <v>0</v>
      </c>
      <c r="I325" s="57">
        <f t="shared" si="5670"/>
        <v>0</v>
      </c>
      <c r="J325" s="57">
        <f t="shared" si="5670"/>
        <v>0</v>
      </c>
      <c r="K325" s="57">
        <f t="shared" si="5670"/>
        <v>0</v>
      </c>
      <c r="L325" s="57">
        <f t="shared" si="5670"/>
        <v>0</v>
      </c>
      <c r="M325" s="57">
        <f t="shared" si="5670"/>
        <v>0</v>
      </c>
      <c r="N325" s="57">
        <f t="shared" si="5670"/>
        <v>0</v>
      </c>
      <c r="O325" s="57">
        <f t="shared" si="5670"/>
        <v>0</v>
      </c>
      <c r="P325" s="57">
        <f t="shared" si="5670"/>
        <v>0</v>
      </c>
      <c r="Q325" s="57">
        <f t="shared" si="5670"/>
        <v>0</v>
      </c>
      <c r="R325" s="57">
        <f t="shared" si="5670"/>
        <v>0</v>
      </c>
      <c r="S325" s="57">
        <f t="shared" si="5670"/>
        <v>0</v>
      </c>
      <c r="T325" s="57">
        <f t="shared" si="5670"/>
        <v>0</v>
      </c>
      <c r="U325" s="57">
        <f t="shared" si="5670"/>
        <v>0</v>
      </c>
      <c r="V325" s="57">
        <f t="shared" si="5670"/>
        <v>0</v>
      </c>
      <c r="W325" s="57">
        <f t="shared" si="5670"/>
        <v>0</v>
      </c>
      <c r="X325" s="57">
        <f t="shared" si="5670"/>
        <v>0</v>
      </c>
      <c r="Y325" s="57">
        <f t="shared" si="5670"/>
        <v>0</v>
      </c>
      <c r="Z325" s="57">
        <f t="shared" si="5670"/>
        <v>0</v>
      </c>
      <c r="AA325" s="57">
        <f t="shared" si="5670"/>
        <v>0</v>
      </c>
      <c r="AB325" s="57">
        <f t="shared" si="5670"/>
        <v>0</v>
      </c>
      <c r="AC325" s="57">
        <f t="shared" si="5670"/>
        <v>0</v>
      </c>
      <c r="AD325" s="57">
        <f t="shared" si="5670"/>
        <v>0</v>
      </c>
      <c r="AE325" s="57">
        <f t="shared" si="5670"/>
        <v>0</v>
      </c>
      <c r="AF325" s="57">
        <f t="shared" si="5670"/>
        <v>0</v>
      </c>
      <c r="AG325" s="57">
        <f t="shared" si="5670"/>
        <v>0</v>
      </c>
      <c r="AH325" s="57">
        <f t="shared" si="5670"/>
        <v>0</v>
      </c>
      <c r="AI325" s="57">
        <f t="shared" si="5670"/>
        <v>0</v>
      </c>
      <c r="AJ325" s="57">
        <f t="shared" si="5670"/>
        <v>0</v>
      </c>
      <c r="AK325" s="57">
        <f t="shared" si="5670"/>
        <v>0</v>
      </c>
      <c r="AL325" s="57">
        <f t="shared" si="5670"/>
        <v>0</v>
      </c>
      <c r="AM325" s="57">
        <f t="shared" si="5670"/>
        <v>0</v>
      </c>
      <c r="AN325" s="57">
        <f t="shared" si="5670"/>
        <v>0</v>
      </c>
      <c r="AO325" s="57">
        <f t="shared" si="5670"/>
        <v>0</v>
      </c>
      <c r="AP325" s="57">
        <f t="shared" si="5670"/>
        <v>0</v>
      </c>
      <c r="AQ325" s="57">
        <f t="shared" si="5670"/>
        <v>0</v>
      </c>
      <c r="AR325" s="57">
        <f t="shared" si="5670"/>
        <v>0</v>
      </c>
      <c r="AS325" s="57">
        <f t="shared" si="5670"/>
        <v>0</v>
      </c>
      <c r="AT325" s="57">
        <f t="shared" si="5670"/>
        <v>0</v>
      </c>
      <c r="AU325" s="57">
        <f t="shared" si="5670"/>
        <v>0</v>
      </c>
      <c r="AV325" s="57">
        <f t="shared" si="5670"/>
        <v>0</v>
      </c>
      <c r="AW325" s="57">
        <f t="shared" si="5670"/>
        <v>0</v>
      </c>
      <c r="AX325" s="57">
        <f t="shared" si="5670"/>
        <v>0</v>
      </c>
      <c r="AY325" s="57">
        <f t="shared" si="5670"/>
        <v>0</v>
      </c>
      <c r="AZ325" s="57">
        <f t="shared" si="5670"/>
        <v>0</v>
      </c>
      <c r="BA325" s="57">
        <f t="shared" si="5670"/>
        <v>0</v>
      </c>
      <c r="BB325" s="57">
        <f t="shared" si="5670"/>
        <v>0</v>
      </c>
      <c r="BC325" s="57">
        <f t="shared" si="5670"/>
        <v>0</v>
      </c>
      <c r="BD325" s="57">
        <f t="shared" si="5670"/>
        <v>0</v>
      </c>
      <c r="BE325" s="57">
        <f t="shared" si="5670"/>
        <v>0</v>
      </c>
      <c r="BF325" s="57">
        <f t="shared" si="5670"/>
        <v>0</v>
      </c>
      <c r="BG325" s="57">
        <f t="shared" si="5670"/>
        <v>0</v>
      </c>
      <c r="BH325" s="57">
        <f t="shared" si="5670"/>
        <v>0</v>
      </c>
      <c r="BI325" s="57">
        <f t="shared" si="5670"/>
        <v>0</v>
      </c>
      <c r="BJ325" s="57">
        <f t="shared" si="5670"/>
        <v>0</v>
      </c>
      <c r="BK325" s="57">
        <f t="shared" si="5670"/>
        <v>0</v>
      </c>
      <c r="BL325" s="57">
        <f t="shared" si="5670"/>
        <v>0</v>
      </c>
      <c r="BM325" s="57">
        <f t="shared" si="5670"/>
        <v>0</v>
      </c>
      <c r="BN325" s="57">
        <f t="shared" si="5670"/>
        <v>0</v>
      </c>
      <c r="BO325" s="57">
        <f t="shared" si="5670"/>
        <v>0</v>
      </c>
      <c r="BP325" s="57">
        <f t="shared" si="5670"/>
        <v>0</v>
      </c>
      <c r="BQ325" s="57">
        <f t="shared" si="5670"/>
        <v>0</v>
      </c>
      <c r="BR325" s="57">
        <f t="shared" ref="BR325:EC325" si="5671">IFERROR(BR270*BR333,0)</f>
        <v>0</v>
      </c>
      <c r="BS325" s="57">
        <f t="shared" si="5671"/>
        <v>0</v>
      </c>
      <c r="BT325" s="57">
        <f t="shared" si="5671"/>
        <v>0</v>
      </c>
      <c r="BU325" s="57">
        <f t="shared" si="5671"/>
        <v>0</v>
      </c>
      <c r="BV325" s="57">
        <f t="shared" si="5671"/>
        <v>0</v>
      </c>
      <c r="BW325" s="57">
        <f t="shared" si="5671"/>
        <v>0</v>
      </c>
      <c r="BX325" s="57">
        <f t="shared" si="5671"/>
        <v>0</v>
      </c>
      <c r="BY325" s="57">
        <f t="shared" si="5671"/>
        <v>0</v>
      </c>
      <c r="BZ325" s="57">
        <f t="shared" si="5671"/>
        <v>0</v>
      </c>
      <c r="CA325" s="57">
        <f t="shared" si="5671"/>
        <v>0</v>
      </c>
      <c r="CB325" s="57">
        <f t="shared" si="5671"/>
        <v>0</v>
      </c>
      <c r="CC325" s="57">
        <f t="shared" si="5671"/>
        <v>0</v>
      </c>
      <c r="CD325" s="57">
        <f t="shared" si="5671"/>
        <v>0</v>
      </c>
      <c r="CE325" s="57">
        <f t="shared" si="5671"/>
        <v>0</v>
      </c>
      <c r="CF325" s="57">
        <f t="shared" si="5671"/>
        <v>0</v>
      </c>
      <c r="CG325" s="57">
        <f t="shared" si="5671"/>
        <v>0</v>
      </c>
      <c r="CH325" s="57">
        <f t="shared" si="5671"/>
        <v>0</v>
      </c>
      <c r="CI325" s="57">
        <f t="shared" si="5671"/>
        <v>0</v>
      </c>
      <c r="CJ325" s="57">
        <f t="shared" si="5671"/>
        <v>0</v>
      </c>
      <c r="CK325" s="57">
        <f t="shared" si="5671"/>
        <v>0</v>
      </c>
      <c r="CL325" s="57">
        <f t="shared" si="5671"/>
        <v>0</v>
      </c>
      <c r="CM325" s="57">
        <f t="shared" si="5671"/>
        <v>0</v>
      </c>
      <c r="CN325" s="57">
        <f t="shared" si="5671"/>
        <v>0</v>
      </c>
      <c r="CO325" s="57">
        <f t="shared" si="5671"/>
        <v>0</v>
      </c>
      <c r="CP325" s="57">
        <f t="shared" si="5671"/>
        <v>0</v>
      </c>
      <c r="CQ325" s="57">
        <f t="shared" si="5671"/>
        <v>0</v>
      </c>
      <c r="CR325" s="57">
        <f t="shared" si="5671"/>
        <v>0</v>
      </c>
      <c r="CS325" s="57">
        <f t="shared" si="5671"/>
        <v>0</v>
      </c>
      <c r="CT325" s="57">
        <f t="shared" si="5671"/>
        <v>0</v>
      </c>
      <c r="CU325" s="57">
        <f t="shared" si="5671"/>
        <v>0</v>
      </c>
      <c r="CV325" s="57">
        <f t="shared" si="5671"/>
        <v>0</v>
      </c>
      <c r="CW325" s="57">
        <f t="shared" si="5671"/>
        <v>0</v>
      </c>
      <c r="CX325" s="57">
        <f t="shared" si="5671"/>
        <v>0</v>
      </c>
      <c r="CY325" s="57">
        <f t="shared" si="5671"/>
        <v>0</v>
      </c>
      <c r="CZ325" s="57">
        <f t="shared" si="5671"/>
        <v>0</v>
      </c>
      <c r="DA325" s="57">
        <f t="shared" si="5671"/>
        <v>0</v>
      </c>
      <c r="DB325" s="57">
        <f t="shared" si="5671"/>
        <v>0</v>
      </c>
      <c r="DC325" s="57">
        <f t="shared" si="5671"/>
        <v>0</v>
      </c>
      <c r="DD325" s="57">
        <f t="shared" si="5671"/>
        <v>0</v>
      </c>
      <c r="DE325" s="57">
        <f t="shared" si="5671"/>
        <v>0</v>
      </c>
      <c r="DF325" s="57">
        <f t="shared" si="5671"/>
        <v>0</v>
      </c>
      <c r="DG325" s="57">
        <f t="shared" si="5671"/>
        <v>0</v>
      </c>
      <c r="DH325" s="57">
        <f t="shared" si="5671"/>
        <v>0</v>
      </c>
      <c r="DI325" s="57">
        <f t="shared" si="5671"/>
        <v>0</v>
      </c>
      <c r="DJ325" s="57">
        <f t="shared" si="5671"/>
        <v>0</v>
      </c>
      <c r="DK325" s="57">
        <f t="shared" si="5671"/>
        <v>0</v>
      </c>
      <c r="DL325" s="57">
        <f t="shared" si="5671"/>
        <v>0</v>
      </c>
      <c r="DM325" s="57">
        <f t="shared" si="5671"/>
        <v>0</v>
      </c>
      <c r="DN325" s="57">
        <f t="shared" si="5671"/>
        <v>0</v>
      </c>
      <c r="DO325" s="57">
        <f t="shared" si="5671"/>
        <v>0</v>
      </c>
      <c r="DP325" s="57">
        <f t="shared" si="5671"/>
        <v>0</v>
      </c>
      <c r="DQ325" s="57">
        <f t="shared" si="5671"/>
        <v>0</v>
      </c>
      <c r="DR325" s="57">
        <f t="shared" si="5671"/>
        <v>0</v>
      </c>
      <c r="DS325" s="57">
        <f t="shared" si="5671"/>
        <v>0</v>
      </c>
      <c r="DT325" s="57">
        <f t="shared" si="5671"/>
        <v>0</v>
      </c>
      <c r="DU325" s="57">
        <f t="shared" si="5671"/>
        <v>0</v>
      </c>
      <c r="DV325" s="57">
        <f t="shared" si="5671"/>
        <v>0</v>
      </c>
      <c r="DW325" s="57">
        <f t="shared" si="5671"/>
        <v>0</v>
      </c>
      <c r="DX325" s="57">
        <f t="shared" si="5671"/>
        <v>0</v>
      </c>
      <c r="DY325" s="57">
        <f t="shared" si="5671"/>
        <v>0</v>
      </c>
      <c r="DZ325" s="57">
        <f t="shared" si="5671"/>
        <v>0</v>
      </c>
      <c r="EA325" s="57">
        <f t="shared" si="5671"/>
        <v>0</v>
      </c>
      <c r="EB325" s="57">
        <f t="shared" si="5671"/>
        <v>0</v>
      </c>
      <c r="EC325" s="57">
        <f t="shared" si="5671"/>
        <v>0</v>
      </c>
      <c r="ED325" s="57">
        <f t="shared" ref="ED325:FY325" si="5672">IFERROR(ED270*ED333,0)</f>
        <v>0</v>
      </c>
      <c r="EE325" s="57">
        <f t="shared" si="5672"/>
        <v>0</v>
      </c>
      <c r="EF325" s="57">
        <f t="shared" si="5672"/>
        <v>0</v>
      </c>
      <c r="EG325" s="57">
        <f t="shared" si="5672"/>
        <v>0</v>
      </c>
      <c r="EH325" s="57">
        <f t="shared" si="5672"/>
        <v>0</v>
      </c>
      <c r="EI325" s="57">
        <f t="shared" si="5672"/>
        <v>0</v>
      </c>
      <c r="EJ325" s="57">
        <f t="shared" si="5672"/>
        <v>0</v>
      </c>
      <c r="EK325" s="57">
        <f t="shared" si="5672"/>
        <v>0</v>
      </c>
      <c r="EL325" s="57">
        <f t="shared" si="5672"/>
        <v>0</v>
      </c>
      <c r="EM325" s="57">
        <f t="shared" si="5672"/>
        <v>0</v>
      </c>
      <c r="EN325" s="57">
        <f t="shared" si="5672"/>
        <v>0</v>
      </c>
      <c r="EO325" s="57">
        <f t="shared" si="5672"/>
        <v>0</v>
      </c>
      <c r="EP325" s="57">
        <f t="shared" si="5672"/>
        <v>0</v>
      </c>
      <c r="EQ325" s="57">
        <f t="shared" si="5672"/>
        <v>0</v>
      </c>
      <c r="ER325" s="57">
        <f t="shared" si="5672"/>
        <v>0</v>
      </c>
      <c r="ES325" s="57">
        <f t="shared" si="5672"/>
        <v>0</v>
      </c>
      <c r="ET325" s="57">
        <f t="shared" si="5672"/>
        <v>0</v>
      </c>
      <c r="EU325" s="57">
        <f t="shared" si="5672"/>
        <v>0</v>
      </c>
      <c r="EV325" s="57">
        <f t="shared" si="5672"/>
        <v>0</v>
      </c>
      <c r="EW325" s="57">
        <f t="shared" si="5672"/>
        <v>0</v>
      </c>
      <c r="EX325" s="57">
        <f t="shared" si="5672"/>
        <v>0</v>
      </c>
      <c r="EY325" s="57">
        <f t="shared" si="5672"/>
        <v>0</v>
      </c>
      <c r="EZ325" s="57">
        <f t="shared" si="5672"/>
        <v>0</v>
      </c>
      <c r="FA325" s="57">
        <f t="shared" si="5672"/>
        <v>0</v>
      </c>
      <c r="FB325" s="57">
        <f t="shared" si="5672"/>
        <v>0</v>
      </c>
      <c r="FC325" s="57">
        <f t="shared" si="5672"/>
        <v>0</v>
      </c>
      <c r="FD325" s="57">
        <f t="shared" si="5672"/>
        <v>0</v>
      </c>
      <c r="FE325" s="57">
        <f t="shared" si="5672"/>
        <v>0</v>
      </c>
      <c r="FF325" s="57">
        <f t="shared" si="5672"/>
        <v>0</v>
      </c>
      <c r="FG325" s="57">
        <f t="shared" si="5672"/>
        <v>0</v>
      </c>
      <c r="FH325" s="57">
        <f t="shared" si="5672"/>
        <v>0</v>
      </c>
      <c r="FI325" s="57">
        <f t="shared" si="5672"/>
        <v>0</v>
      </c>
      <c r="FJ325" s="57">
        <f t="shared" si="5672"/>
        <v>0</v>
      </c>
      <c r="FK325" s="57">
        <f t="shared" si="5672"/>
        <v>0</v>
      </c>
      <c r="FL325" s="57">
        <f t="shared" si="5672"/>
        <v>0</v>
      </c>
      <c r="FM325" s="57">
        <f t="shared" si="5672"/>
        <v>0</v>
      </c>
      <c r="FN325" s="57">
        <f t="shared" si="5672"/>
        <v>0</v>
      </c>
      <c r="FO325" s="57">
        <f t="shared" si="5672"/>
        <v>0</v>
      </c>
      <c r="FP325" s="57">
        <f t="shared" si="5672"/>
        <v>0</v>
      </c>
      <c r="FQ325" s="57">
        <f t="shared" si="5672"/>
        <v>0</v>
      </c>
      <c r="FR325" s="57">
        <f t="shared" si="5672"/>
        <v>0</v>
      </c>
      <c r="FS325" s="57">
        <f t="shared" si="5672"/>
        <v>0</v>
      </c>
      <c r="FT325" s="57">
        <f t="shared" si="5672"/>
        <v>0</v>
      </c>
      <c r="FU325" s="57">
        <f t="shared" si="5672"/>
        <v>0</v>
      </c>
      <c r="FV325" s="57">
        <f t="shared" si="5672"/>
        <v>0</v>
      </c>
      <c r="FW325" s="57">
        <f t="shared" si="5672"/>
        <v>0</v>
      </c>
      <c r="FX325" s="57">
        <f t="shared" si="5672"/>
        <v>0</v>
      </c>
      <c r="FY325" s="57">
        <f t="shared" si="5672"/>
        <v>0</v>
      </c>
    </row>
    <row r="326" spans="1:181" x14ac:dyDescent="0.2">
      <c r="A326" s="2" t="s">
        <v>248</v>
      </c>
      <c r="B326" s="57">
        <f>IFERROR(B283*B333,0)</f>
        <v>0</v>
      </c>
      <c r="C326" s="57">
        <f t="shared" ref="C326:E326" si="5673">IFERROR(C283*C333,0)</f>
        <v>0</v>
      </c>
      <c r="D326" s="57">
        <f t="shared" si="5673"/>
        <v>0</v>
      </c>
      <c r="E326" s="57">
        <f t="shared" si="5673"/>
        <v>0</v>
      </c>
      <c r="F326" s="57">
        <f t="shared" ref="F326:BQ326" si="5674">IFERROR(F283*F333,0)</f>
        <v>0</v>
      </c>
      <c r="G326" s="57">
        <f t="shared" si="5674"/>
        <v>0</v>
      </c>
      <c r="H326" s="57">
        <f t="shared" si="5674"/>
        <v>0</v>
      </c>
      <c r="I326" s="57">
        <f t="shared" si="5674"/>
        <v>0</v>
      </c>
      <c r="J326" s="57">
        <f t="shared" si="5674"/>
        <v>0</v>
      </c>
      <c r="K326" s="57">
        <f t="shared" si="5674"/>
        <v>0</v>
      </c>
      <c r="L326" s="57">
        <f t="shared" si="5674"/>
        <v>0</v>
      </c>
      <c r="M326" s="57">
        <f t="shared" si="5674"/>
        <v>0</v>
      </c>
      <c r="N326" s="57">
        <f t="shared" si="5674"/>
        <v>0</v>
      </c>
      <c r="O326" s="57">
        <f t="shared" si="5674"/>
        <v>0</v>
      </c>
      <c r="P326" s="57">
        <f t="shared" si="5674"/>
        <v>0</v>
      </c>
      <c r="Q326" s="57">
        <f t="shared" si="5674"/>
        <v>0</v>
      </c>
      <c r="R326" s="57">
        <f t="shared" si="5674"/>
        <v>0</v>
      </c>
      <c r="S326" s="57">
        <f t="shared" si="5674"/>
        <v>0</v>
      </c>
      <c r="T326" s="57">
        <f t="shared" si="5674"/>
        <v>0</v>
      </c>
      <c r="U326" s="57">
        <f t="shared" si="5674"/>
        <v>0</v>
      </c>
      <c r="V326" s="57">
        <f t="shared" si="5674"/>
        <v>0</v>
      </c>
      <c r="W326" s="57">
        <f t="shared" si="5674"/>
        <v>0</v>
      </c>
      <c r="X326" s="57">
        <f t="shared" si="5674"/>
        <v>0</v>
      </c>
      <c r="Y326" s="57">
        <f t="shared" si="5674"/>
        <v>0</v>
      </c>
      <c r="Z326" s="57">
        <f t="shared" si="5674"/>
        <v>0</v>
      </c>
      <c r="AA326" s="57">
        <f t="shared" si="5674"/>
        <v>0</v>
      </c>
      <c r="AB326" s="57">
        <f t="shared" si="5674"/>
        <v>0</v>
      </c>
      <c r="AC326" s="57">
        <f t="shared" si="5674"/>
        <v>0</v>
      </c>
      <c r="AD326" s="57">
        <f t="shared" si="5674"/>
        <v>0</v>
      </c>
      <c r="AE326" s="57">
        <f t="shared" si="5674"/>
        <v>0</v>
      </c>
      <c r="AF326" s="57">
        <f t="shared" si="5674"/>
        <v>0</v>
      </c>
      <c r="AG326" s="57">
        <f t="shared" si="5674"/>
        <v>0</v>
      </c>
      <c r="AH326" s="57">
        <f t="shared" si="5674"/>
        <v>0</v>
      </c>
      <c r="AI326" s="57">
        <f t="shared" si="5674"/>
        <v>0</v>
      </c>
      <c r="AJ326" s="57">
        <f t="shared" si="5674"/>
        <v>0</v>
      </c>
      <c r="AK326" s="57">
        <f t="shared" si="5674"/>
        <v>0</v>
      </c>
      <c r="AL326" s="57">
        <f t="shared" si="5674"/>
        <v>0</v>
      </c>
      <c r="AM326" s="57">
        <f t="shared" si="5674"/>
        <v>0</v>
      </c>
      <c r="AN326" s="57">
        <f t="shared" si="5674"/>
        <v>0</v>
      </c>
      <c r="AO326" s="57">
        <f t="shared" si="5674"/>
        <v>0</v>
      </c>
      <c r="AP326" s="57">
        <f t="shared" si="5674"/>
        <v>0</v>
      </c>
      <c r="AQ326" s="57">
        <f t="shared" si="5674"/>
        <v>0</v>
      </c>
      <c r="AR326" s="57">
        <f t="shared" si="5674"/>
        <v>0</v>
      </c>
      <c r="AS326" s="57">
        <f t="shared" si="5674"/>
        <v>0</v>
      </c>
      <c r="AT326" s="57">
        <f t="shared" si="5674"/>
        <v>0</v>
      </c>
      <c r="AU326" s="57">
        <f t="shared" si="5674"/>
        <v>0</v>
      </c>
      <c r="AV326" s="57">
        <f t="shared" si="5674"/>
        <v>0</v>
      </c>
      <c r="AW326" s="57">
        <f t="shared" si="5674"/>
        <v>0</v>
      </c>
      <c r="AX326" s="57">
        <f t="shared" si="5674"/>
        <v>0</v>
      </c>
      <c r="AY326" s="57">
        <f t="shared" si="5674"/>
        <v>0</v>
      </c>
      <c r="AZ326" s="57">
        <f t="shared" si="5674"/>
        <v>0</v>
      </c>
      <c r="BA326" s="57">
        <f t="shared" si="5674"/>
        <v>0</v>
      </c>
      <c r="BB326" s="57">
        <f t="shared" si="5674"/>
        <v>0</v>
      </c>
      <c r="BC326" s="57">
        <f t="shared" si="5674"/>
        <v>0</v>
      </c>
      <c r="BD326" s="57">
        <f t="shared" si="5674"/>
        <v>0</v>
      </c>
      <c r="BE326" s="57">
        <f t="shared" si="5674"/>
        <v>0</v>
      </c>
      <c r="BF326" s="57">
        <f t="shared" si="5674"/>
        <v>0</v>
      </c>
      <c r="BG326" s="57">
        <f t="shared" si="5674"/>
        <v>0</v>
      </c>
      <c r="BH326" s="57">
        <f t="shared" si="5674"/>
        <v>0</v>
      </c>
      <c r="BI326" s="57">
        <f t="shared" si="5674"/>
        <v>0</v>
      </c>
      <c r="BJ326" s="57">
        <f t="shared" si="5674"/>
        <v>0</v>
      </c>
      <c r="BK326" s="57">
        <f t="shared" si="5674"/>
        <v>0</v>
      </c>
      <c r="BL326" s="57">
        <f t="shared" si="5674"/>
        <v>0</v>
      </c>
      <c r="BM326" s="57">
        <f t="shared" si="5674"/>
        <v>0</v>
      </c>
      <c r="BN326" s="57">
        <f t="shared" si="5674"/>
        <v>0</v>
      </c>
      <c r="BO326" s="57">
        <f t="shared" si="5674"/>
        <v>0</v>
      </c>
      <c r="BP326" s="57">
        <f t="shared" si="5674"/>
        <v>0</v>
      </c>
      <c r="BQ326" s="57">
        <f t="shared" si="5674"/>
        <v>0</v>
      </c>
      <c r="BR326" s="57">
        <f t="shared" ref="BR326:EC326" si="5675">IFERROR(BR283*BR333,0)</f>
        <v>0</v>
      </c>
      <c r="BS326" s="57">
        <f t="shared" si="5675"/>
        <v>0</v>
      </c>
      <c r="BT326" s="57">
        <f t="shared" si="5675"/>
        <v>0</v>
      </c>
      <c r="BU326" s="57">
        <f t="shared" si="5675"/>
        <v>0</v>
      </c>
      <c r="BV326" s="57">
        <f t="shared" si="5675"/>
        <v>0</v>
      </c>
      <c r="BW326" s="57">
        <f t="shared" si="5675"/>
        <v>0</v>
      </c>
      <c r="BX326" s="57">
        <f t="shared" si="5675"/>
        <v>0</v>
      </c>
      <c r="BY326" s="57">
        <f t="shared" si="5675"/>
        <v>0</v>
      </c>
      <c r="BZ326" s="57">
        <f t="shared" si="5675"/>
        <v>0</v>
      </c>
      <c r="CA326" s="57">
        <f t="shared" si="5675"/>
        <v>0</v>
      </c>
      <c r="CB326" s="57">
        <f t="shared" si="5675"/>
        <v>0</v>
      </c>
      <c r="CC326" s="57">
        <f t="shared" si="5675"/>
        <v>0</v>
      </c>
      <c r="CD326" s="57">
        <f t="shared" si="5675"/>
        <v>0</v>
      </c>
      <c r="CE326" s="57">
        <f t="shared" si="5675"/>
        <v>0</v>
      </c>
      <c r="CF326" s="57">
        <f t="shared" si="5675"/>
        <v>0</v>
      </c>
      <c r="CG326" s="57">
        <f t="shared" si="5675"/>
        <v>0</v>
      </c>
      <c r="CH326" s="57">
        <f t="shared" si="5675"/>
        <v>0</v>
      </c>
      <c r="CI326" s="57">
        <f t="shared" si="5675"/>
        <v>0</v>
      </c>
      <c r="CJ326" s="57">
        <f t="shared" si="5675"/>
        <v>0</v>
      </c>
      <c r="CK326" s="57">
        <f t="shared" si="5675"/>
        <v>0</v>
      </c>
      <c r="CL326" s="57">
        <f t="shared" si="5675"/>
        <v>0</v>
      </c>
      <c r="CM326" s="57">
        <f t="shared" si="5675"/>
        <v>0</v>
      </c>
      <c r="CN326" s="57">
        <f t="shared" si="5675"/>
        <v>0</v>
      </c>
      <c r="CO326" s="57">
        <f t="shared" si="5675"/>
        <v>0</v>
      </c>
      <c r="CP326" s="57">
        <f t="shared" si="5675"/>
        <v>0</v>
      </c>
      <c r="CQ326" s="57">
        <f t="shared" si="5675"/>
        <v>0</v>
      </c>
      <c r="CR326" s="57">
        <f t="shared" si="5675"/>
        <v>0</v>
      </c>
      <c r="CS326" s="57">
        <f t="shared" si="5675"/>
        <v>0</v>
      </c>
      <c r="CT326" s="57">
        <f t="shared" si="5675"/>
        <v>0</v>
      </c>
      <c r="CU326" s="57">
        <f t="shared" si="5675"/>
        <v>0</v>
      </c>
      <c r="CV326" s="57">
        <f t="shared" si="5675"/>
        <v>0</v>
      </c>
      <c r="CW326" s="57">
        <f t="shared" si="5675"/>
        <v>0</v>
      </c>
      <c r="CX326" s="57">
        <f t="shared" si="5675"/>
        <v>0</v>
      </c>
      <c r="CY326" s="57">
        <f t="shared" si="5675"/>
        <v>0</v>
      </c>
      <c r="CZ326" s="57">
        <f t="shared" si="5675"/>
        <v>0</v>
      </c>
      <c r="DA326" s="57">
        <f t="shared" si="5675"/>
        <v>0</v>
      </c>
      <c r="DB326" s="57">
        <f t="shared" si="5675"/>
        <v>0</v>
      </c>
      <c r="DC326" s="57">
        <f t="shared" si="5675"/>
        <v>0</v>
      </c>
      <c r="DD326" s="57">
        <f t="shared" si="5675"/>
        <v>0</v>
      </c>
      <c r="DE326" s="57">
        <f t="shared" si="5675"/>
        <v>0</v>
      </c>
      <c r="DF326" s="57">
        <f t="shared" si="5675"/>
        <v>0</v>
      </c>
      <c r="DG326" s="57">
        <f t="shared" si="5675"/>
        <v>0</v>
      </c>
      <c r="DH326" s="57">
        <f t="shared" si="5675"/>
        <v>0</v>
      </c>
      <c r="DI326" s="57">
        <f t="shared" si="5675"/>
        <v>0</v>
      </c>
      <c r="DJ326" s="57">
        <f t="shared" si="5675"/>
        <v>0</v>
      </c>
      <c r="DK326" s="57">
        <f t="shared" si="5675"/>
        <v>0</v>
      </c>
      <c r="DL326" s="57">
        <f t="shared" si="5675"/>
        <v>0</v>
      </c>
      <c r="DM326" s="57">
        <f t="shared" si="5675"/>
        <v>0</v>
      </c>
      <c r="DN326" s="57">
        <f t="shared" si="5675"/>
        <v>0</v>
      </c>
      <c r="DO326" s="57">
        <f t="shared" si="5675"/>
        <v>0</v>
      </c>
      <c r="DP326" s="57">
        <f t="shared" si="5675"/>
        <v>0</v>
      </c>
      <c r="DQ326" s="57">
        <f t="shared" si="5675"/>
        <v>0</v>
      </c>
      <c r="DR326" s="57">
        <f t="shared" si="5675"/>
        <v>0</v>
      </c>
      <c r="DS326" s="57">
        <f t="shared" si="5675"/>
        <v>0</v>
      </c>
      <c r="DT326" s="57">
        <f t="shared" si="5675"/>
        <v>0</v>
      </c>
      <c r="DU326" s="57">
        <f t="shared" si="5675"/>
        <v>0</v>
      </c>
      <c r="DV326" s="57">
        <f t="shared" si="5675"/>
        <v>0</v>
      </c>
      <c r="DW326" s="57">
        <f t="shared" si="5675"/>
        <v>0</v>
      </c>
      <c r="DX326" s="57">
        <f t="shared" si="5675"/>
        <v>0</v>
      </c>
      <c r="DY326" s="57">
        <f t="shared" si="5675"/>
        <v>0</v>
      </c>
      <c r="DZ326" s="57">
        <f t="shared" si="5675"/>
        <v>0</v>
      </c>
      <c r="EA326" s="57">
        <f t="shared" si="5675"/>
        <v>0</v>
      </c>
      <c r="EB326" s="57">
        <f t="shared" si="5675"/>
        <v>0</v>
      </c>
      <c r="EC326" s="57">
        <f t="shared" si="5675"/>
        <v>0</v>
      </c>
      <c r="ED326" s="57">
        <f t="shared" ref="ED326:FY326" si="5676">IFERROR(ED283*ED333,0)</f>
        <v>0</v>
      </c>
      <c r="EE326" s="57">
        <f t="shared" si="5676"/>
        <v>0</v>
      </c>
      <c r="EF326" s="57">
        <f t="shared" si="5676"/>
        <v>0</v>
      </c>
      <c r="EG326" s="57">
        <f t="shared" si="5676"/>
        <v>0</v>
      </c>
      <c r="EH326" s="57">
        <f t="shared" si="5676"/>
        <v>0</v>
      </c>
      <c r="EI326" s="57">
        <f t="shared" si="5676"/>
        <v>0</v>
      </c>
      <c r="EJ326" s="57">
        <f t="shared" si="5676"/>
        <v>0</v>
      </c>
      <c r="EK326" s="57">
        <f t="shared" si="5676"/>
        <v>0</v>
      </c>
      <c r="EL326" s="57">
        <f t="shared" si="5676"/>
        <v>0</v>
      </c>
      <c r="EM326" s="57">
        <f t="shared" si="5676"/>
        <v>0</v>
      </c>
      <c r="EN326" s="57">
        <f t="shared" si="5676"/>
        <v>0</v>
      </c>
      <c r="EO326" s="57">
        <f t="shared" si="5676"/>
        <v>0</v>
      </c>
      <c r="EP326" s="57">
        <f t="shared" si="5676"/>
        <v>0</v>
      </c>
      <c r="EQ326" s="57">
        <f t="shared" si="5676"/>
        <v>0</v>
      </c>
      <c r="ER326" s="57">
        <f t="shared" si="5676"/>
        <v>0</v>
      </c>
      <c r="ES326" s="57">
        <f t="shared" si="5676"/>
        <v>0</v>
      </c>
      <c r="ET326" s="57">
        <f t="shared" si="5676"/>
        <v>0</v>
      </c>
      <c r="EU326" s="57">
        <f t="shared" si="5676"/>
        <v>0</v>
      </c>
      <c r="EV326" s="57">
        <f t="shared" si="5676"/>
        <v>0</v>
      </c>
      <c r="EW326" s="57">
        <f t="shared" si="5676"/>
        <v>0</v>
      </c>
      <c r="EX326" s="57">
        <f t="shared" si="5676"/>
        <v>0</v>
      </c>
      <c r="EY326" s="57">
        <f t="shared" si="5676"/>
        <v>0</v>
      </c>
      <c r="EZ326" s="57">
        <f t="shared" si="5676"/>
        <v>0</v>
      </c>
      <c r="FA326" s="57">
        <f t="shared" si="5676"/>
        <v>0</v>
      </c>
      <c r="FB326" s="57">
        <f t="shared" si="5676"/>
        <v>0</v>
      </c>
      <c r="FC326" s="57">
        <f t="shared" si="5676"/>
        <v>0</v>
      </c>
      <c r="FD326" s="57">
        <f t="shared" si="5676"/>
        <v>0</v>
      </c>
      <c r="FE326" s="57">
        <f t="shared" si="5676"/>
        <v>0</v>
      </c>
      <c r="FF326" s="57">
        <f t="shared" si="5676"/>
        <v>0</v>
      </c>
      <c r="FG326" s="57">
        <f t="shared" si="5676"/>
        <v>0</v>
      </c>
      <c r="FH326" s="57">
        <f t="shared" si="5676"/>
        <v>0</v>
      </c>
      <c r="FI326" s="57">
        <f t="shared" si="5676"/>
        <v>0</v>
      </c>
      <c r="FJ326" s="57">
        <f t="shared" si="5676"/>
        <v>0</v>
      </c>
      <c r="FK326" s="57">
        <f t="shared" si="5676"/>
        <v>0</v>
      </c>
      <c r="FL326" s="57">
        <f t="shared" si="5676"/>
        <v>0</v>
      </c>
      <c r="FM326" s="57">
        <f t="shared" si="5676"/>
        <v>0</v>
      </c>
      <c r="FN326" s="57">
        <f t="shared" si="5676"/>
        <v>0</v>
      </c>
      <c r="FO326" s="57">
        <f t="shared" si="5676"/>
        <v>0</v>
      </c>
      <c r="FP326" s="57">
        <f t="shared" si="5676"/>
        <v>0</v>
      </c>
      <c r="FQ326" s="57">
        <f t="shared" si="5676"/>
        <v>0</v>
      </c>
      <c r="FR326" s="57">
        <f t="shared" si="5676"/>
        <v>0</v>
      </c>
      <c r="FS326" s="57">
        <f t="shared" si="5676"/>
        <v>0</v>
      </c>
      <c r="FT326" s="57">
        <f t="shared" si="5676"/>
        <v>0</v>
      </c>
      <c r="FU326" s="57">
        <f t="shared" si="5676"/>
        <v>0</v>
      </c>
      <c r="FV326" s="57">
        <f t="shared" si="5676"/>
        <v>0</v>
      </c>
      <c r="FW326" s="57">
        <f t="shared" si="5676"/>
        <v>0</v>
      </c>
      <c r="FX326" s="57">
        <f t="shared" si="5676"/>
        <v>0</v>
      </c>
      <c r="FY326" s="57">
        <f t="shared" si="5676"/>
        <v>0</v>
      </c>
    </row>
    <row r="327" spans="1:181" x14ac:dyDescent="0.2">
      <c r="A327" s="2" t="s">
        <v>249</v>
      </c>
      <c r="B327" s="57">
        <f t="shared" ref="B327:E327" si="5677">IFERROR((B265+B282)*B333,0)</f>
        <v>0</v>
      </c>
      <c r="C327" s="57">
        <f t="shared" si="5677"/>
        <v>0</v>
      </c>
      <c r="D327" s="57">
        <f t="shared" si="5677"/>
        <v>0</v>
      </c>
      <c r="E327" s="57">
        <f t="shared" si="5677"/>
        <v>0</v>
      </c>
      <c r="F327" s="57">
        <f t="shared" ref="F327:BQ327" si="5678">IFERROR((F265+F282)*F333,0)</f>
        <v>0</v>
      </c>
      <c r="G327" s="57">
        <f t="shared" si="5678"/>
        <v>0</v>
      </c>
      <c r="H327" s="57">
        <f t="shared" si="5678"/>
        <v>0</v>
      </c>
      <c r="I327" s="57">
        <f t="shared" si="5678"/>
        <v>0</v>
      </c>
      <c r="J327" s="57">
        <f t="shared" si="5678"/>
        <v>0</v>
      </c>
      <c r="K327" s="57">
        <f t="shared" si="5678"/>
        <v>0</v>
      </c>
      <c r="L327" s="57">
        <f t="shared" si="5678"/>
        <v>0</v>
      </c>
      <c r="M327" s="57">
        <f t="shared" si="5678"/>
        <v>0</v>
      </c>
      <c r="N327" s="57">
        <f t="shared" si="5678"/>
        <v>0</v>
      </c>
      <c r="O327" s="57">
        <f t="shared" si="5678"/>
        <v>0</v>
      </c>
      <c r="P327" s="57">
        <f t="shared" si="5678"/>
        <v>0</v>
      </c>
      <c r="Q327" s="57">
        <f t="shared" si="5678"/>
        <v>0</v>
      </c>
      <c r="R327" s="57">
        <f t="shared" si="5678"/>
        <v>0</v>
      </c>
      <c r="S327" s="57">
        <f t="shared" si="5678"/>
        <v>0</v>
      </c>
      <c r="T327" s="57">
        <f t="shared" si="5678"/>
        <v>0</v>
      </c>
      <c r="U327" s="57">
        <f t="shared" si="5678"/>
        <v>0</v>
      </c>
      <c r="V327" s="57">
        <f t="shared" si="5678"/>
        <v>0</v>
      </c>
      <c r="W327" s="57">
        <f t="shared" si="5678"/>
        <v>0</v>
      </c>
      <c r="X327" s="57">
        <f t="shared" si="5678"/>
        <v>0</v>
      </c>
      <c r="Y327" s="57">
        <f t="shared" si="5678"/>
        <v>0</v>
      </c>
      <c r="Z327" s="57">
        <f t="shared" si="5678"/>
        <v>0</v>
      </c>
      <c r="AA327" s="57">
        <f t="shared" si="5678"/>
        <v>0</v>
      </c>
      <c r="AB327" s="57">
        <f t="shared" si="5678"/>
        <v>0</v>
      </c>
      <c r="AC327" s="57">
        <f t="shared" si="5678"/>
        <v>0</v>
      </c>
      <c r="AD327" s="57">
        <f t="shared" si="5678"/>
        <v>0</v>
      </c>
      <c r="AE327" s="57">
        <f t="shared" si="5678"/>
        <v>0</v>
      </c>
      <c r="AF327" s="57">
        <f t="shared" si="5678"/>
        <v>0</v>
      </c>
      <c r="AG327" s="57">
        <f t="shared" si="5678"/>
        <v>0</v>
      </c>
      <c r="AH327" s="57">
        <f t="shared" si="5678"/>
        <v>0</v>
      </c>
      <c r="AI327" s="57">
        <f t="shared" si="5678"/>
        <v>0</v>
      </c>
      <c r="AJ327" s="57">
        <f t="shared" si="5678"/>
        <v>0</v>
      </c>
      <c r="AK327" s="57">
        <f t="shared" si="5678"/>
        <v>0</v>
      </c>
      <c r="AL327" s="57">
        <f t="shared" si="5678"/>
        <v>0</v>
      </c>
      <c r="AM327" s="57">
        <f t="shared" si="5678"/>
        <v>0</v>
      </c>
      <c r="AN327" s="57">
        <f t="shared" si="5678"/>
        <v>0</v>
      </c>
      <c r="AO327" s="57">
        <f t="shared" si="5678"/>
        <v>0</v>
      </c>
      <c r="AP327" s="57">
        <f t="shared" si="5678"/>
        <v>0</v>
      </c>
      <c r="AQ327" s="57">
        <f t="shared" si="5678"/>
        <v>0</v>
      </c>
      <c r="AR327" s="57">
        <f t="shared" si="5678"/>
        <v>0</v>
      </c>
      <c r="AS327" s="57">
        <f t="shared" si="5678"/>
        <v>0</v>
      </c>
      <c r="AT327" s="57">
        <f t="shared" si="5678"/>
        <v>0</v>
      </c>
      <c r="AU327" s="57">
        <f t="shared" si="5678"/>
        <v>0</v>
      </c>
      <c r="AV327" s="57">
        <f t="shared" si="5678"/>
        <v>0</v>
      </c>
      <c r="AW327" s="57">
        <f t="shared" si="5678"/>
        <v>0</v>
      </c>
      <c r="AX327" s="57">
        <f t="shared" si="5678"/>
        <v>0</v>
      </c>
      <c r="AY327" s="57">
        <f t="shared" si="5678"/>
        <v>0</v>
      </c>
      <c r="AZ327" s="57">
        <f t="shared" si="5678"/>
        <v>0</v>
      </c>
      <c r="BA327" s="57">
        <f t="shared" si="5678"/>
        <v>0</v>
      </c>
      <c r="BB327" s="57">
        <f t="shared" si="5678"/>
        <v>0</v>
      </c>
      <c r="BC327" s="57">
        <f t="shared" si="5678"/>
        <v>0</v>
      </c>
      <c r="BD327" s="57">
        <f t="shared" si="5678"/>
        <v>0</v>
      </c>
      <c r="BE327" s="57">
        <f t="shared" si="5678"/>
        <v>0</v>
      </c>
      <c r="BF327" s="57">
        <f t="shared" si="5678"/>
        <v>0</v>
      </c>
      <c r="BG327" s="57">
        <f t="shared" si="5678"/>
        <v>0</v>
      </c>
      <c r="BH327" s="57">
        <f t="shared" si="5678"/>
        <v>0</v>
      </c>
      <c r="BI327" s="57">
        <f t="shared" si="5678"/>
        <v>0</v>
      </c>
      <c r="BJ327" s="57">
        <f t="shared" si="5678"/>
        <v>0</v>
      </c>
      <c r="BK327" s="57">
        <f t="shared" si="5678"/>
        <v>0</v>
      </c>
      <c r="BL327" s="57">
        <f t="shared" si="5678"/>
        <v>0</v>
      </c>
      <c r="BM327" s="57">
        <f t="shared" si="5678"/>
        <v>0</v>
      </c>
      <c r="BN327" s="57">
        <f t="shared" si="5678"/>
        <v>0</v>
      </c>
      <c r="BO327" s="57">
        <f t="shared" si="5678"/>
        <v>0</v>
      </c>
      <c r="BP327" s="57">
        <f t="shared" si="5678"/>
        <v>0</v>
      </c>
      <c r="BQ327" s="57">
        <f t="shared" si="5678"/>
        <v>0</v>
      </c>
      <c r="BR327" s="57">
        <f t="shared" ref="BR327:EC327" si="5679">IFERROR((BR265+BR282)*BR333,0)</f>
        <v>0</v>
      </c>
      <c r="BS327" s="57">
        <f t="shared" si="5679"/>
        <v>0</v>
      </c>
      <c r="BT327" s="57">
        <f t="shared" si="5679"/>
        <v>0</v>
      </c>
      <c r="BU327" s="57">
        <f t="shared" si="5679"/>
        <v>0</v>
      </c>
      <c r="BV327" s="57">
        <f t="shared" si="5679"/>
        <v>0</v>
      </c>
      <c r="BW327" s="57">
        <f t="shared" si="5679"/>
        <v>0</v>
      </c>
      <c r="BX327" s="57">
        <f t="shared" si="5679"/>
        <v>0</v>
      </c>
      <c r="BY327" s="57">
        <f t="shared" si="5679"/>
        <v>0</v>
      </c>
      <c r="BZ327" s="57">
        <f t="shared" si="5679"/>
        <v>0</v>
      </c>
      <c r="CA327" s="57">
        <f t="shared" si="5679"/>
        <v>0</v>
      </c>
      <c r="CB327" s="57">
        <f t="shared" si="5679"/>
        <v>0</v>
      </c>
      <c r="CC327" s="57">
        <f t="shared" si="5679"/>
        <v>0</v>
      </c>
      <c r="CD327" s="57">
        <f t="shared" si="5679"/>
        <v>0</v>
      </c>
      <c r="CE327" s="57">
        <f t="shared" si="5679"/>
        <v>0</v>
      </c>
      <c r="CF327" s="57">
        <f t="shared" si="5679"/>
        <v>0</v>
      </c>
      <c r="CG327" s="57">
        <f t="shared" si="5679"/>
        <v>0</v>
      </c>
      <c r="CH327" s="57">
        <f t="shared" si="5679"/>
        <v>0</v>
      </c>
      <c r="CI327" s="57">
        <f t="shared" si="5679"/>
        <v>0</v>
      </c>
      <c r="CJ327" s="57">
        <f t="shared" si="5679"/>
        <v>0</v>
      </c>
      <c r="CK327" s="57">
        <f t="shared" si="5679"/>
        <v>0</v>
      </c>
      <c r="CL327" s="57">
        <f t="shared" si="5679"/>
        <v>0</v>
      </c>
      <c r="CM327" s="57">
        <f t="shared" si="5679"/>
        <v>0</v>
      </c>
      <c r="CN327" s="57">
        <f t="shared" si="5679"/>
        <v>0</v>
      </c>
      <c r="CO327" s="57">
        <f t="shared" si="5679"/>
        <v>0</v>
      </c>
      <c r="CP327" s="57">
        <f t="shared" si="5679"/>
        <v>0</v>
      </c>
      <c r="CQ327" s="57">
        <f t="shared" si="5679"/>
        <v>0</v>
      </c>
      <c r="CR327" s="57">
        <f t="shared" si="5679"/>
        <v>0</v>
      </c>
      <c r="CS327" s="57">
        <f t="shared" si="5679"/>
        <v>0</v>
      </c>
      <c r="CT327" s="57">
        <f t="shared" si="5679"/>
        <v>0</v>
      </c>
      <c r="CU327" s="57">
        <f t="shared" si="5679"/>
        <v>0</v>
      </c>
      <c r="CV327" s="57">
        <f t="shared" si="5679"/>
        <v>0</v>
      </c>
      <c r="CW327" s="57">
        <f t="shared" si="5679"/>
        <v>0</v>
      </c>
      <c r="CX327" s="57">
        <f t="shared" si="5679"/>
        <v>0</v>
      </c>
      <c r="CY327" s="57">
        <f t="shared" si="5679"/>
        <v>0</v>
      </c>
      <c r="CZ327" s="57">
        <f t="shared" si="5679"/>
        <v>0</v>
      </c>
      <c r="DA327" s="57">
        <f t="shared" si="5679"/>
        <v>0</v>
      </c>
      <c r="DB327" s="57">
        <f t="shared" si="5679"/>
        <v>0</v>
      </c>
      <c r="DC327" s="57">
        <f t="shared" si="5679"/>
        <v>0</v>
      </c>
      <c r="DD327" s="57">
        <f t="shared" si="5679"/>
        <v>0</v>
      </c>
      <c r="DE327" s="57">
        <f t="shared" si="5679"/>
        <v>0</v>
      </c>
      <c r="DF327" s="57">
        <f t="shared" si="5679"/>
        <v>0</v>
      </c>
      <c r="DG327" s="57">
        <f t="shared" si="5679"/>
        <v>0</v>
      </c>
      <c r="DH327" s="57">
        <f t="shared" si="5679"/>
        <v>0</v>
      </c>
      <c r="DI327" s="57">
        <f t="shared" si="5679"/>
        <v>0</v>
      </c>
      <c r="DJ327" s="57">
        <f t="shared" si="5679"/>
        <v>0</v>
      </c>
      <c r="DK327" s="57">
        <f t="shared" si="5679"/>
        <v>0</v>
      </c>
      <c r="DL327" s="57">
        <f t="shared" si="5679"/>
        <v>0</v>
      </c>
      <c r="DM327" s="57">
        <f t="shared" si="5679"/>
        <v>0</v>
      </c>
      <c r="DN327" s="57">
        <f t="shared" si="5679"/>
        <v>0</v>
      </c>
      <c r="DO327" s="57">
        <f t="shared" si="5679"/>
        <v>0</v>
      </c>
      <c r="DP327" s="57">
        <f t="shared" si="5679"/>
        <v>0</v>
      </c>
      <c r="DQ327" s="57">
        <f t="shared" si="5679"/>
        <v>0</v>
      </c>
      <c r="DR327" s="57">
        <f t="shared" si="5679"/>
        <v>0</v>
      </c>
      <c r="DS327" s="57">
        <f t="shared" si="5679"/>
        <v>0</v>
      </c>
      <c r="DT327" s="57">
        <f t="shared" si="5679"/>
        <v>0</v>
      </c>
      <c r="DU327" s="57">
        <f t="shared" si="5679"/>
        <v>0</v>
      </c>
      <c r="DV327" s="57">
        <f t="shared" si="5679"/>
        <v>0</v>
      </c>
      <c r="DW327" s="57">
        <f t="shared" si="5679"/>
        <v>0</v>
      </c>
      <c r="DX327" s="57">
        <f t="shared" si="5679"/>
        <v>0</v>
      </c>
      <c r="DY327" s="57">
        <f t="shared" si="5679"/>
        <v>0</v>
      </c>
      <c r="DZ327" s="57">
        <f t="shared" si="5679"/>
        <v>0</v>
      </c>
      <c r="EA327" s="57">
        <f t="shared" si="5679"/>
        <v>0</v>
      </c>
      <c r="EB327" s="57">
        <f t="shared" si="5679"/>
        <v>0</v>
      </c>
      <c r="EC327" s="57">
        <f t="shared" si="5679"/>
        <v>0</v>
      </c>
      <c r="ED327" s="57">
        <f t="shared" ref="ED327:FY327" si="5680">IFERROR((ED265+ED282)*ED333,0)</f>
        <v>0</v>
      </c>
      <c r="EE327" s="57">
        <f t="shared" si="5680"/>
        <v>0</v>
      </c>
      <c r="EF327" s="57">
        <f t="shared" si="5680"/>
        <v>0</v>
      </c>
      <c r="EG327" s="57">
        <f t="shared" si="5680"/>
        <v>0</v>
      </c>
      <c r="EH327" s="57">
        <f t="shared" si="5680"/>
        <v>0</v>
      </c>
      <c r="EI327" s="57">
        <f t="shared" si="5680"/>
        <v>0</v>
      </c>
      <c r="EJ327" s="57">
        <f t="shared" si="5680"/>
        <v>0</v>
      </c>
      <c r="EK327" s="57">
        <f t="shared" si="5680"/>
        <v>0</v>
      </c>
      <c r="EL327" s="57">
        <f t="shared" si="5680"/>
        <v>0</v>
      </c>
      <c r="EM327" s="57">
        <f t="shared" si="5680"/>
        <v>0</v>
      </c>
      <c r="EN327" s="57">
        <f t="shared" si="5680"/>
        <v>0</v>
      </c>
      <c r="EO327" s="57">
        <f t="shared" si="5680"/>
        <v>0</v>
      </c>
      <c r="EP327" s="57">
        <f t="shared" si="5680"/>
        <v>0</v>
      </c>
      <c r="EQ327" s="57">
        <f t="shared" si="5680"/>
        <v>0</v>
      </c>
      <c r="ER327" s="57">
        <f t="shared" si="5680"/>
        <v>0</v>
      </c>
      <c r="ES327" s="57">
        <f t="shared" si="5680"/>
        <v>0</v>
      </c>
      <c r="ET327" s="57">
        <f t="shared" si="5680"/>
        <v>0</v>
      </c>
      <c r="EU327" s="57">
        <f t="shared" si="5680"/>
        <v>0</v>
      </c>
      <c r="EV327" s="57">
        <f t="shared" si="5680"/>
        <v>0</v>
      </c>
      <c r="EW327" s="57">
        <f t="shared" si="5680"/>
        <v>0</v>
      </c>
      <c r="EX327" s="57">
        <f t="shared" si="5680"/>
        <v>0</v>
      </c>
      <c r="EY327" s="57">
        <f t="shared" si="5680"/>
        <v>0</v>
      </c>
      <c r="EZ327" s="57">
        <f t="shared" si="5680"/>
        <v>0</v>
      </c>
      <c r="FA327" s="57">
        <f t="shared" si="5680"/>
        <v>0</v>
      </c>
      <c r="FB327" s="57">
        <f t="shared" si="5680"/>
        <v>0</v>
      </c>
      <c r="FC327" s="57">
        <f t="shared" si="5680"/>
        <v>0</v>
      </c>
      <c r="FD327" s="57">
        <f t="shared" si="5680"/>
        <v>0</v>
      </c>
      <c r="FE327" s="57">
        <f t="shared" si="5680"/>
        <v>0</v>
      </c>
      <c r="FF327" s="57">
        <f t="shared" si="5680"/>
        <v>0</v>
      </c>
      <c r="FG327" s="57">
        <f t="shared" si="5680"/>
        <v>0</v>
      </c>
      <c r="FH327" s="57">
        <f t="shared" si="5680"/>
        <v>0</v>
      </c>
      <c r="FI327" s="57">
        <f t="shared" si="5680"/>
        <v>0</v>
      </c>
      <c r="FJ327" s="57">
        <f t="shared" si="5680"/>
        <v>0</v>
      </c>
      <c r="FK327" s="57">
        <f t="shared" si="5680"/>
        <v>0</v>
      </c>
      <c r="FL327" s="57">
        <f t="shared" si="5680"/>
        <v>0</v>
      </c>
      <c r="FM327" s="57">
        <f t="shared" si="5680"/>
        <v>0</v>
      </c>
      <c r="FN327" s="57">
        <f t="shared" si="5680"/>
        <v>0</v>
      </c>
      <c r="FO327" s="57">
        <f t="shared" si="5680"/>
        <v>0</v>
      </c>
      <c r="FP327" s="57">
        <f t="shared" si="5680"/>
        <v>0</v>
      </c>
      <c r="FQ327" s="57">
        <f t="shared" si="5680"/>
        <v>0</v>
      </c>
      <c r="FR327" s="57">
        <f t="shared" si="5680"/>
        <v>0</v>
      </c>
      <c r="FS327" s="57">
        <f t="shared" si="5680"/>
        <v>0</v>
      </c>
      <c r="FT327" s="57">
        <f t="shared" si="5680"/>
        <v>0</v>
      </c>
      <c r="FU327" s="57">
        <f t="shared" si="5680"/>
        <v>0</v>
      </c>
      <c r="FV327" s="57">
        <f t="shared" si="5680"/>
        <v>0</v>
      </c>
      <c r="FW327" s="57">
        <f t="shared" si="5680"/>
        <v>0</v>
      </c>
      <c r="FX327" s="57">
        <f t="shared" si="5680"/>
        <v>0</v>
      </c>
      <c r="FY327" s="57">
        <f t="shared" si="5680"/>
        <v>0</v>
      </c>
    </row>
    <row r="328" spans="1:181" x14ac:dyDescent="0.2">
      <c r="A328" s="2" t="s">
        <v>250</v>
      </c>
      <c r="B328" s="114">
        <v>0</v>
      </c>
      <c r="C328" s="114">
        <v>0</v>
      </c>
      <c r="D328" s="114">
        <v>0</v>
      </c>
      <c r="E328" s="114">
        <v>0</v>
      </c>
      <c r="F328" s="114">
        <v>0</v>
      </c>
      <c r="G328" s="114">
        <v>0</v>
      </c>
      <c r="H328" s="114">
        <v>0</v>
      </c>
      <c r="I328" s="114">
        <v>0</v>
      </c>
      <c r="J328" s="114">
        <v>0</v>
      </c>
      <c r="K328" s="114">
        <v>0</v>
      </c>
      <c r="L328" s="114">
        <v>0</v>
      </c>
      <c r="M328" s="114">
        <v>0</v>
      </c>
      <c r="N328" s="114">
        <v>0</v>
      </c>
      <c r="O328" s="114">
        <v>0</v>
      </c>
      <c r="P328" s="114">
        <v>0</v>
      </c>
      <c r="Q328" s="114">
        <v>0</v>
      </c>
      <c r="R328" s="114">
        <v>0</v>
      </c>
      <c r="S328" s="114">
        <v>0</v>
      </c>
      <c r="T328" s="114">
        <v>0</v>
      </c>
      <c r="U328" s="114">
        <v>0</v>
      </c>
      <c r="V328" s="114">
        <v>0</v>
      </c>
      <c r="W328" s="114">
        <v>0</v>
      </c>
      <c r="X328" s="114">
        <v>0</v>
      </c>
      <c r="Y328" s="114">
        <v>0</v>
      </c>
      <c r="Z328" s="114">
        <v>0</v>
      </c>
      <c r="AA328" s="114">
        <v>0</v>
      </c>
      <c r="AB328" s="114">
        <v>0</v>
      </c>
      <c r="AC328" s="114">
        <v>0</v>
      </c>
      <c r="AD328" s="114">
        <v>0</v>
      </c>
      <c r="AE328" s="114">
        <v>0</v>
      </c>
      <c r="AF328" s="114">
        <v>0</v>
      </c>
      <c r="AG328" s="114">
        <v>0</v>
      </c>
      <c r="AH328" s="114">
        <v>0</v>
      </c>
      <c r="AI328" s="114">
        <v>0</v>
      </c>
      <c r="AJ328" s="114">
        <v>0</v>
      </c>
      <c r="AK328" s="114">
        <v>0</v>
      </c>
      <c r="AL328" s="114">
        <v>0</v>
      </c>
      <c r="AM328" s="114">
        <v>0</v>
      </c>
      <c r="AN328" s="114">
        <v>0</v>
      </c>
      <c r="AO328" s="114">
        <v>0</v>
      </c>
      <c r="AP328" s="114">
        <v>0</v>
      </c>
      <c r="AQ328" s="114">
        <v>0</v>
      </c>
      <c r="AR328" s="114">
        <v>0</v>
      </c>
      <c r="AS328" s="114">
        <v>0</v>
      </c>
      <c r="AT328" s="114">
        <v>0</v>
      </c>
      <c r="AU328" s="114">
        <v>0</v>
      </c>
      <c r="AV328" s="114">
        <v>0</v>
      </c>
      <c r="AW328" s="114">
        <v>0</v>
      </c>
      <c r="AX328" s="114">
        <v>0</v>
      </c>
      <c r="AY328" s="114">
        <v>0</v>
      </c>
      <c r="AZ328" s="114">
        <v>0</v>
      </c>
      <c r="BA328" s="114">
        <v>0</v>
      </c>
      <c r="BB328" s="114">
        <v>0</v>
      </c>
      <c r="BC328" s="114">
        <v>0</v>
      </c>
      <c r="BD328" s="114">
        <v>0</v>
      </c>
      <c r="BE328" s="114">
        <v>0</v>
      </c>
      <c r="BF328" s="114">
        <v>0</v>
      </c>
      <c r="BG328" s="114">
        <v>0</v>
      </c>
      <c r="BH328" s="114">
        <v>0</v>
      </c>
      <c r="BI328" s="114">
        <v>0</v>
      </c>
      <c r="BJ328" s="114">
        <v>0</v>
      </c>
      <c r="BK328" s="114">
        <v>0</v>
      </c>
      <c r="BL328" s="114">
        <v>0</v>
      </c>
      <c r="BM328" s="114">
        <v>0</v>
      </c>
      <c r="BN328" s="114">
        <v>0</v>
      </c>
      <c r="BO328" s="114">
        <v>0</v>
      </c>
      <c r="BP328" s="114">
        <v>0</v>
      </c>
      <c r="BQ328" s="114">
        <v>0</v>
      </c>
      <c r="BR328" s="114">
        <v>0</v>
      </c>
      <c r="BS328" s="114">
        <v>0</v>
      </c>
      <c r="BT328" s="114">
        <v>0</v>
      </c>
      <c r="BU328" s="114">
        <v>0</v>
      </c>
      <c r="BV328" s="114">
        <v>0</v>
      </c>
      <c r="BW328" s="114">
        <v>0</v>
      </c>
      <c r="BX328" s="114">
        <v>0</v>
      </c>
      <c r="BY328" s="114">
        <v>0</v>
      </c>
      <c r="BZ328" s="114">
        <v>0</v>
      </c>
      <c r="CA328" s="114">
        <v>0</v>
      </c>
      <c r="CB328" s="114">
        <v>0</v>
      </c>
      <c r="CC328" s="114">
        <v>0</v>
      </c>
      <c r="CD328" s="114">
        <v>0</v>
      </c>
      <c r="CE328" s="114">
        <v>0</v>
      </c>
      <c r="CF328" s="114">
        <v>0</v>
      </c>
      <c r="CG328" s="114">
        <v>0</v>
      </c>
      <c r="CH328" s="114">
        <v>0</v>
      </c>
      <c r="CI328" s="114">
        <v>0</v>
      </c>
      <c r="CJ328" s="114">
        <v>0</v>
      </c>
      <c r="CK328" s="114">
        <v>0</v>
      </c>
      <c r="CL328" s="114">
        <v>0</v>
      </c>
      <c r="CM328" s="114">
        <v>0</v>
      </c>
      <c r="CN328" s="114">
        <v>0</v>
      </c>
      <c r="CO328" s="114">
        <v>0</v>
      </c>
      <c r="CP328" s="114">
        <v>0</v>
      </c>
      <c r="CQ328" s="114">
        <v>0</v>
      </c>
      <c r="CR328" s="114">
        <v>0</v>
      </c>
      <c r="CS328" s="114">
        <v>0</v>
      </c>
      <c r="CT328" s="114">
        <v>0</v>
      </c>
      <c r="CU328" s="114">
        <v>0</v>
      </c>
      <c r="CV328" s="114">
        <v>0</v>
      </c>
      <c r="CW328" s="114">
        <v>0</v>
      </c>
      <c r="CX328" s="114">
        <v>0</v>
      </c>
      <c r="CY328" s="114">
        <v>0</v>
      </c>
      <c r="CZ328" s="114">
        <v>0</v>
      </c>
      <c r="DA328" s="114">
        <v>0</v>
      </c>
      <c r="DB328" s="114">
        <v>0</v>
      </c>
      <c r="DC328" s="114">
        <v>0</v>
      </c>
      <c r="DD328" s="114">
        <v>0</v>
      </c>
      <c r="DE328" s="114">
        <v>0</v>
      </c>
      <c r="DF328" s="114">
        <v>0</v>
      </c>
      <c r="DG328" s="114">
        <v>0</v>
      </c>
      <c r="DH328" s="114">
        <v>0</v>
      </c>
      <c r="DI328" s="114">
        <v>0</v>
      </c>
      <c r="DJ328" s="114">
        <v>0</v>
      </c>
      <c r="DK328" s="114">
        <v>0</v>
      </c>
      <c r="DL328" s="114">
        <v>0</v>
      </c>
      <c r="DM328" s="114">
        <v>0</v>
      </c>
      <c r="DN328" s="114">
        <v>0</v>
      </c>
      <c r="DO328" s="114">
        <v>0</v>
      </c>
      <c r="DP328" s="114">
        <v>0</v>
      </c>
      <c r="DQ328" s="114">
        <v>0</v>
      </c>
      <c r="DR328" s="114">
        <v>0</v>
      </c>
      <c r="DS328" s="114">
        <v>0</v>
      </c>
      <c r="DT328" s="114">
        <v>0</v>
      </c>
      <c r="DU328" s="114">
        <v>0</v>
      </c>
      <c r="DV328" s="114">
        <v>0</v>
      </c>
      <c r="DW328" s="114">
        <v>0</v>
      </c>
      <c r="DX328" s="114">
        <v>0</v>
      </c>
      <c r="DY328" s="114">
        <v>0</v>
      </c>
      <c r="DZ328" s="114">
        <v>0</v>
      </c>
      <c r="EA328" s="114">
        <v>0</v>
      </c>
      <c r="EB328" s="114">
        <v>0</v>
      </c>
      <c r="EC328" s="114">
        <v>0</v>
      </c>
      <c r="ED328" s="114">
        <v>0</v>
      </c>
      <c r="EE328" s="114">
        <v>0</v>
      </c>
      <c r="EF328" s="114">
        <v>0</v>
      </c>
      <c r="EG328" s="114">
        <v>0</v>
      </c>
      <c r="EH328" s="114">
        <v>0</v>
      </c>
      <c r="EI328" s="114">
        <v>0</v>
      </c>
      <c r="EJ328" s="114">
        <v>0</v>
      </c>
      <c r="EK328" s="114">
        <v>0</v>
      </c>
      <c r="EL328" s="114">
        <v>0</v>
      </c>
      <c r="EM328" s="114">
        <v>0</v>
      </c>
      <c r="EN328" s="114">
        <v>0</v>
      </c>
      <c r="EO328" s="114">
        <v>0</v>
      </c>
      <c r="EP328" s="114">
        <v>0</v>
      </c>
      <c r="EQ328" s="114">
        <v>0</v>
      </c>
      <c r="ER328" s="114">
        <v>0</v>
      </c>
      <c r="ES328" s="114">
        <v>0</v>
      </c>
      <c r="ET328" s="114">
        <v>0</v>
      </c>
      <c r="EU328" s="114">
        <v>0</v>
      </c>
      <c r="EV328" s="114">
        <v>0</v>
      </c>
      <c r="EW328" s="114">
        <v>0</v>
      </c>
      <c r="EX328" s="114">
        <v>0</v>
      </c>
      <c r="EY328" s="114">
        <v>0</v>
      </c>
      <c r="EZ328" s="114">
        <v>0</v>
      </c>
      <c r="FA328" s="114">
        <v>0</v>
      </c>
      <c r="FB328" s="114">
        <v>0</v>
      </c>
      <c r="FC328" s="114">
        <v>0</v>
      </c>
      <c r="FD328" s="114">
        <v>0</v>
      </c>
      <c r="FE328" s="114">
        <v>0</v>
      </c>
      <c r="FF328" s="114">
        <v>0</v>
      </c>
      <c r="FG328" s="114">
        <v>0</v>
      </c>
      <c r="FH328" s="114">
        <v>0</v>
      </c>
      <c r="FI328" s="114">
        <v>0</v>
      </c>
      <c r="FJ328" s="114">
        <v>0</v>
      </c>
      <c r="FK328" s="114">
        <v>0</v>
      </c>
      <c r="FL328" s="114">
        <v>0</v>
      </c>
      <c r="FM328" s="114">
        <v>0</v>
      </c>
      <c r="FN328" s="114">
        <v>0</v>
      </c>
      <c r="FO328" s="114">
        <v>0</v>
      </c>
      <c r="FP328" s="114">
        <v>0</v>
      </c>
      <c r="FQ328" s="114">
        <v>0</v>
      </c>
      <c r="FR328" s="114">
        <v>0</v>
      </c>
      <c r="FS328" s="114">
        <v>0</v>
      </c>
      <c r="FT328" s="114">
        <v>0</v>
      </c>
      <c r="FU328" s="114">
        <v>0</v>
      </c>
      <c r="FV328" s="114">
        <v>0</v>
      </c>
      <c r="FW328" s="114">
        <v>0</v>
      </c>
      <c r="FX328" s="114">
        <v>0</v>
      </c>
      <c r="FY328" s="114">
        <v>0</v>
      </c>
    </row>
    <row r="329" spans="1:181" x14ac:dyDescent="0.2">
      <c r="A329" s="2" t="s">
        <v>251</v>
      </c>
      <c r="B329" s="57">
        <v>0</v>
      </c>
      <c r="C329" s="57">
        <v>0</v>
      </c>
      <c r="D329" s="57">
        <v>0</v>
      </c>
      <c r="E329" s="57">
        <v>0</v>
      </c>
      <c r="F329" s="57">
        <v>0</v>
      </c>
      <c r="G329" s="57">
        <v>0</v>
      </c>
      <c r="H329" s="57">
        <v>0</v>
      </c>
      <c r="I329" s="57">
        <v>0</v>
      </c>
      <c r="J329" s="57">
        <v>0</v>
      </c>
      <c r="K329" s="57">
        <v>0</v>
      </c>
      <c r="L329" s="57">
        <v>0</v>
      </c>
      <c r="M329" s="57">
        <v>0</v>
      </c>
      <c r="N329" s="57">
        <v>0</v>
      </c>
      <c r="O329" s="57">
        <v>0</v>
      </c>
      <c r="P329" s="57">
        <v>0</v>
      </c>
      <c r="Q329" s="57">
        <v>0</v>
      </c>
      <c r="R329" s="57">
        <v>0</v>
      </c>
      <c r="S329" s="57">
        <v>0</v>
      </c>
      <c r="T329" s="57">
        <v>0</v>
      </c>
      <c r="U329" s="57">
        <v>0</v>
      </c>
      <c r="V329" s="57">
        <v>0</v>
      </c>
      <c r="W329" s="57">
        <v>0</v>
      </c>
      <c r="X329" s="57">
        <v>0</v>
      </c>
      <c r="Y329" s="57">
        <v>0</v>
      </c>
      <c r="Z329" s="57">
        <v>0</v>
      </c>
      <c r="AA329" s="57">
        <v>0</v>
      </c>
      <c r="AB329" s="57">
        <v>0</v>
      </c>
      <c r="AC329" s="57">
        <v>0</v>
      </c>
      <c r="AD329" s="57">
        <v>0</v>
      </c>
      <c r="AE329" s="57">
        <v>0</v>
      </c>
      <c r="AF329" s="57">
        <v>0</v>
      </c>
      <c r="AG329" s="57">
        <v>0</v>
      </c>
      <c r="AH329" s="57">
        <v>0</v>
      </c>
      <c r="AI329" s="57">
        <v>0</v>
      </c>
      <c r="AJ329" s="57">
        <v>0</v>
      </c>
      <c r="AK329" s="57">
        <v>0</v>
      </c>
      <c r="AL329" s="57">
        <v>0</v>
      </c>
      <c r="AM329" s="57">
        <v>0</v>
      </c>
      <c r="AN329" s="57">
        <v>0</v>
      </c>
      <c r="AO329" s="57">
        <v>0</v>
      </c>
      <c r="AP329" s="57">
        <v>0</v>
      </c>
      <c r="AQ329" s="57">
        <v>0</v>
      </c>
      <c r="AR329" s="57">
        <v>0</v>
      </c>
      <c r="AS329" s="57">
        <v>0</v>
      </c>
      <c r="AT329" s="57">
        <v>0</v>
      </c>
      <c r="AU329" s="57">
        <v>0</v>
      </c>
      <c r="AV329" s="57">
        <v>0</v>
      </c>
      <c r="AW329" s="57">
        <v>0</v>
      </c>
      <c r="AX329" s="57">
        <v>0</v>
      </c>
      <c r="AY329" s="57">
        <v>0</v>
      </c>
      <c r="AZ329" s="57">
        <v>0</v>
      </c>
      <c r="BA329" s="57">
        <v>0</v>
      </c>
      <c r="BB329" s="57">
        <v>0</v>
      </c>
      <c r="BC329" s="57">
        <v>0</v>
      </c>
      <c r="BD329" s="57">
        <v>0</v>
      </c>
      <c r="BE329" s="57">
        <v>0</v>
      </c>
      <c r="BF329" s="57">
        <v>0</v>
      </c>
      <c r="BG329" s="57">
        <v>0</v>
      </c>
      <c r="BH329" s="57">
        <v>0</v>
      </c>
      <c r="BI329" s="57">
        <v>0</v>
      </c>
      <c r="BJ329" s="57">
        <v>0</v>
      </c>
      <c r="BK329" s="57">
        <v>0</v>
      </c>
      <c r="BL329" s="57">
        <v>0</v>
      </c>
      <c r="BM329" s="57">
        <v>0</v>
      </c>
      <c r="BN329" s="57">
        <v>0</v>
      </c>
      <c r="BO329" s="57">
        <v>0</v>
      </c>
      <c r="BP329" s="57">
        <v>0</v>
      </c>
      <c r="BQ329" s="57">
        <v>0</v>
      </c>
      <c r="BR329" s="57">
        <v>0</v>
      </c>
      <c r="BS329" s="57">
        <v>0</v>
      </c>
      <c r="BT329" s="57">
        <v>0</v>
      </c>
      <c r="BU329" s="57">
        <v>0</v>
      </c>
      <c r="BV329" s="57">
        <v>0</v>
      </c>
      <c r="BW329" s="57">
        <v>0</v>
      </c>
      <c r="BX329" s="57">
        <v>0</v>
      </c>
      <c r="BY329" s="57">
        <v>0</v>
      </c>
      <c r="BZ329" s="57">
        <v>0</v>
      </c>
      <c r="CA329" s="57">
        <v>0</v>
      </c>
      <c r="CB329" s="57">
        <v>0</v>
      </c>
      <c r="CC329" s="57">
        <v>0</v>
      </c>
      <c r="CD329" s="57">
        <v>0</v>
      </c>
      <c r="CE329" s="57">
        <v>0</v>
      </c>
      <c r="CF329" s="57">
        <v>0</v>
      </c>
      <c r="CG329" s="57">
        <v>0</v>
      </c>
      <c r="CH329" s="57">
        <v>0</v>
      </c>
      <c r="CI329" s="57">
        <v>0</v>
      </c>
      <c r="CJ329" s="57">
        <v>0</v>
      </c>
      <c r="CK329" s="57">
        <v>0</v>
      </c>
      <c r="CL329" s="57">
        <v>0</v>
      </c>
      <c r="CM329" s="57">
        <v>0</v>
      </c>
      <c r="CN329" s="57">
        <v>0</v>
      </c>
      <c r="CO329" s="57">
        <v>0</v>
      </c>
      <c r="CP329" s="57">
        <v>0</v>
      </c>
      <c r="CQ329" s="57">
        <v>0</v>
      </c>
      <c r="CR329" s="57">
        <v>0</v>
      </c>
      <c r="CS329" s="57">
        <v>0</v>
      </c>
      <c r="CT329" s="57">
        <v>0</v>
      </c>
      <c r="CU329" s="57">
        <v>0</v>
      </c>
      <c r="CV329" s="57">
        <v>0</v>
      </c>
      <c r="CW329" s="57">
        <v>0</v>
      </c>
      <c r="CX329" s="57">
        <v>0</v>
      </c>
      <c r="CY329" s="57">
        <v>0</v>
      </c>
      <c r="CZ329" s="57">
        <v>0</v>
      </c>
      <c r="DA329" s="57">
        <v>0</v>
      </c>
      <c r="DB329" s="57">
        <v>0</v>
      </c>
      <c r="DC329" s="57">
        <v>0</v>
      </c>
      <c r="DD329" s="57">
        <v>0</v>
      </c>
      <c r="DE329" s="57">
        <v>0</v>
      </c>
      <c r="DF329" s="57">
        <v>0</v>
      </c>
      <c r="DG329" s="57">
        <v>0</v>
      </c>
      <c r="DH329" s="57">
        <v>0</v>
      </c>
      <c r="DI329" s="57">
        <v>0</v>
      </c>
      <c r="DJ329" s="57">
        <v>0</v>
      </c>
      <c r="DK329" s="57">
        <v>0</v>
      </c>
      <c r="DL329" s="57">
        <v>0</v>
      </c>
      <c r="DM329" s="57">
        <v>0</v>
      </c>
      <c r="DN329" s="57">
        <v>0</v>
      </c>
      <c r="DO329" s="57">
        <v>0</v>
      </c>
      <c r="DP329" s="57">
        <v>0</v>
      </c>
      <c r="DQ329" s="57">
        <v>0</v>
      </c>
      <c r="DR329" s="57">
        <v>0</v>
      </c>
      <c r="DS329" s="57">
        <v>0</v>
      </c>
      <c r="DT329" s="57">
        <v>0</v>
      </c>
      <c r="DU329" s="57">
        <v>0</v>
      </c>
      <c r="DV329" s="57">
        <v>0</v>
      </c>
      <c r="DW329" s="57">
        <v>0</v>
      </c>
      <c r="DX329" s="57">
        <v>0</v>
      </c>
      <c r="DY329" s="57">
        <v>0</v>
      </c>
      <c r="DZ329" s="57">
        <v>0</v>
      </c>
      <c r="EA329" s="57">
        <v>0</v>
      </c>
      <c r="EB329" s="57">
        <v>0</v>
      </c>
      <c r="EC329" s="57">
        <v>0</v>
      </c>
      <c r="ED329" s="57">
        <v>0</v>
      </c>
      <c r="EE329" s="57">
        <v>0</v>
      </c>
      <c r="EF329" s="57">
        <v>0</v>
      </c>
      <c r="EG329" s="57">
        <v>0</v>
      </c>
      <c r="EH329" s="57">
        <v>0</v>
      </c>
      <c r="EI329" s="57">
        <v>0</v>
      </c>
      <c r="EJ329" s="57">
        <v>0</v>
      </c>
      <c r="EK329" s="57">
        <v>0</v>
      </c>
      <c r="EL329" s="57">
        <v>0</v>
      </c>
      <c r="EM329" s="57">
        <v>0</v>
      </c>
      <c r="EN329" s="57">
        <v>0</v>
      </c>
      <c r="EO329" s="57">
        <v>0</v>
      </c>
      <c r="EP329" s="57">
        <v>0</v>
      </c>
      <c r="EQ329" s="57">
        <v>0</v>
      </c>
      <c r="ER329" s="57">
        <v>0</v>
      </c>
      <c r="ES329" s="57">
        <v>0</v>
      </c>
      <c r="ET329" s="57">
        <v>0</v>
      </c>
      <c r="EU329" s="57">
        <v>0</v>
      </c>
      <c r="EV329" s="57">
        <v>0</v>
      </c>
      <c r="EW329" s="57">
        <v>0</v>
      </c>
      <c r="EX329" s="57">
        <v>0</v>
      </c>
      <c r="EY329" s="57">
        <v>0</v>
      </c>
      <c r="EZ329" s="57">
        <v>0</v>
      </c>
      <c r="FA329" s="57">
        <v>0</v>
      </c>
      <c r="FB329" s="57">
        <v>0</v>
      </c>
      <c r="FC329" s="57">
        <v>0</v>
      </c>
      <c r="FD329" s="57">
        <v>0</v>
      </c>
      <c r="FE329" s="57">
        <v>0</v>
      </c>
      <c r="FF329" s="57">
        <v>0</v>
      </c>
      <c r="FG329" s="57">
        <v>0</v>
      </c>
      <c r="FH329" s="57">
        <v>0</v>
      </c>
      <c r="FI329" s="57">
        <v>0</v>
      </c>
      <c r="FJ329" s="57">
        <v>0</v>
      </c>
      <c r="FK329" s="57">
        <v>0</v>
      </c>
      <c r="FL329" s="57">
        <v>0</v>
      </c>
      <c r="FM329" s="57">
        <v>0</v>
      </c>
      <c r="FN329" s="57">
        <v>0</v>
      </c>
      <c r="FO329" s="57">
        <v>0</v>
      </c>
      <c r="FP329" s="57">
        <v>0</v>
      </c>
      <c r="FQ329" s="57">
        <v>0</v>
      </c>
      <c r="FR329" s="57">
        <v>0</v>
      </c>
      <c r="FS329" s="57">
        <v>0</v>
      </c>
      <c r="FT329" s="57">
        <v>0</v>
      </c>
      <c r="FU329" s="57">
        <v>0</v>
      </c>
      <c r="FV329" s="57">
        <v>0</v>
      </c>
      <c r="FW329" s="57">
        <v>0</v>
      </c>
      <c r="FX329" s="57">
        <v>0</v>
      </c>
      <c r="FY329" s="57">
        <v>0</v>
      </c>
    </row>
    <row r="330" spans="1:181" x14ac:dyDescent="0.2">
      <c r="A330" s="115" t="s">
        <v>252</v>
      </c>
      <c r="B330" s="116">
        <f>IFERROR((B277+B296)*B333,0)*0</f>
        <v>0</v>
      </c>
      <c r="C330" s="116">
        <f t="shared" ref="C330:BN330" si="5681">IFERROR((C277+C296)*C333,0)*0</f>
        <v>0</v>
      </c>
      <c r="D330" s="116">
        <f t="shared" si="5681"/>
        <v>0</v>
      </c>
      <c r="E330" s="116">
        <f t="shared" si="5681"/>
        <v>0</v>
      </c>
      <c r="F330" s="116">
        <f t="shared" si="5681"/>
        <v>0</v>
      </c>
      <c r="G330" s="116">
        <f t="shared" si="5681"/>
        <v>0</v>
      </c>
      <c r="H330" s="116">
        <f t="shared" si="5681"/>
        <v>0</v>
      </c>
      <c r="I330" s="116">
        <f t="shared" si="5681"/>
        <v>0</v>
      </c>
      <c r="J330" s="116">
        <f t="shared" si="5681"/>
        <v>0</v>
      </c>
      <c r="K330" s="116">
        <f t="shared" si="5681"/>
        <v>0</v>
      </c>
      <c r="L330" s="116">
        <f t="shared" si="5681"/>
        <v>0</v>
      </c>
      <c r="M330" s="116">
        <f t="shared" si="5681"/>
        <v>0</v>
      </c>
      <c r="N330" s="116">
        <f t="shared" si="5681"/>
        <v>0</v>
      </c>
      <c r="O330" s="116">
        <f t="shared" si="5681"/>
        <v>0</v>
      </c>
      <c r="P330" s="116">
        <f t="shared" si="5681"/>
        <v>0</v>
      </c>
      <c r="Q330" s="116">
        <f t="shared" si="5681"/>
        <v>0</v>
      </c>
      <c r="R330" s="116">
        <f t="shared" si="5681"/>
        <v>0</v>
      </c>
      <c r="S330" s="116">
        <f t="shared" si="5681"/>
        <v>0</v>
      </c>
      <c r="T330" s="116">
        <f t="shared" si="5681"/>
        <v>0</v>
      </c>
      <c r="U330" s="116">
        <f t="shared" si="5681"/>
        <v>0</v>
      </c>
      <c r="V330" s="116">
        <f t="shared" si="5681"/>
        <v>0</v>
      </c>
      <c r="W330" s="116">
        <f t="shared" si="5681"/>
        <v>0</v>
      </c>
      <c r="X330" s="116">
        <f t="shared" si="5681"/>
        <v>0</v>
      </c>
      <c r="Y330" s="116">
        <f t="shared" si="5681"/>
        <v>0</v>
      </c>
      <c r="Z330" s="116">
        <f t="shared" si="5681"/>
        <v>0</v>
      </c>
      <c r="AA330" s="116">
        <f t="shared" si="5681"/>
        <v>0</v>
      </c>
      <c r="AB330" s="116">
        <f t="shared" si="5681"/>
        <v>0</v>
      </c>
      <c r="AC330" s="116">
        <f t="shared" si="5681"/>
        <v>0</v>
      </c>
      <c r="AD330" s="116">
        <f t="shared" si="5681"/>
        <v>0</v>
      </c>
      <c r="AE330" s="116">
        <f t="shared" si="5681"/>
        <v>0</v>
      </c>
      <c r="AF330" s="116">
        <f t="shared" si="5681"/>
        <v>0</v>
      </c>
      <c r="AG330" s="116">
        <f t="shared" si="5681"/>
        <v>0</v>
      </c>
      <c r="AH330" s="116">
        <f t="shared" si="5681"/>
        <v>0</v>
      </c>
      <c r="AI330" s="116">
        <f t="shared" si="5681"/>
        <v>0</v>
      </c>
      <c r="AJ330" s="116">
        <f t="shared" si="5681"/>
        <v>0</v>
      </c>
      <c r="AK330" s="116">
        <f t="shared" si="5681"/>
        <v>0</v>
      </c>
      <c r="AL330" s="116">
        <f t="shared" si="5681"/>
        <v>0</v>
      </c>
      <c r="AM330" s="116">
        <f t="shared" si="5681"/>
        <v>0</v>
      </c>
      <c r="AN330" s="116">
        <f t="shared" si="5681"/>
        <v>0</v>
      </c>
      <c r="AO330" s="116">
        <f t="shared" si="5681"/>
        <v>0</v>
      </c>
      <c r="AP330" s="116">
        <f t="shared" si="5681"/>
        <v>0</v>
      </c>
      <c r="AQ330" s="116">
        <f t="shared" si="5681"/>
        <v>0</v>
      </c>
      <c r="AR330" s="116">
        <f t="shared" si="5681"/>
        <v>0</v>
      </c>
      <c r="AS330" s="116">
        <f t="shared" si="5681"/>
        <v>0</v>
      </c>
      <c r="AT330" s="116">
        <f t="shared" si="5681"/>
        <v>0</v>
      </c>
      <c r="AU330" s="116">
        <f t="shared" si="5681"/>
        <v>0</v>
      </c>
      <c r="AV330" s="116">
        <f t="shared" si="5681"/>
        <v>0</v>
      </c>
      <c r="AW330" s="116">
        <f t="shared" si="5681"/>
        <v>0</v>
      </c>
      <c r="AX330" s="116">
        <f t="shared" si="5681"/>
        <v>0</v>
      </c>
      <c r="AY330" s="116">
        <f t="shared" si="5681"/>
        <v>0</v>
      </c>
      <c r="AZ330" s="116">
        <f t="shared" si="5681"/>
        <v>0</v>
      </c>
      <c r="BA330" s="116">
        <f t="shared" si="5681"/>
        <v>0</v>
      </c>
      <c r="BB330" s="116">
        <f t="shared" si="5681"/>
        <v>0</v>
      </c>
      <c r="BC330" s="116">
        <f t="shared" si="5681"/>
        <v>0</v>
      </c>
      <c r="BD330" s="116">
        <f t="shared" si="5681"/>
        <v>0</v>
      </c>
      <c r="BE330" s="116">
        <f t="shared" si="5681"/>
        <v>0</v>
      </c>
      <c r="BF330" s="116">
        <f t="shared" si="5681"/>
        <v>0</v>
      </c>
      <c r="BG330" s="116">
        <f t="shared" si="5681"/>
        <v>0</v>
      </c>
      <c r="BH330" s="116">
        <f t="shared" si="5681"/>
        <v>0</v>
      </c>
      <c r="BI330" s="116">
        <f t="shared" si="5681"/>
        <v>0</v>
      </c>
      <c r="BJ330" s="116">
        <f t="shared" si="5681"/>
        <v>0</v>
      </c>
      <c r="BK330" s="116">
        <f t="shared" si="5681"/>
        <v>0</v>
      </c>
      <c r="BL330" s="116">
        <f t="shared" si="5681"/>
        <v>0</v>
      </c>
      <c r="BM330" s="116">
        <f t="shared" si="5681"/>
        <v>0</v>
      </c>
      <c r="BN330" s="116">
        <f t="shared" si="5681"/>
        <v>0</v>
      </c>
      <c r="BO330" s="116">
        <f t="shared" ref="BO330:DZ330" si="5682">IFERROR((BO277+BO296)*BO333,0)*0</f>
        <v>0</v>
      </c>
      <c r="BP330" s="116">
        <f t="shared" si="5682"/>
        <v>0</v>
      </c>
      <c r="BQ330" s="116">
        <f t="shared" si="5682"/>
        <v>0</v>
      </c>
      <c r="BR330" s="116">
        <f t="shared" si="5682"/>
        <v>0</v>
      </c>
      <c r="BS330" s="116">
        <f t="shared" si="5682"/>
        <v>0</v>
      </c>
      <c r="BT330" s="116">
        <f t="shared" si="5682"/>
        <v>0</v>
      </c>
      <c r="BU330" s="116">
        <f t="shared" si="5682"/>
        <v>0</v>
      </c>
      <c r="BV330" s="116">
        <f t="shared" si="5682"/>
        <v>0</v>
      </c>
      <c r="BW330" s="116">
        <f t="shared" si="5682"/>
        <v>0</v>
      </c>
      <c r="BX330" s="116">
        <f t="shared" si="5682"/>
        <v>0</v>
      </c>
      <c r="BY330" s="116">
        <f t="shared" si="5682"/>
        <v>0</v>
      </c>
      <c r="BZ330" s="116">
        <f t="shared" si="5682"/>
        <v>0</v>
      </c>
      <c r="CA330" s="116">
        <f t="shared" si="5682"/>
        <v>0</v>
      </c>
      <c r="CB330" s="116">
        <f t="shared" si="5682"/>
        <v>0</v>
      </c>
      <c r="CC330" s="116">
        <f t="shared" si="5682"/>
        <v>0</v>
      </c>
      <c r="CD330" s="116">
        <f t="shared" si="5682"/>
        <v>0</v>
      </c>
      <c r="CE330" s="116">
        <f t="shared" si="5682"/>
        <v>0</v>
      </c>
      <c r="CF330" s="116">
        <f t="shared" si="5682"/>
        <v>0</v>
      </c>
      <c r="CG330" s="116">
        <f t="shared" si="5682"/>
        <v>0</v>
      </c>
      <c r="CH330" s="116">
        <f t="shared" si="5682"/>
        <v>0</v>
      </c>
      <c r="CI330" s="116">
        <f t="shared" si="5682"/>
        <v>0</v>
      </c>
      <c r="CJ330" s="116">
        <f t="shared" si="5682"/>
        <v>0</v>
      </c>
      <c r="CK330" s="116">
        <f t="shared" si="5682"/>
        <v>0</v>
      </c>
      <c r="CL330" s="116">
        <f t="shared" si="5682"/>
        <v>0</v>
      </c>
      <c r="CM330" s="116">
        <f t="shared" si="5682"/>
        <v>0</v>
      </c>
      <c r="CN330" s="116">
        <f t="shared" si="5682"/>
        <v>0</v>
      </c>
      <c r="CO330" s="116">
        <f t="shared" si="5682"/>
        <v>0</v>
      </c>
      <c r="CP330" s="116">
        <f t="shared" si="5682"/>
        <v>0</v>
      </c>
      <c r="CQ330" s="116">
        <f t="shared" si="5682"/>
        <v>0</v>
      </c>
      <c r="CR330" s="116">
        <f t="shared" si="5682"/>
        <v>0</v>
      </c>
      <c r="CS330" s="116">
        <f t="shared" si="5682"/>
        <v>0</v>
      </c>
      <c r="CT330" s="116">
        <f t="shared" si="5682"/>
        <v>0</v>
      </c>
      <c r="CU330" s="116">
        <f t="shared" si="5682"/>
        <v>0</v>
      </c>
      <c r="CV330" s="116">
        <f t="shared" si="5682"/>
        <v>0</v>
      </c>
      <c r="CW330" s="116">
        <f t="shared" si="5682"/>
        <v>0</v>
      </c>
      <c r="CX330" s="116">
        <f t="shared" si="5682"/>
        <v>0</v>
      </c>
      <c r="CY330" s="116">
        <f t="shared" si="5682"/>
        <v>0</v>
      </c>
      <c r="CZ330" s="116">
        <f t="shared" si="5682"/>
        <v>0</v>
      </c>
      <c r="DA330" s="116">
        <f t="shared" si="5682"/>
        <v>0</v>
      </c>
      <c r="DB330" s="116">
        <f t="shared" si="5682"/>
        <v>0</v>
      </c>
      <c r="DC330" s="116">
        <f t="shared" si="5682"/>
        <v>0</v>
      </c>
      <c r="DD330" s="116">
        <f t="shared" si="5682"/>
        <v>0</v>
      </c>
      <c r="DE330" s="116">
        <f t="shared" si="5682"/>
        <v>0</v>
      </c>
      <c r="DF330" s="116">
        <f t="shared" si="5682"/>
        <v>0</v>
      </c>
      <c r="DG330" s="116">
        <f t="shared" si="5682"/>
        <v>0</v>
      </c>
      <c r="DH330" s="116">
        <f t="shared" si="5682"/>
        <v>0</v>
      </c>
      <c r="DI330" s="116">
        <f t="shared" si="5682"/>
        <v>0</v>
      </c>
      <c r="DJ330" s="116">
        <f t="shared" si="5682"/>
        <v>0</v>
      </c>
      <c r="DK330" s="116">
        <f t="shared" si="5682"/>
        <v>0</v>
      </c>
      <c r="DL330" s="116">
        <f t="shared" si="5682"/>
        <v>0</v>
      </c>
      <c r="DM330" s="116">
        <f t="shared" si="5682"/>
        <v>0</v>
      </c>
      <c r="DN330" s="116">
        <f t="shared" si="5682"/>
        <v>0</v>
      </c>
      <c r="DO330" s="116">
        <f t="shared" si="5682"/>
        <v>0</v>
      </c>
      <c r="DP330" s="116">
        <f t="shared" si="5682"/>
        <v>0</v>
      </c>
      <c r="DQ330" s="116">
        <f t="shared" si="5682"/>
        <v>0</v>
      </c>
      <c r="DR330" s="116">
        <f t="shared" si="5682"/>
        <v>0</v>
      </c>
      <c r="DS330" s="116">
        <f t="shared" si="5682"/>
        <v>0</v>
      </c>
      <c r="DT330" s="116">
        <f t="shared" si="5682"/>
        <v>0</v>
      </c>
      <c r="DU330" s="116">
        <f t="shared" si="5682"/>
        <v>0</v>
      </c>
      <c r="DV330" s="116">
        <f t="shared" si="5682"/>
        <v>0</v>
      </c>
      <c r="DW330" s="116">
        <f t="shared" si="5682"/>
        <v>0</v>
      </c>
      <c r="DX330" s="116">
        <f t="shared" si="5682"/>
        <v>0</v>
      </c>
      <c r="DY330" s="116">
        <f t="shared" si="5682"/>
        <v>0</v>
      </c>
      <c r="DZ330" s="116">
        <f t="shared" si="5682"/>
        <v>0</v>
      </c>
      <c r="EA330" s="116">
        <f t="shared" ref="EA330:FY330" si="5683">IFERROR((EA277+EA296)*EA333,0)*0</f>
        <v>0</v>
      </c>
      <c r="EB330" s="116">
        <f t="shared" si="5683"/>
        <v>0</v>
      </c>
      <c r="EC330" s="116">
        <f t="shared" si="5683"/>
        <v>0</v>
      </c>
      <c r="ED330" s="116">
        <f t="shared" si="5683"/>
        <v>0</v>
      </c>
      <c r="EE330" s="116">
        <f t="shared" si="5683"/>
        <v>0</v>
      </c>
      <c r="EF330" s="116">
        <f t="shared" si="5683"/>
        <v>0</v>
      </c>
      <c r="EG330" s="116">
        <f t="shared" si="5683"/>
        <v>0</v>
      </c>
      <c r="EH330" s="116">
        <f t="shared" si="5683"/>
        <v>0</v>
      </c>
      <c r="EI330" s="116">
        <f t="shared" si="5683"/>
        <v>0</v>
      </c>
      <c r="EJ330" s="116">
        <f t="shared" si="5683"/>
        <v>0</v>
      </c>
      <c r="EK330" s="116">
        <f t="shared" si="5683"/>
        <v>0</v>
      </c>
      <c r="EL330" s="116">
        <f t="shared" si="5683"/>
        <v>0</v>
      </c>
      <c r="EM330" s="116">
        <f t="shared" si="5683"/>
        <v>0</v>
      </c>
      <c r="EN330" s="116">
        <f t="shared" si="5683"/>
        <v>0</v>
      </c>
      <c r="EO330" s="116">
        <f t="shared" si="5683"/>
        <v>0</v>
      </c>
      <c r="EP330" s="116">
        <f t="shared" si="5683"/>
        <v>0</v>
      </c>
      <c r="EQ330" s="116">
        <f t="shared" si="5683"/>
        <v>0</v>
      </c>
      <c r="ER330" s="116">
        <f t="shared" si="5683"/>
        <v>0</v>
      </c>
      <c r="ES330" s="116">
        <f t="shared" si="5683"/>
        <v>0</v>
      </c>
      <c r="ET330" s="116">
        <f t="shared" si="5683"/>
        <v>0</v>
      </c>
      <c r="EU330" s="116">
        <f t="shared" si="5683"/>
        <v>0</v>
      </c>
      <c r="EV330" s="116">
        <f t="shared" si="5683"/>
        <v>0</v>
      </c>
      <c r="EW330" s="116">
        <f t="shared" si="5683"/>
        <v>0</v>
      </c>
      <c r="EX330" s="116">
        <f t="shared" si="5683"/>
        <v>0</v>
      </c>
      <c r="EY330" s="116">
        <f t="shared" si="5683"/>
        <v>0</v>
      </c>
      <c r="EZ330" s="116">
        <f t="shared" si="5683"/>
        <v>0</v>
      </c>
      <c r="FA330" s="116">
        <f t="shared" si="5683"/>
        <v>0</v>
      </c>
      <c r="FB330" s="116">
        <f t="shared" si="5683"/>
        <v>0</v>
      </c>
      <c r="FC330" s="116">
        <f t="shared" si="5683"/>
        <v>0</v>
      </c>
      <c r="FD330" s="116">
        <f t="shared" si="5683"/>
        <v>0</v>
      </c>
      <c r="FE330" s="116">
        <f t="shared" si="5683"/>
        <v>0</v>
      </c>
      <c r="FF330" s="116">
        <f t="shared" si="5683"/>
        <v>0</v>
      </c>
      <c r="FG330" s="116">
        <f t="shared" si="5683"/>
        <v>0</v>
      </c>
      <c r="FH330" s="116">
        <f t="shared" si="5683"/>
        <v>0</v>
      </c>
      <c r="FI330" s="116">
        <f t="shared" si="5683"/>
        <v>0</v>
      </c>
      <c r="FJ330" s="116">
        <f t="shared" si="5683"/>
        <v>0</v>
      </c>
      <c r="FK330" s="116">
        <f t="shared" si="5683"/>
        <v>0</v>
      </c>
      <c r="FL330" s="116">
        <f t="shared" si="5683"/>
        <v>0</v>
      </c>
      <c r="FM330" s="116">
        <f t="shared" si="5683"/>
        <v>0</v>
      </c>
      <c r="FN330" s="116">
        <f t="shared" si="5683"/>
        <v>0</v>
      </c>
      <c r="FO330" s="116">
        <f t="shared" si="5683"/>
        <v>0</v>
      </c>
      <c r="FP330" s="116">
        <f t="shared" si="5683"/>
        <v>0</v>
      </c>
      <c r="FQ330" s="116">
        <f t="shared" si="5683"/>
        <v>0</v>
      </c>
      <c r="FR330" s="116">
        <f t="shared" si="5683"/>
        <v>0</v>
      </c>
      <c r="FS330" s="116">
        <f t="shared" si="5683"/>
        <v>0</v>
      </c>
      <c r="FT330" s="116">
        <f t="shared" si="5683"/>
        <v>0</v>
      </c>
      <c r="FU330" s="116">
        <f t="shared" si="5683"/>
        <v>0</v>
      </c>
      <c r="FV330" s="116">
        <f t="shared" si="5683"/>
        <v>0</v>
      </c>
      <c r="FW330" s="116">
        <f t="shared" si="5683"/>
        <v>0</v>
      </c>
      <c r="FX330" s="116">
        <f t="shared" si="5683"/>
        <v>0</v>
      </c>
      <c r="FY330" s="116">
        <f t="shared" si="5683"/>
        <v>0</v>
      </c>
    </row>
    <row r="331" spans="1:181" x14ac:dyDescent="0.2">
      <c r="A331" s="95" t="s">
        <v>253</v>
      </c>
      <c r="B331" s="96">
        <f>IF(B320&lt;&gt;0,B275+B294,0)</f>
        <v>0</v>
      </c>
      <c r="C331" s="96">
        <f t="shared" ref="C331:E331" si="5684">IF(C320&lt;&gt;0,C275+C294,0)</f>
        <v>0</v>
      </c>
      <c r="D331" s="96">
        <f t="shared" si="5684"/>
        <v>0</v>
      </c>
      <c r="E331" s="96">
        <f t="shared" si="5684"/>
        <v>0</v>
      </c>
      <c r="F331" s="96">
        <f t="shared" ref="F331:BQ331" si="5685">IF(F320&lt;&gt;0,F275+F294,0)</f>
        <v>0</v>
      </c>
      <c r="G331" s="96">
        <f t="shared" si="5685"/>
        <v>0</v>
      </c>
      <c r="H331" s="96">
        <f t="shared" si="5685"/>
        <v>0</v>
      </c>
      <c r="I331" s="96">
        <f t="shared" si="5685"/>
        <v>0</v>
      </c>
      <c r="J331" s="96">
        <f t="shared" si="5685"/>
        <v>0</v>
      </c>
      <c r="K331" s="96">
        <f t="shared" si="5685"/>
        <v>0</v>
      </c>
      <c r="L331" s="96">
        <f t="shared" si="5685"/>
        <v>0</v>
      </c>
      <c r="M331" s="96">
        <f t="shared" si="5685"/>
        <v>0</v>
      </c>
      <c r="N331" s="96">
        <f t="shared" si="5685"/>
        <v>0</v>
      </c>
      <c r="O331" s="96">
        <f t="shared" si="5685"/>
        <v>0</v>
      </c>
      <c r="P331" s="96">
        <f t="shared" si="5685"/>
        <v>0</v>
      </c>
      <c r="Q331" s="96">
        <f t="shared" si="5685"/>
        <v>0</v>
      </c>
      <c r="R331" s="96">
        <f t="shared" si="5685"/>
        <v>0</v>
      </c>
      <c r="S331" s="96">
        <f t="shared" si="5685"/>
        <v>0</v>
      </c>
      <c r="T331" s="96">
        <f t="shared" si="5685"/>
        <v>0</v>
      </c>
      <c r="U331" s="96">
        <f t="shared" si="5685"/>
        <v>0</v>
      </c>
      <c r="V331" s="96">
        <f t="shared" si="5685"/>
        <v>0</v>
      </c>
      <c r="W331" s="96">
        <f t="shared" si="5685"/>
        <v>0</v>
      </c>
      <c r="X331" s="96">
        <f t="shared" si="5685"/>
        <v>0</v>
      </c>
      <c r="Y331" s="96">
        <f t="shared" si="5685"/>
        <v>0</v>
      </c>
      <c r="Z331" s="96">
        <f t="shared" si="5685"/>
        <v>0</v>
      </c>
      <c r="AA331" s="96">
        <f t="shared" si="5685"/>
        <v>0</v>
      </c>
      <c r="AB331" s="96">
        <f t="shared" si="5685"/>
        <v>0</v>
      </c>
      <c r="AC331" s="96">
        <f t="shared" si="5685"/>
        <v>0</v>
      </c>
      <c r="AD331" s="96">
        <f t="shared" si="5685"/>
        <v>0</v>
      </c>
      <c r="AE331" s="96">
        <f t="shared" si="5685"/>
        <v>0</v>
      </c>
      <c r="AF331" s="96">
        <f t="shared" si="5685"/>
        <v>0</v>
      </c>
      <c r="AG331" s="96">
        <f t="shared" si="5685"/>
        <v>0</v>
      </c>
      <c r="AH331" s="96">
        <f t="shared" si="5685"/>
        <v>0</v>
      </c>
      <c r="AI331" s="96">
        <f t="shared" si="5685"/>
        <v>0</v>
      </c>
      <c r="AJ331" s="96">
        <f t="shared" si="5685"/>
        <v>0</v>
      </c>
      <c r="AK331" s="96">
        <f t="shared" si="5685"/>
        <v>0</v>
      </c>
      <c r="AL331" s="96">
        <f t="shared" si="5685"/>
        <v>0</v>
      </c>
      <c r="AM331" s="96">
        <f t="shared" si="5685"/>
        <v>0</v>
      </c>
      <c r="AN331" s="96">
        <f t="shared" si="5685"/>
        <v>0</v>
      </c>
      <c r="AO331" s="96">
        <f t="shared" si="5685"/>
        <v>0</v>
      </c>
      <c r="AP331" s="96">
        <f t="shared" si="5685"/>
        <v>0</v>
      </c>
      <c r="AQ331" s="96">
        <f t="shared" si="5685"/>
        <v>0</v>
      </c>
      <c r="AR331" s="96">
        <f t="shared" si="5685"/>
        <v>0</v>
      </c>
      <c r="AS331" s="96">
        <f t="shared" si="5685"/>
        <v>0</v>
      </c>
      <c r="AT331" s="96">
        <f t="shared" si="5685"/>
        <v>0</v>
      </c>
      <c r="AU331" s="96">
        <f t="shared" si="5685"/>
        <v>0</v>
      </c>
      <c r="AV331" s="96">
        <f t="shared" si="5685"/>
        <v>0</v>
      </c>
      <c r="AW331" s="96">
        <f t="shared" si="5685"/>
        <v>0</v>
      </c>
      <c r="AX331" s="96">
        <f t="shared" si="5685"/>
        <v>0</v>
      </c>
      <c r="AY331" s="96">
        <f t="shared" si="5685"/>
        <v>0</v>
      </c>
      <c r="AZ331" s="96">
        <f t="shared" si="5685"/>
        <v>0</v>
      </c>
      <c r="BA331" s="96">
        <f t="shared" si="5685"/>
        <v>0</v>
      </c>
      <c r="BB331" s="96">
        <f t="shared" si="5685"/>
        <v>0</v>
      </c>
      <c r="BC331" s="96">
        <f t="shared" si="5685"/>
        <v>0</v>
      </c>
      <c r="BD331" s="96">
        <f t="shared" si="5685"/>
        <v>0</v>
      </c>
      <c r="BE331" s="96">
        <f t="shared" si="5685"/>
        <v>0</v>
      </c>
      <c r="BF331" s="96">
        <f t="shared" si="5685"/>
        <v>0</v>
      </c>
      <c r="BG331" s="96">
        <f t="shared" si="5685"/>
        <v>0</v>
      </c>
      <c r="BH331" s="96">
        <f t="shared" si="5685"/>
        <v>0</v>
      </c>
      <c r="BI331" s="96">
        <f t="shared" si="5685"/>
        <v>0</v>
      </c>
      <c r="BJ331" s="96">
        <f t="shared" si="5685"/>
        <v>0</v>
      </c>
      <c r="BK331" s="96">
        <f t="shared" si="5685"/>
        <v>0</v>
      </c>
      <c r="BL331" s="96">
        <f t="shared" si="5685"/>
        <v>0</v>
      </c>
      <c r="BM331" s="96">
        <f t="shared" si="5685"/>
        <v>0</v>
      </c>
      <c r="BN331" s="96">
        <f t="shared" si="5685"/>
        <v>0</v>
      </c>
      <c r="BO331" s="96">
        <f t="shared" si="5685"/>
        <v>0</v>
      </c>
      <c r="BP331" s="96">
        <f t="shared" si="5685"/>
        <v>0</v>
      </c>
      <c r="BQ331" s="96">
        <f t="shared" si="5685"/>
        <v>0</v>
      </c>
      <c r="BR331" s="96">
        <f t="shared" ref="BR331:EC331" si="5686">IF(BR320&lt;&gt;0,BR275+BR294,0)</f>
        <v>0</v>
      </c>
      <c r="BS331" s="96">
        <f t="shared" si="5686"/>
        <v>0</v>
      </c>
      <c r="BT331" s="96">
        <f t="shared" si="5686"/>
        <v>0</v>
      </c>
      <c r="BU331" s="96">
        <f t="shared" si="5686"/>
        <v>0</v>
      </c>
      <c r="BV331" s="96">
        <f t="shared" si="5686"/>
        <v>0</v>
      </c>
      <c r="BW331" s="96">
        <f t="shared" si="5686"/>
        <v>0</v>
      </c>
      <c r="BX331" s="96">
        <f t="shared" si="5686"/>
        <v>0</v>
      </c>
      <c r="BY331" s="96">
        <f t="shared" si="5686"/>
        <v>0</v>
      </c>
      <c r="BZ331" s="96">
        <f t="shared" si="5686"/>
        <v>0</v>
      </c>
      <c r="CA331" s="96">
        <f t="shared" si="5686"/>
        <v>0</v>
      </c>
      <c r="CB331" s="96">
        <f t="shared" si="5686"/>
        <v>0</v>
      </c>
      <c r="CC331" s="96">
        <f t="shared" si="5686"/>
        <v>0</v>
      </c>
      <c r="CD331" s="96">
        <f t="shared" si="5686"/>
        <v>0</v>
      </c>
      <c r="CE331" s="96">
        <f t="shared" si="5686"/>
        <v>0</v>
      </c>
      <c r="CF331" s="96">
        <f t="shared" si="5686"/>
        <v>0</v>
      </c>
      <c r="CG331" s="96">
        <f t="shared" si="5686"/>
        <v>0</v>
      </c>
      <c r="CH331" s="96">
        <f t="shared" si="5686"/>
        <v>0</v>
      </c>
      <c r="CI331" s="96">
        <f t="shared" si="5686"/>
        <v>0</v>
      </c>
      <c r="CJ331" s="96">
        <f t="shared" si="5686"/>
        <v>0</v>
      </c>
      <c r="CK331" s="96">
        <f t="shared" si="5686"/>
        <v>0</v>
      </c>
      <c r="CL331" s="96">
        <f t="shared" si="5686"/>
        <v>0</v>
      </c>
      <c r="CM331" s="96">
        <f t="shared" si="5686"/>
        <v>0</v>
      </c>
      <c r="CN331" s="96">
        <f t="shared" si="5686"/>
        <v>0</v>
      </c>
      <c r="CO331" s="96">
        <f t="shared" si="5686"/>
        <v>0</v>
      </c>
      <c r="CP331" s="96">
        <f t="shared" si="5686"/>
        <v>0</v>
      </c>
      <c r="CQ331" s="96">
        <f t="shared" si="5686"/>
        <v>0</v>
      </c>
      <c r="CR331" s="96">
        <f t="shared" si="5686"/>
        <v>0</v>
      </c>
      <c r="CS331" s="96">
        <f t="shared" si="5686"/>
        <v>0</v>
      </c>
      <c r="CT331" s="96">
        <f t="shared" si="5686"/>
        <v>0</v>
      </c>
      <c r="CU331" s="96">
        <f t="shared" si="5686"/>
        <v>0</v>
      </c>
      <c r="CV331" s="96">
        <f t="shared" si="5686"/>
        <v>0</v>
      </c>
      <c r="CW331" s="96">
        <f t="shared" si="5686"/>
        <v>0</v>
      </c>
      <c r="CX331" s="96">
        <f t="shared" si="5686"/>
        <v>0</v>
      </c>
      <c r="CY331" s="96">
        <f t="shared" si="5686"/>
        <v>0</v>
      </c>
      <c r="CZ331" s="96">
        <f t="shared" si="5686"/>
        <v>0</v>
      </c>
      <c r="DA331" s="96">
        <f t="shared" si="5686"/>
        <v>0</v>
      </c>
      <c r="DB331" s="96">
        <f t="shared" si="5686"/>
        <v>0</v>
      </c>
      <c r="DC331" s="96">
        <f t="shared" si="5686"/>
        <v>0</v>
      </c>
      <c r="DD331" s="96">
        <f t="shared" si="5686"/>
        <v>0</v>
      </c>
      <c r="DE331" s="96">
        <f t="shared" si="5686"/>
        <v>0</v>
      </c>
      <c r="DF331" s="96">
        <f t="shared" si="5686"/>
        <v>0</v>
      </c>
      <c r="DG331" s="96">
        <f t="shared" si="5686"/>
        <v>0</v>
      </c>
      <c r="DH331" s="96">
        <f t="shared" si="5686"/>
        <v>0</v>
      </c>
      <c r="DI331" s="96">
        <f t="shared" si="5686"/>
        <v>0</v>
      </c>
      <c r="DJ331" s="96">
        <f t="shared" si="5686"/>
        <v>0</v>
      </c>
      <c r="DK331" s="96">
        <f t="shared" si="5686"/>
        <v>0</v>
      </c>
      <c r="DL331" s="96">
        <f t="shared" si="5686"/>
        <v>0</v>
      </c>
      <c r="DM331" s="96">
        <f t="shared" si="5686"/>
        <v>0</v>
      </c>
      <c r="DN331" s="96">
        <f t="shared" si="5686"/>
        <v>0</v>
      </c>
      <c r="DO331" s="96">
        <f t="shared" si="5686"/>
        <v>0</v>
      </c>
      <c r="DP331" s="96">
        <f t="shared" si="5686"/>
        <v>0</v>
      </c>
      <c r="DQ331" s="96">
        <f t="shared" si="5686"/>
        <v>0</v>
      </c>
      <c r="DR331" s="96">
        <f t="shared" si="5686"/>
        <v>0</v>
      </c>
      <c r="DS331" s="96">
        <f t="shared" si="5686"/>
        <v>0</v>
      </c>
      <c r="DT331" s="96">
        <f t="shared" si="5686"/>
        <v>0</v>
      </c>
      <c r="DU331" s="96">
        <f t="shared" si="5686"/>
        <v>0</v>
      </c>
      <c r="DV331" s="96">
        <f t="shared" si="5686"/>
        <v>0</v>
      </c>
      <c r="DW331" s="96">
        <f t="shared" si="5686"/>
        <v>0</v>
      </c>
      <c r="DX331" s="96">
        <f t="shared" si="5686"/>
        <v>0</v>
      </c>
      <c r="DY331" s="96">
        <f t="shared" si="5686"/>
        <v>0</v>
      </c>
      <c r="DZ331" s="96">
        <f t="shared" si="5686"/>
        <v>0</v>
      </c>
      <c r="EA331" s="96">
        <f t="shared" si="5686"/>
        <v>0</v>
      </c>
      <c r="EB331" s="96">
        <f t="shared" si="5686"/>
        <v>0</v>
      </c>
      <c r="EC331" s="96">
        <f t="shared" si="5686"/>
        <v>0</v>
      </c>
      <c r="ED331" s="96">
        <f t="shared" ref="ED331:FY331" si="5687">IF(ED320&lt;&gt;0,ED275+ED294,0)</f>
        <v>0</v>
      </c>
      <c r="EE331" s="96">
        <f t="shared" si="5687"/>
        <v>0</v>
      </c>
      <c r="EF331" s="96">
        <f t="shared" si="5687"/>
        <v>0</v>
      </c>
      <c r="EG331" s="96">
        <f t="shared" si="5687"/>
        <v>0</v>
      </c>
      <c r="EH331" s="96">
        <f t="shared" si="5687"/>
        <v>0</v>
      </c>
      <c r="EI331" s="96">
        <f t="shared" si="5687"/>
        <v>0</v>
      </c>
      <c r="EJ331" s="96">
        <f t="shared" si="5687"/>
        <v>0</v>
      </c>
      <c r="EK331" s="96">
        <f t="shared" si="5687"/>
        <v>0</v>
      </c>
      <c r="EL331" s="96">
        <f t="shared" si="5687"/>
        <v>0</v>
      </c>
      <c r="EM331" s="96">
        <f t="shared" si="5687"/>
        <v>0</v>
      </c>
      <c r="EN331" s="96">
        <f t="shared" si="5687"/>
        <v>0</v>
      </c>
      <c r="EO331" s="96">
        <f t="shared" si="5687"/>
        <v>0</v>
      </c>
      <c r="EP331" s="96">
        <f t="shared" si="5687"/>
        <v>0</v>
      </c>
      <c r="EQ331" s="96">
        <f t="shared" si="5687"/>
        <v>0</v>
      </c>
      <c r="ER331" s="96">
        <f t="shared" si="5687"/>
        <v>0</v>
      </c>
      <c r="ES331" s="96">
        <f t="shared" si="5687"/>
        <v>0</v>
      </c>
      <c r="ET331" s="96">
        <f t="shared" si="5687"/>
        <v>0</v>
      </c>
      <c r="EU331" s="96">
        <f t="shared" si="5687"/>
        <v>0</v>
      </c>
      <c r="EV331" s="96">
        <f t="shared" si="5687"/>
        <v>0</v>
      </c>
      <c r="EW331" s="96">
        <f t="shared" si="5687"/>
        <v>0</v>
      </c>
      <c r="EX331" s="96">
        <f t="shared" si="5687"/>
        <v>0</v>
      </c>
      <c r="EY331" s="96">
        <f t="shared" si="5687"/>
        <v>0</v>
      </c>
      <c r="EZ331" s="96">
        <f t="shared" si="5687"/>
        <v>0</v>
      </c>
      <c r="FA331" s="96">
        <f t="shared" si="5687"/>
        <v>0</v>
      </c>
      <c r="FB331" s="96">
        <f t="shared" si="5687"/>
        <v>0</v>
      </c>
      <c r="FC331" s="96">
        <f t="shared" si="5687"/>
        <v>0</v>
      </c>
      <c r="FD331" s="96">
        <f t="shared" si="5687"/>
        <v>0</v>
      </c>
      <c r="FE331" s="96">
        <f t="shared" si="5687"/>
        <v>0</v>
      </c>
      <c r="FF331" s="96">
        <f t="shared" si="5687"/>
        <v>0</v>
      </c>
      <c r="FG331" s="96">
        <f t="shared" si="5687"/>
        <v>0</v>
      </c>
      <c r="FH331" s="96">
        <f t="shared" si="5687"/>
        <v>0</v>
      </c>
      <c r="FI331" s="96">
        <f t="shared" si="5687"/>
        <v>0</v>
      </c>
      <c r="FJ331" s="96">
        <f t="shared" si="5687"/>
        <v>0</v>
      </c>
      <c r="FK331" s="96">
        <f t="shared" si="5687"/>
        <v>0</v>
      </c>
      <c r="FL331" s="96">
        <f t="shared" si="5687"/>
        <v>0</v>
      </c>
      <c r="FM331" s="96">
        <f t="shared" si="5687"/>
        <v>0</v>
      </c>
      <c r="FN331" s="96">
        <f t="shared" si="5687"/>
        <v>0</v>
      </c>
      <c r="FO331" s="96">
        <f t="shared" si="5687"/>
        <v>0</v>
      </c>
      <c r="FP331" s="96">
        <f t="shared" si="5687"/>
        <v>0</v>
      </c>
      <c r="FQ331" s="96">
        <f t="shared" si="5687"/>
        <v>0</v>
      </c>
      <c r="FR331" s="96">
        <f t="shared" si="5687"/>
        <v>0</v>
      </c>
      <c r="FS331" s="96">
        <f t="shared" si="5687"/>
        <v>0</v>
      </c>
      <c r="FT331" s="96">
        <f t="shared" si="5687"/>
        <v>0</v>
      </c>
      <c r="FU331" s="96">
        <f t="shared" si="5687"/>
        <v>0</v>
      </c>
      <c r="FV331" s="96">
        <f t="shared" si="5687"/>
        <v>0</v>
      </c>
      <c r="FW331" s="96">
        <f t="shared" si="5687"/>
        <v>0</v>
      </c>
      <c r="FX331" s="96">
        <f t="shared" si="5687"/>
        <v>0</v>
      </c>
      <c r="FY331" s="96">
        <f t="shared" si="5687"/>
        <v>0</v>
      </c>
    </row>
    <row r="332" spans="1:181" x14ac:dyDescent="0.2">
      <c r="A332" s="2" t="s">
        <v>254</v>
      </c>
      <c r="B332" s="57">
        <f>SUM(B320:B331)</f>
        <v>0</v>
      </c>
      <c r="C332" s="57">
        <f t="shared" ref="C332:E332" si="5688">SUM(C320:C331)</f>
        <v>0</v>
      </c>
      <c r="D332" s="57">
        <f t="shared" si="5688"/>
        <v>0</v>
      </c>
      <c r="E332" s="57">
        <f t="shared" si="5688"/>
        <v>0</v>
      </c>
      <c r="F332" s="57">
        <f t="shared" ref="F332:BQ332" si="5689">SUM(F320:F331)</f>
        <v>0</v>
      </c>
      <c r="G332" s="57">
        <f t="shared" si="5689"/>
        <v>0</v>
      </c>
      <c r="H332" s="57">
        <f t="shared" si="5689"/>
        <v>0</v>
      </c>
      <c r="I332" s="57">
        <f t="shared" si="5689"/>
        <v>0</v>
      </c>
      <c r="J332" s="57">
        <f t="shared" si="5689"/>
        <v>0</v>
      </c>
      <c r="K332" s="57">
        <f t="shared" si="5689"/>
        <v>0</v>
      </c>
      <c r="L332" s="57">
        <f t="shared" si="5689"/>
        <v>0</v>
      </c>
      <c r="M332" s="57">
        <f t="shared" si="5689"/>
        <v>0</v>
      </c>
      <c r="N332" s="57">
        <f t="shared" si="5689"/>
        <v>0</v>
      </c>
      <c r="O332" s="57">
        <f t="shared" si="5689"/>
        <v>0</v>
      </c>
      <c r="P332" s="57">
        <f t="shared" si="5689"/>
        <v>0</v>
      </c>
      <c r="Q332" s="57">
        <f t="shared" si="5689"/>
        <v>0</v>
      </c>
      <c r="R332" s="57">
        <f t="shared" si="5689"/>
        <v>0</v>
      </c>
      <c r="S332" s="57">
        <f t="shared" si="5689"/>
        <v>0</v>
      </c>
      <c r="T332" s="57">
        <f t="shared" si="5689"/>
        <v>0</v>
      </c>
      <c r="U332" s="57">
        <f t="shared" si="5689"/>
        <v>0</v>
      </c>
      <c r="V332" s="57">
        <f t="shared" si="5689"/>
        <v>0</v>
      </c>
      <c r="W332" s="57">
        <f t="shared" si="5689"/>
        <v>0</v>
      </c>
      <c r="X332" s="57">
        <f t="shared" si="5689"/>
        <v>0</v>
      </c>
      <c r="Y332" s="57">
        <f t="shared" si="5689"/>
        <v>0</v>
      </c>
      <c r="Z332" s="57">
        <f t="shared" si="5689"/>
        <v>0</v>
      </c>
      <c r="AA332" s="57">
        <f t="shared" si="5689"/>
        <v>0</v>
      </c>
      <c r="AB332" s="57">
        <f t="shared" si="5689"/>
        <v>0</v>
      </c>
      <c r="AC332" s="57">
        <f t="shared" si="5689"/>
        <v>0</v>
      </c>
      <c r="AD332" s="57">
        <f t="shared" si="5689"/>
        <v>0</v>
      </c>
      <c r="AE332" s="57">
        <f t="shared" si="5689"/>
        <v>0</v>
      </c>
      <c r="AF332" s="57">
        <f t="shared" si="5689"/>
        <v>0</v>
      </c>
      <c r="AG332" s="57">
        <f t="shared" si="5689"/>
        <v>0</v>
      </c>
      <c r="AH332" s="57">
        <f t="shared" si="5689"/>
        <v>0</v>
      </c>
      <c r="AI332" s="57">
        <f t="shared" si="5689"/>
        <v>0</v>
      </c>
      <c r="AJ332" s="57">
        <f t="shared" si="5689"/>
        <v>0</v>
      </c>
      <c r="AK332" s="57">
        <f t="shared" si="5689"/>
        <v>0</v>
      </c>
      <c r="AL332" s="57">
        <f t="shared" si="5689"/>
        <v>0</v>
      </c>
      <c r="AM332" s="57">
        <f t="shared" si="5689"/>
        <v>0</v>
      </c>
      <c r="AN332" s="57">
        <f t="shared" si="5689"/>
        <v>0</v>
      </c>
      <c r="AO332" s="57">
        <f t="shared" si="5689"/>
        <v>0</v>
      </c>
      <c r="AP332" s="57">
        <f t="shared" si="5689"/>
        <v>0</v>
      </c>
      <c r="AQ332" s="57">
        <f t="shared" si="5689"/>
        <v>0</v>
      </c>
      <c r="AR332" s="57">
        <f t="shared" si="5689"/>
        <v>0</v>
      </c>
      <c r="AS332" s="57">
        <f t="shared" si="5689"/>
        <v>0</v>
      </c>
      <c r="AT332" s="57">
        <f t="shared" si="5689"/>
        <v>0</v>
      </c>
      <c r="AU332" s="57">
        <f t="shared" si="5689"/>
        <v>0</v>
      </c>
      <c r="AV332" s="57">
        <f t="shared" si="5689"/>
        <v>0</v>
      </c>
      <c r="AW332" s="57">
        <f t="shared" si="5689"/>
        <v>0</v>
      </c>
      <c r="AX332" s="57">
        <f t="shared" si="5689"/>
        <v>0</v>
      </c>
      <c r="AY332" s="57">
        <f t="shared" si="5689"/>
        <v>0</v>
      </c>
      <c r="AZ332" s="57">
        <f t="shared" si="5689"/>
        <v>0</v>
      </c>
      <c r="BA332" s="57">
        <f t="shared" si="5689"/>
        <v>0</v>
      </c>
      <c r="BB332" s="57">
        <f t="shared" si="5689"/>
        <v>0</v>
      </c>
      <c r="BC332" s="57">
        <f t="shared" si="5689"/>
        <v>0</v>
      </c>
      <c r="BD332" s="57">
        <f t="shared" si="5689"/>
        <v>0</v>
      </c>
      <c r="BE332" s="57">
        <f t="shared" si="5689"/>
        <v>0</v>
      </c>
      <c r="BF332" s="57">
        <f t="shared" si="5689"/>
        <v>0</v>
      </c>
      <c r="BG332" s="57">
        <f t="shared" si="5689"/>
        <v>0</v>
      </c>
      <c r="BH332" s="57">
        <f t="shared" si="5689"/>
        <v>0</v>
      </c>
      <c r="BI332" s="57">
        <f t="shared" si="5689"/>
        <v>0</v>
      </c>
      <c r="BJ332" s="57">
        <f t="shared" si="5689"/>
        <v>0</v>
      </c>
      <c r="BK332" s="57">
        <f t="shared" si="5689"/>
        <v>0</v>
      </c>
      <c r="BL332" s="57">
        <f t="shared" si="5689"/>
        <v>0</v>
      </c>
      <c r="BM332" s="57">
        <f t="shared" si="5689"/>
        <v>0</v>
      </c>
      <c r="BN332" s="57">
        <f t="shared" si="5689"/>
        <v>0</v>
      </c>
      <c r="BO332" s="57">
        <f t="shared" si="5689"/>
        <v>0</v>
      </c>
      <c r="BP332" s="57">
        <f t="shared" si="5689"/>
        <v>0</v>
      </c>
      <c r="BQ332" s="57">
        <f t="shared" si="5689"/>
        <v>0</v>
      </c>
      <c r="BR332" s="57">
        <f t="shared" ref="BR332:EC332" si="5690">SUM(BR320:BR331)</f>
        <v>0</v>
      </c>
      <c r="BS332" s="57">
        <f t="shared" si="5690"/>
        <v>0</v>
      </c>
      <c r="BT332" s="57">
        <f t="shared" si="5690"/>
        <v>0</v>
      </c>
      <c r="BU332" s="57">
        <f t="shared" si="5690"/>
        <v>0</v>
      </c>
      <c r="BV332" s="57">
        <f t="shared" si="5690"/>
        <v>0</v>
      </c>
      <c r="BW332" s="57">
        <f t="shared" si="5690"/>
        <v>0</v>
      </c>
      <c r="BX332" s="57">
        <f t="shared" si="5690"/>
        <v>0</v>
      </c>
      <c r="BY332" s="57">
        <f t="shared" si="5690"/>
        <v>0</v>
      </c>
      <c r="BZ332" s="57">
        <f t="shared" si="5690"/>
        <v>0</v>
      </c>
      <c r="CA332" s="57">
        <f t="shared" si="5690"/>
        <v>0</v>
      </c>
      <c r="CB332" s="57">
        <f t="shared" si="5690"/>
        <v>0</v>
      </c>
      <c r="CC332" s="57">
        <f t="shared" si="5690"/>
        <v>0</v>
      </c>
      <c r="CD332" s="57">
        <f t="shared" si="5690"/>
        <v>0</v>
      </c>
      <c r="CE332" s="57">
        <f t="shared" si="5690"/>
        <v>0</v>
      </c>
      <c r="CF332" s="57">
        <f t="shared" si="5690"/>
        <v>0</v>
      </c>
      <c r="CG332" s="57">
        <f t="shared" si="5690"/>
        <v>0</v>
      </c>
      <c r="CH332" s="57">
        <f t="shared" si="5690"/>
        <v>0</v>
      </c>
      <c r="CI332" s="57">
        <f t="shared" si="5690"/>
        <v>0</v>
      </c>
      <c r="CJ332" s="57">
        <f t="shared" si="5690"/>
        <v>0</v>
      </c>
      <c r="CK332" s="57">
        <f t="shared" si="5690"/>
        <v>0</v>
      </c>
      <c r="CL332" s="57">
        <f t="shared" si="5690"/>
        <v>0</v>
      </c>
      <c r="CM332" s="57">
        <f t="shared" si="5690"/>
        <v>0</v>
      </c>
      <c r="CN332" s="57">
        <f t="shared" si="5690"/>
        <v>0</v>
      </c>
      <c r="CO332" s="57">
        <f t="shared" si="5690"/>
        <v>0</v>
      </c>
      <c r="CP332" s="57">
        <f t="shared" si="5690"/>
        <v>0</v>
      </c>
      <c r="CQ332" s="57">
        <f t="shared" si="5690"/>
        <v>0</v>
      </c>
      <c r="CR332" s="57">
        <f t="shared" si="5690"/>
        <v>0</v>
      </c>
      <c r="CS332" s="57">
        <f t="shared" si="5690"/>
        <v>0</v>
      </c>
      <c r="CT332" s="57">
        <f t="shared" si="5690"/>
        <v>0</v>
      </c>
      <c r="CU332" s="57">
        <f t="shared" si="5690"/>
        <v>0</v>
      </c>
      <c r="CV332" s="57">
        <f t="shared" si="5690"/>
        <v>0</v>
      </c>
      <c r="CW332" s="57">
        <f t="shared" si="5690"/>
        <v>0</v>
      </c>
      <c r="CX332" s="57">
        <f t="shared" si="5690"/>
        <v>0</v>
      </c>
      <c r="CY332" s="57">
        <f t="shared" si="5690"/>
        <v>0</v>
      </c>
      <c r="CZ332" s="57">
        <f t="shared" si="5690"/>
        <v>0</v>
      </c>
      <c r="DA332" s="57">
        <f t="shared" si="5690"/>
        <v>0</v>
      </c>
      <c r="DB332" s="57">
        <f t="shared" si="5690"/>
        <v>0</v>
      </c>
      <c r="DC332" s="57">
        <f t="shared" si="5690"/>
        <v>0</v>
      </c>
      <c r="DD332" s="57">
        <f t="shared" si="5690"/>
        <v>0</v>
      </c>
      <c r="DE332" s="57">
        <f t="shared" si="5690"/>
        <v>0</v>
      </c>
      <c r="DF332" s="57">
        <f t="shared" si="5690"/>
        <v>0</v>
      </c>
      <c r="DG332" s="57">
        <f t="shared" si="5690"/>
        <v>0</v>
      </c>
      <c r="DH332" s="57">
        <f t="shared" si="5690"/>
        <v>0</v>
      </c>
      <c r="DI332" s="57">
        <f t="shared" si="5690"/>
        <v>0</v>
      </c>
      <c r="DJ332" s="57">
        <f t="shared" si="5690"/>
        <v>0</v>
      </c>
      <c r="DK332" s="57">
        <f t="shared" si="5690"/>
        <v>0</v>
      </c>
      <c r="DL332" s="57">
        <f t="shared" si="5690"/>
        <v>0</v>
      </c>
      <c r="DM332" s="57">
        <f t="shared" si="5690"/>
        <v>0</v>
      </c>
      <c r="DN332" s="57">
        <f t="shared" si="5690"/>
        <v>0</v>
      </c>
      <c r="DO332" s="57">
        <f t="shared" si="5690"/>
        <v>0</v>
      </c>
      <c r="DP332" s="57">
        <f t="shared" si="5690"/>
        <v>0</v>
      </c>
      <c r="DQ332" s="57">
        <f t="shared" si="5690"/>
        <v>0</v>
      </c>
      <c r="DR332" s="57">
        <f t="shared" si="5690"/>
        <v>0</v>
      </c>
      <c r="DS332" s="57">
        <f t="shared" si="5690"/>
        <v>0</v>
      </c>
      <c r="DT332" s="57">
        <f t="shared" si="5690"/>
        <v>0</v>
      </c>
      <c r="DU332" s="57">
        <f t="shared" si="5690"/>
        <v>0</v>
      </c>
      <c r="DV332" s="57">
        <f t="shared" si="5690"/>
        <v>0</v>
      </c>
      <c r="DW332" s="57">
        <f t="shared" si="5690"/>
        <v>0</v>
      </c>
      <c r="DX332" s="57">
        <f t="shared" si="5690"/>
        <v>0</v>
      </c>
      <c r="DY332" s="57">
        <f t="shared" si="5690"/>
        <v>0</v>
      </c>
      <c r="DZ332" s="57">
        <f t="shared" si="5690"/>
        <v>0</v>
      </c>
      <c r="EA332" s="57">
        <f t="shared" si="5690"/>
        <v>0</v>
      </c>
      <c r="EB332" s="57">
        <f t="shared" si="5690"/>
        <v>0</v>
      </c>
      <c r="EC332" s="57">
        <f t="shared" si="5690"/>
        <v>0</v>
      </c>
      <c r="ED332" s="57">
        <f t="shared" ref="ED332:FY332" si="5691">SUM(ED320:ED331)</f>
        <v>0</v>
      </c>
      <c r="EE332" s="57">
        <f t="shared" si="5691"/>
        <v>0</v>
      </c>
      <c r="EF332" s="57">
        <f t="shared" si="5691"/>
        <v>0</v>
      </c>
      <c r="EG332" s="57">
        <f t="shared" si="5691"/>
        <v>0</v>
      </c>
      <c r="EH332" s="57">
        <f t="shared" si="5691"/>
        <v>0</v>
      </c>
      <c r="EI332" s="57">
        <f t="shared" si="5691"/>
        <v>0</v>
      </c>
      <c r="EJ332" s="57">
        <f t="shared" si="5691"/>
        <v>0</v>
      </c>
      <c r="EK332" s="57">
        <f t="shared" si="5691"/>
        <v>0</v>
      </c>
      <c r="EL332" s="57">
        <f t="shared" si="5691"/>
        <v>0</v>
      </c>
      <c r="EM332" s="57">
        <f t="shared" si="5691"/>
        <v>0</v>
      </c>
      <c r="EN332" s="57">
        <f t="shared" si="5691"/>
        <v>0</v>
      </c>
      <c r="EO332" s="57">
        <f t="shared" si="5691"/>
        <v>0</v>
      </c>
      <c r="EP332" s="57">
        <f t="shared" si="5691"/>
        <v>0</v>
      </c>
      <c r="EQ332" s="57">
        <f t="shared" si="5691"/>
        <v>0</v>
      </c>
      <c r="ER332" s="57">
        <f t="shared" si="5691"/>
        <v>0</v>
      </c>
      <c r="ES332" s="57">
        <f t="shared" si="5691"/>
        <v>0</v>
      </c>
      <c r="ET332" s="57">
        <f t="shared" si="5691"/>
        <v>0</v>
      </c>
      <c r="EU332" s="57">
        <f t="shared" si="5691"/>
        <v>0</v>
      </c>
      <c r="EV332" s="57">
        <f t="shared" si="5691"/>
        <v>0</v>
      </c>
      <c r="EW332" s="57">
        <f t="shared" si="5691"/>
        <v>0</v>
      </c>
      <c r="EX332" s="57">
        <f t="shared" si="5691"/>
        <v>0</v>
      </c>
      <c r="EY332" s="57">
        <f t="shared" si="5691"/>
        <v>0</v>
      </c>
      <c r="EZ332" s="57">
        <f t="shared" si="5691"/>
        <v>0</v>
      </c>
      <c r="FA332" s="57">
        <f t="shared" si="5691"/>
        <v>0</v>
      </c>
      <c r="FB332" s="57">
        <f t="shared" si="5691"/>
        <v>0</v>
      </c>
      <c r="FC332" s="57">
        <f t="shared" si="5691"/>
        <v>0</v>
      </c>
      <c r="FD332" s="57">
        <f t="shared" si="5691"/>
        <v>0</v>
      </c>
      <c r="FE332" s="57">
        <f t="shared" si="5691"/>
        <v>0</v>
      </c>
      <c r="FF332" s="57">
        <f t="shared" si="5691"/>
        <v>0</v>
      </c>
      <c r="FG332" s="57">
        <f t="shared" si="5691"/>
        <v>0</v>
      </c>
      <c r="FH332" s="57">
        <f t="shared" si="5691"/>
        <v>0</v>
      </c>
      <c r="FI332" s="57">
        <f t="shared" si="5691"/>
        <v>0</v>
      </c>
      <c r="FJ332" s="57">
        <f t="shared" si="5691"/>
        <v>0</v>
      </c>
      <c r="FK332" s="57">
        <f t="shared" si="5691"/>
        <v>0</v>
      </c>
      <c r="FL332" s="57">
        <f t="shared" si="5691"/>
        <v>0</v>
      </c>
      <c r="FM332" s="57">
        <f t="shared" si="5691"/>
        <v>0</v>
      </c>
      <c r="FN332" s="57">
        <f t="shared" si="5691"/>
        <v>0</v>
      </c>
      <c r="FO332" s="57">
        <f t="shared" si="5691"/>
        <v>0</v>
      </c>
      <c r="FP332" s="57">
        <f t="shared" si="5691"/>
        <v>0</v>
      </c>
      <c r="FQ332" s="57">
        <f t="shared" si="5691"/>
        <v>0</v>
      </c>
      <c r="FR332" s="57">
        <f t="shared" si="5691"/>
        <v>0</v>
      </c>
      <c r="FS332" s="57">
        <f t="shared" si="5691"/>
        <v>0</v>
      </c>
      <c r="FT332" s="57">
        <f t="shared" si="5691"/>
        <v>0</v>
      </c>
      <c r="FU332" s="57">
        <f t="shared" si="5691"/>
        <v>0</v>
      </c>
      <c r="FV332" s="57">
        <f t="shared" si="5691"/>
        <v>0</v>
      </c>
      <c r="FW332" s="57">
        <f t="shared" si="5691"/>
        <v>0</v>
      </c>
      <c r="FX332" s="57">
        <f t="shared" si="5691"/>
        <v>0</v>
      </c>
      <c r="FY332" s="57">
        <f t="shared" si="5691"/>
        <v>0</v>
      </c>
    </row>
    <row r="333" spans="1:181" x14ac:dyDescent="0.2">
      <c r="A333" s="94" t="s">
        <v>255</v>
      </c>
      <c r="B333" s="117">
        <f>IFERROR(B320/(B262+B183+B184+B281),0)</f>
        <v>0</v>
      </c>
      <c r="C333" s="117">
        <f t="shared" ref="C333:E333" si="5692">IFERROR(C320/(C262+C183+C184+C281),0)</f>
        <v>0</v>
      </c>
      <c r="D333" s="117">
        <f t="shared" si="5692"/>
        <v>0</v>
      </c>
      <c r="E333" s="117">
        <f t="shared" si="5692"/>
        <v>0</v>
      </c>
      <c r="F333" s="117">
        <f t="shared" ref="F333:BQ333" si="5693">IFERROR(F320/(F262+F183+F184+F281),0)</f>
        <v>0</v>
      </c>
      <c r="G333" s="117">
        <f t="shared" si="5693"/>
        <v>0</v>
      </c>
      <c r="H333" s="117">
        <f t="shared" si="5693"/>
        <v>0</v>
      </c>
      <c r="I333" s="117">
        <f t="shared" si="5693"/>
        <v>0</v>
      </c>
      <c r="J333" s="117">
        <f t="shared" si="5693"/>
        <v>0</v>
      </c>
      <c r="K333" s="117">
        <f t="shared" si="5693"/>
        <v>0</v>
      </c>
      <c r="L333" s="117">
        <f t="shared" si="5693"/>
        <v>0</v>
      </c>
      <c r="M333" s="117">
        <f t="shared" si="5693"/>
        <v>0</v>
      </c>
      <c r="N333" s="117">
        <f t="shared" si="5693"/>
        <v>0</v>
      </c>
      <c r="O333" s="117">
        <f t="shared" si="5693"/>
        <v>0</v>
      </c>
      <c r="P333" s="117">
        <f t="shared" si="5693"/>
        <v>0</v>
      </c>
      <c r="Q333" s="117">
        <f t="shared" si="5693"/>
        <v>0</v>
      </c>
      <c r="R333" s="117">
        <f t="shared" si="5693"/>
        <v>0</v>
      </c>
      <c r="S333" s="117">
        <f t="shared" si="5693"/>
        <v>0</v>
      </c>
      <c r="T333" s="117">
        <f t="shared" si="5693"/>
        <v>0</v>
      </c>
      <c r="U333" s="117">
        <f t="shared" si="5693"/>
        <v>0</v>
      </c>
      <c r="V333" s="117">
        <f t="shared" si="5693"/>
        <v>0</v>
      </c>
      <c r="W333" s="117">
        <f t="shared" si="5693"/>
        <v>0</v>
      </c>
      <c r="X333" s="117">
        <f t="shared" si="5693"/>
        <v>0</v>
      </c>
      <c r="Y333" s="117">
        <f t="shared" si="5693"/>
        <v>0</v>
      </c>
      <c r="Z333" s="117">
        <f t="shared" si="5693"/>
        <v>0</v>
      </c>
      <c r="AA333" s="117">
        <f t="shared" si="5693"/>
        <v>0</v>
      </c>
      <c r="AB333" s="117">
        <f t="shared" si="5693"/>
        <v>0</v>
      </c>
      <c r="AC333" s="117">
        <f t="shared" si="5693"/>
        <v>0</v>
      </c>
      <c r="AD333" s="117">
        <f t="shared" si="5693"/>
        <v>0</v>
      </c>
      <c r="AE333" s="117">
        <f t="shared" si="5693"/>
        <v>0</v>
      </c>
      <c r="AF333" s="117">
        <f t="shared" si="5693"/>
        <v>0</v>
      </c>
      <c r="AG333" s="117">
        <f t="shared" si="5693"/>
        <v>0</v>
      </c>
      <c r="AH333" s="117">
        <f t="shared" si="5693"/>
        <v>0</v>
      </c>
      <c r="AI333" s="117">
        <f t="shared" si="5693"/>
        <v>0</v>
      </c>
      <c r="AJ333" s="117">
        <f t="shared" si="5693"/>
        <v>0</v>
      </c>
      <c r="AK333" s="117">
        <f t="shared" si="5693"/>
        <v>0</v>
      </c>
      <c r="AL333" s="117">
        <f t="shared" si="5693"/>
        <v>0</v>
      </c>
      <c r="AM333" s="117">
        <f t="shared" si="5693"/>
        <v>0</v>
      </c>
      <c r="AN333" s="117">
        <f t="shared" si="5693"/>
        <v>0</v>
      </c>
      <c r="AO333" s="117">
        <f t="shared" si="5693"/>
        <v>0</v>
      </c>
      <c r="AP333" s="117">
        <f t="shared" si="5693"/>
        <v>0</v>
      </c>
      <c r="AQ333" s="117">
        <f t="shared" si="5693"/>
        <v>0</v>
      </c>
      <c r="AR333" s="117">
        <f t="shared" si="5693"/>
        <v>0</v>
      </c>
      <c r="AS333" s="117">
        <f t="shared" si="5693"/>
        <v>0</v>
      </c>
      <c r="AT333" s="117">
        <f t="shared" si="5693"/>
        <v>0</v>
      </c>
      <c r="AU333" s="117">
        <f t="shared" si="5693"/>
        <v>0</v>
      </c>
      <c r="AV333" s="117">
        <f t="shared" si="5693"/>
        <v>0</v>
      </c>
      <c r="AW333" s="117">
        <f t="shared" si="5693"/>
        <v>0</v>
      </c>
      <c r="AX333" s="117">
        <f t="shared" si="5693"/>
        <v>0</v>
      </c>
      <c r="AY333" s="117">
        <f t="shared" si="5693"/>
        <v>0</v>
      </c>
      <c r="AZ333" s="117">
        <f t="shared" si="5693"/>
        <v>0</v>
      </c>
      <c r="BA333" s="117">
        <f t="shared" si="5693"/>
        <v>0</v>
      </c>
      <c r="BB333" s="117">
        <f t="shared" si="5693"/>
        <v>0</v>
      </c>
      <c r="BC333" s="117">
        <f t="shared" si="5693"/>
        <v>0</v>
      </c>
      <c r="BD333" s="117">
        <f t="shared" si="5693"/>
        <v>0</v>
      </c>
      <c r="BE333" s="117">
        <f t="shared" si="5693"/>
        <v>0</v>
      </c>
      <c r="BF333" s="117">
        <f t="shared" si="5693"/>
        <v>0</v>
      </c>
      <c r="BG333" s="117">
        <f t="shared" si="5693"/>
        <v>0</v>
      </c>
      <c r="BH333" s="117">
        <f t="shared" si="5693"/>
        <v>0</v>
      </c>
      <c r="BI333" s="117">
        <f t="shared" si="5693"/>
        <v>0</v>
      </c>
      <c r="BJ333" s="117">
        <f t="shared" si="5693"/>
        <v>0</v>
      </c>
      <c r="BK333" s="117">
        <f t="shared" si="5693"/>
        <v>0</v>
      </c>
      <c r="BL333" s="117">
        <f t="shared" si="5693"/>
        <v>0</v>
      </c>
      <c r="BM333" s="117">
        <f t="shared" si="5693"/>
        <v>0</v>
      </c>
      <c r="BN333" s="117">
        <f t="shared" si="5693"/>
        <v>0</v>
      </c>
      <c r="BO333" s="117">
        <f t="shared" si="5693"/>
        <v>0</v>
      </c>
      <c r="BP333" s="117">
        <f t="shared" si="5693"/>
        <v>0</v>
      </c>
      <c r="BQ333" s="117">
        <f t="shared" si="5693"/>
        <v>0</v>
      </c>
      <c r="BR333" s="117">
        <f t="shared" ref="BR333:EC333" si="5694">IFERROR(BR320/(BR262+BR183+BR184+BR281),0)</f>
        <v>0</v>
      </c>
      <c r="BS333" s="117">
        <f t="shared" si="5694"/>
        <v>0</v>
      </c>
      <c r="BT333" s="117">
        <f t="shared" si="5694"/>
        <v>0</v>
      </c>
      <c r="BU333" s="117">
        <f t="shared" si="5694"/>
        <v>0</v>
      </c>
      <c r="BV333" s="117">
        <f t="shared" si="5694"/>
        <v>0</v>
      </c>
      <c r="BW333" s="117">
        <f t="shared" si="5694"/>
        <v>0</v>
      </c>
      <c r="BX333" s="117">
        <f t="shared" si="5694"/>
        <v>0</v>
      </c>
      <c r="BY333" s="117">
        <f t="shared" si="5694"/>
        <v>0</v>
      </c>
      <c r="BZ333" s="117">
        <f t="shared" si="5694"/>
        <v>0</v>
      </c>
      <c r="CA333" s="117">
        <f t="shared" si="5694"/>
        <v>0</v>
      </c>
      <c r="CB333" s="117">
        <f t="shared" si="5694"/>
        <v>0</v>
      </c>
      <c r="CC333" s="117">
        <f t="shared" si="5694"/>
        <v>0</v>
      </c>
      <c r="CD333" s="117">
        <f t="shared" si="5694"/>
        <v>0</v>
      </c>
      <c r="CE333" s="117">
        <f t="shared" si="5694"/>
        <v>0</v>
      </c>
      <c r="CF333" s="117">
        <f t="shared" si="5694"/>
        <v>0</v>
      </c>
      <c r="CG333" s="117">
        <f t="shared" si="5694"/>
        <v>0</v>
      </c>
      <c r="CH333" s="117">
        <f t="shared" si="5694"/>
        <v>0</v>
      </c>
      <c r="CI333" s="117">
        <f t="shared" si="5694"/>
        <v>0</v>
      </c>
      <c r="CJ333" s="117">
        <f t="shared" si="5694"/>
        <v>0</v>
      </c>
      <c r="CK333" s="117">
        <f t="shared" si="5694"/>
        <v>0</v>
      </c>
      <c r="CL333" s="117">
        <f t="shared" si="5694"/>
        <v>0</v>
      </c>
      <c r="CM333" s="117">
        <f t="shared" si="5694"/>
        <v>0</v>
      </c>
      <c r="CN333" s="117">
        <f t="shared" si="5694"/>
        <v>0</v>
      </c>
      <c r="CO333" s="117">
        <f t="shared" si="5694"/>
        <v>0</v>
      </c>
      <c r="CP333" s="117">
        <f t="shared" si="5694"/>
        <v>0</v>
      </c>
      <c r="CQ333" s="117">
        <f t="shared" si="5694"/>
        <v>0</v>
      </c>
      <c r="CR333" s="117">
        <f t="shared" si="5694"/>
        <v>0</v>
      </c>
      <c r="CS333" s="117">
        <f t="shared" si="5694"/>
        <v>0</v>
      </c>
      <c r="CT333" s="117">
        <f t="shared" si="5694"/>
        <v>0</v>
      </c>
      <c r="CU333" s="117">
        <f t="shared" si="5694"/>
        <v>0</v>
      </c>
      <c r="CV333" s="117">
        <f t="shared" si="5694"/>
        <v>0</v>
      </c>
      <c r="CW333" s="117">
        <f t="shared" si="5694"/>
        <v>0</v>
      </c>
      <c r="CX333" s="117">
        <f t="shared" si="5694"/>
        <v>0</v>
      </c>
      <c r="CY333" s="117">
        <f t="shared" si="5694"/>
        <v>0</v>
      </c>
      <c r="CZ333" s="117">
        <f t="shared" si="5694"/>
        <v>0</v>
      </c>
      <c r="DA333" s="117">
        <f t="shared" si="5694"/>
        <v>0</v>
      </c>
      <c r="DB333" s="117">
        <f t="shared" si="5694"/>
        <v>0</v>
      </c>
      <c r="DC333" s="117">
        <f t="shared" si="5694"/>
        <v>0</v>
      </c>
      <c r="DD333" s="117">
        <f t="shared" si="5694"/>
        <v>0</v>
      </c>
      <c r="DE333" s="117">
        <f t="shared" si="5694"/>
        <v>0</v>
      </c>
      <c r="DF333" s="117">
        <f t="shared" si="5694"/>
        <v>0</v>
      </c>
      <c r="DG333" s="117">
        <f t="shared" si="5694"/>
        <v>0</v>
      </c>
      <c r="DH333" s="117">
        <f t="shared" si="5694"/>
        <v>0</v>
      </c>
      <c r="DI333" s="117">
        <f t="shared" si="5694"/>
        <v>0</v>
      </c>
      <c r="DJ333" s="117">
        <f t="shared" si="5694"/>
        <v>0</v>
      </c>
      <c r="DK333" s="117">
        <f t="shared" si="5694"/>
        <v>0</v>
      </c>
      <c r="DL333" s="117">
        <f t="shared" si="5694"/>
        <v>0</v>
      </c>
      <c r="DM333" s="117">
        <f t="shared" si="5694"/>
        <v>0</v>
      </c>
      <c r="DN333" s="117">
        <f t="shared" si="5694"/>
        <v>0</v>
      </c>
      <c r="DO333" s="117">
        <f t="shared" si="5694"/>
        <v>0</v>
      </c>
      <c r="DP333" s="117">
        <f t="shared" si="5694"/>
        <v>0</v>
      </c>
      <c r="DQ333" s="117">
        <f t="shared" si="5694"/>
        <v>0</v>
      </c>
      <c r="DR333" s="117">
        <f t="shared" si="5694"/>
        <v>0</v>
      </c>
      <c r="DS333" s="117">
        <f t="shared" si="5694"/>
        <v>0</v>
      </c>
      <c r="DT333" s="117">
        <f t="shared" si="5694"/>
        <v>0</v>
      </c>
      <c r="DU333" s="117">
        <f t="shared" si="5694"/>
        <v>0</v>
      </c>
      <c r="DV333" s="117">
        <f t="shared" si="5694"/>
        <v>0</v>
      </c>
      <c r="DW333" s="117">
        <f t="shared" si="5694"/>
        <v>0</v>
      </c>
      <c r="DX333" s="117">
        <f t="shared" si="5694"/>
        <v>0</v>
      </c>
      <c r="DY333" s="117">
        <f t="shared" si="5694"/>
        <v>0</v>
      </c>
      <c r="DZ333" s="117">
        <f t="shared" si="5694"/>
        <v>0</v>
      </c>
      <c r="EA333" s="117">
        <f t="shared" si="5694"/>
        <v>0</v>
      </c>
      <c r="EB333" s="117">
        <f t="shared" si="5694"/>
        <v>0</v>
      </c>
      <c r="EC333" s="117">
        <f t="shared" si="5694"/>
        <v>0</v>
      </c>
      <c r="ED333" s="117">
        <f t="shared" ref="ED333:FY333" si="5695">IFERROR(ED320/(ED262+ED183+ED184+ED281),0)</f>
        <v>0</v>
      </c>
      <c r="EE333" s="117">
        <f t="shared" si="5695"/>
        <v>0</v>
      </c>
      <c r="EF333" s="117">
        <f t="shared" si="5695"/>
        <v>0</v>
      </c>
      <c r="EG333" s="117">
        <f t="shared" si="5695"/>
        <v>0</v>
      </c>
      <c r="EH333" s="117">
        <f t="shared" si="5695"/>
        <v>0</v>
      </c>
      <c r="EI333" s="117">
        <f t="shared" si="5695"/>
        <v>0</v>
      </c>
      <c r="EJ333" s="117">
        <f t="shared" si="5695"/>
        <v>0</v>
      </c>
      <c r="EK333" s="117">
        <f t="shared" si="5695"/>
        <v>0</v>
      </c>
      <c r="EL333" s="117">
        <f t="shared" si="5695"/>
        <v>0</v>
      </c>
      <c r="EM333" s="117">
        <f t="shared" si="5695"/>
        <v>0</v>
      </c>
      <c r="EN333" s="117">
        <f t="shared" si="5695"/>
        <v>0</v>
      </c>
      <c r="EO333" s="117">
        <f t="shared" si="5695"/>
        <v>0</v>
      </c>
      <c r="EP333" s="117">
        <f t="shared" si="5695"/>
        <v>0</v>
      </c>
      <c r="EQ333" s="117">
        <f t="shared" si="5695"/>
        <v>0</v>
      </c>
      <c r="ER333" s="117">
        <f t="shared" si="5695"/>
        <v>0</v>
      </c>
      <c r="ES333" s="117">
        <f t="shared" si="5695"/>
        <v>0</v>
      </c>
      <c r="ET333" s="117">
        <f t="shared" si="5695"/>
        <v>0</v>
      </c>
      <c r="EU333" s="117">
        <f t="shared" si="5695"/>
        <v>0</v>
      </c>
      <c r="EV333" s="117">
        <f t="shared" si="5695"/>
        <v>0</v>
      </c>
      <c r="EW333" s="117">
        <f t="shared" si="5695"/>
        <v>0</v>
      </c>
      <c r="EX333" s="117">
        <f t="shared" si="5695"/>
        <v>0</v>
      </c>
      <c r="EY333" s="117">
        <f t="shared" si="5695"/>
        <v>0</v>
      </c>
      <c r="EZ333" s="117">
        <f t="shared" si="5695"/>
        <v>0</v>
      </c>
      <c r="FA333" s="117">
        <f t="shared" si="5695"/>
        <v>0</v>
      </c>
      <c r="FB333" s="117">
        <f t="shared" si="5695"/>
        <v>0</v>
      </c>
      <c r="FC333" s="117">
        <f t="shared" si="5695"/>
        <v>0</v>
      </c>
      <c r="FD333" s="117">
        <f t="shared" si="5695"/>
        <v>0</v>
      </c>
      <c r="FE333" s="117">
        <f t="shared" si="5695"/>
        <v>0</v>
      </c>
      <c r="FF333" s="117">
        <f t="shared" si="5695"/>
        <v>0</v>
      </c>
      <c r="FG333" s="117">
        <f t="shared" si="5695"/>
        <v>0</v>
      </c>
      <c r="FH333" s="117">
        <f t="shared" si="5695"/>
        <v>0</v>
      </c>
      <c r="FI333" s="117">
        <f t="shared" si="5695"/>
        <v>0</v>
      </c>
      <c r="FJ333" s="117">
        <f t="shared" si="5695"/>
        <v>0</v>
      </c>
      <c r="FK333" s="117">
        <f t="shared" si="5695"/>
        <v>0</v>
      </c>
      <c r="FL333" s="117">
        <f t="shared" si="5695"/>
        <v>0</v>
      </c>
      <c r="FM333" s="117">
        <f t="shared" si="5695"/>
        <v>0</v>
      </c>
      <c r="FN333" s="117">
        <f t="shared" si="5695"/>
        <v>0</v>
      </c>
      <c r="FO333" s="117">
        <f t="shared" si="5695"/>
        <v>0</v>
      </c>
      <c r="FP333" s="117">
        <f t="shared" si="5695"/>
        <v>0</v>
      </c>
      <c r="FQ333" s="117">
        <f t="shared" si="5695"/>
        <v>0</v>
      </c>
      <c r="FR333" s="117">
        <f t="shared" si="5695"/>
        <v>0</v>
      </c>
      <c r="FS333" s="117">
        <f t="shared" si="5695"/>
        <v>0</v>
      </c>
      <c r="FT333" s="117">
        <f t="shared" si="5695"/>
        <v>0</v>
      </c>
      <c r="FU333" s="117">
        <f t="shared" si="5695"/>
        <v>0</v>
      </c>
      <c r="FV333" s="117">
        <f t="shared" si="5695"/>
        <v>0</v>
      </c>
      <c r="FW333" s="117">
        <f t="shared" si="5695"/>
        <v>0</v>
      </c>
      <c r="FX333" s="117">
        <f t="shared" si="5695"/>
        <v>0</v>
      </c>
      <c r="FY333" s="117">
        <f t="shared" si="5695"/>
        <v>0</v>
      </c>
    </row>
    <row r="334" spans="1:181" x14ac:dyDescent="0.2">
      <c r="B334" s="118">
        <f>MAX(B333:FY333)</f>
        <v>0</v>
      </c>
    </row>
    <row r="337" spans="2:2" x14ac:dyDescent="0.2">
      <c r="B337" s="119"/>
    </row>
    <row r="338" spans="2:2" x14ac:dyDescent="0.2">
      <c r="B338" s="119"/>
    </row>
  </sheetData>
  <mergeCells count="9">
    <mergeCell ref="A84:A85"/>
    <mergeCell ref="B26:M26"/>
    <mergeCell ref="N26:Y26"/>
    <mergeCell ref="Z26:AK26"/>
    <mergeCell ref="AL26:AW26"/>
    <mergeCell ref="A28:A29"/>
    <mergeCell ref="A42:A43"/>
    <mergeCell ref="A56:A57"/>
    <mergeCell ref="A70:A7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5"/>
  <sheetViews>
    <sheetView workbookViewId="0">
      <pane ySplit="4" topLeftCell="A5" activePane="bottomLeft" state="frozen"/>
      <selection pane="bottomLeft" activeCell="W5" sqref="W5"/>
    </sheetView>
  </sheetViews>
  <sheetFormatPr defaultColWidth="8.7109375" defaultRowHeight="12.75" x14ac:dyDescent="0.2"/>
  <cols>
    <col min="1" max="1" width="6.85546875" style="2" bestFit="1" customWidth="1"/>
    <col min="2" max="2" width="23.5703125" style="2" bestFit="1" customWidth="1"/>
    <col min="3" max="3" width="22.140625" style="2" hidden="1" customWidth="1"/>
    <col min="4" max="5" width="35.5703125" style="2" hidden="1" customWidth="1"/>
    <col min="6" max="6" width="10.28515625" style="2" hidden="1" customWidth="1"/>
    <col min="7" max="7" width="14.5703125" style="2" hidden="1" customWidth="1"/>
    <col min="8" max="8" width="8.85546875" style="2" hidden="1" customWidth="1"/>
    <col min="9" max="9" width="17.42578125" style="2" hidden="1" customWidth="1"/>
    <col min="10" max="10" width="11" style="2" hidden="1" customWidth="1"/>
    <col min="11" max="11" width="17.140625" style="2" hidden="1" customWidth="1"/>
    <col min="12" max="12" width="38.140625" style="2" hidden="1" customWidth="1"/>
    <col min="13" max="13" width="25.5703125" style="2" hidden="1" customWidth="1"/>
    <col min="14" max="14" width="17.85546875" style="2" hidden="1" customWidth="1"/>
    <col min="15" max="15" width="17.28515625" style="2" hidden="1" customWidth="1"/>
    <col min="16" max="16" width="23.140625" style="2" hidden="1" customWidth="1"/>
    <col min="17" max="17" width="15.28515625" style="2" hidden="1" customWidth="1"/>
    <col min="18" max="20" width="9.28515625" style="2" hidden="1" customWidth="1"/>
    <col min="21" max="21" width="10.85546875" style="2" bestFit="1" customWidth="1"/>
    <col min="22" max="29" width="13.140625" style="276" customWidth="1"/>
    <col min="30" max="16384" width="8.7109375" style="2"/>
  </cols>
  <sheetData>
    <row r="1" spans="1:29" x14ac:dyDescent="0.2">
      <c r="U1" s="2" t="s">
        <v>280</v>
      </c>
      <c r="V1" s="276">
        <f>V2-V3</f>
        <v>-4254.3149486819748</v>
      </c>
      <c r="W1" s="276">
        <f t="shared" ref="W1:AC1" si="0">W2-W3</f>
        <v>-4276.8798966584582</v>
      </c>
      <c r="X1" s="276">
        <f t="shared" si="0"/>
        <v>-17.513832829499734</v>
      </c>
      <c r="Y1" s="276">
        <f t="shared" si="0"/>
        <v>-16.71244450154245</v>
      </c>
      <c r="Z1" s="276">
        <f t="shared" si="0"/>
        <v>4271.8287815114745</v>
      </c>
      <c r="AA1" s="276">
        <f t="shared" si="0"/>
        <v>4076.3607901321811</v>
      </c>
      <c r="AB1" s="276">
        <f t="shared" si="0"/>
        <v>0</v>
      </c>
      <c r="AC1" s="276">
        <f t="shared" si="0"/>
        <v>0</v>
      </c>
    </row>
    <row r="2" spans="1:29" x14ac:dyDescent="0.2">
      <c r="U2" s="2" t="s">
        <v>431</v>
      </c>
      <c r="V2" s="276">
        <f>MOVEMENT!B262</f>
        <v>-109988.3434935283</v>
      </c>
      <c r="W2" s="276">
        <f>MOVEMENT!B278</f>
        <v>116448.09296759122</v>
      </c>
      <c r="X2" s="276">
        <f>MOVEMENT!B281</f>
        <v>2849.4615063997917</v>
      </c>
      <c r="Y2" s="276">
        <f>MOVEMENT!B297</f>
        <v>2719.0774143267922</v>
      </c>
      <c r="Z2" s="276">
        <f>MOVEMENT!B303</f>
        <v>107138.88198712851</v>
      </c>
      <c r="AA2" s="276">
        <f>MOVEMENT!B316</f>
        <v>102236.47996406778</v>
      </c>
      <c r="AB2" s="276">
        <f>MOVEMENT!B320</f>
        <v>0</v>
      </c>
      <c r="AC2" s="276">
        <f>MOVEMENT!B332</f>
        <v>0</v>
      </c>
    </row>
    <row r="3" spans="1:29" x14ac:dyDescent="0.2">
      <c r="U3" s="2" t="s">
        <v>430</v>
      </c>
      <c r="V3" s="276">
        <f t="shared" ref="V3:AC3" si="1">SUM(V5:V1048576)</f>
        <v>-105734.02854484633</v>
      </c>
      <c r="W3" s="276">
        <f t="shared" si="1"/>
        <v>120724.97286424968</v>
      </c>
      <c r="X3" s="276">
        <f t="shared" si="1"/>
        <v>2866.9753392292914</v>
      </c>
      <c r="Y3" s="276">
        <f t="shared" si="1"/>
        <v>2735.7898588283347</v>
      </c>
      <c r="Z3" s="276">
        <f t="shared" si="1"/>
        <v>102867.05320561703</v>
      </c>
      <c r="AA3" s="276">
        <f t="shared" si="1"/>
        <v>98160.1191739356</v>
      </c>
      <c r="AB3" s="276">
        <f t="shared" si="1"/>
        <v>0</v>
      </c>
      <c r="AC3" s="276">
        <f t="shared" si="1"/>
        <v>0</v>
      </c>
    </row>
    <row r="4" spans="1:29" x14ac:dyDescent="0.2">
      <c r="A4" s="288" t="s">
        <v>410</v>
      </c>
      <c r="B4" s="288" t="s">
        <v>368</v>
      </c>
      <c r="C4" s="288" t="s">
        <v>411</v>
      </c>
      <c r="D4" s="288" t="s">
        <v>369</v>
      </c>
      <c r="E4" s="288" t="s">
        <v>370</v>
      </c>
      <c r="F4" s="288" t="s">
        <v>412</v>
      </c>
      <c r="G4" s="288" t="s">
        <v>413</v>
      </c>
      <c r="H4" s="288" t="s">
        <v>414</v>
      </c>
      <c r="I4" s="288" t="s">
        <v>415</v>
      </c>
      <c r="J4" s="288" t="s">
        <v>416</v>
      </c>
      <c r="K4" s="288" t="s">
        <v>417</v>
      </c>
      <c r="L4" s="288" t="s">
        <v>371</v>
      </c>
      <c r="M4" s="288" t="s">
        <v>418</v>
      </c>
      <c r="N4" s="288" t="s">
        <v>372</v>
      </c>
      <c r="O4" s="288" t="s">
        <v>37</v>
      </c>
      <c r="P4" s="288" t="s">
        <v>419</v>
      </c>
      <c r="Q4" s="288" t="s">
        <v>23</v>
      </c>
      <c r="R4" s="289" t="s">
        <v>338</v>
      </c>
      <c r="S4" s="289" t="s">
        <v>131</v>
      </c>
      <c r="T4" s="289" t="s">
        <v>132</v>
      </c>
      <c r="U4" s="289" t="s">
        <v>420</v>
      </c>
      <c r="V4" s="290" t="s">
        <v>421</v>
      </c>
      <c r="W4" s="290" t="s">
        <v>56</v>
      </c>
      <c r="X4" s="290" t="s">
        <v>422</v>
      </c>
      <c r="Y4" s="290" t="s">
        <v>69</v>
      </c>
      <c r="Z4" s="290" t="s">
        <v>232</v>
      </c>
      <c r="AA4" s="290" t="s">
        <v>72</v>
      </c>
      <c r="AB4" s="290" t="s">
        <v>423</v>
      </c>
      <c r="AC4" s="290" t="s">
        <v>424</v>
      </c>
    </row>
    <row r="5" spans="1:29" x14ac:dyDescent="0.2">
      <c r="A5" s="2">
        <v>324573</v>
      </c>
      <c r="B5" s="2" t="s">
        <v>395</v>
      </c>
      <c r="C5" s="2" t="s">
        <v>405</v>
      </c>
      <c r="D5" s="2" t="s">
        <v>403</v>
      </c>
      <c r="E5" s="2" t="s">
        <v>403</v>
      </c>
      <c r="F5" s="2" t="s">
        <v>425</v>
      </c>
      <c r="G5" s="2" t="s">
        <v>426</v>
      </c>
      <c r="H5" s="2" t="s">
        <v>427</v>
      </c>
      <c r="I5" s="2" t="s">
        <v>428</v>
      </c>
      <c r="J5" s="2" t="s">
        <v>375</v>
      </c>
      <c r="K5" s="2" t="s">
        <v>429</v>
      </c>
      <c r="L5" s="2" t="s">
        <v>406</v>
      </c>
      <c r="M5" s="2" t="s">
        <v>374</v>
      </c>
      <c r="N5" s="2">
        <v>35</v>
      </c>
      <c r="O5" s="2" t="s">
        <v>407</v>
      </c>
      <c r="P5" s="2" t="s">
        <v>374</v>
      </c>
      <c r="Q5" s="2">
        <v>35</v>
      </c>
      <c r="R5" s="281">
        <v>45267</v>
      </c>
      <c r="S5" s="281">
        <v>45267</v>
      </c>
      <c r="T5" s="281">
        <v>46363</v>
      </c>
      <c r="U5" s="281">
        <v>45291</v>
      </c>
      <c r="V5" s="276">
        <v>-105734.02854484633</v>
      </c>
      <c r="W5" s="276">
        <v>120724.97286424968</v>
      </c>
      <c r="X5" s="276">
        <v>2866.9753392292914</v>
      </c>
      <c r="Y5" s="276">
        <v>2735.7898588283347</v>
      </c>
      <c r="Z5" s="276">
        <v>102867.05320561703</v>
      </c>
      <c r="AA5" s="276">
        <v>98160.1191739356</v>
      </c>
      <c r="AB5" s="276">
        <v>0</v>
      </c>
      <c r="AC5" s="276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DATA INPUT - HEADER</vt:lpstr>
      <vt:lpstr>DATA INPUT - DETAIL</vt:lpstr>
      <vt:lpstr>ASUMSI</vt:lpstr>
      <vt:lpstr>BEL</vt:lpstr>
      <vt:lpstr>RA CSM</vt:lpstr>
      <vt:lpstr>MOVEMENT</vt:lpstr>
      <vt:lpstr>OUTPUT CARE</vt:lpstr>
      <vt:lpstr>BEL</vt:lpstr>
      <vt:lpstr>COMM</vt:lpstr>
      <vt:lpstr>LAPSE</vt:lpstr>
      <vt:lpstr>Mortality</vt:lpstr>
      <vt:lpstr>'RA CSM'!MPP</vt:lpstr>
      <vt:lpstr>MPP</vt:lpstr>
      <vt:lpstr>'RA CSM'!RA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Muhamad Soffan</dc:creator>
  <cp:lastModifiedBy>Arya Augusta</cp:lastModifiedBy>
  <cp:lastPrinted>2024-03-15T04:12:36Z</cp:lastPrinted>
  <dcterms:created xsi:type="dcterms:W3CDTF">2017-09-05T04:49:25Z</dcterms:created>
  <dcterms:modified xsi:type="dcterms:W3CDTF">2026-07-24T10:05:53Z</dcterms:modified>
</cp:coreProperties>
</file>